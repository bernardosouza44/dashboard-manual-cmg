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itinfoalvarezandmarsal.sharepoint.com/sites/IniciativasEstratgicasMinerao/Propostas/19. Gerdau_Projeto Gerência de Geotecnia/05. PMO-2026/06. Estruturação de Tarefas/01. G. de Inspeção/02. Manual/03. Plano de Trabalho/"/>
    </mc:Choice>
  </mc:AlternateContent>
  <xr:revisionPtr revIDLastSave="0" documentId="8_{75A93470-3436-4C25-A949-92D6E94726DD}" xr6:coauthVersionLast="47" xr6:coauthVersionMax="47" xr10:uidLastSave="{00000000-0000-0000-0000-000000000000}"/>
  <bookViews>
    <workbookView xWindow="-108" yWindow="-108" windowWidth="23256" windowHeight="13896" tabRatio="880" firstSheet="1" activeTab="1" xr2:uid="{00000000-000D-0000-FFFF-FFFF00000000}"/>
  </bookViews>
  <sheets>
    <sheet name="Plano de Trabalho - Baseline" sheetId="1" state="hidden" r:id="rId1"/>
    <sheet name="Plano de Trabalho (Ajustado)" sheetId="10" r:id="rId2"/>
    <sheet name="Planilha2" sheetId="3" state="hidden" r:id="rId3"/>
    <sheet name="Fases Processos" sheetId="4" state="hidden" r:id="rId4"/>
    <sheet name="calendar" sheetId="5" state="hidden" r:id="rId5"/>
    <sheet name="Plano de Trabalho (2)" sheetId="6" state="hidden" r:id="rId6"/>
    <sheet name="Fluxo Financeiro" sheetId="7" state="hidden" r:id="rId7"/>
    <sheet name="Plano de Trabalho. copia" sheetId="8" state="hidden" r:id="rId8"/>
    <sheet name="Lista Suspensa" sheetId="9" state="hidden" r:id="rId9"/>
  </sheets>
  <definedNames>
    <definedName name="_xlnm._FilterDatabase" localSheetId="7" hidden="1">'Plano de Trabalho. copia'!$A$10:$O$49</definedName>
    <definedName name="_xlnm.Print_Area" localSheetId="0">'Plano de Trabalho - Baseline'!$A$1:$AQ$113</definedName>
    <definedName name="_xlnm.Print_Area" localSheetId="5">'Plano de Trabalho (2)'!$A$1:$AP$144</definedName>
    <definedName name="_xlnm.Print_Area" localSheetId="1">'Plano de Trabalho (Ajustado)'!$A$1:$AL$87</definedName>
    <definedName name="AtividadesDestaque">#REF!</definedName>
    <definedName name="DestaquesAFazer">#REF!</definedName>
    <definedName name="Redefinir_Área_Impressão">OFFSET(#REF!,0,0,COUNTA(#REF!)+5)</definedName>
    <definedName name="SegmentaçãodeDados_Nível">#N/A</definedName>
    <definedName name="valInícioD">#REF!</definedName>
    <definedName name="valTérmino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0" l="1" a="1"/>
  <c r="N15" i="10" s="1"/>
  <c r="N16" i="10" a="1"/>
  <c r="N16" i="10" s="1"/>
  <c r="N17" i="10" a="1"/>
  <c r="N17" i="10" s="1"/>
  <c r="N18" i="10" a="1"/>
  <c r="N18" i="10" s="1"/>
  <c r="N22" i="10" a="1"/>
  <c r="N22" i="10" s="1"/>
  <c r="N23" i="10" a="1"/>
  <c r="N23" i="10" s="1"/>
  <c r="N24" i="10" a="1"/>
  <c r="N24" i="10" s="1"/>
  <c r="N25" i="10" a="1"/>
  <c r="N25" i="10" s="1"/>
  <c r="N29" i="10" a="1"/>
  <c r="N29" i="10" s="1"/>
  <c r="N30" i="10" a="1"/>
  <c r="N30" i="10" s="1"/>
  <c r="N31" i="10" a="1"/>
  <c r="N31" i="10" s="1"/>
  <c r="N34" i="10" a="1"/>
  <c r="N34" i="10" s="1"/>
  <c r="N35" i="10" a="1"/>
  <c r="N35" i="10" s="1"/>
  <c r="N36" i="10" a="1"/>
  <c r="N36" i="10" s="1"/>
  <c r="N39" i="10" a="1"/>
  <c r="N39" i="10" s="1"/>
  <c r="N40" i="10" a="1"/>
  <c r="N40" i="10" s="1"/>
  <c r="N41" i="10" a="1"/>
  <c r="N41" i="10" s="1"/>
  <c r="N44" i="10" a="1"/>
  <c r="N44" i="10" s="1"/>
  <c r="N45" i="10" a="1"/>
  <c r="N45" i="10" s="1"/>
  <c r="N46" i="10" a="1"/>
  <c r="N46" i="10" s="1"/>
  <c r="N49" i="10" a="1"/>
  <c r="N49" i="10" s="1"/>
  <c r="N50" i="10" a="1"/>
  <c r="N50" i="10" s="1"/>
  <c r="N51" i="10" a="1"/>
  <c r="N51" i="10" s="1"/>
  <c r="N54" i="10" a="1"/>
  <c r="N54" i="10" s="1"/>
  <c r="N55" i="10" a="1"/>
  <c r="N55" i="10" s="1"/>
  <c r="N56" i="10" a="1"/>
  <c r="N56" i="10" s="1"/>
  <c r="N59" i="10" a="1"/>
  <c r="N59" i="10" s="1"/>
  <c r="N60" i="10" a="1"/>
  <c r="N60" i="10" s="1"/>
  <c r="N61" i="10" a="1"/>
  <c r="N61" i="10" s="1"/>
  <c r="N64" i="10" a="1"/>
  <c r="N64" i="10" s="1"/>
  <c r="N65" i="10" a="1"/>
  <c r="N65" i="10" s="1"/>
  <c r="N66" i="10" a="1"/>
  <c r="N66" i="10" s="1"/>
  <c r="N69" i="10" a="1"/>
  <c r="N69" i="10" s="1"/>
  <c r="N70" i="10" a="1"/>
  <c r="N70" i="10" s="1"/>
  <c r="N71" i="10" a="1"/>
  <c r="N71" i="10" s="1"/>
  <c r="N74" i="10" a="1"/>
  <c r="N74" i="10" s="1"/>
  <c r="N75" i="10" a="1"/>
  <c r="N75" i="10" s="1"/>
  <c r="N76" i="10" a="1"/>
  <c r="N76" i="10" s="1"/>
  <c r="N79" i="10" a="1"/>
  <c r="N79" i="10" s="1"/>
  <c r="N80" i="10" a="1"/>
  <c r="N80" i="10" s="1"/>
  <c r="N81" i="10" a="1"/>
  <c r="N81" i="10" s="1"/>
  <c r="N84" i="10" a="1"/>
  <c r="N84" i="10" s="1"/>
  <c r="N85" i="10" a="1"/>
  <c r="N85" i="10" s="1"/>
  <c r="N86" i="10" a="1"/>
  <c r="N86" i="10" s="1"/>
  <c r="N89" i="10" a="1"/>
  <c r="N89" i="10" s="1"/>
  <c r="N90" i="10" a="1"/>
  <c r="N90" i="10" s="1"/>
  <c r="N91" i="10" a="1"/>
  <c r="N91" i="10" s="1"/>
  <c r="N94" i="10" a="1"/>
  <c r="N94" i="10" s="1"/>
  <c r="N95" i="10" a="1"/>
  <c r="N95" i="10" s="1"/>
  <c r="N96" i="10" a="1"/>
  <c r="N96" i="10" s="1"/>
  <c r="N99" i="10" a="1"/>
  <c r="N99" i="10" s="1"/>
  <c r="N100" i="10" a="1"/>
  <c r="N100" i="10" s="1"/>
  <c r="N101" i="10" a="1"/>
  <c r="N101" i="10" s="1"/>
  <c r="N104" i="10" a="1"/>
  <c r="N104" i="10" s="1"/>
  <c r="N105" i="10" a="1"/>
  <c r="N105" i="10" s="1"/>
  <c r="N106" i="10" a="1"/>
  <c r="N106" i="10" s="1"/>
  <c r="N109" i="10" a="1"/>
  <c r="N109" i="10" s="1"/>
  <c r="N110" i="10" a="1"/>
  <c r="N110" i="10" s="1"/>
  <c r="N111" i="10" a="1"/>
  <c r="N111" i="10" s="1"/>
  <c r="N114" i="10" a="1"/>
  <c r="N114" i="10" s="1"/>
  <c r="N115" i="10" a="1"/>
  <c r="N115" i="10" s="1"/>
  <c r="N116" i="10" a="1"/>
  <c r="N116" i="10" s="1"/>
  <c r="N119" i="10" a="1"/>
  <c r="N119" i="10" s="1"/>
  <c r="N120" i="10" a="1"/>
  <c r="N120" i="10" s="1"/>
  <c r="N121" i="10" a="1"/>
  <c r="N121" i="10" s="1"/>
  <c r="N124" i="10" a="1"/>
  <c r="N124" i="10" s="1"/>
  <c r="N125" i="10" a="1"/>
  <c r="N125" i="10" s="1"/>
  <c r="N126" i="10" a="1"/>
  <c r="N126" i="10" s="1"/>
  <c r="N130" i="10" a="1"/>
  <c r="N130" i="10" s="1"/>
  <c r="N131" i="10" a="1"/>
  <c r="N131" i="10" s="1"/>
  <c r="N132" i="10" a="1"/>
  <c r="N132" i="10" s="1"/>
  <c r="N136" i="10" a="1"/>
  <c r="N136" i="10" s="1"/>
  <c r="N137" i="10" a="1"/>
  <c r="N137" i="10" s="1"/>
  <c r="N138" i="10" a="1"/>
  <c r="N138" i="10" s="1"/>
  <c r="N139" i="10" a="1"/>
  <c r="N139" i="10" s="1"/>
  <c r="N140" i="10" a="1"/>
  <c r="N140" i="10" s="1"/>
  <c r="N141" i="10" a="1"/>
  <c r="N141" i="10" s="1"/>
  <c r="O18" i="10" l="1" a="1"/>
  <c r="O18" i="10" s="1"/>
  <c r="Q18" i="10" a="1"/>
  <c r="Q18" i="10" s="1"/>
  <c r="BH280" i="10" l="1"/>
  <c r="BH279" i="10"/>
  <c r="BH278" i="10"/>
  <c r="BH277" i="10"/>
  <c r="BH276" i="10"/>
  <c r="BH275" i="10"/>
  <c r="BH274" i="10"/>
  <c r="BH273" i="10"/>
  <c r="BH272" i="10"/>
  <c r="BH271" i="10"/>
  <c r="BH270" i="10"/>
  <c r="BH269" i="10"/>
  <c r="BH268" i="10"/>
  <c r="BH267" i="10"/>
  <c r="BH266" i="10"/>
  <c r="BH265" i="10"/>
  <c r="BH264" i="10"/>
  <c r="BH263" i="10"/>
  <c r="BH262" i="10"/>
  <c r="BH261" i="10"/>
  <c r="BH260" i="10"/>
  <c r="BH259" i="10"/>
  <c r="BH258" i="10"/>
  <c r="BH257" i="10"/>
  <c r="BH256" i="10"/>
  <c r="BH255" i="10"/>
  <c r="BH254" i="10"/>
  <c r="BH253" i="10"/>
  <c r="BH252" i="10"/>
  <c r="BH251" i="10"/>
  <c r="BH250" i="10"/>
  <c r="BH249" i="10"/>
  <c r="BH248" i="10"/>
  <c r="BH247" i="10"/>
  <c r="BH246" i="10"/>
  <c r="BH141" i="10"/>
  <c r="R141" i="10" a="1"/>
  <c r="R141" i="10" s="1"/>
  <c r="Q141" i="10" a="1"/>
  <c r="Q141" i="10" s="1"/>
  <c r="O141" i="10" a="1"/>
  <c r="O141" i="10" s="1"/>
  <c r="BH140" i="10"/>
  <c r="R140" i="10" a="1"/>
  <c r="R140" i="10" s="1"/>
  <c r="Q140" i="10" a="1"/>
  <c r="Q140" i="10" s="1"/>
  <c r="O140" i="10" a="1"/>
  <c r="O140" i="10" s="1"/>
  <c r="BH139" i="10"/>
  <c r="R139" i="10" a="1"/>
  <c r="R139" i="10" s="1"/>
  <c r="Q139" i="10" a="1"/>
  <c r="Q139" i="10" s="1"/>
  <c r="O139" i="10" a="1"/>
  <c r="O139" i="10" s="1"/>
  <c r="BH138" i="10"/>
  <c r="R138" i="10" a="1"/>
  <c r="R138" i="10" s="1"/>
  <c r="Q138" i="10" a="1"/>
  <c r="Q138" i="10" s="1"/>
  <c r="O138" i="10" a="1"/>
  <c r="O138" i="10" s="1"/>
  <c r="BH137" i="10"/>
  <c r="R137" i="10" a="1"/>
  <c r="R137" i="10" s="1"/>
  <c r="Q137" i="10" a="1"/>
  <c r="Q137" i="10" s="1"/>
  <c r="O137" i="10" a="1"/>
  <c r="O137" i="10" s="1"/>
  <c r="BH136" i="10"/>
  <c r="R136" i="10" a="1"/>
  <c r="R136" i="10" s="1"/>
  <c r="Q136" i="10" a="1"/>
  <c r="Q136" i="10" s="1"/>
  <c r="O136" i="10" a="1"/>
  <c r="O136" i="10" s="1"/>
  <c r="BH132" i="10"/>
  <c r="R132" i="10" a="1"/>
  <c r="R132" i="10" s="1"/>
  <c r="Q132" i="10" a="1"/>
  <c r="Q132" i="10" s="1"/>
  <c r="O132" i="10" a="1"/>
  <c r="O132" i="10" s="1"/>
  <c r="BH131" i="10"/>
  <c r="R131" i="10" a="1"/>
  <c r="R131" i="10" s="1"/>
  <c r="Q131" i="10" a="1"/>
  <c r="Q131" i="10" s="1"/>
  <c r="O131" i="10" a="1"/>
  <c r="O131" i="10" s="1"/>
  <c r="BH130" i="10"/>
  <c r="R130" i="10" a="1"/>
  <c r="R130" i="10" s="1"/>
  <c r="Q130" i="10" a="1"/>
  <c r="Q130" i="10" s="1"/>
  <c r="O130" i="10" a="1"/>
  <c r="O130" i="10" s="1"/>
  <c r="BH91" i="10"/>
  <c r="R91" i="10" a="1"/>
  <c r="R91" i="10" s="1"/>
  <c r="Q91" i="10" a="1"/>
  <c r="Q91" i="10" s="1"/>
  <c r="O91" i="10" a="1"/>
  <c r="O91" i="10" s="1"/>
  <c r="BH90" i="10"/>
  <c r="R90" i="10" a="1"/>
  <c r="R90" i="10" s="1"/>
  <c r="Q90" i="10" a="1"/>
  <c r="Q90" i="10" s="1"/>
  <c r="O90" i="10" a="1"/>
  <c r="O90" i="10" s="1"/>
  <c r="BH89" i="10"/>
  <c r="R89" i="10" a="1"/>
  <c r="R89" i="10" s="1"/>
  <c r="Q89" i="10" a="1"/>
  <c r="Q89" i="10" s="1"/>
  <c r="O89" i="10" a="1"/>
  <c r="O89" i="10" s="1"/>
  <c r="BH81" i="10"/>
  <c r="R81" i="10" a="1"/>
  <c r="R81" i="10" s="1"/>
  <c r="Q81" i="10" a="1"/>
  <c r="Q81" i="10" s="1"/>
  <c r="O81" i="10" a="1"/>
  <c r="O81" i="10" s="1"/>
  <c r="BH80" i="10"/>
  <c r="R80" i="10" a="1"/>
  <c r="R80" i="10" s="1"/>
  <c r="Q80" i="10" a="1"/>
  <c r="Q80" i="10" s="1"/>
  <c r="O80" i="10" a="1"/>
  <c r="O80" i="10" s="1"/>
  <c r="BH79" i="10"/>
  <c r="R79" i="10" a="1"/>
  <c r="R79" i="10" s="1"/>
  <c r="Q79" i="10" a="1"/>
  <c r="Q79" i="10" s="1"/>
  <c r="O79" i="10" a="1"/>
  <c r="O79" i="10" s="1"/>
  <c r="L78" i="10"/>
  <c r="K78" i="10"/>
  <c r="K103" i="10" s="1"/>
  <c r="K93" i="10" s="1"/>
  <c r="K92" i="10" s="1"/>
  <c r="J78" i="10"/>
  <c r="I78" i="10"/>
  <c r="I103" i="10" s="1"/>
  <c r="I93" i="10" s="1"/>
  <c r="BH76" i="10"/>
  <c r="R76" i="10" a="1"/>
  <c r="R76" i="10" s="1"/>
  <c r="Q76" i="10" a="1"/>
  <c r="Q76" i="10" s="1"/>
  <c r="O76" i="10" a="1"/>
  <c r="O76" i="10" s="1"/>
  <c r="BH75" i="10"/>
  <c r="R75" i="10" a="1"/>
  <c r="R75" i="10" s="1"/>
  <c r="Q75" i="10" a="1"/>
  <c r="Q75" i="10" s="1"/>
  <c r="O75" i="10" a="1"/>
  <c r="O75" i="10" s="1"/>
  <c r="BH74" i="10"/>
  <c r="R74" i="10" a="1"/>
  <c r="R74" i="10" s="1"/>
  <c r="Q74" i="10" a="1"/>
  <c r="Q74" i="10" s="1"/>
  <c r="O74" i="10" a="1"/>
  <c r="O74" i="10" s="1"/>
  <c r="BH71" i="10"/>
  <c r="R71" i="10" a="1"/>
  <c r="R71" i="10" s="1"/>
  <c r="Q71" i="10" a="1"/>
  <c r="Q71" i="10" s="1"/>
  <c r="O71" i="10" a="1"/>
  <c r="O71" i="10" s="1"/>
  <c r="BH70" i="10"/>
  <c r="R70" i="10" a="1"/>
  <c r="R70" i="10" s="1"/>
  <c r="Q70" i="10" a="1"/>
  <c r="Q70" i="10" s="1"/>
  <c r="O70" i="10" a="1"/>
  <c r="O70" i="10" s="1"/>
  <c r="BH69" i="10"/>
  <c r="R69" i="10" a="1"/>
  <c r="R69" i="10" s="1"/>
  <c r="Q69" i="10" a="1"/>
  <c r="Q69" i="10" s="1"/>
  <c r="O69" i="10" a="1"/>
  <c r="O69" i="10" s="1"/>
  <c r="BH66" i="10"/>
  <c r="R66" i="10" a="1"/>
  <c r="R66" i="10" s="1"/>
  <c r="Q66" i="10" a="1"/>
  <c r="Q66" i="10" s="1"/>
  <c r="O66" i="10" a="1"/>
  <c r="O66" i="10" s="1"/>
  <c r="BH65" i="10"/>
  <c r="R65" i="10" a="1"/>
  <c r="R65" i="10" s="1"/>
  <c r="Q65" i="10" a="1"/>
  <c r="Q65" i="10" s="1"/>
  <c r="O65" i="10" a="1"/>
  <c r="O65" i="10" s="1"/>
  <c r="BH64" i="10"/>
  <c r="R64" i="10" a="1"/>
  <c r="R64" i="10" s="1"/>
  <c r="Q64" i="10" a="1"/>
  <c r="Q64" i="10" s="1"/>
  <c r="O64" i="10" a="1"/>
  <c r="O64" i="10" s="1"/>
  <c r="BH61" i="10"/>
  <c r="R61" i="10" a="1"/>
  <c r="R61" i="10" s="1"/>
  <c r="Q61" i="10" a="1"/>
  <c r="Q61" i="10" s="1"/>
  <c r="O61" i="10" a="1"/>
  <c r="O61" i="10" s="1"/>
  <c r="BH60" i="10"/>
  <c r="R60" i="10" a="1"/>
  <c r="R60" i="10" s="1"/>
  <c r="Q60" i="10" a="1"/>
  <c r="Q60" i="10" s="1"/>
  <c r="O60" i="10" a="1"/>
  <c r="O60" i="10" s="1"/>
  <c r="BH59" i="10"/>
  <c r="R59" i="10" a="1"/>
  <c r="R59" i="10" s="1"/>
  <c r="Q59" i="10" a="1"/>
  <c r="Q59" i="10" s="1"/>
  <c r="O59" i="10" a="1"/>
  <c r="O59" i="10" s="1"/>
  <c r="BH56" i="10"/>
  <c r="R56" i="10" a="1"/>
  <c r="R56" i="10" s="1"/>
  <c r="Q56" i="10" a="1"/>
  <c r="Q56" i="10" s="1"/>
  <c r="O56" i="10" a="1"/>
  <c r="O56" i="10" s="1"/>
  <c r="BH55" i="10"/>
  <c r="R55" i="10" a="1"/>
  <c r="R55" i="10" s="1"/>
  <c r="Q55" i="10" a="1"/>
  <c r="Q55" i="10" s="1"/>
  <c r="O55" i="10" a="1"/>
  <c r="O55" i="10" s="1"/>
  <c r="BH54" i="10"/>
  <c r="R54" i="10" a="1"/>
  <c r="R54" i="10" s="1"/>
  <c r="Q54" i="10" a="1"/>
  <c r="Q54" i="10" s="1"/>
  <c r="O54" i="10" a="1"/>
  <c r="O54" i="10" s="1"/>
  <c r="BH51" i="10"/>
  <c r="R51" i="10" a="1"/>
  <c r="R51" i="10" s="1"/>
  <c r="Q51" i="10" a="1"/>
  <c r="Q51" i="10" s="1"/>
  <c r="O51" i="10" a="1"/>
  <c r="O51" i="10" s="1"/>
  <c r="BH50" i="10"/>
  <c r="R50" i="10" a="1"/>
  <c r="R50" i="10" s="1"/>
  <c r="Q50" i="10" a="1"/>
  <c r="Q50" i="10" s="1"/>
  <c r="O50" i="10" a="1"/>
  <c r="O50" i="10" s="1"/>
  <c r="BH49" i="10"/>
  <c r="R49" i="10" a="1"/>
  <c r="R49" i="10" s="1"/>
  <c r="Q49" i="10" a="1"/>
  <c r="Q49" i="10" s="1"/>
  <c r="O49" i="10" a="1"/>
  <c r="O49" i="10" s="1"/>
  <c r="BH46" i="10"/>
  <c r="R46" i="10" a="1"/>
  <c r="R46" i="10" s="1"/>
  <c r="Q46" i="10" a="1"/>
  <c r="Q46" i="10" s="1"/>
  <c r="O46" i="10" a="1"/>
  <c r="O46" i="10" s="1"/>
  <c r="BH45" i="10"/>
  <c r="R45" i="10" a="1"/>
  <c r="R45" i="10" s="1"/>
  <c r="Q45" i="10" a="1"/>
  <c r="Q45" i="10" s="1"/>
  <c r="O45" i="10" a="1"/>
  <c r="O45" i="10" s="1"/>
  <c r="BH44" i="10"/>
  <c r="R44" i="10" a="1"/>
  <c r="R44" i="10" s="1"/>
  <c r="Q44" i="10" a="1"/>
  <c r="Q44" i="10" s="1"/>
  <c r="O44" i="10" a="1"/>
  <c r="O44" i="10" s="1"/>
  <c r="BH41" i="10"/>
  <c r="R41" i="10" a="1"/>
  <c r="R41" i="10" s="1"/>
  <c r="Q41" i="10" a="1"/>
  <c r="Q41" i="10" s="1"/>
  <c r="O41" i="10" a="1"/>
  <c r="O41" i="10" s="1"/>
  <c r="BH40" i="10"/>
  <c r="R40" i="10" a="1"/>
  <c r="R40" i="10" s="1"/>
  <c r="Q40" i="10" a="1"/>
  <c r="Q40" i="10" s="1"/>
  <c r="O40" i="10" a="1"/>
  <c r="O40" i="10" s="1"/>
  <c r="BH39" i="10"/>
  <c r="R39" i="10" a="1"/>
  <c r="R39" i="10" s="1"/>
  <c r="Q39" i="10" a="1"/>
  <c r="Q39" i="10" s="1"/>
  <c r="O39" i="10" a="1"/>
  <c r="O39" i="10" s="1"/>
  <c r="BH36" i="10"/>
  <c r="R36" i="10" a="1"/>
  <c r="R36" i="10" s="1"/>
  <c r="Q36" i="10" a="1"/>
  <c r="Q36" i="10" s="1"/>
  <c r="O36" i="10" a="1"/>
  <c r="O36" i="10" s="1"/>
  <c r="BH35" i="10"/>
  <c r="R35" i="10" a="1"/>
  <c r="R35" i="10" s="1"/>
  <c r="Q35" i="10" a="1"/>
  <c r="Q35" i="10" s="1"/>
  <c r="O35" i="10" a="1"/>
  <c r="O35" i="10" s="1"/>
  <c r="BH34" i="10"/>
  <c r="R34" i="10" a="1"/>
  <c r="R34" i="10" s="1"/>
  <c r="Q34" i="10" a="1"/>
  <c r="Q34" i="10" s="1"/>
  <c r="O34" i="10" a="1"/>
  <c r="O34" i="10" s="1"/>
  <c r="BH126" i="10"/>
  <c r="R126" i="10" a="1"/>
  <c r="R126" i="10" s="1"/>
  <c r="Q126" i="10" a="1"/>
  <c r="Q126" i="10" s="1"/>
  <c r="O126" i="10" a="1"/>
  <c r="O126" i="10" s="1"/>
  <c r="BH125" i="10"/>
  <c r="R125" i="10" a="1"/>
  <c r="R125" i="10" s="1"/>
  <c r="Q125" i="10" a="1"/>
  <c r="Q125" i="10" s="1"/>
  <c r="O125" i="10" a="1"/>
  <c r="O125" i="10" s="1"/>
  <c r="BH124" i="10"/>
  <c r="R124" i="10" a="1"/>
  <c r="R124" i="10" s="1"/>
  <c r="Q124" i="10" a="1"/>
  <c r="Q124" i="10" s="1"/>
  <c r="O124" i="10" a="1"/>
  <c r="O124" i="10" s="1"/>
  <c r="L123" i="10"/>
  <c r="K123" i="10"/>
  <c r="J123" i="10"/>
  <c r="J122" i="10" s="1"/>
  <c r="J38" i="10" s="1"/>
  <c r="J108" i="10" s="1"/>
  <c r="I123" i="10"/>
  <c r="I122" i="10" s="1"/>
  <c r="I38" i="10" s="1"/>
  <c r="I108" i="10" s="1"/>
  <c r="BH121" i="10"/>
  <c r="R121" i="10" a="1"/>
  <c r="R121" i="10" s="1"/>
  <c r="Q121" i="10" a="1"/>
  <c r="Q121" i="10" s="1"/>
  <c r="O121" i="10" a="1"/>
  <c r="O121" i="10" s="1"/>
  <c r="BH120" i="10"/>
  <c r="R120" i="10" a="1"/>
  <c r="R120" i="10" s="1"/>
  <c r="Q120" i="10" a="1"/>
  <c r="Q120" i="10" s="1"/>
  <c r="O120" i="10" a="1"/>
  <c r="O120" i="10" s="1"/>
  <c r="BH119" i="10"/>
  <c r="R119" i="10" a="1"/>
  <c r="R119" i="10" s="1"/>
  <c r="Q119" i="10" a="1"/>
  <c r="Q119" i="10" s="1"/>
  <c r="O119" i="10" a="1"/>
  <c r="O119" i="10" s="1"/>
  <c r="BH116" i="10"/>
  <c r="R116" i="10" a="1"/>
  <c r="R116" i="10" s="1"/>
  <c r="Q116" i="10" a="1"/>
  <c r="Q116" i="10" s="1"/>
  <c r="O116" i="10" a="1"/>
  <c r="O116" i="10" s="1"/>
  <c r="BH115" i="10"/>
  <c r="R115" i="10" a="1"/>
  <c r="R115" i="10" s="1"/>
  <c r="Q115" i="10" a="1"/>
  <c r="Q115" i="10" s="1"/>
  <c r="O115" i="10" a="1"/>
  <c r="O115" i="10" s="1"/>
  <c r="BH114" i="10"/>
  <c r="R114" i="10" a="1"/>
  <c r="R114" i="10" s="1"/>
  <c r="Q114" i="10" a="1"/>
  <c r="Q114" i="10" s="1"/>
  <c r="O114" i="10" a="1"/>
  <c r="O114" i="10" s="1"/>
  <c r="BH111" i="10"/>
  <c r="R111" i="10" a="1"/>
  <c r="R111" i="10" s="1"/>
  <c r="Q111" i="10" a="1"/>
  <c r="Q111" i="10" s="1"/>
  <c r="O111" i="10" a="1"/>
  <c r="O111" i="10" s="1"/>
  <c r="BH110" i="10"/>
  <c r="R110" i="10" a="1"/>
  <c r="R110" i="10" s="1"/>
  <c r="Q110" i="10" a="1"/>
  <c r="Q110" i="10" s="1"/>
  <c r="O110" i="10" a="1"/>
  <c r="O110" i="10" s="1"/>
  <c r="BH109" i="10"/>
  <c r="R109" i="10" a="1"/>
  <c r="R109" i="10" s="1"/>
  <c r="Q109" i="10" a="1"/>
  <c r="Q109" i="10" s="1"/>
  <c r="O109" i="10" a="1"/>
  <c r="O109" i="10" s="1"/>
  <c r="BH106" i="10"/>
  <c r="R106" i="10" a="1"/>
  <c r="R106" i="10" s="1"/>
  <c r="Q106" i="10" a="1"/>
  <c r="Q106" i="10" s="1"/>
  <c r="O106" i="10" a="1"/>
  <c r="O106" i="10" s="1"/>
  <c r="BH105" i="10"/>
  <c r="R105" i="10" a="1"/>
  <c r="R105" i="10" s="1"/>
  <c r="Q105" i="10" a="1"/>
  <c r="Q105" i="10" s="1"/>
  <c r="O105" i="10" a="1"/>
  <c r="O105" i="10" s="1"/>
  <c r="BH104" i="10"/>
  <c r="R104" i="10" a="1"/>
  <c r="R104" i="10" s="1"/>
  <c r="Q104" i="10" a="1"/>
  <c r="Q104" i="10" s="1"/>
  <c r="O104" i="10" a="1"/>
  <c r="O104" i="10" s="1"/>
  <c r="J103" i="10"/>
  <c r="J93" i="10" s="1"/>
  <c r="BH101" i="10"/>
  <c r="R101" i="10" a="1"/>
  <c r="R101" i="10" s="1"/>
  <c r="Q101" i="10" a="1"/>
  <c r="Q101" i="10" s="1"/>
  <c r="O101" i="10" a="1"/>
  <c r="O101" i="10" s="1"/>
  <c r="BH100" i="10"/>
  <c r="R100" i="10" a="1"/>
  <c r="R100" i="10" s="1"/>
  <c r="Q100" i="10" a="1"/>
  <c r="Q100" i="10" s="1"/>
  <c r="O100" i="10" a="1"/>
  <c r="O100" i="10" s="1"/>
  <c r="BH99" i="10"/>
  <c r="R99" i="10" a="1"/>
  <c r="R99" i="10" s="1"/>
  <c r="Q99" i="10" a="1"/>
  <c r="Q99" i="10" s="1"/>
  <c r="O99" i="10" a="1"/>
  <c r="O99" i="10" s="1"/>
  <c r="BH96" i="10"/>
  <c r="R96" i="10" a="1"/>
  <c r="R96" i="10" s="1"/>
  <c r="Q96" i="10" a="1"/>
  <c r="Q96" i="10" s="1"/>
  <c r="O96" i="10" a="1"/>
  <c r="O96" i="10" s="1"/>
  <c r="BH95" i="10"/>
  <c r="R95" i="10" a="1"/>
  <c r="R95" i="10" s="1"/>
  <c r="Q95" i="10" a="1"/>
  <c r="Q95" i="10" s="1"/>
  <c r="O95" i="10" a="1"/>
  <c r="O95" i="10" s="1"/>
  <c r="BH94" i="10"/>
  <c r="R94" i="10" a="1"/>
  <c r="R94" i="10" s="1"/>
  <c r="Q94" i="10" a="1"/>
  <c r="Q94" i="10" s="1"/>
  <c r="O94" i="10" a="1"/>
  <c r="O94" i="10" s="1"/>
  <c r="BH86" i="10"/>
  <c r="R86" i="10" a="1"/>
  <c r="R86" i="10" s="1"/>
  <c r="Q86" i="10" a="1"/>
  <c r="Q86" i="10" s="1"/>
  <c r="O86" i="10" a="1"/>
  <c r="O86" i="10" s="1"/>
  <c r="BH85" i="10"/>
  <c r="R85" i="10" a="1"/>
  <c r="R85" i="10" s="1"/>
  <c r="Q85" i="10" a="1"/>
  <c r="Q85" i="10" s="1"/>
  <c r="O85" i="10" a="1"/>
  <c r="O85" i="10" s="1"/>
  <c r="BH84" i="10"/>
  <c r="R84" i="10" a="1"/>
  <c r="R84" i="10" s="1"/>
  <c r="Q84" i="10" a="1"/>
  <c r="Q84" i="10" s="1"/>
  <c r="O84" i="10" a="1"/>
  <c r="O84" i="10" s="1"/>
  <c r="BH31" i="10"/>
  <c r="R31" i="10" a="1"/>
  <c r="R31" i="10" s="1"/>
  <c r="Q31" i="10" a="1"/>
  <c r="Q31" i="10" s="1"/>
  <c r="O31" i="10" a="1"/>
  <c r="O31" i="10" s="1"/>
  <c r="BH30" i="10"/>
  <c r="R30" i="10" a="1"/>
  <c r="R30" i="10" s="1"/>
  <c r="Q30" i="10" a="1"/>
  <c r="Q30" i="10" s="1"/>
  <c r="O30" i="10" a="1"/>
  <c r="O30" i="10" s="1"/>
  <c r="BH29" i="10"/>
  <c r="R29" i="10" a="1"/>
  <c r="R29" i="10" s="1"/>
  <c r="Q29" i="10" a="1"/>
  <c r="Q29" i="10" s="1"/>
  <c r="O29" i="10" a="1"/>
  <c r="O29" i="10" s="1"/>
  <c r="BH25" i="10"/>
  <c r="R25" i="10" a="1"/>
  <c r="R25" i="10" s="1"/>
  <c r="Q25" i="10" a="1"/>
  <c r="Q25" i="10" s="1"/>
  <c r="O25" i="10" a="1"/>
  <c r="O25" i="10" s="1"/>
  <c r="BH24" i="10"/>
  <c r="R24" i="10" a="1"/>
  <c r="R24" i="10" s="1"/>
  <c r="Q24" i="10" a="1"/>
  <c r="Q24" i="10" s="1"/>
  <c r="O24" i="10" a="1"/>
  <c r="O24" i="10" s="1"/>
  <c r="BH23" i="10"/>
  <c r="R23" i="10" a="1"/>
  <c r="R23" i="10" s="1"/>
  <c r="Q23" i="10" a="1"/>
  <c r="Q23" i="10" s="1"/>
  <c r="O23" i="10" a="1"/>
  <c r="O23" i="10" s="1"/>
  <c r="BH22" i="10"/>
  <c r="R22" i="10" a="1"/>
  <c r="R22" i="10" s="1"/>
  <c r="Q22" i="10" a="1"/>
  <c r="Q22" i="10" s="1"/>
  <c r="O22" i="10" a="1"/>
  <c r="O22" i="10" s="1"/>
  <c r="L21" i="10"/>
  <c r="K21" i="10"/>
  <c r="K20" i="10" s="1"/>
  <c r="K19" i="10" s="1"/>
  <c r="I21" i="10"/>
  <c r="BH18" i="10"/>
  <c r="R18" i="10" a="1"/>
  <c r="R18" i="10" s="1"/>
  <c r="BH17" i="10"/>
  <c r="R17" i="10" a="1"/>
  <c r="R17" i="10" s="1"/>
  <c r="Q17" i="10" a="1"/>
  <c r="Q17" i="10" s="1"/>
  <c r="O17" i="10" a="1"/>
  <c r="O17" i="10" s="1"/>
  <c r="BH16" i="10"/>
  <c r="R16" i="10" a="1"/>
  <c r="R16" i="10" s="1"/>
  <c r="Q16" i="10" a="1"/>
  <c r="Q16" i="10" s="1"/>
  <c r="O16" i="10" a="1"/>
  <c r="O16" i="10" s="1"/>
  <c r="BH15" i="10"/>
  <c r="R15" i="10" a="1"/>
  <c r="R15" i="10" s="1"/>
  <c r="Q15" i="10" a="1"/>
  <c r="Q15" i="10" s="1"/>
  <c r="O15" i="10" a="1"/>
  <c r="O15" i="10" s="1"/>
  <c r="BF7" i="10"/>
  <c r="BG22" i="10" s="1" a="1"/>
  <c r="BG22" i="10" s="1"/>
  <c r="BE7" i="10"/>
  <c r="BF25" i="10" s="1" a="1"/>
  <c r="BF25" i="10" s="1"/>
  <c r="BD7" i="10"/>
  <c r="BC7" i="10"/>
  <c r="BD99" i="10" s="1" a="1"/>
  <c r="BD99" i="10" s="1"/>
  <c r="BB7" i="10"/>
  <c r="BC104" i="10" s="1" a="1"/>
  <c r="BC104" i="10" s="1"/>
  <c r="BA7" i="10"/>
  <c r="BB17" i="10" s="1" a="1"/>
  <c r="BB17" i="10" s="1"/>
  <c r="AZ7" i="10"/>
  <c r="BA22" i="10" s="1" a="1"/>
  <c r="BA22" i="10" s="1"/>
  <c r="AY7" i="10"/>
  <c r="AZ22" i="10" s="1" a="1"/>
  <c r="AZ22" i="10" s="1"/>
  <c r="AX7" i="10"/>
  <c r="AY18" i="10" s="1" a="1"/>
  <c r="AY18" i="10" s="1"/>
  <c r="AW7" i="10"/>
  <c r="AX18" i="10" s="1" a="1"/>
  <c r="AX18" i="10" s="1"/>
  <c r="AV7" i="10"/>
  <c r="AW86" i="10" s="1" a="1"/>
  <c r="AW86" i="10" s="1"/>
  <c r="AU7" i="10"/>
  <c r="AV29" i="10" s="1" a="1"/>
  <c r="AV29" i="10" s="1"/>
  <c r="AT7" i="10"/>
  <c r="AS7" i="10"/>
  <c r="AT16" i="10" s="1" a="1"/>
  <c r="AT16" i="10" s="1"/>
  <c r="AR7" i="10"/>
  <c r="AS16" i="10" s="1" a="1"/>
  <c r="AS16" i="10" s="1"/>
  <c r="AQ7" i="10"/>
  <c r="AR31" i="10" s="1" a="1"/>
  <c r="AR31" i="10" s="1"/>
  <c r="AP7" i="10"/>
  <c r="AQ101" i="10" s="1" a="1"/>
  <c r="AQ101" i="10" s="1"/>
  <c r="AO7" i="10"/>
  <c r="AP17" i="10" s="1" a="1"/>
  <c r="AP17" i="10" s="1"/>
  <c r="AN7" i="10"/>
  <c r="AO22" i="10" s="1" a="1"/>
  <c r="AO22" i="10" s="1"/>
  <c r="AM7" i="10"/>
  <c r="AN25" i="10" s="1" a="1"/>
  <c r="AN25" i="10" s="1"/>
  <c r="AL7" i="10"/>
  <c r="AM105" i="10" s="1" a="1"/>
  <c r="AM105" i="10" s="1"/>
  <c r="AK7" i="10"/>
  <c r="AJ7" i="10"/>
  <c r="AK17" i="10" s="1" a="1"/>
  <c r="AK17" i="10" s="1"/>
  <c r="AI7" i="10"/>
  <c r="AJ17" i="10" s="1" a="1"/>
  <c r="AJ17" i="10" s="1"/>
  <c r="AH7" i="10"/>
  <c r="AG7" i="10"/>
  <c r="AH23" i="10" s="1" a="1"/>
  <c r="AH23" i="10" s="1"/>
  <c r="AF7" i="10"/>
  <c r="AG22" i="10" s="1" a="1"/>
  <c r="AG22" i="10" s="1"/>
  <c r="AE7" i="10"/>
  <c r="AF22" i="10" s="1" a="1"/>
  <c r="AF22" i="10" s="1"/>
  <c r="AD7" i="10"/>
  <c r="AE24" i="10" s="1" a="1"/>
  <c r="AE24" i="10" s="1"/>
  <c r="AC7" i="10"/>
  <c r="AB7" i="10"/>
  <c r="AC29" i="10" s="1" a="1"/>
  <c r="AC29" i="10" s="1"/>
  <c r="AA7" i="10"/>
  <c r="AB16" i="10" s="1" a="1"/>
  <c r="AB16" i="10" s="1"/>
  <c r="Z7" i="10"/>
  <c r="AA139" i="10" s="1" a="1"/>
  <c r="AA139" i="10" s="1"/>
  <c r="Y7" i="10"/>
  <c r="Z15" i="10" s="1" a="1"/>
  <c r="Z15" i="10" s="1"/>
  <c r="X7" i="10"/>
  <c r="Y15" i="10" s="1" a="1"/>
  <c r="Y15" i="10" s="1"/>
  <c r="W7" i="10"/>
  <c r="V7" i="10"/>
  <c r="W31" i="10" s="1" a="1"/>
  <c r="W31" i="10" s="1"/>
  <c r="U7" i="10"/>
  <c r="V16" i="10" s="1" a="1"/>
  <c r="V16" i="10" s="1"/>
  <c r="T7" i="10"/>
  <c r="U18" i="10" s="1" a="1"/>
  <c r="U18" i="10" s="1"/>
  <c r="S7" i="10"/>
  <c r="T30" i="10" s="1" a="1"/>
  <c r="T30" i="10" s="1"/>
  <c r="R7" i="10"/>
  <c r="N78" i="10" l="1" a="1"/>
  <c r="N78" i="10" s="1"/>
  <c r="O78" i="10" s="1" a="1"/>
  <c r="O78" i="10" s="1"/>
  <c r="N123" i="10" a="1"/>
  <c r="N123" i="10" s="1"/>
  <c r="O123" i="10" s="1" a="1"/>
  <c r="O123" i="10" s="1"/>
  <c r="L122" i="10"/>
  <c r="L103" i="10"/>
  <c r="N103" i="10" s="1" a="1"/>
  <c r="N103" i="10" s="1"/>
  <c r="L20" i="10"/>
  <c r="BH108" i="10"/>
  <c r="J107" i="10"/>
  <c r="K102" i="10"/>
  <c r="I92" i="10"/>
  <c r="J92" i="10"/>
  <c r="I102" i="10"/>
  <c r="J102" i="10"/>
  <c r="K77" i="10"/>
  <c r="I37" i="10"/>
  <c r="I58" i="10" s="1"/>
  <c r="I57" i="10" s="1"/>
  <c r="S31" i="10" a="1"/>
  <c r="S31" i="10" s="1"/>
  <c r="BD18" i="10" a="1"/>
  <c r="BD18" i="10" s="1"/>
  <c r="U16" i="10" a="1"/>
  <c r="U16" i="10" s="1"/>
  <c r="AR84" i="10" a="1"/>
  <c r="AR84" i="10" s="1"/>
  <c r="AY16" i="10" a="1"/>
  <c r="AY16" i="10" s="1"/>
  <c r="V15" i="10" a="1"/>
  <c r="V15" i="10" s="1"/>
  <c r="BE18" i="10" a="1"/>
  <c r="BE18" i="10" s="1"/>
  <c r="AE15" i="10" a="1"/>
  <c r="AE15" i="10" s="1"/>
  <c r="AH15" i="10" a="1"/>
  <c r="AH15" i="10" s="1"/>
  <c r="AP22" i="10" a="1"/>
  <c r="AP22" i="10" s="1"/>
  <c r="AQ15" i="10" a="1"/>
  <c r="AQ15" i="10" s="1"/>
  <c r="BC15" i="10" a="1"/>
  <c r="BC15" i="10" s="1"/>
  <c r="S17" i="10" a="1"/>
  <c r="S17" i="10" s="1"/>
  <c r="BC22" i="10" a="1"/>
  <c r="BC22" i="10" s="1"/>
  <c r="X17" i="10" a="1"/>
  <c r="X17" i="10" s="1"/>
  <c r="U25" i="10" a="1"/>
  <c r="U25" i="10" s="1"/>
  <c r="AE17" i="10" a="1"/>
  <c r="AE17" i="10" s="1"/>
  <c r="BC45" i="10" a="1"/>
  <c r="BC45" i="10" s="1"/>
  <c r="BD84" i="10" a="1"/>
  <c r="BD84" i="10" s="1"/>
  <c r="AA17" i="10" a="1"/>
  <c r="AA17" i="10" s="1"/>
  <c r="X137" i="10" a="1"/>
  <c r="X137" i="10" s="1"/>
  <c r="AR15" i="10" a="1"/>
  <c r="AR15" i="10" s="1"/>
  <c r="BE16" i="10" a="1"/>
  <c r="BE16" i="10" s="1"/>
  <c r="AM17" i="10" a="1"/>
  <c r="AM17" i="10" s="1"/>
  <c r="AY25" i="10" a="1"/>
  <c r="AY25" i="10" s="1"/>
  <c r="AZ16" i="10" a="1"/>
  <c r="AZ16" i="10" s="1"/>
  <c r="AZ15" i="10" a="1"/>
  <c r="AZ15" i="10" s="1"/>
  <c r="AA16" i="10" a="1"/>
  <c r="AA16" i="10" s="1"/>
  <c r="T18" i="10" a="1"/>
  <c r="T18" i="10" s="1"/>
  <c r="AZ25" i="10" a="1"/>
  <c r="AZ25" i="10" s="1"/>
  <c r="BC31" i="10" a="1"/>
  <c r="BC31" i="10" s="1"/>
  <c r="BD110" i="10" a="1"/>
  <c r="BD110" i="10" s="1"/>
  <c r="AA116" i="10" a="1"/>
  <c r="AA116" i="10" s="1"/>
  <c r="AA29" i="10" a="1"/>
  <c r="AA29" i="10" s="1"/>
  <c r="BF16" i="10" a="1"/>
  <c r="BF16" i="10" s="1"/>
  <c r="AQ17" i="10" a="1"/>
  <c r="AQ17" i="10" s="1"/>
  <c r="AA24" i="10" a="1"/>
  <c r="AA24" i="10" s="1"/>
  <c r="BG96" i="10" a="1"/>
  <c r="BG96" i="10" s="1"/>
  <c r="AY116" i="10" a="1"/>
  <c r="AY116" i="10" s="1"/>
  <c r="AS17" i="10" a="1"/>
  <c r="AS17" i="10" s="1"/>
  <c r="AA18" i="10" a="1"/>
  <c r="AA18" i="10" s="1"/>
  <c r="AM24" i="10" a="1"/>
  <c r="AM24" i="10" s="1"/>
  <c r="AQ104" i="10" a="1"/>
  <c r="AQ104" i="10" s="1"/>
  <c r="AA114" i="10" a="1"/>
  <c r="AA114" i="10" s="1"/>
  <c r="BF120" i="10" a="1"/>
  <c r="BF120" i="10" s="1"/>
  <c r="AM29" i="10" a="1"/>
  <c r="AM29" i="10" s="1"/>
  <c r="BD15" i="10" a="1"/>
  <c r="BD15" i="10" s="1"/>
  <c r="AG16" i="10" a="1"/>
  <c r="AG16" i="10" s="1"/>
  <c r="AY17" i="10" a="1"/>
  <c r="AY17" i="10" s="1"/>
  <c r="AG18" i="10" a="1"/>
  <c r="AG18" i="10" s="1"/>
  <c r="V23" i="10" a="1"/>
  <c r="V23" i="10" s="1"/>
  <c r="AV24" i="10" a="1"/>
  <c r="AV24" i="10" s="1"/>
  <c r="AE30" i="10" a="1"/>
  <c r="AE30" i="10" s="1"/>
  <c r="AJ85" i="10" a="1"/>
  <c r="AJ85" i="10" s="1"/>
  <c r="AE124" i="10" a="1"/>
  <c r="AE124" i="10" s="1"/>
  <c r="S15" i="10" a="1"/>
  <c r="S15" i="10" s="1"/>
  <c r="BF15" i="10" a="1"/>
  <c r="BF15" i="10" s="1"/>
  <c r="AM16" i="10" a="1"/>
  <c r="AM16" i="10" s="1"/>
  <c r="AM18" i="10" a="1"/>
  <c r="AM18" i="10" s="1"/>
  <c r="W23" i="10" a="1"/>
  <c r="W23" i="10" s="1"/>
  <c r="BE24" i="10" a="1"/>
  <c r="BE24" i="10" s="1"/>
  <c r="AQ30" i="10" a="1"/>
  <c r="AQ30" i="10" s="1"/>
  <c r="BC17" i="10" a="1"/>
  <c r="BC17" i="10" s="1"/>
  <c r="AG23" i="10" a="1"/>
  <c r="AG23" i="10" s="1"/>
  <c r="BF24" i="10" a="1"/>
  <c r="BF24" i="10" s="1"/>
  <c r="AY30" i="10" a="1"/>
  <c r="AY30" i="10" s="1"/>
  <c r="T15" i="10" a="1"/>
  <c r="T15" i="10" s="1"/>
  <c r="BE17" i="10" a="1"/>
  <c r="BE17" i="10" s="1"/>
  <c r="AM23" i="10" a="1"/>
  <c r="AM23" i="10" s="1"/>
  <c r="BA23" i="10" a="1"/>
  <c r="BA23" i="10" s="1"/>
  <c r="W115" i="10" a="1"/>
  <c r="W115" i="10" s="1"/>
  <c r="I20" i="10"/>
  <c r="I19" i="10" s="1"/>
  <c r="I107" i="10"/>
  <c r="R78" i="10"/>
  <c r="Q78" i="10"/>
  <c r="Q103" i="10" s="1"/>
  <c r="Q93" i="10" s="1"/>
  <c r="R103" i="10"/>
  <c r="R93" i="10" s="1"/>
  <c r="BH122" i="10"/>
  <c r="Q123" i="10"/>
  <c r="BH103" i="10"/>
  <c r="AW22" i="10" a="1"/>
  <c r="AW22" i="10" s="1"/>
  <c r="AD136" i="10" a="1"/>
  <c r="AD136" i="10" s="1"/>
  <c r="AD141" i="10" a="1"/>
  <c r="AD141" i="10" s="1"/>
  <c r="AD131" i="10" a="1"/>
  <c r="AD131" i="10" s="1"/>
  <c r="AD139" i="10" a="1"/>
  <c r="AD139" i="10" s="1"/>
  <c r="AD132" i="10" a="1"/>
  <c r="AD132" i="10" s="1"/>
  <c r="AD137" i="10" a="1"/>
  <c r="AD137" i="10" s="1"/>
  <c r="AD89" i="10" a="1"/>
  <c r="AD89" i="10" s="1"/>
  <c r="AD91" i="10" a="1"/>
  <c r="AD91" i="10" s="1"/>
  <c r="AD90" i="10" a="1"/>
  <c r="AD90" i="10" s="1"/>
  <c r="AD80" i="10" a="1"/>
  <c r="AD80" i="10" s="1"/>
  <c r="AD79" i="10" a="1"/>
  <c r="AD79" i="10" s="1"/>
  <c r="AD138" i="10" a="1"/>
  <c r="AD138" i="10" s="1"/>
  <c r="AD71" i="10" a="1"/>
  <c r="AD71" i="10" s="1"/>
  <c r="AD69" i="10" a="1"/>
  <c r="AD69" i="10" s="1"/>
  <c r="AD76" i="10" a="1"/>
  <c r="AD76" i="10" s="1"/>
  <c r="AD130" i="10" a="1"/>
  <c r="AD130" i="10" s="1"/>
  <c r="AD56" i="10" a="1"/>
  <c r="AD56" i="10" s="1"/>
  <c r="AD140" i="10" a="1"/>
  <c r="AD140" i="10" s="1"/>
  <c r="AD70" i="10" a="1"/>
  <c r="AD70" i="10" s="1"/>
  <c r="AD66" i="10" a="1"/>
  <c r="AD66" i="10" s="1"/>
  <c r="AD64" i="10" a="1"/>
  <c r="AD64" i="10" s="1"/>
  <c r="AD81" i="10" a="1"/>
  <c r="AD81" i="10" s="1"/>
  <c r="AD45" i="10" a="1"/>
  <c r="AD45" i="10" s="1"/>
  <c r="AD74" i="10" a="1"/>
  <c r="AD74" i="10" s="1"/>
  <c r="AD59" i="10" a="1"/>
  <c r="AD59" i="10" s="1"/>
  <c r="AD65" i="10" a="1"/>
  <c r="AD65" i="10" s="1"/>
  <c r="AD39" i="10" a="1"/>
  <c r="AD39" i="10" s="1"/>
  <c r="AD55" i="10" a="1"/>
  <c r="AD55" i="10" s="1"/>
  <c r="AD51" i="10" a="1"/>
  <c r="AD51" i="10" s="1"/>
  <c r="AD75" i="10" a="1"/>
  <c r="AD75" i="10" s="1"/>
  <c r="AD49" i="10" a="1"/>
  <c r="AD49" i="10" s="1"/>
  <c r="AD60" i="10" a="1"/>
  <c r="AD60" i="10" s="1"/>
  <c r="AD50" i="10" a="1"/>
  <c r="AD50" i="10" s="1"/>
  <c r="AD44" i="10" a="1"/>
  <c r="AD44" i="10" s="1"/>
  <c r="AD41" i="10" a="1"/>
  <c r="AD41" i="10" s="1"/>
  <c r="AD61" i="10" a="1"/>
  <c r="AD61" i="10" s="1"/>
  <c r="AD54" i="10" a="1"/>
  <c r="AD54" i="10" s="1"/>
  <c r="AD34" i="10" a="1"/>
  <c r="AD34" i="10" s="1"/>
  <c r="AD125" i="10" a="1"/>
  <c r="AD125" i="10" s="1"/>
  <c r="AD36" i="10" a="1"/>
  <c r="AD36" i="10" s="1"/>
  <c r="AD116" i="10" a="1"/>
  <c r="AD116" i="10" s="1"/>
  <c r="AD110" i="10" a="1"/>
  <c r="AD110" i="10" s="1"/>
  <c r="AD124" i="10" a="1"/>
  <c r="AD124" i="10" s="1"/>
  <c r="AD46" i="10" a="1"/>
  <c r="AD46" i="10" s="1"/>
  <c r="AD111" i="10" a="1"/>
  <c r="AD111" i="10" s="1"/>
  <c r="AD119" i="10" a="1"/>
  <c r="AD119" i="10" s="1"/>
  <c r="AD105" i="10" a="1"/>
  <c r="AD105" i="10" s="1"/>
  <c r="AD99" i="10" a="1"/>
  <c r="AD99" i="10" s="1"/>
  <c r="AD35" i="10" a="1"/>
  <c r="AD35" i="10" s="1"/>
  <c r="AD121" i="10" a="1"/>
  <c r="AD121" i="10" s="1"/>
  <c r="AD115" i="10" a="1"/>
  <c r="AD115" i="10" s="1"/>
  <c r="AD96" i="10" a="1"/>
  <c r="AD96" i="10" s="1"/>
  <c r="AD126" i="10" a="1"/>
  <c r="AD126" i="10" s="1"/>
  <c r="AD106" i="10" a="1"/>
  <c r="AD106" i="10" s="1"/>
  <c r="AD101" i="10" a="1"/>
  <c r="AD101" i="10" s="1"/>
  <c r="AD30" i="10" a="1"/>
  <c r="AD30" i="10" s="1"/>
  <c r="AD109" i="10" a="1"/>
  <c r="AD109" i="10" s="1"/>
  <c r="AD40" i="10" a="1"/>
  <c r="AD40" i="10" s="1"/>
  <c r="AD104" i="10" a="1"/>
  <c r="AD104" i="10" s="1"/>
  <c r="AD86" i="10" a="1"/>
  <c r="AD86" i="10" s="1"/>
  <c r="AD84" i="10" a="1"/>
  <c r="AD84" i="10" s="1"/>
  <c r="AD25" i="10" a="1"/>
  <c r="AD25" i="10" s="1"/>
  <c r="AD114" i="10" a="1"/>
  <c r="AD114" i="10" s="1"/>
  <c r="AD95" i="10" a="1"/>
  <c r="AD95" i="10" s="1"/>
  <c r="AD23" i="10" a="1"/>
  <c r="AD23" i="10" s="1"/>
  <c r="AD100" i="10" a="1"/>
  <c r="AD100" i="10" s="1"/>
  <c r="AD31" i="10" a="1"/>
  <c r="AD31" i="10" s="1"/>
  <c r="AD15" i="10" a="1"/>
  <c r="AD15" i="10" s="1"/>
  <c r="AD94" i="10" a="1"/>
  <c r="AD94" i="10" s="1"/>
  <c r="AD85" i="10" a="1"/>
  <c r="AD85" i="10" s="1"/>
  <c r="AD22" i="10" a="1"/>
  <c r="AD22" i="10" s="1"/>
  <c r="AD18" i="10" a="1"/>
  <c r="AD18" i="10" s="1"/>
  <c r="AD120" i="10" a="1"/>
  <c r="AD120" i="10" s="1"/>
  <c r="AD16" i="10" a="1"/>
  <c r="AD16" i="10" s="1"/>
  <c r="AD29" i="10" a="1"/>
  <c r="AD29" i="10" s="1"/>
  <c r="AD24" i="10" a="1"/>
  <c r="AD24" i="10" s="1"/>
  <c r="AP136" i="10" a="1"/>
  <c r="AP136" i="10" s="1"/>
  <c r="AP141" i="10" a="1"/>
  <c r="AP141" i="10" s="1"/>
  <c r="AP131" i="10" a="1"/>
  <c r="AP131" i="10" s="1"/>
  <c r="AP139" i="10" a="1"/>
  <c r="AP139" i="10" s="1"/>
  <c r="AP137" i="10" a="1"/>
  <c r="AP137" i="10" s="1"/>
  <c r="AP130" i="10" a="1"/>
  <c r="AP130" i="10" s="1"/>
  <c r="AP132" i="10" a="1"/>
  <c r="AP132" i="10" s="1"/>
  <c r="AP90" i="10" a="1"/>
  <c r="AP90" i="10" s="1"/>
  <c r="AP81" i="10" a="1"/>
  <c r="AP81" i="10" s="1"/>
  <c r="AP138" i="10" a="1"/>
  <c r="AP138" i="10" s="1"/>
  <c r="AP91" i="10" a="1"/>
  <c r="AP91" i="10" s="1"/>
  <c r="AP71" i="10" a="1"/>
  <c r="AP71" i="10" s="1"/>
  <c r="AP69" i="10" a="1"/>
  <c r="AP69" i="10" s="1"/>
  <c r="AP89" i="10" a="1"/>
  <c r="AP89" i="10" s="1"/>
  <c r="AP75" i="10" a="1"/>
  <c r="AP75" i="10" s="1"/>
  <c r="AP140" i="10" a="1"/>
  <c r="AP140" i="10" s="1"/>
  <c r="AP79" i="10" a="1"/>
  <c r="AP79" i="10" s="1"/>
  <c r="AP74" i="10" a="1"/>
  <c r="AP74" i="10" s="1"/>
  <c r="AP56" i="10" a="1"/>
  <c r="AP56" i="10" s="1"/>
  <c r="AP66" i="10" a="1"/>
  <c r="AP66" i="10" s="1"/>
  <c r="AP61" i="10" a="1"/>
  <c r="AP61" i="10" s="1"/>
  <c r="AP76" i="10" a="1"/>
  <c r="AP76" i="10" s="1"/>
  <c r="AP65" i="10" a="1"/>
  <c r="AP65" i="10" s="1"/>
  <c r="AP45" i="10" a="1"/>
  <c r="AP45" i="10" s="1"/>
  <c r="AP59" i="10" a="1"/>
  <c r="AP59" i="10" s="1"/>
  <c r="AP54" i="10" a="1"/>
  <c r="AP54" i="10" s="1"/>
  <c r="AP80" i="10" a="1"/>
  <c r="AP80" i="10" s="1"/>
  <c r="AP39" i="10" a="1"/>
  <c r="AP39" i="10" s="1"/>
  <c r="AP46" i="10" a="1"/>
  <c r="AP46" i="10" s="1"/>
  <c r="AP64" i="10" a="1"/>
  <c r="AP64" i="10" s="1"/>
  <c r="AP44" i="10" a="1"/>
  <c r="AP44" i="10" s="1"/>
  <c r="AP40" i="10" a="1"/>
  <c r="AP40" i="10" s="1"/>
  <c r="AP70" i="10" a="1"/>
  <c r="AP70" i="10" s="1"/>
  <c r="AP50" i="10" a="1"/>
  <c r="AP50" i="10" s="1"/>
  <c r="AP41" i="10" a="1"/>
  <c r="AP41" i="10" s="1"/>
  <c r="AP34" i="10" a="1"/>
  <c r="AP34" i="10" s="1"/>
  <c r="AP51" i="10" a="1"/>
  <c r="AP51" i="10" s="1"/>
  <c r="AP36" i="10" a="1"/>
  <c r="AP36" i="10" s="1"/>
  <c r="AP116" i="10" a="1"/>
  <c r="AP116" i="10" s="1"/>
  <c r="AP110" i="10" a="1"/>
  <c r="AP110" i="10" s="1"/>
  <c r="AP125" i="10" a="1"/>
  <c r="AP125" i="10" s="1"/>
  <c r="AP111" i="10" a="1"/>
  <c r="AP111" i="10" s="1"/>
  <c r="AP126" i="10" a="1"/>
  <c r="AP126" i="10" s="1"/>
  <c r="AP105" i="10" a="1"/>
  <c r="AP105" i="10" s="1"/>
  <c r="AP99" i="10" a="1"/>
  <c r="AP99" i="10" s="1"/>
  <c r="AP124" i="10" a="1"/>
  <c r="AP124" i="10" s="1"/>
  <c r="AP119" i="10" a="1"/>
  <c r="AP119" i="10" s="1"/>
  <c r="AP96" i="10" a="1"/>
  <c r="AP96" i="10" s="1"/>
  <c r="AP60" i="10" a="1"/>
  <c r="AP60" i="10" s="1"/>
  <c r="AP49" i="10" a="1"/>
  <c r="AP49" i="10" s="1"/>
  <c r="AP121" i="10" a="1"/>
  <c r="AP121" i="10" s="1"/>
  <c r="AP115" i="10" a="1"/>
  <c r="AP115" i="10" s="1"/>
  <c r="AP106" i="10" a="1"/>
  <c r="AP106" i="10" s="1"/>
  <c r="AP114" i="10" a="1"/>
  <c r="AP114" i="10" s="1"/>
  <c r="AP104" i="10" a="1"/>
  <c r="AP104" i="10" s="1"/>
  <c r="AP30" i="10" a="1"/>
  <c r="AP30" i="10" s="1"/>
  <c r="AP95" i="10" a="1"/>
  <c r="AP95" i="10" s="1"/>
  <c r="AP84" i="10" a="1"/>
  <c r="AP84" i="10" s="1"/>
  <c r="AP25" i="10" a="1"/>
  <c r="AP25" i="10" s="1"/>
  <c r="AP120" i="10" a="1"/>
  <c r="AP120" i="10" s="1"/>
  <c r="AP23" i="10" a="1"/>
  <c r="AP23" i="10" s="1"/>
  <c r="AP31" i="10" a="1"/>
  <c r="AP31" i="10" s="1"/>
  <c r="AP55" i="10" a="1"/>
  <c r="AP55" i="10" s="1"/>
  <c r="AP15" i="10" a="1"/>
  <c r="AP15" i="10" s="1"/>
  <c r="AP109" i="10" a="1"/>
  <c r="AP109" i="10" s="1"/>
  <c r="AP86" i="10" a="1"/>
  <c r="AP86" i="10" s="1"/>
  <c r="AP35" i="10" a="1"/>
  <c r="AP35" i="10" s="1"/>
  <c r="AP18" i="10" a="1"/>
  <c r="AP18" i="10" s="1"/>
  <c r="AP85" i="10" a="1"/>
  <c r="AP85" i="10" s="1"/>
  <c r="AP29" i="10" a="1"/>
  <c r="AP29" i="10" s="1"/>
  <c r="AP24" i="10" a="1"/>
  <c r="AP24" i="10" s="1"/>
  <c r="AP16" i="10" a="1"/>
  <c r="AP16" i="10" s="1"/>
  <c r="AP94" i="10" a="1"/>
  <c r="AP94" i="10" s="1"/>
  <c r="AP101" i="10" a="1"/>
  <c r="AP101" i="10" s="1"/>
  <c r="AP100" i="10" a="1"/>
  <c r="AP100" i="10" s="1"/>
  <c r="BB136" i="10" a="1"/>
  <c r="BB136" i="10" s="1"/>
  <c r="BB141" i="10" a="1"/>
  <c r="BB141" i="10" s="1"/>
  <c r="BB131" i="10" a="1"/>
  <c r="BB131" i="10" s="1"/>
  <c r="BB139" i="10" a="1"/>
  <c r="BB139" i="10" s="1"/>
  <c r="BB132" i="10" a="1"/>
  <c r="BB132" i="10" s="1"/>
  <c r="BB140" i="10" a="1"/>
  <c r="BB140" i="10" s="1"/>
  <c r="BB138" i="10" a="1"/>
  <c r="BB138" i="10" s="1"/>
  <c r="BB91" i="10" a="1"/>
  <c r="BB91" i="10" s="1"/>
  <c r="BB80" i="10" a="1"/>
  <c r="BB80" i="10" s="1"/>
  <c r="BB130" i="10" a="1"/>
  <c r="BB130" i="10" s="1"/>
  <c r="BB89" i="10" a="1"/>
  <c r="BB89" i="10" s="1"/>
  <c r="BB75" i="10" a="1"/>
  <c r="BB75" i="10" s="1"/>
  <c r="BB71" i="10" a="1"/>
  <c r="BB71" i="10" s="1"/>
  <c r="BB69" i="10" a="1"/>
  <c r="BB69" i="10" s="1"/>
  <c r="BB137" i="10" a="1"/>
  <c r="BB137" i="10" s="1"/>
  <c r="BB81" i="10" a="1"/>
  <c r="BB81" i="10" s="1"/>
  <c r="BB56" i="10" a="1"/>
  <c r="BB56" i="10" s="1"/>
  <c r="BB50" i="10" a="1"/>
  <c r="BB50" i="10" s="1"/>
  <c r="BB90" i="10" a="1"/>
  <c r="BB90" i="10" s="1"/>
  <c r="BB79" i="10" a="1"/>
  <c r="BB79" i="10" s="1"/>
  <c r="BB66" i="10" a="1"/>
  <c r="BB66" i="10" s="1"/>
  <c r="BB76" i="10" a="1"/>
  <c r="BB76" i="10" s="1"/>
  <c r="BB74" i="10" a="1"/>
  <c r="BB74" i="10" s="1"/>
  <c r="BB65" i="10" a="1"/>
  <c r="BB65" i="10" s="1"/>
  <c r="BB64" i="10" a="1"/>
  <c r="BB64" i="10" s="1"/>
  <c r="BB61" i="10" a="1"/>
  <c r="BB61" i="10" s="1"/>
  <c r="BB54" i="10" a="1"/>
  <c r="BB54" i="10" s="1"/>
  <c r="BB45" i="10" a="1"/>
  <c r="BB45" i="10" s="1"/>
  <c r="BB59" i="10" a="1"/>
  <c r="BB59" i="10" s="1"/>
  <c r="BB51" i="10" a="1"/>
  <c r="BB51" i="10" s="1"/>
  <c r="BB44" i="10" a="1"/>
  <c r="BB44" i="10" s="1"/>
  <c r="BB39" i="10" a="1"/>
  <c r="BB39" i="10" s="1"/>
  <c r="BB60" i="10" a="1"/>
  <c r="BB60" i="10" s="1"/>
  <c r="BB49" i="10" a="1"/>
  <c r="BB49" i="10" s="1"/>
  <c r="BB34" i="10" a="1"/>
  <c r="BB34" i="10" s="1"/>
  <c r="BB125" i="10" a="1"/>
  <c r="BB125" i="10" s="1"/>
  <c r="BB126" i="10" a="1"/>
  <c r="BB126" i="10" s="1"/>
  <c r="BB124" i="10" a="1"/>
  <c r="BB124" i="10" s="1"/>
  <c r="BB116" i="10" a="1"/>
  <c r="BB116" i="10" s="1"/>
  <c r="BB110" i="10" a="1"/>
  <c r="BB110" i="10" s="1"/>
  <c r="BB40" i="10" a="1"/>
  <c r="BB40" i="10" s="1"/>
  <c r="BB46" i="10" a="1"/>
  <c r="BB46" i="10" s="1"/>
  <c r="BB35" i="10" a="1"/>
  <c r="BB35" i="10" s="1"/>
  <c r="BB55" i="10" a="1"/>
  <c r="BB55" i="10" s="1"/>
  <c r="BB41" i="10" a="1"/>
  <c r="BB41" i="10" s="1"/>
  <c r="BB111" i="10" a="1"/>
  <c r="BB111" i="10" s="1"/>
  <c r="BB70" i="10" a="1"/>
  <c r="BB70" i="10" s="1"/>
  <c r="BB109" i="10" a="1"/>
  <c r="BB109" i="10" s="1"/>
  <c r="BB105" i="10" a="1"/>
  <c r="BB105" i="10" s="1"/>
  <c r="BB99" i="10" a="1"/>
  <c r="BB99" i="10" s="1"/>
  <c r="BB119" i="10" a="1"/>
  <c r="BB119" i="10" s="1"/>
  <c r="BB96" i="10" a="1"/>
  <c r="BB96" i="10" s="1"/>
  <c r="BB106" i="10" a="1"/>
  <c r="BB106" i="10" s="1"/>
  <c r="BB121" i="10" a="1"/>
  <c r="BB121" i="10" s="1"/>
  <c r="BB22" i="10" a="1"/>
  <c r="BB22" i="10" s="1"/>
  <c r="BB120" i="10" a="1"/>
  <c r="BB120" i="10" s="1"/>
  <c r="BB95" i="10" a="1"/>
  <c r="BB95" i="10" s="1"/>
  <c r="BB30" i="10" a="1"/>
  <c r="BB30" i="10" s="1"/>
  <c r="BB100" i="10" a="1"/>
  <c r="BB100" i="10" s="1"/>
  <c r="BB86" i="10" a="1"/>
  <c r="BB86" i="10" s="1"/>
  <c r="BB84" i="10" a="1"/>
  <c r="BB84" i="10" s="1"/>
  <c r="BB25" i="10" a="1"/>
  <c r="BB25" i="10" s="1"/>
  <c r="BB36" i="10" a="1"/>
  <c r="BB36" i="10" s="1"/>
  <c r="BB23" i="10" a="1"/>
  <c r="BB23" i="10" s="1"/>
  <c r="BB94" i="10" a="1"/>
  <c r="BB94" i="10" s="1"/>
  <c r="BB31" i="10" a="1"/>
  <c r="BB31" i="10" s="1"/>
  <c r="BB15" i="10" a="1"/>
  <c r="BB15" i="10" s="1"/>
  <c r="BB101" i="10" a="1"/>
  <c r="BB101" i="10" s="1"/>
  <c r="BB115" i="10" a="1"/>
  <c r="BB115" i="10" s="1"/>
  <c r="BB29" i="10" a="1"/>
  <c r="BB29" i="10" s="1"/>
  <c r="BB24" i="10" a="1"/>
  <c r="BB24" i="10" s="1"/>
  <c r="BB18" i="10" a="1"/>
  <c r="BB18" i="10" s="1"/>
  <c r="BB16" i="10" a="1"/>
  <c r="BB16" i="10" s="1"/>
  <c r="BB114" i="10" a="1"/>
  <c r="BB114" i="10" s="1"/>
  <c r="BB104" i="10" a="1"/>
  <c r="BB104" i="10" s="1"/>
  <c r="BB85" i="10" a="1"/>
  <c r="BB85" i="10" s="1"/>
  <c r="AN15" i="10" a="1"/>
  <c r="AN15" i="10" s="1"/>
  <c r="AH16" i="10" a="1"/>
  <c r="AH16" i="10" s="1"/>
  <c r="AD17" i="10" a="1"/>
  <c r="AD17" i="10" s="1"/>
  <c r="Z18" i="10" a="1"/>
  <c r="Z18" i="10" s="1"/>
  <c r="AX22" i="10" a="1"/>
  <c r="AX22" i="10" s="1"/>
  <c r="AK95" i="10" a="1"/>
  <c r="AK95" i="10" s="1"/>
  <c r="AN100" i="10" a="1"/>
  <c r="AN100" i="10" s="1"/>
  <c r="AL139" i="10" a="1"/>
  <c r="AL139" i="10" s="1"/>
  <c r="AL137" i="10" a="1"/>
  <c r="AL137" i="10" s="1"/>
  <c r="AL138" i="10" a="1"/>
  <c r="AL138" i="10" s="1"/>
  <c r="AL89" i="10" a="1"/>
  <c r="AL89" i="10" s="1"/>
  <c r="AL136" i="10" a="1"/>
  <c r="AL136" i="10" s="1"/>
  <c r="AL141" i="10" a="1"/>
  <c r="AL141" i="10" s="1"/>
  <c r="AL140" i="10" a="1"/>
  <c r="AL140" i="10" s="1"/>
  <c r="AL81" i="10" a="1"/>
  <c r="AL81" i="10" s="1"/>
  <c r="AL79" i="10" a="1"/>
  <c r="AL79" i="10" s="1"/>
  <c r="AL80" i="10" a="1"/>
  <c r="AL80" i="10" s="1"/>
  <c r="AL130" i="10" a="1"/>
  <c r="AL130" i="10" s="1"/>
  <c r="AL91" i="10" a="1"/>
  <c r="AL91" i="10" s="1"/>
  <c r="AL90" i="10" a="1"/>
  <c r="AL90" i="10" s="1"/>
  <c r="AL76" i="10" a="1"/>
  <c r="AL76" i="10" s="1"/>
  <c r="AL132" i="10" a="1"/>
  <c r="AL132" i="10" s="1"/>
  <c r="AL131" i="10" a="1"/>
  <c r="AL131" i="10" s="1"/>
  <c r="AL75" i="10" a="1"/>
  <c r="AL75" i="10" s="1"/>
  <c r="AL70" i="10" a="1"/>
  <c r="AL70" i="10" s="1"/>
  <c r="AL64" i="10" a="1"/>
  <c r="AL64" i="10" s="1"/>
  <c r="AL51" i="10" a="1"/>
  <c r="AL51" i="10" s="1"/>
  <c r="AL69" i="10" a="1"/>
  <c r="AL69" i="10" s="1"/>
  <c r="AL60" i="10" a="1"/>
  <c r="AL60" i="10" s="1"/>
  <c r="AL50" i="10" a="1"/>
  <c r="AL50" i="10" s="1"/>
  <c r="AL74" i="10" a="1"/>
  <c r="AL74" i="10" s="1"/>
  <c r="AL61" i="10" a="1"/>
  <c r="AL61" i="10" s="1"/>
  <c r="AL71" i="10" a="1"/>
  <c r="AL71" i="10" s="1"/>
  <c r="AL66" i="10" a="1"/>
  <c r="AL66" i="10" s="1"/>
  <c r="AL46" i="10" a="1"/>
  <c r="AL46" i="10" s="1"/>
  <c r="AL56" i="10" a="1"/>
  <c r="AL56" i="10" s="1"/>
  <c r="AL45" i="10" a="1"/>
  <c r="AL45" i="10" s="1"/>
  <c r="AL44" i="10" a="1"/>
  <c r="AL44" i="10" s="1"/>
  <c r="AL54" i="10" a="1"/>
  <c r="AL54" i="10" s="1"/>
  <c r="AL59" i="10" a="1"/>
  <c r="AL59" i="10" s="1"/>
  <c r="AL55" i="10" a="1"/>
  <c r="AL55" i="10" s="1"/>
  <c r="AL41" i="10" a="1"/>
  <c r="AL41" i="10" s="1"/>
  <c r="AL36" i="10" a="1"/>
  <c r="AL36" i="10" s="1"/>
  <c r="AL49" i="10" a="1"/>
  <c r="AL49" i="10" s="1"/>
  <c r="AL34" i="10" a="1"/>
  <c r="AL34" i="10" s="1"/>
  <c r="AL40" i="10" a="1"/>
  <c r="AL40" i="10" s="1"/>
  <c r="AL120" i="10" a="1"/>
  <c r="AL120" i="10" s="1"/>
  <c r="AL114" i="10" a="1"/>
  <c r="AL114" i="10" s="1"/>
  <c r="AL125" i="10" a="1"/>
  <c r="AL125" i="10" s="1"/>
  <c r="AL124" i="10" a="1"/>
  <c r="AL124" i="10" s="1"/>
  <c r="AL111" i="10" a="1"/>
  <c r="AL111" i="10" s="1"/>
  <c r="AL121" i="10" a="1"/>
  <c r="AL121" i="10" s="1"/>
  <c r="AL115" i="10" a="1"/>
  <c r="AL115" i="10" s="1"/>
  <c r="AL109" i="10" a="1"/>
  <c r="AL109" i="10" s="1"/>
  <c r="AL119" i="10" a="1"/>
  <c r="AL119" i="10" s="1"/>
  <c r="AL35" i="10" a="1"/>
  <c r="AL35" i="10" s="1"/>
  <c r="AL96" i="10" a="1"/>
  <c r="AL96" i="10" s="1"/>
  <c r="AL126" i="10" a="1"/>
  <c r="AL126" i="10" s="1"/>
  <c r="AL39" i="10" a="1"/>
  <c r="AL39" i="10" s="1"/>
  <c r="AL106" i="10" a="1"/>
  <c r="AL106" i="10" s="1"/>
  <c r="AL100" i="10" a="1"/>
  <c r="AL100" i="10" s="1"/>
  <c r="AL94" i="10" a="1"/>
  <c r="AL94" i="10" s="1"/>
  <c r="AL65" i="10" a="1"/>
  <c r="AL65" i="10" s="1"/>
  <c r="AL104" i="10" a="1"/>
  <c r="AL104" i="10" s="1"/>
  <c r="AL105" i="10" a="1"/>
  <c r="AL105" i="10" s="1"/>
  <c r="AL110" i="10" a="1"/>
  <c r="AL110" i="10" s="1"/>
  <c r="AL23" i="10" a="1"/>
  <c r="AL23" i="10" s="1"/>
  <c r="AL101" i="10" a="1"/>
  <c r="AL101" i="10" s="1"/>
  <c r="AL86" i="10" a="1"/>
  <c r="AL86" i="10" s="1"/>
  <c r="AL99" i="10" a="1"/>
  <c r="AL99" i="10" s="1"/>
  <c r="AL95" i="10" a="1"/>
  <c r="AL95" i="10" s="1"/>
  <c r="AL24" i="10" a="1"/>
  <c r="AL24" i="10" s="1"/>
  <c r="AL16" i="10" a="1"/>
  <c r="AL16" i="10" s="1"/>
  <c r="AL30" i="10" a="1"/>
  <c r="AL30" i="10" s="1"/>
  <c r="AL22" i="10" a="1"/>
  <c r="AL22" i="10" s="1"/>
  <c r="AL25" i="10" a="1"/>
  <c r="AL25" i="10" s="1"/>
  <c r="AL84" i="10" a="1"/>
  <c r="AL84" i="10" s="1"/>
  <c r="AL116" i="10" a="1"/>
  <c r="AL116" i="10" s="1"/>
  <c r="AL31" i="10" a="1"/>
  <c r="AL31" i="10" s="1"/>
  <c r="AL17" i="10" a="1"/>
  <c r="AL17" i="10" s="1"/>
  <c r="AL85" i="10" a="1"/>
  <c r="AL85" i="10" s="1"/>
  <c r="AC22" i="10" a="1"/>
  <c r="AC22" i="10" s="1"/>
  <c r="AF25" i="10" a="1"/>
  <c r="AF25" i="10" s="1"/>
  <c r="AL29" i="10" a="1"/>
  <c r="AL29" i="10" s="1"/>
  <c r="W99" i="10" a="1"/>
  <c r="W99" i="10" s="1"/>
  <c r="Z139" i="10" a="1"/>
  <c r="Z139" i="10" s="1"/>
  <c r="Z137" i="10" a="1"/>
  <c r="Z137" i="10" s="1"/>
  <c r="Z140" i="10" a="1"/>
  <c r="Z140" i="10" s="1"/>
  <c r="Z130" i="10" a="1"/>
  <c r="Z130" i="10" s="1"/>
  <c r="Z89" i="10" a="1"/>
  <c r="Z89" i="10" s="1"/>
  <c r="Z138" i="10" a="1"/>
  <c r="Z138" i="10" s="1"/>
  <c r="Z91" i="10" a="1"/>
  <c r="Z91" i="10" s="1"/>
  <c r="Z141" i="10" a="1"/>
  <c r="Z141" i="10" s="1"/>
  <c r="Z81" i="10" a="1"/>
  <c r="Z81" i="10" s="1"/>
  <c r="Z79" i="10" a="1"/>
  <c r="Z79" i="10" s="1"/>
  <c r="Z132" i="10" a="1"/>
  <c r="Z132" i="10" s="1"/>
  <c r="Z131" i="10" a="1"/>
  <c r="Z131" i="10" s="1"/>
  <c r="Z76" i="10" a="1"/>
  <c r="Z76" i="10" s="1"/>
  <c r="Z90" i="10" a="1"/>
  <c r="Z90" i="10" s="1"/>
  <c r="Z136" i="10" a="1"/>
  <c r="Z136" i="10" s="1"/>
  <c r="Z80" i="10" a="1"/>
  <c r="Z80" i="10" s="1"/>
  <c r="Z74" i="10" a="1"/>
  <c r="Z74" i="10" s="1"/>
  <c r="Z64" i="10" a="1"/>
  <c r="Z64" i="10" s="1"/>
  <c r="Z69" i="10" a="1"/>
  <c r="Z69" i="10" s="1"/>
  <c r="Z71" i="10" a="1"/>
  <c r="Z71" i="10" s="1"/>
  <c r="Z75" i="10" a="1"/>
  <c r="Z75" i="10" s="1"/>
  <c r="Z66" i="10" a="1"/>
  <c r="Z66" i="10" s="1"/>
  <c r="Z65" i="10" a="1"/>
  <c r="Z65" i="10" s="1"/>
  <c r="Z51" i="10" a="1"/>
  <c r="Z51" i="10" s="1"/>
  <c r="Z59" i="10" a="1"/>
  <c r="Z59" i="10" s="1"/>
  <c r="Z56" i="10" a="1"/>
  <c r="Z56" i="10" s="1"/>
  <c r="Z55" i="10" a="1"/>
  <c r="Z55" i="10" s="1"/>
  <c r="Z54" i="10" a="1"/>
  <c r="Z54" i="10" s="1"/>
  <c r="Z60" i="10" a="1"/>
  <c r="Z60" i="10" s="1"/>
  <c r="Z61" i="10" a="1"/>
  <c r="Z61" i="10" s="1"/>
  <c r="Z50" i="10" a="1"/>
  <c r="Z50" i="10" s="1"/>
  <c r="Z36" i="10" a="1"/>
  <c r="Z36" i="10" s="1"/>
  <c r="Z49" i="10" a="1"/>
  <c r="Z49" i="10" s="1"/>
  <c r="Z40" i="10" a="1"/>
  <c r="Z40" i="10" s="1"/>
  <c r="Z39" i="10" a="1"/>
  <c r="Z39" i="10" s="1"/>
  <c r="Z34" i="10" a="1"/>
  <c r="Z34" i="10" s="1"/>
  <c r="Z70" i="10" a="1"/>
  <c r="Z70" i="10" s="1"/>
  <c r="Z46" i="10" a="1"/>
  <c r="Z46" i="10" s="1"/>
  <c r="Z126" i="10" a="1"/>
  <c r="Z126" i="10" s="1"/>
  <c r="Z120" i="10" a="1"/>
  <c r="Z120" i="10" s="1"/>
  <c r="Z114" i="10" a="1"/>
  <c r="Z114" i="10" s="1"/>
  <c r="Z41" i="10" a="1"/>
  <c r="Z41" i="10" s="1"/>
  <c r="Z35" i="10" a="1"/>
  <c r="Z35" i="10" s="1"/>
  <c r="Z44" i="10" a="1"/>
  <c r="Z44" i="10" s="1"/>
  <c r="Z124" i="10" a="1"/>
  <c r="Z124" i="10" s="1"/>
  <c r="Z111" i="10" a="1"/>
  <c r="Z111" i="10" s="1"/>
  <c r="Z121" i="10" a="1"/>
  <c r="Z121" i="10" s="1"/>
  <c r="Z115" i="10" a="1"/>
  <c r="Z115" i="10" s="1"/>
  <c r="Z109" i="10" a="1"/>
  <c r="Z109" i="10" s="1"/>
  <c r="Z119" i="10" a="1"/>
  <c r="Z119" i="10" s="1"/>
  <c r="Z96" i="10" a="1"/>
  <c r="Z96" i="10" s="1"/>
  <c r="Z45" i="10" a="1"/>
  <c r="Z45" i="10" s="1"/>
  <c r="Z106" i="10" a="1"/>
  <c r="Z106" i="10" s="1"/>
  <c r="Z100" i="10" a="1"/>
  <c r="Z100" i="10" s="1"/>
  <c r="Z94" i="10" a="1"/>
  <c r="Z94" i="10" s="1"/>
  <c r="Z104" i="10" a="1"/>
  <c r="Z104" i="10" s="1"/>
  <c r="Z116" i="10" a="1"/>
  <c r="Z116" i="10" s="1"/>
  <c r="Z23" i="10" a="1"/>
  <c r="Z23" i="10" s="1"/>
  <c r="Z105" i="10" a="1"/>
  <c r="Z105" i="10" s="1"/>
  <c r="Z110" i="10" a="1"/>
  <c r="Z110" i="10" s="1"/>
  <c r="Z24" i="10" a="1"/>
  <c r="Z24" i="10" s="1"/>
  <c r="Z99" i="10" a="1"/>
  <c r="Z99" i="10" s="1"/>
  <c r="Z86" i="10" a="1"/>
  <c r="Z86" i="10" s="1"/>
  <c r="Z29" i="10" a="1"/>
  <c r="Z29" i="10" s="1"/>
  <c r="Z16" i="10" a="1"/>
  <c r="Z16" i="10" s="1"/>
  <c r="Z101" i="10" a="1"/>
  <c r="Z101" i="10" s="1"/>
  <c r="Z125" i="10" a="1"/>
  <c r="Z125" i="10" s="1"/>
  <c r="Z95" i="10" a="1"/>
  <c r="Z95" i="10" s="1"/>
  <c r="Z30" i="10" a="1"/>
  <c r="Z30" i="10" s="1"/>
  <c r="Z84" i="10" a="1"/>
  <c r="Z84" i="10" s="1"/>
  <c r="Z25" i="10" a="1"/>
  <c r="Z25" i="10" s="1"/>
  <c r="Z17" i="10" a="1"/>
  <c r="Z17" i="10" s="1"/>
  <c r="Z85" i="10" a="1"/>
  <c r="Z85" i="10" s="1"/>
  <c r="Z22" i="10" a="1"/>
  <c r="Z22" i="10" s="1"/>
  <c r="Z31" i="10" a="1"/>
  <c r="Z31" i="10" s="1"/>
  <c r="AB132" i="10" a="1"/>
  <c r="AB132" i="10" s="1"/>
  <c r="AB140" i="10" a="1"/>
  <c r="AB140" i="10" s="1"/>
  <c r="AB138" i="10" a="1"/>
  <c r="AB138" i="10" s="1"/>
  <c r="AB136" i="10" a="1"/>
  <c r="AB136" i="10" s="1"/>
  <c r="AB131" i="10" a="1"/>
  <c r="AB131" i="10" s="1"/>
  <c r="AB141" i="10" a="1"/>
  <c r="AB141" i="10" s="1"/>
  <c r="AB137" i="10" a="1"/>
  <c r="AB137" i="10" s="1"/>
  <c r="AB130" i="10" a="1"/>
  <c r="AB130" i="10" s="1"/>
  <c r="AB89" i="10" a="1"/>
  <c r="AB89" i="10" s="1"/>
  <c r="AB91" i="10" a="1"/>
  <c r="AB91" i="10" s="1"/>
  <c r="AB90" i="10" a="1"/>
  <c r="AB90" i="10" s="1"/>
  <c r="AB139" i="10" a="1"/>
  <c r="AB139" i="10" s="1"/>
  <c r="AB79" i="10" a="1"/>
  <c r="AB79" i="10" s="1"/>
  <c r="AB71" i="10" a="1"/>
  <c r="AB71" i="10" s="1"/>
  <c r="AB75" i="10" a="1"/>
  <c r="AB75" i="10" s="1"/>
  <c r="AB65" i="10" a="1"/>
  <c r="AB65" i="10" s="1"/>
  <c r="AB50" i="10" a="1"/>
  <c r="AB50" i="10" s="1"/>
  <c r="AB61" i="10" a="1"/>
  <c r="AB61" i="10" s="1"/>
  <c r="AB69" i="10" a="1"/>
  <c r="AB69" i="10" s="1"/>
  <c r="AB81" i="10" a="1"/>
  <c r="AB81" i="10" s="1"/>
  <c r="AB64" i="10" a="1"/>
  <c r="AB64" i="10" s="1"/>
  <c r="AB54" i="10" a="1"/>
  <c r="AB54" i="10" s="1"/>
  <c r="AB76" i="10" a="1"/>
  <c r="AB76" i="10" s="1"/>
  <c r="AB74" i="10" a="1"/>
  <c r="AB74" i="10" s="1"/>
  <c r="AB70" i="10" a="1"/>
  <c r="AB70" i="10" s="1"/>
  <c r="AB66" i="10" a="1"/>
  <c r="AB66" i="10" s="1"/>
  <c r="AB60" i="10" a="1"/>
  <c r="AB60" i="10" s="1"/>
  <c r="AB51" i="10" a="1"/>
  <c r="AB51" i="10" s="1"/>
  <c r="AB44" i="10" a="1"/>
  <c r="AB44" i="10" s="1"/>
  <c r="AB80" i="10" a="1"/>
  <c r="AB80" i="10" s="1"/>
  <c r="AB46" i="10" a="1"/>
  <c r="AB46" i="10" s="1"/>
  <c r="AB40" i="10" a="1"/>
  <c r="AB40" i="10" s="1"/>
  <c r="AB126" i="10" a="1"/>
  <c r="AB126" i="10" s="1"/>
  <c r="AB56" i="10" a="1"/>
  <c r="AB56" i="10" s="1"/>
  <c r="AB35" i="10" a="1"/>
  <c r="AB35" i="10" s="1"/>
  <c r="AB41" i="10" a="1"/>
  <c r="AB41" i="10" s="1"/>
  <c r="AB45" i="10" a="1"/>
  <c r="AB45" i="10" s="1"/>
  <c r="AB39" i="10" a="1"/>
  <c r="AB39" i="10" s="1"/>
  <c r="AB55" i="10" a="1"/>
  <c r="AB55" i="10" s="1"/>
  <c r="AB121" i="10" a="1"/>
  <c r="AB121" i="10" s="1"/>
  <c r="AB115" i="10" a="1"/>
  <c r="AB115" i="10" s="1"/>
  <c r="AB109" i="10" a="1"/>
  <c r="AB109" i="10" s="1"/>
  <c r="AB119" i="10" a="1"/>
  <c r="AB119" i="10" s="1"/>
  <c r="AB36" i="10" a="1"/>
  <c r="AB36" i="10" s="1"/>
  <c r="AB116" i="10" a="1"/>
  <c r="AB116" i="10" s="1"/>
  <c r="AB110" i="10" a="1"/>
  <c r="AB110" i="10" s="1"/>
  <c r="AB104" i="10" a="1"/>
  <c r="AB104" i="10" s="1"/>
  <c r="AB124" i="10" a="1"/>
  <c r="AB124" i="10" s="1"/>
  <c r="AB86" i="10" a="1"/>
  <c r="AB86" i="10" s="1"/>
  <c r="AB59" i="10" a="1"/>
  <c r="AB59" i="10" s="1"/>
  <c r="AB125" i="10" a="1"/>
  <c r="AB125" i="10" s="1"/>
  <c r="AB105" i="10" a="1"/>
  <c r="AB105" i="10" s="1"/>
  <c r="AB99" i="10" a="1"/>
  <c r="AB99" i="10" s="1"/>
  <c r="AB49" i="10" a="1"/>
  <c r="AB49" i="10" s="1"/>
  <c r="AB96" i="10" a="1"/>
  <c r="AB96" i="10" s="1"/>
  <c r="AB85" i="10" a="1"/>
  <c r="AB85" i="10" s="1"/>
  <c r="AB29" i="10" a="1"/>
  <c r="AB29" i="10" s="1"/>
  <c r="AB34" i="10" a="1"/>
  <c r="AB34" i="10" s="1"/>
  <c r="AB101" i="10" a="1"/>
  <c r="AB101" i="10" s="1"/>
  <c r="AB94" i="10" a="1"/>
  <c r="AB94" i="10" s="1"/>
  <c r="AB30" i="10" a="1"/>
  <c r="AB30" i="10" s="1"/>
  <c r="AB114" i="10" a="1"/>
  <c r="AB114" i="10" s="1"/>
  <c r="AB111" i="10" a="1"/>
  <c r="AB111" i="10" s="1"/>
  <c r="AB95" i="10" a="1"/>
  <c r="AB95" i="10" s="1"/>
  <c r="AB84" i="10" a="1"/>
  <c r="AB84" i="10" s="1"/>
  <c r="AB25" i="10" a="1"/>
  <c r="AB25" i="10" s="1"/>
  <c r="AB106" i="10" a="1"/>
  <c r="AB106" i="10" s="1"/>
  <c r="AB17" i="10" a="1"/>
  <c r="AB17" i="10" s="1"/>
  <c r="AB23" i="10" a="1"/>
  <c r="AB23" i="10" s="1"/>
  <c r="AB120" i="10" a="1"/>
  <c r="AB120" i="10" s="1"/>
  <c r="AB100" i="10" a="1"/>
  <c r="AB100" i="10" s="1"/>
  <c r="AB22" i="10" a="1"/>
  <c r="AB22" i="10" s="1"/>
  <c r="AB31" i="10" a="1"/>
  <c r="AB31" i="10" s="1"/>
  <c r="AB18" i="10" a="1"/>
  <c r="AB18" i="10" s="1"/>
  <c r="AL18" i="10" a="1"/>
  <c r="AL18" i="10" s="1"/>
  <c r="AO130" i="10" a="1"/>
  <c r="AO130" i="10" s="1"/>
  <c r="AO138" i="10" a="1"/>
  <c r="AO138" i="10" s="1"/>
  <c r="AO136" i="10" a="1"/>
  <c r="AO136" i="10" s="1"/>
  <c r="AO141" i="10" a="1"/>
  <c r="AO141" i="10" s="1"/>
  <c r="AO90" i="10" a="1"/>
  <c r="AO90" i="10" s="1"/>
  <c r="AO139" i="10" a="1"/>
  <c r="AO139" i="10" s="1"/>
  <c r="AO137" i="10" a="1"/>
  <c r="AO137" i="10" s="1"/>
  <c r="AO140" i="10" a="1"/>
  <c r="AO140" i="10" s="1"/>
  <c r="AO132" i="10" a="1"/>
  <c r="AO132" i="10" s="1"/>
  <c r="AO91" i="10" a="1"/>
  <c r="AO91" i="10" s="1"/>
  <c r="AO81" i="10" a="1"/>
  <c r="AO81" i="10" s="1"/>
  <c r="AO131" i="10" a="1"/>
  <c r="AO131" i="10" s="1"/>
  <c r="AO71" i="10" a="1"/>
  <c r="AO71" i="10" s="1"/>
  <c r="AO69" i="10" a="1"/>
  <c r="AO69" i="10" s="1"/>
  <c r="AO79" i="10" a="1"/>
  <c r="AO79" i="10" s="1"/>
  <c r="AO74" i="10" a="1"/>
  <c r="AO74" i="10" s="1"/>
  <c r="AO89" i="10" a="1"/>
  <c r="AO89" i="10" s="1"/>
  <c r="AO75" i="10" a="1"/>
  <c r="AO75" i="10" s="1"/>
  <c r="AO66" i="10" a="1"/>
  <c r="AO66" i="10" s="1"/>
  <c r="AO80" i="10" a="1"/>
  <c r="AO80" i="10" s="1"/>
  <c r="AO76" i="10" a="1"/>
  <c r="AO76" i="10" s="1"/>
  <c r="AO49" i="10" a="1"/>
  <c r="AO49" i="10" s="1"/>
  <c r="AO41" i="10" a="1"/>
  <c r="AO41" i="10" s="1"/>
  <c r="AO61" i="10" a="1"/>
  <c r="AO61" i="10" s="1"/>
  <c r="AO60" i="10" a="1"/>
  <c r="AO60" i="10" s="1"/>
  <c r="AO56" i="10" a="1"/>
  <c r="AO56" i="10" s="1"/>
  <c r="AO55" i="10" a="1"/>
  <c r="AO55" i="10" s="1"/>
  <c r="AO59" i="10" a="1"/>
  <c r="AO59" i="10" s="1"/>
  <c r="AO65" i="10" a="1"/>
  <c r="AO65" i="10" s="1"/>
  <c r="AO45" i="10" a="1"/>
  <c r="AO45" i="10" s="1"/>
  <c r="AO44" i="10" a="1"/>
  <c r="AO44" i="10" s="1"/>
  <c r="AO70" i="10" a="1"/>
  <c r="AO70" i="10" s="1"/>
  <c r="AO51" i="10" a="1"/>
  <c r="AO51" i="10" s="1"/>
  <c r="AO50" i="10" a="1"/>
  <c r="AO50" i="10" s="1"/>
  <c r="AO46" i="10" a="1"/>
  <c r="AO46" i="10" s="1"/>
  <c r="AO35" i="10" a="1"/>
  <c r="AO35" i="10" s="1"/>
  <c r="AO124" i="10" a="1"/>
  <c r="AO124" i="10" s="1"/>
  <c r="AO40" i="10" a="1"/>
  <c r="AO40" i="10" s="1"/>
  <c r="AO36" i="10" a="1"/>
  <c r="AO36" i="10" s="1"/>
  <c r="AO64" i="10" a="1"/>
  <c r="AO64" i="10" s="1"/>
  <c r="AO119" i="10" a="1"/>
  <c r="AO119" i="10" s="1"/>
  <c r="AO39" i="10" a="1"/>
  <c r="AO39" i="10" s="1"/>
  <c r="AO126" i="10" a="1"/>
  <c r="AO126" i="10" s="1"/>
  <c r="AO120" i="10" a="1"/>
  <c r="AO120" i="10" s="1"/>
  <c r="AO114" i="10" a="1"/>
  <c r="AO114" i="10" s="1"/>
  <c r="AO34" i="10" a="1"/>
  <c r="AO34" i="10" s="1"/>
  <c r="AO109" i="10" a="1"/>
  <c r="AO109" i="10" s="1"/>
  <c r="AO101" i="10" a="1"/>
  <c r="AO101" i="10" s="1"/>
  <c r="AO95" i="10" a="1"/>
  <c r="AO95" i="10" s="1"/>
  <c r="AO116" i="10" a="1"/>
  <c r="AO116" i="10" s="1"/>
  <c r="AO125" i="10" a="1"/>
  <c r="AO125" i="10" s="1"/>
  <c r="AO54" i="10" a="1"/>
  <c r="AO54" i="10" s="1"/>
  <c r="AO111" i="10" a="1"/>
  <c r="AO111" i="10" s="1"/>
  <c r="AO24" i="10" a="1"/>
  <c r="AO24" i="10" s="1"/>
  <c r="AO99" i="10" a="1"/>
  <c r="AO99" i="10" s="1"/>
  <c r="AO115" i="10" a="1"/>
  <c r="AO115" i="10" s="1"/>
  <c r="AO104" i="10" a="1"/>
  <c r="AO104" i="10" s="1"/>
  <c r="AO30" i="10" a="1"/>
  <c r="AO30" i="10" s="1"/>
  <c r="AO84" i="10" a="1"/>
  <c r="AO84" i="10" s="1"/>
  <c r="AO25" i="10" a="1"/>
  <c r="AO25" i="10" s="1"/>
  <c r="AO121" i="10" a="1"/>
  <c r="AO121" i="10" s="1"/>
  <c r="AO106" i="10" a="1"/>
  <c r="AO106" i="10" s="1"/>
  <c r="AO100" i="10" a="1"/>
  <c r="AO100" i="10" s="1"/>
  <c r="AO23" i="10" a="1"/>
  <c r="AO23" i="10" s="1"/>
  <c r="AO17" i="10" a="1"/>
  <c r="AO17" i="10" s="1"/>
  <c r="AO110" i="10" a="1"/>
  <c r="AO110" i="10" s="1"/>
  <c r="AO31" i="10" a="1"/>
  <c r="AO31" i="10" s="1"/>
  <c r="AO15" i="10" a="1"/>
  <c r="AO15" i="10" s="1"/>
  <c r="AO86" i="10" a="1"/>
  <c r="AO86" i="10" s="1"/>
  <c r="AO96" i="10" a="1"/>
  <c r="AO96" i="10" s="1"/>
  <c r="AO18" i="10" a="1"/>
  <c r="AO18" i="10" s="1"/>
  <c r="AO85" i="10" a="1"/>
  <c r="AO85" i="10" s="1"/>
  <c r="AO29" i="10" a="1"/>
  <c r="AO29" i="10" s="1"/>
  <c r="AO16" i="10" a="1"/>
  <c r="AO16" i="10" s="1"/>
  <c r="AO105" i="10" a="1"/>
  <c r="AO105" i="10" s="1"/>
  <c r="AO94" i="10" a="1"/>
  <c r="AO94" i="10" s="1"/>
  <c r="T139" i="10" a="1"/>
  <c r="T139" i="10" s="1"/>
  <c r="T137" i="10" a="1"/>
  <c r="T137" i="10" s="1"/>
  <c r="T131" i="10" a="1"/>
  <c r="T131" i="10" s="1"/>
  <c r="T89" i="10" a="1"/>
  <c r="T89" i="10" s="1"/>
  <c r="T141" i="10" a="1"/>
  <c r="T141" i="10" s="1"/>
  <c r="T132" i="10" a="1"/>
  <c r="T132" i="10" s="1"/>
  <c r="T140" i="10" a="1"/>
  <c r="T140" i="10" s="1"/>
  <c r="T136" i="10" a="1"/>
  <c r="T136" i="10" s="1"/>
  <c r="T90" i="10" a="1"/>
  <c r="T90" i="10" s="1"/>
  <c r="T81" i="10" a="1"/>
  <c r="T81" i="10" s="1"/>
  <c r="T79" i="10" a="1"/>
  <c r="T79" i="10" s="1"/>
  <c r="T91" i="10" a="1"/>
  <c r="T91" i="10" s="1"/>
  <c r="T76" i="10" a="1"/>
  <c r="T76" i="10" s="1"/>
  <c r="T130" i="10" a="1"/>
  <c r="T130" i="10" s="1"/>
  <c r="T138" i="10" a="1"/>
  <c r="T138" i="10" s="1"/>
  <c r="T75" i="10" a="1"/>
  <c r="T75" i="10" s="1"/>
  <c r="T69" i="10" a="1"/>
  <c r="T69" i="10" s="1"/>
  <c r="T64" i="10" a="1"/>
  <c r="T64" i="10" s="1"/>
  <c r="T71" i="10" a="1"/>
  <c r="T71" i="10" s="1"/>
  <c r="T80" i="10" a="1"/>
  <c r="T80" i="10" s="1"/>
  <c r="T59" i="10" a="1"/>
  <c r="T59" i="10" s="1"/>
  <c r="T56" i="10" a="1"/>
  <c r="T56" i="10" s="1"/>
  <c r="T55" i="10" a="1"/>
  <c r="T55" i="10" s="1"/>
  <c r="T54" i="10" a="1"/>
  <c r="T54" i="10" s="1"/>
  <c r="T70" i="10" a="1"/>
  <c r="T70" i="10" s="1"/>
  <c r="T61" i="10" a="1"/>
  <c r="T61" i="10" s="1"/>
  <c r="T60" i="10" a="1"/>
  <c r="T60" i="10" s="1"/>
  <c r="T49" i="10" a="1"/>
  <c r="T49" i="10" s="1"/>
  <c r="T51" i="10" a="1"/>
  <c r="T51" i="10" s="1"/>
  <c r="T65" i="10" a="1"/>
  <c r="T65" i="10" s="1"/>
  <c r="T46" i="10" a="1"/>
  <c r="T46" i="10" s="1"/>
  <c r="T50" i="10" a="1"/>
  <c r="T50" i="10" s="1"/>
  <c r="T40" i="10" a="1"/>
  <c r="T40" i="10" s="1"/>
  <c r="T36" i="10" a="1"/>
  <c r="T36" i="10" s="1"/>
  <c r="T39" i="10" a="1"/>
  <c r="T39" i="10" s="1"/>
  <c r="T34" i="10" a="1"/>
  <c r="T34" i="10" s="1"/>
  <c r="T44" i="10" a="1"/>
  <c r="T44" i="10" s="1"/>
  <c r="T41" i="10" a="1"/>
  <c r="T41" i="10" s="1"/>
  <c r="T120" i="10" a="1"/>
  <c r="T120" i="10" s="1"/>
  <c r="T114" i="10" a="1"/>
  <c r="T114" i="10" s="1"/>
  <c r="T45" i="10" a="1"/>
  <c r="T45" i="10" s="1"/>
  <c r="T66" i="10" a="1"/>
  <c r="T66" i="10" s="1"/>
  <c r="T124" i="10" a="1"/>
  <c r="T124" i="10" s="1"/>
  <c r="T111" i="10" a="1"/>
  <c r="T111" i="10" s="1"/>
  <c r="T121" i="10" a="1"/>
  <c r="T121" i="10" s="1"/>
  <c r="T115" i="10" a="1"/>
  <c r="T115" i="10" s="1"/>
  <c r="T109" i="10" a="1"/>
  <c r="T109" i="10" s="1"/>
  <c r="T125" i="10" a="1"/>
  <c r="T125" i="10" s="1"/>
  <c r="T119" i="10" a="1"/>
  <c r="T119" i="10" s="1"/>
  <c r="T126" i="10" a="1"/>
  <c r="T126" i="10" s="1"/>
  <c r="T96" i="10" a="1"/>
  <c r="T96" i="10" s="1"/>
  <c r="T110" i="10" a="1"/>
  <c r="T110" i="10" s="1"/>
  <c r="T106" i="10" a="1"/>
  <c r="T106" i="10" s="1"/>
  <c r="T100" i="10" a="1"/>
  <c r="T100" i="10" s="1"/>
  <c r="T94" i="10" a="1"/>
  <c r="T94" i="10" s="1"/>
  <c r="T104" i="10" a="1"/>
  <c r="T104" i="10" s="1"/>
  <c r="T116" i="10" a="1"/>
  <c r="T116" i="10" s="1"/>
  <c r="T23" i="10" a="1"/>
  <c r="T23" i="10" s="1"/>
  <c r="T99" i="10" a="1"/>
  <c r="T99" i="10" s="1"/>
  <c r="T74" i="10" a="1"/>
  <c r="T74" i="10" s="1"/>
  <c r="T95" i="10" a="1"/>
  <c r="T95" i="10" s="1"/>
  <c r="T24" i="10" a="1"/>
  <c r="T24" i="10" s="1"/>
  <c r="T85" i="10" a="1"/>
  <c r="T85" i="10" s="1"/>
  <c r="T25" i="10" a="1"/>
  <c r="T25" i="10" s="1"/>
  <c r="T16" i="10" a="1"/>
  <c r="T16" i="10" s="1"/>
  <c r="T31" i="10" a="1"/>
  <c r="T31" i="10" s="1"/>
  <c r="T86" i="10" a="1"/>
  <c r="T86" i="10" s="1"/>
  <c r="T22" i="10" a="1"/>
  <c r="T22" i="10" s="1"/>
  <c r="T35" i="10" a="1"/>
  <c r="T35" i="10" s="1"/>
  <c r="T101" i="10" a="1"/>
  <c r="T101" i="10" s="1"/>
  <c r="T17" i="10" a="1"/>
  <c r="T17" i="10" s="1"/>
  <c r="T105" i="10" a="1"/>
  <c r="T105" i="10" s="1"/>
  <c r="T29" i="10" a="1"/>
  <c r="T29" i="10" s="1"/>
  <c r="Y141" i="10" a="1"/>
  <c r="Y141" i="10" s="1"/>
  <c r="Y131" i="10" a="1"/>
  <c r="Y131" i="10" s="1"/>
  <c r="Y139" i="10" a="1"/>
  <c r="Y139" i="10" s="1"/>
  <c r="Y137" i="10" a="1"/>
  <c r="Y137" i="10" s="1"/>
  <c r="Y91" i="10" a="1"/>
  <c r="Y91" i="10" s="1"/>
  <c r="Y140" i="10" a="1"/>
  <c r="Y140" i="10" s="1"/>
  <c r="Y130" i="10" a="1"/>
  <c r="Y130" i="10" s="1"/>
  <c r="Y80" i="10" a="1"/>
  <c r="Y80" i="10" s="1"/>
  <c r="Y132" i="10" a="1"/>
  <c r="Y132" i="10" s="1"/>
  <c r="Y81" i="10" a="1"/>
  <c r="Y81" i="10" s="1"/>
  <c r="Y89" i="10" a="1"/>
  <c r="Y89" i="10" s="1"/>
  <c r="Y136" i="10" a="1"/>
  <c r="Y136" i="10" s="1"/>
  <c r="Y90" i="10" a="1"/>
  <c r="Y90" i="10" s="1"/>
  <c r="Y69" i="10" a="1"/>
  <c r="Y69" i="10" s="1"/>
  <c r="Y66" i="10" a="1"/>
  <c r="Y66" i="10" s="1"/>
  <c r="Y60" i="10" a="1"/>
  <c r="Y60" i="10" s="1"/>
  <c r="Y54" i="10" a="1"/>
  <c r="Y54" i="10" s="1"/>
  <c r="Y74" i="10" a="1"/>
  <c r="Y74" i="10" s="1"/>
  <c r="Y64" i="10" a="1"/>
  <c r="Y64" i="10" s="1"/>
  <c r="Y79" i="10" a="1"/>
  <c r="Y79" i="10" s="1"/>
  <c r="Y75" i="10" a="1"/>
  <c r="Y75" i="10" s="1"/>
  <c r="Y71" i="10" a="1"/>
  <c r="Y71" i="10" s="1"/>
  <c r="Y138" i="10" a="1"/>
  <c r="Y138" i="10" s="1"/>
  <c r="Y76" i="10" a="1"/>
  <c r="Y76" i="10" s="1"/>
  <c r="Y65" i="10" a="1"/>
  <c r="Y65" i="10" s="1"/>
  <c r="Y51" i="10" a="1"/>
  <c r="Y51" i="10" s="1"/>
  <c r="Y61" i="10" a="1"/>
  <c r="Y61" i="10" s="1"/>
  <c r="Y55" i="10" a="1"/>
  <c r="Y55" i="10" s="1"/>
  <c r="Y59" i="10" a="1"/>
  <c r="Y59" i="10" s="1"/>
  <c r="Y56" i="10" a="1"/>
  <c r="Y56" i="10" s="1"/>
  <c r="Y45" i="10" a="1"/>
  <c r="Y45" i="10" s="1"/>
  <c r="Y44" i="10" a="1"/>
  <c r="Y44" i="10" s="1"/>
  <c r="Y49" i="10" a="1"/>
  <c r="Y49" i="10" s="1"/>
  <c r="Y36" i="10" a="1"/>
  <c r="Y36" i="10" s="1"/>
  <c r="Y125" i="10" a="1"/>
  <c r="Y125" i="10" s="1"/>
  <c r="Y70" i="10" a="1"/>
  <c r="Y70" i="10" s="1"/>
  <c r="Y46" i="10" a="1"/>
  <c r="Y46" i="10" s="1"/>
  <c r="Y50" i="10" a="1"/>
  <c r="Y50" i="10" s="1"/>
  <c r="Y116" i="10" a="1"/>
  <c r="Y116" i="10" s="1"/>
  <c r="Y110" i="10" a="1"/>
  <c r="Y110" i="10" s="1"/>
  <c r="Y40" i="10" a="1"/>
  <c r="Y40" i="10" s="1"/>
  <c r="Y39" i="10" a="1"/>
  <c r="Y39" i="10" s="1"/>
  <c r="Y126" i="10" a="1"/>
  <c r="Y126" i="10" s="1"/>
  <c r="Y120" i="10" a="1"/>
  <c r="Y120" i="10" s="1"/>
  <c r="Y114" i="10" a="1"/>
  <c r="Y114" i="10" s="1"/>
  <c r="Y41" i="10" a="1"/>
  <c r="Y41" i="10" s="1"/>
  <c r="Y35" i="10" a="1"/>
  <c r="Y35" i="10" s="1"/>
  <c r="Y111" i="10" a="1"/>
  <c r="Y111" i="10" s="1"/>
  <c r="Y121" i="10" a="1"/>
  <c r="Y121" i="10" s="1"/>
  <c r="Y115" i="10" a="1"/>
  <c r="Y115" i="10" s="1"/>
  <c r="Y109" i="10" a="1"/>
  <c r="Y109" i="10" s="1"/>
  <c r="Y96" i="10" a="1"/>
  <c r="Y96" i="10" s="1"/>
  <c r="Y106" i="10" a="1"/>
  <c r="Y106" i="10" s="1"/>
  <c r="Y100" i="10" a="1"/>
  <c r="Y100" i="10" s="1"/>
  <c r="Y94" i="10" a="1"/>
  <c r="Y94" i="10" s="1"/>
  <c r="Y84" i="10" a="1"/>
  <c r="Y84" i="10" s="1"/>
  <c r="Y25" i="10" a="1"/>
  <c r="Y25" i="10" s="1"/>
  <c r="Y34" i="10" a="1"/>
  <c r="Y34" i="10" s="1"/>
  <c r="Y23" i="10" a="1"/>
  <c r="Y23" i="10" s="1"/>
  <c r="Y101" i="10" a="1"/>
  <c r="Y101" i="10" s="1"/>
  <c r="Y85" i="10" a="1"/>
  <c r="Y85" i="10" s="1"/>
  <c r="Y29" i="10" a="1"/>
  <c r="Y29" i="10" s="1"/>
  <c r="Y124" i="10" a="1"/>
  <c r="Y124" i="10" s="1"/>
  <c r="Y24" i="10" a="1"/>
  <c r="Y24" i="10" s="1"/>
  <c r="Y18" i="10" a="1"/>
  <c r="Y18" i="10" s="1"/>
  <c r="Y86" i="10" a="1"/>
  <c r="Y86" i="10" s="1"/>
  <c r="Y16" i="10" a="1"/>
  <c r="Y16" i="10" s="1"/>
  <c r="Y119" i="10" a="1"/>
  <c r="Y119" i="10" s="1"/>
  <c r="Y105" i="10" a="1"/>
  <c r="Y105" i="10" s="1"/>
  <c r="Y95" i="10" a="1"/>
  <c r="Y95" i="10" s="1"/>
  <c r="Y104" i="10" a="1"/>
  <c r="Y104" i="10" s="1"/>
  <c r="Y30" i="10" a="1"/>
  <c r="Y30" i="10" s="1"/>
  <c r="Y99" i="10" a="1"/>
  <c r="Y99" i="10" s="1"/>
  <c r="Y31" i="10" a="1"/>
  <c r="Y31" i="10" s="1"/>
  <c r="Y22" i="10" a="1"/>
  <c r="Y22" i="10" s="1"/>
  <c r="AF139" i="10" a="1"/>
  <c r="AF139" i="10" s="1"/>
  <c r="AF137" i="10" a="1"/>
  <c r="AF137" i="10" s="1"/>
  <c r="AF141" i="10" a="1"/>
  <c r="AF141" i="10" s="1"/>
  <c r="AF89" i="10" a="1"/>
  <c r="AF89" i="10" s="1"/>
  <c r="AF140" i="10" a="1"/>
  <c r="AF140" i="10" s="1"/>
  <c r="AF138" i="10" a="1"/>
  <c r="AF138" i="10" s="1"/>
  <c r="AF91" i="10" a="1"/>
  <c r="AF91" i="10" s="1"/>
  <c r="AF81" i="10" a="1"/>
  <c r="AF81" i="10" s="1"/>
  <c r="AF131" i="10" a="1"/>
  <c r="AF131" i="10" s="1"/>
  <c r="AF80" i="10" a="1"/>
  <c r="AF80" i="10" s="1"/>
  <c r="AF79" i="10" a="1"/>
  <c r="AF79" i="10" s="1"/>
  <c r="AF76" i="10" a="1"/>
  <c r="AF76" i="10" s="1"/>
  <c r="AF136" i="10" a="1"/>
  <c r="AF136" i="10" s="1"/>
  <c r="AF75" i="10" a="1"/>
  <c r="AF75" i="10" s="1"/>
  <c r="AF130" i="10" a="1"/>
  <c r="AF130" i="10" s="1"/>
  <c r="AF90" i="10" a="1"/>
  <c r="AF90" i="10" s="1"/>
  <c r="AF64" i="10" a="1"/>
  <c r="AF64" i="10" s="1"/>
  <c r="AF132" i="10" a="1"/>
  <c r="AF132" i="10" s="1"/>
  <c r="AF74" i="10" a="1"/>
  <c r="AF74" i="10" s="1"/>
  <c r="AF69" i="10" a="1"/>
  <c r="AF69" i="10" s="1"/>
  <c r="AF71" i="10" a="1"/>
  <c r="AF71" i="10" s="1"/>
  <c r="AF59" i="10" a="1"/>
  <c r="AF59" i="10" s="1"/>
  <c r="AF56" i="10" a="1"/>
  <c r="AF56" i="10" s="1"/>
  <c r="AF55" i="10" a="1"/>
  <c r="AF55" i="10" s="1"/>
  <c r="AF54" i="10" a="1"/>
  <c r="AF54" i="10" s="1"/>
  <c r="AF66" i="10" a="1"/>
  <c r="AF66" i="10" s="1"/>
  <c r="AF65" i="10" a="1"/>
  <c r="AF65" i="10" s="1"/>
  <c r="AF70" i="10" a="1"/>
  <c r="AF70" i="10" s="1"/>
  <c r="AF61" i="10" a="1"/>
  <c r="AF61" i="10" s="1"/>
  <c r="AF60" i="10" a="1"/>
  <c r="AF60" i="10" s="1"/>
  <c r="AF49" i="10" a="1"/>
  <c r="AF49" i="10" s="1"/>
  <c r="AF50" i="10" a="1"/>
  <c r="AF50" i="10" s="1"/>
  <c r="AF36" i="10" a="1"/>
  <c r="AF36" i="10" s="1"/>
  <c r="AF44" i="10" a="1"/>
  <c r="AF44" i="10" s="1"/>
  <c r="AF51" i="10" a="1"/>
  <c r="AF51" i="10" s="1"/>
  <c r="AF45" i="10" a="1"/>
  <c r="AF45" i="10" s="1"/>
  <c r="AF34" i="10" a="1"/>
  <c r="AF34" i="10" s="1"/>
  <c r="AF39" i="10" a="1"/>
  <c r="AF39" i="10" s="1"/>
  <c r="AF120" i="10" a="1"/>
  <c r="AF120" i="10" s="1"/>
  <c r="AF114" i="10" a="1"/>
  <c r="AF114" i="10" s="1"/>
  <c r="AF124" i="10" a="1"/>
  <c r="AF124" i="10" s="1"/>
  <c r="AF111" i="10" a="1"/>
  <c r="AF111" i="10" s="1"/>
  <c r="AF46" i="10" a="1"/>
  <c r="AF46" i="10" s="1"/>
  <c r="AF121" i="10" a="1"/>
  <c r="AF121" i="10" s="1"/>
  <c r="AF115" i="10" a="1"/>
  <c r="AF115" i="10" s="1"/>
  <c r="AF109" i="10" a="1"/>
  <c r="AF109" i="10" s="1"/>
  <c r="AF35" i="10" a="1"/>
  <c r="AF35" i="10" s="1"/>
  <c r="AF119" i="10" a="1"/>
  <c r="AF119" i="10" s="1"/>
  <c r="AF116" i="10" a="1"/>
  <c r="AF116" i="10" s="1"/>
  <c r="AF96" i="10" a="1"/>
  <c r="AF96" i="10" s="1"/>
  <c r="AF125" i="10" a="1"/>
  <c r="AF125" i="10" s="1"/>
  <c r="AF106" i="10" a="1"/>
  <c r="AF106" i="10" s="1"/>
  <c r="AF100" i="10" a="1"/>
  <c r="AF100" i="10" s="1"/>
  <c r="AF94" i="10" a="1"/>
  <c r="AF94" i="10" s="1"/>
  <c r="AF110" i="10" a="1"/>
  <c r="AF110" i="10" s="1"/>
  <c r="AF104" i="10" a="1"/>
  <c r="AF104" i="10" s="1"/>
  <c r="AF126" i="10" a="1"/>
  <c r="AF126" i="10" s="1"/>
  <c r="AF99" i="10" a="1"/>
  <c r="AF99" i="10" s="1"/>
  <c r="AF95" i="10" a="1"/>
  <c r="AF95" i="10" s="1"/>
  <c r="AF23" i="10" a="1"/>
  <c r="AF23" i="10" s="1"/>
  <c r="AF40" i="10" a="1"/>
  <c r="AF40" i="10" s="1"/>
  <c r="AF41" i="10" a="1"/>
  <c r="AF41" i="10" s="1"/>
  <c r="AF24" i="10" a="1"/>
  <c r="AF24" i="10" s="1"/>
  <c r="AF105" i="10" a="1"/>
  <c r="AF105" i="10" s="1"/>
  <c r="AF31" i="10" a="1"/>
  <c r="AF31" i="10" s="1"/>
  <c r="AF16" i="10" a="1"/>
  <c r="AF16" i="10" s="1"/>
  <c r="AF85" i="10" a="1"/>
  <c r="AF85" i="10" s="1"/>
  <c r="AF29" i="10" a="1"/>
  <c r="AF29" i="10" s="1"/>
  <c r="AF17" i="10" a="1"/>
  <c r="AF17" i="10" s="1"/>
  <c r="AF86" i="10" a="1"/>
  <c r="AF86" i="10" s="1"/>
  <c r="AF30" i="10" a="1"/>
  <c r="AF30" i="10" s="1"/>
  <c r="AR139" i="10" a="1"/>
  <c r="AR139" i="10" s="1"/>
  <c r="AR137" i="10" a="1"/>
  <c r="AR137" i="10" s="1"/>
  <c r="AR131" i="10" a="1"/>
  <c r="AR131" i="10" s="1"/>
  <c r="AR89" i="10" a="1"/>
  <c r="AR89" i="10" s="1"/>
  <c r="AR132" i="10" a="1"/>
  <c r="AR132" i="10" s="1"/>
  <c r="AR140" i="10" a="1"/>
  <c r="AR140" i="10" s="1"/>
  <c r="AR138" i="10" a="1"/>
  <c r="AR138" i="10" s="1"/>
  <c r="AR141" i="10" a="1"/>
  <c r="AR141" i="10" s="1"/>
  <c r="AR130" i="10" a="1"/>
  <c r="AR130" i="10" s="1"/>
  <c r="AR81" i="10" a="1"/>
  <c r="AR81" i="10" s="1"/>
  <c r="AR136" i="10" a="1"/>
  <c r="AR136" i="10" s="1"/>
  <c r="AR79" i="10" a="1"/>
  <c r="AR79" i="10" s="1"/>
  <c r="AR80" i="10" a="1"/>
  <c r="AR80" i="10" s="1"/>
  <c r="AR76" i="10" a="1"/>
  <c r="AR76" i="10" s="1"/>
  <c r="AR64" i="10" a="1"/>
  <c r="AR64" i="10" s="1"/>
  <c r="AR70" i="10" a="1"/>
  <c r="AR70" i="10" s="1"/>
  <c r="AR75" i="10" a="1"/>
  <c r="AR75" i="10" s="1"/>
  <c r="AR69" i="10" a="1"/>
  <c r="AR69" i="10" s="1"/>
  <c r="AR66" i="10" a="1"/>
  <c r="AR66" i="10" s="1"/>
  <c r="AR65" i="10" a="1"/>
  <c r="AR65" i="10" s="1"/>
  <c r="AR90" i="10" a="1"/>
  <c r="AR90" i="10" s="1"/>
  <c r="AR91" i="10" a="1"/>
  <c r="AR91" i="10" s="1"/>
  <c r="AR59" i="10" a="1"/>
  <c r="AR59" i="10" s="1"/>
  <c r="AR71" i="10" a="1"/>
  <c r="AR71" i="10" s="1"/>
  <c r="AR60" i="10" a="1"/>
  <c r="AR60" i="10" s="1"/>
  <c r="AR61" i="10" a="1"/>
  <c r="AR61" i="10" s="1"/>
  <c r="AR51" i="10" a="1"/>
  <c r="AR51" i="10" s="1"/>
  <c r="AR55" i="10" a="1"/>
  <c r="AR55" i="10" s="1"/>
  <c r="AR74" i="10" a="1"/>
  <c r="AR74" i="10" s="1"/>
  <c r="AR44" i="10" a="1"/>
  <c r="AR44" i="10" s="1"/>
  <c r="AR45" i="10" a="1"/>
  <c r="AR45" i="10" s="1"/>
  <c r="AR36" i="10" a="1"/>
  <c r="AR36" i="10" s="1"/>
  <c r="AR41" i="10" a="1"/>
  <c r="AR41" i="10" s="1"/>
  <c r="AR34" i="10" a="1"/>
  <c r="AR34" i="10" s="1"/>
  <c r="AR50" i="10" a="1"/>
  <c r="AR50" i="10" s="1"/>
  <c r="AR39" i="10" a="1"/>
  <c r="AR39" i="10" s="1"/>
  <c r="AR56" i="10" a="1"/>
  <c r="AR56" i="10" s="1"/>
  <c r="AR54" i="10" a="1"/>
  <c r="AR54" i="10" s="1"/>
  <c r="AR126" i="10" a="1"/>
  <c r="AR126" i="10" s="1"/>
  <c r="AR120" i="10" a="1"/>
  <c r="AR120" i="10" s="1"/>
  <c r="AR114" i="10" a="1"/>
  <c r="AR114" i="10" s="1"/>
  <c r="AR111" i="10" a="1"/>
  <c r="AR111" i="10" s="1"/>
  <c r="AR125" i="10" a="1"/>
  <c r="AR125" i="10" s="1"/>
  <c r="AR124" i="10" a="1"/>
  <c r="AR124" i="10" s="1"/>
  <c r="AR121" i="10" a="1"/>
  <c r="AR121" i="10" s="1"/>
  <c r="AR115" i="10" a="1"/>
  <c r="AR115" i="10" s="1"/>
  <c r="AR109" i="10" a="1"/>
  <c r="AR109" i="10" s="1"/>
  <c r="AR119" i="10" a="1"/>
  <c r="AR119" i="10" s="1"/>
  <c r="AR96" i="10" a="1"/>
  <c r="AR96" i="10" s="1"/>
  <c r="AR116" i="10" a="1"/>
  <c r="AR116" i="10" s="1"/>
  <c r="AR106" i="10" a="1"/>
  <c r="AR106" i="10" s="1"/>
  <c r="AR100" i="10" a="1"/>
  <c r="AR100" i="10" s="1"/>
  <c r="AR94" i="10" a="1"/>
  <c r="AR94" i="10" s="1"/>
  <c r="AR104" i="10" a="1"/>
  <c r="AR104" i="10" s="1"/>
  <c r="AR110" i="10" a="1"/>
  <c r="AR110" i="10" s="1"/>
  <c r="AR40" i="10" a="1"/>
  <c r="AR40" i="10" s="1"/>
  <c r="AR23" i="10" a="1"/>
  <c r="AR23" i="10" s="1"/>
  <c r="AR105" i="10" a="1"/>
  <c r="AR105" i="10" s="1"/>
  <c r="AR86" i="10" a="1"/>
  <c r="AR86" i="10" s="1"/>
  <c r="AR49" i="10" a="1"/>
  <c r="AR49" i="10" s="1"/>
  <c r="AR24" i="10" a="1"/>
  <c r="AR24" i="10" s="1"/>
  <c r="AR35" i="10" a="1"/>
  <c r="AR35" i="10" s="1"/>
  <c r="AR101" i="10" a="1"/>
  <c r="AR101" i="10" s="1"/>
  <c r="AR99" i="10" a="1"/>
  <c r="AR99" i="10" s="1"/>
  <c r="AR16" i="10" a="1"/>
  <c r="AR16" i="10" s="1"/>
  <c r="AR29" i="10" a="1"/>
  <c r="AR29" i="10" s="1"/>
  <c r="AR85" i="10" a="1"/>
  <c r="AR85" i="10" s="1"/>
  <c r="AR46" i="10" a="1"/>
  <c r="AR46" i="10" s="1"/>
  <c r="AR22" i="10" a="1"/>
  <c r="AR22" i="10" s="1"/>
  <c r="AR17" i="10" a="1"/>
  <c r="AR17" i="10" s="1"/>
  <c r="AR30" i="10" a="1"/>
  <c r="AR30" i="10" s="1"/>
  <c r="AR25" i="10" a="1"/>
  <c r="AR25" i="10" s="1"/>
  <c r="AR95" i="10" a="1"/>
  <c r="AR95" i="10" s="1"/>
  <c r="AB15" i="10" a="1"/>
  <c r="AB15" i="10" s="1"/>
  <c r="U137" i="10" a="1"/>
  <c r="U137" i="10" s="1"/>
  <c r="U140" i="10" a="1"/>
  <c r="U140" i="10" s="1"/>
  <c r="U141" i="10" a="1"/>
  <c r="U141" i="10" s="1"/>
  <c r="U132" i="10" a="1"/>
  <c r="U132" i="10" s="1"/>
  <c r="U139" i="10" a="1"/>
  <c r="U139" i="10" s="1"/>
  <c r="U91" i="10" a="1"/>
  <c r="U91" i="10" s="1"/>
  <c r="U90" i="10" a="1"/>
  <c r="U90" i="10" s="1"/>
  <c r="U76" i="10" a="1"/>
  <c r="U76" i="10" s="1"/>
  <c r="U130" i="10" a="1"/>
  <c r="U130" i="10" s="1"/>
  <c r="U131" i="10" a="1"/>
  <c r="U131" i="10" s="1"/>
  <c r="U81" i="10" a="1"/>
  <c r="U81" i="10" s="1"/>
  <c r="U80" i="10" a="1"/>
  <c r="U80" i="10" s="1"/>
  <c r="U89" i="10" a="1"/>
  <c r="U89" i="10" s="1"/>
  <c r="U71" i="10" a="1"/>
  <c r="U71" i="10" s="1"/>
  <c r="U61" i="10" a="1"/>
  <c r="U61" i="10" s="1"/>
  <c r="U65" i="10" a="1"/>
  <c r="U65" i="10" s="1"/>
  <c r="U70" i="10" a="1"/>
  <c r="U70" i="10" s="1"/>
  <c r="U138" i="10" a="1"/>
  <c r="U138" i="10" s="1"/>
  <c r="U50" i="10" a="1"/>
  <c r="U50" i="10" s="1"/>
  <c r="U64" i="10" a="1"/>
  <c r="U64" i="10" s="1"/>
  <c r="U136" i="10" a="1"/>
  <c r="U136" i="10" s="1"/>
  <c r="U79" i="10" a="1"/>
  <c r="U79" i="10" s="1"/>
  <c r="U56" i="10" a="1"/>
  <c r="U56" i="10" s="1"/>
  <c r="U51" i="10" a="1"/>
  <c r="U51" i="10" s="1"/>
  <c r="U54" i="10" a="1"/>
  <c r="U54" i="10" s="1"/>
  <c r="U45" i="10" a="1"/>
  <c r="U45" i="10" s="1"/>
  <c r="U44" i="10" a="1"/>
  <c r="U44" i="10" s="1"/>
  <c r="U40" i="10" a="1"/>
  <c r="U40" i="10" s="1"/>
  <c r="U69" i="10" a="1"/>
  <c r="U69" i="10" s="1"/>
  <c r="U60" i="10" a="1"/>
  <c r="U60" i="10" s="1"/>
  <c r="U46" i="10" a="1"/>
  <c r="U46" i="10" s="1"/>
  <c r="U55" i="10" a="1"/>
  <c r="U55" i="10" s="1"/>
  <c r="U34" i="10" a="1"/>
  <c r="U34" i="10" s="1"/>
  <c r="U74" i="10" a="1"/>
  <c r="U74" i="10" s="1"/>
  <c r="U126" i="10" a="1"/>
  <c r="U126" i="10" s="1"/>
  <c r="U75" i="10" a="1"/>
  <c r="U75" i="10" s="1"/>
  <c r="U49" i="10" a="1"/>
  <c r="U49" i="10" s="1"/>
  <c r="U41" i="10" a="1"/>
  <c r="U41" i="10" s="1"/>
  <c r="U66" i="10" a="1"/>
  <c r="U66" i="10" s="1"/>
  <c r="U124" i="10" a="1"/>
  <c r="U124" i="10" s="1"/>
  <c r="U111" i="10" a="1"/>
  <c r="U111" i="10" s="1"/>
  <c r="U36" i="10" a="1"/>
  <c r="U36" i="10" s="1"/>
  <c r="U121" i="10" a="1"/>
  <c r="U121" i="10" s="1"/>
  <c r="U115" i="10" a="1"/>
  <c r="U115" i="10" s="1"/>
  <c r="U109" i="10" a="1"/>
  <c r="U109" i="10" s="1"/>
  <c r="U119" i="10" a="1"/>
  <c r="U119" i="10" s="1"/>
  <c r="U39" i="10" a="1"/>
  <c r="U39" i="10" s="1"/>
  <c r="U59" i="10" a="1"/>
  <c r="U59" i="10" s="1"/>
  <c r="U35" i="10" a="1"/>
  <c r="U35" i="10" s="1"/>
  <c r="U110" i="10" a="1"/>
  <c r="U110" i="10" s="1"/>
  <c r="U106" i="10" a="1"/>
  <c r="U106" i="10" s="1"/>
  <c r="U100" i="10" a="1"/>
  <c r="U100" i="10" s="1"/>
  <c r="U94" i="10" a="1"/>
  <c r="U94" i="10" s="1"/>
  <c r="U104" i="10" a="1"/>
  <c r="U104" i="10" s="1"/>
  <c r="U101" i="10" a="1"/>
  <c r="U101" i="10" s="1"/>
  <c r="U95" i="10" a="1"/>
  <c r="U95" i="10" s="1"/>
  <c r="U99" i="10" a="1"/>
  <c r="U99" i="10" s="1"/>
  <c r="U31" i="10" a="1"/>
  <c r="U31" i="10" s="1"/>
  <c r="U120" i="10" a="1"/>
  <c r="U120" i="10" s="1"/>
  <c r="U85" i="10" a="1"/>
  <c r="U85" i="10" s="1"/>
  <c r="U125" i="10" a="1"/>
  <c r="U125" i="10" s="1"/>
  <c r="U105" i="10" a="1"/>
  <c r="U105" i="10" s="1"/>
  <c r="U86" i="10" a="1"/>
  <c r="U86" i="10" s="1"/>
  <c r="U114" i="10" a="1"/>
  <c r="U114" i="10" s="1"/>
  <c r="U23" i="10" a="1"/>
  <c r="U23" i="10" s="1"/>
  <c r="U22" i="10" a="1"/>
  <c r="U22" i="10" s="1"/>
  <c r="U96" i="10" a="1"/>
  <c r="U96" i="10" s="1"/>
  <c r="U24" i="10" a="1"/>
  <c r="U24" i="10" s="1"/>
  <c r="U29" i="10" a="1"/>
  <c r="U29" i="10" s="1"/>
  <c r="U15" i="10" a="1"/>
  <c r="U15" i="10" s="1"/>
  <c r="U84" i="10" a="1"/>
  <c r="U84" i="10" s="1"/>
  <c r="U30" i="10" a="1"/>
  <c r="U30" i="10" s="1"/>
  <c r="AG137" i="10" a="1"/>
  <c r="AG137" i="10" s="1"/>
  <c r="AG140" i="10" a="1"/>
  <c r="AG140" i="10" s="1"/>
  <c r="AG139" i="10" a="1"/>
  <c r="AG139" i="10" s="1"/>
  <c r="AG130" i="10" a="1"/>
  <c r="AG130" i="10" s="1"/>
  <c r="AG138" i="10" a="1"/>
  <c r="AG138" i="10" s="1"/>
  <c r="AG91" i="10" a="1"/>
  <c r="AG91" i="10" s="1"/>
  <c r="AG81" i="10" a="1"/>
  <c r="AG81" i="10" s="1"/>
  <c r="AG136" i="10" a="1"/>
  <c r="AG136" i="10" s="1"/>
  <c r="AG76" i="10" a="1"/>
  <c r="AG76" i="10" s="1"/>
  <c r="AG141" i="10" a="1"/>
  <c r="AG141" i="10" s="1"/>
  <c r="AG89" i="10" a="1"/>
  <c r="AG89" i="10" s="1"/>
  <c r="AG79" i="10" a="1"/>
  <c r="AG79" i="10" s="1"/>
  <c r="AG74" i="10" a="1"/>
  <c r="AG74" i="10" s="1"/>
  <c r="AG61" i="10" a="1"/>
  <c r="AG61" i="10" s="1"/>
  <c r="AG132" i="10" a="1"/>
  <c r="AG132" i="10" s="1"/>
  <c r="AG69" i="10" a="1"/>
  <c r="AG69" i="10" s="1"/>
  <c r="AG71" i="10" a="1"/>
  <c r="AG71" i="10" s="1"/>
  <c r="AG65" i="10" a="1"/>
  <c r="AG65" i="10" s="1"/>
  <c r="AG131" i="10" a="1"/>
  <c r="AG131" i="10" s="1"/>
  <c r="AG80" i="10" a="1"/>
  <c r="AG80" i="10" s="1"/>
  <c r="AG59" i="10" a="1"/>
  <c r="AG59" i="10" s="1"/>
  <c r="AG56" i="10" a="1"/>
  <c r="AG56" i="10" s="1"/>
  <c r="AG55" i="10" a="1"/>
  <c r="AG55" i="10" s="1"/>
  <c r="AG54" i="10" a="1"/>
  <c r="AG54" i="10" s="1"/>
  <c r="AG51" i="10" a="1"/>
  <c r="AG51" i="10" s="1"/>
  <c r="AG60" i="10" a="1"/>
  <c r="AG60" i="10" s="1"/>
  <c r="AG66" i="10" a="1"/>
  <c r="AG66" i="10" s="1"/>
  <c r="AG50" i="10" a="1"/>
  <c r="AG50" i="10" s="1"/>
  <c r="AG70" i="10" a="1"/>
  <c r="AG70" i="10" s="1"/>
  <c r="AG90" i="10" a="1"/>
  <c r="AG90" i="10" s="1"/>
  <c r="AG75" i="10" a="1"/>
  <c r="AG75" i="10" s="1"/>
  <c r="AG45" i="10" a="1"/>
  <c r="AG45" i="10" s="1"/>
  <c r="AG34" i="10" a="1"/>
  <c r="AG34" i="10" s="1"/>
  <c r="AG39" i="10" a="1"/>
  <c r="AG39" i="10" s="1"/>
  <c r="AG40" i="10" a="1"/>
  <c r="AG40" i="10" s="1"/>
  <c r="AG126" i="10" a="1"/>
  <c r="AG126" i="10" s="1"/>
  <c r="AG49" i="10" a="1"/>
  <c r="AG49" i="10" s="1"/>
  <c r="AG64" i="10" a="1"/>
  <c r="AG64" i="10" s="1"/>
  <c r="AG44" i="10" a="1"/>
  <c r="AG44" i="10" s="1"/>
  <c r="AG36" i="10" a="1"/>
  <c r="AG36" i="10" s="1"/>
  <c r="AG124" i="10" a="1"/>
  <c r="AG124" i="10" s="1"/>
  <c r="AG111" i="10" a="1"/>
  <c r="AG111" i="10" s="1"/>
  <c r="AG121" i="10" a="1"/>
  <c r="AG121" i="10" s="1"/>
  <c r="AG115" i="10" a="1"/>
  <c r="AG115" i="10" s="1"/>
  <c r="AG109" i="10" a="1"/>
  <c r="AG109" i="10" s="1"/>
  <c r="AG35" i="10" a="1"/>
  <c r="AG35" i="10" s="1"/>
  <c r="AG119" i="10" a="1"/>
  <c r="AG119" i="10" s="1"/>
  <c r="AG125" i="10" a="1"/>
  <c r="AG125" i="10" s="1"/>
  <c r="AG106" i="10" a="1"/>
  <c r="AG106" i="10" s="1"/>
  <c r="AG100" i="10" a="1"/>
  <c r="AG100" i="10" s="1"/>
  <c r="AG94" i="10" a="1"/>
  <c r="AG94" i="10" s="1"/>
  <c r="AG110" i="10" a="1"/>
  <c r="AG110" i="10" s="1"/>
  <c r="AG104" i="10" a="1"/>
  <c r="AG104" i="10" s="1"/>
  <c r="AG41" i="10" a="1"/>
  <c r="AG41" i="10" s="1"/>
  <c r="AG120" i="10" a="1"/>
  <c r="AG120" i="10" s="1"/>
  <c r="AG114" i="10" a="1"/>
  <c r="AG114" i="10" s="1"/>
  <c r="AG101" i="10" a="1"/>
  <c r="AG101" i="10" s="1"/>
  <c r="AG95" i="10" a="1"/>
  <c r="AG95" i="10" s="1"/>
  <c r="AG46" i="10" a="1"/>
  <c r="AG46" i="10" s="1"/>
  <c r="AG31" i="10" a="1"/>
  <c r="AG31" i="10" s="1"/>
  <c r="AG85" i="10" a="1"/>
  <c r="AG85" i="10" s="1"/>
  <c r="AG105" i="10" a="1"/>
  <c r="AG105" i="10" s="1"/>
  <c r="AG116" i="10" a="1"/>
  <c r="AG116" i="10" s="1"/>
  <c r="AG96" i="10" a="1"/>
  <c r="AG96" i="10" s="1"/>
  <c r="AG24" i="10" a="1"/>
  <c r="AG24" i="10" s="1"/>
  <c r="AG29" i="10" a="1"/>
  <c r="AG29" i="10" s="1"/>
  <c r="AG99" i="10" a="1"/>
  <c r="AG99" i="10" s="1"/>
  <c r="AG15" i="10" a="1"/>
  <c r="AG15" i="10" s="1"/>
  <c r="AG30" i="10" a="1"/>
  <c r="AG30" i="10" s="1"/>
  <c r="AG86" i="10" a="1"/>
  <c r="AG86" i="10" s="1"/>
  <c r="AG25" i="10" a="1"/>
  <c r="AG25" i="10" s="1"/>
  <c r="AG84" i="10" a="1"/>
  <c r="AG84" i="10" s="1"/>
  <c r="AS137" i="10" a="1"/>
  <c r="AS137" i="10" s="1"/>
  <c r="AS140" i="10" a="1"/>
  <c r="AS140" i="10" s="1"/>
  <c r="AS132" i="10" a="1"/>
  <c r="AS132" i="10" s="1"/>
  <c r="AS138" i="10" a="1"/>
  <c r="AS138" i="10" s="1"/>
  <c r="AS141" i="10" a="1"/>
  <c r="AS141" i="10" s="1"/>
  <c r="AS130" i="10" a="1"/>
  <c r="AS130" i="10" s="1"/>
  <c r="AS81" i="10" a="1"/>
  <c r="AS81" i="10" s="1"/>
  <c r="AS89" i="10" a="1"/>
  <c r="AS89" i="10" s="1"/>
  <c r="AS79" i="10" a="1"/>
  <c r="AS79" i="10" s="1"/>
  <c r="AS80" i="10" a="1"/>
  <c r="AS80" i="10" s="1"/>
  <c r="AS76" i="10" a="1"/>
  <c r="AS76" i="10" s="1"/>
  <c r="AS131" i="10" a="1"/>
  <c r="AS131" i="10" s="1"/>
  <c r="AS139" i="10" a="1"/>
  <c r="AS139" i="10" s="1"/>
  <c r="AS91" i="10" a="1"/>
  <c r="AS91" i="10" s="1"/>
  <c r="AS90" i="10" a="1"/>
  <c r="AS90" i="10" s="1"/>
  <c r="AS70" i="10" a="1"/>
  <c r="AS70" i="10" s="1"/>
  <c r="AS61" i="10" a="1"/>
  <c r="AS61" i="10" s="1"/>
  <c r="AS75" i="10" a="1"/>
  <c r="AS75" i="10" s="1"/>
  <c r="AS65" i="10" a="1"/>
  <c r="AS65" i="10" s="1"/>
  <c r="AS59" i="10" a="1"/>
  <c r="AS59" i="10" s="1"/>
  <c r="AS56" i="10" a="1"/>
  <c r="AS56" i="10" s="1"/>
  <c r="AS55" i="10" a="1"/>
  <c r="AS55" i="10" s="1"/>
  <c r="AS54" i="10" a="1"/>
  <c r="AS54" i="10" s="1"/>
  <c r="AS51" i="10" a="1"/>
  <c r="AS51" i="10" s="1"/>
  <c r="AS50" i="10" a="1"/>
  <c r="AS50" i="10" s="1"/>
  <c r="AS64" i="10" a="1"/>
  <c r="AS64" i="10" s="1"/>
  <c r="AS66" i="10" a="1"/>
  <c r="AS66" i="10" s="1"/>
  <c r="AS49" i="10" a="1"/>
  <c r="AS49" i="10" s="1"/>
  <c r="AS74" i="10" a="1"/>
  <c r="AS74" i="10" s="1"/>
  <c r="AS45" i="10" a="1"/>
  <c r="AS45" i="10" s="1"/>
  <c r="AS136" i="10" a="1"/>
  <c r="AS136" i="10" s="1"/>
  <c r="AS41" i="10" a="1"/>
  <c r="AS41" i="10" s="1"/>
  <c r="AS34" i="10" a="1"/>
  <c r="AS34" i="10" s="1"/>
  <c r="AS69" i="10" a="1"/>
  <c r="AS69" i="10" s="1"/>
  <c r="AS39" i="10" a="1"/>
  <c r="AS39" i="10" s="1"/>
  <c r="AS126" i="10" a="1"/>
  <c r="AS126" i="10" s="1"/>
  <c r="AS60" i="10" a="1"/>
  <c r="AS60" i="10" s="1"/>
  <c r="AS46" i="10" a="1"/>
  <c r="AS46" i="10" s="1"/>
  <c r="AS40" i="10" a="1"/>
  <c r="AS40" i="10" s="1"/>
  <c r="AS111" i="10" a="1"/>
  <c r="AS111" i="10" s="1"/>
  <c r="AS35" i="10" a="1"/>
  <c r="AS35" i="10" s="1"/>
  <c r="AS125" i="10" a="1"/>
  <c r="AS125" i="10" s="1"/>
  <c r="AS124" i="10" a="1"/>
  <c r="AS124" i="10" s="1"/>
  <c r="AS121" i="10" a="1"/>
  <c r="AS121" i="10" s="1"/>
  <c r="AS115" i="10" a="1"/>
  <c r="AS115" i="10" s="1"/>
  <c r="AS109" i="10" a="1"/>
  <c r="AS109" i="10" s="1"/>
  <c r="AS44" i="10" a="1"/>
  <c r="AS44" i="10" s="1"/>
  <c r="AS119" i="10" a="1"/>
  <c r="AS119" i="10" s="1"/>
  <c r="AS116" i="10" a="1"/>
  <c r="AS116" i="10" s="1"/>
  <c r="AS106" i="10" a="1"/>
  <c r="AS106" i="10" s="1"/>
  <c r="AS100" i="10" a="1"/>
  <c r="AS100" i="10" s="1"/>
  <c r="AS94" i="10" a="1"/>
  <c r="AS94" i="10" s="1"/>
  <c r="AS104" i="10" a="1"/>
  <c r="AS104" i="10" s="1"/>
  <c r="AS110" i="10" a="1"/>
  <c r="AS110" i="10" s="1"/>
  <c r="AS101" i="10" a="1"/>
  <c r="AS101" i="10" s="1"/>
  <c r="AS95" i="10" a="1"/>
  <c r="AS95" i="10" s="1"/>
  <c r="AS31" i="10" a="1"/>
  <c r="AS31" i="10" s="1"/>
  <c r="AS71" i="10" a="1"/>
  <c r="AS71" i="10" s="1"/>
  <c r="AS85" i="10" a="1"/>
  <c r="AS85" i="10" s="1"/>
  <c r="AS120" i="10" a="1"/>
  <c r="AS120" i="10" s="1"/>
  <c r="AS105" i="10" a="1"/>
  <c r="AS105" i="10" s="1"/>
  <c r="AS96" i="10" a="1"/>
  <c r="AS96" i="10" s="1"/>
  <c r="AS36" i="10" a="1"/>
  <c r="AS36" i="10" s="1"/>
  <c r="AS86" i="10" a="1"/>
  <c r="AS86" i="10" s="1"/>
  <c r="AS24" i="10" a="1"/>
  <c r="AS24" i="10" s="1"/>
  <c r="AS29" i="10" a="1"/>
  <c r="AS29" i="10" s="1"/>
  <c r="AS22" i="10" a="1"/>
  <c r="AS22" i="10" s="1"/>
  <c r="AS30" i="10" a="1"/>
  <c r="AS30" i="10" s="1"/>
  <c r="AS25" i="10" a="1"/>
  <c r="AS25" i="10" s="1"/>
  <c r="AS15" i="10" a="1"/>
  <c r="AS15" i="10" s="1"/>
  <c r="AS114" i="10" a="1"/>
  <c r="AS114" i="10" s="1"/>
  <c r="AS84" i="10" a="1"/>
  <c r="AS84" i="10" s="1"/>
  <c r="AG17" i="10" a="1"/>
  <c r="AG17" i="10" s="1"/>
  <c r="AV17" i="10" a="1"/>
  <c r="AV17" i="10" s="1"/>
  <c r="AR18" i="10" a="1"/>
  <c r="AR18" i="10" s="1"/>
  <c r="AS99" i="10" a="1"/>
  <c r="AS99" i="10" s="1"/>
  <c r="AW141" i="10" a="1"/>
  <c r="AW141" i="10" s="1"/>
  <c r="AW131" i="10" a="1"/>
  <c r="AW131" i="10" s="1"/>
  <c r="AW139" i="10" a="1"/>
  <c r="AW139" i="10" s="1"/>
  <c r="AW137" i="10" a="1"/>
  <c r="AW137" i="10" s="1"/>
  <c r="AW138" i="10" a="1"/>
  <c r="AW138" i="10" s="1"/>
  <c r="AW91" i="10" a="1"/>
  <c r="AW91" i="10" s="1"/>
  <c r="AW136" i="10" a="1"/>
  <c r="AW136" i="10" s="1"/>
  <c r="AW90" i="10" a="1"/>
  <c r="AW90" i="10" s="1"/>
  <c r="AW75" i="10" a="1"/>
  <c r="AW75" i="10" s="1"/>
  <c r="AW81" i="10" a="1"/>
  <c r="AW81" i="10" s="1"/>
  <c r="AW140" i="10" a="1"/>
  <c r="AW140" i="10" s="1"/>
  <c r="AW130" i="10" a="1"/>
  <c r="AW130" i="10" s="1"/>
  <c r="AW79" i="10" a="1"/>
  <c r="AW79" i="10" s="1"/>
  <c r="AW69" i="10" a="1"/>
  <c r="AW69" i="10" s="1"/>
  <c r="AW132" i="10" a="1"/>
  <c r="AW132" i="10" s="1"/>
  <c r="AW76" i="10" a="1"/>
  <c r="AW76" i="10" s="1"/>
  <c r="AW66" i="10" a="1"/>
  <c r="AW66" i="10" s="1"/>
  <c r="AW60" i="10" a="1"/>
  <c r="AW60" i="10" s="1"/>
  <c r="AW54" i="10" a="1"/>
  <c r="AW54" i="10" s="1"/>
  <c r="AW89" i="10" a="1"/>
  <c r="AW89" i="10" s="1"/>
  <c r="AW74" i="10" a="1"/>
  <c r="AW74" i="10" s="1"/>
  <c r="AW71" i="10" a="1"/>
  <c r="AW71" i="10" s="1"/>
  <c r="AW64" i="10" a="1"/>
  <c r="AW64" i="10" s="1"/>
  <c r="AW80" i="10" a="1"/>
  <c r="AW80" i="10" s="1"/>
  <c r="AW70" i="10" a="1"/>
  <c r="AW70" i="10" s="1"/>
  <c r="AW61" i="10" a="1"/>
  <c r="AW61" i="10" s="1"/>
  <c r="AW65" i="10" a="1"/>
  <c r="AW65" i="10" s="1"/>
  <c r="AW55" i="10" a="1"/>
  <c r="AW55" i="10" s="1"/>
  <c r="AW56" i="10" a="1"/>
  <c r="AW56" i="10" s="1"/>
  <c r="AW59" i="10" a="1"/>
  <c r="AW59" i="10" s="1"/>
  <c r="AW46" i="10" a="1"/>
  <c r="AW46" i="10" s="1"/>
  <c r="AW40" i="10" a="1"/>
  <c r="AW40" i="10" s="1"/>
  <c r="AW51" i="10" a="1"/>
  <c r="AW51" i="10" s="1"/>
  <c r="AW36" i="10" a="1"/>
  <c r="AW36" i="10" s="1"/>
  <c r="AW125" i="10" a="1"/>
  <c r="AW125" i="10" s="1"/>
  <c r="AW44" i="10" a="1"/>
  <c r="AW44" i="10" s="1"/>
  <c r="AW45" i="10" a="1"/>
  <c r="AW45" i="10" s="1"/>
  <c r="AW41" i="10" a="1"/>
  <c r="AW41" i="10" s="1"/>
  <c r="AW116" i="10" a="1"/>
  <c r="AW116" i="10" s="1"/>
  <c r="AW110" i="10" a="1"/>
  <c r="AW110" i="10" s="1"/>
  <c r="AW120" i="10" a="1"/>
  <c r="AW120" i="10" s="1"/>
  <c r="AW114" i="10" a="1"/>
  <c r="AW114" i="10" s="1"/>
  <c r="AW111" i="10" a="1"/>
  <c r="AW111" i="10" s="1"/>
  <c r="AW34" i="10" a="1"/>
  <c r="AW34" i="10" s="1"/>
  <c r="AW126" i="10" a="1"/>
  <c r="AW126" i="10" s="1"/>
  <c r="AW49" i="10" a="1"/>
  <c r="AW49" i="10" s="1"/>
  <c r="AW39" i="10" a="1"/>
  <c r="AW39" i="10" s="1"/>
  <c r="AW121" i="10" a="1"/>
  <c r="AW121" i="10" s="1"/>
  <c r="AW115" i="10" a="1"/>
  <c r="AW115" i="10" s="1"/>
  <c r="AW109" i="10" a="1"/>
  <c r="AW109" i="10" s="1"/>
  <c r="AW50" i="10" a="1"/>
  <c r="AW50" i="10" s="1"/>
  <c r="AW96" i="10" a="1"/>
  <c r="AW96" i="10" s="1"/>
  <c r="AW106" i="10" a="1"/>
  <c r="AW106" i="10" s="1"/>
  <c r="AW100" i="10" a="1"/>
  <c r="AW100" i="10" s="1"/>
  <c r="AW94" i="10" a="1"/>
  <c r="AW94" i="10" s="1"/>
  <c r="AW105" i="10" a="1"/>
  <c r="AW105" i="10" s="1"/>
  <c r="AW84" i="10" a="1"/>
  <c r="AW84" i="10" s="1"/>
  <c r="AW25" i="10" a="1"/>
  <c r="AW25" i="10" s="1"/>
  <c r="AW101" i="10" a="1"/>
  <c r="AW101" i="10" s="1"/>
  <c r="AW124" i="10" a="1"/>
  <c r="AW124" i="10" s="1"/>
  <c r="AW23" i="10" a="1"/>
  <c r="AW23" i="10" s="1"/>
  <c r="AW99" i="10" a="1"/>
  <c r="AW99" i="10" s="1"/>
  <c r="AW35" i="10" a="1"/>
  <c r="AW35" i="10" s="1"/>
  <c r="AW95" i="10" a="1"/>
  <c r="AW95" i="10" s="1"/>
  <c r="AW85" i="10" a="1"/>
  <c r="AW85" i="10" s="1"/>
  <c r="AW29" i="10" a="1"/>
  <c r="AW29" i="10" s="1"/>
  <c r="AW119" i="10" a="1"/>
  <c r="AW119" i="10" s="1"/>
  <c r="AW18" i="10" a="1"/>
  <c r="AW18" i="10" s="1"/>
  <c r="AW30" i="10" a="1"/>
  <c r="AW30" i="10" s="1"/>
  <c r="AW16" i="10" a="1"/>
  <c r="AW16" i="10" s="1"/>
  <c r="AW31" i="10" a="1"/>
  <c r="AW31" i="10" s="1"/>
  <c r="AW104" i="10" a="1"/>
  <c r="AW104" i="10" s="1"/>
  <c r="AW24" i="10" a="1"/>
  <c r="AW24" i="10" s="1"/>
  <c r="AX139" i="10" a="1"/>
  <c r="AX139" i="10" s="1"/>
  <c r="AX137" i="10" a="1"/>
  <c r="AX137" i="10" s="1"/>
  <c r="AX136" i="10" a="1"/>
  <c r="AX136" i="10" s="1"/>
  <c r="AX130" i="10" a="1"/>
  <c r="AX130" i="10" s="1"/>
  <c r="AX89" i="10" a="1"/>
  <c r="AX89" i="10" s="1"/>
  <c r="AX141" i="10" a="1"/>
  <c r="AX141" i="10" s="1"/>
  <c r="AX131" i="10" a="1"/>
  <c r="AX131" i="10" s="1"/>
  <c r="AX81" i="10" a="1"/>
  <c r="AX81" i="10" s="1"/>
  <c r="AX140" i="10" a="1"/>
  <c r="AX140" i="10" s="1"/>
  <c r="AX91" i="10" a="1"/>
  <c r="AX91" i="10" s="1"/>
  <c r="AX90" i="10" a="1"/>
  <c r="AX90" i="10" s="1"/>
  <c r="AX80" i="10" a="1"/>
  <c r="AX80" i="10" s="1"/>
  <c r="AX76" i="10" a="1"/>
  <c r="AX76" i="10" s="1"/>
  <c r="AX79" i="10" a="1"/>
  <c r="AX79" i="10" s="1"/>
  <c r="AX138" i="10" a="1"/>
  <c r="AX138" i="10" s="1"/>
  <c r="AX75" i="10" a="1"/>
  <c r="AX75" i="10" s="1"/>
  <c r="AX71" i="10" a="1"/>
  <c r="AX71" i="10" s="1"/>
  <c r="AX74" i="10" a="1"/>
  <c r="AX74" i="10" s="1"/>
  <c r="AX64" i="10" a="1"/>
  <c r="AX64" i="10" s="1"/>
  <c r="AX70" i="10" a="1"/>
  <c r="AX70" i="10" s="1"/>
  <c r="AX132" i="10" a="1"/>
  <c r="AX132" i="10" s="1"/>
  <c r="AX66" i="10" a="1"/>
  <c r="AX66" i="10" s="1"/>
  <c r="AX65" i="10" a="1"/>
  <c r="AX65" i="10" s="1"/>
  <c r="AX59" i="10" a="1"/>
  <c r="AX59" i="10" s="1"/>
  <c r="AX56" i="10" a="1"/>
  <c r="AX56" i="10" s="1"/>
  <c r="AX60" i="10" a="1"/>
  <c r="AX60" i="10" s="1"/>
  <c r="AX54" i="10" a="1"/>
  <c r="AX54" i="10" s="1"/>
  <c r="AX50" i="10" a="1"/>
  <c r="AX50" i="10" s="1"/>
  <c r="AX55" i="10" a="1"/>
  <c r="AX55" i="10" s="1"/>
  <c r="AX69" i="10" a="1"/>
  <c r="AX69" i="10" s="1"/>
  <c r="AX49" i="10" a="1"/>
  <c r="AX49" i="10" s="1"/>
  <c r="AX44" i="10" a="1"/>
  <c r="AX44" i="10" s="1"/>
  <c r="AX51" i="10" a="1"/>
  <c r="AX51" i="10" s="1"/>
  <c r="AX36" i="10" a="1"/>
  <c r="AX36" i="10" s="1"/>
  <c r="AX46" i="10" a="1"/>
  <c r="AX46" i="10" s="1"/>
  <c r="AX34" i="10" a="1"/>
  <c r="AX34" i="10" s="1"/>
  <c r="AX61" i="10" a="1"/>
  <c r="AX61" i="10" s="1"/>
  <c r="AX39" i="10" a="1"/>
  <c r="AX39" i="10" s="1"/>
  <c r="AX120" i="10" a="1"/>
  <c r="AX120" i="10" s="1"/>
  <c r="AX114" i="10" a="1"/>
  <c r="AX114" i="10" s="1"/>
  <c r="AX111" i="10" a="1"/>
  <c r="AX111" i="10" s="1"/>
  <c r="AX126" i="10" a="1"/>
  <c r="AX126" i="10" s="1"/>
  <c r="AX121" i="10" a="1"/>
  <c r="AX121" i="10" s="1"/>
  <c r="AX115" i="10" a="1"/>
  <c r="AX115" i="10" s="1"/>
  <c r="AX109" i="10" a="1"/>
  <c r="AX109" i="10" s="1"/>
  <c r="AX124" i="10" a="1"/>
  <c r="AX124" i="10" s="1"/>
  <c r="AX119" i="10" a="1"/>
  <c r="AX119" i="10" s="1"/>
  <c r="AX125" i="10" a="1"/>
  <c r="AX125" i="10" s="1"/>
  <c r="AX96" i="10" a="1"/>
  <c r="AX96" i="10" s="1"/>
  <c r="AX41" i="10" a="1"/>
  <c r="AX41" i="10" s="1"/>
  <c r="AX110" i="10" a="1"/>
  <c r="AX110" i="10" s="1"/>
  <c r="AX106" i="10" a="1"/>
  <c r="AX106" i="10" s="1"/>
  <c r="AX100" i="10" a="1"/>
  <c r="AX100" i="10" s="1"/>
  <c r="AX94" i="10" a="1"/>
  <c r="AX94" i="10" s="1"/>
  <c r="AX40" i="10" a="1"/>
  <c r="AX40" i="10" s="1"/>
  <c r="AX104" i="10" a="1"/>
  <c r="AX104" i="10" s="1"/>
  <c r="AX35" i="10" a="1"/>
  <c r="AX35" i="10" s="1"/>
  <c r="AX116" i="10" a="1"/>
  <c r="AX116" i="10" s="1"/>
  <c r="AX101" i="10" a="1"/>
  <c r="AX101" i="10" s="1"/>
  <c r="AX23" i="10" a="1"/>
  <c r="AX23" i="10" s="1"/>
  <c r="AX99" i="10" a="1"/>
  <c r="AX99" i="10" s="1"/>
  <c r="AX24" i="10" a="1"/>
  <c r="AX24" i="10" s="1"/>
  <c r="AX45" i="10" a="1"/>
  <c r="AX45" i="10" s="1"/>
  <c r="AX30" i="10" a="1"/>
  <c r="AX30" i="10" s="1"/>
  <c r="AX25" i="10" a="1"/>
  <c r="AX25" i="10" s="1"/>
  <c r="AX16" i="10" a="1"/>
  <c r="AX16" i="10" s="1"/>
  <c r="AX95" i="10" a="1"/>
  <c r="AX95" i="10" s="1"/>
  <c r="AX31" i="10" a="1"/>
  <c r="AX31" i="10" s="1"/>
  <c r="AX105" i="10" a="1"/>
  <c r="AX105" i="10" s="1"/>
  <c r="AX84" i="10" a="1"/>
  <c r="AX84" i="10" s="1"/>
  <c r="AX17" i="10" a="1"/>
  <c r="AX17" i="10" s="1"/>
  <c r="AX29" i="10" a="1"/>
  <c r="AX29" i="10" s="1"/>
  <c r="AX86" i="10" a="1"/>
  <c r="AX86" i="10" s="1"/>
  <c r="AX15" i="10" a="1"/>
  <c r="AX15" i="10" s="1"/>
  <c r="AN132" i="10" a="1"/>
  <c r="AN132" i="10" s="1"/>
  <c r="AN140" i="10" a="1"/>
  <c r="AN140" i="10" s="1"/>
  <c r="AN138" i="10" a="1"/>
  <c r="AN138" i="10" s="1"/>
  <c r="AN141" i="10" a="1"/>
  <c r="AN141" i="10" s="1"/>
  <c r="AN137" i="10" a="1"/>
  <c r="AN137" i="10" s="1"/>
  <c r="AN131" i="10" a="1"/>
  <c r="AN131" i="10" s="1"/>
  <c r="AN91" i="10" a="1"/>
  <c r="AN91" i="10" s="1"/>
  <c r="AN130" i="10" a="1"/>
  <c r="AN130" i="10" s="1"/>
  <c r="AN136" i="10" a="1"/>
  <c r="AN136" i="10" s="1"/>
  <c r="AN139" i="10" a="1"/>
  <c r="AN139" i="10" s="1"/>
  <c r="AN76" i="10" a="1"/>
  <c r="AN76" i="10" s="1"/>
  <c r="AN90" i="10" a="1"/>
  <c r="AN90" i="10" s="1"/>
  <c r="AN81" i="10" a="1"/>
  <c r="AN81" i="10" s="1"/>
  <c r="AN80" i="10" a="1"/>
  <c r="AN80" i="10" s="1"/>
  <c r="AN65" i="10" a="1"/>
  <c r="AN65" i="10" s="1"/>
  <c r="AN79" i="10" a="1"/>
  <c r="AN79" i="10" s="1"/>
  <c r="AN69" i="10" a="1"/>
  <c r="AN69" i="10" s="1"/>
  <c r="AN74" i="10" a="1"/>
  <c r="AN74" i="10" s="1"/>
  <c r="AN71" i="10" a="1"/>
  <c r="AN71" i="10" s="1"/>
  <c r="AN89" i="10" a="1"/>
  <c r="AN89" i="10" s="1"/>
  <c r="AN60" i="10" a="1"/>
  <c r="AN60" i="10" s="1"/>
  <c r="AN55" i="10" a="1"/>
  <c r="AN55" i="10" s="1"/>
  <c r="AN50" i="10" a="1"/>
  <c r="AN50" i="10" s="1"/>
  <c r="AN66" i="10" a="1"/>
  <c r="AN66" i="10" s="1"/>
  <c r="AN61" i="10" a="1"/>
  <c r="AN61" i="10" s="1"/>
  <c r="AN70" i="10" a="1"/>
  <c r="AN70" i="10" s="1"/>
  <c r="AN64" i="10" a="1"/>
  <c r="AN64" i="10" s="1"/>
  <c r="AN75" i="10" a="1"/>
  <c r="AN75" i="10" s="1"/>
  <c r="AN45" i="10" a="1"/>
  <c r="AN45" i="10" s="1"/>
  <c r="AN56" i="10" a="1"/>
  <c r="AN56" i="10" s="1"/>
  <c r="AN41" i="10" a="1"/>
  <c r="AN41" i="10" s="1"/>
  <c r="AN54" i="10" a="1"/>
  <c r="AN54" i="10" s="1"/>
  <c r="AN49" i="10" a="1"/>
  <c r="AN49" i="10" s="1"/>
  <c r="AN46" i="10" a="1"/>
  <c r="AN46" i="10" s="1"/>
  <c r="AN39" i="10" a="1"/>
  <c r="AN39" i="10" s="1"/>
  <c r="AN126" i="10" a="1"/>
  <c r="AN126" i="10" s="1"/>
  <c r="AN44" i="10" a="1"/>
  <c r="AN44" i="10" s="1"/>
  <c r="AN40" i="10" a="1"/>
  <c r="AN40" i="10" s="1"/>
  <c r="AN35" i="10" a="1"/>
  <c r="AN35" i="10" s="1"/>
  <c r="AN121" i="10" a="1"/>
  <c r="AN121" i="10" s="1"/>
  <c r="AN115" i="10" a="1"/>
  <c r="AN115" i="10" s="1"/>
  <c r="AN109" i="10" a="1"/>
  <c r="AN109" i="10" s="1"/>
  <c r="AN59" i="10" a="1"/>
  <c r="AN59" i="10" s="1"/>
  <c r="AN36" i="10" a="1"/>
  <c r="AN36" i="10" s="1"/>
  <c r="AN119" i="10" a="1"/>
  <c r="AN119" i="10" s="1"/>
  <c r="AN51" i="10" a="1"/>
  <c r="AN51" i="10" s="1"/>
  <c r="AN34" i="10" a="1"/>
  <c r="AN34" i="10" s="1"/>
  <c r="AN116" i="10" a="1"/>
  <c r="AN116" i="10" s="1"/>
  <c r="AN110" i="10" a="1"/>
  <c r="AN110" i="10" s="1"/>
  <c r="AN104" i="10" a="1"/>
  <c r="AN104" i="10" s="1"/>
  <c r="AN86" i="10" a="1"/>
  <c r="AN86" i="10" s="1"/>
  <c r="AN124" i="10" a="1"/>
  <c r="AN124" i="10" s="1"/>
  <c r="AN111" i="10" a="1"/>
  <c r="AN111" i="10" s="1"/>
  <c r="AN105" i="10" a="1"/>
  <c r="AN105" i="10" s="1"/>
  <c r="AN99" i="10" a="1"/>
  <c r="AN99" i="10" s="1"/>
  <c r="AN125" i="10" a="1"/>
  <c r="AN125" i="10" s="1"/>
  <c r="AN101" i="10" a="1"/>
  <c r="AN101" i="10" s="1"/>
  <c r="AN94" i="10" a="1"/>
  <c r="AN94" i="10" s="1"/>
  <c r="AN85" i="10" a="1"/>
  <c r="AN85" i="10" s="1"/>
  <c r="AN29" i="10" a="1"/>
  <c r="AN29" i="10" s="1"/>
  <c r="AN114" i="10" a="1"/>
  <c r="AN114" i="10" s="1"/>
  <c r="AN30" i="10" a="1"/>
  <c r="AN30" i="10" s="1"/>
  <c r="AN120" i="10" a="1"/>
  <c r="AN120" i="10" s="1"/>
  <c r="AN84" i="10" a="1"/>
  <c r="AN84" i="10" s="1"/>
  <c r="AN23" i="10" a="1"/>
  <c r="AN23" i="10" s="1"/>
  <c r="AN17" i="10" a="1"/>
  <c r="AN17" i="10" s="1"/>
  <c r="AN31" i="10" a="1"/>
  <c r="AN31" i="10" s="1"/>
  <c r="AN96" i="10" a="1"/>
  <c r="AN96" i="10" s="1"/>
  <c r="AN24" i="10" a="1"/>
  <c r="AN24" i="10" s="1"/>
  <c r="AN18" i="10" a="1"/>
  <c r="AN18" i="10" s="1"/>
  <c r="AN106" i="10" a="1"/>
  <c r="AN106" i="10" s="1"/>
  <c r="AN95" i="10" a="1"/>
  <c r="AN95" i="10" s="1"/>
  <c r="AC130" i="10" a="1"/>
  <c r="AC130" i="10" s="1"/>
  <c r="AC138" i="10" a="1"/>
  <c r="AC138" i="10" s="1"/>
  <c r="AC136" i="10" a="1"/>
  <c r="AC136" i="10" s="1"/>
  <c r="AC141" i="10" a="1"/>
  <c r="AC141" i="10" s="1"/>
  <c r="AC90" i="10" a="1"/>
  <c r="AC90" i="10" s="1"/>
  <c r="AC132" i="10" a="1"/>
  <c r="AC132" i="10" s="1"/>
  <c r="AC137" i="10" a="1"/>
  <c r="AC137" i="10" s="1"/>
  <c r="AC131" i="10" a="1"/>
  <c r="AC131" i="10" s="1"/>
  <c r="AC140" i="10" a="1"/>
  <c r="AC140" i="10" s="1"/>
  <c r="AC91" i="10" a="1"/>
  <c r="AC91" i="10" s="1"/>
  <c r="AC71" i="10" a="1"/>
  <c r="AC71" i="10" s="1"/>
  <c r="AC81" i="10" a="1"/>
  <c r="AC81" i="10" s="1"/>
  <c r="AC80" i="10" a="1"/>
  <c r="AC80" i="10" s="1"/>
  <c r="AC79" i="10" a="1"/>
  <c r="AC79" i="10" s="1"/>
  <c r="AC75" i="10" a="1"/>
  <c r="AC75" i="10" s="1"/>
  <c r="AC70" i="10" a="1"/>
  <c r="AC70" i="10" s="1"/>
  <c r="AC76" i="10" a="1"/>
  <c r="AC76" i="10" s="1"/>
  <c r="AC69" i="10" a="1"/>
  <c r="AC69" i="10" s="1"/>
  <c r="AC139" i="10" a="1"/>
  <c r="AC139" i="10" s="1"/>
  <c r="AC89" i="10" a="1"/>
  <c r="AC89" i="10" s="1"/>
  <c r="AC74" i="10" a="1"/>
  <c r="AC74" i="10" s="1"/>
  <c r="AC41" i="10" a="1"/>
  <c r="AC41" i="10" s="1"/>
  <c r="AC60" i="10" a="1"/>
  <c r="AC60" i="10" s="1"/>
  <c r="AC51" i="10" a="1"/>
  <c r="AC51" i="10" s="1"/>
  <c r="AC61" i="10" a="1"/>
  <c r="AC61" i="10" s="1"/>
  <c r="AC50" i="10" a="1"/>
  <c r="AC50" i="10" s="1"/>
  <c r="AC59" i="10" a="1"/>
  <c r="AC59" i="10" s="1"/>
  <c r="AC56" i="10" a="1"/>
  <c r="AC56" i="10" s="1"/>
  <c r="AC65" i="10" a="1"/>
  <c r="AC65" i="10" s="1"/>
  <c r="AC55" i="10" a="1"/>
  <c r="AC55" i="10" s="1"/>
  <c r="AC64" i="10" a="1"/>
  <c r="AC64" i="10" s="1"/>
  <c r="AC46" i="10" a="1"/>
  <c r="AC46" i="10" s="1"/>
  <c r="AC35" i="10" a="1"/>
  <c r="AC35" i="10" s="1"/>
  <c r="AC54" i="10" a="1"/>
  <c r="AC54" i="10" s="1"/>
  <c r="AC66" i="10" a="1"/>
  <c r="AC66" i="10" s="1"/>
  <c r="AC36" i="10" a="1"/>
  <c r="AC36" i="10" s="1"/>
  <c r="AC44" i="10" a="1"/>
  <c r="AC44" i="10" s="1"/>
  <c r="AC119" i="10" a="1"/>
  <c r="AC119" i="10" s="1"/>
  <c r="AC49" i="10" a="1"/>
  <c r="AC49" i="10" s="1"/>
  <c r="AC125" i="10" a="1"/>
  <c r="AC125" i="10" s="1"/>
  <c r="AC34" i="10" a="1"/>
  <c r="AC34" i="10" s="1"/>
  <c r="AC120" i="10" a="1"/>
  <c r="AC120" i="10" s="1"/>
  <c r="AC114" i="10" a="1"/>
  <c r="AC114" i="10" s="1"/>
  <c r="AC45" i="10" a="1"/>
  <c r="AC45" i="10" s="1"/>
  <c r="AC124" i="10" a="1"/>
  <c r="AC124" i="10" s="1"/>
  <c r="AC40" i="10" a="1"/>
  <c r="AC40" i="10" s="1"/>
  <c r="AC111" i="10" a="1"/>
  <c r="AC111" i="10" s="1"/>
  <c r="AC101" i="10" a="1"/>
  <c r="AC101" i="10" s="1"/>
  <c r="AC95" i="10" a="1"/>
  <c r="AC95" i="10" s="1"/>
  <c r="AC116" i="10" a="1"/>
  <c r="AC116" i="10" s="1"/>
  <c r="AC39" i="10" a="1"/>
  <c r="AC39" i="10" s="1"/>
  <c r="AC121" i="10" a="1"/>
  <c r="AC121" i="10" s="1"/>
  <c r="AC115" i="10" a="1"/>
  <c r="AC115" i="10" s="1"/>
  <c r="AC110" i="10" a="1"/>
  <c r="AC110" i="10" s="1"/>
  <c r="AC94" i="10" a="1"/>
  <c r="AC94" i="10" s="1"/>
  <c r="AC24" i="10" a="1"/>
  <c r="AC24" i="10" s="1"/>
  <c r="AC99" i="10" a="1"/>
  <c r="AC99" i="10" s="1"/>
  <c r="AC30" i="10" a="1"/>
  <c r="AC30" i="10" s="1"/>
  <c r="AC104" i="10" a="1"/>
  <c r="AC104" i="10" s="1"/>
  <c r="AC86" i="10" a="1"/>
  <c r="AC86" i="10" s="1"/>
  <c r="AC84" i="10" a="1"/>
  <c r="AC84" i="10" s="1"/>
  <c r="AC25" i="10" a="1"/>
  <c r="AC25" i="10" s="1"/>
  <c r="AC106" i="10" a="1"/>
  <c r="AC106" i="10" s="1"/>
  <c r="AC96" i="10" a="1"/>
  <c r="AC96" i="10" s="1"/>
  <c r="AC17" i="10" a="1"/>
  <c r="AC17" i="10" s="1"/>
  <c r="AC23" i="10" a="1"/>
  <c r="AC23" i="10" s="1"/>
  <c r="AC15" i="10" a="1"/>
  <c r="AC15" i="10" s="1"/>
  <c r="AC109" i="10" a="1"/>
  <c r="AC109" i="10" s="1"/>
  <c r="AC105" i="10" a="1"/>
  <c r="AC105" i="10" s="1"/>
  <c r="AC100" i="10" a="1"/>
  <c r="AC100" i="10" s="1"/>
  <c r="AC31" i="10" a="1"/>
  <c r="AC31" i="10" s="1"/>
  <c r="AC126" i="10" a="1"/>
  <c r="AC126" i="10" s="1"/>
  <c r="AC85" i="10" a="1"/>
  <c r="AC85" i="10" s="1"/>
  <c r="AC18" i="10" a="1"/>
  <c r="AC18" i="10" s="1"/>
  <c r="AC16" i="10" a="1"/>
  <c r="AC16" i="10" s="1"/>
  <c r="AL15" i="10" a="1"/>
  <c r="AL15" i="10" s="1"/>
  <c r="V132" i="10" a="1"/>
  <c r="V132" i="10" s="1"/>
  <c r="V140" i="10" a="1"/>
  <c r="V140" i="10" s="1"/>
  <c r="V138" i="10" a="1"/>
  <c r="V138" i="10" s="1"/>
  <c r="V139" i="10" a="1"/>
  <c r="V139" i="10" s="1"/>
  <c r="V137" i="10" a="1"/>
  <c r="V137" i="10" s="1"/>
  <c r="V141" i="10" a="1"/>
  <c r="V141" i="10" s="1"/>
  <c r="V130" i="10" a="1"/>
  <c r="V130" i="10" s="1"/>
  <c r="V131" i="10" a="1"/>
  <c r="V131" i="10" s="1"/>
  <c r="V81" i="10" a="1"/>
  <c r="V81" i="10" s="1"/>
  <c r="V79" i="10" a="1"/>
  <c r="V79" i="10" s="1"/>
  <c r="V89" i="10" a="1"/>
  <c r="V89" i="10" s="1"/>
  <c r="V75" i="10" a="1"/>
  <c r="V75" i="10" s="1"/>
  <c r="V80" i="10" a="1"/>
  <c r="V80" i="10" s="1"/>
  <c r="V76" i="10" a="1"/>
  <c r="V76" i="10" s="1"/>
  <c r="V65" i="10" a="1"/>
  <c r="V65" i="10" s="1"/>
  <c r="V90" i="10" a="1"/>
  <c r="V90" i="10" s="1"/>
  <c r="V70" i="10" a="1"/>
  <c r="V70" i="10" s="1"/>
  <c r="V50" i="10" a="1"/>
  <c r="V50" i="10" s="1"/>
  <c r="V64" i="10" a="1"/>
  <c r="V64" i="10" s="1"/>
  <c r="V66" i="10" a="1"/>
  <c r="V66" i="10" s="1"/>
  <c r="V59" i="10" a="1"/>
  <c r="V59" i="10" s="1"/>
  <c r="V71" i="10" a="1"/>
  <c r="V71" i="10" s="1"/>
  <c r="V91" i="10" a="1"/>
  <c r="V91" i="10" s="1"/>
  <c r="V61" i="10" a="1"/>
  <c r="V61" i="10" s="1"/>
  <c r="V49" i="10" a="1"/>
  <c r="V49" i="10" s="1"/>
  <c r="V74" i="10" a="1"/>
  <c r="V74" i="10" s="1"/>
  <c r="V45" i="10" a="1"/>
  <c r="V45" i="10" s="1"/>
  <c r="V44" i="10" a="1"/>
  <c r="V44" i="10" s="1"/>
  <c r="V126" i="10" a="1"/>
  <c r="V126" i="10" s="1"/>
  <c r="V41" i="10" a="1"/>
  <c r="V41" i="10" s="1"/>
  <c r="V35" i="10" a="1"/>
  <c r="V35" i="10" s="1"/>
  <c r="V69" i="10" a="1"/>
  <c r="V69" i="10" s="1"/>
  <c r="V56" i="10" a="1"/>
  <c r="V56" i="10" s="1"/>
  <c r="V60" i="10" a="1"/>
  <c r="V60" i="10" s="1"/>
  <c r="V36" i="10" a="1"/>
  <c r="V36" i="10" s="1"/>
  <c r="V121" i="10" a="1"/>
  <c r="V121" i="10" s="1"/>
  <c r="V115" i="10" a="1"/>
  <c r="V115" i="10" s="1"/>
  <c r="V109" i="10" a="1"/>
  <c r="V109" i="10" s="1"/>
  <c r="V125" i="10" a="1"/>
  <c r="V125" i="10" s="1"/>
  <c r="V34" i="10" a="1"/>
  <c r="V34" i="10" s="1"/>
  <c r="V119" i="10" a="1"/>
  <c r="V119" i="10" s="1"/>
  <c r="V116" i="10" a="1"/>
  <c r="V116" i="10" s="1"/>
  <c r="V110" i="10" a="1"/>
  <c r="V110" i="10" s="1"/>
  <c r="V136" i="10" a="1"/>
  <c r="V136" i="10" s="1"/>
  <c r="V46" i="10" a="1"/>
  <c r="V46" i="10" s="1"/>
  <c r="V104" i="10" a="1"/>
  <c r="V104" i="10" s="1"/>
  <c r="V40" i="10" a="1"/>
  <c r="V40" i="10" s="1"/>
  <c r="V120" i="10" a="1"/>
  <c r="V120" i="10" s="1"/>
  <c r="V114" i="10" a="1"/>
  <c r="V114" i="10" s="1"/>
  <c r="V105" i="10" a="1"/>
  <c r="V105" i="10" s="1"/>
  <c r="V99" i="10" a="1"/>
  <c r="V99" i="10" s="1"/>
  <c r="V124" i="10" a="1"/>
  <c r="V124" i="10" s="1"/>
  <c r="V55" i="10" a="1"/>
  <c r="V55" i="10" s="1"/>
  <c r="V39" i="10" a="1"/>
  <c r="V39" i="10" s="1"/>
  <c r="V85" i="10" a="1"/>
  <c r="V85" i="10" s="1"/>
  <c r="V29" i="10" a="1"/>
  <c r="V29" i="10" s="1"/>
  <c r="V95" i="10" a="1"/>
  <c r="V95" i="10" s="1"/>
  <c r="V106" i="10" a="1"/>
  <c r="V106" i="10" s="1"/>
  <c r="V100" i="10" a="1"/>
  <c r="V100" i="10" s="1"/>
  <c r="V86" i="10" a="1"/>
  <c r="V86" i="10" s="1"/>
  <c r="V30" i="10" a="1"/>
  <c r="V30" i="10" s="1"/>
  <c r="V96" i="10" a="1"/>
  <c r="V96" i="10" s="1"/>
  <c r="V84" i="10" a="1"/>
  <c r="V84" i="10" s="1"/>
  <c r="V31" i="10" a="1"/>
  <c r="V31" i="10" s="1"/>
  <c r="V51" i="10" a="1"/>
  <c r="V51" i="10" s="1"/>
  <c r="V22" i="10" a="1"/>
  <c r="V22" i="10" s="1"/>
  <c r="V17" i="10" a="1"/>
  <c r="V17" i="10" s="1"/>
  <c r="V111" i="10" a="1"/>
  <c r="V111" i="10" s="1"/>
  <c r="V101" i="10" a="1"/>
  <c r="V101" i="10" s="1"/>
  <c r="V24" i="10" a="1"/>
  <c r="V24" i="10" s="1"/>
  <c r="V94" i="10" a="1"/>
  <c r="V94" i="10" s="1"/>
  <c r="V18" i="10" a="1"/>
  <c r="V18" i="10" s="1"/>
  <c r="V25" i="10" a="1"/>
  <c r="V25" i="10" s="1"/>
  <c r="V54" i="10" a="1"/>
  <c r="V54" i="10" s="1"/>
  <c r="AB24" i="10" a="1"/>
  <c r="AB24" i="10" s="1"/>
  <c r="T84" i="10" a="1"/>
  <c r="T84" i="10" s="1"/>
  <c r="AK141" i="10" a="1"/>
  <c r="AK141" i="10" s="1"/>
  <c r="AK131" i="10" a="1"/>
  <c r="AK131" i="10" s="1"/>
  <c r="AK139" i="10" a="1"/>
  <c r="AK139" i="10" s="1"/>
  <c r="AK137" i="10" a="1"/>
  <c r="AK137" i="10" s="1"/>
  <c r="AK140" i="10" a="1"/>
  <c r="AK140" i="10" s="1"/>
  <c r="AK132" i="10" a="1"/>
  <c r="AK132" i="10" s="1"/>
  <c r="AK91" i="10" a="1"/>
  <c r="AK91" i="10" s="1"/>
  <c r="AK138" i="10" a="1"/>
  <c r="AK138" i="10" s="1"/>
  <c r="AK89" i="10" a="1"/>
  <c r="AK89" i="10" s="1"/>
  <c r="AK136" i="10" a="1"/>
  <c r="AK136" i="10" s="1"/>
  <c r="AK80" i="10" a="1"/>
  <c r="AK80" i="10" s="1"/>
  <c r="AK130" i="10" a="1"/>
  <c r="AK130" i="10" s="1"/>
  <c r="AK90" i="10" a="1"/>
  <c r="AK90" i="10" s="1"/>
  <c r="AK69" i="10" a="1"/>
  <c r="AK69" i="10" s="1"/>
  <c r="AK79" i="10" a="1"/>
  <c r="AK79" i="10" s="1"/>
  <c r="AK75" i="10" a="1"/>
  <c r="AK75" i="10" s="1"/>
  <c r="AK66" i="10" a="1"/>
  <c r="AK66" i="10" s="1"/>
  <c r="AK60" i="10" a="1"/>
  <c r="AK60" i="10" s="1"/>
  <c r="AK54" i="10" a="1"/>
  <c r="AK54" i="10" s="1"/>
  <c r="AK70" i="10" a="1"/>
  <c r="AK70" i="10" s="1"/>
  <c r="AK64" i="10" a="1"/>
  <c r="AK64" i="10" s="1"/>
  <c r="AK81" i="10" a="1"/>
  <c r="AK81" i="10" s="1"/>
  <c r="AK59" i="10" a="1"/>
  <c r="AK59" i="10" s="1"/>
  <c r="AK56" i="10" a="1"/>
  <c r="AK56" i="10" s="1"/>
  <c r="AK76" i="10" a="1"/>
  <c r="AK76" i="10" s="1"/>
  <c r="AK74" i="10" a="1"/>
  <c r="AK74" i="10" s="1"/>
  <c r="AK61" i="10" a="1"/>
  <c r="AK61" i="10" s="1"/>
  <c r="AK45" i="10" a="1"/>
  <c r="AK45" i="10" s="1"/>
  <c r="AK44" i="10" a="1"/>
  <c r="AK44" i="10" s="1"/>
  <c r="AK71" i="10" a="1"/>
  <c r="AK71" i="10" s="1"/>
  <c r="AK55" i="10" a="1"/>
  <c r="AK55" i="10" s="1"/>
  <c r="AK49" i="10" a="1"/>
  <c r="AK49" i="10" s="1"/>
  <c r="AK41" i="10" a="1"/>
  <c r="AK41" i="10" s="1"/>
  <c r="AK36" i="10" a="1"/>
  <c r="AK36" i="10" s="1"/>
  <c r="AK125" i="10" a="1"/>
  <c r="AK125" i="10" s="1"/>
  <c r="AK39" i="10" a="1"/>
  <c r="AK39" i="10" s="1"/>
  <c r="AK50" i="10" a="1"/>
  <c r="AK50" i="10" s="1"/>
  <c r="AK116" i="10" a="1"/>
  <c r="AK116" i="10" s="1"/>
  <c r="AK110" i="10" a="1"/>
  <c r="AK110" i="10" s="1"/>
  <c r="AK35" i="10" a="1"/>
  <c r="AK35" i="10" s="1"/>
  <c r="AK120" i="10" a="1"/>
  <c r="AK120" i="10" s="1"/>
  <c r="AK114" i="10" a="1"/>
  <c r="AK114" i="10" s="1"/>
  <c r="AK46" i="10" a="1"/>
  <c r="AK46" i="10" s="1"/>
  <c r="AK124" i="10" a="1"/>
  <c r="AK124" i="10" s="1"/>
  <c r="AK111" i="10" a="1"/>
  <c r="AK111" i="10" s="1"/>
  <c r="AK51" i="10" a="1"/>
  <c r="AK51" i="10" s="1"/>
  <c r="AK121" i="10" a="1"/>
  <c r="AK121" i="10" s="1"/>
  <c r="AK115" i="10" a="1"/>
  <c r="AK115" i="10" s="1"/>
  <c r="AK109" i="10" a="1"/>
  <c r="AK109" i="10" s="1"/>
  <c r="AK34" i="10" a="1"/>
  <c r="AK34" i="10" s="1"/>
  <c r="AK96" i="10" a="1"/>
  <c r="AK96" i="10" s="1"/>
  <c r="AK106" i="10" a="1"/>
  <c r="AK106" i="10" s="1"/>
  <c r="AK100" i="10" a="1"/>
  <c r="AK100" i="10" s="1"/>
  <c r="AK94" i="10" a="1"/>
  <c r="AK94" i="10" s="1"/>
  <c r="AK119" i="10" a="1"/>
  <c r="AK119" i="10" s="1"/>
  <c r="AK65" i="10" a="1"/>
  <c r="AK65" i="10" s="1"/>
  <c r="AK40" i="10" a="1"/>
  <c r="AK40" i="10" s="1"/>
  <c r="AK84" i="10" a="1"/>
  <c r="AK84" i="10" s="1"/>
  <c r="AK25" i="10" a="1"/>
  <c r="AK25" i="10" s="1"/>
  <c r="AK105" i="10" a="1"/>
  <c r="AK105" i="10" s="1"/>
  <c r="AK23" i="10" a="1"/>
  <c r="AK23" i="10" s="1"/>
  <c r="AK104" i="10" a="1"/>
  <c r="AK104" i="10" s="1"/>
  <c r="AK85" i="10" a="1"/>
  <c r="AK85" i="10" s="1"/>
  <c r="AK29" i="10" a="1"/>
  <c r="AK29" i="10" s="1"/>
  <c r="AK99" i="10" a="1"/>
  <c r="AK99" i="10" s="1"/>
  <c r="AK18" i="10" a="1"/>
  <c r="AK18" i="10" s="1"/>
  <c r="AK126" i="10" a="1"/>
  <c r="AK126" i="10" s="1"/>
  <c r="AK16" i="10" a="1"/>
  <c r="AK16" i="10" s="1"/>
  <c r="AK30" i="10" a="1"/>
  <c r="AK30" i="10" s="1"/>
  <c r="AK86" i="10" a="1"/>
  <c r="AK86" i="10" s="1"/>
  <c r="AK31" i="10" a="1"/>
  <c r="AK31" i="10" s="1"/>
  <c r="AK101" i="10" a="1"/>
  <c r="AK101" i="10" s="1"/>
  <c r="AT132" i="10" a="1"/>
  <c r="AT132" i="10" s="1"/>
  <c r="AT140" i="10" a="1"/>
  <c r="AT140" i="10" s="1"/>
  <c r="AT138" i="10" a="1"/>
  <c r="AT138" i="10" s="1"/>
  <c r="AT136" i="10" a="1"/>
  <c r="AT136" i="10" s="1"/>
  <c r="AT91" i="10" a="1"/>
  <c r="AT91" i="10" s="1"/>
  <c r="AT137" i="10" a="1"/>
  <c r="AT137" i="10" s="1"/>
  <c r="AT131" i="10" a="1"/>
  <c r="AT131" i="10" s="1"/>
  <c r="AT139" i="10" a="1"/>
  <c r="AT139" i="10" s="1"/>
  <c r="AT90" i="10" a="1"/>
  <c r="AT90" i="10" s="1"/>
  <c r="AT89" i="10" a="1"/>
  <c r="AT89" i="10" s="1"/>
  <c r="AT80" i="10" a="1"/>
  <c r="AT80" i="10" s="1"/>
  <c r="AT130" i="10" a="1"/>
  <c r="AT130" i="10" s="1"/>
  <c r="AT81" i="10" a="1"/>
  <c r="AT81" i="10" s="1"/>
  <c r="AT70" i="10" a="1"/>
  <c r="AT70" i="10" s="1"/>
  <c r="AT75" i="10" a="1"/>
  <c r="AT75" i="10" s="1"/>
  <c r="AT65" i="10" a="1"/>
  <c r="AT65" i="10" s="1"/>
  <c r="AT141" i="10" a="1"/>
  <c r="AT141" i="10" s="1"/>
  <c r="AT76" i="10" a="1"/>
  <c r="AT76" i="10" s="1"/>
  <c r="AT69" i="10" a="1"/>
  <c r="AT69" i="10" s="1"/>
  <c r="AT71" i="10" a="1"/>
  <c r="AT71" i="10" s="1"/>
  <c r="AT59" i="10" a="1"/>
  <c r="AT59" i="10" s="1"/>
  <c r="AT56" i="10" a="1"/>
  <c r="AT56" i="10" s="1"/>
  <c r="AT54" i="10" a="1"/>
  <c r="AT54" i="10" s="1"/>
  <c r="AT51" i="10" a="1"/>
  <c r="AT51" i="10" s="1"/>
  <c r="AT50" i="10" a="1"/>
  <c r="AT50" i="10" s="1"/>
  <c r="AT60" i="10" a="1"/>
  <c r="AT60" i="10" s="1"/>
  <c r="AT55" i="10" a="1"/>
  <c r="AT55" i="10" s="1"/>
  <c r="AT64" i="10" a="1"/>
  <c r="AT64" i="10" s="1"/>
  <c r="AT74" i="10" a="1"/>
  <c r="AT74" i="10" s="1"/>
  <c r="AT49" i="10" a="1"/>
  <c r="AT49" i="10" s="1"/>
  <c r="AT45" i="10" a="1"/>
  <c r="AT45" i="10" s="1"/>
  <c r="AT39" i="10" a="1"/>
  <c r="AT39" i="10" s="1"/>
  <c r="AT126" i="10" a="1"/>
  <c r="AT126" i="10" s="1"/>
  <c r="AT35" i="10" a="1"/>
  <c r="AT35" i="10" s="1"/>
  <c r="AT79" i="10" a="1"/>
  <c r="AT79" i="10" s="1"/>
  <c r="AT40" i="10" a="1"/>
  <c r="AT40" i="10" s="1"/>
  <c r="AT46" i="10" a="1"/>
  <c r="AT46" i="10" s="1"/>
  <c r="AT61" i="10" a="1"/>
  <c r="AT61" i="10" s="1"/>
  <c r="AT41" i="10" a="1"/>
  <c r="AT41" i="10" s="1"/>
  <c r="AT125" i="10" a="1"/>
  <c r="AT125" i="10" s="1"/>
  <c r="AT124" i="10" a="1"/>
  <c r="AT124" i="10" s="1"/>
  <c r="AT121" i="10" a="1"/>
  <c r="AT121" i="10" s="1"/>
  <c r="AT115" i="10" a="1"/>
  <c r="AT115" i="10" s="1"/>
  <c r="AT109" i="10" a="1"/>
  <c r="AT109" i="10" s="1"/>
  <c r="AT119" i="10" a="1"/>
  <c r="AT119" i="10" s="1"/>
  <c r="AT116" i="10" a="1"/>
  <c r="AT116" i="10" s="1"/>
  <c r="AT110" i="10" a="1"/>
  <c r="AT110" i="10" s="1"/>
  <c r="AT34" i="10" a="1"/>
  <c r="AT34" i="10" s="1"/>
  <c r="AT111" i="10" a="1"/>
  <c r="AT111" i="10" s="1"/>
  <c r="AT104" i="10" a="1"/>
  <c r="AT104" i="10" s="1"/>
  <c r="AT44" i="10" a="1"/>
  <c r="AT44" i="10" s="1"/>
  <c r="AT86" i="10" a="1"/>
  <c r="AT86" i="10" s="1"/>
  <c r="AT120" i="10" a="1"/>
  <c r="AT120" i="10" s="1"/>
  <c r="AT114" i="10" a="1"/>
  <c r="AT114" i="10" s="1"/>
  <c r="AT105" i="10" a="1"/>
  <c r="AT105" i="10" s="1"/>
  <c r="AT99" i="10" a="1"/>
  <c r="AT99" i="10" s="1"/>
  <c r="AT36" i="10" a="1"/>
  <c r="AT36" i="10" s="1"/>
  <c r="AT85" i="10" a="1"/>
  <c r="AT85" i="10" s="1"/>
  <c r="AT29" i="10" a="1"/>
  <c r="AT29" i="10" s="1"/>
  <c r="AT100" i="10" a="1"/>
  <c r="AT100" i="10" s="1"/>
  <c r="AT106" i="10" a="1"/>
  <c r="AT106" i="10" s="1"/>
  <c r="AT66" i="10" a="1"/>
  <c r="AT66" i="10" s="1"/>
  <c r="AT96" i="10" a="1"/>
  <c r="AT96" i="10" s="1"/>
  <c r="AT101" i="10" a="1"/>
  <c r="AT101" i="10" s="1"/>
  <c r="AT94" i="10" a="1"/>
  <c r="AT94" i="10" s="1"/>
  <c r="AT30" i="10" a="1"/>
  <c r="AT30" i="10" s="1"/>
  <c r="AT84" i="10" a="1"/>
  <c r="AT84" i="10" s="1"/>
  <c r="AT24" i="10" a="1"/>
  <c r="AT24" i="10" s="1"/>
  <c r="AT22" i="10" a="1"/>
  <c r="AT22" i="10" s="1"/>
  <c r="AT17" i="10" a="1"/>
  <c r="AT17" i="10" s="1"/>
  <c r="AT25" i="10" a="1"/>
  <c r="AT25" i="10" s="1"/>
  <c r="AT95" i="10" a="1"/>
  <c r="AT95" i="10" s="1"/>
  <c r="AT23" i="10" a="1"/>
  <c r="AT23" i="10" s="1"/>
  <c r="AT18" i="10" a="1"/>
  <c r="AT18" i="10" s="1"/>
  <c r="AT31" i="10" a="1"/>
  <c r="AT31" i="10" s="1"/>
  <c r="W130" i="10" a="1"/>
  <c r="W130" i="10" s="1"/>
  <c r="W138" i="10" a="1"/>
  <c r="W138" i="10" s="1"/>
  <c r="W136" i="10" a="1"/>
  <c r="W136" i="10" s="1"/>
  <c r="W141" i="10" a="1"/>
  <c r="W141" i="10" s="1"/>
  <c r="W137" i="10" a="1"/>
  <c r="W137" i="10" s="1"/>
  <c r="W90" i="10" a="1"/>
  <c r="W90" i="10" s="1"/>
  <c r="W140" i="10" a="1"/>
  <c r="W140" i="10" s="1"/>
  <c r="W139" i="10" a="1"/>
  <c r="W139" i="10" s="1"/>
  <c r="W89" i="10" a="1"/>
  <c r="W89" i="10" s="1"/>
  <c r="W80" i="10" a="1"/>
  <c r="W80" i="10" s="1"/>
  <c r="W132" i="10" a="1"/>
  <c r="W132" i="10" s="1"/>
  <c r="W131" i="10" a="1"/>
  <c r="W131" i="10" s="1"/>
  <c r="W79" i="10" a="1"/>
  <c r="W79" i="10" s="1"/>
  <c r="W71" i="10" a="1"/>
  <c r="W71" i="10" s="1"/>
  <c r="W76" i="10" a="1"/>
  <c r="W76" i="10" s="1"/>
  <c r="W81" i="10" a="1"/>
  <c r="W81" i="10" s="1"/>
  <c r="W70" i="10" a="1"/>
  <c r="W70" i="10" s="1"/>
  <c r="W91" i="10" a="1"/>
  <c r="W91" i="10" s="1"/>
  <c r="W74" i="10" a="1"/>
  <c r="W74" i="10" s="1"/>
  <c r="W75" i="10" a="1"/>
  <c r="W75" i="10" s="1"/>
  <c r="W64" i="10" a="1"/>
  <c r="W64" i="10" s="1"/>
  <c r="W66" i="10" a="1"/>
  <c r="W66" i="10" s="1"/>
  <c r="W69" i="10" a="1"/>
  <c r="W69" i="10" s="1"/>
  <c r="W56" i="10" a="1"/>
  <c r="W56" i="10" s="1"/>
  <c r="W51" i="10" a="1"/>
  <c r="W51" i="10" s="1"/>
  <c r="W41" i="10" a="1"/>
  <c r="W41" i="10" s="1"/>
  <c r="W55" i="10" a="1"/>
  <c r="W55" i="10" s="1"/>
  <c r="W61" i="10" a="1"/>
  <c r="W61" i="10" s="1"/>
  <c r="W50" i="10" a="1"/>
  <c r="W50" i="10" s="1"/>
  <c r="W49" i="10" a="1"/>
  <c r="W49" i="10" s="1"/>
  <c r="W35" i="10" a="1"/>
  <c r="W35" i="10" s="1"/>
  <c r="W65" i="10" a="1"/>
  <c r="W65" i="10" s="1"/>
  <c r="W60" i="10" a="1"/>
  <c r="W60" i="10" s="1"/>
  <c r="W54" i="10" a="1"/>
  <c r="W54" i="10" s="1"/>
  <c r="W36" i="10" a="1"/>
  <c r="W36" i="10" s="1"/>
  <c r="W46" i="10" a="1"/>
  <c r="W46" i="10" s="1"/>
  <c r="W39" i="10" a="1"/>
  <c r="W39" i="10" s="1"/>
  <c r="W45" i="10" a="1"/>
  <c r="W45" i="10" s="1"/>
  <c r="W125" i="10" a="1"/>
  <c r="W125" i="10" s="1"/>
  <c r="W34" i="10" a="1"/>
  <c r="W34" i="10" s="1"/>
  <c r="W119" i="10" a="1"/>
  <c r="W119" i="10" s="1"/>
  <c r="W40" i="10" a="1"/>
  <c r="W40" i="10" s="1"/>
  <c r="W59" i="10" a="1"/>
  <c r="W59" i="10" s="1"/>
  <c r="W44" i="10" a="1"/>
  <c r="W44" i="10" s="1"/>
  <c r="W126" i="10" a="1"/>
  <c r="W126" i="10" s="1"/>
  <c r="W120" i="10" a="1"/>
  <c r="W120" i="10" s="1"/>
  <c r="W114" i="10" a="1"/>
  <c r="W114" i="10" s="1"/>
  <c r="W101" i="10" a="1"/>
  <c r="W101" i="10" s="1"/>
  <c r="W95" i="10" a="1"/>
  <c r="W95" i="10" s="1"/>
  <c r="W124" i="10" a="1"/>
  <c r="W124" i="10" s="1"/>
  <c r="W109" i="10" a="1"/>
  <c r="W109" i="10" s="1"/>
  <c r="W111" i="10" a="1"/>
  <c r="W111" i="10" s="1"/>
  <c r="W106" i="10" a="1"/>
  <c r="W106" i="10" s="1"/>
  <c r="W104" i="10" a="1"/>
  <c r="W104" i="10" s="1"/>
  <c r="W24" i="10" a="1"/>
  <c r="W24" i="10" s="1"/>
  <c r="W121" i="10" a="1"/>
  <c r="W121" i="10" s="1"/>
  <c r="W100" i="10" a="1"/>
  <c r="W100" i="10" s="1"/>
  <c r="W86" i="10" a="1"/>
  <c r="W86" i="10" s="1"/>
  <c r="W30" i="10" a="1"/>
  <c r="W30" i="10" s="1"/>
  <c r="W105" i="10" a="1"/>
  <c r="W105" i="10" s="1"/>
  <c r="W96" i="10" a="1"/>
  <c r="W96" i="10" s="1"/>
  <c r="W84" i="10" a="1"/>
  <c r="W84" i="10" s="1"/>
  <c r="W25" i="10" a="1"/>
  <c r="W25" i="10" s="1"/>
  <c r="W110" i="10" a="1"/>
  <c r="W110" i="10" s="1"/>
  <c r="W94" i="10" a="1"/>
  <c r="W94" i="10" s="1"/>
  <c r="W17" i="10" a="1"/>
  <c r="W17" i="10" s="1"/>
  <c r="W22" i="10" a="1"/>
  <c r="W22" i="10" s="1"/>
  <c r="W15" i="10" a="1"/>
  <c r="W15" i="10" s="1"/>
  <c r="W29" i="10" a="1"/>
  <c r="W29" i="10" s="1"/>
  <c r="W18" i="10" a="1"/>
  <c r="W18" i="10" s="1"/>
  <c r="W16" i="10" a="1"/>
  <c r="W16" i="10" s="1"/>
  <c r="W116" i="10" a="1"/>
  <c r="W116" i="10" s="1"/>
  <c r="AU130" i="10" a="1"/>
  <c r="AU130" i="10" s="1"/>
  <c r="AU138" i="10" a="1"/>
  <c r="AU138" i="10" s="1"/>
  <c r="AU136" i="10" a="1"/>
  <c r="AU136" i="10" s="1"/>
  <c r="AU141" i="10" a="1"/>
  <c r="AU141" i="10" s="1"/>
  <c r="AU90" i="10" a="1"/>
  <c r="AU90" i="10" s="1"/>
  <c r="AU140" i="10" a="1"/>
  <c r="AU140" i="10" s="1"/>
  <c r="AU91" i="10" a="1"/>
  <c r="AU91" i="10" s="1"/>
  <c r="AU139" i="10" a="1"/>
  <c r="AU139" i="10" s="1"/>
  <c r="AU132" i="10" a="1"/>
  <c r="AU132" i="10" s="1"/>
  <c r="AU89" i="10" a="1"/>
  <c r="AU89" i="10" s="1"/>
  <c r="AU75" i="10" a="1"/>
  <c r="AU75" i="10" s="1"/>
  <c r="AU81" i="10" a="1"/>
  <c r="AU81" i="10" s="1"/>
  <c r="AU71" i="10" a="1"/>
  <c r="AU71" i="10" s="1"/>
  <c r="AU131" i="10" a="1"/>
  <c r="AU131" i="10" s="1"/>
  <c r="AU79" i="10" a="1"/>
  <c r="AU79" i="10" s="1"/>
  <c r="AU76" i="10" a="1"/>
  <c r="AU76" i="10" s="1"/>
  <c r="AU69" i="10" a="1"/>
  <c r="AU69" i="10" s="1"/>
  <c r="AU137" i="10" a="1"/>
  <c r="AU137" i="10" s="1"/>
  <c r="AU74" i="10" a="1"/>
  <c r="AU74" i="10" s="1"/>
  <c r="AU80" i="10" a="1"/>
  <c r="AU80" i="10" s="1"/>
  <c r="AU64" i="10" a="1"/>
  <c r="AU64" i="10" s="1"/>
  <c r="AU70" i="10" a="1"/>
  <c r="AU70" i="10" s="1"/>
  <c r="AU61" i="10" a="1"/>
  <c r="AU61" i="10" s="1"/>
  <c r="AU66" i="10" a="1"/>
  <c r="AU66" i="10" s="1"/>
  <c r="AU41" i="10" a="1"/>
  <c r="AU41" i="10" s="1"/>
  <c r="AU65" i="10" a="1"/>
  <c r="AU65" i="10" s="1"/>
  <c r="AU54" i="10" a="1"/>
  <c r="AU54" i="10" s="1"/>
  <c r="AU40" i="10" a="1"/>
  <c r="AU40" i="10" s="1"/>
  <c r="AU50" i="10" a="1"/>
  <c r="AU50" i="10" s="1"/>
  <c r="AU35" i="10" a="1"/>
  <c r="AU35" i="10" s="1"/>
  <c r="AU124" i="10" a="1"/>
  <c r="AU124" i="10" s="1"/>
  <c r="AU56" i="10" a="1"/>
  <c r="AU56" i="10" s="1"/>
  <c r="AU60" i="10" a="1"/>
  <c r="AU60" i="10" s="1"/>
  <c r="AU49" i="10" a="1"/>
  <c r="AU49" i="10" s="1"/>
  <c r="AU44" i="10" a="1"/>
  <c r="AU44" i="10" s="1"/>
  <c r="AU36" i="10" a="1"/>
  <c r="AU36" i="10" s="1"/>
  <c r="AU59" i="10" a="1"/>
  <c r="AU59" i="10" s="1"/>
  <c r="AU119" i="10" a="1"/>
  <c r="AU119" i="10" s="1"/>
  <c r="AU120" i="10" a="1"/>
  <c r="AU120" i="10" s="1"/>
  <c r="AU114" i="10" a="1"/>
  <c r="AU114" i="10" s="1"/>
  <c r="AU39" i="10" a="1"/>
  <c r="AU39" i="10" s="1"/>
  <c r="AU101" i="10" a="1"/>
  <c r="AU101" i="10" s="1"/>
  <c r="AU95" i="10" a="1"/>
  <c r="AU95" i="10" s="1"/>
  <c r="AU46" i="10" a="1"/>
  <c r="AU46" i="10" s="1"/>
  <c r="AU55" i="10" a="1"/>
  <c r="AU55" i="10" s="1"/>
  <c r="AU115" i="10" a="1"/>
  <c r="AU115" i="10" s="1"/>
  <c r="AU106" i="10" a="1"/>
  <c r="AU106" i="10" s="1"/>
  <c r="AU24" i="10" a="1"/>
  <c r="AU24" i="10" s="1"/>
  <c r="AU105" i="10" a="1"/>
  <c r="AU105" i="10" s="1"/>
  <c r="AU96" i="10" a="1"/>
  <c r="AU96" i="10" s="1"/>
  <c r="AU116" i="10" a="1"/>
  <c r="AU116" i="10" s="1"/>
  <c r="AU86" i="10" a="1"/>
  <c r="AU86" i="10" s="1"/>
  <c r="AU51" i="10" a="1"/>
  <c r="AU51" i="10" s="1"/>
  <c r="AU94" i="10" a="1"/>
  <c r="AU94" i="10" s="1"/>
  <c r="AU30" i="10" a="1"/>
  <c r="AU30" i="10" s="1"/>
  <c r="AU84" i="10" a="1"/>
  <c r="AU84" i="10" s="1"/>
  <c r="AU25" i="10" a="1"/>
  <c r="AU25" i="10" s="1"/>
  <c r="AU99" i="10" a="1"/>
  <c r="AU99" i="10" s="1"/>
  <c r="AU109" i="10" a="1"/>
  <c r="AU109" i="10" s="1"/>
  <c r="AU111" i="10" a="1"/>
  <c r="AU111" i="10" s="1"/>
  <c r="AU29" i="10" a="1"/>
  <c r="AU29" i="10" s="1"/>
  <c r="AU17" i="10" a="1"/>
  <c r="AU17" i="10" s="1"/>
  <c r="AU45" i="10" a="1"/>
  <c r="AU45" i="10" s="1"/>
  <c r="AU121" i="10" a="1"/>
  <c r="AU121" i="10" s="1"/>
  <c r="AU22" i="10" a="1"/>
  <c r="AU22" i="10" s="1"/>
  <c r="AU126" i="10" a="1"/>
  <c r="AU126" i="10" s="1"/>
  <c r="AU125" i="10" a="1"/>
  <c r="AU125" i="10" s="1"/>
  <c r="AU85" i="10" a="1"/>
  <c r="AU85" i="10" s="1"/>
  <c r="AU15" i="10" a="1"/>
  <c r="AU15" i="10" s="1"/>
  <c r="AU34" i="10" a="1"/>
  <c r="AU34" i="10" s="1"/>
  <c r="AU23" i="10" a="1"/>
  <c r="AU23" i="10" s="1"/>
  <c r="AU18" i="10" a="1"/>
  <c r="AU18" i="10" s="1"/>
  <c r="AU31" i="10" a="1"/>
  <c r="AU31" i="10" s="1"/>
  <c r="AU16" i="10" a="1"/>
  <c r="AU16" i="10" s="1"/>
  <c r="AU104" i="10" a="1"/>
  <c r="AU104" i="10" s="1"/>
  <c r="AU100" i="10" a="1"/>
  <c r="AU100" i="10" s="1"/>
  <c r="BG130" i="10" a="1"/>
  <c r="BG130" i="10" s="1"/>
  <c r="BG138" i="10" a="1"/>
  <c r="BG138" i="10" s="1"/>
  <c r="BG136" i="10" a="1"/>
  <c r="BG136" i="10" s="1"/>
  <c r="BG141" i="10" a="1"/>
  <c r="BG141" i="10" s="1"/>
  <c r="BG140" i="10" a="1"/>
  <c r="BG140" i="10" s="1"/>
  <c r="BG90" i="10" a="1"/>
  <c r="BG90" i="10" s="1"/>
  <c r="BG131" i="10" a="1"/>
  <c r="BG131" i="10" s="1"/>
  <c r="BG139" i="10" a="1"/>
  <c r="BG139" i="10" s="1"/>
  <c r="BG89" i="10" a="1"/>
  <c r="BG89" i="10" s="1"/>
  <c r="BG91" i="10" a="1"/>
  <c r="BG91" i="10" s="1"/>
  <c r="BG81" i="10" a="1"/>
  <c r="BG81" i="10" s="1"/>
  <c r="BG137" i="10" a="1"/>
  <c r="BG137" i="10" s="1"/>
  <c r="BG132" i="10" a="1"/>
  <c r="BG132" i="10" s="1"/>
  <c r="BG75" i="10" a="1"/>
  <c r="BG75" i="10" s="1"/>
  <c r="BG71" i="10" a="1"/>
  <c r="BG71" i="10" s="1"/>
  <c r="BG80" i="10" a="1"/>
  <c r="BG80" i="10" s="1"/>
  <c r="BG79" i="10" a="1"/>
  <c r="BG79" i="10" s="1"/>
  <c r="BG74" i="10" a="1"/>
  <c r="BG74" i="10" s="1"/>
  <c r="BG70" i="10" a="1"/>
  <c r="BG70" i="10" s="1"/>
  <c r="BG76" i="10" a="1"/>
  <c r="BG76" i="10" s="1"/>
  <c r="BG66" i="10" a="1"/>
  <c r="BG66" i="10" s="1"/>
  <c r="BG56" i="10" a="1"/>
  <c r="BG56" i="10" s="1"/>
  <c r="BG54" i="10" a="1"/>
  <c r="BG54" i="10" s="1"/>
  <c r="BG51" i="10" a="1"/>
  <c r="BG51" i="10" s="1"/>
  <c r="BG50" i="10" a="1"/>
  <c r="BG50" i="10" s="1"/>
  <c r="BG60" i="10" a="1"/>
  <c r="BG60" i="10" s="1"/>
  <c r="BG59" i="10" a="1"/>
  <c r="BG59" i="10" s="1"/>
  <c r="BG55" i="10" a="1"/>
  <c r="BG55" i="10" s="1"/>
  <c r="BG41" i="10" a="1"/>
  <c r="BG41" i="10" s="1"/>
  <c r="BG69" i="10" a="1"/>
  <c r="BG69" i="10" s="1"/>
  <c r="BG65" i="10" a="1"/>
  <c r="BG65" i="10" s="1"/>
  <c r="BG61" i="10" a="1"/>
  <c r="BG61" i="10" s="1"/>
  <c r="BG49" i="10" a="1"/>
  <c r="BG49" i="10" s="1"/>
  <c r="BG45" i="10" a="1"/>
  <c r="BG45" i="10" s="1"/>
  <c r="BG39" i="10" a="1"/>
  <c r="BG39" i="10" s="1"/>
  <c r="BG35" i="10" a="1"/>
  <c r="BG35" i="10" s="1"/>
  <c r="BG124" i="10" a="1"/>
  <c r="BG124" i="10" s="1"/>
  <c r="BG46" i="10" a="1"/>
  <c r="BG46" i="10" s="1"/>
  <c r="BG36" i="10" a="1"/>
  <c r="BG36" i="10" s="1"/>
  <c r="BG40" i="10" a="1"/>
  <c r="BG40" i="10" s="1"/>
  <c r="BG119" i="10" a="1"/>
  <c r="BG119" i="10" s="1"/>
  <c r="BG106" i="10" a="1"/>
  <c r="BG106" i="10" s="1"/>
  <c r="BG125" i="10" a="1"/>
  <c r="BG125" i="10" s="1"/>
  <c r="BG120" i="10" a="1"/>
  <c r="BG120" i="10" s="1"/>
  <c r="BG114" i="10" a="1"/>
  <c r="BG114" i="10" s="1"/>
  <c r="BG64" i="10" a="1"/>
  <c r="BG64" i="10" s="1"/>
  <c r="BG34" i="10" a="1"/>
  <c r="BG34" i="10" s="1"/>
  <c r="BG44" i="10" a="1"/>
  <c r="BG44" i="10" s="1"/>
  <c r="BG111" i="10" a="1"/>
  <c r="BG111" i="10" s="1"/>
  <c r="BG116" i="10" a="1"/>
  <c r="BG116" i="10" s="1"/>
  <c r="BG101" i="10" a="1"/>
  <c r="BG101" i="10" s="1"/>
  <c r="BG95" i="10" a="1"/>
  <c r="BG95" i="10" s="1"/>
  <c r="BG121" i="10" a="1"/>
  <c r="BG121" i="10" s="1"/>
  <c r="BG115" i="10" a="1"/>
  <c r="BG115" i="10" s="1"/>
  <c r="BG110" i="10" a="1"/>
  <c r="BG110" i="10" s="1"/>
  <c r="BG24" i="10" a="1"/>
  <c r="BG24" i="10" s="1"/>
  <c r="BG105" i="10" a="1"/>
  <c r="BG105" i="10" s="1"/>
  <c r="BG94" i="10" a="1"/>
  <c r="BG94" i="10" s="1"/>
  <c r="BG109" i="10" a="1"/>
  <c r="BG109" i="10" s="1"/>
  <c r="BG30" i="10" a="1"/>
  <c r="BG30" i="10" s="1"/>
  <c r="BG84" i="10" a="1"/>
  <c r="BG84" i="10" s="1"/>
  <c r="BG25" i="10" a="1"/>
  <c r="BG25" i="10" s="1"/>
  <c r="BG104" i="10" a="1"/>
  <c r="BG104" i="10" s="1"/>
  <c r="BG17" i="10" a="1"/>
  <c r="BG17" i="10" s="1"/>
  <c r="BG126" i="10" a="1"/>
  <c r="BG126" i="10" s="1"/>
  <c r="BG100" i="10" a="1"/>
  <c r="BG100" i="10" s="1"/>
  <c r="BG15" i="10" a="1"/>
  <c r="BG15" i="10" s="1"/>
  <c r="BG86" i="10" a="1"/>
  <c r="BG86" i="10" s="1"/>
  <c r="BG23" i="10" a="1"/>
  <c r="BG23" i="10" s="1"/>
  <c r="BG99" i="10" a="1"/>
  <c r="BG99" i="10" s="1"/>
  <c r="BG85" i="10" a="1"/>
  <c r="BG85" i="10" s="1"/>
  <c r="BG31" i="10" a="1"/>
  <c r="BG31" i="10" s="1"/>
  <c r="BG18" i="10" a="1"/>
  <c r="BG18" i="10" s="1"/>
  <c r="BG16" i="10" a="1"/>
  <c r="BG16" i="10" s="1"/>
  <c r="AT15" i="10" a="1"/>
  <c r="AT15" i="10" s="1"/>
  <c r="AN16" i="10" a="1"/>
  <c r="AN16" i="10" s="1"/>
  <c r="U17" i="10" a="1"/>
  <c r="U17" i="10" s="1"/>
  <c r="AW17" i="10" a="1"/>
  <c r="AW17" i="10" s="1"/>
  <c r="AF18" i="10" a="1"/>
  <c r="AF18" i="10" s="1"/>
  <c r="AS18" i="10" a="1"/>
  <c r="AS18" i="10" s="1"/>
  <c r="AK22" i="10" a="1"/>
  <c r="AK22" i="10" s="1"/>
  <c r="AS23" i="10" a="1"/>
  <c r="AS23" i="10" s="1"/>
  <c r="U116" i="10" a="1"/>
  <c r="U116" i="10" s="1"/>
  <c r="AW15" i="10" a="1"/>
  <c r="AW15" i="10" s="1"/>
  <c r="AK15" i="10" a="1"/>
  <c r="AK15" i="10" s="1"/>
  <c r="Y17" i="10" a="1"/>
  <c r="Y17" i="10" s="1"/>
  <c r="AX85" i="10" a="1"/>
  <c r="AX85" i="10" s="1"/>
  <c r="AH132" i="10" a="1"/>
  <c r="AH132" i="10" s="1"/>
  <c r="AH140" i="10" a="1"/>
  <c r="AH140" i="10" s="1"/>
  <c r="AH138" i="10" a="1"/>
  <c r="AH138" i="10" s="1"/>
  <c r="AH137" i="10" a="1"/>
  <c r="AH137" i="10" s="1"/>
  <c r="AH130" i="10" a="1"/>
  <c r="AH130" i="10" s="1"/>
  <c r="AH131" i="10" a="1"/>
  <c r="AH131" i="10" s="1"/>
  <c r="AH90" i="10" a="1"/>
  <c r="AH90" i="10" s="1"/>
  <c r="AH139" i="10" a="1"/>
  <c r="AH139" i="10" s="1"/>
  <c r="AH141" i="10" a="1"/>
  <c r="AH141" i="10" s="1"/>
  <c r="AH81" i="10" a="1"/>
  <c r="AH81" i="10" s="1"/>
  <c r="AH136" i="10" a="1"/>
  <c r="AH136" i="10" s="1"/>
  <c r="AH89" i="10" a="1"/>
  <c r="AH89" i="10" s="1"/>
  <c r="AH74" i="10" a="1"/>
  <c r="AH74" i="10" s="1"/>
  <c r="AH69" i="10" a="1"/>
  <c r="AH69" i="10" s="1"/>
  <c r="AH91" i="10" a="1"/>
  <c r="AH91" i="10" s="1"/>
  <c r="AH71" i="10" a="1"/>
  <c r="AH71" i="10" s="1"/>
  <c r="AH65" i="10" a="1"/>
  <c r="AH65" i="10" s="1"/>
  <c r="AH76" i="10" a="1"/>
  <c r="AH76" i="10" s="1"/>
  <c r="AH80" i="10" a="1"/>
  <c r="AH80" i="10" s="1"/>
  <c r="AH75" i="10" a="1"/>
  <c r="AH75" i="10" s="1"/>
  <c r="AH66" i="10" a="1"/>
  <c r="AH66" i="10" s="1"/>
  <c r="AH50" i="10" a="1"/>
  <c r="AH50" i="10" s="1"/>
  <c r="AH59" i="10" a="1"/>
  <c r="AH59" i="10" s="1"/>
  <c r="AH56" i="10" a="1"/>
  <c r="AH56" i="10" s="1"/>
  <c r="AH49" i="10" a="1"/>
  <c r="AH49" i="10" s="1"/>
  <c r="AH54" i="10" a="1"/>
  <c r="AH54" i="10" s="1"/>
  <c r="AH45" i="10" a="1"/>
  <c r="AH45" i="10" s="1"/>
  <c r="AH40" i="10" a="1"/>
  <c r="AH40" i="10" s="1"/>
  <c r="AH70" i="10" a="1"/>
  <c r="AH70" i="10" s="1"/>
  <c r="AH46" i="10" a="1"/>
  <c r="AH46" i="10" s="1"/>
  <c r="AH60" i="10" a="1"/>
  <c r="AH60" i="10" s="1"/>
  <c r="AH51" i="10" a="1"/>
  <c r="AH51" i="10" s="1"/>
  <c r="AH61" i="10" a="1"/>
  <c r="AH61" i="10" s="1"/>
  <c r="AH126" i="10" a="1"/>
  <c r="AH126" i="10" s="1"/>
  <c r="AH35" i="10" a="1"/>
  <c r="AH35" i="10" s="1"/>
  <c r="AH55" i="10" a="1"/>
  <c r="AH55" i="10" s="1"/>
  <c r="AH41" i="10" a="1"/>
  <c r="AH41" i="10" s="1"/>
  <c r="AH34" i="10" a="1"/>
  <c r="AH34" i="10" s="1"/>
  <c r="AH121" i="10" a="1"/>
  <c r="AH121" i="10" s="1"/>
  <c r="AH115" i="10" a="1"/>
  <c r="AH115" i="10" s="1"/>
  <c r="AH109" i="10" a="1"/>
  <c r="AH109" i="10" s="1"/>
  <c r="AH119" i="10" a="1"/>
  <c r="AH119" i="10" s="1"/>
  <c r="AH116" i="10" a="1"/>
  <c r="AH116" i="10" s="1"/>
  <c r="AH110" i="10" a="1"/>
  <c r="AH110" i="10" s="1"/>
  <c r="AH125" i="10" a="1"/>
  <c r="AH125" i="10" s="1"/>
  <c r="AH104" i="10" a="1"/>
  <c r="AH104" i="10" s="1"/>
  <c r="AH36" i="10" a="1"/>
  <c r="AH36" i="10" s="1"/>
  <c r="AH86" i="10" a="1"/>
  <c r="AH86" i="10" s="1"/>
  <c r="AH64" i="10" a="1"/>
  <c r="AH64" i="10" s="1"/>
  <c r="AH79" i="10" a="1"/>
  <c r="AH79" i="10" s="1"/>
  <c r="AH44" i="10" a="1"/>
  <c r="AH44" i="10" s="1"/>
  <c r="AH105" i="10" a="1"/>
  <c r="AH105" i="10" s="1"/>
  <c r="AH99" i="10" a="1"/>
  <c r="AH99" i="10" s="1"/>
  <c r="AH85" i="10" a="1"/>
  <c r="AH85" i="10" s="1"/>
  <c r="AH29" i="10" a="1"/>
  <c r="AH29" i="10" s="1"/>
  <c r="AH106" i="10" a="1"/>
  <c r="AH106" i="10" s="1"/>
  <c r="AH100" i="10" a="1"/>
  <c r="AH100" i="10" s="1"/>
  <c r="AH96" i="10" a="1"/>
  <c r="AH96" i="10" s="1"/>
  <c r="AH30" i="10" a="1"/>
  <c r="AH30" i="10" s="1"/>
  <c r="AH124" i="10" a="1"/>
  <c r="AH124" i="10" s="1"/>
  <c r="AH101" i="10" a="1"/>
  <c r="AH101" i="10" s="1"/>
  <c r="AH94" i="10" a="1"/>
  <c r="AH94" i="10" s="1"/>
  <c r="AH84" i="10" a="1"/>
  <c r="AH84" i="10" s="1"/>
  <c r="AH95" i="10" a="1"/>
  <c r="AH95" i="10" s="1"/>
  <c r="AH111" i="10" a="1"/>
  <c r="AH111" i="10" s="1"/>
  <c r="AH24" i="10" a="1"/>
  <c r="AH24" i="10" s="1"/>
  <c r="AH17" i="10" a="1"/>
  <c r="AH17" i="10" s="1"/>
  <c r="AH120" i="10" a="1"/>
  <c r="AH120" i="10" s="1"/>
  <c r="AH39" i="10" a="1"/>
  <c r="AH39" i="10" s="1"/>
  <c r="AH25" i="10" a="1"/>
  <c r="AH25" i="10" s="1"/>
  <c r="AH18" i="10" a="1"/>
  <c r="AH18" i="10" s="1"/>
  <c r="AH22" i="10" a="1"/>
  <c r="AH22" i="10" s="1"/>
  <c r="AH114" i="10" a="1"/>
  <c r="AH114" i="10" s="1"/>
  <c r="AI130" i="10" a="1"/>
  <c r="AI130" i="10" s="1"/>
  <c r="AI138" i="10" a="1"/>
  <c r="AI138" i="10" s="1"/>
  <c r="AI136" i="10" a="1"/>
  <c r="AI136" i="10" s="1"/>
  <c r="AI141" i="10" a="1"/>
  <c r="AI141" i="10" s="1"/>
  <c r="AI90" i="10" a="1"/>
  <c r="AI90" i="10" s="1"/>
  <c r="AI131" i="10" a="1"/>
  <c r="AI131" i="10" s="1"/>
  <c r="AI137" i="10" a="1"/>
  <c r="AI137" i="10" s="1"/>
  <c r="AI140" i="10" a="1"/>
  <c r="AI140" i="10" s="1"/>
  <c r="AI81" i="10" a="1"/>
  <c r="AI81" i="10" s="1"/>
  <c r="AI89" i="10" a="1"/>
  <c r="AI89" i="10" s="1"/>
  <c r="AI139" i="10" a="1"/>
  <c r="AI139" i="10" s="1"/>
  <c r="AI91" i="10" a="1"/>
  <c r="AI91" i="10" s="1"/>
  <c r="AI71" i="10" a="1"/>
  <c r="AI71" i="10" s="1"/>
  <c r="AI75" i="10" a="1"/>
  <c r="AI75" i="10" s="1"/>
  <c r="AI74" i="10" a="1"/>
  <c r="AI74" i="10" s="1"/>
  <c r="AI132" i="10" a="1"/>
  <c r="AI132" i="10" s="1"/>
  <c r="AI76" i="10" a="1"/>
  <c r="AI76" i="10" s="1"/>
  <c r="AI80" i="10" a="1"/>
  <c r="AI80" i="10" s="1"/>
  <c r="AI79" i="10" a="1"/>
  <c r="AI79" i="10" s="1"/>
  <c r="AI70" i="10" a="1"/>
  <c r="AI70" i="10" s="1"/>
  <c r="AI61" i="10" a="1"/>
  <c r="AI61" i="10" s="1"/>
  <c r="AI65" i="10" a="1"/>
  <c r="AI65" i="10" s="1"/>
  <c r="AI55" i="10" a="1"/>
  <c r="AI55" i="10" s="1"/>
  <c r="AI41" i="10" a="1"/>
  <c r="AI41" i="10" s="1"/>
  <c r="AI69" i="10" a="1"/>
  <c r="AI69" i="10" s="1"/>
  <c r="AI64" i="10" a="1"/>
  <c r="AI64" i="10" s="1"/>
  <c r="AI46" i="10" a="1"/>
  <c r="AI46" i="10" s="1"/>
  <c r="AI60" i="10" a="1"/>
  <c r="AI60" i="10" s="1"/>
  <c r="AI59" i="10" a="1"/>
  <c r="AI59" i="10" s="1"/>
  <c r="AI40" i="10" a="1"/>
  <c r="AI40" i="10" s="1"/>
  <c r="AI54" i="10" a="1"/>
  <c r="AI54" i="10" s="1"/>
  <c r="AI35" i="10" a="1"/>
  <c r="AI35" i="10" s="1"/>
  <c r="AI36" i="10" a="1"/>
  <c r="AI36" i="10" s="1"/>
  <c r="AI66" i="10" a="1"/>
  <c r="AI66" i="10" s="1"/>
  <c r="AI49" i="10" a="1"/>
  <c r="AI49" i="10" s="1"/>
  <c r="AI50" i="10" a="1"/>
  <c r="AI50" i="10" s="1"/>
  <c r="AI119" i="10" a="1"/>
  <c r="AI119" i="10" s="1"/>
  <c r="AI126" i="10" a="1"/>
  <c r="AI126" i="10" s="1"/>
  <c r="AI45" i="10" a="1"/>
  <c r="AI45" i="10" s="1"/>
  <c r="AI125" i="10" a="1"/>
  <c r="AI125" i="10" s="1"/>
  <c r="AI39" i="10" a="1"/>
  <c r="AI39" i="10" s="1"/>
  <c r="AI120" i="10" a="1"/>
  <c r="AI120" i="10" s="1"/>
  <c r="AI114" i="10" a="1"/>
  <c r="AI114" i="10" s="1"/>
  <c r="AI121" i="10" a="1"/>
  <c r="AI121" i="10" s="1"/>
  <c r="AI115" i="10" a="1"/>
  <c r="AI115" i="10" s="1"/>
  <c r="AI110" i="10" a="1"/>
  <c r="AI110" i="10" s="1"/>
  <c r="AI101" i="10" a="1"/>
  <c r="AI101" i="10" s="1"/>
  <c r="AI95" i="10" a="1"/>
  <c r="AI95" i="10" s="1"/>
  <c r="AI51" i="10" a="1"/>
  <c r="AI51" i="10" s="1"/>
  <c r="AI44" i="10" a="1"/>
  <c r="AI44" i="10" s="1"/>
  <c r="AI34" i="10" a="1"/>
  <c r="AI34" i="10" s="1"/>
  <c r="AI109" i="10" a="1"/>
  <c r="AI109" i="10" s="1"/>
  <c r="AI106" i="10" a="1"/>
  <c r="AI106" i="10" s="1"/>
  <c r="AI24" i="10" a="1"/>
  <c r="AI24" i="10" s="1"/>
  <c r="AI56" i="10" a="1"/>
  <c r="AI56" i="10" s="1"/>
  <c r="AI100" i="10" a="1"/>
  <c r="AI100" i="10" s="1"/>
  <c r="AI111" i="10" a="1"/>
  <c r="AI111" i="10" s="1"/>
  <c r="AI105" i="10" a="1"/>
  <c r="AI105" i="10" s="1"/>
  <c r="AI96" i="10" a="1"/>
  <c r="AI96" i="10" s="1"/>
  <c r="AI30" i="10" a="1"/>
  <c r="AI30" i="10" s="1"/>
  <c r="AI94" i="10" a="1"/>
  <c r="AI94" i="10" s="1"/>
  <c r="AI84" i="10" a="1"/>
  <c r="AI84" i="10" s="1"/>
  <c r="AI25" i="10" a="1"/>
  <c r="AI25" i="10" s="1"/>
  <c r="AI124" i="10" a="1"/>
  <c r="AI124" i="10" s="1"/>
  <c r="AI116" i="10" a="1"/>
  <c r="AI116" i="10" s="1"/>
  <c r="AI85" i="10" a="1"/>
  <c r="AI85" i="10" s="1"/>
  <c r="AI17" i="10" a="1"/>
  <c r="AI17" i="10" s="1"/>
  <c r="AI29" i="10" a="1"/>
  <c r="AI29" i="10" s="1"/>
  <c r="AI15" i="10" a="1"/>
  <c r="AI15" i="10" s="1"/>
  <c r="AI104" i="10" a="1"/>
  <c r="AI104" i="10" s="1"/>
  <c r="AI99" i="10" a="1"/>
  <c r="AI99" i="10" s="1"/>
  <c r="AI18" i="10" a="1"/>
  <c r="AI18" i="10" s="1"/>
  <c r="AI86" i="10" a="1"/>
  <c r="AI86" i="10" s="1"/>
  <c r="AI23" i="10" a="1"/>
  <c r="AI23" i="10" s="1"/>
  <c r="AI22" i="10" a="1"/>
  <c r="AI22" i="10" s="1"/>
  <c r="AI16" i="10" a="1"/>
  <c r="AI16" i="10" s="1"/>
  <c r="AI31" i="10" a="1"/>
  <c r="AI31" i="10" s="1"/>
  <c r="X136" i="10" a="1"/>
  <c r="X136" i="10" s="1"/>
  <c r="X141" i="10" a="1"/>
  <c r="X141" i="10" s="1"/>
  <c r="X131" i="10" a="1"/>
  <c r="X131" i="10" s="1"/>
  <c r="X139" i="10" a="1"/>
  <c r="X139" i="10" s="1"/>
  <c r="X91" i="10" a="1"/>
  <c r="X91" i="10" s="1"/>
  <c r="X140" i="10" a="1"/>
  <c r="X140" i="10" s="1"/>
  <c r="X130" i="10" a="1"/>
  <c r="X130" i="10" s="1"/>
  <c r="X80" i="10" a="1"/>
  <c r="X80" i="10" s="1"/>
  <c r="X132" i="10" a="1"/>
  <c r="X132" i="10" s="1"/>
  <c r="X79" i="10" a="1"/>
  <c r="X79" i="10" s="1"/>
  <c r="X71" i="10" a="1"/>
  <c r="X71" i="10" s="1"/>
  <c r="X90" i="10" a="1"/>
  <c r="X90" i="10" s="1"/>
  <c r="X69" i="10" a="1"/>
  <c r="X69" i="10" s="1"/>
  <c r="X89" i="10" a="1"/>
  <c r="X89" i="10" s="1"/>
  <c r="X81" i="10" a="1"/>
  <c r="X81" i="10" s="1"/>
  <c r="X70" i="10" a="1"/>
  <c r="X70" i="10" s="1"/>
  <c r="X56" i="10" a="1"/>
  <c r="X56" i="10" s="1"/>
  <c r="X66" i="10" a="1"/>
  <c r="X66" i="10" s="1"/>
  <c r="X74" i="10" a="1"/>
  <c r="X74" i="10" s="1"/>
  <c r="X138" i="10" a="1"/>
  <c r="X138" i="10" s="1"/>
  <c r="X76" i="10" a="1"/>
  <c r="X76" i="10" s="1"/>
  <c r="X65" i="10" a="1"/>
  <c r="X65" i="10" s="1"/>
  <c r="X60" i="10" a="1"/>
  <c r="X60" i="10" s="1"/>
  <c r="X59" i="10" a="1"/>
  <c r="X59" i="10" s="1"/>
  <c r="X50" i="10" a="1"/>
  <c r="X50" i="10" s="1"/>
  <c r="X45" i="10" a="1"/>
  <c r="X45" i="10" s="1"/>
  <c r="X64" i="10" a="1"/>
  <c r="X64" i="10" s="1"/>
  <c r="X54" i="10" a="1"/>
  <c r="X54" i="10" s="1"/>
  <c r="X49" i="10" a="1"/>
  <c r="X49" i="10" s="1"/>
  <c r="X55" i="10" a="1"/>
  <c r="X55" i="10" s="1"/>
  <c r="X39" i="10" a="1"/>
  <c r="X39" i="10" s="1"/>
  <c r="X75" i="10" a="1"/>
  <c r="X75" i="10" s="1"/>
  <c r="X44" i="10" a="1"/>
  <c r="X44" i="10" s="1"/>
  <c r="X41" i="10" a="1"/>
  <c r="X41" i="10" s="1"/>
  <c r="X61" i="10" a="1"/>
  <c r="X61" i="10" s="1"/>
  <c r="X46" i="10" a="1"/>
  <c r="X46" i="10" s="1"/>
  <c r="X40" i="10" a="1"/>
  <c r="X40" i="10" s="1"/>
  <c r="X34" i="10" a="1"/>
  <c r="X34" i="10" s="1"/>
  <c r="X51" i="10" a="1"/>
  <c r="X51" i="10" s="1"/>
  <c r="X116" i="10" a="1"/>
  <c r="X116" i="10" s="1"/>
  <c r="X110" i="10" a="1"/>
  <c r="X110" i="10" s="1"/>
  <c r="X35" i="10" a="1"/>
  <c r="X35" i="10" s="1"/>
  <c r="X124" i="10" a="1"/>
  <c r="X124" i="10" s="1"/>
  <c r="X111" i="10" a="1"/>
  <c r="X111" i="10" s="1"/>
  <c r="X120" i="10" a="1"/>
  <c r="X120" i="10" s="1"/>
  <c r="X114" i="10" a="1"/>
  <c r="X114" i="10" s="1"/>
  <c r="X105" i="10" a="1"/>
  <c r="X105" i="10" s="1"/>
  <c r="X99" i="10" a="1"/>
  <c r="X99" i="10" s="1"/>
  <c r="X109" i="10" a="1"/>
  <c r="X109" i="10" s="1"/>
  <c r="X96" i="10" a="1"/>
  <c r="X96" i="10" s="1"/>
  <c r="X36" i="10" a="1"/>
  <c r="X36" i="10" s="1"/>
  <c r="X125" i="10" a="1"/>
  <c r="X125" i="10" s="1"/>
  <c r="X119" i="10" a="1"/>
  <c r="X119" i="10" s="1"/>
  <c r="X106" i="10" a="1"/>
  <c r="X106" i="10" s="1"/>
  <c r="X95" i="10" a="1"/>
  <c r="X95" i="10" s="1"/>
  <c r="X126" i="10" a="1"/>
  <c r="X126" i="10" s="1"/>
  <c r="X121" i="10" a="1"/>
  <c r="X121" i="10" s="1"/>
  <c r="X100" i="10" a="1"/>
  <c r="X100" i="10" s="1"/>
  <c r="X86" i="10" a="1"/>
  <c r="X86" i="10" s="1"/>
  <c r="X30" i="10" a="1"/>
  <c r="X30" i="10" s="1"/>
  <c r="X84" i="10" a="1"/>
  <c r="X84" i="10" s="1"/>
  <c r="X25" i="10" a="1"/>
  <c r="X25" i="10" s="1"/>
  <c r="X94" i="10" a="1"/>
  <c r="X94" i="10" s="1"/>
  <c r="X23" i="10" a="1"/>
  <c r="X23" i="10" s="1"/>
  <c r="X31" i="10" a="1"/>
  <c r="X31" i="10" s="1"/>
  <c r="X22" i="10" a="1"/>
  <c r="X22" i="10" s="1"/>
  <c r="X15" i="10" a="1"/>
  <c r="X15" i="10" s="1"/>
  <c r="X29" i="10" a="1"/>
  <c r="X29" i="10" s="1"/>
  <c r="X24" i="10" a="1"/>
  <c r="X24" i="10" s="1"/>
  <c r="X101" i="10" a="1"/>
  <c r="X101" i="10" s="1"/>
  <c r="X18" i="10" a="1"/>
  <c r="X18" i="10" s="1"/>
  <c r="X16" i="10" a="1"/>
  <c r="X16" i="10" s="1"/>
  <c r="X104" i="10" a="1"/>
  <c r="X104" i="10" s="1"/>
  <c r="X85" i="10" a="1"/>
  <c r="X85" i="10" s="1"/>
  <c r="X115" i="10" a="1"/>
  <c r="X115" i="10" s="1"/>
  <c r="AJ136" i="10" a="1"/>
  <c r="AJ136" i="10" s="1"/>
  <c r="AJ141" i="10" a="1"/>
  <c r="AJ141" i="10" s="1"/>
  <c r="AJ131" i="10" a="1"/>
  <c r="AJ131" i="10" s="1"/>
  <c r="AJ139" i="10" a="1"/>
  <c r="AJ139" i="10" s="1"/>
  <c r="AJ140" i="10" a="1"/>
  <c r="AJ140" i="10" s="1"/>
  <c r="AJ132" i="10" a="1"/>
  <c r="AJ132" i="10" s="1"/>
  <c r="AJ138" i="10" a="1"/>
  <c r="AJ138" i="10" s="1"/>
  <c r="AJ130" i="10" a="1"/>
  <c r="AJ130" i="10" s="1"/>
  <c r="AJ89" i="10" a="1"/>
  <c r="AJ89" i="10" s="1"/>
  <c r="AJ137" i="10" a="1"/>
  <c r="AJ137" i="10" s="1"/>
  <c r="AJ79" i="10" a="1"/>
  <c r="AJ79" i="10" s="1"/>
  <c r="AJ91" i="10" a="1"/>
  <c r="AJ91" i="10" s="1"/>
  <c r="AJ71" i="10" a="1"/>
  <c r="AJ71" i="10" s="1"/>
  <c r="AJ69" i="10" a="1"/>
  <c r="AJ69" i="10" s="1"/>
  <c r="AJ76" i="10" a="1"/>
  <c r="AJ76" i="10" s="1"/>
  <c r="AJ56" i="10" a="1"/>
  <c r="AJ56" i="10" s="1"/>
  <c r="AJ80" i="10" a="1"/>
  <c r="AJ80" i="10" s="1"/>
  <c r="AJ75" i="10" a="1"/>
  <c r="AJ75" i="10" s="1"/>
  <c r="AJ66" i="10" a="1"/>
  <c r="AJ66" i="10" s="1"/>
  <c r="AJ70" i="10" a="1"/>
  <c r="AJ70" i="10" s="1"/>
  <c r="AJ81" i="10" a="1"/>
  <c r="AJ81" i="10" s="1"/>
  <c r="AJ65" i="10" a="1"/>
  <c r="AJ65" i="10" s="1"/>
  <c r="AJ74" i="10" a="1"/>
  <c r="AJ74" i="10" s="1"/>
  <c r="AJ90" i="10" a="1"/>
  <c r="AJ90" i="10" s="1"/>
  <c r="AJ64" i="10" a="1"/>
  <c r="AJ64" i="10" s="1"/>
  <c r="AJ54" i="10" a="1"/>
  <c r="AJ54" i="10" s="1"/>
  <c r="AJ45" i="10" a="1"/>
  <c r="AJ45" i="10" s="1"/>
  <c r="AJ51" i="10" a="1"/>
  <c r="AJ51" i="10" s="1"/>
  <c r="AJ50" i="10" a="1"/>
  <c r="AJ50" i="10" s="1"/>
  <c r="AJ39" i="10" a="1"/>
  <c r="AJ39" i="10" s="1"/>
  <c r="AJ61" i="10" a="1"/>
  <c r="AJ61" i="10" s="1"/>
  <c r="AJ59" i="10" a="1"/>
  <c r="AJ59" i="10" s="1"/>
  <c r="AJ55" i="10" a="1"/>
  <c r="AJ55" i="10" s="1"/>
  <c r="AJ49" i="10" a="1"/>
  <c r="AJ49" i="10" s="1"/>
  <c r="AJ46" i="10" a="1"/>
  <c r="AJ46" i="10" s="1"/>
  <c r="AJ34" i="10" a="1"/>
  <c r="AJ34" i="10" s="1"/>
  <c r="AJ44" i="10" a="1"/>
  <c r="AJ44" i="10" s="1"/>
  <c r="AJ126" i="10" a="1"/>
  <c r="AJ126" i="10" s="1"/>
  <c r="AJ60" i="10" a="1"/>
  <c r="AJ60" i="10" s="1"/>
  <c r="AJ116" i="10" a="1"/>
  <c r="AJ116" i="10" s="1"/>
  <c r="AJ110" i="10" a="1"/>
  <c r="AJ110" i="10" s="1"/>
  <c r="AJ35" i="10" a="1"/>
  <c r="AJ35" i="10" s="1"/>
  <c r="AJ125" i="10" a="1"/>
  <c r="AJ125" i="10" s="1"/>
  <c r="AJ40" i="10" a="1"/>
  <c r="AJ40" i="10" s="1"/>
  <c r="AJ41" i="10" a="1"/>
  <c r="AJ41" i="10" s="1"/>
  <c r="AJ36" i="10" a="1"/>
  <c r="AJ36" i="10" s="1"/>
  <c r="AJ124" i="10" a="1"/>
  <c r="AJ124" i="10" s="1"/>
  <c r="AJ111" i="10" a="1"/>
  <c r="AJ111" i="10" s="1"/>
  <c r="AJ105" i="10" a="1"/>
  <c r="AJ105" i="10" s="1"/>
  <c r="AJ99" i="10" a="1"/>
  <c r="AJ99" i="10" s="1"/>
  <c r="AJ120" i="10" a="1"/>
  <c r="AJ120" i="10" s="1"/>
  <c r="AJ114" i="10" a="1"/>
  <c r="AJ114" i="10" s="1"/>
  <c r="AJ109" i="10" a="1"/>
  <c r="AJ109" i="10" s="1"/>
  <c r="AJ96" i="10" a="1"/>
  <c r="AJ96" i="10" s="1"/>
  <c r="AJ106" i="10" a="1"/>
  <c r="AJ106" i="10" s="1"/>
  <c r="AJ30" i="10" a="1"/>
  <c r="AJ30" i="10" s="1"/>
  <c r="AJ94" i="10" a="1"/>
  <c r="AJ94" i="10" s="1"/>
  <c r="AJ84" i="10" a="1"/>
  <c r="AJ84" i="10" s="1"/>
  <c r="AJ25" i="10" a="1"/>
  <c r="AJ25" i="10" s="1"/>
  <c r="AJ119" i="10" a="1"/>
  <c r="AJ119" i="10" s="1"/>
  <c r="AJ115" i="10" a="1"/>
  <c r="AJ115" i="10" s="1"/>
  <c r="AJ23" i="10" a="1"/>
  <c r="AJ23" i="10" s="1"/>
  <c r="AJ101" i="10" a="1"/>
  <c r="AJ101" i="10" s="1"/>
  <c r="AJ86" i="10" a="1"/>
  <c r="AJ86" i="10" s="1"/>
  <c r="AJ31" i="10" a="1"/>
  <c r="AJ31" i="10" s="1"/>
  <c r="AJ95" i="10" a="1"/>
  <c r="AJ95" i="10" s="1"/>
  <c r="AJ29" i="10" a="1"/>
  <c r="AJ29" i="10" s="1"/>
  <c r="AJ24" i="10" a="1"/>
  <c r="AJ24" i="10" s="1"/>
  <c r="AJ15" i="10" a="1"/>
  <c r="AJ15" i="10" s="1"/>
  <c r="AJ104" i="10" a="1"/>
  <c r="AJ104" i="10" s="1"/>
  <c r="AJ100" i="10" a="1"/>
  <c r="AJ100" i="10" s="1"/>
  <c r="AJ121" i="10" a="1"/>
  <c r="AJ121" i="10" s="1"/>
  <c r="AJ18" i="10" a="1"/>
  <c r="AJ18" i="10" s="1"/>
  <c r="AJ16" i="10" a="1"/>
  <c r="AJ16" i="10" s="1"/>
  <c r="AJ22" i="10" a="1"/>
  <c r="AJ22" i="10" s="1"/>
  <c r="AV136" i="10" a="1"/>
  <c r="AV136" i="10" s="1"/>
  <c r="AV141" i="10" a="1"/>
  <c r="AV141" i="10" s="1"/>
  <c r="AV131" i="10" a="1"/>
  <c r="AV131" i="10" s="1"/>
  <c r="AV139" i="10" a="1"/>
  <c r="AV139" i="10" s="1"/>
  <c r="AV140" i="10" a="1"/>
  <c r="AV140" i="10" s="1"/>
  <c r="AV138" i="10" a="1"/>
  <c r="AV138" i="10" s="1"/>
  <c r="AV137" i="10" a="1"/>
  <c r="AV137" i="10" s="1"/>
  <c r="AV132" i="10" a="1"/>
  <c r="AV132" i="10" s="1"/>
  <c r="AV89" i="10" a="1"/>
  <c r="AV89" i="10" s="1"/>
  <c r="AV90" i="10" a="1"/>
  <c r="AV90" i="10" s="1"/>
  <c r="AV91" i="10" a="1"/>
  <c r="AV91" i="10" s="1"/>
  <c r="AV81" i="10" a="1"/>
  <c r="AV81" i="10" s="1"/>
  <c r="AV130" i="10" a="1"/>
  <c r="AV130" i="10" s="1"/>
  <c r="AV71" i="10" a="1"/>
  <c r="AV71" i="10" s="1"/>
  <c r="AV69" i="10" a="1"/>
  <c r="AV69" i="10" s="1"/>
  <c r="AV76" i="10" a="1"/>
  <c r="AV76" i="10" s="1"/>
  <c r="AV75" i="10" a="1"/>
  <c r="AV75" i="10" s="1"/>
  <c r="AV56" i="10" a="1"/>
  <c r="AV56" i="10" s="1"/>
  <c r="AV50" i="10" a="1"/>
  <c r="AV50" i="10" s="1"/>
  <c r="AV66" i="10" a="1"/>
  <c r="AV66" i="10" s="1"/>
  <c r="AV74" i="10" a="1"/>
  <c r="AV74" i="10" s="1"/>
  <c r="AV80" i="10" a="1"/>
  <c r="AV80" i="10" s="1"/>
  <c r="AV79" i="10" a="1"/>
  <c r="AV79" i="10" s="1"/>
  <c r="AV49" i="10" a="1"/>
  <c r="AV49" i="10" s="1"/>
  <c r="AV45" i="10" a="1"/>
  <c r="AV45" i="10" s="1"/>
  <c r="AV61" i="10" a="1"/>
  <c r="AV61" i="10" s="1"/>
  <c r="AV51" i="10" a="1"/>
  <c r="AV51" i="10" s="1"/>
  <c r="AV39" i="10" a="1"/>
  <c r="AV39" i="10" s="1"/>
  <c r="AV46" i="10" a="1"/>
  <c r="AV46" i="10" s="1"/>
  <c r="AV70" i="10" a="1"/>
  <c r="AV70" i="10" s="1"/>
  <c r="AV40" i="10" a="1"/>
  <c r="AV40" i="10" s="1"/>
  <c r="AV64" i="10" a="1"/>
  <c r="AV64" i="10" s="1"/>
  <c r="AV44" i="10" a="1"/>
  <c r="AV44" i="10" s="1"/>
  <c r="AV65" i="10" a="1"/>
  <c r="AV65" i="10" s="1"/>
  <c r="AV34" i="10" a="1"/>
  <c r="AV34" i="10" s="1"/>
  <c r="AV59" i="10" a="1"/>
  <c r="AV59" i="10" s="1"/>
  <c r="AV55" i="10" a="1"/>
  <c r="AV55" i="10" s="1"/>
  <c r="AV35" i="10" a="1"/>
  <c r="AV35" i="10" s="1"/>
  <c r="AV54" i="10" a="1"/>
  <c r="AV54" i="10" s="1"/>
  <c r="AV116" i="10" a="1"/>
  <c r="AV116" i="10" s="1"/>
  <c r="AV110" i="10" a="1"/>
  <c r="AV110" i="10" s="1"/>
  <c r="AV36" i="10" a="1"/>
  <c r="AV36" i="10" s="1"/>
  <c r="AV111" i="10" a="1"/>
  <c r="AV111" i="10" s="1"/>
  <c r="AV124" i="10" a="1"/>
  <c r="AV124" i="10" s="1"/>
  <c r="AV125" i="10" a="1"/>
  <c r="AV125" i="10" s="1"/>
  <c r="AV121" i="10" a="1"/>
  <c r="AV121" i="10" s="1"/>
  <c r="AV115" i="10" a="1"/>
  <c r="AV115" i="10" s="1"/>
  <c r="AV105" i="10" a="1"/>
  <c r="AV105" i="10" s="1"/>
  <c r="AV99" i="10" a="1"/>
  <c r="AV99" i="10" s="1"/>
  <c r="AV41" i="10" a="1"/>
  <c r="AV41" i="10" s="1"/>
  <c r="AV60" i="10" a="1"/>
  <c r="AV60" i="10" s="1"/>
  <c r="AV120" i="10" a="1"/>
  <c r="AV120" i="10" s="1"/>
  <c r="AV114" i="10" a="1"/>
  <c r="AV114" i="10" s="1"/>
  <c r="AV96" i="10" a="1"/>
  <c r="AV96" i="10" s="1"/>
  <c r="AV109" i="10" a="1"/>
  <c r="AV109" i="10" s="1"/>
  <c r="AV106" i="10" a="1"/>
  <c r="AV106" i="10" s="1"/>
  <c r="AV86" i="10" a="1"/>
  <c r="AV86" i="10" s="1"/>
  <c r="AV22" i="10" a="1"/>
  <c r="AV22" i="10" s="1"/>
  <c r="AV119" i="10" a="1"/>
  <c r="AV119" i="10" s="1"/>
  <c r="AV94" i="10" a="1"/>
  <c r="AV94" i="10" s="1"/>
  <c r="AV30" i="10" a="1"/>
  <c r="AV30" i="10" s="1"/>
  <c r="AV84" i="10" a="1"/>
  <c r="AV84" i="10" s="1"/>
  <c r="AV25" i="10" a="1"/>
  <c r="AV25" i="10" s="1"/>
  <c r="AV23" i="10" a="1"/>
  <c r="AV23" i="10" s="1"/>
  <c r="AV126" i="10" a="1"/>
  <c r="AV126" i="10" s="1"/>
  <c r="AV104" i="10" a="1"/>
  <c r="AV104" i="10" s="1"/>
  <c r="AV31" i="10" a="1"/>
  <c r="AV31" i="10" s="1"/>
  <c r="AV85" i="10" a="1"/>
  <c r="AV85" i="10" s="1"/>
  <c r="AV15" i="10" a="1"/>
  <c r="AV15" i="10" s="1"/>
  <c r="AV18" i="10" a="1"/>
  <c r="AV18" i="10" s="1"/>
  <c r="AV101" i="10" a="1"/>
  <c r="AV101" i="10" s="1"/>
  <c r="AV95" i="10" a="1"/>
  <c r="AV95" i="10" s="1"/>
  <c r="AV16" i="10" a="1"/>
  <c r="AV16" i="10" s="1"/>
  <c r="AV100" i="10" a="1"/>
  <c r="AV100" i="10" s="1"/>
  <c r="AF15" i="10" a="1"/>
  <c r="AF15" i="10" s="1"/>
  <c r="AN22" i="10" a="1"/>
  <c r="AN22" i="10" s="1"/>
  <c r="AK24" i="10" a="1"/>
  <c r="AK24" i="10" s="1"/>
  <c r="BG29" i="10" a="1"/>
  <c r="BG29" i="10" s="1"/>
  <c r="AH31" i="10" a="1"/>
  <c r="AH31" i="10" s="1"/>
  <c r="AF84" i="10" a="1"/>
  <c r="AF84" i="10" s="1"/>
  <c r="W85" i="10" a="1"/>
  <c r="W85" i="10" s="1"/>
  <c r="AF101" i="10" a="1"/>
  <c r="AF101" i="10" s="1"/>
  <c r="AU110" i="10" a="1"/>
  <c r="AU110" i="10" s="1"/>
  <c r="BE40" i="10" a="1"/>
  <c r="BE40" i="10" s="1"/>
  <c r="BD31" i="10" a="1"/>
  <c r="BD31" i="10" s="1"/>
  <c r="BE84" i="10" a="1"/>
  <c r="BE84" i="10" s="1"/>
  <c r="BA85" i="10" a="1"/>
  <c r="BA85" i="10" s="1"/>
  <c r="S105" i="10" a="1"/>
  <c r="S105" i="10" s="1"/>
  <c r="BA99" i="10" a="1"/>
  <c r="BA99" i="10" s="1"/>
  <c r="AA137" i="10" a="1"/>
  <c r="AA137" i="10" s="1"/>
  <c r="AA140" i="10" a="1"/>
  <c r="AA140" i="10" s="1"/>
  <c r="AA138" i="10" a="1"/>
  <c r="AA138" i="10" s="1"/>
  <c r="AA136" i="10" a="1"/>
  <c r="AA136" i="10" s="1"/>
  <c r="AA131" i="10" a="1"/>
  <c r="AA131" i="10" s="1"/>
  <c r="AA141" i="10" a="1"/>
  <c r="AA141" i="10" s="1"/>
  <c r="AA90" i="10" a="1"/>
  <c r="AA90" i="10" s="1"/>
  <c r="AA132" i="10" a="1"/>
  <c r="AA132" i="10" s="1"/>
  <c r="AA81" i="10" a="1"/>
  <c r="AA81" i="10" s="1"/>
  <c r="AA76" i="10" a="1"/>
  <c r="AA76" i="10" s="1"/>
  <c r="AA130" i="10" a="1"/>
  <c r="AA130" i="10" s="1"/>
  <c r="AA89" i="10" a="1"/>
  <c r="AA89" i="10" s="1"/>
  <c r="AA91" i="10" a="1"/>
  <c r="AA91" i="10" s="1"/>
  <c r="AA69" i="10" a="1"/>
  <c r="AA69" i="10" s="1"/>
  <c r="AA79" i="10" a="1"/>
  <c r="AA79" i="10" s="1"/>
  <c r="AA71" i="10" a="1"/>
  <c r="AA71" i="10" s="1"/>
  <c r="AA61" i="10" a="1"/>
  <c r="AA61" i="10" s="1"/>
  <c r="AA75" i="10" a="1"/>
  <c r="AA75" i="10" s="1"/>
  <c r="AA65" i="10" a="1"/>
  <c r="AA65" i="10" s="1"/>
  <c r="AA60" i="10" a="1"/>
  <c r="AA60" i="10" s="1"/>
  <c r="AA50" i="10" a="1"/>
  <c r="AA50" i="10" s="1"/>
  <c r="AA80" i="10" a="1"/>
  <c r="AA80" i="10" s="1"/>
  <c r="AA49" i="10" a="1"/>
  <c r="AA49" i="10" s="1"/>
  <c r="AA74" i="10" a="1"/>
  <c r="AA74" i="10" s="1"/>
  <c r="AA70" i="10" a="1"/>
  <c r="AA70" i="10" s="1"/>
  <c r="AA41" i="10" a="1"/>
  <c r="AA41" i="10" s="1"/>
  <c r="AA66" i="10" a="1"/>
  <c r="AA66" i="10" s="1"/>
  <c r="AA54" i="10" a="1"/>
  <c r="AA54" i="10" s="1"/>
  <c r="AA46" i="10" a="1"/>
  <c r="AA46" i="10" s="1"/>
  <c r="AA39" i="10" a="1"/>
  <c r="AA39" i="10" s="1"/>
  <c r="AA34" i="10" a="1"/>
  <c r="AA34" i="10" s="1"/>
  <c r="AA40" i="10" a="1"/>
  <c r="AA40" i="10" s="1"/>
  <c r="AA64" i="10" a="1"/>
  <c r="AA64" i="10" s="1"/>
  <c r="AA126" i="10" a="1"/>
  <c r="AA126" i="10" s="1"/>
  <c r="AA56" i="10" a="1"/>
  <c r="AA56" i="10" s="1"/>
  <c r="AA59" i="10" a="1"/>
  <c r="AA59" i="10" s="1"/>
  <c r="AA44" i="10" a="1"/>
  <c r="AA44" i="10" s="1"/>
  <c r="AA45" i="10" a="1"/>
  <c r="AA45" i="10" s="1"/>
  <c r="AA35" i="10" a="1"/>
  <c r="AA35" i="10" s="1"/>
  <c r="AA124" i="10" a="1"/>
  <c r="AA124" i="10" s="1"/>
  <c r="AA111" i="10" a="1"/>
  <c r="AA111" i="10" s="1"/>
  <c r="AA55" i="10" a="1"/>
  <c r="AA55" i="10" s="1"/>
  <c r="AA121" i="10" a="1"/>
  <c r="AA121" i="10" s="1"/>
  <c r="AA115" i="10" a="1"/>
  <c r="AA115" i="10" s="1"/>
  <c r="AA109" i="10" a="1"/>
  <c r="AA109" i="10" s="1"/>
  <c r="AA119" i="10" a="1"/>
  <c r="AA119" i="10" s="1"/>
  <c r="AA125" i="10" a="1"/>
  <c r="AA125" i="10" s="1"/>
  <c r="AA36" i="10" a="1"/>
  <c r="AA36" i="10" s="1"/>
  <c r="AA106" i="10" a="1"/>
  <c r="AA106" i="10" s="1"/>
  <c r="AA100" i="10" a="1"/>
  <c r="AA100" i="10" s="1"/>
  <c r="AA94" i="10" a="1"/>
  <c r="AA94" i="10" s="1"/>
  <c r="AA104" i="10" a="1"/>
  <c r="AA104" i="10" s="1"/>
  <c r="AA51" i="10" a="1"/>
  <c r="AA51" i="10" s="1"/>
  <c r="AA101" i="10" a="1"/>
  <c r="AA101" i="10" s="1"/>
  <c r="AA95" i="10" a="1"/>
  <c r="AA95" i="10" s="1"/>
  <c r="AA120" i="10" a="1"/>
  <c r="AA120" i="10" s="1"/>
  <c r="AA105" i="10" a="1"/>
  <c r="AA105" i="10" s="1"/>
  <c r="AA31" i="10" a="1"/>
  <c r="AA31" i="10" s="1"/>
  <c r="AA96" i="10" a="1"/>
  <c r="AA96" i="10" s="1"/>
  <c r="AA85" i="10" a="1"/>
  <c r="AA85" i="10" s="1"/>
  <c r="AA110" i="10" a="1"/>
  <c r="AA110" i="10" s="1"/>
  <c r="AA99" i="10" a="1"/>
  <c r="AA99" i="10" s="1"/>
  <c r="AA86" i="10" a="1"/>
  <c r="AA86" i="10" s="1"/>
  <c r="AM137" i="10" a="1"/>
  <c r="AM137" i="10" s="1"/>
  <c r="AM140" i="10" a="1"/>
  <c r="AM140" i="10" s="1"/>
  <c r="AM136" i="10" a="1"/>
  <c r="AM136" i="10" s="1"/>
  <c r="AM141" i="10" a="1"/>
  <c r="AM141" i="10" s="1"/>
  <c r="AM139" i="10" a="1"/>
  <c r="AM139" i="10" s="1"/>
  <c r="AM81" i="10" a="1"/>
  <c r="AM81" i="10" s="1"/>
  <c r="AM131" i="10" a="1"/>
  <c r="AM131" i="10" s="1"/>
  <c r="AM91" i="10" a="1"/>
  <c r="AM91" i="10" s="1"/>
  <c r="AM79" i="10" a="1"/>
  <c r="AM79" i="10" s="1"/>
  <c r="AM132" i="10" a="1"/>
  <c r="AM132" i="10" s="1"/>
  <c r="AM130" i="10" a="1"/>
  <c r="AM130" i="10" s="1"/>
  <c r="AM90" i="10" a="1"/>
  <c r="AM90" i="10" s="1"/>
  <c r="AM89" i="10" a="1"/>
  <c r="AM89" i="10" s="1"/>
  <c r="AM76" i="10" a="1"/>
  <c r="AM76" i="10" s="1"/>
  <c r="AM138" i="10" a="1"/>
  <c r="AM138" i="10" s="1"/>
  <c r="AM80" i="10" a="1"/>
  <c r="AM80" i="10" s="1"/>
  <c r="AM61" i="10" a="1"/>
  <c r="AM61" i="10" s="1"/>
  <c r="AM65" i="10" a="1"/>
  <c r="AM65" i="10" s="1"/>
  <c r="AM74" i="10" a="1"/>
  <c r="AM74" i="10" s="1"/>
  <c r="AM69" i="10" a="1"/>
  <c r="AM69" i="10" s="1"/>
  <c r="AM71" i="10" a="1"/>
  <c r="AM71" i="10" s="1"/>
  <c r="AM70" i="10" a="1"/>
  <c r="AM70" i="10" s="1"/>
  <c r="AM64" i="10" a="1"/>
  <c r="AM64" i="10" s="1"/>
  <c r="AM59" i="10" a="1"/>
  <c r="AM59" i="10" s="1"/>
  <c r="AM56" i="10" a="1"/>
  <c r="AM56" i="10" s="1"/>
  <c r="AM55" i="10" a="1"/>
  <c r="AM55" i="10" s="1"/>
  <c r="AM54" i="10" a="1"/>
  <c r="AM54" i="10" s="1"/>
  <c r="AM60" i="10" a="1"/>
  <c r="AM60" i="10" s="1"/>
  <c r="AM50" i="10" a="1"/>
  <c r="AM50" i="10" s="1"/>
  <c r="AM75" i="10" a="1"/>
  <c r="AM75" i="10" s="1"/>
  <c r="AM51" i="10" a="1"/>
  <c r="AM51" i="10" s="1"/>
  <c r="AM49" i="10" a="1"/>
  <c r="AM49" i="10" s="1"/>
  <c r="AM34" i="10" a="1"/>
  <c r="AM34" i="10" s="1"/>
  <c r="AM66" i="10" a="1"/>
  <c r="AM66" i="10" s="1"/>
  <c r="AM46" i="10" a="1"/>
  <c r="AM46" i="10" s="1"/>
  <c r="AM39" i="10" a="1"/>
  <c r="AM39" i="10" s="1"/>
  <c r="AM126" i="10" a="1"/>
  <c r="AM126" i="10" s="1"/>
  <c r="AM45" i="10" a="1"/>
  <c r="AM45" i="10" s="1"/>
  <c r="AM40" i="10" a="1"/>
  <c r="AM40" i="10" s="1"/>
  <c r="AM125" i="10" a="1"/>
  <c r="AM125" i="10" s="1"/>
  <c r="AM124" i="10" a="1"/>
  <c r="AM124" i="10" s="1"/>
  <c r="AM111" i="10" a="1"/>
  <c r="AM111" i="10" s="1"/>
  <c r="AM121" i="10" a="1"/>
  <c r="AM121" i="10" s="1"/>
  <c r="AM115" i="10" a="1"/>
  <c r="AM115" i="10" s="1"/>
  <c r="AM109" i="10" a="1"/>
  <c r="AM109" i="10" s="1"/>
  <c r="AM41" i="10" a="1"/>
  <c r="AM41" i="10" s="1"/>
  <c r="AM36" i="10" a="1"/>
  <c r="AM36" i="10" s="1"/>
  <c r="AM119" i="10" a="1"/>
  <c r="AM119" i="10" s="1"/>
  <c r="AM35" i="10" a="1"/>
  <c r="AM35" i="10" s="1"/>
  <c r="AM120" i="10" a="1"/>
  <c r="AM120" i="10" s="1"/>
  <c r="AM114" i="10" a="1"/>
  <c r="AM114" i="10" s="1"/>
  <c r="AM106" i="10" a="1"/>
  <c r="AM106" i="10" s="1"/>
  <c r="AM100" i="10" a="1"/>
  <c r="AM100" i="10" s="1"/>
  <c r="AM94" i="10" a="1"/>
  <c r="AM94" i="10" s="1"/>
  <c r="AM44" i="10" a="1"/>
  <c r="AM44" i="10" s="1"/>
  <c r="AM104" i="10" a="1"/>
  <c r="AM104" i="10" s="1"/>
  <c r="AM116" i="10" a="1"/>
  <c r="AM116" i="10" s="1"/>
  <c r="AM101" i="10" a="1"/>
  <c r="AM101" i="10" s="1"/>
  <c r="AM95" i="10" a="1"/>
  <c r="AM95" i="10" s="1"/>
  <c r="AM96" i="10" a="1"/>
  <c r="AM96" i="10" s="1"/>
  <c r="AM31" i="10" a="1"/>
  <c r="AM31" i="10" s="1"/>
  <c r="AM86" i="10" a="1"/>
  <c r="AM86" i="10" s="1"/>
  <c r="AM85" i="10" a="1"/>
  <c r="AM85" i="10" s="1"/>
  <c r="AM99" i="10" a="1"/>
  <c r="AM99" i="10" s="1"/>
  <c r="AY137" i="10" a="1"/>
  <c r="AY137" i="10" s="1"/>
  <c r="AY140" i="10" a="1"/>
  <c r="AY140" i="10" s="1"/>
  <c r="AY141" i="10" a="1"/>
  <c r="AY141" i="10" s="1"/>
  <c r="AY131" i="10" a="1"/>
  <c r="AY131" i="10" s="1"/>
  <c r="AY136" i="10" a="1"/>
  <c r="AY136" i="10" s="1"/>
  <c r="AY81" i="10" a="1"/>
  <c r="AY81" i="10" s="1"/>
  <c r="AY138" i="10" a="1"/>
  <c r="AY138" i="10" s="1"/>
  <c r="AY132" i="10" a="1"/>
  <c r="AY132" i="10" s="1"/>
  <c r="AY79" i="10" a="1"/>
  <c r="AY79" i="10" s="1"/>
  <c r="AY139" i="10" a="1"/>
  <c r="AY139" i="10" s="1"/>
  <c r="AY80" i="10" a="1"/>
  <c r="AY80" i="10" s="1"/>
  <c r="AY76" i="10" a="1"/>
  <c r="AY76" i="10" s="1"/>
  <c r="AY130" i="10" a="1"/>
  <c r="AY130" i="10" s="1"/>
  <c r="AY89" i="10" a="1"/>
  <c r="AY89" i="10" s="1"/>
  <c r="AY61" i="10" a="1"/>
  <c r="AY61" i="10" s="1"/>
  <c r="AY70" i="10" a="1"/>
  <c r="AY70" i="10" s="1"/>
  <c r="AY65" i="10" a="1"/>
  <c r="AY65" i="10" s="1"/>
  <c r="AY90" i="10" a="1"/>
  <c r="AY90" i="10" s="1"/>
  <c r="AY71" i="10" a="1"/>
  <c r="AY71" i="10" s="1"/>
  <c r="AY91" i="10" a="1"/>
  <c r="AY91" i="10" s="1"/>
  <c r="AY66" i="10" a="1"/>
  <c r="AY66" i="10" s="1"/>
  <c r="AY74" i="10" a="1"/>
  <c r="AY74" i="10" s="1"/>
  <c r="AY60" i="10" a="1"/>
  <c r="AY60" i="10" s="1"/>
  <c r="AY55" i="10" a="1"/>
  <c r="AY55" i="10" s="1"/>
  <c r="AY75" i="10" a="1"/>
  <c r="AY75" i="10" s="1"/>
  <c r="AY56" i="10" a="1"/>
  <c r="AY56" i="10" s="1"/>
  <c r="AY54" i="10" a="1"/>
  <c r="AY54" i="10" s="1"/>
  <c r="AY50" i="10" a="1"/>
  <c r="AY50" i="10" s="1"/>
  <c r="AY64" i="10" a="1"/>
  <c r="AY64" i="10" s="1"/>
  <c r="AY59" i="10" a="1"/>
  <c r="AY59" i="10" s="1"/>
  <c r="AY69" i="10" a="1"/>
  <c r="AY69" i="10" s="1"/>
  <c r="AY49" i="10" a="1"/>
  <c r="AY49" i="10" s="1"/>
  <c r="AY44" i="10" a="1"/>
  <c r="AY44" i="10" s="1"/>
  <c r="AY51" i="10" a="1"/>
  <c r="AY51" i="10" s="1"/>
  <c r="AY45" i="10" a="1"/>
  <c r="AY45" i="10" s="1"/>
  <c r="AY34" i="10" a="1"/>
  <c r="AY34" i="10" s="1"/>
  <c r="AY46" i="10" a="1"/>
  <c r="AY46" i="10" s="1"/>
  <c r="AY41" i="10" a="1"/>
  <c r="AY41" i="10" s="1"/>
  <c r="AY126" i="10" a="1"/>
  <c r="AY126" i="10" s="1"/>
  <c r="AY111" i="10" a="1"/>
  <c r="AY111" i="10" s="1"/>
  <c r="AY36" i="10" a="1"/>
  <c r="AY36" i="10" s="1"/>
  <c r="AY121" i="10" a="1"/>
  <c r="AY121" i="10" s="1"/>
  <c r="AY115" i="10" a="1"/>
  <c r="AY115" i="10" s="1"/>
  <c r="AY109" i="10" a="1"/>
  <c r="AY109" i="10" s="1"/>
  <c r="AY124" i="10" a="1"/>
  <c r="AY124" i="10" s="1"/>
  <c r="AY119" i="10" a="1"/>
  <c r="AY119" i="10" s="1"/>
  <c r="AY39" i="10" a="1"/>
  <c r="AY39" i="10" s="1"/>
  <c r="AY125" i="10" a="1"/>
  <c r="AY125" i="10" s="1"/>
  <c r="AY40" i="10" a="1"/>
  <c r="AY40" i="10" s="1"/>
  <c r="AY106" i="10" a="1"/>
  <c r="AY106" i="10" s="1"/>
  <c r="AY100" i="10" a="1"/>
  <c r="AY100" i="10" s="1"/>
  <c r="AY94" i="10" a="1"/>
  <c r="AY94" i="10" s="1"/>
  <c r="AY120" i="10" a="1"/>
  <c r="AY120" i="10" s="1"/>
  <c r="AY114" i="10" a="1"/>
  <c r="AY114" i="10" s="1"/>
  <c r="AY104" i="10" a="1"/>
  <c r="AY104" i="10" s="1"/>
  <c r="AY35" i="10" a="1"/>
  <c r="AY35" i="10" s="1"/>
  <c r="AY101" i="10" a="1"/>
  <c r="AY101" i="10" s="1"/>
  <c r="AY95" i="10" a="1"/>
  <c r="AY95" i="10" s="1"/>
  <c r="AY31" i="10" a="1"/>
  <c r="AY31" i="10" s="1"/>
  <c r="AY99" i="10" a="1"/>
  <c r="AY99" i="10" s="1"/>
  <c r="AY85" i="10" a="1"/>
  <c r="AY85" i="10" s="1"/>
  <c r="AY22" i="10" a="1"/>
  <c r="AY22" i="10" s="1"/>
  <c r="AY110" i="10" a="1"/>
  <c r="AY110" i="10" s="1"/>
  <c r="AY86" i="10" a="1"/>
  <c r="AY86" i="10" s="1"/>
  <c r="BA16" i="10" a="1"/>
  <c r="BA16" i="10" s="1"/>
  <c r="AZ18" i="10" a="1"/>
  <c r="AZ18" i="10" s="1"/>
  <c r="BF18" i="10" a="1"/>
  <c r="BF18" i="10" s="1"/>
  <c r="S22" i="10" a="1"/>
  <c r="S22" i="10" s="1"/>
  <c r="AQ22" i="10" a="1"/>
  <c r="AQ22" i="10" s="1"/>
  <c r="BE23" i="10" a="1"/>
  <c r="BE23" i="10" s="1"/>
  <c r="S24" i="10" a="1"/>
  <c r="S24" i="10" s="1"/>
  <c r="AY29" i="10" a="1"/>
  <c r="AY29" i="10" s="1"/>
  <c r="BC30" i="10" a="1"/>
  <c r="BC30" i="10" s="1"/>
  <c r="BF31" i="10" a="1"/>
  <c r="BF31" i="10" s="1"/>
  <c r="S86" i="10" a="1"/>
  <c r="S86" i="10" s="1"/>
  <c r="BC99" i="10" a="1"/>
  <c r="BC99" i="10" s="1"/>
  <c r="AZ132" i="10" a="1"/>
  <c r="AZ132" i="10" s="1"/>
  <c r="AZ140" i="10" a="1"/>
  <c r="AZ140" i="10" s="1"/>
  <c r="AZ138" i="10" a="1"/>
  <c r="AZ138" i="10" s="1"/>
  <c r="AZ131" i="10" a="1"/>
  <c r="AZ131" i="10" s="1"/>
  <c r="AZ139" i="10" a="1"/>
  <c r="AZ139" i="10" s="1"/>
  <c r="AZ137" i="10" a="1"/>
  <c r="AZ137" i="10" s="1"/>
  <c r="AZ89" i="10" a="1"/>
  <c r="AZ89" i="10" s="1"/>
  <c r="AZ130" i="10" a="1"/>
  <c r="AZ130" i="10" s="1"/>
  <c r="AZ141" i="10" a="1"/>
  <c r="AZ141" i="10" s="1"/>
  <c r="AZ75" i="10" a="1"/>
  <c r="AZ75" i="10" s="1"/>
  <c r="AZ91" i="10" a="1"/>
  <c r="AZ91" i="10" s="1"/>
  <c r="AZ80" i="10" a="1"/>
  <c r="AZ80" i="10" s="1"/>
  <c r="AZ65" i="10" a="1"/>
  <c r="AZ65" i="10" s="1"/>
  <c r="AZ70" i="10" a="1"/>
  <c r="AZ70" i="10" s="1"/>
  <c r="AZ136" i="10" a="1"/>
  <c r="AZ136" i="10" s="1"/>
  <c r="AZ90" i="10" a="1"/>
  <c r="AZ90" i="10" s="1"/>
  <c r="AZ79" i="10" a="1"/>
  <c r="AZ79" i="10" s="1"/>
  <c r="AZ66" i="10" a="1"/>
  <c r="AZ66" i="10" s="1"/>
  <c r="AZ59" i="10" a="1"/>
  <c r="AZ59" i="10" s="1"/>
  <c r="AZ56" i="10" a="1"/>
  <c r="AZ56" i="10" s="1"/>
  <c r="AZ54" i="10" a="1"/>
  <c r="AZ54" i="10" s="1"/>
  <c r="AZ51" i="10" a="1"/>
  <c r="AZ51" i="10" s="1"/>
  <c r="AZ60" i="10" a="1"/>
  <c r="AZ60" i="10" s="1"/>
  <c r="AZ55" i="10" a="1"/>
  <c r="AZ55" i="10" s="1"/>
  <c r="AZ69" i="10" a="1"/>
  <c r="AZ69" i="10" s="1"/>
  <c r="AZ64" i="10" a="1"/>
  <c r="AZ64" i="10" s="1"/>
  <c r="AZ71" i="10" a="1"/>
  <c r="AZ71" i="10" s="1"/>
  <c r="AZ45" i="10" a="1"/>
  <c r="AZ45" i="10" s="1"/>
  <c r="AZ61" i="10" a="1"/>
  <c r="AZ61" i="10" s="1"/>
  <c r="AZ81" i="10" a="1"/>
  <c r="AZ81" i="10" s="1"/>
  <c r="AZ76" i="10" a="1"/>
  <c r="AZ76" i="10" s="1"/>
  <c r="AZ50" i="10" a="1"/>
  <c r="AZ50" i="10" s="1"/>
  <c r="AZ74" i="10" a="1"/>
  <c r="AZ74" i="10" s="1"/>
  <c r="AZ41" i="10" a="1"/>
  <c r="AZ41" i="10" s="1"/>
  <c r="AZ44" i="10" a="1"/>
  <c r="AZ44" i="10" s="1"/>
  <c r="AZ126" i="10" a="1"/>
  <c r="AZ126" i="10" s="1"/>
  <c r="AZ49" i="10" a="1"/>
  <c r="AZ49" i="10" s="1"/>
  <c r="AZ39" i="10" a="1"/>
  <c r="AZ39" i="10" s="1"/>
  <c r="AZ35" i="10" a="1"/>
  <c r="AZ35" i="10" s="1"/>
  <c r="AZ40" i="10" a="1"/>
  <c r="AZ40" i="10" s="1"/>
  <c r="AZ36" i="10" a="1"/>
  <c r="AZ36" i="10" s="1"/>
  <c r="AZ121" i="10" a="1"/>
  <c r="AZ121" i="10" s="1"/>
  <c r="AZ115" i="10" a="1"/>
  <c r="AZ115" i="10" s="1"/>
  <c r="AZ109" i="10" a="1"/>
  <c r="AZ109" i="10" s="1"/>
  <c r="AZ124" i="10" a="1"/>
  <c r="AZ124" i="10" s="1"/>
  <c r="AZ119" i="10" a="1"/>
  <c r="AZ119" i="10" s="1"/>
  <c r="AZ116" i="10" a="1"/>
  <c r="AZ116" i="10" s="1"/>
  <c r="AZ110" i="10" a="1"/>
  <c r="AZ110" i="10" s="1"/>
  <c r="AZ125" i="10" a="1"/>
  <c r="AZ125" i="10" s="1"/>
  <c r="AZ120" i="10" a="1"/>
  <c r="AZ120" i="10" s="1"/>
  <c r="AZ114" i="10" a="1"/>
  <c r="AZ114" i="10" s="1"/>
  <c r="AZ104" i="10" a="1"/>
  <c r="AZ104" i="10" s="1"/>
  <c r="AZ86" i="10" a="1"/>
  <c r="AZ86" i="10" s="1"/>
  <c r="AZ46" i="10" a="1"/>
  <c r="AZ46" i="10" s="1"/>
  <c r="AZ105" i="10" a="1"/>
  <c r="AZ105" i="10" s="1"/>
  <c r="AZ99" i="10" a="1"/>
  <c r="AZ99" i="10" s="1"/>
  <c r="AZ85" i="10" a="1"/>
  <c r="AZ85" i="10" s="1"/>
  <c r="AZ29" i="10" a="1"/>
  <c r="AZ29" i="10" s="1"/>
  <c r="AZ95" i="10" a="1"/>
  <c r="AZ95" i="10" s="1"/>
  <c r="AZ30" i="10" a="1"/>
  <c r="AZ30" i="10" s="1"/>
  <c r="AZ100" i="10" a="1"/>
  <c r="AZ100" i="10" s="1"/>
  <c r="AZ111" i="10" a="1"/>
  <c r="AZ111" i="10" s="1"/>
  <c r="AZ84" i="10" a="1"/>
  <c r="AZ84" i="10" s="1"/>
  <c r="AA15" i="10" a="1"/>
  <c r="AA15" i="10" s="1"/>
  <c r="AM15" i="10" a="1"/>
  <c r="AM15" i="10" s="1"/>
  <c r="AY15" i="10" a="1"/>
  <c r="AY15" i="10" s="1"/>
  <c r="BE15" i="10" a="1"/>
  <c r="BE15" i="10" s="1"/>
  <c r="BD17" i="10" a="1"/>
  <c r="BD17" i="10" s="1"/>
  <c r="AA22" i="10" a="1"/>
  <c r="AA22" i="10" s="1"/>
  <c r="AA23" i="10" a="1"/>
  <c r="AA23" i="10" s="1"/>
  <c r="AY24" i="10" a="1"/>
  <c r="AY24" i="10" s="1"/>
  <c r="BD25" i="10" a="1"/>
  <c r="BD25" i="10" s="1"/>
  <c r="BD85" i="10" a="1"/>
  <c r="BD85" i="10" s="1"/>
  <c r="BD86" i="10" a="1"/>
  <c r="BD86" i="10" s="1"/>
  <c r="BA130" i="10" a="1"/>
  <c r="BA130" i="10" s="1"/>
  <c r="BA138" i="10" a="1"/>
  <c r="BA138" i="10" s="1"/>
  <c r="BA136" i="10" a="1"/>
  <c r="BA136" i="10" s="1"/>
  <c r="BA141" i="10" a="1"/>
  <c r="BA141" i="10" s="1"/>
  <c r="BA139" i="10" a="1"/>
  <c r="BA139" i="10" s="1"/>
  <c r="BA90" i="10" a="1"/>
  <c r="BA90" i="10" s="1"/>
  <c r="BA137" i="10" a="1"/>
  <c r="BA137" i="10" s="1"/>
  <c r="BA132" i="10" a="1"/>
  <c r="BA132" i="10" s="1"/>
  <c r="BA131" i="10" a="1"/>
  <c r="BA131" i="10" s="1"/>
  <c r="BA91" i="10" a="1"/>
  <c r="BA91" i="10" s="1"/>
  <c r="BA140" i="10" a="1"/>
  <c r="BA140" i="10" s="1"/>
  <c r="BA75" i="10" a="1"/>
  <c r="BA75" i="10" s="1"/>
  <c r="BA71" i="10" a="1"/>
  <c r="BA71" i="10" s="1"/>
  <c r="BA89" i="10" a="1"/>
  <c r="BA89" i="10" s="1"/>
  <c r="BA70" i="10" a="1"/>
  <c r="BA70" i="10" s="1"/>
  <c r="BA80" i="10" a="1"/>
  <c r="BA80" i="10" s="1"/>
  <c r="BA79" i="10" a="1"/>
  <c r="BA79" i="10" s="1"/>
  <c r="BA69" i="10" a="1"/>
  <c r="BA69" i="10" s="1"/>
  <c r="BA66" i="10" a="1"/>
  <c r="BA66" i="10" s="1"/>
  <c r="BA60" i="10" a="1"/>
  <c r="BA60" i="10" s="1"/>
  <c r="BA59" i="10" a="1"/>
  <c r="BA59" i="10" s="1"/>
  <c r="BA55" i="10" a="1"/>
  <c r="BA55" i="10" s="1"/>
  <c r="BA76" i="10" a="1"/>
  <c r="BA76" i="10" s="1"/>
  <c r="BA74" i="10" a="1"/>
  <c r="BA74" i="10" s="1"/>
  <c r="BA65" i="10" a="1"/>
  <c r="BA65" i="10" s="1"/>
  <c r="BA41" i="10" a="1"/>
  <c r="BA41" i="10" s="1"/>
  <c r="BA61" i="10" a="1"/>
  <c r="BA61" i="10" s="1"/>
  <c r="BA49" i="10" a="1"/>
  <c r="BA49" i="10" s="1"/>
  <c r="BA51" i="10" a="1"/>
  <c r="BA51" i="10" s="1"/>
  <c r="BA50" i="10" a="1"/>
  <c r="BA50" i="10" s="1"/>
  <c r="BA54" i="10" a="1"/>
  <c r="BA54" i="10" s="1"/>
  <c r="BA39" i="10" a="1"/>
  <c r="BA39" i="10" s="1"/>
  <c r="BA35" i="10" a="1"/>
  <c r="BA35" i="10" s="1"/>
  <c r="BA124" i="10" a="1"/>
  <c r="BA124" i="10" s="1"/>
  <c r="BA56" i="10" a="1"/>
  <c r="BA56" i="10" s="1"/>
  <c r="BA45" i="10" a="1"/>
  <c r="BA45" i="10" s="1"/>
  <c r="BA64" i="10" a="1"/>
  <c r="BA64" i="10" s="1"/>
  <c r="BA81" i="10" a="1"/>
  <c r="BA81" i="10" s="1"/>
  <c r="BA40" i="10" a="1"/>
  <c r="BA40" i="10" s="1"/>
  <c r="BA36" i="10" a="1"/>
  <c r="BA36" i="10" s="1"/>
  <c r="BA119" i="10" a="1"/>
  <c r="BA119" i="10" s="1"/>
  <c r="BA44" i="10" a="1"/>
  <c r="BA44" i="10" s="1"/>
  <c r="BA34" i="10" a="1"/>
  <c r="BA34" i="10" s="1"/>
  <c r="BA125" i="10" a="1"/>
  <c r="BA125" i="10" s="1"/>
  <c r="BA126" i="10" a="1"/>
  <c r="BA126" i="10" s="1"/>
  <c r="BA120" i="10" a="1"/>
  <c r="BA120" i="10" s="1"/>
  <c r="BA114" i="10" a="1"/>
  <c r="BA114" i="10" s="1"/>
  <c r="BA101" i="10" a="1"/>
  <c r="BA101" i="10" s="1"/>
  <c r="BA95" i="10" a="1"/>
  <c r="BA95" i="10" s="1"/>
  <c r="BA46" i="10" a="1"/>
  <c r="BA46" i="10" s="1"/>
  <c r="BA111" i="10" a="1"/>
  <c r="BA111" i="10" s="1"/>
  <c r="BA116" i="10" a="1"/>
  <c r="BA116" i="10" s="1"/>
  <c r="BA24" i="10" a="1"/>
  <c r="BA24" i="10" s="1"/>
  <c r="BA104" i="10" a="1"/>
  <c r="BA104" i="10" s="1"/>
  <c r="BA121" i="10" a="1"/>
  <c r="BA121" i="10" s="1"/>
  <c r="BA30" i="10" a="1"/>
  <c r="BA30" i="10" s="1"/>
  <c r="BA109" i="10" a="1"/>
  <c r="BA109" i="10" s="1"/>
  <c r="BA86" i="10" a="1"/>
  <c r="BA86" i="10" s="1"/>
  <c r="BA84" i="10" a="1"/>
  <c r="BA84" i="10" s="1"/>
  <c r="BA25" i="10" a="1"/>
  <c r="BA25" i="10" s="1"/>
  <c r="BA110" i="10" a="1"/>
  <c r="BA110" i="10" s="1"/>
  <c r="BA106" i="10" a="1"/>
  <c r="BA106" i="10" s="1"/>
  <c r="BA96" i="10" a="1"/>
  <c r="BA96" i="10" s="1"/>
  <c r="BA105" i="10" a="1"/>
  <c r="BA105" i="10" s="1"/>
  <c r="BA18" i="10" a="1"/>
  <c r="BA18" i="10" s="1"/>
  <c r="BF23" i="10" a="1"/>
  <c r="BF23" i="10" s="1"/>
  <c r="AZ24" i="10" a="1"/>
  <c r="AZ24" i="10" s="1"/>
  <c r="BA29" i="10" a="1"/>
  <c r="BA29" i="10" s="1"/>
  <c r="BD30" i="10" a="1"/>
  <c r="BD30" i="10" s="1"/>
  <c r="BE86" i="10" a="1"/>
  <c r="BE86" i="10" s="1"/>
  <c r="BA115" i="10" a="1"/>
  <c r="BA115" i="10" s="1"/>
  <c r="AZ94" i="10" a="1"/>
  <c r="AZ94" i="10" s="1"/>
  <c r="BA100" i="10" a="1"/>
  <c r="BA100" i="10" s="1"/>
  <c r="AZ106" i="10" a="1"/>
  <c r="AZ106" i="10" s="1"/>
  <c r="BE25" i="10" a="1"/>
  <c r="BE25" i="10" s="1"/>
  <c r="S141" i="10" a="1"/>
  <c r="S141" i="10" s="1"/>
  <c r="S131" i="10" a="1"/>
  <c r="S131" i="10" s="1"/>
  <c r="S139" i="10" a="1"/>
  <c r="S139" i="10" s="1"/>
  <c r="S137" i="10" a="1"/>
  <c r="S137" i="10" s="1"/>
  <c r="S136" i="10" a="1"/>
  <c r="S136" i="10" s="1"/>
  <c r="S91" i="10" a="1"/>
  <c r="S91" i="10" s="1"/>
  <c r="S138" i="10" a="1"/>
  <c r="S138" i="10" s="1"/>
  <c r="S89" i="10" a="1"/>
  <c r="S89" i="10" s="1"/>
  <c r="S80" i="10" a="1"/>
  <c r="S80" i="10" s="1"/>
  <c r="S81" i="10" a="1"/>
  <c r="S81" i="10" s="1"/>
  <c r="S90" i="10" a="1"/>
  <c r="S90" i="10" s="1"/>
  <c r="S140" i="10" a="1"/>
  <c r="S140" i="10" s="1"/>
  <c r="S75" i="10" a="1"/>
  <c r="S75" i="10" s="1"/>
  <c r="S69" i="10" a="1"/>
  <c r="S69" i="10" s="1"/>
  <c r="S130" i="10" a="1"/>
  <c r="S130" i="10" s="1"/>
  <c r="S132" i="10" a="1"/>
  <c r="S132" i="10" s="1"/>
  <c r="S79" i="10" a="1"/>
  <c r="S79" i="10" s="1"/>
  <c r="S66" i="10" a="1"/>
  <c r="S66" i="10" s="1"/>
  <c r="S60" i="10" a="1"/>
  <c r="S60" i="10" s="1"/>
  <c r="S54" i="10" a="1"/>
  <c r="S54" i="10" s="1"/>
  <c r="S76" i="10" a="1"/>
  <c r="S76" i="10" s="1"/>
  <c r="S71" i="10" a="1"/>
  <c r="S71" i="10" s="1"/>
  <c r="S74" i="10" a="1"/>
  <c r="S74" i="10" s="1"/>
  <c r="S59" i="10" a="1"/>
  <c r="S59" i="10" s="1"/>
  <c r="S56" i="10" a="1"/>
  <c r="S56" i="10" s="1"/>
  <c r="S55" i="10" a="1"/>
  <c r="S55" i="10" s="1"/>
  <c r="S61" i="10" a="1"/>
  <c r="S61" i="10" s="1"/>
  <c r="S64" i="10" a="1"/>
  <c r="S64" i="10" s="1"/>
  <c r="S40" i="10" a="1"/>
  <c r="S40" i="10" s="1"/>
  <c r="S36" i="10" a="1"/>
  <c r="S36" i="10" s="1"/>
  <c r="S125" i="10" a="1"/>
  <c r="S125" i="10" s="1"/>
  <c r="S39" i="10" a="1"/>
  <c r="S39" i="10" s="1"/>
  <c r="S44" i="10" a="1"/>
  <c r="S44" i="10" s="1"/>
  <c r="S70" i="10" a="1"/>
  <c r="S70" i="10" s="1"/>
  <c r="S45" i="10" a="1"/>
  <c r="S45" i="10" s="1"/>
  <c r="S49" i="10" a="1"/>
  <c r="S49" i="10" s="1"/>
  <c r="S65" i="10" a="1"/>
  <c r="S65" i="10" s="1"/>
  <c r="S51" i="10" a="1"/>
  <c r="S51" i="10" s="1"/>
  <c r="S46" i="10" a="1"/>
  <c r="S46" i="10" s="1"/>
  <c r="S116" i="10" a="1"/>
  <c r="S116" i="10" s="1"/>
  <c r="S110" i="10" a="1"/>
  <c r="S110" i="10" s="1"/>
  <c r="S120" i="10" a="1"/>
  <c r="S120" i="10" s="1"/>
  <c r="S114" i="10" a="1"/>
  <c r="S114" i="10" s="1"/>
  <c r="S34" i="10" a="1"/>
  <c r="S34" i="10" s="1"/>
  <c r="S111" i="10" a="1"/>
  <c r="S111" i="10" s="1"/>
  <c r="S41" i="10" a="1"/>
  <c r="S41" i="10" s="1"/>
  <c r="S50" i="10" a="1"/>
  <c r="S50" i="10" s="1"/>
  <c r="S121" i="10" a="1"/>
  <c r="S121" i="10" s="1"/>
  <c r="S115" i="10" a="1"/>
  <c r="S115" i="10" s="1"/>
  <c r="S109" i="10" a="1"/>
  <c r="S109" i="10" s="1"/>
  <c r="S126" i="10" a="1"/>
  <c r="S126" i="10" s="1"/>
  <c r="S96" i="10" a="1"/>
  <c r="S96" i="10" s="1"/>
  <c r="S106" i="10" a="1"/>
  <c r="S106" i="10" s="1"/>
  <c r="S100" i="10" a="1"/>
  <c r="S100" i="10" s="1"/>
  <c r="S94" i="10" a="1"/>
  <c r="S94" i="10" s="1"/>
  <c r="S124" i="10" a="1"/>
  <c r="S124" i="10" s="1"/>
  <c r="S119" i="10" a="1"/>
  <c r="S119" i="10" s="1"/>
  <c r="S35" i="10" a="1"/>
  <c r="S35" i="10" s="1"/>
  <c r="S101" i="10" a="1"/>
  <c r="S101" i="10" s="1"/>
  <c r="S84" i="10" a="1"/>
  <c r="S84" i="10" s="1"/>
  <c r="S25" i="10" a="1"/>
  <c r="S25" i="10" s="1"/>
  <c r="S104" i="10" a="1"/>
  <c r="S104" i="10" s="1"/>
  <c r="S23" i="10" a="1"/>
  <c r="S23" i="10" s="1"/>
  <c r="S95" i="10" a="1"/>
  <c r="S95" i="10" s="1"/>
  <c r="S85" i="10" a="1"/>
  <c r="S85" i="10" s="1"/>
  <c r="S29" i="10" a="1"/>
  <c r="S29" i="10" s="1"/>
  <c r="AE141" i="10" a="1"/>
  <c r="AE141" i="10" s="1"/>
  <c r="AE131" i="10" a="1"/>
  <c r="AE131" i="10" s="1"/>
  <c r="AE139" i="10" a="1"/>
  <c r="AE139" i="10" s="1"/>
  <c r="AE137" i="10" a="1"/>
  <c r="AE137" i="10" s="1"/>
  <c r="AE91" i="10" a="1"/>
  <c r="AE91" i="10" s="1"/>
  <c r="AE132" i="10" a="1"/>
  <c r="AE132" i="10" s="1"/>
  <c r="AE138" i="10" a="1"/>
  <c r="AE138" i="10" s="1"/>
  <c r="AE136" i="10" a="1"/>
  <c r="AE136" i="10" s="1"/>
  <c r="AE90" i="10" a="1"/>
  <c r="AE90" i="10" s="1"/>
  <c r="AE69" i="10" a="1"/>
  <c r="AE69" i="10" s="1"/>
  <c r="AE89" i="10" a="1"/>
  <c r="AE89" i="10" s="1"/>
  <c r="AE79" i="10" a="1"/>
  <c r="AE79" i="10" s="1"/>
  <c r="AE75" i="10" a="1"/>
  <c r="AE75" i="10" s="1"/>
  <c r="AE140" i="10" a="1"/>
  <c r="AE140" i="10" s="1"/>
  <c r="AE80" i="10" a="1"/>
  <c r="AE80" i="10" s="1"/>
  <c r="AE70" i="10" a="1"/>
  <c r="AE70" i="10" s="1"/>
  <c r="AE66" i="10" a="1"/>
  <c r="AE66" i="10" s="1"/>
  <c r="AE60" i="10" a="1"/>
  <c r="AE60" i="10" s="1"/>
  <c r="AE54" i="10" a="1"/>
  <c r="AE54" i="10" s="1"/>
  <c r="AE64" i="10" a="1"/>
  <c r="AE64" i="10" s="1"/>
  <c r="AE76" i="10" a="1"/>
  <c r="AE76" i="10" s="1"/>
  <c r="AE74" i="10" a="1"/>
  <c r="AE74" i="10" s="1"/>
  <c r="AE81" i="10" a="1"/>
  <c r="AE81" i="10" s="1"/>
  <c r="AE71" i="10" a="1"/>
  <c r="AE71" i="10" s="1"/>
  <c r="AE59" i="10" a="1"/>
  <c r="AE59" i="10" s="1"/>
  <c r="AE61" i="10" a="1"/>
  <c r="AE61" i="10" s="1"/>
  <c r="AE50" i="10" a="1"/>
  <c r="AE50" i="10" s="1"/>
  <c r="AE56" i="10" a="1"/>
  <c r="AE56" i="10" s="1"/>
  <c r="AE55" i="10" a="1"/>
  <c r="AE55" i="10" s="1"/>
  <c r="AE130" i="10" a="1"/>
  <c r="AE130" i="10" s="1"/>
  <c r="AE46" i="10" a="1"/>
  <c r="AE46" i="10" s="1"/>
  <c r="AE65" i="10" a="1"/>
  <c r="AE65" i="10" s="1"/>
  <c r="AE49" i="10" a="1"/>
  <c r="AE49" i="10" s="1"/>
  <c r="AE45" i="10" a="1"/>
  <c r="AE45" i="10" s="1"/>
  <c r="AE44" i="10" a="1"/>
  <c r="AE44" i="10" s="1"/>
  <c r="AE41" i="10" a="1"/>
  <c r="AE41" i="10" s="1"/>
  <c r="AE36" i="10" a="1"/>
  <c r="AE36" i="10" s="1"/>
  <c r="AE125" i="10" a="1"/>
  <c r="AE125" i="10" s="1"/>
  <c r="AE51" i="10" a="1"/>
  <c r="AE51" i="10" s="1"/>
  <c r="AE39" i="10" a="1"/>
  <c r="AE39" i="10" s="1"/>
  <c r="AE40" i="10" a="1"/>
  <c r="AE40" i="10" s="1"/>
  <c r="AE116" i="10" a="1"/>
  <c r="AE116" i="10" s="1"/>
  <c r="AE110" i="10" a="1"/>
  <c r="AE110" i="10" s="1"/>
  <c r="AE120" i="10" a="1"/>
  <c r="AE120" i="10" s="1"/>
  <c r="AE114" i="10" a="1"/>
  <c r="AE114" i="10" s="1"/>
  <c r="AE34" i="10" a="1"/>
  <c r="AE34" i="10" s="1"/>
  <c r="AE111" i="10" a="1"/>
  <c r="AE111" i="10" s="1"/>
  <c r="AE126" i="10" a="1"/>
  <c r="AE126" i="10" s="1"/>
  <c r="AE121" i="10" a="1"/>
  <c r="AE121" i="10" s="1"/>
  <c r="AE115" i="10" a="1"/>
  <c r="AE115" i="10" s="1"/>
  <c r="AE109" i="10" a="1"/>
  <c r="AE109" i="10" s="1"/>
  <c r="AE35" i="10" a="1"/>
  <c r="AE35" i="10" s="1"/>
  <c r="AE96" i="10" a="1"/>
  <c r="AE96" i="10" s="1"/>
  <c r="AE106" i="10" a="1"/>
  <c r="AE106" i="10" s="1"/>
  <c r="AE100" i="10" a="1"/>
  <c r="AE100" i="10" s="1"/>
  <c r="AE94" i="10" a="1"/>
  <c r="AE94" i="10" s="1"/>
  <c r="AE104" i="10" a="1"/>
  <c r="AE104" i="10" s="1"/>
  <c r="AE86" i="10" a="1"/>
  <c r="AE86" i="10" s="1"/>
  <c r="AE84" i="10" a="1"/>
  <c r="AE84" i="10" s="1"/>
  <c r="AE25" i="10" a="1"/>
  <c r="AE25" i="10" s="1"/>
  <c r="AE99" i="10" a="1"/>
  <c r="AE99" i="10" s="1"/>
  <c r="AE95" i="10" a="1"/>
  <c r="AE95" i="10" s="1"/>
  <c r="AE23" i="10" a="1"/>
  <c r="AE23" i="10" s="1"/>
  <c r="AE85" i="10" a="1"/>
  <c r="AE85" i="10" s="1"/>
  <c r="AE29" i="10" a="1"/>
  <c r="AE29" i="10" s="1"/>
  <c r="AQ141" i="10" a="1"/>
  <c r="AQ141" i="10" s="1"/>
  <c r="AQ131" i="10" a="1"/>
  <c r="AQ131" i="10" s="1"/>
  <c r="AQ139" i="10" a="1"/>
  <c r="AQ139" i="10" s="1"/>
  <c r="AQ137" i="10" a="1"/>
  <c r="AQ137" i="10" s="1"/>
  <c r="AQ91" i="10" a="1"/>
  <c r="AQ91" i="10" s="1"/>
  <c r="AQ140" i="10" a="1"/>
  <c r="AQ140" i="10" s="1"/>
  <c r="AQ138" i="10" a="1"/>
  <c r="AQ138" i="10" s="1"/>
  <c r="AQ136" i="10" a="1"/>
  <c r="AQ136" i="10" s="1"/>
  <c r="AQ75" i="10" a="1"/>
  <c r="AQ75" i="10" s="1"/>
  <c r="AQ132" i="10" a="1"/>
  <c r="AQ132" i="10" s="1"/>
  <c r="AQ79" i="10" a="1"/>
  <c r="AQ79" i="10" s="1"/>
  <c r="AQ80" i="10" a="1"/>
  <c r="AQ80" i="10" s="1"/>
  <c r="AQ89" i="10" a="1"/>
  <c r="AQ89" i="10" s="1"/>
  <c r="AQ69" i="10" a="1"/>
  <c r="AQ69" i="10" s="1"/>
  <c r="AQ90" i="10" a="1"/>
  <c r="AQ90" i="10" s="1"/>
  <c r="AQ81" i="10" a="1"/>
  <c r="AQ81" i="10" s="1"/>
  <c r="AQ71" i="10" a="1"/>
  <c r="AQ71" i="10" s="1"/>
  <c r="AQ66" i="10" a="1"/>
  <c r="AQ66" i="10" s="1"/>
  <c r="AQ60" i="10" a="1"/>
  <c r="AQ60" i="10" s="1"/>
  <c r="AQ54" i="10" a="1"/>
  <c r="AQ54" i="10" s="1"/>
  <c r="AQ64" i="10" a="1"/>
  <c r="AQ64" i="10" s="1"/>
  <c r="AQ70" i="10" a="1"/>
  <c r="AQ70" i="10" s="1"/>
  <c r="AQ76" i="10" a="1"/>
  <c r="AQ76" i="10" s="1"/>
  <c r="AQ65" i="10" a="1"/>
  <c r="AQ65" i="10" s="1"/>
  <c r="AQ130" i="10" a="1"/>
  <c r="AQ130" i="10" s="1"/>
  <c r="AQ74" i="10" a="1"/>
  <c r="AQ74" i="10" s="1"/>
  <c r="AQ56" i="10" a="1"/>
  <c r="AQ56" i="10" s="1"/>
  <c r="AQ55" i="10" a="1"/>
  <c r="AQ55" i="10" s="1"/>
  <c r="AQ50" i="10" a="1"/>
  <c r="AQ50" i="10" s="1"/>
  <c r="AQ51" i="10" a="1"/>
  <c r="AQ51" i="10" s="1"/>
  <c r="AQ61" i="10" a="1"/>
  <c r="AQ61" i="10" s="1"/>
  <c r="AQ45" i="10" a="1"/>
  <c r="AQ45" i="10" s="1"/>
  <c r="AQ36" i="10" a="1"/>
  <c r="AQ36" i="10" s="1"/>
  <c r="AQ125" i="10" a="1"/>
  <c r="AQ125" i="10" s="1"/>
  <c r="AQ39" i="10" a="1"/>
  <c r="AQ39" i="10" s="1"/>
  <c r="AQ116" i="10" a="1"/>
  <c r="AQ116" i="10" s="1"/>
  <c r="AQ110" i="10" a="1"/>
  <c r="AQ110" i="10" s="1"/>
  <c r="AQ46" i="10" a="1"/>
  <c r="AQ46" i="10" s="1"/>
  <c r="AQ40" i="10" a="1"/>
  <c r="AQ40" i="10" s="1"/>
  <c r="AQ34" i="10" a="1"/>
  <c r="AQ34" i="10" s="1"/>
  <c r="AQ59" i="10" a="1"/>
  <c r="AQ59" i="10" s="1"/>
  <c r="AQ41" i="10" a="1"/>
  <c r="AQ41" i="10" s="1"/>
  <c r="AQ126" i="10" a="1"/>
  <c r="AQ126" i="10" s="1"/>
  <c r="AQ120" i="10" a="1"/>
  <c r="AQ120" i="10" s="1"/>
  <c r="AQ114" i="10" a="1"/>
  <c r="AQ114" i="10" s="1"/>
  <c r="AQ111" i="10" a="1"/>
  <c r="AQ111" i="10" s="1"/>
  <c r="AQ44" i="10" a="1"/>
  <c r="AQ44" i="10" s="1"/>
  <c r="AQ35" i="10" a="1"/>
  <c r="AQ35" i="10" s="1"/>
  <c r="AQ124" i="10" a="1"/>
  <c r="AQ124" i="10" s="1"/>
  <c r="AQ121" i="10" a="1"/>
  <c r="AQ121" i="10" s="1"/>
  <c r="AQ115" i="10" a="1"/>
  <c r="AQ115" i="10" s="1"/>
  <c r="AQ109" i="10" a="1"/>
  <c r="AQ109" i="10" s="1"/>
  <c r="AQ119" i="10" a="1"/>
  <c r="AQ119" i="10" s="1"/>
  <c r="AQ96" i="10" a="1"/>
  <c r="AQ96" i="10" s="1"/>
  <c r="AQ49" i="10" a="1"/>
  <c r="AQ49" i="10" s="1"/>
  <c r="AQ106" i="10" a="1"/>
  <c r="AQ106" i="10" s="1"/>
  <c r="AQ100" i="10" a="1"/>
  <c r="AQ100" i="10" s="1"/>
  <c r="AQ94" i="10" a="1"/>
  <c r="AQ94" i="10" s="1"/>
  <c r="AQ99" i="10" a="1"/>
  <c r="AQ99" i="10" s="1"/>
  <c r="AQ95" i="10" a="1"/>
  <c r="AQ95" i="10" s="1"/>
  <c r="AQ84" i="10" a="1"/>
  <c r="AQ84" i="10" s="1"/>
  <c r="AQ25" i="10" a="1"/>
  <c r="AQ25" i="10" s="1"/>
  <c r="AQ23" i="10" a="1"/>
  <c r="AQ23" i="10" s="1"/>
  <c r="AQ85" i="10" a="1"/>
  <c r="AQ85" i="10" s="1"/>
  <c r="AQ29" i="10" a="1"/>
  <c r="AQ29" i="10" s="1"/>
  <c r="AQ105" i="10" a="1"/>
  <c r="AQ105" i="10" s="1"/>
  <c r="AQ86" i="10" a="1"/>
  <c r="AQ86" i="10" s="1"/>
  <c r="BC141" i="10" a="1"/>
  <c r="BC141" i="10" s="1"/>
  <c r="BC131" i="10" a="1"/>
  <c r="BC131" i="10" s="1"/>
  <c r="BC139" i="10" a="1"/>
  <c r="BC139" i="10" s="1"/>
  <c r="BC137" i="10" a="1"/>
  <c r="BC137" i="10" s="1"/>
  <c r="BC91" i="10" a="1"/>
  <c r="BC91" i="10" s="1"/>
  <c r="BC140" i="10" a="1"/>
  <c r="BC140" i="10" s="1"/>
  <c r="BC138" i="10" a="1"/>
  <c r="BC138" i="10" s="1"/>
  <c r="BC132" i="10" a="1"/>
  <c r="BC132" i="10" s="1"/>
  <c r="BC130" i="10" a="1"/>
  <c r="BC130" i="10" s="1"/>
  <c r="BC75" i="10" a="1"/>
  <c r="BC75" i="10" s="1"/>
  <c r="BC89" i="10" a="1"/>
  <c r="BC89" i="10" s="1"/>
  <c r="BC90" i="10" a="1"/>
  <c r="BC90" i="10" s="1"/>
  <c r="BC69" i="10" a="1"/>
  <c r="BC69" i="10" s="1"/>
  <c r="BC80" i="10" a="1"/>
  <c r="BC80" i="10" s="1"/>
  <c r="BC136" i="10" a="1"/>
  <c r="BC136" i="10" s="1"/>
  <c r="BC79" i="10" a="1"/>
  <c r="BC79" i="10" s="1"/>
  <c r="BC66" i="10" a="1"/>
  <c r="BC66" i="10" s="1"/>
  <c r="BC60" i="10" a="1"/>
  <c r="BC60" i="10" s="1"/>
  <c r="BC54" i="10" a="1"/>
  <c r="BC54" i="10" s="1"/>
  <c r="BC64" i="10" a="1"/>
  <c r="BC64" i="10" s="1"/>
  <c r="BC71" i="10" a="1"/>
  <c r="BC71" i="10" s="1"/>
  <c r="BC74" i="10" a="1"/>
  <c r="BC74" i="10" s="1"/>
  <c r="BC81" i="10" a="1"/>
  <c r="BC81" i="10" s="1"/>
  <c r="BC76" i="10" a="1"/>
  <c r="BC76" i="10" s="1"/>
  <c r="BC70" i="10" a="1"/>
  <c r="BC70" i="10" s="1"/>
  <c r="BC49" i="10" a="1"/>
  <c r="BC49" i="10" s="1"/>
  <c r="BC51" i="10" a="1"/>
  <c r="BC51" i="10" s="1"/>
  <c r="BC65" i="10" a="1"/>
  <c r="BC65" i="10" s="1"/>
  <c r="BC56" i="10" a="1"/>
  <c r="BC56" i="10" s="1"/>
  <c r="BC55" i="10" a="1"/>
  <c r="BC55" i="10" s="1"/>
  <c r="BC40" i="10" a="1"/>
  <c r="BC40" i="10" s="1"/>
  <c r="BC36" i="10" a="1"/>
  <c r="BC36" i="10" s="1"/>
  <c r="BC125" i="10" a="1"/>
  <c r="BC125" i="10" s="1"/>
  <c r="BC61" i="10" a="1"/>
  <c r="BC61" i="10" s="1"/>
  <c r="BC59" i="10" a="1"/>
  <c r="BC59" i="10" s="1"/>
  <c r="BC46" i="10" a="1"/>
  <c r="BC46" i="10" s="1"/>
  <c r="BC116" i="10" a="1"/>
  <c r="BC116" i="10" s="1"/>
  <c r="BC110" i="10" a="1"/>
  <c r="BC110" i="10" s="1"/>
  <c r="BC120" i="10" a="1"/>
  <c r="BC120" i="10" s="1"/>
  <c r="BC114" i="10" a="1"/>
  <c r="BC114" i="10" s="1"/>
  <c r="BC39" i="10" a="1"/>
  <c r="BC39" i="10" s="1"/>
  <c r="BC41" i="10" a="1"/>
  <c r="BC41" i="10" s="1"/>
  <c r="BC111" i="10" a="1"/>
  <c r="BC111" i="10" s="1"/>
  <c r="BC50" i="10" a="1"/>
  <c r="BC50" i="10" s="1"/>
  <c r="BC121" i="10" a="1"/>
  <c r="BC121" i="10" s="1"/>
  <c r="BC115" i="10" a="1"/>
  <c r="BC115" i="10" s="1"/>
  <c r="BC109" i="10" a="1"/>
  <c r="BC109" i="10" s="1"/>
  <c r="BC44" i="10" a="1"/>
  <c r="BC44" i="10" s="1"/>
  <c r="BC119" i="10" a="1"/>
  <c r="BC119" i="10" s="1"/>
  <c r="BC96" i="10" a="1"/>
  <c r="BC96" i="10" s="1"/>
  <c r="BC106" i="10" a="1"/>
  <c r="BC106" i="10" s="1"/>
  <c r="BC100" i="10" a="1"/>
  <c r="BC100" i="10" s="1"/>
  <c r="BC94" i="10" a="1"/>
  <c r="BC94" i="10" s="1"/>
  <c r="BC126" i="10" a="1"/>
  <c r="BC126" i="10" s="1"/>
  <c r="BC124" i="10" a="1"/>
  <c r="BC124" i="10" s="1"/>
  <c r="BC86" i="10" a="1"/>
  <c r="BC86" i="10" s="1"/>
  <c r="BC84" i="10" a="1"/>
  <c r="BC84" i="10" s="1"/>
  <c r="BC25" i="10" a="1"/>
  <c r="BC25" i="10" s="1"/>
  <c r="BC23" i="10" a="1"/>
  <c r="BC23" i="10" s="1"/>
  <c r="BC35" i="10" a="1"/>
  <c r="BC35" i="10" s="1"/>
  <c r="BC105" i="10" a="1"/>
  <c r="BC105" i="10" s="1"/>
  <c r="BC85" i="10" a="1"/>
  <c r="BC85" i="10" s="1"/>
  <c r="BC29" i="10" a="1"/>
  <c r="BC29" i="10" s="1"/>
  <c r="BC101" i="10" a="1"/>
  <c r="BC101" i="10" s="1"/>
  <c r="S16" i="10" a="1"/>
  <c r="S16" i="10" s="1"/>
  <c r="AE16" i="10" a="1"/>
  <c r="AE16" i="10" s="1"/>
  <c r="AQ16" i="10" a="1"/>
  <c r="AQ16" i="10" s="1"/>
  <c r="BC16" i="10" a="1"/>
  <c r="BC16" i="10" s="1"/>
  <c r="AQ24" i="10" a="1"/>
  <c r="AQ24" i="10" s="1"/>
  <c r="AA25" i="10" a="1"/>
  <c r="AA25" i="10" s="1"/>
  <c r="BE30" i="10" a="1"/>
  <c r="BE30" i="10" s="1"/>
  <c r="AA84" i="10" a="1"/>
  <c r="AA84" i="10" s="1"/>
  <c r="AM84" i="10" a="1"/>
  <c r="AM84" i="10" s="1"/>
  <c r="AY84" i="10" a="1"/>
  <c r="AY84" i="10" s="1"/>
  <c r="BC95" i="10" a="1"/>
  <c r="BC95" i="10" s="1"/>
  <c r="BF100" i="10" a="1"/>
  <c r="BF100" i="10" s="1"/>
  <c r="AY105" i="10" a="1"/>
  <c r="AY105" i="10" s="1"/>
  <c r="AE119" i="10" a="1"/>
  <c r="AE119" i="10" s="1"/>
  <c r="BD139" i="10" a="1"/>
  <c r="BD139" i="10" s="1"/>
  <c r="BD137" i="10" a="1"/>
  <c r="BD137" i="10" s="1"/>
  <c r="BD140" i="10" a="1"/>
  <c r="BD140" i="10" s="1"/>
  <c r="BD89" i="10" a="1"/>
  <c r="BD89" i="10" s="1"/>
  <c r="BD138" i="10" a="1"/>
  <c r="BD138" i="10" s="1"/>
  <c r="BD90" i="10" a="1"/>
  <c r="BD90" i="10" s="1"/>
  <c r="BD81" i="10" a="1"/>
  <c r="BD81" i="10" s="1"/>
  <c r="BD141" i="10" a="1"/>
  <c r="BD141" i="10" s="1"/>
  <c r="BD79" i="10" a="1"/>
  <c r="BD79" i="10" s="1"/>
  <c r="BD76" i="10" a="1"/>
  <c r="BD76" i="10" s="1"/>
  <c r="BD136" i="10" a="1"/>
  <c r="BD136" i="10" s="1"/>
  <c r="BD131" i="10" a="1"/>
  <c r="BD131" i="10" s="1"/>
  <c r="BD91" i="10" a="1"/>
  <c r="BD91" i="10" s="1"/>
  <c r="BD80" i="10" a="1"/>
  <c r="BD80" i="10" s="1"/>
  <c r="BD69" i="10" a="1"/>
  <c r="BD69" i="10" s="1"/>
  <c r="BD64" i="10" a="1"/>
  <c r="BD64" i="10" s="1"/>
  <c r="BD71" i="10" a="1"/>
  <c r="BD71" i="10" s="1"/>
  <c r="BD75" i="10" a="1"/>
  <c r="BD75" i="10" s="1"/>
  <c r="BD74" i="10" a="1"/>
  <c r="BD74" i="10" s="1"/>
  <c r="BD130" i="10" a="1"/>
  <c r="BD130" i="10" s="1"/>
  <c r="BD61" i="10" a="1"/>
  <c r="BD61" i="10" s="1"/>
  <c r="BD132" i="10" a="1"/>
  <c r="BD132" i="10" s="1"/>
  <c r="BD49" i="10" a="1"/>
  <c r="BD49" i="10" s="1"/>
  <c r="BD70" i="10" a="1"/>
  <c r="BD70" i="10" s="1"/>
  <c r="BD55" i="10" a="1"/>
  <c r="BD55" i="10" s="1"/>
  <c r="BD46" i="10" a="1"/>
  <c r="BD46" i="10" s="1"/>
  <c r="BD54" i="10" a="1"/>
  <c r="BD54" i="10" s="1"/>
  <c r="BD40" i="10" a="1"/>
  <c r="BD40" i="10" s="1"/>
  <c r="BD36" i="10" a="1"/>
  <c r="BD36" i="10" s="1"/>
  <c r="BD125" i="10" a="1"/>
  <c r="BD125" i="10" s="1"/>
  <c r="BD56" i="10" a="1"/>
  <c r="BD56" i="10" s="1"/>
  <c r="BD60" i="10" a="1"/>
  <c r="BD60" i="10" s="1"/>
  <c r="BD34" i="10" a="1"/>
  <c r="BD34" i="10" s="1"/>
  <c r="BD65" i="10" a="1"/>
  <c r="BD65" i="10" s="1"/>
  <c r="BD50" i="10" a="1"/>
  <c r="BD50" i="10" s="1"/>
  <c r="BD44" i="10" a="1"/>
  <c r="BD44" i="10" s="1"/>
  <c r="BD41" i="10" a="1"/>
  <c r="BD41" i="10" s="1"/>
  <c r="BD39" i="10" a="1"/>
  <c r="BD39" i="10" s="1"/>
  <c r="BD120" i="10" a="1"/>
  <c r="BD120" i="10" s="1"/>
  <c r="BD114" i="10" a="1"/>
  <c r="BD114" i="10" s="1"/>
  <c r="BD35" i="10" a="1"/>
  <c r="BD35" i="10" s="1"/>
  <c r="BD51" i="10" a="1"/>
  <c r="BD51" i="10" s="1"/>
  <c r="BD111" i="10" a="1"/>
  <c r="BD111" i="10" s="1"/>
  <c r="BD121" i="10" a="1"/>
  <c r="BD121" i="10" s="1"/>
  <c r="BD115" i="10" a="1"/>
  <c r="BD115" i="10" s="1"/>
  <c r="BD109" i="10" a="1"/>
  <c r="BD109" i="10" s="1"/>
  <c r="BD119" i="10" a="1"/>
  <c r="BD119" i="10" s="1"/>
  <c r="BD96" i="10" a="1"/>
  <c r="BD96" i="10" s="1"/>
  <c r="BD59" i="10" a="1"/>
  <c r="BD59" i="10" s="1"/>
  <c r="BD106" i="10" a="1"/>
  <c r="BD106" i="10" s="1"/>
  <c r="BD100" i="10" a="1"/>
  <c r="BD100" i="10" s="1"/>
  <c r="BD94" i="10" a="1"/>
  <c r="BD94" i="10" s="1"/>
  <c r="BD124" i="10" a="1"/>
  <c r="BD124" i="10" s="1"/>
  <c r="BD116" i="10" a="1"/>
  <c r="BD116" i="10" s="1"/>
  <c r="BD104" i="10" a="1"/>
  <c r="BD104" i="10" s="1"/>
  <c r="BD126" i="10" a="1"/>
  <c r="BD126" i="10" s="1"/>
  <c r="BD45" i="10" a="1"/>
  <c r="BD45" i="10" s="1"/>
  <c r="BD66" i="10" a="1"/>
  <c r="BD66" i="10" s="1"/>
  <c r="BD23" i="10" a="1"/>
  <c r="BD23" i="10" s="1"/>
  <c r="BD101" i="10" a="1"/>
  <c r="BD101" i="10" s="1"/>
  <c r="BD24" i="10" a="1"/>
  <c r="BD24" i="10" s="1"/>
  <c r="BA15" i="10" a="1"/>
  <c r="BA15" i="10" s="1"/>
  <c r="AZ17" i="10" a="1"/>
  <c r="AZ17" i="10" s="1"/>
  <c r="BF17" i="10" a="1"/>
  <c r="BF17" i="10" s="1"/>
  <c r="BD22" i="10" a="1"/>
  <c r="BD22" i="10" s="1"/>
  <c r="AY23" i="10" a="1"/>
  <c r="AY23" i="10" s="1"/>
  <c r="AA30" i="10" a="1"/>
  <c r="AA30" i="10" s="1"/>
  <c r="AE31" i="10" a="1"/>
  <c r="AE31" i="10" s="1"/>
  <c r="AZ31" i="10" a="1"/>
  <c r="AZ31" i="10" s="1"/>
  <c r="BA94" i="10" a="1"/>
  <c r="BA94" i="10" s="1"/>
  <c r="AY96" i="10" a="1"/>
  <c r="AY96" i="10" s="1"/>
  <c r="AZ101" i="10" a="1"/>
  <c r="AZ101" i="10" s="1"/>
  <c r="AE105" i="10" a="1"/>
  <c r="AE105" i="10" s="1"/>
  <c r="BD105" i="10" a="1"/>
  <c r="BD105" i="10" s="1"/>
  <c r="AM110" i="10" a="1"/>
  <c r="AM110" i="10" s="1"/>
  <c r="AZ34" i="10" a="1"/>
  <c r="AZ34" i="10" s="1"/>
  <c r="BE137" i="10" a="1"/>
  <c r="BE137" i="10" s="1"/>
  <c r="BE140" i="10" a="1"/>
  <c r="BE140" i="10" s="1"/>
  <c r="BE138" i="10" a="1"/>
  <c r="BE138" i="10" s="1"/>
  <c r="BE130" i="10" a="1"/>
  <c r="BE130" i="10" s="1"/>
  <c r="BE136" i="10" a="1"/>
  <c r="BE136" i="10" s="1"/>
  <c r="BE81" i="10" a="1"/>
  <c r="BE81" i="10" s="1"/>
  <c r="BE139" i="10" a="1"/>
  <c r="BE139" i="10" s="1"/>
  <c r="BE79" i="10" a="1"/>
  <c r="BE79" i="10" s="1"/>
  <c r="BE89" i="10" a="1"/>
  <c r="BE89" i="10" s="1"/>
  <c r="BE76" i="10" a="1"/>
  <c r="BE76" i="10" s="1"/>
  <c r="BE141" i="10" a="1"/>
  <c r="BE141" i="10" s="1"/>
  <c r="BE80" i="10" a="1"/>
  <c r="BE80" i="10" s="1"/>
  <c r="BE131" i="10" a="1"/>
  <c r="BE131" i="10" s="1"/>
  <c r="BE91" i="10" a="1"/>
  <c r="BE91" i="10" s="1"/>
  <c r="BE90" i="10" a="1"/>
  <c r="BE90" i="10" s="1"/>
  <c r="BE132" i="10" a="1"/>
  <c r="BE132" i="10" s="1"/>
  <c r="BE71" i="10" a="1"/>
  <c r="BE71" i="10" s="1"/>
  <c r="BE75" i="10" a="1"/>
  <c r="BE75" i="10" s="1"/>
  <c r="BE74" i="10" a="1"/>
  <c r="BE74" i="10" s="1"/>
  <c r="BE61" i="10" a="1"/>
  <c r="BE61" i="10" s="1"/>
  <c r="BE65" i="10" a="1"/>
  <c r="BE65" i="10" s="1"/>
  <c r="BE70" i="10" a="1"/>
  <c r="BE70" i="10" s="1"/>
  <c r="BE69" i="10" a="1"/>
  <c r="BE69" i="10" s="1"/>
  <c r="BE59" i="10" a="1"/>
  <c r="BE59" i="10" s="1"/>
  <c r="BE56" i="10" a="1"/>
  <c r="BE56" i="10" s="1"/>
  <c r="BE60" i="10" a="1"/>
  <c r="BE60" i="10" s="1"/>
  <c r="BE64" i="10" a="1"/>
  <c r="BE64" i="10" s="1"/>
  <c r="BE55" i="10" a="1"/>
  <c r="BE55" i="10" s="1"/>
  <c r="BE46" i="10" a="1"/>
  <c r="BE46" i="10" s="1"/>
  <c r="BE44" i="10" a="1"/>
  <c r="BE44" i="10" s="1"/>
  <c r="BE34" i="10" a="1"/>
  <c r="BE34" i="10" s="1"/>
  <c r="BE126" i="10" a="1"/>
  <c r="BE126" i="10" s="1"/>
  <c r="BE50" i="10" a="1"/>
  <c r="BE50" i="10" s="1"/>
  <c r="BE39" i="10" a="1"/>
  <c r="BE39" i="10" s="1"/>
  <c r="BE66" i="10" a="1"/>
  <c r="BE66" i="10" s="1"/>
  <c r="BE54" i="10" a="1"/>
  <c r="BE54" i="10" s="1"/>
  <c r="BE35" i="10" a="1"/>
  <c r="BE35" i="10" s="1"/>
  <c r="BE111" i="10" a="1"/>
  <c r="BE111" i="10" s="1"/>
  <c r="BE51" i="10" a="1"/>
  <c r="BE51" i="10" s="1"/>
  <c r="BE121" i="10" a="1"/>
  <c r="BE121" i="10" s="1"/>
  <c r="BE115" i="10" a="1"/>
  <c r="BE115" i="10" s="1"/>
  <c r="BE109" i="10" a="1"/>
  <c r="BE109" i="10" s="1"/>
  <c r="BE49" i="10" a="1"/>
  <c r="BE49" i="10" s="1"/>
  <c r="BE119" i="10" a="1"/>
  <c r="BE119" i="10" s="1"/>
  <c r="BE45" i="10" a="1"/>
  <c r="BE45" i="10" s="1"/>
  <c r="BE124" i="10" a="1"/>
  <c r="BE124" i="10" s="1"/>
  <c r="BE41" i="10" a="1"/>
  <c r="BE41" i="10" s="1"/>
  <c r="BE106" i="10" a="1"/>
  <c r="BE106" i="10" s="1"/>
  <c r="BE100" i="10" a="1"/>
  <c r="BE100" i="10" s="1"/>
  <c r="BE94" i="10" a="1"/>
  <c r="BE94" i="10" s="1"/>
  <c r="BE36" i="10" a="1"/>
  <c r="BE36" i="10" s="1"/>
  <c r="BE116" i="10" a="1"/>
  <c r="BE116" i="10" s="1"/>
  <c r="BE104" i="10" a="1"/>
  <c r="BE104" i="10" s="1"/>
  <c r="BE101" i="10" a="1"/>
  <c r="BE101" i="10" s="1"/>
  <c r="BE95" i="10" a="1"/>
  <c r="BE95" i="10" s="1"/>
  <c r="BE110" i="10" a="1"/>
  <c r="BE110" i="10" s="1"/>
  <c r="BE31" i="10" a="1"/>
  <c r="BE31" i="10" s="1"/>
  <c r="BE105" i="10" a="1"/>
  <c r="BE105" i="10" s="1"/>
  <c r="BE85" i="10" a="1"/>
  <c r="BE85" i="10" s="1"/>
  <c r="BE96" i="10" a="1"/>
  <c r="BE96" i="10" s="1"/>
  <c r="BE99" i="10" a="1"/>
  <c r="BE99" i="10" s="1"/>
  <c r="BE22" i="10" a="1"/>
  <c r="BE22" i="10" s="1"/>
  <c r="BE114" i="10" a="1"/>
  <c r="BE114" i="10" s="1"/>
  <c r="BD16" i="10" a="1"/>
  <c r="BD16" i="10" s="1"/>
  <c r="S18" i="10" a="1"/>
  <c r="S18" i="10" s="1"/>
  <c r="AE18" i="10" a="1"/>
  <c r="AE18" i="10" s="1"/>
  <c r="AQ18" i="10" a="1"/>
  <c r="AQ18" i="10" s="1"/>
  <c r="BC18" i="10" a="1"/>
  <c r="BC18" i="10" s="1"/>
  <c r="AE22" i="10" a="1"/>
  <c r="AE22" i="10" s="1"/>
  <c r="BC24" i="10" a="1"/>
  <c r="BC24" i="10" s="1"/>
  <c r="AM25" i="10" a="1"/>
  <c r="AM25" i="10" s="1"/>
  <c r="BD29" i="10" a="1"/>
  <c r="BD29" i="10" s="1"/>
  <c r="S30" i="10" a="1"/>
  <c r="S30" i="10" s="1"/>
  <c r="BD95" i="10" a="1"/>
  <c r="BD95" i="10" s="1"/>
  <c r="AE101" i="10" a="1"/>
  <c r="AE101" i="10" s="1"/>
  <c r="BE120" i="10" a="1"/>
  <c r="BE120" i="10" s="1"/>
  <c r="BC34" i="10" a="1"/>
  <c r="BC34" i="10" s="1"/>
  <c r="BH38" i="10"/>
  <c r="J37" i="10"/>
  <c r="J58" i="10" s="1"/>
  <c r="BF132" i="10" a="1"/>
  <c r="BF132" i="10" s="1"/>
  <c r="BF140" i="10" a="1"/>
  <c r="BF140" i="10" s="1"/>
  <c r="BF138" i="10" a="1"/>
  <c r="BF138" i="10" s="1"/>
  <c r="BF130" i="10" a="1"/>
  <c r="BF130" i="10" s="1"/>
  <c r="BF136" i="10" a="1"/>
  <c r="BF136" i="10" s="1"/>
  <c r="BF131" i="10" a="1"/>
  <c r="BF131" i="10" s="1"/>
  <c r="BF141" i="10" a="1"/>
  <c r="BF141" i="10" s="1"/>
  <c r="BF79" i="10" a="1"/>
  <c r="BF79" i="10" s="1"/>
  <c r="BF80" i="10" a="1"/>
  <c r="BF80" i="10" s="1"/>
  <c r="BF91" i="10" a="1"/>
  <c r="BF91" i="10" s="1"/>
  <c r="BF90" i="10" a="1"/>
  <c r="BF90" i="10" s="1"/>
  <c r="BF81" i="10" a="1"/>
  <c r="BF81" i="10" s="1"/>
  <c r="BF137" i="10" a="1"/>
  <c r="BF137" i="10" s="1"/>
  <c r="BF89" i="10" a="1"/>
  <c r="BF89" i="10" s="1"/>
  <c r="BF139" i="10" a="1"/>
  <c r="BF139" i="10" s="1"/>
  <c r="BF76" i="10" a="1"/>
  <c r="BF76" i="10" s="1"/>
  <c r="BF75" i="10" a="1"/>
  <c r="BF75" i="10" s="1"/>
  <c r="BF74" i="10" a="1"/>
  <c r="BF74" i="10" s="1"/>
  <c r="BF65" i="10" a="1"/>
  <c r="BF65" i="10" s="1"/>
  <c r="BF70" i="10" a="1"/>
  <c r="BF70" i="10" s="1"/>
  <c r="BF69" i="10" a="1"/>
  <c r="BF69" i="10" s="1"/>
  <c r="BF59" i="10" a="1"/>
  <c r="BF59" i="10" s="1"/>
  <c r="BF56" i="10" a="1"/>
  <c r="BF56" i="10" s="1"/>
  <c r="BF54" i="10" a="1"/>
  <c r="BF54" i="10" s="1"/>
  <c r="BF51" i="10" a="1"/>
  <c r="BF51" i="10" s="1"/>
  <c r="BF50" i="10" a="1"/>
  <c r="BF50" i="10" s="1"/>
  <c r="BF66" i="10" a="1"/>
  <c r="BF66" i="10" s="1"/>
  <c r="BF61" i="10" a="1"/>
  <c r="BF61" i="10" s="1"/>
  <c r="BF71" i="10" a="1"/>
  <c r="BF71" i="10" s="1"/>
  <c r="BF55" i="10" a="1"/>
  <c r="BF55" i="10" s="1"/>
  <c r="BF45" i="10" a="1"/>
  <c r="BF45" i="10" s="1"/>
  <c r="BF44" i="10" a="1"/>
  <c r="BF44" i="10" s="1"/>
  <c r="BF60" i="10" a="1"/>
  <c r="BF60" i="10" s="1"/>
  <c r="BF64" i="10" a="1"/>
  <c r="BF64" i="10" s="1"/>
  <c r="BF126" i="10" a="1"/>
  <c r="BF126" i="10" s="1"/>
  <c r="BF41" i="10" a="1"/>
  <c r="BF41" i="10" s="1"/>
  <c r="BF39" i="10" a="1"/>
  <c r="BF39" i="10" s="1"/>
  <c r="BF35" i="10" a="1"/>
  <c r="BF35" i="10" s="1"/>
  <c r="BF46" i="10" a="1"/>
  <c r="BF46" i="10" s="1"/>
  <c r="BF121" i="10" a="1"/>
  <c r="BF121" i="10" s="1"/>
  <c r="BF115" i="10" a="1"/>
  <c r="BF115" i="10" s="1"/>
  <c r="BF109" i="10" a="1"/>
  <c r="BF109" i="10" s="1"/>
  <c r="BF40" i="10" a="1"/>
  <c r="BF40" i="10" s="1"/>
  <c r="BF49" i="10" a="1"/>
  <c r="BF49" i="10" s="1"/>
  <c r="BF119" i="10" a="1"/>
  <c r="BF119" i="10" s="1"/>
  <c r="BF124" i="10" a="1"/>
  <c r="BF124" i="10" s="1"/>
  <c r="BF36" i="10" a="1"/>
  <c r="BF36" i="10" s="1"/>
  <c r="BF116" i="10" a="1"/>
  <c r="BF116" i="10" s="1"/>
  <c r="BF110" i="10" a="1"/>
  <c r="BF110" i="10" s="1"/>
  <c r="BF104" i="10" a="1"/>
  <c r="BF104" i="10" s="1"/>
  <c r="BF86" i="10" a="1"/>
  <c r="BF86" i="10" s="1"/>
  <c r="BF111" i="10" a="1"/>
  <c r="BF111" i="10" s="1"/>
  <c r="BF34" i="10" a="1"/>
  <c r="BF34" i="10" s="1"/>
  <c r="BF105" i="10" a="1"/>
  <c r="BF105" i="10" s="1"/>
  <c r="BF99" i="10" a="1"/>
  <c r="BF99" i="10" s="1"/>
  <c r="BF85" i="10" a="1"/>
  <c r="BF85" i="10" s="1"/>
  <c r="BF29" i="10" a="1"/>
  <c r="BF29" i="10" s="1"/>
  <c r="BF96" i="10" a="1"/>
  <c r="BF96" i="10" s="1"/>
  <c r="BF106" i="10" a="1"/>
  <c r="BF106" i="10" s="1"/>
  <c r="BF101" i="10" a="1"/>
  <c r="BF101" i="10" s="1"/>
  <c r="BF94" i="10" a="1"/>
  <c r="BF94" i="10" s="1"/>
  <c r="BF114" i="10" a="1"/>
  <c r="BF114" i="10" s="1"/>
  <c r="BF30" i="10" a="1"/>
  <c r="BF30" i="10" s="1"/>
  <c r="BF125" i="10" a="1"/>
  <c r="BF125" i="10" s="1"/>
  <c r="BF95" i="10" a="1"/>
  <c r="BF95" i="10" s="1"/>
  <c r="BF84" i="10" a="1"/>
  <c r="BF84" i="10" s="1"/>
  <c r="BA17" i="10" a="1"/>
  <c r="BA17" i="10" s="1"/>
  <c r="AM22" i="10" a="1"/>
  <c r="AM22" i="10" s="1"/>
  <c r="BF22" i="10" a="1"/>
  <c r="BF22" i="10" s="1"/>
  <c r="AZ23" i="10" a="1"/>
  <c r="AZ23" i="10" s="1"/>
  <c r="BE29" i="10" a="1"/>
  <c r="BE29" i="10" s="1"/>
  <c r="AM30" i="10" a="1"/>
  <c r="AM30" i="10" s="1"/>
  <c r="AQ31" i="10" a="1"/>
  <c r="AQ31" i="10" s="1"/>
  <c r="BA31" i="10" a="1"/>
  <c r="BA31" i="10" s="1"/>
  <c r="AZ96" i="10" a="1"/>
  <c r="AZ96" i="10" s="1"/>
  <c r="S99" i="10" a="1"/>
  <c r="S99" i="10" s="1"/>
  <c r="BE125" i="10" a="1"/>
  <c r="BE125" i="10" s="1"/>
  <c r="BH93" i="10"/>
  <c r="R123" i="10"/>
  <c r="BH123" i="10"/>
  <c r="K122" i="10"/>
  <c r="K38" i="10" s="1"/>
  <c r="K108" i="10" s="1"/>
  <c r="I77" i="10"/>
  <c r="BH78" i="10"/>
  <c r="L102" i="10" l="1"/>
  <c r="N102" i="10" s="1" a="1"/>
  <c r="N102" i="10" s="1"/>
  <c r="O102" i="10" s="1" a="1"/>
  <c r="O102" i="10" s="1"/>
  <c r="N122" i="10" a="1"/>
  <c r="N122" i="10" s="1"/>
  <c r="O122" i="10" s="1" a="1"/>
  <c r="O122" i="10" s="1"/>
  <c r="L19" i="10"/>
  <c r="L93" i="10"/>
  <c r="N93" i="10" s="1" a="1"/>
  <c r="N93" i="10" s="1"/>
  <c r="O103" i="10" a="1"/>
  <c r="O103" i="10" s="1"/>
  <c r="L38" i="10"/>
  <c r="N38" i="10" s="1" a="1"/>
  <c r="N38" i="10" s="1"/>
  <c r="BH102" i="10"/>
  <c r="BH58" i="10"/>
  <c r="J57" i="10"/>
  <c r="BH57" i="10" s="1"/>
  <c r="K107" i="10"/>
  <c r="K37" i="10"/>
  <c r="K58" i="10" s="1"/>
  <c r="K57" i="10" s="1"/>
  <c r="L63" i="10"/>
  <c r="K43" i="10"/>
  <c r="K42" i="10" s="1"/>
  <c r="BH107" i="10"/>
  <c r="L68" i="10"/>
  <c r="L43" i="10"/>
  <c r="L14" i="10"/>
  <c r="L48" i="10"/>
  <c r="I118" i="10"/>
  <c r="I68" i="10"/>
  <c r="J88" i="10"/>
  <c r="J68" i="10" s="1"/>
  <c r="J67" i="10" s="1"/>
  <c r="L135" i="10"/>
  <c r="I28" i="10"/>
  <c r="K14" i="10"/>
  <c r="K13" i="10" s="1"/>
  <c r="K12" i="10" s="1"/>
  <c r="K48" i="10"/>
  <c r="L83" i="10"/>
  <c r="K83" i="10"/>
  <c r="K82" i="10" s="1"/>
  <c r="K135" i="10" s="1"/>
  <c r="K134" i="10" s="1"/>
  <c r="K133" i="10" s="1"/>
  <c r="I14" i="10"/>
  <c r="I13" i="10" s="1"/>
  <c r="I12" i="10" s="1"/>
  <c r="I48" i="10"/>
  <c r="I43" i="10"/>
  <c r="I42" i="10" s="1"/>
  <c r="J135" i="10"/>
  <c r="J134" i="10" s="1"/>
  <c r="J133" i="10" s="1"/>
  <c r="J63" i="10"/>
  <c r="J62" i="10" s="1"/>
  <c r="I73" i="10"/>
  <c r="I72" i="10" s="1"/>
  <c r="I135" i="10"/>
  <c r="K129" i="10"/>
  <c r="BH92" i="10"/>
  <c r="Q102" i="10"/>
  <c r="Q92" i="10"/>
  <c r="R102" i="10"/>
  <c r="R122" i="10"/>
  <c r="R38" i="10" s="1"/>
  <c r="R108" i="10" s="1"/>
  <c r="R107" i="10" s="1"/>
  <c r="L77" i="10"/>
  <c r="Q122" i="10"/>
  <c r="Q38" i="10" s="1"/>
  <c r="Q108" i="10" s="1"/>
  <c r="Q107" i="10" s="1"/>
  <c r="BF21" i="10"/>
  <c r="BF20" i="10" s="1"/>
  <c r="BF19" i="10" s="1"/>
  <c r="R92" i="10"/>
  <c r="BB78" i="10"/>
  <c r="X21" i="10"/>
  <c r="X20" i="10" s="1"/>
  <c r="X19" i="10" s="1"/>
  <c r="AS21" i="10"/>
  <c r="AS20" i="10" s="1"/>
  <c r="AS19" i="10" s="1"/>
  <c r="AZ123" i="10"/>
  <c r="AQ123" i="10"/>
  <c r="AS123" i="10"/>
  <c r="AT78" i="10"/>
  <c r="AP78" i="10"/>
  <c r="AY78" i="10"/>
  <c r="AY103" i="10" s="1"/>
  <c r="AY93" i="10" s="1"/>
  <c r="AH78" i="10"/>
  <c r="AH103" i="10" s="1"/>
  <c r="AH93" i="10" s="1"/>
  <c r="BF78" i="10"/>
  <c r="BF103" i="10" s="1"/>
  <c r="BF93" i="10" s="1"/>
  <c r="AS78" i="10"/>
  <c r="AS103" i="10" s="1"/>
  <c r="AF78" i="10"/>
  <c r="AE78" i="10"/>
  <c r="AE103" i="10" s="1"/>
  <c r="AE93" i="10" s="1"/>
  <c r="BG78" i="10"/>
  <c r="BG103" i="10" s="1"/>
  <c r="BG93" i="10" s="1"/>
  <c r="S78" i="10"/>
  <c r="AI78" i="10"/>
  <c r="Z78" i="10"/>
  <c r="Z103" i="10" s="1"/>
  <c r="Z93" i="10" s="1"/>
  <c r="AD103" i="10"/>
  <c r="AD93" i="10" s="1"/>
  <c r="AF103" i="10"/>
  <c r="AF93" i="10" s="1"/>
  <c r="S103" i="10"/>
  <c r="S93" i="10" s="1"/>
  <c r="S92" i="10" s="1"/>
  <c r="AA123" i="10"/>
  <c r="X123" i="10"/>
  <c r="AE123" i="10"/>
  <c r="AY123" i="10"/>
  <c r="BA123" i="10"/>
  <c r="AG123" i="10"/>
  <c r="AR123" i="10"/>
  <c r="AI123" i="10"/>
  <c r="BD123" i="10"/>
  <c r="AF123" i="10"/>
  <c r="AJ123" i="10"/>
  <c r="AM21" i="10"/>
  <c r="AM20" i="10" s="1"/>
  <c r="AM19" i="10" s="1"/>
  <c r="AC21" i="10"/>
  <c r="AC20" i="10" s="1"/>
  <c r="AC19" i="10" s="1"/>
  <c r="Z21" i="10"/>
  <c r="Z20" i="10" s="1"/>
  <c r="Z19" i="10" s="1"/>
  <c r="AV21" i="10"/>
  <c r="AV20" i="10" s="1"/>
  <c r="AV19" i="10" s="1"/>
  <c r="AO21" i="10"/>
  <c r="AO20" i="10" s="1"/>
  <c r="AO19" i="10" s="1"/>
  <c r="X14" i="10"/>
  <c r="X13" i="10" s="1"/>
  <c r="X12" i="10" s="1"/>
  <c r="AA78" i="10"/>
  <c r="AV78" i="10"/>
  <c r="U78" i="10"/>
  <c r="U103" i="10" s="1"/>
  <c r="U93" i="10" s="1"/>
  <c r="U92" i="10" s="1"/>
  <c r="BE78" i="10"/>
  <c r="BE103" i="10" s="1"/>
  <c r="BE93" i="10" s="1"/>
  <c r="AQ103" i="10"/>
  <c r="U123" i="10"/>
  <c r="AO38" i="10"/>
  <c r="AO108" i="10" s="1"/>
  <c r="AO107" i="10" s="1"/>
  <c r="AR78" i="10"/>
  <c r="AR103" i="10" s="1"/>
  <c r="AR93" i="10" s="1"/>
  <c r="AR92" i="10" s="1"/>
  <c r="BH37" i="10"/>
  <c r="AA103" i="10"/>
  <c r="AA93" i="10" s="1"/>
  <c r="AC123" i="10"/>
  <c r="BF123" i="10"/>
  <c r="BG123" i="10"/>
  <c r="BC123" i="10"/>
  <c r="AI103" i="10"/>
  <c r="AI93" i="10" s="1"/>
  <c r="AT103" i="10"/>
  <c r="AT93" i="10" s="1"/>
  <c r="V78" i="10"/>
  <c r="V103" i="10" s="1"/>
  <c r="V93" i="10" s="1"/>
  <c r="AC78" i="10"/>
  <c r="AC103" i="10" s="1"/>
  <c r="AN123" i="10"/>
  <c r="AN78" i="10"/>
  <c r="T78" i="10"/>
  <c r="AP123" i="10"/>
  <c r="AH123" i="10"/>
  <c r="AK78" i="10"/>
  <c r="Y123" i="10"/>
  <c r="AO78" i="10"/>
  <c r="AO103" i="10" s="1"/>
  <c r="AO93" i="10" s="1"/>
  <c r="AM78" i="10"/>
  <c r="AM103" i="10" s="1"/>
  <c r="AM93" i="10" s="1"/>
  <c r="AV123" i="10"/>
  <c r="AK103" i="10"/>
  <c r="AK93" i="10" s="1"/>
  <c r="AN103" i="10"/>
  <c r="AN102" i="10" s="1"/>
  <c r="U21" i="10"/>
  <c r="U20" i="10" s="1"/>
  <c r="U19" i="10" s="1"/>
  <c r="BA103" i="10"/>
  <c r="BA93" i="10" s="1"/>
  <c r="BA92" i="10" s="1"/>
  <c r="AN21" i="10"/>
  <c r="AN20" i="10" s="1"/>
  <c r="AN19" i="10" s="1"/>
  <c r="AJ78" i="10"/>
  <c r="AJ103" i="10" s="1"/>
  <c r="AJ93" i="10" s="1"/>
  <c r="AU123" i="10"/>
  <c r="V21" i="10"/>
  <c r="V20" i="10" s="1"/>
  <c r="V19" i="10" s="1"/>
  <c r="T103" i="10"/>
  <c r="AO123" i="10"/>
  <c r="AO122" i="10" s="1"/>
  <c r="Z123" i="10"/>
  <c r="BB103" i="10"/>
  <c r="AP103" i="10"/>
  <c r="BA78" i="10"/>
  <c r="AV103" i="10"/>
  <c r="AV93" i="10" s="1"/>
  <c r="AX78" i="10"/>
  <c r="AX103" i="10" s="1"/>
  <c r="AX93" i="10" s="1"/>
  <c r="T123" i="10"/>
  <c r="BB123" i="10"/>
  <c r="AD21" i="10"/>
  <c r="AD20" i="10" s="1"/>
  <c r="AD19" i="10" s="1"/>
  <c r="AD78" i="10"/>
  <c r="AM123" i="10"/>
  <c r="AT108" i="10"/>
  <c r="V123" i="10"/>
  <c r="AX21" i="10"/>
  <c r="AX20" i="10" s="1"/>
  <c r="AX19" i="10" s="1"/>
  <c r="BD78" i="10"/>
  <c r="BC78" i="10"/>
  <c r="BC103" i="10" s="1"/>
  <c r="BC93" i="10" s="1"/>
  <c r="AQ78" i="10"/>
  <c r="X78" i="10"/>
  <c r="X103" i="10" s="1"/>
  <c r="X93" i="10" s="1"/>
  <c r="AU78" i="10"/>
  <c r="AU103" i="10" s="1"/>
  <c r="AU93" i="10" s="1"/>
  <c r="AC14" i="10"/>
  <c r="AC13" i="10" s="1"/>
  <c r="AC12" i="10" s="1"/>
  <c r="AL78" i="10"/>
  <c r="AL103" i="10" s="1"/>
  <c r="AQ93" i="10"/>
  <c r="W123" i="10"/>
  <c r="W122" i="10" s="1"/>
  <c r="W38" i="10" s="1"/>
  <c r="W108" i="10" s="1"/>
  <c r="W107" i="10" s="1"/>
  <c r="AK123" i="10"/>
  <c r="AX123" i="10"/>
  <c r="AW103" i="10"/>
  <c r="AW93" i="10" s="1"/>
  <c r="AW92" i="10" s="1"/>
  <c r="AW78" i="10"/>
  <c r="AG78" i="10"/>
  <c r="AG103" i="10" s="1"/>
  <c r="AG93" i="10" s="1"/>
  <c r="Y78" i="10"/>
  <c r="Y103" i="10" s="1"/>
  <c r="Y93" i="10" s="1"/>
  <c r="AB21" i="10"/>
  <c r="AB20" i="10" s="1"/>
  <c r="AB19" i="10" s="1"/>
  <c r="AB78" i="10"/>
  <c r="AB103" i="10" s="1"/>
  <c r="AL21" i="10"/>
  <c r="AL20" i="10" s="1"/>
  <c r="AL19" i="10" s="1"/>
  <c r="AD123" i="10"/>
  <c r="AD122" i="10" s="1"/>
  <c r="AD38" i="10" s="1"/>
  <c r="AD108" i="10" s="1"/>
  <c r="BE123" i="10"/>
  <c r="BE122" i="10" s="1"/>
  <c r="BE38" i="10" s="1"/>
  <c r="BE108" i="10" s="1"/>
  <c r="BD103" i="10"/>
  <c r="BD93" i="10" s="1"/>
  <c r="S123" i="10"/>
  <c r="AZ78" i="10"/>
  <c r="AZ103" i="10" s="1"/>
  <c r="AZ93" i="10" s="1"/>
  <c r="AQ21" i="10"/>
  <c r="AQ20" i="10" s="1"/>
  <c r="AQ19" i="10" s="1"/>
  <c r="W78" i="10"/>
  <c r="W103" i="10" s="1"/>
  <c r="W93" i="10" s="1"/>
  <c r="AT123" i="10"/>
  <c r="AT122" i="10" s="1"/>
  <c r="AT38" i="10" s="1"/>
  <c r="AT37" i="10" s="1"/>
  <c r="AT58" i="10" s="1"/>
  <c r="AW123" i="10"/>
  <c r="AB123" i="10"/>
  <c r="AL123" i="10"/>
  <c r="AL122" i="10" s="1"/>
  <c r="AL38" i="10" s="1"/>
  <c r="AP93" i="10"/>
  <c r="N135" i="10" l="1" a="1"/>
  <c r="N135" i="10" s="1"/>
  <c r="O135" i="10" s="1" a="1"/>
  <c r="O135" i="10" s="1"/>
  <c r="L42" i="10"/>
  <c r="L82" i="10"/>
  <c r="L67" i="10"/>
  <c r="O93" i="10" a="1"/>
  <c r="O93" i="10" s="1"/>
  <c r="L92" i="10"/>
  <c r="N92" i="10" s="1" a="1"/>
  <c r="N92" i="10" s="1"/>
  <c r="L13" i="10"/>
  <c r="L47" i="10"/>
  <c r="L108" i="10"/>
  <c r="N108" i="10" s="1" a="1"/>
  <c r="N108" i="10" s="1"/>
  <c r="O38" i="10" a="1"/>
  <c r="O38" i="10" s="1"/>
  <c r="L37" i="10"/>
  <c r="N37" i="10" s="1" a="1"/>
  <c r="N37" i="10" s="1"/>
  <c r="Q37" i="10"/>
  <c r="Q58" i="10" s="1"/>
  <c r="Q57" i="10" s="1"/>
  <c r="R37" i="10"/>
  <c r="R58" i="10" s="1"/>
  <c r="R57" i="10" s="1"/>
  <c r="K113" i="10"/>
  <c r="K112" i="10" s="1"/>
  <c r="K118" i="10" s="1"/>
  <c r="K117" i="10" s="1"/>
  <c r="K47" i="10"/>
  <c r="L98" i="10"/>
  <c r="L62" i="10"/>
  <c r="I33" i="10"/>
  <c r="I32" i="10" s="1"/>
  <c r="I67" i="10"/>
  <c r="I88" i="10" s="1"/>
  <c r="I87" i="10" s="1"/>
  <c r="I113" i="10"/>
  <c r="I112" i="10" s="1"/>
  <c r="I47" i="10"/>
  <c r="I83" i="10"/>
  <c r="I82" i="10" s="1"/>
  <c r="I117" i="10"/>
  <c r="K128" i="10"/>
  <c r="K127" i="10" s="1"/>
  <c r="K53" i="10" s="1"/>
  <c r="K52" i="10" s="1"/>
  <c r="K73" i="10" s="1"/>
  <c r="K72" i="10" s="1"/>
  <c r="AS102" i="10"/>
  <c r="AS93" i="10"/>
  <c r="AS92" i="10" s="1"/>
  <c r="AL102" i="10"/>
  <c r="AL93" i="10"/>
  <c r="AL92" i="10" s="1"/>
  <c r="AL135" i="10" s="1"/>
  <c r="AB102" i="10"/>
  <c r="AB93" i="10"/>
  <c r="AB92" i="10" s="1"/>
  <c r="T102" i="10"/>
  <c r="T93" i="10"/>
  <c r="T92" i="10" s="1"/>
  <c r="AC102" i="10"/>
  <c r="AC93" i="10"/>
  <c r="AC92" i="10" s="1"/>
  <c r="BA135" i="10"/>
  <c r="BA129" i="10" s="1"/>
  <c r="BA128" i="10" s="1"/>
  <c r="BA127" i="10" s="1"/>
  <c r="BB102" i="10"/>
  <c r="BB93" i="10"/>
  <c r="BB92" i="10" s="1"/>
  <c r="AL37" i="10"/>
  <c r="AL58" i="10" s="1"/>
  <c r="AL57" i="10" s="1"/>
  <c r="AL108" i="10"/>
  <c r="AL107" i="10" s="1"/>
  <c r="J33" i="10"/>
  <c r="BH68" i="10"/>
  <c r="R63" i="10"/>
  <c r="J98" i="10"/>
  <c r="Q21" i="10"/>
  <c r="Q20" i="10" s="1"/>
  <c r="Q19" i="10" s="1"/>
  <c r="Q53" i="10"/>
  <c r="Q52" i="10" s="1"/>
  <c r="Q73" i="10" s="1"/>
  <c r="J129" i="10"/>
  <c r="J128" i="10" s="1"/>
  <c r="BH135" i="10"/>
  <c r="R14" i="10"/>
  <c r="R13" i="10" s="1"/>
  <c r="R12" i="10" s="1"/>
  <c r="R135" i="10"/>
  <c r="L113" i="10"/>
  <c r="AN93" i="10"/>
  <c r="AN92" i="10" s="1"/>
  <c r="Q43" i="10"/>
  <c r="Q42" i="10" s="1"/>
  <c r="L134" i="10"/>
  <c r="L129" i="10"/>
  <c r="L33" i="10"/>
  <c r="I134" i="10"/>
  <c r="I129" i="10"/>
  <c r="J21" i="10"/>
  <c r="J53" i="10"/>
  <c r="J52" i="10" s="1"/>
  <c r="Q14" i="10"/>
  <c r="Q13" i="10" s="1"/>
  <c r="Q12" i="10" s="1"/>
  <c r="I63" i="10"/>
  <c r="BF102" i="10"/>
  <c r="AD102" i="10"/>
  <c r="AV102" i="10"/>
  <c r="AW122" i="10"/>
  <c r="AW38" i="10" s="1"/>
  <c r="AW108" i="10" s="1"/>
  <c r="AW107" i="10" s="1"/>
  <c r="Z122" i="10"/>
  <c r="Z38" i="10" s="1"/>
  <c r="Z108" i="10" s="1"/>
  <c r="Z107" i="10" s="1"/>
  <c r="V122" i="10"/>
  <c r="V38" i="10" s="1"/>
  <c r="V108" i="10" s="1"/>
  <c r="V107" i="10" s="1"/>
  <c r="V83" i="10" s="1"/>
  <c r="AF122" i="10"/>
  <c r="AF38" i="10" s="1"/>
  <c r="AF108" i="10" s="1"/>
  <c r="AF107" i="10" s="1"/>
  <c r="AM92" i="10"/>
  <c r="AM135" i="10" s="1"/>
  <c r="T122" i="10"/>
  <c r="T38" i="10" s="1"/>
  <c r="T108" i="10" s="1"/>
  <c r="T107" i="10" s="1"/>
  <c r="AY92" i="10"/>
  <c r="AO102" i="10"/>
  <c r="AP102" i="10"/>
  <c r="AJ102" i="10"/>
  <c r="BB122" i="10"/>
  <c r="BB38" i="10" s="1"/>
  <c r="BB108" i="10" s="1"/>
  <c r="BC122" i="10"/>
  <c r="BC38" i="10" s="1"/>
  <c r="BC108" i="10" s="1"/>
  <c r="BC107" i="10" s="1"/>
  <c r="AM122" i="10"/>
  <c r="AM38" i="10" s="1"/>
  <c r="AM108" i="10" s="1"/>
  <c r="AM107" i="10" s="1"/>
  <c r="BF122" i="10"/>
  <c r="BF38" i="10" s="1"/>
  <c r="BF108" i="10" s="1"/>
  <c r="AW102" i="10"/>
  <c r="X102" i="10"/>
  <c r="AV92" i="10"/>
  <c r="AU102" i="10"/>
  <c r="AP122" i="10"/>
  <c r="AP38" i="10" s="1"/>
  <c r="AP108" i="10" s="1"/>
  <c r="AP107" i="10" s="1"/>
  <c r="AP92" i="10"/>
  <c r="BE37" i="10"/>
  <c r="BE58" i="10" s="1"/>
  <c r="BE57" i="10" s="1"/>
  <c r="X122" i="10"/>
  <c r="X38" i="10" s="1"/>
  <c r="X108" i="10" s="1"/>
  <c r="X107" i="10" s="1"/>
  <c r="AT92" i="10"/>
  <c r="AT135" i="10" s="1"/>
  <c r="AX122" i="10"/>
  <c r="AX38" i="10" s="1"/>
  <c r="AX108" i="10" s="1"/>
  <c r="AX107" i="10" s="1"/>
  <c r="AA122" i="10"/>
  <c r="AA38" i="10" s="1"/>
  <c r="AI92" i="10"/>
  <c r="AQ92" i="10"/>
  <c r="W92" i="10"/>
  <c r="BG92" i="10"/>
  <c r="AV122" i="10"/>
  <c r="AV38" i="10" s="1"/>
  <c r="AV108" i="10" s="1"/>
  <c r="AV107" i="10" s="1"/>
  <c r="Y122" i="10"/>
  <c r="Y38" i="10" s="1"/>
  <c r="Y108" i="10" s="1"/>
  <c r="Y107" i="10" s="1"/>
  <c r="Y83" i="10" s="1"/>
  <c r="BD122" i="10"/>
  <c r="BD38" i="10" s="1"/>
  <c r="U102" i="10"/>
  <c r="AK102" i="10"/>
  <c r="AT57" i="10"/>
  <c r="AB122" i="10"/>
  <c r="AB38" i="10" s="1"/>
  <c r="U122" i="10"/>
  <c r="U38" i="10" s="1"/>
  <c r="AR122" i="10"/>
  <c r="AR38" i="10" s="1"/>
  <c r="AR108" i="10" s="1"/>
  <c r="AR107" i="10" s="1"/>
  <c r="AZ102" i="10"/>
  <c r="BE102" i="10"/>
  <c r="AU122" i="10"/>
  <c r="AU38" i="10" s="1"/>
  <c r="AU108" i="10" s="1"/>
  <c r="AU107" i="10" s="1"/>
  <c r="AU83" i="10" s="1"/>
  <c r="AU82" i="10" s="1"/>
  <c r="AG92" i="10"/>
  <c r="AE92" i="10"/>
  <c r="AA92" i="10"/>
  <c r="AM102" i="10"/>
  <c r="AH92" i="10"/>
  <c r="BD102" i="10"/>
  <c r="AE102" i="10"/>
  <c r="AT102" i="10"/>
  <c r="AI102" i="10"/>
  <c r="AQ102" i="10"/>
  <c r="AJ122" i="10"/>
  <c r="AJ38" i="10" s="1"/>
  <c r="AJ108" i="10" s="1"/>
  <c r="AJ107" i="10" s="1"/>
  <c r="Z92" i="10"/>
  <c r="AR102" i="10"/>
  <c r="AP77" i="10"/>
  <c r="Z102" i="10"/>
  <c r="AJ92" i="10"/>
  <c r="AK92" i="10"/>
  <c r="AT77" i="10"/>
  <c r="AS122" i="10"/>
  <c r="AS38" i="10" s="1"/>
  <c r="AS108" i="10" s="1"/>
  <c r="AS107" i="10" s="1"/>
  <c r="R77" i="10"/>
  <c r="V102" i="10"/>
  <c r="AZ77" i="10"/>
  <c r="Z77" i="10"/>
  <c r="AZ122" i="10"/>
  <c r="AZ38" i="10" s="1"/>
  <c r="AZ108" i="10" s="1"/>
  <c r="AZ107" i="10" s="1"/>
  <c r="AZ83" i="10" s="1"/>
  <c r="AZ82" i="10" s="1"/>
  <c r="AG77" i="10"/>
  <c r="BD77" i="10"/>
  <c r="AK122" i="10"/>
  <c r="AK38" i="10" s="1"/>
  <c r="AT107" i="10"/>
  <c r="AT83" i="10" s="1"/>
  <c r="AT82" i="10" s="1"/>
  <c r="AD37" i="10"/>
  <c r="AD58" i="10" s="1"/>
  <c r="AD57" i="10" s="1"/>
  <c r="BE107" i="10"/>
  <c r="BE83" i="10" s="1"/>
  <c r="Y92" i="10"/>
  <c r="AZ92" i="10"/>
  <c r="X77" i="10"/>
  <c r="AH102" i="10"/>
  <c r="BA102" i="10"/>
  <c r="AX92" i="10"/>
  <c r="AA102" i="10"/>
  <c r="AU92" i="10"/>
  <c r="AI122" i="10"/>
  <c r="AI38" i="10" s="1"/>
  <c r="AG102" i="10"/>
  <c r="AD107" i="10"/>
  <c r="AD83" i="10" s="1"/>
  <c r="BF92" i="10"/>
  <c r="AO92" i="10"/>
  <c r="W77" i="10"/>
  <c r="J87" i="10"/>
  <c r="J48" i="10" s="1"/>
  <c r="N48" i="10" s="1" a="1"/>
  <c r="N48" i="10" s="1"/>
  <c r="AH122" i="10"/>
  <c r="AH38" i="10" s="1"/>
  <c r="AH108" i="10" s="1"/>
  <c r="AH107" i="10" s="1"/>
  <c r="AN122" i="10"/>
  <c r="AN38" i="10" s="1"/>
  <c r="AN108" i="10" s="1"/>
  <c r="AN107" i="10" s="1"/>
  <c r="BG122" i="10"/>
  <c r="BG38" i="10" s="1"/>
  <c r="BG108" i="10" s="1"/>
  <c r="U77" i="10"/>
  <c r="AG122" i="10"/>
  <c r="AG38" i="10" s="1"/>
  <c r="AG108" i="10" s="1"/>
  <c r="AG107" i="10" s="1"/>
  <c r="AX102" i="10"/>
  <c r="BG77" i="10"/>
  <c r="Q77" i="10"/>
  <c r="W37" i="10"/>
  <c r="W58" i="10" s="1"/>
  <c r="W57" i="10" s="1"/>
  <c r="X92" i="10"/>
  <c r="AO37" i="10"/>
  <c r="AO58" i="10" s="1"/>
  <c r="AO57" i="10" s="1"/>
  <c r="V92" i="10"/>
  <c r="BA122" i="10"/>
  <c r="BA38" i="10" s="1"/>
  <c r="BA108" i="10" s="1"/>
  <c r="BA107" i="10" s="1"/>
  <c r="AR77" i="10"/>
  <c r="BA77" i="10"/>
  <c r="S122" i="10"/>
  <c r="S38" i="10" s="1"/>
  <c r="S108" i="10" s="1"/>
  <c r="BC77" i="10"/>
  <c r="AD92" i="10"/>
  <c r="W102" i="10"/>
  <c r="AC77" i="10"/>
  <c r="AC122" i="10"/>
  <c r="AC38" i="10" s="1"/>
  <c r="AC108" i="10" s="1"/>
  <c r="AC107" i="10" s="1"/>
  <c r="AC83" i="10" s="1"/>
  <c r="AC82" i="10" s="1"/>
  <c r="BD92" i="10"/>
  <c r="Y102" i="10"/>
  <c r="AY122" i="10"/>
  <c r="AY38" i="10" s="1"/>
  <c r="AY108" i="10" s="1"/>
  <c r="AY107" i="10" s="1"/>
  <c r="S102" i="10"/>
  <c r="AF77" i="10"/>
  <c r="BC102" i="10"/>
  <c r="AA77" i="10"/>
  <c r="AF92" i="10"/>
  <c r="AJ77" i="10"/>
  <c r="BC92" i="10"/>
  <c r="BG102" i="10"/>
  <c r="AE122" i="10"/>
  <c r="AE38" i="10" s="1"/>
  <c r="AE108" i="10" s="1"/>
  <c r="AE107" i="10" s="1"/>
  <c r="AF102" i="10"/>
  <c r="AS77" i="10"/>
  <c r="AQ122" i="10"/>
  <c r="AQ38" i="10" s="1"/>
  <c r="AQ108" i="10" s="1"/>
  <c r="AO77" i="10"/>
  <c r="AK77" i="10"/>
  <c r="V77" i="10"/>
  <c r="AY102" i="10"/>
  <c r="BE92" i="10"/>
  <c r="BF77" i="10"/>
  <c r="J20" i="10" l="1"/>
  <c r="J19" i="10" s="1"/>
  <c r="N21" i="10" a="1"/>
  <c r="N21" i="10" s="1"/>
  <c r="O21" i="10" s="1" a="1"/>
  <c r="O21" i="10" s="1"/>
  <c r="N134" i="10" a="1"/>
  <c r="N134" i="10" s="1"/>
  <c r="O134" i="10" s="1" a="1"/>
  <c r="O134" i="10" s="1"/>
  <c r="N129" i="10" a="1"/>
  <c r="N129" i="10" s="1"/>
  <c r="O129" i="10" s="1" a="1"/>
  <c r="O129" i="10" s="1"/>
  <c r="O92" i="10" a="1"/>
  <c r="O92" i="10" s="1"/>
  <c r="L128" i="10"/>
  <c r="L58" i="10"/>
  <c r="N58" i="10" s="1" a="1"/>
  <c r="N58" i="10" s="1"/>
  <c r="O37" i="10" a="1"/>
  <c r="O37" i="10" s="1"/>
  <c r="L32" i="10"/>
  <c r="L88" i="10"/>
  <c r="O108" i="10" a="1"/>
  <c r="O108" i="10" s="1"/>
  <c r="L107" i="10"/>
  <c r="N107" i="10" s="1" a="1"/>
  <c r="N107" i="10" s="1"/>
  <c r="L12" i="10"/>
  <c r="L97" i="10"/>
  <c r="L112" i="10"/>
  <c r="BB37" i="10"/>
  <c r="BB58" i="10" s="1"/>
  <c r="BB57" i="10" s="1"/>
  <c r="AU37" i="10"/>
  <c r="AU58" i="10" s="1"/>
  <c r="AU57" i="10" s="1"/>
  <c r="AG37" i="10"/>
  <c r="AG58" i="10" s="1"/>
  <c r="AG57" i="10" s="1"/>
  <c r="BA134" i="10"/>
  <c r="BA133" i="10" s="1"/>
  <c r="AJ37" i="10"/>
  <c r="AJ58" i="10" s="1"/>
  <c r="AJ57" i="10" s="1"/>
  <c r="BG37" i="10"/>
  <c r="BG58" i="10" s="1"/>
  <c r="BG57" i="10" s="1"/>
  <c r="AY37" i="10"/>
  <c r="AY58" i="10" s="1"/>
  <c r="AY57" i="10" s="1"/>
  <c r="T37" i="10"/>
  <c r="T58" i="10" s="1"/>
  <c r="T57" i="10" s="1"/>
  <c r="BH21" i="10"/>
  <c r="AX37" i="10"/>
  <c r="AX58" i="10" s="1"/>
  <c r="AX57" i="10" s="1"/>
  <c r="V37" i="10"/>
  <c r="V58" i="10" s="1"/>
  <c r="V57" i="10" s="1"/>
  <c r="BF37" i="10"/>
  <c r="BF58" i="10" s="1"/>
  <c r="BF57" i="10" s="1"/>
  <c r="Z37" i="10"/>
  <c r="Z58" i="10" s="1"/>
  <c r="Z57" i="10" s="1"/>
  <c r="Y37" i="10"/>
  <c r="Y58" i="10" s="1"/>
  <c r="Y57" i="10" s="1"/>
  <c r="BA37" i="10"/>
  <c r="BA58" i="10" s="1"/>
  <c r="BA57" i="10" s="1"/>
  <c r="AR37" i="10"/>
  <c r="AR58" i="10" s="1"/>
  <c r="AR57" i="10" s="1"/>
  <c r="AQ37" i="10"/>
  <c r="AQ58" i="10" s="1"/>
  <c r="AQ57" i="10" s="1"/>
  <c r="AN37" i="10"/>
  <c r="AN58" i="10" s="1"/>
  <c r="AN57" i="10" s="1"/>
  <c r="S37" i="10"/>
  <c r="S58" i="10" s="1"/>
  <c r="S57" i="10" s="1"/>
  <c r="AP37" i="10"/>
  <c r="AP58" i="10" s="1"/>
  <c r="AP57" i="10" s="1"/>
  <c r="X37" i="10"/>
  <c r="X58" i="10" s="1"/>
  <c r="X57" i="10" s="1"/>
  <c r="O48" i="10" a="1"/>
  <c r="O48" i="10" s="1"/>
  <c r="J47" i="10"/>
  <c r="BH47" i="10" s="1"/>
  <c r="AI108" i="10"/>
  <c r="AI107" i="10" s="1"/>
  <c r="AI83" i="10" s="1"/>
  <c r="AI82" i="10" s="1"/>
  <c r="AI135" i="10" s="1"/>
  <c r="AI37" i="10"/>
  <c r="AI58" i="10" s="1"/>
  <c r="AI57" i="10" s="1"/>
  <c r="AC37" i="10"/>
  <c r="AC58" i="10" s="1"/>
  <c r="AC57" i="10" s="1"/>
  <c r="AH37" i="10"/>
  <c r="AH58" i="10" s="1"/>
  <c r="AH57" i="10" s="1"/>
  <c r="I27" i="10"/>
  <c r="I128" i="10"/>
  <c r="I127" i="10" s="1"/>
  <c r="J73" i="10"/>
  <c r="AS37" i="10"/>
  <c r="AS58" i="10" s="1"/>
  <c r="AS57" i="10" s="1"/>
  <c r="AV37" i="10"/>
  <c r="AV58" i="10" s="1"/>
  <c r="AV57" i="10" s="1"/>
  <c r="AW37" i="10"/>
  <c r="AW58" i="10" s="1"/>
  <c r="AW57" i="10" s="1"/>
  <c r="BF107" i="10"/>
  <c r="J127" i="10"/>
  <c r="K63" i="10"/>
  <c r="N63" i="10" s="1" a="1"/>
  <c r="N63" i="10" s="1"/>
  <c r="AF37" i="10"/>
  <c r="AF58" i="10" s="1"/>
  <c r="AF57" i="10" s="1"/>
  <c r="AZ37" i="10"/>
  <c r="AZ58" i="10" s="1"/>
  <c r="AZ57" i="10" s="1"/>
  <c r="BB107" i="10"/>
  <c r="BC37" i="10"/>
  <c r="BC58" i="10" s="1"/>
  <c r="BC57" i="10" s="1"/>
  <c r="S107" i="10"/>
  <c r="Q63" i="10"/>
  <c r="Q72" i="10"/>
  <c r="BH88" i="10"/>
  <c r="BH67" i="10"/>
  <c r="AE37" i="10"/>
  <c r="AE58" i="10" s="1"/>
  <c r="AE57" i="10" s="1"/>
  <c r="AM37" i="10"/>
  <c r="AM58" i="10" s="1"/>
  <c r="AM57" i="10" s="1"/>
  <c r="AQ107" i="10"/>
  <c r="BG107" i="10"/>
  <c r="BH63" i="10"/>
  <c r="I62" i="10"/>
  <c r="BH62" i="10" s="1"/>
  <c r="L73" i="10"/>
  <c r="AP68" i="10"/>
  <c r="AV43" i="10"/>
  <c r="AV42" i="10" s="1"/>
  <c r="AN43" i="10"/>
  <c r="AN42" i="10" s="1"/>
  <c r="Z63" i="10"/>
  <c r="BA83" i="10"/>
  <c r="BA82" i="10" s="1"/>
  <c r="AO43" i="10"/>
  <c r="AO42" i="10" s="1"/>
  <c r="AU63" i="10"/>
  <c r="AK135" i="10"/>
  <c r="AK129" i="10" s="1"/>
  <c r="AY83" i="10"/>
  <c r="AY82" i="10" s="1"/>
  <c r="AY135" i="10" s="1"/>
  <c r="AF83" i="10"/>
  <c r="AF82" i="10" s="1"/>
  <c r="AF135" i="10" s="1"/>
  <c r="AC43" i="10"/>
  <c r="AC42" i="10" s="1"/>
  <c r="AW83" i="10"/>
  <c r="AW82" i="10" s="1"/>
  <c r="AW135" i="10" s="1"/>
  <c r="AW134" i="10" s="1"/>
  <c r="AW133" i="10" s="1"/>
  <c r="S63" i="10"/>
  <c r="BB68" i="10"/>
  <c r="W43" i="10"/>
  <c r="W42" i="10" s="1"/>
  <c r="AX63" i="10"/>
  <c r="AJ68" i="10"/>
  <c r="BF83" i="10"/>
  <c r="BF82" i="10" s="1"/>
  <c r="BF135" i="10" s="1"/>
  <c r="Q48" i="10"/>
  <c r="AZ63" i="10"/>
  <c r="AO63" i="10"/>
  <c r="BB83" i="10"/>
  <c r="BB82" i="10" s="1"/>
  <c r="BB135" i="10" s="1"/>
  <c r="AP43" i="10"/>
  <c r="AP42" i="10" s="1"/>
  <c r="AZ135" i="10"/>
  <c r="AZ134" i="10" s="1"/>
  <c r="AZ133" i="10" s="1"/>
  <c r="AH68" i="10"/>
  <c r="BG83" i="10"/>
  <c r="BG82" i="10" s="1"/>
  <c r="BG135" i="10" s="1"/>
  <c r="BG43" i="10"/>
  <c r="BG42" i="10" s="1"/>
  <c r="BD68" i="10"/>
  <c r="U83" i="10"/>
  <c r="U82" i="10" s="1"/>
  <c r="U135" i="10" s="1"/>
  <c r="AJ63" i="10"/>
  <c r="BH129" i="10"/>
  <c r="AR129" i="10"/>
  <c r="AW129" i="10"/>
  <c r="Q129" i="10"/>
  <c r="AP83" i="10"/>
  <c r="AP82" i="10" s="1"/>
  <c r="BA63" i="10"/>
  <c r="AE63" i="10"/>
  <c r="AZ14" i="10"/>
  <c r="AZ13" i="10" s="1"/>
  <c r="AZ12" i="10" s="1"/>
  <c r="AV14" i="10"/>
  <c r="AV13" i="10" s="1"/>
  <c r="AV12" i="10" s="1"/>
  <c r="AV48" i="10"/>
  <c r="BD37" i="10"/>
  <c r="BD58" i="10" s="1"/>
  <c r="BD57" i="10" s="1"/>
  <c r="BD108" i="10"/>
  <c r="BF14" i="10"/>
  <c r="BF13" i="10" s="1"/>
  <c r="BF12" i="10" s="1"/>
  <c r="BF48" i="10"/>
  <c r="BA68" i="10"/>
  <c r="AA21" i="10"/>
  <c r="AA20" i="10" s="1"/>
  <c r="AA19" i="10" s="1"/>
  <c r="AA53" i="10"/>
  <c r="AN83" i="10"/>
  <c r="AN82" i="10" s="1"/>
  <c r="I98" i="10"/>
  <c r="R62" i="10"/>
  <c r="R68" i="10" s="1"/>
  <c r="R98" i="10"/>
  <c r="R97" i="10" s="1"/>
  <c r="R28" i="10" s="1"/>
  <c r="AC135" i="10"/>
  <c r="AP14" i="10"/>
  <c r="AP13" i="10" s="1"/>
  <c r="AP12" i="10" s="1"/>
  <c r="W21" i="10"/>
  <c r="W20" i="10" s="1"/>
  <c r="W19" i="10" s="1"/>
  <c r="W53" i="10"/>
  <c r="AK14" i="10"/>
  <c r="AK13" i="10" s="1"/>
  <c r="AK12" i="10" s="1"/>
  <c r="AJ43" i="10"/>
  <c r="AJ42" i="10" s="1"/>
  <c r="AA14" i="10"/>
  <c r="AA13" i="10" s="1"/>
  <c r="AA12" i="10" s="1"/>
  <c r="U37" i="10"/>
  <c r="U58" i="10" s="1"/>
  <c r="U108" i="10"/>
  <c r="AL63" i="10"/>
  <c r="AA37" i="10"/>
  <c r="AA58" i="10" s="1"/>
  <c r="AA108" i="10"/>
  <c r="BE21" i="10"/>
  <c r="BE20" i="10" s="1"/>
  <c r="BE19" i="10" s="1"/>
  <c r="BE53" i="10"/>
  <c r="AZ43" i="10"/>
  <c r="AZ42" i="10" s="1"/>
  <c r="AT14" i="10"/>
  <c r="AT13" i="10" s="1"/>
  <c r="AT12" i="10" s="1"/>
  <c r="AS14" i="10"/>
  <c r="AS13" i="10" s="1"/>
  <c r="AS12" i="10" s="1"/>
  <c r="AS48" i="10"/>
  <c r="T63" i="10"/>
  <c r="T14" i="10"/>
  <c r="T13" i="10" s="1"/>
  <c r="T12" i="10" s="1"/>
  <c r="AY14" i="10"/>
  <c r="AY13" i="10" s="1"/>
  <c r="AY12" i="10" s="1"/>
  <c r="AU43" i="10"/>
  <c r="AU42" i="10" s="1"/>
  <c r="AG83" i="10"/>
  <c r="AG82" i="10" s="1"/>
  <c r="AG135" i="10" s="1"/>
  <c r="AI68" i="10"/>
  <c r="BA14" i="10"/>
  <c r="BA13" i="10" s="1"/>
  <c r="BA12" i="10" s="1"/>
  <c r="AQ63" i="10"/>
  <c r="BD83" i="10"/>
  <c r="BD82" i="10" s="1"/>
  <c r="AG14" i="10"/>
  <c r="AG13" i="10" s="1"/>
  <c r="AG12" i="10" s="1"/>
  <c r="AF63" i="10"/>
  <c r="AG63" i="10"/>
  <c r="AB83" i="10"/>
  <c r="AB82" i="10" s="1"/>
  <c r="L133" i="10"/>
  <c r="J32" i="10"/>
  <c r="BH33" i="10"/>
  <c r="AE21" i="10"/>
  <c r="AE20" i="10" s="1"/>
  <c r="AE19" i="10" s="1"/>
  <c r="AE53" i="10"/>
  <c r="AE52" i="10" s="1"/>
  <c r="AE73" i="10" s="1"/>
  <c r="AE72" i="10" s="1"/>
  <c r="BC21" i="10"/>
  <c r="BC20" i="10" s="1"/>
  <c r="BC19" i="10" s="1"/>
  <c r="BC53" i="10"/>
  <c r="BC52" i="10" s="1"/>
  <c r="BC73" i="10" s="1"/>
  <c r="BC72" i="10" s="1"/>
  <c r="AE83" i="10"/>
  <c r="AE82" i="10" s="1"/>
  <c r="BD135" i="10"/>
  <c r="X43" i="10"/>
  <c r="X42" i="10" s="1"/>
  <c r="BC14" i="10"/>
  <c r="BC13" i="10" s="1"/>
  <c r="BC12" i="10" s="1"/>
  <c r="BC48" i="10"/>
  <c r="W63" i="10"/>
  <c r="AL134" i="10"/>
  <c r="AL133" i="10" s="1"/>
  <c r="AL129" i="10"/>
  <c r="AT63" i="10"/>
  <c r="AJ83" i="10"/>
  <c r="AJ82" i="10" s="1"/>
  <c r="AJ135" i="10" s="1"/>
  <c r="AV68" i="10"/>
  <c r="BA21" i="10"/>
  <c r="BA20" i="10" s="1"/>
  <c r="BA19" i="10" s="1"/>
  <c r="BA53" i="10"/>
  <c r="BA52" i="10" s="1"/>
  <c r="BA73" i="10" s="1"/>
  <c r="BA72" i="10" s="1"/>
  <c r="AQ135" i="10"/>
  <c r="AS43" i="10"/>
  <c r="AS42" i="10" s="1"/>
  <c r="T21" i="10"/>
  <c r="T20" i="10" s="1"/>
  <c r="T19" i="10" s="1"/>
  <c r="T53" i="10"/>
  <c r="V63" i="10"/>
  <c r="T135" i="10"/>
  <c r="Z14" i="10"/>
  <c r="Z13" i="10" s="1"/>
  <c r="Z12" i="10" s="1"/>
  <c r="Z48" i="10"/>
  <c r="W14" i="10"/>
  <c r="W13" i="10" s="1"/>
  <c r="W12" i="10" s="1"/>
  <c r="AM14" i="10"/>
  <c r="AM13" i="10" s="1"/>
  <c r="AM12" i="10" s="1"/>
  <c r="AN14" i="10"/>
  <c r="AN13" i="10" s="1"/>
  <c r="AN12" i="10" s="1"/>
  <c r="AN48" i="10"/>
  <c r="AA83" i="10"/>
  <c r="AA82" i="10" s="1"/>
  <c r="AN135" i="10"/>
  <c r="AU135" i="10"/>
  <c r="S14" i="10"/>
  <c r="S13" i="10" s="1"/>
  <c r="S12" i="10" s="1"/>
  <c r="AK37" i="10"/>
  <c r="AK58" i="10" s="1"/>
  <c r="AK108" i="10"/>
  <c r="AW68" i="10"/>
  <c r="AH83" i="10"/>
  <c r="AH82" i="10" s="1"/>
  <c r="AX83" i="10"/>
  <c r="AX82" i="10" s="1"/>
  <c r="AX135" i="10" s="1"/>
  <c r="S83" i="10"/>
  <c r="S82" i="10" s="1"/>
  <c r="S135" i="10" s="1"/>
  <c r="BC83" i="10"/>
  <c r="AH43" i="10"/>
  <c r="AH42" i="10" s="1"/>
  <c r="AF43" i="10"/>
  <c r="AF42" i="10" s="1"/>
  <c r="BD14" i="10"/>
  <c r="BD13" i="10" s="1"/>
  <c r="BD12" i="10" s="1"/>
  <c r="AR14" i="10"/>
  <c r="AR13" i="10" s="1"/>
  <c r="AR12" i="10" s="1"/>
  <c r="AJ14" i="10"/>
  <c r="AJ13" i="10" s="1"/>
  <c r="AJ12" i="10" s="1"/>
  <c r="BE43" i="10"/>
  <c r="BE42" i="10" s="1"/>
  <c r="AR68" i="10"/>
  <c r="AT134" i="10"/>
  <c r="AT133" i="10" s="1"/>
  <c r="AT129" i="10"/>
  <c r="AZ68" i="10"/>
  <c r="X83" i="10"/>
  <c r="X82" i="10" s="1"/>
  <c r="X135" i="10" s="1"/>
  <c r="W68" i="10"/>
  <c r="V43" i="10"/>
  <c r="V42" i="10" s="1"/>
  <c r="AW14" i="10"/>
  <c r="AW13" i="10" s="1"/>
  <c r="AW12" i="10" s="1"/>
  <c r="AZ129" i="10"/>
  <c r="AD14" i="10"/>
  <c r="AD13" i="10" s="1"/>
  <c r="AD12" i="10" s="1"/>
  <c r="AD48" i="10"/>
  <c r="AX14" i="10"/>
  <c r="AX13" i="10" s="1"/>
  <c r="AX12" i="10" s="1"/>
  <c r="AH14" i="10"/>
  <c r="AH13" i="10" s="1"/>
  <c r="AH12" i="10" s="1"/>
  <c r="BC68" i="10"/>
  <c r="BB14" i="10"/>
  <c r="BB13" i="10" s="1"/>
  <c r="BB12" i="10" s="1"/>
  <c r="AH135" i="10"/>
  <c r="AA135" i="10"/>
  <c r="AI14" i="10"/>
  <c r="AI13" i="10" s="1"/>
  <c r="AI12" i="10" s="1"/>
  <c r="AB37" i="10"/>
  <c r="AB58" i="10" s="1"/>
  <c r="AB108" i="10"/>
  <c r="AV83" i="10"/>
  <c r="AV82" i="10" s="1"/>
  <c r="V68" i="10"/>
  <c r="AB135" i="10"/>
  <c r="AR43" i="10"/>
  <c r="AR42" i="10" s="1"/>
  <c r="AK83" i="10"/>
  <c r="AK82" i="10" s="1"/>
  <c r="AR21" i="10"/>
  <c r="AR20" i="10" s="1"/>
  <c r="AR19" i="10" s="1"/>
  <c r="AR53" i="10"/>
  <c r="AR52" i="10" s="1"/>
  <c r="AR73" i="10" s="1"/>
  <c r="BB21" i="10"/>
  <c r="BB20" i="10" s="1"/>
  <c r="BB19" i="10" s="1"/>
  <c r="BB53" i="10"/>
  <c r="I133" i="10"/>
  <c r="BH133" i="10" s="1"/>
  <c r="BH134" i="10"/>
  <c r="BE14" i="10"/>
  <c r="BE13" i="10" s="1"/>
  <c r="BE12" i="10" s="1"/>
  <c r="AM134" i="10"/>
  <c r="AM133" i="10" s="1"/>
  <c r="AM129" i="10"/>
  <c r="AG21" i="10"/>
  <c r="AG20" i="10" s="1"/>
  <c r="AG19" i="10" s="1"/>
  <c r="AG53" i="10"/>
  <c r="J97" i="10"/>
  <c r="AF14" i="10"/>
  <c r="AF13" i="10" s="1"/>
  <c r="AF12" i="10" s="1"/>
  <c r="V14" i="10"/>
  <c r="V13" i="10" s="1"/>
  <c r="V12" i="10" s="1"/>
  <c r="V48" i="10"/>
  <c r="AQ14" i="10"/>
  <c r="AQ13" i="10" s="1"/>
  <c r="AQ12" i="10" s="1"/>
  <c r="AQ48" i="10"/>
  <c r="AU14" i="10"/>
  <c r="AU13" i="10" s="1"/>
  <c r="AU12" i="10" s="1"/>
  <c r="AL14" i="10"/>
  <c r="AL13" i="10" s="1"/>
  <c r="AL12" i="10" s="1"/>
  <c r="AL48" i="10"/>
  <c r="AN68" i="10"/>
  <c r="Y14" i="10"/>
  <c r="Y13" i="10" s="1"/>
  <c r="Y12" i="10" s="1"/>
  <c r="AV63" i="10"/>
  <c r="BG14" i="10"/>
  <c r="BG13" i="10" s="1"/>
  <c r="BG12" i="10" s="1"/>
  <c r="BF68" i="10"/>
  <c r="BG98" i="10"/>
  <c r="BG97" i="10" s="1"/>
  <c r="BG28" i="10" s="1"/>
  <c r="AQ43" i="10"/>
  <c r="AQ42" i="10" s="1"/>
  <c r="S68" i="10"/>
  <c r="AS83" i="10"/>
  <c r="AS82" i="10" s="1"/>
  <c r="AD68" i="10"/>
  <c r="AC48" i="10"/>
  <c r="AS135" i="10"/>
  <c r="AE14" i="10"/>
  <c r="AE13" i="10" s="1"/>
  <c r="AE12" i="10" s="1"/>
  <c r="AE48" i="10"/>
  <c r="AG43" i="10"/>
  <c r="AG42" i="10" s="1"/>
  <c r="J113" i="10"/>
  <c r="N113" i="10" s="1" a="1"/>
  <c r="N113" i="10" s="1"/>
  <c r="BH48" i="10"/>
  <c r="AX68" i="10"/>
  <c r="AO14" i="10"/>
  <c r="AO13" i="10" s="1"/>
  <c r="AO12" i="10" s="1"/>
  <c r="AO48" i="10"/>
  <c r="AB14" i="10"/>
  <c r="AB13" i="10" s="1"/>
  <c r="AB12" i="10" s="1"/>
  <c r="AB48" i="10"/>
  <c r="Z83" i="10"/>
  <c r="Z82" i="10" s="1"/>
  <c r="Z135" i="10" s="1"/>
  <c r="AT21" i="10"/>
  <c r="AT20" i="10" s="1"/>
  <c r="AT19" i="10" s="1"/>
  <c r="AT53" i="10"/>
  <c r="AV135" i="10"/>
  <c r="AI21" i="10"/>
  <c r="AI20" i="10" s="1"/>
  <c r="AI19" i="10" s="1"/>
  <c r="AI53" i="10"/>
  <c r="AM63" i="10"/>
  <c r="R134" i="10"/>
  <c r="R133" i="10" s="1"/>
  <c r="R129" i="10"/>
  <c r="AD82" i="10"/>
  <c r="AD135" i="10" s="1"/>
  <c r="V82" i="10"/>
  <c r="V135" i="10" s="1"/>
  <c r="BE82" i="10"/>
  <c r="BE135" i="10" s="1"/>
  <c r="Y82" i="10"/>
  <c r="Y135" i="10" s="1"/>
  <c r="AW77" i="10"/>
  <c r="BE77" i="10"/>
  <c r="T77" i="10"/>
  <c r="Y77" i="10"/>
  <c r="AL77" i="10"/>
  <c r="BB77" i="10"/>
  <c r="AU77" i="10"/>
  <c r="AM77" i="10"/>
  <c r="AN77" i="10"/>
  <c r="AE77" i="10"/>
  <c r="S77" i="10"/>
  <c r="J14" i="10"/>
  <c r="BH87" i="10"/>
  <c r="AV77" i="10"/>
  <c r="AX77" i="10"/>
  <c r="AB77" i="10"/>
  <c r="AQ77" i="10"/>
  <c r="AI77" i="10"/>
  <c r="AD77" i="10"/>
  <c r="AH77" i="10"/>
  <c r="AY77" i="10"/>
  <c r="BH20" i="10" l="1"/>
  <c r="N47" i="10" a="1"/>
  <c r="N47" i="10" s="1"/>
  <c r="O47" i="10" s="1" a="1"/>
  <c r="O47" i="10" s="1"/>
  <c r="N73" i="10" a="1"/>
  <c r="N73" i="10" s="1"/>
  <c r="O73" i="10" s="1" a="1"/>
  <c r="O73" i="10" s="1"/>
  <c r="N133" i="10" a="1"/>
  <c r="N133" i="10" s="1"/>
  <c r="O133" i="10" s="1" a="1"/>
  <c r="O133" i="10" s="1"/>
  <c r="J13" i="10"/>
  <c r="N13" i="10" s="1" a="1"/>
  <c r="N13" i="10" s="1"/>
  <c r="O13" i="10" s="1" a="1"/>
  <c r="O13" i="10" s="1"/>
  <c r="N14" i="10" a="1"/>
  <c r="N14" i="10" s="1"/>
  <c r="O14" i="10" s="1" a="1"/>
  <c r="O14" i="10" s="1"/>
  <c r="BH19" i="10"/>
  <c r="N19" i="10" a="1"/>
  <c r="N19" i="10" s="1"/>
  <c r="O19" i="10" s="1" a="1"/>
  <c r="O19" i="10" s="1"/>
  <c r="N128" i="10" a="1"/>
  <c r="N128" i="10" s="1"/>
  <c r="O128" i="10" s="1" a="1"/>
  <c r="O128" i="10" s="1"/>
  <c r="N20" i="10" a="1"/>
  <c r="N20" i="10" s="1"/>
  <c r="O20" i="10" s="1" a="1"/>
  <c r="O20" i="10" s="1"/>
  <c r="O107" i="10" a="1"/>
  <c r="O107" i="10" s="1"/>
  <c r="L87" i="10"/>
  <c r="O113" i="10" a="1"/>
  <c r="O113" i="10" s="1"/>
  <c r="L28" i="10"/>
  <c r="L57" i="10"/>
  <c r="N57" i="10" s="1" a="1"/>
  <c r="N57" i="10" s="1"/>
  <c r="O58" i="10" a="1"/>
  <c r="O58" i="10" s="1"/>
  <c r="O63" i="10" a="1"/>
  <c r="O63" i="10" s="1"/>
  <c r="L118" i="10"/>
  <c r="L127" i="10"/>
  <c r="N127" i="10" s="1" a="1"/>
  <c r="N127" i="10" s="1"/>
  <c r="BH127" i="10"/>
  <c r="BH128" i="10"/>
  <c r="BA33" i="10"/>
  <c r="BA32" i="10" s="1"/>
  <c r="BA43" i="10" s="1"/>
  <c r="BA42" i="10" s="1"/>
  <c r="BA67" i="10"/>
  <c r="BA88" i="10" s="1"/>
  <c r="BA87" i="10" s="1"/>
  <c r="W33" i="10"/>
  <c r="W32" i="10" s="1"/>
  <c r="W67" i="10"/>
  <c r="W88" i="10" s="1"/>
  <c r="W87" i="10" s="1"/>
  <c r="I97" i="10"/>
  <c r="BH97" i="10" s="1"/>
  <c r="U43" i="10"/>
  <c r="U42" i="10" s="1"/>
  <c r="U57" i="10"/>
  <c r="AU98" i="10"/>
  <c r="AU97" i="10" s="1"/>
  <c r="AU28" i="10" s="1"/>
  <c r="AU62" i="10"/>
  <c r="AU68" i="10" s="1"/>
  <c r="Z98" i="10"/>
  <c r="Z97" i="10" s="1"/>
  <c r="Z28" i="10" s="1"/>
  <c r="Z62" i="10"/>
  <c r="Z68" i="10" s="1"/>
  <c r="AV33" i="10"/>
  <c r="AV32" i="10" s="1"/>
  <c r="AV67" i="10"/>
  <c r="AV88" i="10" s="1"/>
  <c r="AV87" i="10" s="1"/>
  <c r="BF113" i="10"/>
  <c r="BF112" i="10" s="1"/>
  <c r="BF118" i="10" s="1"/>
  <c r="BF117" i="10" s="1"/>
  <c r="BF47" i="10"/>
  <c r="BF63" i="10" s="1"/>
  <c r="BB33" i="10"/>
  <c r="BB32" i="10" s="1"/>
  <c r="BB43" i="10" s="1"/>
  <c r="BB42" i="10" s="1"/>
  <c r="BB67" i="10"/>
  <c r="BB88" i="10" s="1"/>
  <c r="BB87" i="10" s="1"/>
  <c r="BF33" i="10"/>
  <c r="BF32" i="10" s="1"/>
  <c r="BF43" i="10" s="1"/>
  <c r="BF42" i="10" s="1"/>
  <c r="BF67" i="10"/>
  <c r="BF88" i="10" s="1"/>
  <c r="BF87" i="10" s="1"/>
  <c r="AA48" i="10"/>
  <c r="AA47" i="10" s="1"/>
  <c r="AA63" i="10" s="1"/>
  <c r="AA52" i="10"/>
  <c r="AA73" i="10" s="1"/>
  <c r="AA72" i="10" s="1"/>
  <c r="BC33" i="10"/>
  <c r="BC32" i="10" s="1"/>
  <c r="BC43" i="10" s="1"/>
  <c r="BC42" i="10" s="1"/>
  <c r="BC67" i="10"/>
  <c r="BC88" i="10" s="1"/>
  <c r="BC87" i="10" s="1"/>
  <c r="AH33" i="10"/>
  <c r="AH32" i="10" s="1"/>
  <c r="AH67" i="10"/>
  <c r="AH88" i="10" s="1"/>
  <c r="AH87" i="10" s="1"/>
  <c r="S98" i="10"/>
  <c r="S97" i="10" s="1"/>
  <c r="S28" i="10" s="1"/>
  <c r="S27" i="10" s="1"/>
  <c r="S62" i="10"/>
  <c r="AT48" i="10"/>
  <c r="AT52" i="10"/>
  <c r="AT73" i="10" s="1"/>
  <c r="AT72" i="10" s="1"/>
  <c r="AZ33" i="10"/>
  <c r="AZ32" i="10" s="1"/>
  <c r="AZ67" i="10"/>
  <c r="AZ88" i="10" s="1"/>
  <c r="AZ87" i="10" s="1"/>
  <c r="T98" i="10"/>
  <c r="T97" i="10" s="1"/>
  <c r="T28" i="10" s="1"/>
  <c r="T62" i="10"/>
  <c r="T68" i="10" s="1"/>
  <c r="AJ33" i="10"/>
  <c r="AJ32" i="10" s="1"/>
  <c r="AJ67" i="10"/>
  <c r="AJ88" i="10" s="1"/>
  <c r="AJ87" i="10" s="1"/>
  <c r="AS113" i="10"/>
  <c r="AS112" i="10" s="1"/>
  <c r="AS118" i="10" s="1"/>
  <c r="AS117" i="10" s="1"/>
  <c r="AS47" i="10"/>
  <c r="AS63" i="10" s="1"/>
  <c r="AK134" i="10"/>
  <c r="AK133" i="10" s="1"/>
  <c r="AF98" i="10"/>
  <c r="AF97" i="10" s="1"/>
  <c r="AF28" i="10" s="1"/>
  <c r="AF62" i="10"/>
  <c r="AF68" i="10" s="1"/>
  <c r="Q128" i="10"/>
  <c r="Q127" i="10" s="1"/>
  <c r="AR33" i="10"/>
  <c r="AR32" i="10" s="1"/>
  <c r="AR67" i="10"/>
  <c r="AR88" i="10" s="1"/>
  <c r="AR87" i="10" s="1"/>
  <c r="W48" i="10"/>
  <c r="W52" i="10"/>
  <c r="W73" i="10" s="1"/>
  <c r="W72" i="10" s="1"/>
  <c r="AC113" i="10"/>
  <c r="AC112" i="10" s="1"/>
  <c r="AC118" i="10" s="1"/>
  <c r="AC117" i="10" s="1"/>
  <c r="AC47" i="10"/>
  <c r="AC63" i="10" s="1"/>
  <c r="AN33" i="10"/>
  <c r="AN32" i="10" s="1"/>
  <c r="AN67" i="10"/>
  <c r="AN88" i="10" s="1"/>
  <c r="AN87" i="10" s="1"/>
  <c r="AW33" i="10"/>
  <c r="AW32" i="10" s="1"/>
  <c r="AW43" i="10" s="1"/>
  <c r="AW42" i="10" s="1"/>
  <c r="AW67" i="10"/>
  <c r="AW88" i="10" s="1"/>
  <c r="AW87" i="10" s="1"/>
  <c r="AO113" i="10"/>
  <c r="AO112" i="10" s="1"/>
  <c r="AO118" i="10" s="1"/>
  <c r="AO47" i="10"/>
  <c r="AL113" i="10"/>
  <c r="AL112" i="10" s="1"/>
  <c r="AL118" i="10" s="1"/>
  <c r="AL117" i="10" s="1"/>
  <c r="AL47" i="10"/>
  <c r="V33" i="10"/>
  <c r="V32" i="10" s="1"/>
  <c r="V67" i="10"/>
  <c r="V88" i="10" s="1"/>
  <c r="V87" i="10" s="1"/>
  <c r="AK107" i="10"/>
  <c r="Z113" i="10"/>
  <c r="Z112" i="10" s="1"/>
  <c r="Z118" i="10" s="1"/>
  <c r="Z117" i="10" s="1"/>
  <c r="Z47" i="10"/>
  <c r="AQ98" i="10"/>
  <c r="AQ97" i="10" s="1"/>
  <c r="AQ28" i="10" s="1"/>
  <c r="AQ62" i="10"/>
  <c r="AQ68" i="10" s="1"/>
  <c r="BE48" i="10"/>
  <c r="BE47" i="10" s="1"/>
  <c r="BE63" i="10" s="1"/>
  <c r="BE52" i="10"/>
  <c r="BE73" i="10" s="1"/>
  <c r="BE72" i="10" s="1"/>
  <c r="BD107" i="10"/>
  <c r="AP33" i="10"/>
  <c r="AP32" i="10" s="1"/>
  <c r="AP67" i="10"/>
  <c r="AP88" i="10" s="1"/>
  <c r="AP87" i="10" s="1"/>
  <c r="U107" i="10"/>
  <c r="Q113" i="10"/>
  <c r="Q112" i="10" s="1"/>
  <c r="Q118" i="10" s="1"/>
  <c r="Q47" i="10"/>
  <c r="AR63" i="10"/>
  <c r="AR72" i="10"/>
  <c r="AV98" i="10"/>
  <c r="AV97" i="10" s="1"/>
  <c r="AV28" i="10" s="1"/>
  <c r="AV62" i="10"/>
  <c r="AG48" i="10"/>
  <c r="AG52" i="10"/>
  <c r="AG73" i="10" s="1"/>
  <c r="AG72" i="10" s="1"/>
  <c r="AD33" i="10"/>
  <c r="AD32" i="10" s="1"/>
  <c r="AD43" i="10" s="1"/>
  <c r="AD42" i="10" s="1"/>
  <c r="AD67" i="10"/>
  <c r="AD88" i="10" s="1"/>
  <c r="AD87" i="10" s="1"/>
  <c r="AK43" i="10"/>
  <c r="AK42" i="10" s="1"/>
  <c r="AK57" i="10"/>
  <c r="AT98" i="10"/>
  <c r="AT97" i="10" s="1"/>
  <c r="AT28" i="10" s="1"/>
  <c r="AT27" i="10" s="1"/>
  <c r="AT62" i="10"/>
  <c r="AT68" i="10" s="1"/>
  <c r="AR128" i="10"/>
  <c r="AR127" i="10" s="1"/>
  <c r="K98" i="10"/>
  <c r="N98" i="10" s="1" a="1"/>
  <c r="N98" i="10" s="1"/>
  <c r="K62" i="10"/>
  <c r="N62" i="10" s="1" a="1"/>
  <c r="N62" i="10" s="1"/>
  <c r="J72" i="10"/>
  <c r="BH72" i="10" s="1"/>
  <c r="BH73" i="10"/>
  <c r="BC113" i="10"/>
  <c r="BC112" i="10" s="1"/>
  <c r="BC118" i="10" s="1"/>
  <c r="BC117" i="10" s="1"/>
  <c r="BC47" i="10"/>
  <c r="BC63" i="10" s="1"/>
  <c r="AJ98" i="10"/>
  <c r="AJ97" i="10" s="1"/>
  <c r="AJ28" i="10" s="1"/>
  <c r="AJ62" i="10"/>
  <c r="AT128" i="10"/>
  <c r="AT127" i="10" s="1"/>
  <c r="BD33" i="10"/>
  <c r="BD32" i="10" s="1"/>
  <c r="BD67" i="10"/>
  <c r="BD88" i="10" s="1"/>
  <c r="BD87" i="10" s="1"/>
  <c r="AB107" i="10"/>
  <c r="T129" i="10"/>
  <c r="T134" i="10"/>
  <c r="T133" i="10" s="1"/>
  <c r="AL128" i="10"/>
  <c r="AL127" i="10" s="1"/>
  <c r="AL53" i="10" s="1"/>
  <c r="AL52" i="10" s="1"/>
  <c r="AL73" i="10" s="1"/>
  <c r="AL72" i="10" s="1"/>
  <c r="AI33" i="10"/>
  <c r="AI32" i="10" s="1"/>
  <c r="AI43" i="10" s="1"/>
  <c r="AI42" i="10" s="1"/>
  <c r="AI67" i="10"/>
  <c r="AI88" i="10" s="1"/>
  <c r="AI87" i="10" s="1"/>
  <c r="AA107" i="10"/>
  <c r="AV113" i="10"/>
  <c r="AV112" i="10" s="1"/>
  <c r="AV118" i="10" s="1"/>
  <c r="AV117" i="10" s="1"/>
  <c r="AV47" i="10"/>
  <c r="BA98" i="10"/>
  <c r="BA97" i="10" s="1"/>
  <c r="BA28" i="10" s="1"/>
  <c r="BA27" i="10" s="1"/>
  <c r="BA62" i="10"/>
  <c r="AX33" i="10"/>
  <c r="AX32" i="10" s="1"/>
  <c r="AX43" i="10" s="1"/>
  <c r="AX42" i="10" s="1"/>
  <c r="AX67" i="10"/>
  <c r="AX88" i="10" s="1"/>
  <c r="AX87" i="10" s="1"/>
  <c r="S33" i="10"/>
  <c r="S32" i="10" s="1"/>
  <c r="S43" i="10" s="1"/>
  <c r="S42" i="10" s="1"/>
  <c r="S67" i="10"/>
  <c r="S88" i="10" s="1"/>
  <c r="S87" i="10" s="1"/>
  <c r="AQ113" i="10"/>
  <c r="AQ112" i="10" s="1"/>
  <c r="AQ118" i="10" s="1"/>
  <c r="AQ47" i="10"/>
  <c r="AB43" i="10"/>
  <c r="AB42" i="10" s="1"/>
  <c r="AB57" i="10"/>
  <c r="AA43" i="10"/>
  <c r="AA42" i="10" s="1"/>
  <c r="AA57" i="10"/>
  <c r="R33" i="10"/>
  <c r="R32" i="10" s="1"/>
  <c r="R43" i="10" s="1"/>
  <c r="R42" i="10" s="1"/>
  <c r="R67" i="10"/>
  <c r="R88" i="10" s="1"/>
  <c r="R87" i="10" s="1"/>
  <c r="AO98" i="10"/>
  <c r="AO97" i="10" s="1"/>
  <c r="AO28" i="10" s="1"/>
  <c r="AO62" i="10"/>
  <c r="L72" i="10"/>
  <c r="I53" i="10"/>
  <c r="V113" i="10"/>
  <c r="V112" i="10" s="1"/>
  <c r="V118" i="10" s="1"/>
  <c r="V117" i="10" s="1"/>
  <c r="V47" i="10"/>
  <c r="AE113" i="10"/>
  <c r="AE112" i="10" s="1"/>
  <c r="AE118" i="10" s="1"/>
  <c r="AE117" i="10" s="1"/>
  <c r="AE47" i="10"/>
  <c r="U129" i="10"/>
  <c r="U128" i="10" s="1"/>
  <c r="U127" i="10" s="1"/>
  <c r="U53" i="10" s="1"/>
  <c r="U52" i="10" s="1"/>
  <c r="U73" i="10" s="1"/>
  <c r="U72" i="10" s="1"/>
  <c r="U134" i="10"/>
  <c r="U133" i="10" s="1"/>
  <c r="S129" i="10"/>
  <c r="S128" i="10" s="1"/>
  <c r="S127" i="10" s="1"/>
  <c r="S134" i="10"/>
  <c r="S133" i="10" s="1"/>
  <c r="AX98" i="10"/>
  <c r="AX97" i="10" s="1"/>
  <c r="AX28" i="10" s="1"/>
  <c r="AX62" i="10"/>
  <c r="V98" i="10"/>
  <c r="V97" i="10" s="1"/>
  <c r="V28" i="10" s="1"/>
  <c r="V62" i="10"/>
  <c r="AI48" i="10"/>
  <c r="AI47" i="10" s="1"/>
  <c r="AI63" i="10" s="1"/>
  <c r="AI52" i="10"/>
  <c r="AI73" i="10" s="1"/>
  <c r="AI72" i="10" s="1"/>
  <c r="BB48" i="10"/>
  <c r="BB52" i="10"/>
  <c r="BB73" i="10" s="1"/>
  <c r="BB72" i="10" s="1"/>
  <c r="T48" i="10"/>
  <c r="T52" i="10"/>
  <c r="T73" i="10" s="1"/>
  <c r="T72" i="10" s="1"/>
  <c r="W98" i="10"/>
  <c r="W97" i="10" s="1"/>
  <c r="W28" i="10" s="1"/>
  <c r="W62" i="10"/>
  <c r="AZ98" i="10"/>
  <c r="AZ97" i="10" s="1"/>
  <c r="AZ28" i="10" s="1"/>
  <c r="AZ27" i="10" s="1"/>
  <c r="AZ62" i="10"/>
  <c r="Q98" i="10"/>
  <c r="Q97" i="10" s="1"/>
  <c r="Q28" i="10" s="1"/>
  <c r="Q27" i="10" s="1"/>
  <c r="Q62" i="10"/>
  <c r="Q68" i="10" s="1"/>
  <c r="BH98" i="10"/>
  <c r="BD43" i="10"/>
  <c r="BD42" i="10" s="1"/>
  <c r="AF134" i="10"/>
  <c r="AF133" i="10" s="1"/>
  <c r="AF129" i="10"/>
  <c r="Y134" i="10"/>
  <c r="Y133" i="10" s="1"/>
  <c r="Y129" i="10"/>
  <c r="BG134" i="10"/>
  <c r="BG133" i="10" s="1"/>
  <c r="BG129" i="10"/>
  <c r="AI134" i="10"/>
  <c r="AI133" i="10" s="1"/>
  <c r="AI129" i="10"/>
  <c r="AJ134" i="10"/>
  <c r="AJ133" i="10" s="1"/>
  <c r="AJ129" i="10"/>
  <c r="AO129" i="10"/>
  <c r="AA113" i="10"/>
  <c r="AA112" i="10" s="1"/>
  <c r="AA118" i="10" s="1"/>
  <c r="AA117" i="10" s="1"/>
  <c r="AX134" i="10"/>
  <c r="AX133" i="10" s="1"/>
  <c r="AX129" i="10"/>
  <c r="Z134" i="10"/>
  <c r="Z133" i="10" s="1"/>
  <c r="Z129" i="10"/>
  <c r="AD134" i="10"/>
  <c r="AD133" i="10" s="1"/>
  <c r="AD129" i="10"/>
  <c r="BF134" i="10"/>
  <c r="BF133" i="10" s="1"/>
  <c r="BF129" i="10"/>
  <c r="X134" i="10"/>
  <c r="X133" i="10" s="1"/>
  <c r="X129" i="10"/>
  <c r="BE113" i="10"/>
  <c r="BE112" i="10" s="1"/>
  <c r="BE118" i="10" s="1"/>
  <c r="BE117" i="10" s="1"/>
  <c r="T83" i="10"/>
  <c r="T82" i="10" s="1"/>
  <c r="V134" i="10"/>
  <c r="V133" i="10" s="1"/>
  <c r="V129" i="10"/>
  <c r="AR48" i="10"/>
  <c r="AN47" i="10"/>
  <c r="AN63" i="10" s="1"/>
  <c r="AN113" i="10"/>
  <c r="AN112" i="10" s="1"/>
  <c r="AN118" i="10" s="1"/>
  <c r="AN117" i="10" s="1"/>
  <c r="BD134" i="10"/>
  <c r="BD133" i="10" s="1"/>
  <c r="BD129" i="10"/>
  <c r="AA134" i="10"/>
  <c r="AA133" i="10" s="1"/>
  <c r="AA129" i="10"/>
  <c r="AM62" i="10"/>
  <c r="AM68" i="10" s="1"/>
  <c r="AM98" i="10"/>
  <c r="AM97" i="10" s="1"/>
  <c r="AM28" i="10" s="1"/>
  <c r="AM27" i="10" s="1"/>
  <c r="AV134" i="10"/>
  <c r="AV133" i="10" s="1"/>
  <c r="AV129" i="10"/>
  <c r="AP135" i="10"/>
  <c r="J112" i="10"/>
  <c r="N112" i="10" s="1" a="1"/>
  <c r="N112" i="10" s="1"/>
  <c r="BH113" i="10"/>
  <c r="AC134" i="10"/>
  <c r="AC133" i="10" s="1"/>
  <c r="AC129" i="10"/>
  <c r="W129" i="10"/>
  <c r="BB134" i="10"/>
  <c r="BB133" i="10" s="1"/>
  <c r="BB129" i="10"/>
  <c r="J28" i="10"/>
  <c r="AG62" i="10"/>
  <c r="AG68" i="10" s="1"/>
  <c r="AG98" i="10"/>
  <c r="AG97" i="10" s="1"/>
  <c r="AG28" i="10" s="1"/>
  <c r="BE134" i="10"/>
  <c r="BE133" i="10" s="1"/>
  <c r="BE129" i="10"/>
  <c r="AG134" i="10"/>
  <c r="AG133" i="10" s="1"/>
  <c r="AG129" i="10"/>
  <c r="AW128" i="10"/>
  <c r="AW127" i="10" s="1"/>
  <c r="AI113" i="10"/>
  <c r="AI112" i="10" s="1"/>
  <c r="AI118" i="10" s="1"/>
  <c r="AI117" i="10" s="1"/>
  <c r="AB47" i="10"/>
  <c r="AB63" i="10" s="1"/>
  <c r="AB113" i="10"/>
  <c r="AB112" i="10" s="1"/>
  <c r="AB118" i="10" s="1"/>
  <c r="AB117" i="10" s="1"/>
  <c r="AM128" i="10"/>
  <c r="AM127" i="10" s="1"/>
  <c r="AM53" i="10" s="1"/>
  <c r="AD47" i="10"/>
  <c r="AD63" i="10" s="1"/>
  <c r="AD113" i="10"/>
  <c r="AD112" i="10" s="1"/>
  <c r="AD118" i="10" s="1"/>
  <c r="AD117" i="10" s="1"/>
  <c r="R128" i="10"/>
  <c r="R127" i="10" s="1"/>
  <c r="R27" i="10"/>
  <c r="AS134" i="10"/>
  <c r="AS133" i="10" s="1"/>
  <c r="AS129" i="10"/>
  <c r="AL62" i="10"/>
  <c r="AL68" i="10" s="1"/>
  <c r="AL98" i="10"/>
  <c r="AL97" i="10" s="1"/>
  <c r="AL28" i="10" s="1"/>
  <c r="AL27" i="10" s="1"/>
  <c r="AE62" i="10"/>
  <c r="AE68" i="10" s="1"/>
  <c r="AE98" i="10"/>
  <c r="AE97" i="10" s="1"/>
  <c r="AE28" i="10" s="1"/>
  <c r="AZ128" i="10"/>
  <c r="AZ127" i="10" s="1"/>
  <c r="AU134" i="10"/>
  <c r="AU133" i="10" s="1"/>
  <c r="AU129" i="10"/>
  <c r="AL83" i="10"/>
  <c r="AL82" i="10" s="1"/>
  <c r="AN134" i="10"/>
  <c r="AN133" i="10" s="1"/>
  <c r="AN129" i="10"/>
  <c r="J43" i="10"/>
  <c r="BH32" i="10"/>
  <c r="BA48" i="10"/>
  <c r="AY134" i="10"/>
  <c r="AY133" i="10" s="1"/>
  <c r="AY129" i="10"/>
  <c r="AH134" i="10"/>
  <c r="AH133" i="10" s="1"/>
  <c r="AH129" i="10"/>
  <c r="AQ134" i="10"/>
  <c r="AQ133" i="10" s="1"/>
  <c r="AQ129" i="10"/>
  <c r="AB134" i="10"/>
  <c r="AB133" i="10" s="1"/>
  <c r="AB129" i="10"/>
  <c r="AE135" i="10"/>
  <c r="AK128" i="10"/>
  <c r="AK127" i="10" s="1"/>
  <c r="S21" i="10"/>
  <c r="S20" i="10" s="1"/>
  <c r="S19" i="10" s="1"/>
  <c r="S53" i="10"/>
  <c r="J12" i="10"/>
  <c r="N12" i="10" s="1" a="1"/>
  <c r="N12" i="10" s="1"/>
  <c r="BC82" i="10"/>
  <c r="J77" i="10"/>
  <c r="N77" i="10" s="1" a="1"/>
  <c r="N77" i="10" s="1"/>
  <c r="BH14" i="10"/>
  <c r="BH13" i="10" l="1"/>
  <c r="J42" i="10"/>
  <c r="N42" i="10" s="1" a="1"/>
  <c r="N42" i="10" s="1"/>
  <c r="O42" i="10" s="1" a="1"/>
  <c r="O42" i="10" s="1"/>
  <c r="N43" i="10" a="1"/>
  <c r="N43" i="10" s="1"/>
  <c r="O43" i="10" s="1" a="1"/>
  <c r="O43" i="10" s="1"/>
  <c r="N72" i="10" a="1"/>
  <c r="N72" i="10" s="1"/>
  <c r="O72" i="10" s="1" a="1"/>
  <c r="O72" i="10" s="1"/>
  <c r="O57" i="10" a="1"/>
  <c r="O57" i="10" s="1"/>
  <c r="L117" i="10"/>
  <c r="K97" i="10"/>
  <c r="N97" i="10" s="1" a="1"/>
  <c r="N97" i="10" s="1"/>
  <c r="L27" i="10"/>
  <c r="L53" i="10"/>
  <c r="N53" i="10" s="1" a="1"/>
  <c r="N53" i="10" s="1"/>
  <c r="O127" i="10" a="1"/>
  <c r="O127" i="10" s="1"/>
  <c r="AI98" i="10"/>
  <c r="AI97" i="10" s="1"/>
  <c r="AI28" i="10" s="1"/>
  <c r="AI27" i="10" s="1"/>
  <c r="AI62" i="10"/>
  <c r="Z33" i="10"/>
  <c r="Z32" i="10" s="1"/>
  <c r="Z43" i="10" s="1"/>
  <c r="Z42" i="10" s="1"/>
  <c r="Z67" i="10"/>
  <c r="Z88" i="10" s="1"/>
  <c r="Z87" i="10" s="1"/>
  <c r="AG27" i="10"/>
  <c r="AG128" i="10"/>
  <c r="AG127" i="10" s="1"/>
  <c r="AA128" i="10"/>
  <c r="AA127" i="10" s="1"/>
  <c r="W113" i="10"/>
  <c r="W112" i="10" s="1"/>
  <c r="W118" i="10" s="1"/>
  <c r="W47" i="10"/>
  <c r="T33" i="10"/>
  <c r="T32" i="10" s="1"/>
  <c r="T43" i="10" s="1"/>
  <c r="T42" i="10" s="1"/>
  <c r="T67" i="10"/>
  <c r="T88" i="10" s="1"/>
  <c r="T87" i="10" s="1"/>
  <c r="AU33" i="10"/>
  <c r="AU32" i="10" s="1"/>
  <c r="AU67" i="10"/>
  <c r="AU88" i="10" s="1"/>
  <c r="AU87" i="10" s="1"/>
  <c r="BE98" i="10"/>
  <c r="BE97" i="10" s="1"/>
  <c r="BE28" i="10" s="1"/>
  <c r="BE27" i="10" s="1"/>
  <c r="BE62" i="10"/>
  <c r="AA98" i="10"/>
  <c r="AA97" i="10" s="1"/>
  <c r="AA28" i="10" s="1"/>
  <c r="AA27" i="10" s="1"/>
  <c r="AA62" i="10"/>
  <c r="T27" i="10"/>
  <c r="T128" i="10"/>
  <c r="T127" i="10" s="1"/>
  <c r="AG113" i="10"/>
  <c r="AG112" i="10" s="1"/>
  <c r="AG118" i="10" s="1"/>
  <c r="AG117" i="10" s="1"/>
  <c r="AG47" i="10"/>
  <c r="BC98" i="10"/>
  <c r="BC97" i="10" s="1"/>
  <c r="BC28" i="10" s="1"/>
  <c r="BC62" i="10"/>
  <c r="X128" i="10"/>
  <c r="X127" i="10" s="1"/>
  <c r="X53" i="10" s="1"/>
  <c r="X52" i="10" s="1"/>
  <c r="X73" i="10" s="1"/>
  <c r="X72" i="10" s="1"/>
  <c r="AO27" i="10"/>
  <c r="AO128" i="10"/>
  <c r="AO127" i="10" s="1"/>
  <c r="AO53" i="10" s="1"/>
  <c r="AO52" i="10" s="1"/>
  <c r="AO73" i="10" s="1"/>
  <c r="AO72" i="10" s="1"/>
  <c r="T113" i="10"/>
  <c r="T112" i="10" s="1"/>
  <c r="T118" i="10" s="1"/>
  <c r="T117" i="10" s="1"/>
  <c r="T47" i="10"/>
  <c r="K68" i="10"/>
  <c r="N68" i="10" s="1" a="1"/>
  <c r="N68" i="10" s="1"/>
  <c r="O62" i="10" a="1"/>
  <c r="O62" i="10" s="1"/>
  <c r="AM48" i="10"/>
  <c r="AM52" i="10"/>
  <c r="AM73" i="10" s="1"/>
  <c r="AM72" i="10" s="1"/>
  <c r="BF128" i="10"/>
  <c r="BF127" i="10" s="1"/>
  <c r="BF53" i="10" s="1"/>
  <c r="BF52" i="10" s="1"/>
  <c r="BF73" i="10" s="1"/>
  <c r="BF72" i="10" s="1"/>
  <c r="BB113" i="10"/>
  <c r="BB112" i="10" s="1"/>
  <c r="BB118" i="10" s="1"/>
  <c r="BB117" i="10" s="1"/>
  <c r="BB47" i="10"/>
  <c r="BB63" i="10" s="1"/>
  <c r="AO83" i="10"/>
  <c r="AO82" i="10" s="1"/>
  <c r="AO135" i="10" s="1"/>
  <c r="AO134" i="10" s="1"/>
  <c r="AO133" i="10" s="1"/>
  <c r="AO117" i="10"/>
  <c r="BB128" i="10"/>
  <c r="BB127" i="10" s="1"/>
  <c r="W27" i="10"/>
  <c r="W128" i="10"/>
  <c r="W127" i="10" s="1"/>
  <c r="AD98" i="10"/>
  <c r="AD97" i="10" s="1"/>
  <c r="AD28" i="10" s="1"/>
  <c r="AD27" i="10" s="1"/>
  <c r="AD62" i="10"/>
  <c r="BE128" i="10"/>
  <c r="BE127" i="10" s="1"/>
  <c r="S48" i="10"/>
  <c r="S52" i="10"/>
  <c r="S73" i="10" s="1"/>
  <c r="S72" i="10" s="1"/>
  <c r="BA113" i="10"/>
  <c r="BA112" i="10" s="1"/>
  <c r="BA118" i="10" s="1"/>
  <c r="BA117" i="10" s="1"/>
  <c r="BA47" i="10"/>
  <c r="AR98" i="10"/>
  <c r="AR97" i="10" s="1"/>
  <c r="AR28" i="10" s="1"/>
  <c r="AR27" i="10" s="1"/>
  <c r="AR62" i="10"/>
  <c r="AQ33" i="10"/>
  <c r="AQ32" i="10" s="1"/>
  <c r="AQ67" i="10"/>
  <c r="AQ88" i="10" s="1"/>
  <c r="AQ87" i="10" s="1"/>
  <c r="AF33" i="10"/>
  <c r="AF32" i="10" s="1"/>
  <c r="AF67" i="10"/>
  <c r="AF88" i="10" s="1"/>
  <c r="AF87" i="10" s="1"/>
  <c r="AT113" i="10"/>
  <c r="AT112" i="10" s="1"/>
  <c r="AT118" i="10" s="1"/>
  <c r="AT117" i="10" s="1"/>
  <c r="AT47" i="10"/>
  <c r="O98" i="10" a="1"/>
  <c r="O98" i="10" s="1"/>
  <c r="AD128" i="10"/>
  <c r="AD127" i="10" s="1"/>
  <c r="AD53" i="10" s="1"/>
  <c r="AD52" i="10" s="1"/>
  <c r="AD73" i="10" s="1"/>
  <c r="AD72" i="10" s="1"/>
  <c r="AQ27" i="10"/>
  <c r="AQ128" i="10"/>
  <c r="AQ127" i="10" s="1"/>
  <c r="AQ53" i="10" s="1"/>
  <c r="AQ52" i="10" s="1"/>
  <c r="AQ73" i="10" s="1"/>
  <c r="AQ72" i="10" s="1"/>
  <c r="AC128" i="10"/>
  <c r="AC127" i="10" s="1"/>
  <c r="AC53" i="10" s="1"/>
  <c r="AC52" i="10" s="1"/>
  <c r="AC73" i="10" s="1"/>
  <c r="AC72" i="10" s="1"/>
  <c r="AE33" i="10"/>
  <c r="AE32" i="10" s="1"/>
  <c r="AE43" i="10" s="1"/>
  <c r="AE42" i="10" s="1"/>
  <c r="AE67" i="10"/>
  <c r="AE88" i="10" s="1"/>
  <c r="AE87" i="10" s="1"/>
  <c r="AG33" i="10"/>
  <c r="AG32" i="10" s="1"/>
  <c r="AG67" i="10"/>
  <c r="AG88" i="10" s="1"/>
  <c r="AG87" i="10" s="1"/>
  <c r="AI128" i="10"/>
  <c r="AI127" i="10" s="1"/>
  <c r="AR113" i="10"/>
  <c r="AR112" i="10" s="1"/>
  <c r="AR118" i="10" s="1"/>
  <c r="AR47" i="10"/>
  <c r="Q33" i="10"/>
  <c r="Q32" i="10" s="1"/>
  <c r="Q67" i="10"/>
  <c r="Q88" i="10" s="1"/>
  <c r="Q87" i="10" s="1"/>
  <c r="Q83" i="10"/>
  <c r="Q82" i="10" s="1"/>
  <c r="Q135" i="10" s="1"/>
  <c r="Q134" i="10" s="1"/>
  <c r="Q133" i="10" s="1"/>
  <c r="Q117" i="10"/>
  <c r="AT33" i="10"/>
  <c r="AT32" i="10" s="1"/>
  <c r="AT43" i="10" s="1"/>
  <c r="AT42" i="10" s="1"/>
  <c r="AT67" i="10"/>
  <c r="AT88" i="10" s="1"/>
  <c r="AT87" i="10" s="1"/>
  <c r="BF98" i="10"/>
  <c r="BF97" i="10" s="1"/>
  <c r="BF28" i="10" s="1"/>
  <c r="BF27" i="10" s="1"/>
  <c r="BF62" i="10"/>
  <c r="V27" i="10"/>
  <c r="V128" i="10"/>
  <c r="V127" i="10" s="1"/>
  <c r="V53" i="10" s="1"/>
  <c r="V52" i="10" s="1"/>
  <c r="V73" i="10" s="1"/>
  <c r="V72" i="10" s="1"/>
  <c r="AS98" i="10"/>
  <c r="AS97" i="10" s="1"/>
  <c r="AS28" i="10" s="1"/>
  <c r="AS27" i="10" s="1"/>
  <c r="AS62" i="10"/>
  <c r="AM33" i="10"/>
  <c r="AM32" i="10" s="1"/>
  <c r="AM43" i="10" s="1"/>
  <c r="AM42" i="10" s="1"/>
  <c r="AM67" i="10"/>
  <c r="AM88" i="10" s="1"/>
  <c r="AM87" i="10" s="1"/>
  <c r="AB98" i="10"/>
  <c r="AB97" i="10" s="1"/>
  <c r="AB28" i="10" s="1"/>
  <c r="AB27" i="10" s="1"/>
  <c r="AB62" i="10"/>
  <c r="AB68" i="10" s="1"/>
  <c r="AN98" i="10"/>
  <c r="AN97" i="10" s="1"/>
  <c r="AN28" i="10" s="1"/>
  <c r="AN27" i="10" s="1"/>
  <c r="AN62" i="10"/>
  <c r="AL33" i="10"/>
  <c r="AL32" i="10" s="1"/>
  <c r="AL43" i="10" s="1"/>
  <c r="AL42" i="10" s="1"/>
  <c r="AL67" i="10"/>
  <c r="AL88" i="10" s="1"/>
  <c r="AL87" i="10" s="1"/>
  <c r="AV27" i="10"/>
  <c r="AV128" i="10"/>
  <c r="AV127" i="10" s="1"/>
  <c r="AV53" i="10" s="1"/>
  <c r="AV52" i="10" s="1"/>
  <c r="AV73" i="10" s="1"/>
  <c r="AV72" i="10" s="1"/>
  <c r="Z27" i="10"/>
  <c r="Z128" i="10"/>
  <c r="Z127" i="10" s="1"/>
  <c r="Z53" i="10" s="1"/>
  <c r="Z52" i="10" s="1"/>
  <c r="Z73" i="10" s="1"/>
  <c r="Z72" i="10" s="1"/>
  <c r="AB128" i="10"/>
  <c r="AB127" i="10" s="1"/>
  <c r="AB53" i="10" s="1"/>
  <c r="AB52" i="10" s="1"/>
  <c r="AB73" i="10" s="1"/>
  <c r="AB72" i="10" s="1"/>
  <c r="AN128" i="10"/>
  <c r="AN127" i="10" s="1"/>
  <c r="AN53" i="10" s="1"/>
  <c r="AN52" i="10" s="1"/>
  <c r="AN73" i="10" s="1"/>
  <c r="AN72" i="10" s="1"/>
  <c r="AS128" i="10"/>
  <c r="AS127" i="10" s="1"/>
  <c r="AS53" i="10" s="1"/>
  <c r="AS52" i="10" s="1"/>
  <c r="AS73" i="10" s="1"/>
  <c r="AS72" i="10" s="1"/>
  <c r="I52" i="10"/>
  <c r="BH53" i="10"/>
  <c r="AQ83" i="10"/>
  <c r="AQ82" i="10" s="1"/>
  <c r="AQ117" i="10"/>
  <c r="AC98" i="10"/>
  <c r="AC97" i="10" s="1"/>
  <c r="AC28" i="10" s="1"/>
  <c r="AC27" i="10" s="1"/>
  <c r="AC62" i="10"/>
  <c r="AJ128" i="10"/>
  <c r="AJ127" i="10" s="1"/>
  <c r="AJ27" i="10"/>
  <c r="BH43" i="10"/>
  <c r="AH128" i="10"/>
  <c r="AH127" i="10" s="1"/>
  <c r="AY128" i="10"/>
  <c r="AY127" i="10" s="1"/>
  <c r="R21" i="10"/>
  <c r="R20" i="10" s="1"/>
  <c r="R19" i="10" s="1"/>
  <c r="R53" i="10"/>
  <c r="BG128" i="10"/>
  <c r="BG127" i="10" s="1"/>
  <c r="BG27" i="10"/>
  <c r="AU128" i="10"/>
  <c r="AU127" i="10" s="1"/>
  <c r="AU27" i="10"/>
  <c r="J118" i="10"/>
  <c r="J117" i="10" s="1"/>
  <c r="O112" i="10" a="1"/>
  <c r="O112" i="10" s="1"/>
  <c r="BH112" i="10"/>
  <c r="AX128" i="10"/>
  <c r="AX127" i="10" s="1"/>
  <c r="AX53" i="10" s="1"/>
  <c r="AX27" i="10"/>
  <c r="Y128" i="10"/>
  <c r="Y127" i="10" s="1"/>
  <c r="BC135" i="10"/>
  <c r="AE134" i="10"/>
  <c r="AE133" i="10" s="1"/>
  <c r="AE129" i="10"/>
  <c r="AZ21" i="10"/>
  <c r="AZ20" i="10" s="1"/>
  <c r="AZ19" i="10" s="1"/>
  <c r="AZ53" i="10"/>
  <c r="AP134" i="10"/>
  <c r="AP133" i="10" s="1"/>
  <c r="AP129" i="10"/>
  <c r="AK21" i="10"/>
  <c r="AK20" i="10" s="1"/>
  <c r="AK19" i="10" s="1"/>
  <c r="AK53" i="10"/>
  <c r="J27" i="10"/>
  <c r="BH28" i="10"/>
  <c r="AF128" i="10"/>
  <c r="AF127" i="10" s="1"/>
  <c r="AF27" i="10"/>
  <c r="AW21" i="10"/>
  <c r="AW20" i="10" s="1"/>
  <c r="AW19" i="10" s="1"/>
  <c r="AW53" i="10"/>
  <c r="BD128" i="10"/>
  <c r="BD127" i="10" s="1"/>
  <c r="O12" i="10" a="1"/>
  <c r="O12" i="10" s="1"/>
  <c r="BH12" i="10"/>
  <c r="O77" i="10" a="1"/>
  <c r="O77" i="10" s="1"/>
  <c r="BH77" i="10"/>
  <c r="BH42" i="10" l="1"/>
  <c r="N117" i="10" a="1"/>
  <c r="N117" i="10" s="1"/>
  <c r="O117" i="10" s="1" a="1"/>
  <c r="O117" i="10" s="1"/>
  <c r="N118" i="10" a="1"/>
  <c r="N118" i="10" s="1"/>
  <c r="O118" i="10" s="1" a="1"/>
  <c r="O118" i="10" s="1"/>
  <c r="K28" i="10"/>
  <c r="N28" i="10" s="1" a="1"/>
  <c r="N28" i="10" s="1"/>
  <c r="O97" i="10" a="1"/>
  <c r="O97" i="10" s="1"/>
  <c r="L52" i="10"/>
  <c r="N52" i="10" s="1" a="1"/>
  <c r="N52" i="10" s="1"/>
  <c r="O52" i="10" s="1" a="1"/>
  <c r="O52" i="10" s="1"/>
  <c r="O53" i="10" a="1"/>
  <c r="O53" i="10" s="1"/>
  <c r="AG26" i="10"/>
  <c r="AG11" i="10" s="1"/>
  <c r="AT26" i="10"/>
  <c r="AT11" i="10" s="1"/>
  <c r="AN26" i="10"/>
  <c r="AN11" i="10" s="1"/>
  <c r="Z26" i="10"/>
  <c r="Z11" i="10" s="1"/>
  <c r="AI26" i="10"/>
  <c r="AI11" i="10" s="1"/>
  <c r="BA26" i="10"/>
  <c r="BA11" i="10" s="1"/>
  <c r="Q26" i="10"/>
  <c r="Q11" i="10" s="1"/>
  <c r="BF26" i="10"/>
  <c r="BF11" i="10" s="1"/>
  <c r="AD26" i="10"/>
  <c r="AD11" i="10" s="1"/>
  <c r="AM113" i="10"/>
  <c r="AM112" i="10" s="1"/>
  <c r="AM118" i="10" s="1"/>
  <c r="AM47" i="10"/>
  <c r="W83" i="10"/>
  <c r="W82" i="10" s="1"/>
  <c r="W135" i="10" s="1"/>
  <c r="W134" i="10" s="1"/>
  <c r="W133" i="10" s="1"/>
  <c r="W117" i="10"/>
  <c r="AV26" i="10"/>
  <c r="AV11" i="10" s="1"/>
  <c r="V26" i="10"/>
  <c r="V11" i="10" s="1"/>
  <c r="K33" i="10"/>
  <c r="N33" i="10" s="1" a="1"/>
  <c r="N33" i="10" s="1"/>
  <c r="K67" i="10"/>
  <c r="N67" i="10" s="1" a="1"/>
  <c r="N67" i="10" s="1"/>
  <c r="O68" i="10" a="1"/>
  <c r="O68" i="10" s="1"/>
  <c r="R48" i="10"/>
  <c r="R52" i="10"/>
  <c r="R73" i="10" s="1"/>
  <c r="R72" i="10" s="1"/>
  <c r="AQ26" i="10"/>
  <c r="AQ11" i="10" s="1"/>
  <c r="AZ48" i="10"/>
  <c r="AZ52" i="10"/>
  <c r="AZ73" i="10" s="1"/>
  <c r="AZ72" i="10" s="1"/>
  <c r="BC129" i="10"/>
  <c r="BC134" i="10"/>
  <c r="BC133" i="10" s="1"/>
  <c r="BH52" i="10"/>
  <c r="I26" i="10"/>
  <c r="I11" i="10" s="1"/>
  <c r="AR83" i="10"/>
  <c r="AR82" i="10" s="1"/>
  <c r="AR135" i="10" s="1"/>
  <c r="AR134" i="10" s="1"/>
  <c r="AR133" i="10" s="1"/>
  <c r="AR117" i="10"/>
  <c r="T26" i="10"/>
  <c r="T11" i="10" s="1"/>
  <c r="AW48" i="10"/>
  <c r="AW52" i="10"/>
  <c r="AW73" i="10" s="1"/>
  <c r="AW72" i="10" s="1"/>
  <c r="AE27" i="10"/>
  <c r="AE26" i="10" s="1"/>
  <c r="AE128" i="10"/>
  <c r="AE127" i="10" s="1"/>
  <c r="AK48" i="10"/>
  <c r="AK52" i="10"/>
  <c r="AK73" i="10" s="1"/>
  <c r="AK72" i="10" s="1"/>
  <c r="AB33" i="10"/>
  <c r="AB32" i="10" s="1"/>
  <c r="AB67" i="10"/>
  <c r="AB88" i="10" s="1"/>
  <c r="AB87" i="10" s="1"/>
  <c r="S113" i="10"/>
  <c r="S112" i="10" s="1"/>
  <c r="S118" i="10" s="1"/>
  <c r="S117" i="10" s="1"/>
  <c r="S47" i="10"/>
  <c r="BB98" i="10"/>
  <c r="BB97" i="10" s="1"/>
  <c r="BB28" i="10" s="1"/>
  <c r="BB27" i="10" s="1"/>
  <c r="BB62" i="10"/>
  <c r="AX48" i="10"/>
  <c r="AX52" i="10"/>
  <c r="AX73" i="10" s="1"/>
  <c r="AX72" i="10" s="1"/>
  <c r="AL26" i="10"/>
  <c r="AL11" i="10" s="1"/>
  <c r="BH117" i="10"/>
  <c r="AF21" i="10"/>
  <c r="AF20" i="10" s="1"/>
  <c r="AF19" i="10" s="1"/>
  <c r="AF53" i="10"/>
  <c r="AH21" i="10"/>
  <c r="AH20" i="10" s="1"/>
  <c r="AH19" i="10" s="1"/>
  <c r="AH53" i="10"/>
  <c r="BH27" i="10"/>
  <c r="BG21" i="10"/>
  <c r="BG20" i="10" s="1"/>
  <c r="BG19" i="10" s="1"/>
  <c r="BG53" i="10"/>
  <c r="Y21" i="10"/>
  <c r="Y20" i="10" s="1"/>
  <c r="Y19" i="10" s="1"/>
  <c r="Y53" i="10"/>
  <c r="AJ21" i="10"/>
  <c r="AJ20" i="10" s="1"/>
  <c r="AJ19" i="10" s="1"/>
  <c r="AJ53" i="10"/>
  <c r="AP128" i="10"/>
  <c r="AP127" i="10" s="1"/>
  <c r="AY21" i="10"/>
  <c r="AY20" i="10" s="1"/>
  <c r="AY19" i="10" s="1"/>
  <c r="AY53" i="10"/>
  <c r="AU21" i="10"/>
  <c r="AU20" i="10" s="1"/>
  <c r="AU19" i="10" s="1"/>
  <c r="AU53" i="10"/>
  <c r="BD21" i="10"/>
  <c r="BD20" i="10" s="1"/>
  <c r="BD19" i="10" s="1"/>
  <c r="BD53" i="10"/>
  <c r="BH118" i="10"/>
  <c r="J83" i="10"/>
  <c r="L26" i="10" l="1"/>
  <c r="J82" i="10"/>
  <c r="N82" i="10" s="1" a="1"/>
  <c r="N82" i="10" s="1"/>
  <c r="O82" i="10" s="1" a="1"/>
  <c r="O82" i="10" s="1"/>
  <c r="N83" i="10" a="1"/>
  <c r="N83" i="10" s="1"/>
  <c r="O83" i="10" s="1" a="1"/>
  <c r="O83" i="10" s="1"/>
  <c r="O28" i="10" a="1"/>
  <c r="O28" i="10" s="1"/>
  <c r="K27" i="10"/>
  <c r="N27" i="10" s="1" a="1"/>
  <c r="N27" i="10" s="1"/>
  <c r="W26" i="10"/>
  <c r="W11" i="10" s="1"/>
  <c r="AB26" i="10"/>
  <c r="AB11" i="10" s="1"/>
  <c r="K88" i="10"/>
  <c r="N88" i="10" s="1" a="1"/>
  <c r="N88" i="10" s="1"/>
  <c r="O67" i="10" a="1"/>
  <c r="O67" i="10" s="1"/>
  <c r="BC27" i="10"/>
  <c r="BC26" i="10" s="1"/>
  <c r="BC128" i="10"/>
  <c r="BC127" i="10" s="1"/>
  <c r="AK113" i="10"/>
  <c r="AK112" i="10" s="1"/>
  <c r="AK118" i="10" s="1"/>
  <c r="AK117" i="10" s="1"/>
  <c r="AK47" i="10"/>
  <c r="AK63" i="10" s="1"/>
  <c r="AY48" i="10"/>
  <c r="AY52" i="10"/>
  <c r="AY73" i="10" s="1"/>
  <c r="AY72" i="10" s="1"/>
  <c r="AX113" i="10"/>
  <c r="AX112" i="10" s="1"/>
  <c r="AX118" i="10" s="1"/>
  <c r="AX117" i="10" s="1"/>
  <c r="AX47" i="10"/>
  <c r="K32" i="10"/>
  <c r="N32" i="10" s="1" a="1"/>
  <c r="N32" i="10" s="1"/>
  <c r="O33" i="10" a="1"/>
  <c r="O33" i="10" s="1"/>
  <c r="AH48" i="10"/>
  <c r="AH52" i="10"/>
  <c r="AH73" i="10" s="1"/>
  <c r="AH72" i="10" s="1"/>
  <c r="AE11" i="10"/>
  <c r="BB26" i="10"/>
  <c r="BB11" i="10" s="1"/>
  <c r="AZ113" i="10"/>
  <c r="AZ112" i="10" s="1"/>
  <c r="AZ118" i="10" s="1"/>
  <c r="AZ117" i="10" s="1"/>
  <c r="AZ47" i="10"/>
  <c r="AM83" i="10"/>
  <c r="AM82" i="10" s="1"/>
  <c r="AM117" i="10"/>
  <c r="BG48" i="10"/>
  <c r="BG52" i="10"/>
  <c r="BG73" i="10" s="1"/>
  <c r="BG72" i="10" s="1"/>
  <c r="AF48" i="10"/>
  <c r="AF52" i="10"/>
  <c r="AF73" i="10" s="1"/>
  <c r="AF72" i="10" s="1"/>
  <c r="S26" i="10"/>
  <c r="S11" i="10" s="1"/>
  <c r="AW113" i="10"/>
  <c r="AW112" i="10" s="1"/>
  <c r="AW118" i="10" s="1"/>
  <c r="AW117" i="10" s="1"/>
  <c r="AW47" i="10"/>
  <c r="AW63" i="10" s="1"/>
  <c r="AU48" i="10"/>
  <c r="AU52" i="10"/>
  <c r="AU73" i="10" s="1"/>
  <c r="AU72" i="10" s="1"/>
  <c r="AJ48" i="10"/>
  <c r="AJ52" i="10"/>
  <c r="AJ73" i="10" s="1"/>
  <c r="AJ72" i="10" s="1"/>
  <c r="Y48" i="10"/>
  <c r="Y47" i="10" s="1"/>
  <c r="Y63" i="10" s="1"/>
  <c r="Y52" i="10"/>
  <c r="Y73" i="10" s="1"/>
  <c r="Y72" i="10" s="1"/>
  <c r="R113" i="10"/>
  <c r="R112" i="10" s="1"/>
  <c r="R118" i="10" s="1"/>
  <c r="R47" i="10"/>
  <c r="AR26" i="10"/>
  <c r="AR11" i="10" s="1"/>
  <c r="Y113" i="10"/>
  <c r="Y112" i="10" s="1"/>
  <c r="Y118" i="10" s="1"/>
  <c r="Y117" i="10" s="1"/>
  <c r="BH83" i="10"/>
  <c r="AP21" i="10"/>
  <c r="AP20" i="10" s="1"/>
  <c r="AP19" i="10" s="1"/>
  <c r="AP53" i="10"/>
  <c r="BD52" i="10"/>
  <c r="BD48" i="10"/>
  <c r="BH82" i="10" l="1"/>
  <c r="J26" i="10"/>
  <c r="BH26" i="10" s="1"/>
  <c r="L11" i="10"/>
  <c r="O27" i="10" a="1"/>
  <c r="O27" i="10" s="1"/>
  <c r="AX26" i="10"/>
  <c r="AX11" i="10" s="1"/>
  <c r="AM26" i="10"/>
  <c r="AM11" i="10" s="1"/>
  <c r="AZ26" i="10"/>
  <c r="AZ11" i="10" s="1"/>
  <c r="O32" i="10" a="1"/>
  <c r="O32" i="10" s="1"/>
  <c r="AJ113" i="10"/>
  <c r="AJ112" i="10" s="1"/>
  <c r="AJ118" i="10" s="1"/>
  <c r="AJ117" i="10" s="1"/>
  <c r="AJ47" i="10"/>
  <c r="BD113" i="10"/>
  <c r="BD112" i="10" s="1"/>
  <c r="BD118" i="10" s="1"/>
  <c r="BD117" i="10" s="1"/>
  <c r="BD47" i="10"/>
  <c r="BG113" i="10"/>
  <c r="BG112" i="10" s="1"/>
  <c r="BG118" i="10" s="1"/>
  <c r="BG117" i="10" s="1"/>
  <c r="BG47" i="10"/>
  <c r="BG63" i="10" s="1"/>
  <c r="BG62" i="10" s="1"/>
  <c r="BG68" i="10" s="1"/>
  <c r="AY113" i="10"/>
  <c r="AY112" i="10" s="1"/>
  <c r="AY118" i="10" s="1"/>
  <c r="AY117" i="10" s="1"/>
  <c r="AY47" i="10"/>
  <c r="AY63" i="10" s="1"/>
  <c r="AK98" i="10"/>
  <c r="AK97" i="10" s="1"/>
  <c r="AK28" i="10" s="1"/>
  <c r="AK27" i="10" s="1"/>
  <c r="AK62" i="10"/>
  <c r="AU113" i="10"/>
  <c r="AU112" i="10" s="1"/>
  <c r="AU118" i="10" s="1"/>
  <c r="AU117" i="10" s="1"/>
  <c r="AU47" i="10"/>
  <c r="AW98" i="10"/>
  <c r="AW97" i="10" s="1"/>
  <c r="AW28" i="10" s="1"/>
  <c r="AW27" i="10" s="1"/>
  <c r="AW62" i="10"/>
  <c r="BC11" i="10"/>
  <c r="AF113" i="10"/>
  <c r="AF112" i="10" s="1"/>
  <c r="AF118" i="10" s="1"/>
  <c r="AF117" i="10" s="1"/>
  <c r="AF47" i="10"/>
  <c r="R83" i="10"/>
  <c r="R82" i="10" s="1"/>
  <c r="R117" i="10"/>
  <c r="AH113" i="10"/>
  <c r="AH112" i="10" s="1"/>
  <c r="AH118" i="10" s="1"/>
  <c r="AH117" i="10" s="1"/>
  <c r="AH47" i="10"/>
  <c r="AH63" i="10" s="1"/>
  <c r="K87" i="10"/>
  <c r="N87" i="10" s="1" a="1"/>
  <c r="N87" i="10" s="1"/>
  <c r="O88" i="10" a="1"/>
  <c r="O88" i="10" s="1"/>
  <c r="BD73" i="10"/>
  <c r="AP52" i="10"/>
  <c r="AP48" i="10"/>
  <c r="Y62" i="10"/>
  <c r="Y68" i="10" s="1"/>
  <c r="Y98" i="10"/>
  <c r="Y97" i="10" s="1"/>
  <c r="Y28" i="10" s="1"/>
  <c r="Y27" i="10" s="1"/>
  <c r="J11" i="10" l="1"/>
  <c r="BH11" i="10" s="1"/>
  <c r="O87" i="10" a="1"/>
  <c r="O87" i="10" s="1"/>
  <c r="AF26" i="10"/>
  <c r="AF11" i="10" s="1"/>
  <c r="R26" i="10"/>
  <c r="R11" i="10" s="1"/>
  <c r="AW26" i="10"/>
  <c r="AW11" i="10" s="1"/>
  <c r="AJ26" i="10"/>
  <c r="AJ11" i="10" s="1"/>
  <c r="AU26" i="10"/>
  <c r="AU11" i="10" s="1"/>
  <c r="K26" i="10"/>
  <c r="N26" i="10" s="1" a="1"/>
  <c r="N26" i="10" s="1"/>
  <c r="Y33" i="10"/>
  <c r="Y32" i="10" s="1"/>
  <c r="Y67" i="10"/>
  <c r="Y88" i="10" s="1"/>
  <c r="Y87" i="10" s="1"/>
  <c r="AY98" i="10"/>
  <c r="AY97" i="10" s="1"/>
  <c r="AY28" i="10" s="1"/>
  <c r="AY27" i="10" s="1"/>
  <c r="AY62" i="10"/>
  <c r="AY68" i="10" s="1"/>
  <c r="AP113" i="10"/>
  <c r="AP112" i="10" s="1"/>
  <c r="AP118" i="10" s="1"/>
  <c r="AP117" i="10" s="1"/>
  <c r="AP47" i="10"/>
  <c r="BG33" i="10"/>
  <c r="BG32" i="10" s="1"/>
  <c r="BG67" i="10"/>
  <c r="BG88" i="10" s="1"/>
  <c r="BG87" i="10" s="1"/>
  <c r="BD63" i="10"/>
  <c r="BD72" i="10"/>
  <c r="AH98" i="10"/>
  <c r="AH97" i="10" s="1"/>
  <c r="AH28" i="10" s="1"/>
  <c r="AH27" i="10" s="1"/>
  <c r="AH62" i="10"/>
  <c r="Y43" i="10"/>
  <c r="Y42" i="10" s="1"/>
  <c r="AP73" i="10"/>
  <c r="O26" i="10" l="1" a="1"/>
  <c r="O26" i="10" s="1"/>
  <c r="BG26" i="10"/>
  <c r="BG11" i="10" s="1"/>
  <c r="Y26" i="10"/>
  <c r="Y11" i="10" s="1"/>
  <c r="AH26" i="10"/>
  <c r="AH11" i="10" s="1"/>
  <c r="K11" i="10"/>
  <c r="N11" i="10" s="1" a="1"/>
  <c r="N11" i="10" s="1"/>
  <c r="AY33" i="10"/>
  <c r="AY32" i="10" s="1"/>
  <c r="AY43" i="10" s="1"/>
  <c r="AY42" i="10" s="1"/>
  <c r="AY67" i="10"/>
  <c r="AY88" i="10" s="1"/>
  <c r="AY87" i="10" s="1"/>
  <c r="BD98" i="10"/>
  <c r="BD97" i="10" s="1"/>
  <c r="BD28" i="10" s="1"/>
  <c r="BD27" i="10" s="1"/>
  <c r="BD62" i="10"/>
  <c r="AP72" i="10"/>
  <c r="AP63" i="10"/>
  <c r="O11" i="10" l="1" a="1"/>
  <c r="O11" i="10" s="1"/>
  <c r="AY26" i="10"/>
  <c r="AY11" i="10" s="1"/>
  <c r="BD26" i="10"/>
  <c r="BD11" i="10" s="1"/>
  <c r="AP98" i="10"/>
  <c r="AP97" i="10" s="1"/>
  <c r="AP28" i="10" s="1"/>
  <c r="AP27" i="10" s="1"/>
  <c r="AP62" i="10"/>
  <c r="AP26" i="10" l="1"/>
  <c r="AP11" i="10" s="1"/>
  <c r="P29" i="9" l="1"/>
  <c r="O29" i="9"/>
  <c r="N29" i="9"/>
  <c r="P28" i="9"/>
  <c r="O28" i="9"/>
  <c r="N28" i="9"/>
  <c r="P27" i="9"/>
  <c r="O27" i="9"/>
  <c r="N27" i="9"/>
  <c r="P26" i="9"/>
  <c r="O26" i="9"/>
  <c r="N26" i="9"/>
  <c r="P25" i="9"/>
  <c r="O25" i="9"/>
  <c r="N25" i="9"/>
  <c r="P24" i="9"/>
  <c r="O24" i="9"/>
  <c r="N24" i="9"/>
  <c r="P23" i="9"/>
  <c r="O23" i="9"/>
  <c r="N23" i="9"/>
  <c r="P22" i="9"/>
  <c r="O22" i="9"/>
  <c r="N22" i="9"/>
  <c r="P21" i="9"/>
  <c r="O21" i="9"/>
  <c r="N21" i="9"/>
  <c r="K213" i="8"/>
  <c r="K212" i="8"/>
  <c r="N211" i="8"/>
  <c r="K211" i="8"/>
  <c r="G211" i="8"/>
  <c r="N210" i="8"/>
  <c r="K210" i="8"/>
  <c r="G210" i="8"/>
  <c r="N209" i="8"/>
  <c r="K209" i="8"/>
  <c r="G209" i="8"/>
  <c r="N208" i="8"/>
  <c r="K208" i="8"/>
  <c r="G208" i="8"/>
  <c r="G207" i="8"/>
  <c r="N206" i="8"/>
  <c r="K206" i="8"/>
  <c r="G206" i="8"/>
  <c r="N205" i="8"/>
  <c r="K205" i="8"/>
  <c r="G205" i="8"/>
  <c r="N204" i="8"/>
  <c r="K204" i="8"/>
  <c r="G204" i="8"/>
  <c r="G203" i="8"/>
  <c r="N202" i="8"/>
  <c r="K202" i="8"/>
  <c r="G202" i="8"/>
  <c r="N201" i="8"/>
  <c r="K201" i="8"/>
  <c r="G201" i="8"/>
  <c r="N200" i="8"/>
  <c r="K200" i="8"/>
  <c r="G200" i="8"/>
  <c r="N199" i="8"/>
  <c r="K199" i="8"/>
  <c r="G199" i="8"/>
  <c r="N198" i="8"/>
  <c r="K198" i="8"/>
  <c r="G198" i="8"/>
  <c r="N197" i="8"/>
  <c r="K197" i="8"/>
  <c r="G197" i="8"/>
  <c r="N196" i="8"/>
  <c r="K196" i="8"/>
  <c r="G196" i="8"/>
  <c r="N195" i="8"/>
  <c r="K195" i="8"/>
  <c r="G195" i="8"/>
  <c r="N194" i="8"/>
  <c r="K194" i="8"/>
  <c r="G194" i="8"/>
  <c r="N193" i="8"/>
  <c r="K193" i="8"/>
  <c r="G193" i="8"/>
  <c r="G192" i="8"/>
  <c r="N191" i="8"/>
  <c r="K191" i="8"/>
  <c r="G191" i="8"/>
  <c r="N190" i="8"/>
  <c r="K190" i="8"/>
  <c r="G190" i="8"/>
  <c r="N189" i="8"/>
  <c r="K189" i="8"/>
  <c r="G189" i="8"/>
  <c r="N188" i="8"/>
  <c r="K188" i="8"/>
  <c r="G188" i="8"/>
  <c r="N187" i="8"/>
  <c r="K187" i="8"/>
  <c r="G187" i="8"/>
  <c r="N186" i="8"/>
  <c r="K186" i="8"/>
  <c r="G186" i="8"/>
  <c r="N185" i="8"/>
  <c r="K185" i="8"/>
  <c r="G185" i="8"/>
  <c r="G184" i="8"/>
  <c r="G183" i="8"/>
  <c r="N182" i="8"/>
  <c r="K182" i="8"/>
  <c r="G182" i="8"/>
  <c r="N181" i="8"/>
  <c r="K181" i="8"/>
  <c r="G181" i="8"/>
  <c r="N180" i="8"/>
  <c r="K180" i="8"/>
  <c r="G180" i="8"/>
  <c r="N179" i="8"/>
  <c r="K179" i="8"/>
  <c r="G179" i="8"/>
  <c r="G178" i="8"/>
  <c r="N177" i="8"/>
  <c r="K177" i="8"/>
  <c r="G177" i="8"/>
  <c r="N176" i="8"/>
  <c r="K176" i="8"/>
  <c r="G176" i="8"/>
  <c r="N175" i="8"/>
  <c r="K175" i="8"/>
  <c r="G175" i="8"/>
  <c r="G174" i="8"/>
  <c r="N173" i="8"/>
  <c r="K173" i="8"/>
  <c r="G173" i="8"/>
  <c r="N172" i="8"/>
  <c r="K172" i="8"/>
  <c r="G172" i="8"/>
  <c r="N171" i="8"/>
  <c r="K171" i="8"/>
  <c r="G171" i="8"/>
  <c r="N170" i="8"/>
  <c r="K170" i="8"/>
  <c r="G170" i="8"/>
  <c r="G169" i="8"/>
  <c r="N168" i="8"/>
  <c r="K168" i="8"/>
  <c r="G168" i="8"/>
  <c r="N167" i="8"/>
  <c r="K167" i="8"/>
  <c r="G167" i="8"/>
  <c r="N166" i="8"/>
  <c r="K166" i="8"/>
  <c r="G166" i="8"/>
  <c r="N165" i="8"/>
  <c r="K165" i="8"/>
  <c r="G165" i="8"/>
  <c r="N164" i="8"/>
  <c r="K164" i="8"/>
  <c r="G164" i="8"/>
  <c r="N163" i="8"/>
  <c r="K163" i="8"/>
  <c r="G163" i="8"/>
  <c r="G162" i="8"/>
  <c r="G161" i="8"/>
  <c r="N160" i="8"/>
  <c r="K160" i="8"/>
  <c r="G160" i="8"/>
  <c r="N159" i="8"/>
  <c r="K159" i="8"/>
  <c r="G159" i="8"/>
  <c r="N158" i="8"/>
  <c r="K158" i="8"/>
  <c r="G158" i="8"/>
  <c r="N157" i="8"/>
  <c r="K157" i="8"/>
  <c r="G157" i="8"/>
  <c r="G156" i="8"/>
  <c r="N155" i="8"/>
  <c r="K155" i="8"/>
  <c r="G155" i="8"/>
  <c r="N154" i="8"/>
  <c r="K154" i="8"/>
  <c r="G154" i="8"/>
  <c r="N153" i="8"/>
  <c r="K153" i="8"/>
  <c r="G153" i="8"/>
  <c r="G152" i="8"/>
  <c r="N151" i="8"/>
  <c r="K151" i="8"/>
  <c r="G151" i="8"/>
  <c r="N150" i="8"/>
  <c r="K150" i="8"/>
  <c r="G150" i="8"/>
  <c r="N149" i="8"/>
  <c r="K149" i="8"/>
  <c r="G149" i="8"/>
  <c r="N148" i="8"/>
  <c r="K148" i="8"/>
  <c r="G148" i="8"/>
  <c r="G147" i="8"/>
  <c r="N146" i="8"/>
  <c r="K146" i="8"/>
  <c r="G146" i="8"/>
  <c r="N145" i="8"/>
  <c r="K145" i="8"/>
  <c r="G145" i="8"/>
  <c r="N144" i="8"/>
  <c r="K144" i="8"/>
  <c r="G144" i="8"/>
  <c r="N143" i="8"/>
  <c r="K143" i="8"/>
  <c r="G143" i="8"/>
  <c r="N142" i="8"/>
  <c r="K142" i="8"/>
  <c r="G142" i="8"/>
  <c r="N141" i="8"/>
  <c r="K141" i="8"/>
  <c r="G141" i="8"/>
  <c r="G140" i="8"/>
  <c r="G139" i="8"/>
  <c r="N138" i="8"/>
  <c r="K138" i="8"/>
  <c r="G138" i="8"/>
  <c r="N137" i="8"/>
  <c r="K137" i="8"/>
  <c r="G137" i="8"/>
  <c r="N136" i="8"/>
  <c r="K136" i="8"/>
  <c r="G136" i="8"/>
  <c r="N135" i="8"/>
  <c r="K135" i="8"/>
  <c r="G135" i="8"/>
  <c r="G134" i="8"/>
  <c r="N133" i="8"/>
  <c r="K133" i="8"/>
  <c r="G133" i="8"/>
  <c r="N132" i="8"/>
  <c r="K132" i="8"/>
  <c r="G132" i="8"/>
  <c r="N131" i="8"/>
  <c r="K131" i="8"/>
  <c r="G131" i="8"/>
  <c r="G130" i="8"/>
  <c r="N129" i="8"/>
  <c r="K129" i="8"/>
  <c r="G129" i="8"/>
  <c r="N128" i="8"/>
  <c r="K128" i="8"/>
  <c r="G128" i="8"/>
  <c r="N127" i="8"/>
  <c r="K127" i="8"/>
  <c r="G127" i="8"/>
  <c r="N126" i="8"/>
  <c r="K126" i="8"/>
  <c r="G126" i="8"/>
  <c r="G125" i="8"/>
  <c r="N124" i="8"/>
  <c r="K124" i="8"/>
  <c r="G124" i="8"/>
  <c r="N123" i="8"/>
  <c r="K123" i="8"/>
  <c r="G123" i="8"/>
  <c r="N122" i="8"/>
  <c r="K122" i="8"/>
  <c r="G122" i="8"/>
  <c r="N121" i="8"/>
  <c r="K121" i="8"/>
  <c r="G121" i="8"/>
  <c r="N120" i="8"/>
  <c r="K120" i="8"/>
  <c r="G120" i="8"/>
  <c r="N119" i="8"/>
  <c r="K119" i="8"/>
  <c r="G119" i="8"/>
  <c r="G118" i="8"/>
  <c r="G117" i="8"/>
  <c r="N116" i="8"/>
  <c r="G116" i="8"/>
  <c r="N115" i="8"/>
  <c r="G115" i="8"/>
  <c r="N114" i="8"/>
  <c r="G114" i="8"/>
  <c r="N113" i="8"/>
  <c r="G113" i="8"/>
  <c r="G112" i="8"/>
  <c r="N111" i="8"/>
  <c r="G111" i="8"/>
  <c r="N110" i="8"/>
  <c r="G110" i="8"/>
  <c r="N109" i="8"/>
  <c r="G109" i="8"/>
  <c r="G108" i="8"/>
  <c r="N107" i="8"/>
  <c r="G107" i="8"/>
  <c r="N106" i="8"/>
  <c r="G106" i="8"/>
  <c r="N105" i="8"/>
  <c r="G105" i="8"/>
  <c r="N104" i="8"/>
  <c r="G104" i="8"/>
  <c r="G103" i="8"/>
  <c r="N102" i="8"/>
  <c r="G102" i="8"/>
  <c r="N101" i="8"/>
  <c r="G101" i="8"/>
  <c r="N100" i="8"/>
  <c r="G100" i="8"/>
  <c r="N99" i="8"/>
  <c r="G99" i="8"/>
  <c r="N98" i="8"/>
  <c r="G98" i="8"/>
  <c r="N97" i="8"/>
  <c r="G97" i="8"/>
  <c r="G96" i="8"/>
  <c r="G95" i="8"/>
  <c r="N94" i="8"/>
  <c r="K94" i="8"/>
  <c r="G94" i="8"/>
  <c r="N93" i="8"/>
  <c r="K93" i="8"/>
  <c r="G93" i="8"/>
  <c r="N92" i="8"/>
  <c r="K92" i="8"/>
  <c r="G92" i="8"/>
  <c r="N91" i="8"/>
  <c r="K91" i="8"/>
  <c r="G91" i="8"/>
  <c r="G90" i="8"/>
  <c r="N89" i="8"/>
  <c r="K89" i="8"/>
  <c r="G89" i="8"/>
  <c r="N88" i="8"/>
  <c r="K88" i="8"/>
  <c r="G88" i="8"/>
  <c r="N87" i="8"/>
  <c r="K87" i="8"/>
  <c r="G87" i="8"/>
  <c r="G86" i="8"/>
  <c r="N85" i="8"/>
  <c r="K85" i="8"/>
  <c r="G85" i="8"/>
  <c r="N84" i="8"/>
  <c r="K84" i="8"/>
  <c r="G84" i="8"/>
  <c r="N83" i="8"/>
  <c r="K83" i="8"/>
  <c r="G83" i="8"/>
  <c r="N82" i="8"/>
  <c r="K82" i="8"/>
  <c r="G82" i="8"/>
  <c r="G81" i="8"/>
  <c r="N80" i="8"/>
  <c r="K80" i="8"/>
  <c r="G80" i="8"/>
  <c r="N79" i="8"/>
  <c r="K79" i="8"/>
  <c r="G79" i="8"/>
  <c r="N78" i="8"/>
  <c r="K78" i="8"/>
  <c r="G78" i="8"/>
  <c r="N77" i="8"/>
  <c r="K77" i="8"/>
  <c r="G77" i="8"/>
  <c r="N76" i="8"/>
  <c r="K76" i="8"/>
  <c r="G76" i="8"/>
  <c r="N75" i="8"/>
  <c r="K75" i="8"/>
  <c r="G75" i="8"/>
  <c r="G74" i="8"/>
  <c r="G73" i="8"/>
  <c r="N72" i="8"/>
  <c r="G72" i="8"/>
  <c r="N71" i="8"/>
  <c r="G71" i="8"/>
  <c r="N70" i="8"/>
  <c r="G70" i="8"/>
  <c r="N69" i="8"/>
  <c r="G69" i="8"/>
  <c r="G68" i="8"/>
  <c r="N67" i="8"/>
  <c r="G67" i="8"/>
  <c r="N66" i="8"/>
  <c r="G66" i="8"/>
  <c r="N65" i="8"/>
  <c r="G65" i="8"/>
  <c r="G64" i="8"/>
  <c r="N63" i="8"/>
  <c r="G63" i="8"/>
  <c r="N62" i="8"/>
  <c r="G62" i="8"/>
  <c r="N61" i="8"/>
  <c r="G61" i="8"/>
  <c r="N60" i="8"/>
  <c r="G60" i="8"/>
  <c r="G59" i="8"/>
  <c r="N58" i="8"/>
  <c r="G58" i="8"/>
  <c r="N57" i="8"/>
  <c r="G57" i="8"/>
  <c r="N56" i="8"/>
  <c r="G56" i="8"/>
  <c r="N55" i="8"/>
  <c r="G55" i="8"/>
  <c r="N54" i="8"/>
  <c r="G54" i="8"/>
  <c r="N53" i="8"/>
  <c r="G53" i="8"/>
  <c r="G52" i="8"/>
  <c r="G51" i="8"/>
  <c r="N49" i="8"/>
  <c r="K49" i="8"/>
  <c r="N48" i="8"/>
  <c r="K48" i="8"/>
  <c r="N47" i="8"/>
  <c r="K47" i="8"/>
  <c r="H47" i="8"/>
  <c r="G47" i="8" s="1"/>
  <c r="N46" i="8"/>
  <c r="H46" i="8"/>
  <c r="G46" i="8" s="1"/>
  <c r="N45" i="8"/>
  <c r="K45" i="8"/>
  <c r="H45" i="8"/>
  <c r="G45" i="8" s="1"/>
  <c r="N44" i="8"/>
  <c r="K44" i="8"/>
  <c r="N43" i="8"/>
  <c r="K43" i="8"/>
  <c r="H43" i="8"/>
  <c r="G43" i="8" s="1"/>
  <c r="G42" i="8"/>
  <c r="N41" i="8"/>
  <c r="K41" i="8"/>
  <c r="H41" i="8"/>
  <c r="G41" i="8"/>
  <c r="N40" i="8"/>
  <c r="K40" i="8"/>
  <c r="H40" i="8"/>
  <c r="G40" i="8" s="1"/>
  <c r="N39" i="8"/>
  <c r="K39" i="8"/>
  <c r="H39" i="8"/>
  <c r="G39" i="8"/>
  <c r="N38" i="8"/>
  <c r="K38" i="8"/>
  <c r="N37" i="8"/>
  <c r="K37" i="8"/>
  <c r="H37" i="8"/>
  <c r="H38" i="8" s="1"/>
  <c r="G38" i="8" s="1"/>
  <c r="G37" i="8"/>
  <c r="N36" i="8"/>
  <c r="K36" i="8"/>
  <c r="H36" i="8"/>
  <c r="G36" i="8"/>
  <c r="I35" i="8"/>
  <c r="N34" i="8"/>
  <c r="K34" i="8"/>
  <c r="H34" i="8"/>
  <c r="G34" i="8" s="1"/>
  <c r="N33" i="8"/>
  <c r="K33" i="8"/>
  <c r="H33" i="8"/>
  <c r="G33" i="8" s="1"/>
  <c r="N32" i="8"/>
  <c r="K32" i="8"/>
  <c r="N31" i="8"/>
  <c r="K31" i="8"/>
  <c r="H31" i="8"/>
  <c r="H32" i="8" s="1"/>
  <c r="G32" i="8" s="1"/>
  <c r="G31" i="8"/>
  <c r="N30" i="8"/>
  <c r="K30" i="8"/>
  <c r="H30" i="8"/>
  <c r="G30" i="8" s="1"/>
  <c r="N29" i="8"/>
  <c r="K29" i="8"/>
  <c r="H29" i="8"/>
  <c r="G29" i="8"/>
  <c r="N28" i="8"/>
  <c r="K28" i="8"/>
  <c r="N27" i="8"/>
  <c r="K27" i="8"/>
  <c r="H27" i="8"/>
  <c r="G27" i="8" s="1"/>
  <c r="N26" i="8"/>
  <c r="K26" i="8"/>
  <c r="H26" i="8"/>
  <c r="G26" i="8"/>
  <c r="I25" i="8"/>
  <c r="I24" i="8"/>
  <c r="N23" i="8"/>
  <c r="K23" i="8"/>
  <c r="N22" i="8"/>
  <c r="K22" i="8"/>
  <c r="H22" i="8"/>
  <c r="H23" i="8" s="1"/>
  <c r="G23" i="8" s="1"/>
  <c r="G22" i="8"/>
  <c r="I21" i="8"/>
  <c r="N20" i="8"/>
  <c r="K20" i="8"/>
  <c r="N19" i="8"/>
  <c r="K19" i="8"/>
  <c r="H19" i="8"/>
  <c r="H20" i="8" s="1"/>
  <c r="G20" i="8" s="1"/>
  <c r="N18" i="8"/>
  <c r="K18" i="8"/>
  <c r="H18" i="8"/>
  <c r="G18" i="8"/>
  <c r="N17" i="8"/>
  <c r="K17" i="8"/>
  <c r="H17" i="8"/>
  <c r="G17" i="8"/>
  <c r="I16" i="8"/>
  <c r="N15" i="8"/>
  <c r="K15" i="8"/>
  <c r="G15" i="8"/>
  <c r="N14" i="8"/>
  <c r="K14" i="8"/>
  <c r="G14" i="8"/>
  <c r="I13" i="8"/>
  <c r="H13" i="8"/>
  <c r="P19" i="7"/>
  <c r="M19" i="7"/>
  <c r="K19" i="7"/>
  <c r="I19" i="7" s="1"/>
  <c r="P18" i="7"/>
  <c r="M18" i="7"/>
  <c r="K18" i="7"/>
  <c r="I18" i="7"/>
  <c r="P17" i="7"/>
  <c r="M17" i="7"/>
  <c r="K17" i="7"/>
  <c r="I17" i="7"/>
  <c r="P16" i="7"/>
  <c r="M16" i="7"/>
  <c r="K16" i="7"/>
  <c r="I16" i="7" s="1"/>
  <c r="P15" i="7"/>
  <c r="M15" i="7"/>
  <c r="K15" i="7"/>
  <c r="I15" i="7"/>
  <c r="P14" i="7"/>
  <c r="K14" i="7"/>
  <c r="J14" i="7"/>
  <c r="I14" i="7"/>
  <c r="G14" i="7"/>
  <c r="G22" i="7" s="1"/>
  <c r="P13" i="7"/>
  <c r="M13" i="7"/>
  <c r="K13" i="7"/>
  <c r="J13" i="7"/>
  <c r="P12" i="7"/>
  <c r="M12" i="7"/>
  <c r="K12" i="7"/>
  <c r="K11" i="7" s="1"/>
  <c r="J12" i="7"/>
  <c r="P11" i="7"/>
  <c r="G11" i="7"/>
  <c r="R156" i="6" a="1"/>
  <c r="R156" i="6" s="1"/>
  <c r="Q156" i="6" a="1"/>
  <c r="Q156" i="6"/>
  <c r="N156" i="6" a="1"/>
  <c r="N156" i="6" s="1"/>
  <c r="O156" i="6" s="1" a="1"/>
  <c r="O156" i="6" s="1"/>
  <c r="G156" i="6"/>
  <c r="F156" i="6"/>
  <c r="E156" i="6"/>
  <c r="D156" i="6"/>
  <c r="B156" i="6" a="1"/>
  <c r="B156" i="6" s="1"/>
  <c r="R155" i="6" a="1"/>
  <c r="R155" i="6"/>
  <c r="R154" i="6" s="1"/>
  <c r="R153" i="6" s="1"/>
  <c r="Q155" i="6" a="1"/>
  <c r="Q155" i="6" s="1"/>
  <c r="Q154" i="6" s="1"/>
  <c r="Q153" i="6" s="1"/>
  <c r="N155" i="6" a="1"/>
  <c r="N155" i="6"/>
  <c r="O155" i="6" s="1" a="1"/>
  <c r="O155" i="6" s="1"/>
  <c r="G155" i="6"/>
  <c r="F155" i="6"/>
  <c r="E155" i="6"/>
  <c r="D155" i="6"/>
  <c r="B155" i="6" a="1"/>
  <c r="B155" i="6"/>
  <c r="L154" i="6"/>
  <c r="K154" i="6"/>
  <c r="J154" i="6"/>
  <c r="I154" i="6"/>
  <c r="F154" i="6"/>
  <c r="E154" i="6"/>
  <c r="D154" i="6"/>
  <c r="B154" i="6" a="1"/>
  <c r="B154" i="6" s="1"/>
  <c r="K153" i="6"/>
  <c r="J153" i="6"/>
  <c r="I153" i="6"/>
  <c r="E153" i="6"/>
  <c r="D153" i="6"/>
  <c r="B153" i="6" a="1"/>
  <c r="B153" i="6"/>
  <c r="R152" i="6" a="1"/>
  <c r="R152" i="6"/>
  <c r="R151" i="6" s="1"/>
  <c r="R150" i="6" s="1"/>
  <c r="Q152" i="6" a="1"/>
  <c r="Q152" i="6"/>
  <c r="Q151" i="6" s="1"/>
  <c r="N152" i="6" a="1"/>
  <c r="N152" i="6"/>
  <c r="O152" i="6" s="1" a="1"/>
  <c r="O152" i="6" s="1"/>
  <c r="G152" i="6"/>
  <c r="F152" i="6"/>
  <c r="E152" i="6"/>
  <c r="D152" i="6"/>
  <c r="B152" i="6" a="1"/>
  <c r="B152" i="6"/>
  <c r="L151" i="6"/>
  <c r="N151" i="6" s="1" a="1"/>
  <c r="N151" i="6" s="1"/>
  <c r="O151" i="6" s="1" a="1"/>
  <c r="O151" i="6" s="1"/>
  <c r="K151" i="6"/>
  <c r="J151" i="6"/>
  <c r="I151" i="6"/>
  <c r="I150" i="6" s="1"/>
  <c r="F151" i="6"/>
  <c r="E151" i="6"/>
  <c r="D151" i="6"/>
  <c r="B151" i="6" a="1"/>
  <c r="B151" i="6" s="1"/>
  <c r="Q150" i="6"/>
  <c r="L150" i="6"/>
  <c r="N150" i="6" s="1" a="1"/>
  <c r="N150" i="6" s="1"/>
  <c r="O150" i="6" s="1" a="1"/>
  <c r="O150" i="6" s="1"/>
  <c r="K150" i="6"/>
  <c r="J150" i="6"/>
  <c r="E150" i="6"/>
  <c r="D150" i="6"/>
  <c r="B150" i="6" a="1"/>
  <c r="B150" i="6" s="1"/>
  <c r="R149" i="6" a="1"/>
  <c r="R149" i="6" s="1"/>
  <c r="Q149" i="6" a="1"/>
  <c r="Q149" i="6" s="1"/>
  <c r="O149" i="6" a="1"/>
  <c r="O149" i="6" s="1"/>
  <c r="N149" i="6" a="1"/>
  <c r="N149" i="6" s="1"/>
  <c r="G149" i="6"/>
  <c r="F149" i="6"/>
  <c r="E149" i="6"/>
  <c r="D149" i="6"/>
  <c r="B149" i="6" a="1"/>
  <c r="B149" i="6" s="1"/>
  <c r="R148" i="6" a="1"/>
  <c r="R148" i="6"/>
  <c r="Q148" i="6" a="1"/>
  <c r="Q148" i="6" s="1"/>
  <c r="N148" i="6" a="1"/>
  <c r="N148" i="6" s="1"/>
  <c r="O148" i="6" s="1" a="1"/>
  <c r="O148" i="6" s="1"/>
  <c r="G148" i="6"/>
  <c r="F148" i="6"/>
  <c r="E148" i="6"/>
  <c r="D148" i="6"/>
  <c r="B148" i="6" a="1"/>
  <c r="B148" i="6"/>
  <c r="R147" i="6" a="1"/>
  <c r="R147" i="6" s="1"/>
  <c r="Q147" i="6" a="1"/>
  <c r="Q147" i="6" s="1"/>
  <c r="N147" i="6" a="1"/>
  <c r="N147" i="6" s="1"/>
  <c r="O147" i="6" s="1" a="1"/>
  <c r="O147" i="6" s="1"/>
  <c r="G147" i="6"/>
  <c r="F147" i="6"/>
  <c r="E147" i="6"/>
  <c r="D147" i="6"/>
  <c r="B147" i="6" a="1"/>
  <c r="B147" i="6"/>
  <c r="R146" i="6"/>
  <c r="R145" i="6" s="1"/>
  <c r="N146" i="6" a="1"/>
  <c r="N146" i="6" s="1"/>
  <c r="O146" i="6" s="1" a="1"/>
  <c r="O146" i="6" s="1"/>
  <c r="L146" i="6"/>
  <c r="K146" i="6"/>
  <c r="K145" i="6" s="1"/>
  <c r="J146" i="6"/>
  <c r="I146" i="6"/>
  <c r="I145" i="6" s="1"/>
  <c r="F146" i="6"/>
  <c r="E146" i="6"/>
  <c r="D146" i="6"/>
  <c r="B146" i="6" a="1"/>
  <c r="B146" i="6"/>
  <c r="N145" i="6"/>
  <c r="O145" i="6" s="1" a="1"/>
  <c r="O145" i="6" s="1"/>
  <c r="L145" i="6"/>
  <c r="N145" i="6" s="1" a="1"/>
  <c r="J145" i="6"/>
  <c r="E145" i="6"/>
  <c r="D145" i="6"/>
  <c r="B145" i="6" a="1"/>
  <c r="B145" i="6" s="1"/>
  <c r="R144" i="6" a="1"/>
  <c r="R144" i="6" s="1"/>
  <c r="Q144" i="6" a="1"/>
  <c r="Q144" i="6"/>
  <c r="N144" i="6" a="1"/>
  <c r="N144" i="6" s="1"/>
  <c r="O144" i="6" s="1" a="1"/>
  <c r="O144" i="6" s="1"/>
  <c r="G144" i="6"/>
  <c r="F144" i="6"/>
  <c r="E144" i="6"/>
  <c r="D144" i="6"/>
  <c r="B144" i="6" a="1"/>
  <c r="B144" i="6"/>
  <c r="R143" i="6" a="1"/>
  <c r="R143" i="6" s="1"/>
  <c r="Q143" i="6" a="1"/>
  <c r="Q143" i="6" s="1"/>
  <c r="N143" i="6" a="1"/>
  <c r="N143" i="6" s="1"/>
  <c r="O143" i="6" s="1" a="1"/>
  <c r="O143" i="6" s="1"/>
  <c r="G143" i="6"/>
  <c r="F143" i="6"/>
  <c r="E143" i="6"/>
  <c r="D143" i="6"/>
  <c r="B143" i="6" a="1"/>
  <c r="B143" i="6" s="1"/>
  <c r="Q142" i="6"/>
  <c r="Q141" i="6" s="1"/>
  <c r="O142" i="6" a="1"/>
  <c r="O142" i="6" s="1"/>
  <c r="L142" i="6"/>
  <c r="K142" i="6"/>
  <c r="N142" i="6" s="1" a="1"/>
  <c r="N142" i="6" s="1"/>
  <c r="J142" i="6"/>
  <c r="I142" i="6"/>
  <c r="I141" i="6" s="1"/>
  <c r="I140" i="6" s="1"/>
  <c r="F142" i="6"/>
  <c r="E142" i="6"/>
  <c r="D142" i="6"/>
  <c r="B142" i="6" a="1"/>
  <c r="B142" i="6"/>
  <c r="L141" i="6"/>
  <c r="K141" i="6"/>
  <c r="J141" i="6"/>
  <c r="E141" i="6"/>
  <c r="D141" i="6"/>
  <c r="B141" i="6" a="1"/>
  <c r="B141" i="6"/>
  <c r="J140" i="6"/>
  <c r="D140" i="6"/>
  <c r="B140" i="6" a="1"/>
  <c r="B140" i="6" s="1"/>
  <c r="R139" i="6" a="1"/>
  <c r="R139" i="6" s="1"/>
  <c r="Q139" i="6" a="1"/>
  <c r="Q139" i="6"/>
  <c r="N139" i="6" a="1"/>
  <c r="N139" i="6"/>
  <c r="O139" i="6" s="1" a="1"/>
  <c r="O139" i="6" s="1"/>
  <c r="G139" i="6"/>
  <c r="F139" i="6"/>
  <c r="E139" i="6"/>
  <c r="R138" i="6" a="1"/>
  <c r="R138" i="6"/>
  <c r="Q138" i="6" a="1"/>
  <c r="Q138" i="6" s="1"/>
  <c r="N138" i="6" a="1"/>
  <c r="N138" i="6" s="1"/>
  <c r="O138" i="6" s="1" a="1"/>
  <c r="O138" i="6" s="1"/>
  <c r="G138" i="6"/>
  <c r="F138" i="6"/>
  <c r="E138" i="6"/>
  <c r="R137" i="6" a="1"/>
  <c r="R137" i="6"/>
  <c r="Q137" i="6" a="1"/>
  <c r="Q137" i="6" s="1"/>
  <c r="N137" i="6" a="1"/>
  <c r="N137" i="6"/>
  <c r="O137" i="6" s="1" a="1"/>
  <c r="O137" i="6" s="1"/>
  <c r="G137" i="6"/>
  <c r="F137" i="6"/>
  <c r="E137" i="6"/>
  <c r="R136" i="6" a="1"/>
  <c r="R136" i="6" s="1"/>
  <c r="Q136" i="6" a="1"/>
  <c r="Q136" i="6" s="1"/>
  <c r="N136" i="6" a="1"/>
  <c r="N136" i="6"/>
  <c r="O136" i="6" s="1" a="1"/>
  <c r="O136" i="6" s="1"/>
  <c r="G136" i="6"/>
  <c r="F136" i="6"/>
  <c r="E136" i="6"/>
  <c r="R135" i="6" a="1"/>
  <c r="R135" i="6" s="1"/>
  <c r="Q135" i="6" a="1"/>
  <c r="Q135" i="6"/>
  <c r="N135" i="6" a="1"/>
  <c r="N135" i="6" s="1"/>
  <c r="O135" i="6" s="1" a="1"/>
  <c r="O135" i="6" s="1"/>
  <c r="G135" i="6"/>
  <c r="F135" i="6"/>
  <c r="E135" i="6"/>
  <c r="R134" i="6" a="1"/>
  <c r="R134" i="6" s="1"/>
  <c r="Q134" i="6" a="1"/>
  <c r="Q134" i="6" s="1"/>
  <c r="N134" i="6" a="1"/>
  <c r="N134" i="6" s="1"/>
  <c r="O134" i="6" s="1" a="1"/>
  <c r="O134" i="6" s="1"/>
  <c r="G134" i="6"/>
  <c r="F134" i="6"/>
  <c r="E134" i="6"/>
  <c r="R133" i="6" a="1"/>
  <c r="R133" i="6"/>
  <c r="Q133" i="6" a="1"/>
  <c r="Q133" i="6" s="1"/>
  <c r="N133" i="6" a="1"/>
  <c r="N133" i="6" s="1"/>
  <c r="O133" i="6" s="1" a="1"/>
  <c r="O133" i="6" s="1"/>
  <c r="G133" i="6"/>
  <c r="F133" i="6"/>
  <c r="E133" i="6"/>
  <c r="R132" i="6" a="1"/>
  <c r="R132" i="6"/>
  <c r="Q132" i="6" a="1"/>
  <c r="Q132" i="6" s="1"/>
  <c r="O132" i="6"/>
  <c r="N132" i="6" a="1"/>
  <c r="N132" i="6" s="1"/>
  <c r="O132" i="6" s="1" a="1"/>
  <c r="G132" i="6"/>
  <c r="F132" i="6"/>
  <c r="E132" i="6"/>
  <c r="R131" i="6" a="1"/>
  <c r="R131" i="6"/>
  <c r="Q131" i="6" a="1"/>
  <c r="Q131" i="6"/>
  <c r="N131" i="6" a="1"/>
  <c r="N131" i="6"/>
  <c r="O131" i="6" s="1" a="1"/>
  <c r="O131" i="6" s="1"/>
  <c r="G131" i="6"/>
  <c r="F131" i="6"/>
  <c r="E131" i="6"/>
  <c r="R130" i="6" a="1"/>
  <c r="R130" i="6"/>
  <c r="Q130" i="6" a="1"/>
  <c r="Q130" i="6"/>
  <c r="N130" i="6" a="1"/>
  <c r="N130" i="6"/>
  <c r="O130" i="6" s="1" a="1"/>
  <c r="O130" i="6" s="1"/>
  <c r="G130" i="6"/>
  <c r="F130" i="6"/>
  <c r="E130" i="6"/>
  <c r="R129" i="6" a="1"/>
  <c r="R129" i="6" s="1"/>
  <c r="Q129" i="6" a="1"/>
  <c r="Q129" i="6"/>
  <c r="O129" i="6"/>
  <c r="N129" i="6" a="1"/>
  <c r="N129" i="6"/>
  <c r="O129" i="6" s="1" a="1"/>
  <c r="G129" i="6"/>
  <c r="F129" i="6"/>
  <c r="E129" i="6"/>
  <c r="R128" i="6" a="1"/>
  <c r="R128" i="6" s="1"/>
  <c r="Q128" i="6" a="1"/>
  <c r="Q128" i="6"/>
  <c r="O128" i="6" a="1"/>
  <c r="O128" i="6" s="1"/>
  <c r="N128" i="6" a="1"/>
  <c r="N128" i="6" s="1"/>
  <c r="G128" i="6"/>
  <c r="F128" i="6"/>
  <c r="E128" i="6"/>
  <c r="R127" i="6" a="1"/>
  <c r="R127" i="6"/>
  <c r="Q127" i="6" a="1"/>
  <c r="Q127" i="6"/>
  <c r="O127" i="6" a="1"/>
  <c r="O127" i="6" s="1"/>
  <c r="N127" i="6" a="1"/>
  <c r="N127" i="6"/>
  <c r="G127" i="6"/>
  <c r="F127" i="6"/>
  <c r="E127" i="6"/>
  <c r="R126" i="6" a="1"/>
  <c r="R126" i="6" s="1"/>
  <c r="Q126" i="6" a="1"/>
  <c r="Q126" i="6"/>
  <c r="N126" i="6" a="1"/>
  <c r="N126" i="6"/>
  <c r="O126" i="6" s="1" a="1"/>
  <c r="O126" i="6" s="1"/>
  <c r="G126" i="6"/>
  <c r="F126" i="6"/>
  <c r="E126" i="6"/>
  <c r="R125" i="6" a="1"/>
  <c r="R125" i="6"/>
  <c r="Q125" i="6" a="1"/>
  <c r="Q125" i="6" s="1"/>
  <c r="N125" i="6" a="1"/>
  <c r="N125" i="6"/>
  <c r="O125" i="6" s="1" a="1"/>
  <c r="O125" i="6" s="1"/>
  <c r="G125" i="6"/>
  <c r="F125" i="6"/>
  <c r="E125" i="6"/>
  <c r="R124" i="6" a="1"/>
  <c r="R124" i="6" s="1"/>
  <c r="Q124" i="6" a="1"/>
  <c r="Q124" i="6" s="1"/>
  <c r="N124" i="6" a="1"/>
  <c r="N124" i="6"/>
  <c r="O124" i="6" s="1" a="1"/>
  <c r="O124" i="6" s="1"/>
  <c r="G124" i="6"/>
  <c r="F124" i="6"/>
  <c r="E124" i="6"/>
  <c r="R123" i="6" a="1"/>
  <c r="R123" i="6" s="1"/>
  <c r="Q123" i="6" a="1"/>
  <c r="Q123" i="6"/>
  <c r="N123" i="6" a="1"/>
  <c r="N123" i="6" s="1"/>
  <c r="O123" i="6" s="1" a="1"/>
  <c r="O123" i="6" s="1"/>
  <c r="G123" i="6"/>
  <c r="F123" i="6"/>
  <c r="E123" i="6"/>
  <c r="R122" i="6" a="1"/>
  <c r="R122" i="6"/>
  <c r="Q122" i="6" a="1"/>
  <c r="Q122" i="6"/>
  <c r="O122" i="6" a="1"/>
  <c r="O122" i="6" s="1"/>
  <c r="N122" i="6" a="1"/>
  <c r="N122" i="6"/>
  <c r="G122" i="6"/>
  <c r="F122" i="6"/>
  <c r="E122" i="6"/>
  <c r="R121" i="6" a="1"/>
  <c r="R121" i="6"/>
  <c r="Q121" i="6" a="1"/>
  <c r="Q121" i="6"/>
  <c r="O121" i="6"/>
  <c r="N121" i="6" a="1"/>
  <c r="N121" i="6" s="1"/>
  <c r="O121" i="6" s="1" a="1"/>
  <c r="G121" i="6"/>
  <c r="F121" i="6"/>
  <c r="E121" i="6"/>
  <c r="R120" i="6" a="1"/>
  <c r="R120" i="6"/>
  <c r="Q120" i="6" a="1"/>
  <c r="Q120" i="6" s="1"/>
  <c r="O120" i="6" a="1"/>
  <c r="O120" i="6" s="1"/>
  <c r="N120" i="6" a="1"/>
  <c r="N120" i="6" s="1"/>
  <c r="G120" i="6"/>
  <c r="F120" i="6"/>
  <c r="E120" i="6"/>
  <c r="R119" i="6" a="1"/>
  <c r="R119" i="6" s="1"/>
  <c r="Q119" i="6" a="1"/>
  <c r="Q119" i="6" s="1"/>
  <c r="N119" i="6" a="1"/>
  <c r="N119" i="6"/>
  <c r="O119" i="6" s="1" a="1"/>
  <c r="O119" i="6" s="1"/>
  <c r="G119" i="6"/>
  <c r="F119" i="6"/>
  <c r="E119" i="6"/>
  <c r="R118" i="6" a="1"/>
  <c r="R118" i="6"/>
  <c r="Q118" i="6" a="1"/>
  <c r="Q118" i="6" s="1"/>
  <c r="N118" i="6" a="1"/>
  <c r="N118" i="6" s="1"/>
  <c r="O118" i="6" s="1" a="1"/>
  <c r="O118" i="6" s="1"/>
  <c r="G118" i="6"/>
  <c r="F118" i="6"/>
  <c r="E118" i="6"/>
  <c r="B118" i="6" a="1"/>
  <c r="B118" i="6" s="1"/>
  <c r="R117" i="6" a="1"/>
  <c r="R117" i="6" s="1"/>
  <c r="Q117" i="6" a="1"/>
  <c r="Q117" i="6" s="1"/>
  <c r="O117" i="6"/>
  <c r="N117" i="6" a="1"/>
  <c r="N117" i="6" s="1"/>
  <c r="O117" i="6" s="1" a="1"/>
  <c r="G117" i="6"/>
  <c r="F117" i="6"/>
  <c r="E117" i="6"/>
  <c r="B117" i="6" a="1"/>
  <c r="B117" i="6"/>
  <c r="R116" i="6" a="1"/>
  <c r="R116" i="6" s="1"/>
  <c r="Q116" i="6" a="1"/>
  <c r="Q116" i="6" s="1"/>
  <c r="O116" i="6" a="1"/>
  <c r="O116" i="6" s="1"/>
  <c r="N116" i="6" a="1"/>
  <c r="N116" i="6" s="1"/>
  <c r="G116" i="6"/>
  <c r="F116" i="6"/>
  <c r="E116" i="6"/>
  <c r="B116" i="6" a="1"/>
  <c r="B116" i="6"/>
  <c r="R115" i="6" a="1"/>
  <c r="R115" i="6"/>
  <c r="Q115" i="6" a="1"/>
  <c r="Q115" i="6"/>
  <c r="N115" i="6" a="1"/>
  <c r="N115" i="6"/>
  <c r="O115" i="6" s="1" a="1"/>
  <c r="O115" i="6" s="1"/>
  <c r="G115" i="6"/>
  <c r="F115" i="6"/>
  <c r="E115" i="6"/>
  <c r="B115" i="6" a="1"/>
  <c r="B115" i="6"/>
  <c r="R114" i="6" a="1"/>
  <c r="R114" i="6" s="1"/>
  <c r="Q114" i="6" a="1"/>
  <c r="Q114" i="6" s="1"/>
  <c r="N114" i="6" a="1"/>
  <c r="N114" i="6"/>
  <c r="O114" i="6" s="1" a="1"/>
  <c r="O114" i="6" s="1"/>
  <c r="G114" i="6"/>
  <c r="F114" i="6"/>
  <c r="E114" i="6"/>
  <c r="B114" i="6" a="1"/>
  <c r="B114" i="6" s="1"/>
  <c r="R113" i="6" a="1"/>
  <c r="R113" i="6"/>
  <c r="Q113" i="6" a="1"/>
  <c r="Q113" i="6" s="1"/>
  <c r="N113" i="6" a="1"/>
  <c r="N113" i="6" s="1"/>
  <c r="O113" i="6" s="1" a="1"/>
  <c r="O113" i="6" s="1"/>
  <c r="G113" i="6"/>
  <c r="F113" i="6"/>
  <c r="E113" i="6"/>
  <c r="B113" i="6" a="1"/>
  <c r="B113" i="6" s="1"/>
  <c r="R112" i="6" a="1"/>
  <c r="R112" i="6" s="1"/>
  <c r="Q112" i="6" a="1"/>
  <c r="Q112" i="6" s="1"/>
  <c r="O112" i="6"/>
  <c r="N112" i="6" a="1"/>
  <c r="N112" i="6"/>
  <c r="O112" i="6" s="1" a="1"/>
  <c r="G112" i="6"/>
  <c r="F112" i="6"/>
  <c r="E112" i="6"/>
  <c r="B112" i="6" a="1"/>
  <c r="B112" i="6"/>
  <c r="R111" i="6" a="1"/>
  <c r="R111" i="6" s="1"/>
  <c r="Q111" i="6" a="1"/>
  <c r="Q111" i="6"/>
  <c r="N111" i="6" a="1"/>
  <c r="N111" i="6" s="1"/>
  <c r="O111" i="6" s="1" a="1"/>
  <c r="O111" i="6" s="1"/>
  <c r="G111" i="6"/>
  <c r="F111" i="6"/>
  <c r="E111" i="6"/>
  <c r="B111" i="6" a="1"/>
  <c r="B111" i="6" s="1"/>
  <c r="R110" i="6" a="1"/>
  <c r="R110" i="6" s="1"/>
  <c r="Q110" i="6" a="1"/>
  <c r="Q110" i="6" s="1"/>
  <c r="N110" i="6" a="1"/>
  <c r="N110" i="6"/>
  <c r="O110" i="6" s="1" a="1"/>
  <c r="O110" i="6" s="1"/>
  <c r="G110" i="6"/>
  <c r="F110" i="6"/>
  <c r="E110" i="6"/>
  <c r="B110" i="6" a="1"/>
  <c r="B110" i="6" s="1"/>
  <c r="N109" i="6" a="1"/>
  <c r="N109" i="6" s="1"/>
  <c r="O109" i="6" s="1" a="1"/>
  <c r="O109" i="6" s="1"/>
  <c r="L109" i="6"/>
  <c r="L108" i="6" s="1"/>
  <c r="N108" i="6" s="1" a="1"/>
  <c r="K109" i="6"/>
  <c r="J109" i="6"/>
  <c r="J108" i="6" s="1"/>
  <c r="I109" i="6"/>
  <c r="I108" i="6" s="1"/>
  <c r="F109" i="6"/>
  <c r="E109" i="6"/>
  <c r="B109" i="6" a="1"/>
  <c r="B109" i="6"/>
  <c r="N108" i="6"/>
  <c r="O108" i="6" s="1" a="1"/>
  <c r="O108" i="6" s="1"/>
  <c r="K108" i="6"/>
  <c r="E108" i="6"/>
  <c r="D108" i="6"/>
  <c r="B108" i="6" a="1"/>
  <c r="B108" i="6" s="1"/>
  <c r="R107" i="6" a="1"/>
  <c r="R107" i="6"/>
  <c r="Q107" i="6" a="1"/>
  <c r="Q107" i="6" s="1"/>
  <c r="O107" i="6" a="1"/>
  <c r="O107" i="6" s="1"/>
  <c r="N107" i="6" a="1"/>
  <c r="N107" i="6" s="1"/>
  <c r="G107" i="6"/>
  <c r="F107" i="6"/>
  <c r="E107" i="6"/>
  <c r="R106" i="6" a="1"/>
  <c r="R106" i="6"/>
  <c r="Q106" i="6" a="1"/>
  <c r="Q106" i="6" s="1"/>
  <c r="O106" i="6" a="1"/>
  <c r="O106" i="6" s="1"/>
  <c r="N106" i="6" a="1"/>
  <c r="N106" i="6" s="1"/>
  <c r="G106" i="6"/>
  <c r="F106" i="6"/>
  <c r="E106" i="6"/>
  <c r="R105" i="6" a="1"/>
  <c r="R105" i="6" s="1"/>
  <c r="Q105" i="6" a="1"/>
  <c r="Q105" i="6" s="1"/>
  <c r="O105" i="6" a="1"/>
  <c r="O105" i="6" s="1"/>
  <c r="N105" i="6" a="1"/>
  <c r="N105" i="6"/>
  <c r="G105" i="6"/>
  <c r="F105" i="6"/>
  <c r="E105" i="6"/>
  <c r="R104" i="6" a="1"/>
  <c r="R104" i="6" s="1"/>
  <c r="Q104" i="6" a="1"/>
  <c r="Q104" i="6" s="1"/>
  <c r="O104" i="6" a="1"/>
  <c r="O104" i="6" s="1"/>
  <c r="N104" i="6" a="1"/>
  <c r="N104" i="6" s="1"/>
  <c r="G104" i="6"/>
  <c r="F104" i="6"/>
  <c r="E104" i="6"/>
  <c r="R103" i="6" a="1"/>
  <c r="R103" i="6"/>
  <c r="Q103" i="6" a="1"/>
  <c r="Q103" i="6" s="1"/>
  <c r="N103" i="6" a="1"/>
  <c r="N103" i="6"/>
  <c r="O103" i="6" s="1" a="1"/>
  <c r="O103" i="6" s="1"/>
  <c r="G103" i="6"/>
  <c r="F103" i="6"/>
  <c r="E103" i="6"/>
  <c r="R102" i="6" a="1"/>
  <c r="R102" i="6" s="1"/>
  <c r="Q102" i="6" a="1"/>
  <c r="Q102" i="6"/>
  <c r="N102" i="6" a="1"/>
  <c r="N102" i="6"/>
  <c r="O102" i="6" s="1" a="1"/>
  <c r="O102" i="6" s="1"/>
  <c r="G102" i="6"/>
  <c r="F102" i="6"/>
  <c r="E102" i="6"/>
  <c r="R101" i="6" a="1"/>
  <c r="R101" i="6" s="1"/>
  <c r="Q101" i="6" a="1"/>
  <c r="Q101" i="6"/>
  <c r="N101" i="6" a="1"/>
  <c r="N101" i="6"/>
  <c r="O101" i="6" s="1" a="1"/>
  <c r="O101" i="6" s="1"/>
  <c r="G101" i="6"/>
  <c r="F101" i="6"/>
  <c r="E101" i="6"/>
  <c r="R100" i="6" a="1"/>
  <c r="R100" i="6" s="1"/>
  <c r="Q100" i="6" a="1"/>
  <c r="Q100" i="6" s="1"/>
  <c r="O100" i="6" a="1"/>
  <c r="O100" i="6" s="1"/>
  <c r="N100" i="6" a="1"/>
  <c r="N100" i="6" s="1"/>
  <c r="G100" i="6"/>
  <c r="F100" i="6"/>
  <c r="E100" i="6"/>
  <c r="R99" i="6" a="1"/>
  <c r="R99" i="6"/>
  <c r="Q99" i="6" a="1"/>
  <c r="Q99" i="6" s="1"/>
  <c r="O99" i="6"/>
  <c r="N99" i="6" a="1"/>
  <c r="N99" i="6" s="1"/>
  <c r="O99" i="6" s="1" a="1"/>
  <c r="G99" i="6"/>
  <c r="F99" i="6"/>
  <c r="E99" i="6"/>
  <c r="R98" i="6" a="1"/>
  <c r="R98" i="6" s="1"/>
  <c r="Q98" i="6" a="1"/>
  <c r="Q98" i="6" s="1"/>
  <c r="N98" i="6" a="1"/>
  <c r="N98" i="6" s="1"/>
  <c r="O98" i="6" s="1" a="1"/>
  <c r="O98" i="6" s="1"/>
  <c r="G98" i="6"/>
  <c r="F98" i="6"/>
  <c r="E98" i="6"/>
  <c r="R97" i="6" a="1"/>
  <c r="R97" i="6" s="1"/>
  <c r="Q97" i="6" a="1"/>
  <c r="Q97" i="6"/>
  <c r="N97" i="6" a="1"/>
  <c r="N97" i="6"/>
  <c r="O97" i="6" s="1" a="1"/>
  <c r="O97" i="6" s="1"/>
  <c r="G97" i="6"/>
  <c r="F97" i="6"/>
  <c r="E97" i="6"/>
  <c r="R96" i="6" a="1"/>
  <c r="R96" i="6"/>
  <c r="Q96" i="6" a="1"/>
  <c r="Q96" i="6" s="1"/>
  <c r="N96" i="6" a="1"/>
  <c r="N96" i="6" s="1"/>
  <c r="O96" i="6" s="1" a="1"/>
  <c r="O96" i="6" s="1"/>
  <c r="G96" i="6"/>
  <c r="F96" i="6"/>
  <c r="E96" i="6"/>
  <c r="R95" i="6" a="1"/>
  <c r="R95" i="6" s="1"/>
  <c r="Q95" i="6" a="1"/>
  <c r="Q95" i="6"/>
  <c r="N95" i="6" a="1"/>
  <c r="N95" i="6"/>
  <c r="O95" i="6" s="1" a="1"/>
  <c r="O95" i="6" s="1"/>
  <c r="G95" i="6"/>
  <c r="F95" i="6"/>
  <c r="E95" i="6"/>
  <c r="R94" i="6" a="1"/>
  <c r="R94" i="6"/>
  <c r="Q94" i="6" a="1"/>
  <c r="Q94" i="6" s="1"/>
  <c r="N94" i="6" a="1"/>
  <c r="N94" i="6" s="1"/>
  <c r="O94" i="6" s="1" a="1"/>
  <c r="O94" i="6" s="1"/>
  <c r="G94" i="6"/>
  <c r="F94" i="6"/>
  <c r="E94" i="6"/>
  <c r="R93" i="6" a="1"/>
  <c r="R93" i="6"/>
  <c r="Q93" i="6" a="1"/>
  <c r="Q93" i="6"/>
  <c r="N93" i="6" a="1"/>
  <c r="N93" i="6"/>
  <c r="O93" i="6" s="1" a="1"/>
  <c r="O93" i="6" s="1"/>
  <c r="G93" i="6"/>
  <c r="F93" i="6"/>
  <c r="E93" i="6"/>
  <c r="R92" i="6" a="1"/>
  <c r="R92" i="6"/>
  <c r="Q92" i="6" a="1"/>
  <c r="Q92" i="6"/>
  <c r="N92" i="6" a="1"/>
  <c r="N92" i="6"/>
  <c r="O92" i="6" s="1" a="1"/>
  <c r="O92" i="6" s="1"/>
  <c r="G92" i="6"/>
  <c r="F92" i="6"/>
  <c r="E92" i="6"/>
  <c r="R91" i="6" a="1"/>
  <c r="R91" i="6" s="1"/>
  <c r="Q91" i="6" a="1"/>
  <c r="Q91" i="6"/>
  <c r="N91" i="6" a="1"/>
  <c r="N91" i="6" s="1"/>
  <c r="O91" i="6" s="1" a="1"/>
  <c r="O91" i="6" s="1"/>
  <c r="G91" i="6"/>
  <c r="F91" i="6"/>
  <c r="E91" i="6"/>
  <c r="R90" i="6" a="1"/>
  <c r="R90" i="6"/>
  <c r="Q90" i="6" a="1"/>
  <c r="Q90" i="6"/>
  <c r="N90" i="6" a="1"/>
  <c r="N90" i="6"/>
  <c r="O90" i="6" s="1" a="1"/>
  <c r="O90" i="6" s="1"/>
  <c r="G90" i="6"/>
  <c r="F90" i="6"/>
  <c r="E90" i="6"/>
  <c r="R89" i="6" a="1"/>
  <c r="R89" i="6" s="1"/>
  <c r="Q89" i="6" a="1"/>
  <c r="Q89" i="6" s="1"/>
  <c r="N89" i="6" a="1"/>
  <c r="N89" i="6"/>
  <c r="O89" i="6" s="1" a="1"/>
  <c r="O89" i="6" s="1"/>
  <c r="G89" i="6"/>
  <c r="F89" i="6"/>
  <c r="E89" i="6"/>
  <c r="R88" i="6" a="1"/>
  <c r="R88" i="6"/>
  <c r="Q88" i="6" a="1"/>
  <c r="Q88" i="6"/>
  <c r="O88" i="6"/>
  <c r="N88" i="6" a="1"/>
  <c r="N88" i="6"/>
  <c r="O88" i="6" s="1" a="1"/>
  <c r="G88" i="6"/>
  <c r="F88" i="6"/>
  <c r="E88" i="6"/>
  <c r="R87" i="6" a="1"/>
  <c r="R87" i="6"/>
  <c r="Q87" i="6" a="1"/>
  <c r="Q87" i="6" s="1"/>
  <c r="N87" i="6" a="1"/>
  <c r="N87" i="6" s="1"/>
  <c r="O87" i="6" s="1" a="1"/>
  <c r="O87" i="6" s="1"/>
  <c r="G87" i="6"/>
  <c r="F87" i="6"/>
  <c r="E87" i="6"/>
  <c r="R86" i="6" a="1"/>
  <c r="R86" i="6"/>
  <c r="Q86" i="6" a="1"/>
  <c r="Q86" i="6"/>
  <c r="O86" i="6" a="1"/>
  <c r="O86" i="6" s="1"/>
  <c r="N86" i="6" a="1"/>
  <c r="N86" i="6"/>
  <c r="G86" i="6"/>
  <c r="F86" i="6"/>
  <c r="E86" i="6"/>
  <c r="B86" i="6" a="1"/>
  <c r="B86" i="6" s="1"/>
  <c r="R85" i="6" a="1"/>
  <c r="R85" i="6" s="1"/>
  <c r="Q85" i="6" a="1"/>
  <c r="Q85" i="6" s="1"/>
  <c r="N85" i="6" a="1"/>
  <c r="N85" i="6"/>
  <c r="O85" i="6" s="1" a="1"/>
  <c r="O85" i="6" s="1"/>
  <c r="G85" i="6"/>
  <c r="F85" i="6"/>
  <c r="E85" i="6"/>
  <c r="B85" i="6" a="1"/>
  <c r="B85" i="6" s="1"/>
  <c r="R84" i="6" a="1"/>
  <c r="R84" i="6"/>
  <c r="Q84" i="6" a="1"/>
  <c r="Q84" i="6"/>
  <c r="N84" i="6" a="1"/>
  <c r="N84" i="6" s="1"/>
  <c r="O84" i="6" s="1" a="1"/>
  <c r="O84" i="6" s="1"/>
  <c r="G84" i="6"/>
  <c r="F84" i="6"/>
  <c r="E84" i="6"/>
  <c r="B84" i="6" a="1"/>
  <c r="B84" i="6" s="1"/>
  <c r="R83" i="6" a="1"/>
  <c r="R83" i="6" s="1"/>
  <c r="Q83" i="6" a="1"/>
  <c r="Q83" i="6"/>
  <c r="O83" i="6"/>
  <c r="N83" i="6" a="1"/>
  <c r="N83" i="6"/>
  <c r="O83" i="6" s="1" a="1"/>
  <c r="G83" i="6"/>
  <c r="F83" i="6"/>
  <c r="E83" i="6"/>
  <c r="B83" i="6" a="1"/>
  <c r="B83" i="6"/>
  <c r="R82" i="6" a="1"/>
  <c r="R82" i="6"/>
  <c r="Q82" i="6" a="1"/>
  <c r="Q82" i="6" s="1"/>
  <c r="N82" i="6" a="1"/>
  <c r="N82" i="6"/>
  <c r="O82" i="6" s="1" a="1"/>
  <c r="O82" i="6" s="1"/>
  <c r="G82" i="6"/>
  <c r="F82" i="6"/>
  <c r="E82" i="6"/>
  <c r="B82" i="6" a="1"/>
  <c r="B82" i="6" s="1"/>
  <c r="R81" i="6" a="1"/>
  <c r="R81" i="6" s="1"/>
  <c r="Q81" i="6" a="1"/>
  <c r="Q81" i="6" s="1"/>
  <c r="N81" i="6" a="1"/>
  <c r="N81" i="6" s="1"/>
  <c r="O81" i="6" s="1" a="1"/>
  <c r="O81" i="6" s="1"/>
  <c r="G81" i="6"/>
  <c r="F81" i="6"/>
  <c r="E81" i="6"/>
  <c r="B81" i="6" a="1"/>
  <c r="B81" i="6"/>
  <c r="R80" i="6" a="1"/>
  <c r="R80" i="6" s="1"/>
  <c r="Q80" i="6" a="1"/>
  <c r="Q80" i="6" s="1"/>
  <c r="N80" i="6" a="1"/>
  <c r="N80" i="6"/>
  <c r="O80" i="6" s="1" a="1"/>
  <c r="O80" i="6" s="1"/>
  <c r="G80" i="6"/>
  <c r="F80" i="6"/>
  <c r="E80" i="6"/>
  <c r="B80" i="6" a="1"/>
  <c r="B80" i="6" s="1"/>
  <c r="R79" i="6" a="1"/>
  <c r="R79" i="6" s="1"/>
  <c r="Q79" i="6" a="1"/>
  <c r="Q79" i="6" s="1"/>
  <c r="N79" i="6" a="1"/>
  <c r="N79" i="6" s="1"/>
  <c r="O79" i="6" s="1" a="1"/>
  <c r="O79" i="6" s="1"/>
  <c r="G79" i="6"/>
  <c r="F79" i="6"/>
  <c r="E79" i="6"/>
  <c r="B79" i="6" a="1"/>
  <c r="B79" i="6" s="1"/>
  <c r="R78" i="6" a="1"/>
  <c r="R78" i="6" s="1"/>
  <c r="Q78" i="6" a="1"/>
  <c r="Q78" i="6"/>
  <c r="N78" i="6" a="1"/>
  <c r="N78" i="6"/>
  <c r="O78" i="6" s="1" a="1"/>
  <c r="O78" i="6" s="1"/>
  <c r="G78" i="6"/>
  <c r="F78" i="6"/>
  <c r="E78" i="6"/>
  <c r="B78" i="6" a="1"/>
  <c r="B78" i="6" s="1"/>
  <c r="L77" i="6"/>
  <c r="L76" i="6" s="1"/>
  <c r="N76" i="6" s="1" a="1"/>
  <c r="N76" i="6" s="1"/>
  <c r="O76" i="6" s="1" a="1"/>
  <c r="O76" i="6" s="1"/>
  <c r="K77" i="6"/>
  <c r="J77" i="6"/>
  <c r="J76" i="6" s="1"/>
  <c r="I77" i="6"/>
  <c r="F77" i="6"/>
  <c r="E77" i="6"/>
  <c r="B77" i="6" a="1"/>
  <c r="B77" i="6" s="1"/>
  <c r="K76" i="6"/>
  <c r="I76" i="6"/>
  <c r="E76" i="6"/>
  <c r="D76" i="6"/>
  <c r="B76" i="6" a="1"/>
  <c r="B76" i="6"/>
  <c r="R75" i="6" a="1"/>
  <c r="R75" i="6" s="1"/>
  <c r="Q75" i="6" a="1"/>
  <c r="Q75" i="6" s="1"/>
  <c r="N75" i="6" a="1"/>
  <c r="N75" i="6" s="1"/>
  <c r="O75" i="6" s="1" a="1"/>
  <c r="O75" i="6" s="1"/>
  <c r="G75" i="6"/>
  <c r="F75" i="6"/>
  <c r="E75" i="6"/>
  <c r="R74" i="6" a="1"/>
  <c r="R74" i="6"/>
  <c r="Q74" i="6" a="1"/>
  <c r="Q74" i="6" s="1"/>
  <c r="N74" i="6" a="1"/>
  <c r="N74" i="6"/>
  <c r="O74" i="6" s="1" a="1"/>
  <c r="O74" i="6" s="1"/>
  <c r="G74" i="6"/>
  <c r="F74" i="6"/>
  <c r="E74" i="6"/>
  <c r="R73" i="6" a="1"/>
  <c r="R73" i="6" s="1"/>
  <c r="Q73" i="6" a="1"/>
  <c r="Q73" i="6" s="1"/>
  <c r="O73" i="6" a="1"/>
  <c r="O73" i="6"/>
  <c r="N73" i="6" a="1"/>
  <c r="N73" i="6" s="1"/>
  <c r="G73" i="6"/>
  <c r="F73" i="6"/>
  <c r="E73" i="6"/>
  <c r="R72" i="6" a="1"/>
  <c r="R72" i="6" s="1"/>
  <c r="Q72" i="6" a="1"/>
  <c r="Q72" i="6" s="1"/>
  <c r="N72" i="6" a="1"/>
  <c r="N72" i="6" s="1"/>
  <c r="O72" i="6" s="1" a="1"/>
  <c r="O72" i="6" s="1"/>
  <c r="G72" i="6"/>
  <c r="F72" i="6"/>
  <c r="E72" i="6"/>
  <c r="R71" i="6" a="1"/>
  <c r="R71" i="6"/>
  <c r="Q71" i="6" a="1"/>
  <c r="Q71" i="6"/>
  <c r="O71" i="6" a="1"/>
  <c r="O71" i="6" s="1"/>
  <c r="N71" i="6" a="1"/>
  <c r="N71" i="6" s="1"/>
  <c r="G71" i="6"/>
  <c r="F71" i="6"/>
  <c r="E71" i="6"/>
  <c r="R70" i="6" a="1"/>
  <c r="R70" i="6" s="1"/>
  <c r="Q70" i="6" a="1"/>
  <c r="Q70" i="6" s="1"/>
  <c r="N70" i="6" a="1"/>
  <c r="N70" i="6" s="1"/>
  <c r="O70" i="6" s="1" a="1"/>
  <c r="O70" i="6" s="1"/>
  <c r="G70" i="6"/>
  <c r="F70" i="6"/>
  <c r="E70" i="6"/>
  <c r="R69" i="6" a="1"/>
  <c r="R69" i="6"/>
  <c r="Q69" i="6" a="1"/>
  <c r="Q69" i="6"/>
  <c r="N69" i="6" a="1"/>
  <c r="N69" i="6" s="1"/>
  <c r="O69" i="6" s="1" a="1"/>
  <c r="O69" i="6" s="1"/>
  <c r="G69" i="6"/>
  <c r="F69" i="6"/>
  <c r="E69" i="6"/>
  <c r="R68" i="6" a="1"/>
  <c r="R68" i="6"/>
  <c r="Q68" i="6" a="1"/>
  <c r="Q68" i="6"/>
  <c r="N68" i="6" a="1"/>
  <c r="N68" i="6"/>
  <c r="O68" i="6" s="1" a="1"/>
  <c r="O68" i="6" s="1"/>
  <c r="G68" i="6"/>
  <c r="F68" i="6"/>
  <c r="E68" i="6"/>
  <c r="R67" i="6" a="1"/>
  <c r="R67" i="6" s="1"/>
  <c r="Q67" i="6" a="1"/>
  <c r="Q67" i="6"/>
  <c r="O67" i="6" a="1"/>
  <c r="O67" i="6" s="1"/>
  <c r="N67" i="6" a="1"/>
  <c r="N67" i="6"/>
  <c r="G67" i="6"/>
  <c r="F67" i="6"/>
  <c r="E67" i="6"/>
  <c r="R66" i="6" a="1"/>
  <c r="R66" i="6" s="1"/>
  <c r="Q66" i="6" a="1"/>
  <c r="Q66" i="6"/>
  <c r="N66" i="6" a="1"/>
  <c r="N66" i="6" s="1"/>
  <c r="O66" i="6" s="1" a="1"/>
  <c r="O66" i="6" s="1"/>
  <c r="G66" i="6"/>
  <c r="F66" i="6"/>
  <c r="E66" i="6"/>
  <c r="R65" i="6" a="1"/>
  <c r="R65" i="6" s="1"/>
  <c r="Q65" i="6" a="1"/>
  <c r="Q65" i="6" s="1"/>
  <c r="N65" i="6" a="1"/>
  <c r="N65" i="6" s="1"/>
  <c r="O65" i="6" s="1" a="1"/>
  <c r="O65" i="6" s="1"/>
  <c r="G65" i="6"/>
  <c r="F65" i="6"/>
  <c r="E65" i="6"/>
  <c r="R64" i="6" a="1"/>
  <c r="R64" i="6"/>
  <c r="Q64" i="6" a="1"/>
  <c r="Q64" i="6" s="1"/>
  <c r="N64" i="6" a="1"/>
  <c r="N64" i="6"/>
  <c r="O64" i="6" s="1" a="1"/>
  <c r="O64" i="6" s="1"/>
  <c r="G64" i="6"/>
  <c r="F64" i="6"/>
  <c r="E64" i="6"/>
  <c r="R63" i="6" a="1"/>
  <c r="R63" i="6" s="1"/>
  <c r="Q63" i="6" a="1"/>
  <c r="Q63" i="6" s="1"/>
  <c r="N63" i="6" a="1"/>
  <c r="N63" i="6" s="1"/>
  <c r="O63" i="6" s="1" a="1"/>
  <c r="O63" i="6" s="1"/>
  <c r="G63" i="6"/>
  <c r="F63" i="6"/>
  <c r="E63" i="6"/>
  <c r="R62" i="6" a="1"/>
  <c r="R62" i="6" s="1"/>
  <c r="Q62" i="6" a="1"/>
  <c r="Q62" i="6"/>
  <c r="O62" i="6" a="1"/>
  <c r="O62" i="6" s="1"/>
  <c r="N62" i="6" a="1"/>
  <c r="N62" i="6"/>
  <c r="G62" i="6"/>
  <c r="F62" i="6"/>
  <c r="E62" i="6"/>
  <c r="R61" i="6" a="1"/>
  <c r="R61" i="6"/>
  <c r="Q61" i="6" a="1"/>
  <c r="Q61" i="6"/>
  <c r="O61" i="6" a="1"/>
  <c r="O61" i="6" s="1"/>
  <c r="N61" i="6" a="1"/>
  <c r="N61" i="6" s="1"/>
  <c r="G61" i="6"/>
  <c r="F61" i="6"/>
  <c r="E61" i="6"/>
  <c r="R60" i="6" a="1"/>
  <c r="R60" i="6" s="1"/>
  <c r="Q60" i="6" a="1"/>
  <c r="Q60" i="6"/>
  <c r="O60" i="6" a="1"/>
  <c r="O60" i="6" s="1"/>
  <c r="N60" i="6" a="1"/>
  <c r="N60" i="6"/>
  <c r="G60" i="6"/>
  <c r="F60" i="6"/>
  <c r="E60" i="6"/>
  <c r="R59" i="6" a="1"/>
  <c r="R59" i="6"/>
  <c r="Q59" i="6" a="1"/>
  <c r="Q59" i="6"/>
  <c r="N59" i="6" a="1"/>
  <c r="N59" i="6" s="1"/>
  <c r="O59" i="6" s="1" a="1"/>
  <c r="O59" i="6" s="1"/>
  <c r="G59" i="6"/>
  <c r="F59" i="6"/>
  <c r="E59" i="6"/>
  <c r="R58" i="6" a="1"/>
  <c r="R58" i="6" s="1"/>
  <c r="Q58" i="6" a="1"/>
  <c r="Q58" i="6" s="1"/>
  <c r="N58" i="6" a="1"/>
  <c r="N58" i="6"/>
  <c r="O58" i="6" s="1" a="1"/>
  <c r="O58" i="6" s="1"/>
  <c r="G58" i="6"/>
  <c r="F58" i="6"/>
  <c r="E58" i="6"/>
  <c r="R57" i="6" a="1"/>
  <c r="R57" i="6" s="1"/>
  <c r="Q57" i="6" a="1"/>
  <c r="Q57" i="6"/>
  <c r="N57" i="6" a="1"/>
  <c r="N57" i="6" s="1"/>
  <c r="O57" i="6" s="1" a="1"/>
  <c r="O57" i="6" s="1"/>
  <c r="G57" i="6"/>
  <c r="F57" i="6"/>
  <c r="E57" i="6"/>
  <c r="R56" i="6" a="1"/>
  <c r="R56" i="6" s="1"/>
  <c r="Q56" i="6" a="1"/>
  <c r="Q56" i="6" s="1"/>
  <c r="N56" i="6" a="1"/>
  <c r="N56" i="6" s="1"/>
  <c r="O56" i="6" s="1" a="1"/>
  <c r="O56" i="6" s="1"/>
  <c r="G56" i="6"/>
  <c r="F56" i="6"/>
  <c r="E56" i="6"/>
  <c r="B56" i="6" a="1"/>
  <c r="B56" i="6"/>
  <c r="R55" i="6" a="1"/>
  <c r="R55" i="6" s="1"/>
  <c r="Q55" i="6" a="1"/>
  <c r="Q55" i="6"/>
  <c r="O55" i="6"/>
  <c r="N55" i="6" a="1"/>
  <c r="N55" i="6" s="1"/>
  <c r="O55" i="6" s="1" a="1"/>
  <c r="G55" i="6"/>
  <c r="F55" i="6"/>
  <c r="E55" i="6"/>
  <c r="B55" i="6" a="1"/>
  <c r="B55" i="6" s="1"/>
  <c r="R54" i="6" a="1"/>
  <c r="R54" i="6" s="1"/>
  <c r="Q54" i="6" a="1"/>
  <c r="Q54" i="6" s="1"/>
  <c r="O54" i="6" a="1"/>
  <c r="O54" i="6" s="1"/>
  <c r="N54" i="6" a="1"/>
  <c r="N54" i="6"/>
  <c r="G54" i="6"/>
  <c r="F54" i="6"/>
  <c r="E54" i="6"/>
  <c r="B54" i="6" a="1"/>
  <c r="B54" i="6"/>
  <c r="R53" i="6" a="1"/>
  <c r="R53" i="6"/>
  <c r="Q53" i="6" a="1"/>
  <c r="Q53" i="6"/>
  <c r="N53" i="6" a="1"/>
  <c r="N53" i="6" s="1"/>
  <c r="O53" i="6" s="1" a="1"/>
  <c r="O53" i="6" s="1"/>
  <c r="G53" i="6"/>
  <c r="F53" i="6"/>
  <c r="E53" i="6"/>
  <c r="B53" i="6" a="1"/>
  <c r="B53" i="6" s="1"/>
  <c r="R52" i="6" a="1"/>
  <c r="R52" i="6" s="1"/>
  <c r="Q52" i="6" a="1"/>
  <c r="Q52" i="6"/>
  <c r="N52" i="6" a="1"/>
  <c r="N52" i="6" s="1"/>
  <c r="O52" i="6" s="1" a="1"/>
  <c r="O52" i="6" s="1"/>
  <c r="G52" i="6"/>
  <c r="F52" i="6"/>
  <c r="E52" i="6"/>
  <c r="B52" i="6" a="1"/>
  <c r="B52" i="6"/>
  <c r="R51" i="6" a="1"/>
  <c r="R51" i="6"/>
  <c r="Q51" i="6" a="1"/>
  <c r="Q51" i="6" s="1"/>
  <c r="O51" i="6" a="1"/>
  <c r="O51" i="6" s="1"/>
  <c r="N51" i="6" a="1"/>
  <c r="N51" i="6"/>
  <c r="G51" i="6"/>
  <c r="F51" i="6"/>
  <c r="E51" i="6"/>
  <c r="B51" i="6" a="1"/>
  <c r="B51" i="6" s="1"/>
  <c r="R50" i="6" a="1"/>
  <c r="R50" i="6" s="1"/>
  <c r="Q50" i="6" a="1"/>
  <c r="Q50" i="6"/>
  <c r="N50" i="6" a="1"/>
  <c r="N50" i="6" s="1"/>
  <c r="O50" i="6" s="1" a="1"/>
  <c r="O50" i="6" s="1"/>
  <c r="G50" i="6"/>
  <c r="F50" i="6"/>
  <c r="E50" i="6"/>
  <c r="B50" i="6" a="1"/>
  <c r="B50" i="6"/>
  <c r="R49" i="6" a="1"/>
  <c r="R49" i="6" s="1"/>
  <c r="Q49" i="6" a="1"/>
  <c r="Q49" i="6" s="1"/>
  <c r="N49" i="6" a="1"/>
  <c r="N49" i="6" s="1"/>
  <c r="O49" i="6" s="1" a="1"/>
  <c r="O49" i="6" s="1"/>
  <c r="G49" i="6"/>
  <c r="F49" i="6"/>
  <c r="E49" i="6"/>
  <c r="B49" i="6" a="1"/>
  <c r="B49" i="6" s="1"/>
  <c r="R48" i="6" a="1"/>
  <c r="R48" i="6"/>
  <c r="Q48" i="6" a="1"/>
  <c r="Q48" i="6" s="1"/>
  <c r="Q47" i="6" s="1"/>
  <c r="Q46" i="6" s="1"/>
  <c r="N48" i="6" a="1"/>
  <c r="N48" i="6"/>
  <c r="O48" i="6" s="1" a="1"/>
  <c r="O48" i="6" s="1"/>
  <c r="G48" i="6"/>
  <c r="F48" i="6"/>
  <c r="E48" i="6"/>
  <c r="B48" i="6" a="1"/>
  <c r="B48" i="6" s="1"/>
  <c r="L47" i="6"/>
  <c r="K47" i="6"/>
  <c r="J47" i="6"/>
  <c r="I47" i="6"/>
  <c r="I46" i="6" s="1"/>
  <c r="I45" i="6" s="1"/>
  <c r="F47" i="6"/>
  <c r="E47" i="6"/>
  <c r="B47" i="6" a="1"/>
  <c r="B47" i="6" s="1"/>
  <c r="L46" i="6"/>
  <c r="K46" i="6"/>
  <c r="J46" i="6"/>
  <c r="J45" i="6" s="1"/>
  <c r="E46" i="6"/>
  <c r="D46" i="6"/>
  <c r="B46" i="6" a="1"/>
  <c r="B46" i="6" s="1"/>
  <c r="L45" i="6"/>
  <c r="D45" i="6"/>
  <c r="B45" i="6" a="1"/>
  <c r="B45" i="6"/>
  <c r="R44" i="6" a="1"/>
  <c r="R44" i="6"/>
  <c r="Q44" i="6" a="1"/>
  <c r="Q44" i="6" s="1"/>
  <c r="N44" i="6" a="1"/>
  <c r="N44" i="6" s="1"/>
  <c r="O44" i="6" s="1" a="1"/>
  <c r="O44" i="6" s="1"/>
  <c r="G44" i="6"/>
  <c r="F44" i="6"/>
  <c r="E44" i="6"/>
  <c r="D44" i="6"/>
  <c r="B44" i="6" a="1"/>
  <c r="B44" i="6"/>
  <c r="R43" i="6" a="1"/>
  <c r="R43" i="6" s="1"/>
  <c r="Q43" i="6" a="1"/>
  <c r="Q43" i="6" s="1"/>
  <c r="N43" i="6" a="1"/>
  <c r="N43" i="6" s="1"/>
  <c r="O43" i="6" s="1" a="1"/>
  <c r="O43" i="6" s="1"/>
  <c r="G43" i="6"/>
  <c r="F43" i="6"/>
  <c r="E43" i="6"/>
  <c r="D43" i="6"/>
  <c r="B43" i="6" a="1"/>
  <c r="B43" i="6" s="1"/>
  <c r="R42" i="6" a="1"/>
  <c r="R42" i="6" s="1"/>
  <c r="Q42" i="6" a="1"/>
  <c r="Q42" i="6" s="1"/>
  <c r="N42" i="6" a="1"/>
  <c r="N42" i="6"/>
  <c r="O42" i="6" s="1" a="1"/>
  <c r="O42" i="6" s="1"/>
  <c r="G42" i="6"/>
  <c r="F42" i="6"/>
  <c r="E42" i="6"/>
  <c r="D42" i="6"/>
  <c r="B42" i="6" a="1"/>
  <c r="B42" i="6"/>
  <c r="L41" i="6"/>
  <c r="K41" i="6"/>
  <c r="K40" i="6" s="1"/>
  <c r="J41" i="6"/>
  <c r="J40" i="6" s="1"/>
  <c r="I41" i="6"/>
  <c r="F41" i="6"/>
  <c r="E41" i="6"/>
  <c r="D41" i="6"/>
  <c r="B41" i="6" a="1"/>
  <c r="B41" i="6"/>
  <c r="E40" i="6"/>
  <c r="D40" i="6"/>
  <c r="B40" i="6" a="1"/>
  <c r="B40" i="6"/>
  <c r="R39" i="6" a="1"/>
  <c r="R39" i="6"/>
  <c r="Q39" i="6" a="1"/>
  <c r="Q39" i="6"/>
  <c r="O39" i="6" a="1"/>
  <c r="O39" i="6" s="1"/>
  <c r="N39" i="6" a="1"/>
  <c r="N39" i="6" s="1"/>
  <c r="G39" i="6"/>
  <c r="F39" i="6"/>
  <c r="E39" i="6"/>
  <c r="D39" i="6"/>
  <c r="B39" i="6" a="1"/>
  <c r="B39" i="6"/>
  <c r="BG38" i="6" a="1"/>
  <c r="BG38" i="6" s="1"/>
  <c r="AI38" i="6" a="1"/>
  <c r="AI38" i="6" s="1"/>
  <c r="R38" i="6"/>
  <c r="Q38" i="6" a="1"/>
  <c r="Q38" i="6" s="1"/>
  <c r="L38" i="6"/>
  <c r="N38" i="6" s="1" a="1"/>
  <c r="N38" i="6" s="1"/>
  <c r="O38" i="6" s="1" a="1"/>
  <c r="O38" i="6" s="1"/>
  <c r="K38" i="6"/>
  <c r="J38" i="6"/>
  <c r="I38" i="6"/>
  <c r="R38" i="6" s="1" a="1"/>
  <c r="F38" i="6"/>
  <c r="E38" i="6"/>
  <c r="D38" i="6"/>
  <c r="B38" i="6" a="1"/>
  <c r="B38" i="6" s="1"/>
  <c r="AA37" i="6" a="1"/>
  <c r="AA37" i="6" s="1"/>
  <c r="R37" i="6" a="1"/>
  <c r="R37" i="6" s="1"/>
  <c r="Q37" i="6" a="1"/>
  <c r="Q37" i="6"/>
  <c r="N37" i="6" a="1"/>
  <c r="N37" i="6" s="1"/>
  <c r="O37" i="6" s="1" a="1"/>
  <c r="O37" i="6" s="1"/>
  <c r="G37" i="6"/>
  <c r="F37" i="6"/>
  <c r="E37" i="6"/>
  <c r="D37" i="6"/>
  <c r="B37" i="6" a="1"/>
  <c r="B37" i="6" s="1"/>
  <c r="Q36" i="6" a="1"/>
  <c r="Q36" i="6" s="1"/>
  <c r="N36" i="6" a="1"/>
  <c r="N36" i="6"/>
  <c r="O36" i="6" s="1" a="1"/>
  <c r="O36" i="6" s="1"/>
  <c r="L36" i="6"/>
  <c r="K36" i="6"/>
  <c r="J36" i="6"/>
  <c r="R36" i="6" s="1" a="1"/>
  <c r="R36" i="6" s="1"/>
  <c r="I36" i="6"/>
  <c r="F36" i="6"/>
  <c r="E36" i="6"/>
  <c r="D36" i="6"/>
  <c r="B36" i="6" a="1"/>
  <c r="B36" i="6"/>
  <c r="R35" i="6" a="1"/>
  <c r="R35" i="6"/>
  <c r="Q35" i="6" a="1"/>
  <c r="Q35" i="6" s="1"/>
  <c r="O35" i="6" a="1"/>
  <c r="O35" i="6"/>
  <c r="N35" i="6" a="1"/>
  <c r="N35" i="6"/>
  <c r="G35" i="6"/>
  <c r="F35" i="6"/>
  <c r="E35" i="6"/>
  <c r="B35" i="6" a="1"/>
  <c r="B35" i="6" s="1"/>
  <c r="R34" i="6" a="1"/>
  <c r="R34" i="6"/>
  <c r="Q34" i="6" a="1"/>
  <c r="Q34" i="6" s="1"/>
  <c r="N34" i="6" a="1"/>
  <c r="N34" i="6"/>
  <c r="O34" i="6" s="1" a="1"/>
  <c r="O34" i="6" s="1"/>
  <c r="G34" i="6"/>
  <c r="F34" i="6"/>
  <c r="E34" i="6"/>
  <c r="D34" i="6"/>
  <c r="B34" i="6" a="1"/>
  <c r="B34" i="6" s="1"/>
  <c r="R33" i="6" a="1"/>
  <c r="R33" i="6" s="1"/>
  <c r="Q33" i="6" a="1"/>
  <c r="Q33" i="6" s="1"/>
  <c r="N33" i="6" a="1"/>
  <c r="N33" i="6" s="1"/>
  <c r="O33" i="6" s="1" a="1"/>
  <c r="O33" i="6" s="1"/>
  <c r="G33" i="6"/>
  <c r="F33" i="6"/>
  <c r="E33" i="6"/>
  <c r="D33" i="6"/>
  <c r="B33" i="6" a="1"/>
  <c r="B33" i="6" s="1"/>
  <c r="R32" i="6" a="1"/>
  <c r="R32" i="6" s="1"/>
  <c r="Q32" i="6" a="1"/>
  <c r="Q32" i="6"/>
  <c r="N32" i="6" a="1"/>
  <c r="N32" i="6"/>
  <c r="O32" i="6" s="1" a="1"/>
  <c r="O32" i="6" s="1"/>
  <c r="G32" i="6"/>
  <c r="F32" i="6"/>
  <c r="E32" i="6"/>
  <c r="D32" i="6"/>
  <c r="B32" i="6" a="1"/>
  <c r="B32" i="6" s="1"/>
  <c r="R31" i="6" a="1"/>
  <c r="R31" i="6"/>
  <c r="Q31" i="6" a="1"/>
  <c r="Q31" i="6"/>
  <c r="N31" i="6" a="1"/>
  <c r="N31" i="6" s="1"/>
  <c r="O31" i="6" s="1" a="1"/>
  <c r="O31" i="6" s="1"/>
  <c r="G31" i="6"/>
  <c r="F31" i="6"/>
  <c r="E31" i="6"/>
  <c r="D31" i="6"/>
  <c r="B31" i="6" a="1"/>
  <c r="B31" i="6"/>
  <c r="BE30" i="6" a="1"/>
  <c r="BE30" i="6" s="1"/>
  <c r="R30" i="6" a="1"/>
  <c r="R30" i="6"/>
  <c r="Q30" i="6" a="1"/>
  <c r="Q30" i="6"/>
  <c r="N30" i="6" a="1"/>
  <c r="N30" i="6" s="1"/>
  <c r="O30" i="6" s="1" a="1"/>
  <c r="O30" i="6" s="1"/>
  <c r="G30" i="6"/>
  <c r="F30" i="6"/>
  <c r="E30" i="6"/>
  <c r="D30" i="6"/>
  <c r="B30" i="6" a="1"/>
  <c r="B30" i="6"/>
  <c r="R29" i="6" a="1"/>
  <c r="R29" i="6"/>
  <c r="Q29" i="6" a="1"/>
  <c r="Q29" i="6" s="1"/>
  <c r="N29" i="6" a="1"/>
  <c r="N29" i="6" s="1"/>
  <c r="O29" i="6" s="1" a="1"/>
  <c r="O29" i="6" s="1"/>
  <c r="G29" i="6"/>
  <c r="F29" i="6"/>
  <c r="E29" i="6"/>
  <c r="D29" i="6"/>
  <c r="B29" i="6" a="1"/>
  <c r="B29" i="6"/>
  <c r="R28" i="6" a="1"/>
  <c r="R28" i="6"/>
  <c r="R27" i="6" s="1"/>
  <c r="R26" i="6" s="1"/>
  <c r="Q28" i="6" a="1"/>
  <c r="Q28" i="6" s="1"/>
  <c r="Q27" i="6" s="1"/>
  <c r="Q26" i="6" s="1"/>
  <c r="N28" i="6" a="1"/>
  <c r="N28" i="6" s="1"/>
  <c r="O28" i="6" s="1" a="1"/>
  <c r="O28" i="6" s="1"/>
  <c r="G28" i="6"/>
  <c r="F28" i="6"/>
  <c r="E28" i="6"/>
  <c r="D28" i="6"/>
  <c r="B28" i="6" a="1"/>
  <c r="B28" i="6" s="1"/>
  <c r="N27" i="6" a="1"/>
  <c r="N27" i="6"/>
  <c r="O27" i="6" s="1" a="1"/>
  <c r="O27" i="6" s="1"/>
  <c r="L27" i="6"/>
  <c r="K27" i="6"/>
  <c r="J27" i="6"/>
  <c r="I27" i="6"/>
  <c r="F27" i="6"/>
  <c r="E27" i="6"/>
  <c r="D27" i="6"/>
  <c r="B27" i="6" a="1"/>
  <c r="B27" i="6"/>
  <c r="N26" i="6" a="1"/>
  <c r="N26" i="6" s="1"/>
  <c r="O26" i="6" s="1" a="1"/>
  <c r="O26" i="6" s="1"/>
  <c r="L26" i="6"/>
  <c r="K26" i="6"/>
  <c r="J26" i="6"/>
  <c r="I26" i="6"/>
  <c r="E26" i="6"/>
  <c r="D26" i="6"/>
  <c r="B26" i="6" a="1"/>
  <c r="B26" i="6" s="1"/>
  <c r="BG25" i="6" a="1"/>
  <c r="BG25" i="6" s="1"/>
  <c r="BG24" i="6" s="1"/>
  <c r="R25" i="6" a="1"/>
  <c r="R25" i="6" s="1"/>
  <c r="Q25" i="6" a="1"/>
  <c r="Q25" i="6" s="1"/>
  <c r="N25" i="6" a="1"/>
  <c r="N25" i="6" s="1"/>
  <c r="O25" i="6" s="1" a="1"/>
  <c r="O25" i="6" s="1"/>
  <c r="G25" i="6"/>
  <c r="F25" i="6"/>
  <c r="E25" i="6"/>
  <c r="D25" i="6"/>
  <c r="B25" i="6" a="1"/>
  <c r="B25" i="6" s="1"/>
  <c r="R24" i="6" a="1"/>
  <c r="R24" i="6" s="1"/>
  <c r="L24" i="6"/>
  <c r="N24" i="6" s="1" a="1"/>
  <c r="N24" i="6" s="1"/>
  <c r="O24" i="6" s="1" a="1"/>
  <c r="O24" i="6" s="1"/>
  <c r="K24" i="6"/>
  <c r="J24" i="6"/>
  <c r="I24" i="6"/>
  <c r="Q24" i="6" s="1" a="1"/>
  <c r="Q24" i="6" s="1"/>
  <c r="F24" i="6"/>
  <c r="E24" i="6"/>
  <c r="D24" i="6"/>
  <c r="B24" i="6" a="1"/>
  <c r="B24" i="6"/>
  <c r="R23" i="6" a="1"/>
  <c r="R23" i="6"/>
  <c r="Q23" i="6" a="1"/>
  <c r="Q23" i="6"/>
  <c r="N23" i="6" a="1"/>
  <c r="N23" i="6"/>
  <c r="O23" i="6" s="1" a="1"/>
  <c r="O23" i="6" s="1"/>
  <c r="G23" i="6"/>
  <c r="F23" i="6"/>
  <c r="E23" i="6"/>
  <c r="D23" i="6"/>
  <c r="B23" i="6" a="1"/>
  <c r="B23" i="6"/>
  <c r="R22" i="6" a="1"/>
  <c r="R22" i="6"/>
  <c r="Q22" i="6" a="1"/>
  <c r="Q22" i="6"/>
  <c r="O22" i="6"/>
  <c r="L22" i="6"/>
  <c r="N22" i="6" s="1" a="1"/>
  <c r="N22" i="6" s="1"/>
  <c r="O22" i="6" s="1" a="1"/>
  <c r="K22" i="6"/>
  <c r="J22" i="6"/>
  <c r="I22" i="6"/>
  <c r="F22" i="6"/>
  <c r="E22" i="6"/>
  <c r="D22" i="6"/>
  <c r="B22" i="6" a="1"/>
  <c r="B22" i="6" s="1"/>
  <c r="BI21" i="6" a="1"/>
  <c r="BI21" i="6" s="1"/>
  <c r="BI20" i="6" s="1"/>
  <c r="BC21" i="6" a="1"/>
  <c r="BC21" i="6" s="1"/>
  <c r="BC20" i="6" s="1"/>
  <c r="AJ21" i="6" a="1"/>
  <c r="AJ21" i="6" s="1"/>
  <c r="AJ20" i="6" s="1"/>
  <c r="R21" i="6" a="1"/>
  <c r="R21" i="6" s="1"/>
  <c r="R20" i="6" s="1"/>
  <c r="Q21" i="6" a="1"/>
  <c r="Q21" i="6" s="1"/>
  <c r="Q20" i="6" s="1"/>
  <c r="N21" i="6" a="1"/>
  <c r="N21" i="6"/>
  <c r="O21" i="6" s="1" a="1"/>
  <c r="O21" i="6" s="1"/>
  <c r="G21" i="6"/>
  <c r="F21" i="6"/>
  <c r="E21" i="6"/>
  <c r="D21" i="6"/>
  <c r="B21" i="6" a="1"/>
  <c r="B21" i="6" s="1"/>
  <c r="L20" i="6"/>
  <c r="N20" i="6" s="1" a="1"/>
  <c r="N20" i="6" s="1"/>
  <c r="O20" i="6" s="1" a="1"/>
  <c r="O20" i="6" s="1"/>
  <c r="K20" i="6"/>
  <c r="J20" i="6"/>
  <c r="I20" i="6"/>
  <c r="F20" i="6"/>
  <c r="E20" i="6"/>
  <c r="D20" i="6"/>
  <c r="B20" i="6" a="1"/>
  <c r="B20" i="6" s="1"/>
  <c r="L19" i="6"/>
  <c r="K19" i="6"/>
  <c r="K18" i="6" s="1"/>
  <c r="J19" i="6"/>
  <c r="I19" i="6"/>
  <c r="E19" i="6"/>
  <c r="D19" i="6"/>
  <c r="B19" i="6" a="1"/>
  <c r="B19" i="6"/>
  <c r="J18" i="6"/>
  <c r="D18" i="6"/>
  <c r="B18" i="6" a="1"/>
  <c r="B18" i="6"/>
  <c r="BG17" i="6" a="1"/>
  <c r="BG17" i="6" s="1"/>
  <c r="BF17" i="6" a="1"/>
  <c r="BF17" i="6" s="1"/>
  <c r="AI17" i="6" a="1"/>
  <c r="AI17" i="6" s="1"/>
  <c r="R17" i="6" a="1"/>
  <c r="R17" i="6" s="1"/>
  <c r="Q17" i="6" a="1"/>
  <c r="Q17" i="6" s="1"/>
  <c r="N17" i="6" a="1"/>
  <c r="N17" i="6" s="1"/>
  <c r="O17" i="6" s="1" a="1"/>
  <c r="O17" i="6" s="1"/>
  <c r="D17" i="6"/>
  <c r="B17" i="6" a="1"/>
  <c r="B17" i="6"/>
  <c r="BF16" i="6" a="1"/>
  <c r="BF16" i="6" s="1"/>
  <c r="R16" i="6" a="1"/>
  <c r="R16" i="6"/>
  <c r="Q16" i="6" a="1"/>
  <c r="Q16" i="6"/>
  <c r="O16" i="6" a="1"/>
  <c r="O16" i="6"/>
  <c r="N16" i="6" a="1"/>
  <c r="N16" i="6"/>
  <c r="D16" i="6"/>
  <c r="B16" i="6" a="1"/>
  <c r="B16" i="6" s="1"/>
  <c r="BG15" i="6" a="1"/>
  <c r="BG15" i="6"/>
  <c r="BF15" i="6" a="1"/>
  <c r="BF15" i="6"/>
  <c r="BE15" i="6" a="1"/>
  <c r="BE15" i="6" s="1"/>
  <c r="AY15" i="6" a="1"/>
  <c r="AY15" i="6" s="1"/>
  <c r="AU15" i="6" a="1"/>
  <c r="AU15" i="6" s="1"/>
  <c r="AH15" i="6" a="1"/>
  <c r="AH15" i="6" s="1"/>
  <c r="U15" i="6" a="1"/>
  <c r="U15" i="6" s="1"/>
  <c r="R15" i="6" a="1"/>
  <c r="R15" i="6"/>
  <c r="Q15" i="6" a="1"/>
  <c r="Q15" i="6"/>
  <c r="Q14" i="6" s="1"/>
  <c r="Q13" i="6" s="1"/>
  <c r="O15" i="6" a="1"/>
  <c r="O15" i="6" s="1"/>
  <c r="N15" i="6" a="1"/>
  <c r="N15" i="6" s="1"/>
  <c r="D15" i="6"/>
  <c r="B15" i="6" a="1"/>
  <c r="B15" i="6" s="1"/>
  <c r="L14" i="6"/>
  <c r="L13" i="6" s="1"/>
  <c r="K14" i="6"/>
  <c r="K13" i="6" s="1"/>
  <c r="K12" i="6" s="1"/>
  <c r="J14" i="6"/>
  <c r="I14" i="6"/>
  <c r="I13" i="6" s="1"/>
  <c r="I12" i="6" s="1"/>
  <c r="D14" i="6"/>
  <c r="B14" i="6" a="1"/>
  <c r="B14" i="6" s="1"/>
  <c r="J13" i="6"/>
  <c r="J12" i="6" s="1"/>
  <c r="J11" i="6" s="1"/>
  <c r="D13" i="6"/>
  <c r="B13" i="6" a="1"/>
  <c r="B13" i="6"/>
  <c r="Q12" i="6"/>
  <c r="D12" i="6"/>
  <c r="B12" i="6" a="1"/>
  <c r="B12" i="6" s="1"/>
  <c r="B11" i="6" a="1"/>
  <c r="B11" i="6"/>
  <c r="BM7" i="6"/>
  <c r="BL7" i="6"/>
  <c r="BM15" i="6" s="1" a="1"/>
  <c r="BM15" i="6" s="1"/>
  <c r="BK7" i="6"/>
  <c r="BL30" i="6" s="1" a="1"/>
  <c r="BL30" i="6" s="1"/>
  <c r="BJ7" i="6"/>
  <c r="BI7" i="6"/>
  <c r="BH7" i="6"/>
  <c r="BI34" i="6" s="1" a="1"/>
  <c r="BI34" i="6" s="1"/>
  <c r="BG7" i="6"/>
  <c r="BF7" i="6"/>
  <c r="BG31" i="6" s="1" a="1"/>
  <c r="BG31" i="6" s="1"/>
  <c r="BE7" i="6"/>
  <c r="BF36" i="6" s="1" a="1"/>
  <c r="BF36" i="6" s="1"/>
  <c r="BD7" i="6"/>
  <c r="BE21" i="6" s="1" a="1"/>
  <c r="BE21" i="6" s="1"/>
  <c r="BE20" i="6" s="1"/>
  <c r="BC7" i="6"/>
  <c r="BB7" i="6"/>
  <c r="BA7" i="6"/>
  <c r="BB21" i="6" s="1" a="1"/>
  <c r="BB21" i="6" s="1"/>
  <c r="BB20" i="6" s="1"/>
  <c r="AZ7" i="6"/>
  <c r="BA25" i="6" s="1" a="1"/>
  <c r="BA25" i="6" s="1"/>
  <c r="BA24" i="6" s="1"/>
  <c r="AY7" i="6"/>
  <c r="AZ17" i="6" s="1" a="1"/>
  <c r="AZ17" i="6" s="1"/>
  <c r="AX7" i="6"/>
  <c r="AY51" i="6" s="1" a="1"/>
  <c r="AY51" i="6" s="1"/>
  <c r="AW7" i="6"/>
  <c r="AX50" i="6" s="1" a="1"/>
  <c r="AX50" i="6" s="1"/>
  <c r="AV7" i="6"/>
  <c r="AU7" i="6"/>
  <c r="AT7" i="6"/>
  <c r="AS7" i="6"/>
  <c r="AR7" i="6"/>
  <c r="AQ7" i="6"/>
  <c r="AP7" i="6"/>
  <c r="AQ21" i="6" s="1" a="1"/>
  <c r="AQ21" i="6" s="1"/>
  <c r="AQ20" i="6" s="1"/>
  <c r="AO7" i="6"/>
  <c r="AP42" i="6" s="1" a="1"/>
  <c r="AP42" i="6" s="1"/>
  <c r="AN7" i="6"/>
  <c r="AO15" i="6" s="1" a="1"/>
  <c r="AO15" i="6" s="1"/>
  <c r="AM7" i="6"/>
  <c r="AN15" i="6" s="1" a="1"/>
  <c r="AN15" i="6" s="1"/>
  <c r="AL7" i="6"/>
  <c r="AM15" i="6" s="1" a="1"/>
  <c r="AM15" i="6" s="1"/>
  <c r="AK7" i="6"/>
  <c r="AJ7" i="6"/>
  <c r="AK21" i="6" s="1" a="1"/>
  <c r="AK21" i="6" s="1"/>
  <c r="AK20" i="6" s="1"/>
  <c r="AI7" i="6"/>
  <c r="AH7" i="6"/>
  <c r="AG7" i="6"/>
  <c r="AF7" i="6"/>
  <c r="AE7" i="6"/>
  <c r="AD7" i="6"/>
  <c r="AC7" i="6"/>
  <c r="AB7" i="6"/>
  <c r="AC25" i="6" s="1" a="1"/>
  <c r="AC25" i="6" s="1"/>
  <c r="AC24" i="6" s="1"/>
  <c r="AA7" i="6"/>
  <c r="Z7" i="6"/>
  <c r="AA15" i="6" s="1" a="1"/>
  <c r="AA15" i="6" s="1"/>
  <c r="Y7" i="6"/>
  <c r="X7" i="6"/>
  <c r="W7" i="6"/>
  <c r="V7" i="6"/>
  <c r="W25" i="6" s="1" a="1"/>
  <c r="W25" i="6" s="1"/>
  <c r="W24" i="6" s="1"/>
  <c r="U7" i="6"/>
  <c r="T7" i="6"/>
  <c r="S7" i="6"/>
  <c r="T34" i="6" s="1" a="1"/>
  <c r="T34" i="6" s="1"/>
  <c r="R7" i="6"/>
  <c r="S21" i="6" s="1" a="1"/>
  <c r="S21" i="6" s="1"/>
  <c r="S20" i="6" s="1"/>
  <c r="N1" i="3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1" i="3"/>
  <c r="C1" i="3" s="1"/>
  <c r="D1" i="3" s="1"/>
  <c r="E1" i="3" s="1"/>
  <c r="F1" i="3" s="1"/>
  <c r="G1" i="3" s="1"/>
  <c r="H1" i="3" s="1"/>
  <c r="I1" i="3" s="1"/>
  <c r="J1" i="3" s="1"/>
  <c r="K1" i="3" s="1"/>
  <c r="L1" i="3" s="1"/>
  <c r="M1" i="3" s="1"/>
  <c r="N156" i="1" a="1"/>
  <c r="N156" i="1" s="1"/>
  <c r="O156" i="1" s="1" a="1"/>
  <c r="O156" i="1" s="1"/>
  <c r="G156" i="1"/>
  <c r="F156" i="1"/>
  <c r="E156" i="1"/>
  <c r="D156" i="1"/>
  <c r="B156" i="1" a="1"/>
  <c r="B156" i="1" s="1"/>
  <c r="N155" i="1" a="1"/>
  <c r="N155" i="1" s="1"/>
  <c r="O155" i="1" s="1" a="1"/>
  <c r="O155" i="1" s="1"/>
  <c r="G155" i="1"/>
  <c r="F155" i="1"/>
  <c r="E155" i="1"/>
  <c r="D155" i="1"/>
  <c r="B155" i="1" a="1"/>
  <c r="B155" i="1" s="1"/>
  <c r="L154" i="1"/>
  <c r="K154" i="1"/>
  <c r="J154" i="1"/>
  <c r="J153" i="1" s="1"/>
  <c r="I154" i="1"/>
  <c r="F154" i="1"/>
  <c r="E154" i="1"/>
  <c r="D154" i="1"/>
  <c r="B154" i="1" a="1"/>
  <c r="B154" i="1"/>
  <c r="L153" i="1"/>
  <c r="I153" i="1"/>
  <c r="E153" i="1"/>
  <c r="D153" i="1"/>
  <c r="B153" i="1" a="1"/>
  <c r="B153" i="1"/>
  <c r="N152" i="1" a="1"/>
  <c r="N152" i="1" s="1"/>
  <c r="O152" i="1" s="1" a="1"/>
  <c r="O152" i="1" s="1"/>
  <c r="G152" i="1"/>
  <c r="F152" i="1"/>
  <c r="E152" i="1"/>
  <c r="D152" i="1"/>
  <c r="B152" i="1" a="1"/>
  <c r="B152" i="1" s="1"/>
  <c r="L151" i="1"/>
  <c r="K151" i="1"/>
  <c r="N151" i="1" s="1" a="1"/>
  <c r="N151" i="1" s="1"/>
  <c r="O151" i="1" s="1" a="1"/>
  <c r="O151" i="1" s="1"/>
  <c r="J151" i="1"/>
  <c r="J150" i="1" s="1"/>
  <c r="I151" i="1"/>
  <c r="F151" i="1"/>
  <c r="E151" i="1"/>
  <c r="D151" i="1"/>
  <c r="B151" i="1" a="1"/>
  <c r="B151" i="1" s="1"/>
  <c r="L150" i="1"/>
  <c r="K150" i="1"/>
  <c r="I150" i="1"/>
  <c r="E150" i="1"/>
  <c r="D150" i="1"/>
  <c r="B150" i="1" a="1"/>
  <c r="B150" i="1" s="1"/>
  <c r="N149" i="1" a="1"/>
  <c r="N149" i="1"/>
  <c r="O149" i="1" s="1" a="1"/>
  <c r="O149" i="1" s="1"/>
  <c r="G149" i="1"/>
  <c r="F149" i="1"/>
  <c r="E149" i="1"/>
  <c r="D149" i="1"/>
  <c r="B149" i="1" a="1"/>
  <c r="B149" i="1" s="1"/>
  <c r="N148" i="1" a="1"/>
  <c r="N148" i="1" s="1"/>
  <c r="O148" i="1" s="1" a="1"/>
  <c r="O148" i="1" s="1"/>
  <c r="G148" i="1"/>
  <c r="F148" i="1"/>
  <c r="E148" i="1"/>
  <c r="D148" i="1"/>
  <c r="B148" i="1" a="1"/>
  <c r="B148" i="1" s="1"/>
  <c r="N147" i="1" a="1"/>
  <c r="N147" i="1" s="1"/>
  <c r="O147" i="1" s="1" a="1"/>
  <c r="O147" i="1" s="1"/>
  <c r="G147" i="1"/>
  <c r="F147" i="1"/>
  <c r="E147" i="1"/>
  <c r="D147" i="1"/>
  <c r="B147" i="1" a="1"/>
  <c r="B147" i="1" s="1"/>
  <c r="N146" i="1" a="1"/>
  <c r="N146" i="1" s="1"/>
  <c r="O146" i="1" s="1" a="1"/>
  <c r="O146" i="1" s="1"/>
  <c r="L146" i="1"/>
  <c r="K146" i="1"/>
  <c r="J146" i="1"/>
  <c r="J145" i="1" s="1"/>
  <c r="J140" i="1" s="1"/>
  <c r="I146" i="1"/>
  <c r="I145" i="1" s="1"/>
  <c r="F146" i="1"/>
  <c r="E146" i="1"/>
  <c r="D146" i="1"/>
  <c r="B146" i="1" a="1"/>
  <c r="B146" i="1" s="1"/>
  <c r="L145" i="1"/>
  <c r="K145" i="1"/>
  <c r="E145" i="1"/>
  <c r="D145" i="1"/>
  <c r="B145" i="1" a="1"/>
  <c r="B145" i="1"/>
  <c r="N144" i="1" a="1"/>
  <c r="N144" i="1" s="1"/>
  <c r="O144" i="1" s="1" a="1"/>
  <c r="O144" i="1" s="1"/>
  <c r="G144" i="1"/>
  <c r="F144" i="1"/>
  <c r="E144" i="1"/>
  <c r="D144" i="1"/>
  <c r="B144" i="1" a="1"/>
  <c r="B144" i="1" s="1"/>
  <c r="N143" i="1" a="1"/>
  <c r="N143" i="1" s="1"/>
  <c r="O143" i="1" s="1" a="1"/>
  <c r="O143" i="1" s="1"/>
  <c r="G143" i="1"/>
  <c r="F143" i="1"/>
  <c r="E143" i="1"/>
  <c r="D143" i="1"/>
  <c r="B143" i="1" a="1"/>
  <c r="B143" i="1"/>
  <c r="N142" i="1" a="1"/>
  <c r="N142" i="1" s="1"/>
  <c r="O142" i="1" s="1" a="1"/>
  <c r="O142" i="1" s="1"/>
  <c r="L142" i="1"/>
  <c r="L141" i="1" s="1"/>
  <c r="L140" i="1" s="1"/>
  <c r="K142" i="1"/>
  <c r="K141" i="1" s="1"/>
  <c r="N141" i="1" s="1" a="1"/>
  <c r="N141" i="1" s="1"/>
  <c r="O141" i="1" s="1" a="1"/>
  <c r="O141" i="1" s="1"/>
  <c r="J142" i="1"/>
  <c r="I142" i="1"/>
  <c r="F142" i="1"/>
  <c r="E142" i="1"/>
  <c r="D142" i="1"/>
  <c r="B142" i="1" a="1"/>
  <c r="B142" i="1" s="1"/>
  <c r="J141" i="1"/>
  <c r="I141" i="1"/>
  <c r="E141" i="1"/>
  <c r="D141" i="1"/>
  <c r="B141" i="1" a="1"/>
  <c r="B141" i="1"/>
  <c r="D140" i="1"/>
  <c r="B140" i="1" a="1"/>
  <c r="B140" i="1" s="1"/>
  <c r="N139" i="1" a="1"/>
  <c r="N139" i="1" s="1"/>
  <c r="O139" i="1" s="1" a="1"/>
  <c r="O139" i="1" s="1"/>
  <c r="G139" i="1"/>
  <c r="F139" i="1"/>
  <c r="E139" i="1"/>
  <c r="N138" i="1" a="1"/>
  <c r="N138" i="1" s="1"/>
  <c r="O138" i="1" s="1" a="1"/>
  <c r="O138" i="1" s="1"/>
  <c r="G138" i="1"/>
  <c r="F138" i="1"/>
  <c r="E138" i="1"/>
  <c r="O137" i="1" a="1"/>
  <c r="O137" i="1" s="1"/>
  <c r="N137" i="1" a="1"/>
  <c r="N137" i="1" s="1"/>
  <c r="G137" i="1"/>
  <c r="F137" i="1"/>
  <c r="E137" i="1"/>
  <c r="O136" i="1" a="1"/>
  <c r="O136" i="1"/>
  <c r="N136" i="1" a="1"/>
  <c r="N136" i="1"/>
  <c r="G136" i="1"/>
  <c r="F136" i="1"/>
  <c r="E136" i="1"/>
  <c r="N135" i="1" a="1"/>
  <c r="N135" i="1" s="1"/>
  <c r="O135" i="1" s="1" a="1"/>
  <c r="O135" i="1" s="1"/>
  <c r="G135" i="1"/>
  <c r="F135" i="1"/>
  <c r="E135" i="1"/>
  <c r="O134" i="1" a="1"/>
  <c r="O134" i="1" s="1"/>
  <c r="N134" i="1" a="1"/>
  <c r="N134" i="1"/>
  <c r="G134" i="1"/>
  <c r="F134" i="1"/>
  <c r="E134" i="1"/>
  <c r="N133" i="1" a="1"/>
  <c r="N133" i="1" s="1"/>
  <c r="O133" i="1" s="1" a="1"/>
  <c r="O133" i="1" s="1"/>
  <c r="G133" i="1"/>
  <c r="F133" i="1"/>
  <c r="E133" i="1"/>
  <c r="N132" i="1" a="1"/>
  <c r="N132" i="1" s="1"/>
  <c r="O132" i="1" s="1" a="1"/>
  <c r="O132" i="1" s="1"/>
  <c r="G132" i="1"/>
  <c r="F132" i="1"/>
  <c r="E132" i="1"/>
  <c r="N131" i="1" a="1"/>
  <c r="N131" i="1"/>
  <c r="O131" i="1" s="1" a="1"/>
  <c r="O131" i="1" s="1"/>
  <c r="G131" i="1"/>
  <c r="F131" i="1"/>
  <c r="E131" i="1"/>
  <c r="N130" i="1" a="1"/>
  <c r="N130" i="1"/>
  <c r="O130" i="1" s="1" a="1"/>
  <c r="O130" i="1" s="1"/>
  <c r="G130" i="1"/>
  <c r="F130" i="1"/>
  <c r="E130" i="1"/>
  <c r="N129" i="1" a="1"/>
  <c r="N129" i="1" s="1"/>
  <c r="O129" i="1" s="1" a="1"/>
  <c r="O129" i="1" s="1"/>
  <c r="G129" i="1"/>
  <c r="F129" i="1"/>
  <c r="E129" i="1"/>
  <c r="N128" i="1" a="1"/>
  <c r="N128" i="1" s="1"/>
  <c r="O128" i="1" s="1" a="1"/>
  <c r="O128" i="1" s="1"/>
  <c r="G128" i="1"/>
  <c r="F128" i="1"/>
  <c r="E128" i="1"/>
  <c r="N127" i="1" a="1"/>
  <c r="N127" i="1" s="1"/>
  <c r="O127" i="1" s="1" a="1"/>
  <c r="O127" i="1" s="1"/>
  <c r="G127" i="1"/>
  <c r="F127" i="1"/>
  <c r="E127" i="1"/>
  <c r="N126" i="1" a="1"/>
  <c r="N126" i="1"/>
  <c r="O126" i="1" s="1" a="1"/>
  <c r="O126" i="1" s="1"/>
  <c r="G126" i="1"/>
  <c r="F126" i="1"/>
  <c r="E126" i="1"/>
  <c r="N125" i="1" a="1"/>
  <c r="N125" i="1" s="1"/>
  <c r="O125" i="1" s="1" a="1"/>
  <c r="O125" i="1" s="1"/>
  <c r="G125" i="1"/>
  <c r="F125" i="1"/>
  <c r="E125" i="1"/>
  <c r="O124" i="1" a="1"/>
  <c r="O124" i="1"/>
  <c r="N124" i="1" a="1"/>
  <c r="N124" i="1"/>
  <c r="G124" i="1"/>
  <c r="F124" i="1"/>
  <c r="E124" i="1"/>
  <c r="N123" i="1" a="1"/>
  <c r="N123" i="1" s="1"/>
  <c r="O123" i="1" s="1" a="1"/>
  <c r="O123" i="1" s="1"/>
  <c r="G123" i="1"/>
  <c r="F123" i="1"/>
  <c r="E123" i="1"/>
  <c r="N122" i="1" a="1"/>
  <c r="N122" i="1"/>
  <c r="O122" i="1" s="1" a="1"/>
  <c r="O122" i="1" s="1"/>
  <c r="G122" i="1"/>
  <c r="F122" i="1"/>
  <c r="E122" i="1"/>
  <c r="N121" i="1" a="1"/>
  <c r="N121" i="1" s="1"/>
  <c r="O121" i="1" s="1" a="1"/>
  <c r="O121" i="1" s="1"/>
  <c r="G121" i="1"/>
  <c r="F121" i="1"/>
  <c r="E121" i="1"/>
  <c r="N120" i="1" a="1"/>
  <c r="N120" i="1" s="1"/>
  <c r="O120" i="1" s="1" a="1"/>
  <c r="O120" i="1" s="1"/>
  <c r="G120" i="1"/>
  <c r="F120" i="1"/>
  <c r="E120" i="1"/>
  <c r="N119" i="1" a="1"/>
  <c r="N119" i="1" s="1"/>
  <c r="O119" i="1" s="1" a="1"/>
  <c r="O119" i="1" s="1"/>
  <c r="G119" i="1"/>
  <c r="F119" i="1"/>
  <c r="E119" i="1"/>
  <c r="N118" i="1" a="1"/>
  <c r="N118" i="1"/>
  <c r="O118" i="1" s="1" a="1"/>
  <c r="O118" i="1" s="1"/>
  <c r="G118" i="1"/>
  <c r="F118" i="1"/>
  <c r="E118" i="1"/>
  <c r="B118" i="1" a="1"/>
  <c r="B118" i="1" s="1"/>
  <c r="N117" i="1" a="1"/>
  <c r="N117" i="1" s="1"/>
  <c r="O117" i="1" s="1" a="1"/>
  <c r="O117" i="1" s="1"/>
  <c r="G117" i="1"/>
  <c r="F117" i="1"/>
  <c r="E117" i="1"/>
  <c r="B117" i="1" a="1"/>
  <c r="B117" i="1"/>
  <c r="N116" i="1" a="1"/>
  <c r="N116" i="1" s="1"/>
  <c r="O116" i="1" s="1" a="1"/>
  <c r="O116" i="1" s="1"/>
  <c r="G116" i="1"/>
  <c r="F116" i="1"/>
  <c r="E116" i="1"/>
  <c r="B116" i="1" a="1"/>
  <c r="B116" i="1" s="1"/>
  <c r="N115" i="1" a="1"/>
  <c r="N115" i="1"/>
  <c r="O115" i="1" s="1" a="1"/>
  <c r="O115" i="1" s="1"/>
  <c r="G115" i="1"/>
  <c r="F115" i="1"/>
  <c r="E115" i="1"/>
  <c r="B115" i="1" a="1"/>
  <c r="B115" i="1"/>
  <c r="N114" i="1" a="1"/>
  <c r="N114" i="1" s="1"/>
  <c r="O114" i="1" s="1" a="1"/>
  <c r="O114" i="1" s="1"/>
  <c r="G114" i="1"/>
  <c r="F114" i="1"/>
  <c r="E114" i="1"/>
  <c r="B114" i="1" a="1"/>
  <c r="B114" i="1" s="1"/>
  <c r="N113" i="1" a="1"/>
  <c r="N113" i="1" s="1"/>
  <c r="O113" i="1" s="1" a="1"/>
  <c r="O113" i="1" s="1"/>
  <c r="G113" i="1"/>
  <c r="F113" i="1"/>
  <c r="E113" i="1"/>
  <c r="B113" i="1" a="1"/>
  <c r="B113" i="1" s="1"/>
  <c r="O112" i="1" a="1"/>
  <c r="O112" i="1"/>
  <c r="N112" i="1" a="1"/>
  <c r="N112" i="1"/>
  <c r="G112" i="1"/>
  <c r="F112" i="1"/>
  <c r="E112" i="1"/>
  <c r="B112" i="1" a="1"/>
  <c r="B112" i="1" s="1"/>
  <c r="O111" i="1" a="1"/>
  <c r="O111" i="1" s="1"/>
  <c r="N111" i="1" a="1"/>
  <c r="N111" i="1" s="1"/>
  <c r="G111" i="1"/>
  <c r="F111" i="1"/>
  <c r="E111" i="1"/>
  <c r="B111" i="1" a="1"/>
  <c r="B111" i="1" s="1"/>
  <c r="N110" i="1" a="1"/>
  <c r="N110" i="1"/>
  <c r="O110" i="1" s="1" a="1"/>
  <c r="O110" i="1" s="1"/>
  <c r="G110" i="1"/>
  <c r="F110" i="1"/>
  <c r="E110" i="1"/>
  <c r="B110" i="1" a="1"/>
  <c r="B110" i="1" s="1"/>
  <c r="L109" i="1"/>
  <c r="K109" i="1"/>
  <c r="N109" i="1" s="1" a="1"/>
  <c r="N109" i="1" s="1"/>
  <c r="O109" i="1" s="1" a="1"/>
  <c r="O109" i="1" s="1"/>
  <c r="J109" i="1"/>
  <c r="I109" i="1"/>
  <c r="I108" i="1" s="1"/>
  <c r="F109" i="1"/>
  <c r="E109" i="1"/>
  <c r="B109" i="1" a="1"/>
  <c r="B109" i="1" s="1"/>
  <c r="L108" i="1"/>
  <c r="K108" i="1"/>
  <c r="J108" i="1"/>
  <c r="E108" i="1"/>
  <c r="D108" i="1"/>
  <c r="B108" i="1" a="1"/>
  <c r="B108" i="1" s="1"/>
  <c r="N107" i="1" a="1"/>
  <c r="N107" i="1"/>
  <c r="O107" i="1" s="1" a="1"/>
  <c r="O107" i="1" s="1"/>
  <c r="G107" i="1"/>
  <c r="F107" i="1"/>
  <c r="E107" i="1"/>
  <c r="O106" i="1" a="1"/>
  <c r="O106" i="1" s="1"/>
  <c r="N106" i="1" a="1"/>
  <c r="N106" i="1"/>
  <c r="G106" i="1"/>
  <c r="F106" i="1"/>
  <c r="E106" i="1"/>
  <c r="N105" i="1" a="1"/>
  <c r="N105" i="1" s="1"/>
  <c r="O105" i="1" s="1" a="1"/>
  <c r="O105" i="1" s="1"/>
  <c r="G105" i="1"/>
  <c r="F105" i="1"/>
  <c r="E105" i="1"/>
  <c r="N104" i="1" a="1"/>
  <c r="N104" i="1" s="1"/>
  <c r="O104" i="1" s="1" a="1"/>
  <c r="O104" i="1" s="1"/>
  <c r="G104" i="1"/>
  <c r="F104" i="1"/>
  <c r="E104" i="1"/>
  <c r="N103" i="1" a="1"/>
  <c r="N103" i="1"/>
  <c r="O103" i="1" s="1" a="1"/>
  <c r="O103" i="1" s="1"/>
  <c r="G103" i="1"/>
  <c r="F103" i="1"/>
  <c r="E103" i="1"/>
  <c r="N102" i="1" a="1"/>
  <c r="N102" i="1" s="1"/>
  <c r="O102" i="1" s="1" a="1"/>
  <c r="O102" i="1" s="1"/>
  <c r="G102" i="1"/>
  <c r="F102" i="1"/>
  <c r="E102" i="1"/>
  <c r="O101" i="1"/>
  <c r="N101" i="1" a="1"/>
  <c r="N101" i="1"/>
  <c r="O101" i="1" s="1" a="1"/>
  <c r="G101" i="1"/>
  <c r="F101" i="1"/>
  <c r="E101" i="1"/>
  <c r="N100" i="1" a="1"/>
  <c r="N100" i="1" s="1"/>
  <c r="O100" i="1" s="1" a="1"/>
  <c r="O100" i="1" s="1"/>
  <c r="G100" i="1"/>
  <c r="F100" i="1"/>
  <c r="E100" i="1"/>
  <c r="O99" i="1" a="1"/>
  <c r="O99" i="1" s="1"/>
  <c r="N99" i="1" a="1"/>
  <c r="N99" i="1"/>
  <c r="G99" i="1"/>
  <c r="F99" i="1"/>
  <c r="E99" i="1"/>
  <c r="O98" i="1" a="1"/>
  <c r="O98" i="1" s="1"/>
  <c r="N98" i="1" a="1"/>
  <c r="N98" i="1"/>
  <c r="G98" i="1"/>
  <c r="F98" i="1"/>
  <c r="E98" i="1"/>
  <c r="O97" i="1" a="1"/>
  <c r="O97" i="1" s="1"/>
  <c r="N97" i="1" a="1"/>
  <c r="N97" i="1" s="1"/>
  <c r="G97" i="1"/>
  <c r="F97" i="1"/>
  <c r="E97" i="1"/>
  <c r="N96" i="1" a="1"/>
  <c r="N96" i="1" s="1"/>
  <c r="O96" i="1" s="1" a="1"/>
  <c r="O96" i="1" s="1"/>
  <c r="G96" i="1"/>
  <c r="F96" i="1"/>
  <c r="E96" i="1"/>
  <c r="N95" i="1" a="1"/>
  <c r="N95" i="1"/>
  <c r="O95" i="1" s="1" a="1"/>
  <c r="O95" i="1" s="1"/>
  <c r="G95" i="1"/>
  <c r="F95" i="1"/>
  <c r="E95" i="1"/>
  <c r="N94" i="1" a="1"/>
  <c r="N94" i="1"/>
  <c r="O94" i="1" s="1" a="1"/>
  <c r="O94" i="1" s="1"/>
  <c r="G94" i="1"/>
  <c r="F94" i="1"/>
  <c r="E94" i="1"/>
  <c r="N93" i="1" a="1"/>
  <c r="N93" i="1"/>
  <c r="O93" i="1" s="1" a="1"/>
  <c r="O93" i="1" s="1"/>
  <c r="G93" i="1"/>
  <c r="F93" i="1"/>
  <c r="E93" i="1"/>
  <c r="O92" i="1" a="1"/>
  <c r="O92" i="1" s="1"/>
  <c r="N92" i="1" a="1"/>
  <c r="N92" i="1" s="1"/>
  <c r="G92" i="1"/>
  <c r="F92" i="1"/>
  <c r="E92" i="1"/>
  <c r="N91" i="1" a="1"/>
  <c r="N91" i="1" s="1"/>
  <c r="O91" i="1" s="1" a="1"/>
  <c r="O91" i="1" s="1"/>
  <c r="G91" i="1"/>
  <c r="F91" i="1"/>
  <c r="E91" i="1"/>
  <c r="N90" i="1" a="1"/>
  <c r="N90" i="1"/>
  <c r="O90" i="1" s="1" a="1"/>
  <c r="O90" i="1" s="1"/>
  <c r="G90" i="1"/>
  <c r="F90" i="1"/>
  <c r="E90" i="1"/>
  <c r="N89" i="1" a="1"/>
  <c r="N89" i="1"/>
  <c r="O89" i="1" s="1" a="1"/>
  <c r="O89" i="1" s="1"/>
  <c r="G89" i="1"/>
  <c r="F89" i="1"/>
  <c r="E89" i="1"/>
  <c r="N88" i="1" a="1"/>
  <c r="N88" i="1" s="1"/>
  <c r="O88" i="1" s="1" a="1"/>
  <c r="O88" i="1" s="1"/>
  <c r="G88" i="1"/>
  <c r="F88" i="1"/>
  <c r="E88" i="1"/>
  <c r="N87" i="1" a="1"/>
  <c r="N87" i="1"/>
  <c r="O87" i="1" s="1" a="1"/>
  <c r="O87" i="1" s="1"/>
  <c r="G87" i="1"/>
  <c r="F87" i="1"/>
  <c r="E87" i="1"/>
  <c r="O86" i="1" a="1"/>
  <c r="O86" i="1" s="1"/>
  <c r="N86" i="1" a="1"/>
  <c r="N86" i="1"/>
  <c r="G86" i="1"/>
  <c r="F86" i="1"/>
  <c r="E86" i="1"/>
  <c r="B86" i="1" a="1"/>
  <c r="B86" i="1" s="1"/>
  <c r="N85" i="1" a="1"/>
  <c r="N85" i="1" s="1"/>
  <c r="O85" i="1" s="1" a="1"/>
  <c r="O85" i="1" s="1"/>
  <c r="G85" i="1"/>
  <c r="F85" i="1"/>
  <c r="E85" i="1"/>
  <c r="B85" i="1" a="1"/>
  <c r="B85" i="1" s="1"/>
  <c r="N84" i="1" a="1"/>
  <c r="N84" i="1" s="1"/>
  <c r="O84" i="1" s="1" a="1"/>
  <c r="O84" i="1" s="1"/>
  <c r="G84" i="1"/>
  <c r="F84" i="1"/>
  <c r="E84" i="1"/>
  <c r="B84" i="1" a="1"/>
  <c r="B84" i="1"/>
  <c r="O83" i="1" a="1"/>
  <c r="O83" i="1" s="1"/>
  <c r="N83" i="1" a="1"/>
  <c r="N83" i="1"/>
  <c r="G83" i="1"/>
  <c r="F83" i="1"/>
  <c r="E83" i="1"/>
  <c r="B83" i="1" a="1"/>
  <c r="B83" i="1"/>
  <c r="N82" i="1" a="1"/>
  <c r="N82" i="1"/>
  <c r="O82" i="1" s="1" a="1"/>
  <c r="O82" i="1" s="1"/>
  <c r="G82" i="1"/>
  <c r="F82" i="1"/>
  <c r="E82" i="1"/>
  <c r="B82" i="1" a="1"/>
  <c r="B82" i="1" s="1"/>
  <c r="N81" i="1" a="1"/>
  <c r="N81" i="1"/>
  <c r="O81" i="1" s="1" a="1"/>
  <c r="O81" i="1" s="1"/>
  <c r="G81" i="1"/>
  <c r="F81" i="1"/>
  <c r="E81" i="1"/>
  <c r="B81" i="1" a="1"/>
  <c r="B81" i="1" s="1"/>
  <c r="N80" i="1" a="1"/>
  <c r="N80" i="1" s="1"/>
  <c r="O80" i="1" s="1" a="1"/>
  <c r="O80" i="1" s="1"/>
  <c r="G80" i="1"/>
  <c r="F80" i="1"/>
  <c r="E80" i="1"/>
  <c r="B80" i="1" a="1"/>
  <c r="B80" i="1"/>
  <c r="N79" i="1" a="1"/>
  <c r="N79" i="1"/>
  <c r="O79" i="1" s="1" a="1"/>
  <c r="O79" i="1" s="1"/>
  <c r="G79" i="1"/>
  <c r="F79" i="1"/>
  <c r="E79" i="1"/>
  <c r="B79" i="1" a="1"/>
  <c r="B79" i="1"/>
  <c r="N78" i="1" a="1"/>
  <c r="N78" i="1" s="1"/>
  <c r="O78" i="1" s="1" a="1"/>
  <c r="O78" i="1" s="1"/>
  <c r="G78" i="1"/>
  <c r="F78" i="1"/>
  <c r="E78" i="1"/>
  <c r="B78" i="1" a="1"/>
  <c r="B78" i="1"/>
  <c r="L77" i="1"/>
  <c r="K77" i="1"/>
  <c r="J77" i="1"/>
  <c r="I77" i="1"/>
  <c r="F77" i="1"/>
  <c r="E77" i="1"/>
  <c r="B77" i="1" a="1"/>
  <c r="B77" i="1"/>
  <c r="K76" i="1"/>
  <c r="J76" i="1"/>
  <c r="I76" i="1"/>
  <c r="E76" i="1"/>
  <c r="D76" i="1"/>
  <c r="B76" i="1" a="1"/>
  <c r="B76" i="1"/>
  <c r="N75" i="1" a="1"/>
  <c r="N75" i="1" s="1"/>
  <c r="O75" i="1" s="1" a="1"/>
  <c r="O75" i="1" s="1"/>
  <c r="G75" i="1"/>
  <c r="F75" i="1"/>
  <c r="E75" i="1"/>
  <c r="N74" i="1" a="1"/>
  <c r="N74" i="1"/>
  <c r="O74" i="1" s="1" a="1"/>
  <c r="O74" i="1" s="1"/>
  <c r="G74" i="1"/>
  <c r="F74" i="1"/>
  <c r="E74" i="1"/>
  <c r="N73" i="1" a="1"/>
  <c r="N73" i="1"/>
  <c r="O73" i="1" s="1" a="1"/>
  <c r="O73" i="1" s="1"/>
  <c r="G73" i="1"/>
  <c r="F73" i="1"/>
  <c r="E73" i="1"/>
  <c r="N72" i="1" a="1"/>
  <c r="N72" i="1" s="1"/>
  <c r="O72" i="1" s="1" a="1"/>
  <c r="O72" i="1" s="1"/>
  <c r="G72" i="1"/>
  <c r="F72" i="1"/>
  <c r="E72" i="1"/>
  <c r="N71" i="1" a="1"/>
  <c r="N71" i="1"/>
  <c r="O71" i="1" s="1" a="1"/>
  <c r="O71" i="1" s="1"/>
  <c r="G71" i="1"/>
  <c r="F71" i="1"/>
  <c r="E71" i="1"/>
  <c r="N70" i="1" a="1"/>
  <c r="N70" i="1" s="1"/>
  <c r="O70" i="1" s="1" a="1"/>
  <c r="O70" i="1" s="1"/>
  <c r="G70" i="1"/>
  <c r="F70" i="1"/>
  <c r="E70" i="1"/>
  <c r="N69" i="1" a="1"/>
  <c r="N69" i="1"/>
  <c r="O69" i="1" s="1" a="1"/>
  <c r="O69" i="1" s="1"/>
  <c r="G69" i="1"/>
  <c r="F69" i="1"/>
  <c r="E69" i="1"/>
  <c r="N68" i="1" a="1"/>
  <c r="N68" i="1" s="1"/>
  <c r="O68" i="1" s="1" a="1"/>
  <c r="O68" i="1" s="1"/>
  <c r="G68" i="1"/>
  <c r="F68" i="1"/>
  <c r="E68" i="1"/>
  <c r="N67" i="1" a="1"/>
  <c r="N67" i="1"/>
  <c r="O67" i="1" s="1" a="1"/>
  <c r="O67" i="1" s="1"/>
  <c r="G67" i="1"/>
  <c r="F67" i="1"/>
  <c r="E67" i="1"/>
  <c r="N66" i="1" a="1"/>
  <c r="N66" i="1"/>
  <c r="O66" i="1" s="1" a="1"/>
  <c r="O66" i="1" s="1"/>
  <c r="G66" i="1"/>
  <c r="F66" i="1"/>
  <c r="E66" i="1"/>
  <c r="O65" i="1" a="1"/>
  <c r="O65" i="1" s="1"/>
  <c r="N65" i="1" a="1"/>
  <c r="N65" i="1" s="1"/>
  <c r="G65" i="1"/>
  <c r="F65" i="1"/>
  <c r="E65" i="1"/>
  <c r="N64" i="1" a="1"/>
  <c r="N64" i="1" s="1"/>
  <c r="O64" i="1" s="1" a="1"/>
  <c r="O64" i="1" s="1"/>
  <c r="G64" i="1"/>
  <c r="F64" i="1"/>
  <c r="E64" i="1"/>
  <c r="N63" i="1" a="1"/>
  <c r="N63" i="1" s="1"/>
  <c r="O63" i="1" s="1" a="1"/>
  <c r="O63" i="1" s="1"/>
  <c r="G63" i="1"/>
  <c r="F63" i="1"/>
  <c r="E63" i="1"/>
  <c r="N62" i="1" a="1"/>
  <c r="N62" i="1"/>
  <c r="O62" i="1" s="1" a="1"/>
  <c r="O62" i="1" s="1"/>
  <c r="G62" i="1"/>
  <c r="F62" i="1"/>
  <c r="E62" i="1"/>
  <c r="N61" i="1" a="1"/>
  <c r="N61" i="1"/>
  <c r="O61" i="1" s="1" a="1"/>
  <c r="O61" i="1" s="1"/>
  <c r="G61" i="1"/>
  <c r="F61" i="1"/>
  <c r="E61" i="1"/>
  <c r="N60" i="1" a="1"/>
  <c r="N60" i="1" s="1"/>
  <c r="O60" i="1" s="1" a="1"/>
  <c r="O60" i="1" s="1"/>
  <c r="G60" i="1"/>
  <c r="F60" i="1"/>
  <c r="E60" i="1"/>
  <c r="N59" i="1" a="1"/>
  <c r="N59" i="1"/>
  <c r="O59" i="1" s="1" a="1"/>
  <c r="O59" i="1" s="1"/>
  <c r="G59" i="1"/>
  <c r="F59" i="1"/>
  <c r="E59" i="1"/>
  <c r="N58" i="1" a="1"/>
  <c r="N58" i="1" s="1"/>
  <c r="O58" i="1" s="1" a="1"/>
  <c r="O58" i="1" s="1"/>
  <c r="G58" i="1"/>
  <c r="F58" i="1"/>
  <c r="E58" i="1"/>
  <c r="N57" i="1" a="1"/>
  <c r="N57" i="1"/>
  <c r="O57" i="1" s="1" a="1"/>
  <c r="O57" i="1" s="1"/>
  <c r="G57" i="1"/>
  <c r="F57" i="1"/>
  <c r="E57" i="1"/>
  <c r="N56" i="1" a="1"/>
  <c r="N56" i="1" s="1"/>
  <c r="O56" i="1" s="1" a="1"/>
  <c r="O56" i="1" s="1"/>
  <c r="G56" i="1"/>
  <c r="F56" i="1"/>
  <c r="E56" i="1"/>
  <c r="B56" i="1" a="1"/>
  <c r="B56" i="1"/>
  <c r="N55" i="1" a="1"/>
  <c r="N55" i="1"/>
  <c r="O55" i="1" s="1" a="1"/>
  <c r="O55" i="1" s="1"/>
  <c r="G55" i="1"/>
  <c r="F55" i="1"/>
  <c r="E55" i="1"/>
  <c r="B55" i="1" a="1"/>
  <c r="B55" i="1"/>
  <c r="N54" i="1" a="1"/>
  <c r="N54" i="1" s="1"/>
  <c r="O54" i="1" s="1" a="1"/>
  <c r="O54" i="1" s="1"/>
  <c r="G54" i="1"/>
  <c r="F54" i="1"/>
  <c r="E54" i="1"/>
  <c r="B54" i="1" a="1"/>
  <c r="B54" i="1" s="1"/>
  <c r="N53" i="1" a="1"/>
  <c r="N53" i="1"/>
  <c r="O53" i="1" s="1" a="1"/>
  <c r="O53" i="1" s="1"/>
  <c r="G53" i="1"/>
  <c r="F53" i="1"/>
  <c r="E53" i="1"/>
  <c r="B53" i="1" a="1"/>
  <c r="B53" i="1" s="1"/>
  <c r="N52" i="1" a="1"/>
  <c r="N52" i="1" s="1"/>
  <c r="O52" i="1" s="1" a="1"/>
  <c r="O52" i="1" s="1"/>
  <c r="G52" i="1"/>
  <c r="F52" i="1"/>
  <c r="E52" i="1"/>
  <c r="B52" i="1" a="1"/>
  <c r="B52" i="1" s="1"/>
  <c r="N51" i="1" a="1"/>
  <c r="N51" i="1"/>
  <c r="O51" i="1" s="1" a="1"/>
  <c r="O51" i="1" s="1"/>
  <c r="G51" i="1"/>
  <c r="F51" i="1"/>
  <c r="E51" i="1"/>
  <c r="B51" i="1" a="1"/>
  <c r="B51" i="1"/>
  <c r="N50" i="1" a="1"/>
  <c r="N50" i="1" s="1"/>
  <c r="O50" i="1" s="1" a="1"/>
  <c r="O50" i="1" s="1"/>
  <c r="G50" i="1"/>
  <c r="F50" i="1"/>
  <c r="E50" i="1"/>
  <c r="B50" i="1" a="1"/>
  <c r="B50" i="1" s="1"/>
  <c r="O49" i="1" a="1"/>
  <c r="O49" i="1"/>
  <c r="N49" i="1" a="1"/>
  <c r="N49" i="1" s="1"/>
  <c r="G49" i="1"/>
  <c r="F49" i="1"/>
  <c r="E49" i="1"/>
  <c r="B49" i="1" a="1"/>
  <c r="B49" i="1" s="1"/>
  <c r="N48" i="1" a="1"/>
  <c r="N48" i="1" s="1"/>
  <c r="O48" i="1" s="1" a="1"/>
  <c r="O48" i="1" s="1"/>
  <c r="G48" i="1"/>
  <c r="F48" i="1"/>
  <c r="E48" i="1"/>
  <c r="B48" i="1" a="1"/>
  <c r="B48" i="1"/>
  <c r="N47" i="1" a="1"/>
  <c r="N47" i="1" s="1"/>
  <c r="O47" i="1" s="1" a="1"/>
  <c r="O47" i="1" s="1"/>
  <c r="L47" i="1"/>
  <c r="K47" i="1"/>
  <c r="J47" i="1"/>
  <c r="J46" i="1" s="1"/>
  <c r="I47" i="1"/>
  <c r="F47" i="1"/>
  <c r="E47" i="1"/>
  <c r="B47" i="1" a="1"/>
  <c r="B47" i="1"/>
  <c r="L46" i="1"/>
  <c r="K46" i="1"/>
  <c r="I46" i="1"/>
  <c r="I45" i="1" s="1"/>
  <c r="E46" i="1"/>
  <c r="D46" i="1"/>
  <c r="B46" i="1" a="1"/>
  <c r="B46" i="1" s="1"/>
  <c r="K45" i="1"/>
  <c r="J45" i="1"/>
  <c r="D45" i="1"/>
  <c r="B45" i="1" a="1"/>
  <c r="B45" i="1" s="1"/>
  <c r="N44" i="1" a="1"/>
  <c r="N44" i="1" s="1"/>
  <c r="O44" i="1" s="1" a="1"/>
  <c r="O44" i="1" s="1"/>
  <c r="G44" i="1"/>
  <c r="F44" i="1"/>
  <c r="E44" i="1"/>
  <c r="D44" i="1"/>
  <c r="B44" i="1" a="1"/>
  <c r="B44" i="1" s="1"/>
  <c r="N43" i="1" a="1"/>
  <c r="N43" i="1"/>
  <c r="O43" i="1" s="1" a="1"/>
  <c r="O43" i="1" s="1"/>
  <c r="G43" i="1"/>
  <c r="F43" i="1"/>
  <c r="E43" i="1"/>
  <c r="D43" i="1"/>
  <c r="B43" i="1" a="1"/>
  <c r="B43" i="1"/>
  <c r="N42" i="1" a="1"/>
  <c r="N42" i="1" s="1"/>
  <c r="O42" i="1" s="1" a="1"/>
  <c r="O42" i="1" s="1"/>
  <c r="G42" i="1"/>
  <c r="F42" i="1"/>
  <c r="E42" i="1"/>
  <c r="D42" i="1"/>
  <c r="B42" i="1" a="1"/>
  <c r="B42" i="1" s="1"/>
  <c r="N41" i="1" a="1"/>
  <c r="N41" i="1"/>
  <c r="O41" i="1" s="1" a="1"/>
  <c r="O41" i="1" s="1"/>
  <c r="L41" i="1"/>
  <c r="K41" i="1"/>
  <c r="J41" i="1"/>
  <c r="I41" i="1"/>
  <c r="R41" i="1" s="1" a="1"/>
  <c r="R41" i="1" s="1"/>
  <c r="R40" i="1" s="1"/>
  <c r="F41" i="1"/>
  <c r="E41" i="1"/>
  <c r="D41" i="1"/>
  <c r="B41" i="1" a="1"/>
  <c r="B41" i="1" s="1"/>
  <c r="L40" i="1"/>
  <c r="K40" i="1"/>
  <c r="J40" i="1"/>
  <c r="E40" i="1"/>
  <c r="D40" i="1"/>
  <c r="B40" i="1" a="1"/>
  <c r="B40" i="1"/>
  <c r="O39" i="1" a="1"/>
  <c r="O39" i="1" s="1"/>
  <c r="N39" i="1" a="1"/>
  <c r="N39" i="1"/>
  <c r="G39" i="1"/>
  <c r="F39" i="1"/>
  <c r="E39" i="1"/>
  <c r="D39" i="1"/>
  <c r="B39" i="1" a="1"/>
  <c r="B39" i="1" s="1"/>
  <c r="L38" i="1"/>
  <c r="K38" i="1"/>
  <c r="J38" i="1"/>
  <c r="Q38" i="1" s="1" a="1"/>
  <c r="Q38" i="1" s="1"/>
  <c r="I38" i="1"/>
  <c r="R38" i="1" s="1" a="1"/>
  <c r="R38" i="1" s="1"/>
  <c r="F38" i="1"/>
  <c r="E38" i="1"/>
  <c r="D38" i="1"/>
  <c r="B38" i="1" a="1"/>
  <c r="B38" i="1" s="1"/>
  <c r="N37" i="1" a="1"/>
  <c r="N37" i="1" s="1"/>
  <c r="O37" i="1" s="1" a="1"/>
  <c r="O37" i="1" s="1"/>
  <c r="G37" i="1"/>
  <c r="F37" i="1"/>
  <c r="E37" i="1"/>
  <c r="D37" i="1"/>
  <c r="B37" i="1" a="1"/>
  <c r="B37" i="1"/>
  <c r="Q36" i="1" a="1"/>
  <c r="Q36" i="1"/>
  <c r="L36" i="1"/>
  <c r="N36" i="1" s="1" a="1"/>
  <c r="N36" i="1" s="1"/>
  <c r="O36" i="1" s="1" a="1"/>
  <c r="O36" i="1" s="1"/>
  <c r="K36" i="1"/>
  <c r="J36" i="1"/>
  <c r="I36" i="1"/>
  <c r="R36" i="1" s="1" a="1"/>
  <c r="R36" i="1" s="1"/>
  <c r="F36" i="1"/>
  <c r="E36" i="1"/>
  <c r="D36" i="1"/>
  <c r="B36" i="1" a="1"/>
  <c r="B36" i="1" s="1"/>
  <c r="N35" i="1" a="1"/>
  <c r="N35" i="1" s="1"/>
  <c r="O35" i="1" s="1" a="1"/>
  <c r="O35" i="1" s="1"/>
  <c r="G35" i="1"/>
  <c r="F35" i="1"/>
  <c r="E35" i="1"/>
  <c r="B35" i="1" a="1"/>
  <c r="B35" i="1" s="1"/>
  <c r="N34" i="1" a="1"/>
  <c r="N34" i="1"/>
  <c r="O34" i="1" s="1" a="1"/>
  <c r="O34" i="1" s="1"/>
  <c r="G34" i="1"/>
  <c r="F34" i="1"/>
  <c r="E34" i="1"/>
  <c r="D34" i="1"/>
  <c r="B34" i="1" a="1"/>
  <c r="B34" i="1"/>
  <c r="N33" i="1" a="1"/>
  <c r="N33" i="1"/>
  <c r="O33" i="1" s="1" a="1"/>
  <c r="O33" i="1" s="1"/>
  <c r="G33" i="1"/>
  <c r="F33" i="1"/>
  <c r="E33" i="1"/>
  <c r="D33" i="1"/>
  <c r="B33" i="1" a="1"/>
  <c r="B33" i="1" s="1"/>
  <c r="N32" i="1" a="1"/>
  <c r="N32" i="1" s="1"/>
  <c r="O32" i="1" s="1" a="1"/>
  <c r="O32" i="1" s="1"/>
  <c r="G32" i="1"/>
  <c r="F32" i="1"/>
  <c r="E32" i="1"/>
  <c r="D32" i="1"/>
  <c r="B32" i="1" a="1"/>
  <c r="B32" i="1"/>
  <c r="O31" i="1" a="1"/>
  <c r="O31" i="1" s="1"/>
  <c r="N31" i="1" a="1"/>
  <c r="N31" i="1"/>
  <c r="G31" i="1"/>
  <c r="F31" i="1"/>
  <c r="E31" i="1"/>
  <c r="D31" i="1"/>
  <c r="B31" i="1" a="1"/>
  <c r="B31" i="1" s="1"/>
  <c r="N30" i="1" a="1"/>
  <c r="N30" i="1" s="1"/>
  <c r="O30" i="1" s="1" a="1"/>
  <c r="O30" i="1" s="1"/>
  <c r="G30" i="1"/>
  <c r="F30" i="1"/>
  <c r="E30" i="1"/>
  <c r="D30" i="1"/>
  <c r="B30" i="1" a="1"/>
  <c r="B30" i="1"/>
  <c r="N29" i="1" a="1"/>
  <c r="N29" i="1" s="1"/>
  <c r="O29" i="1" s="1" a="1"/>
  <c r="O29" i="1" s="1"/>
  <c r="G29" i="1"/>
  <c r="F29" i="1"/>
  <c r="E29" i="1"/>
  <c r="D29" i="1"/>
  <c r="B29" i="1" a="1"/>
  <c r="B29" i="1" s="1"/>
  <c r="N28" i="1" a="1"/>
  <c r="N28" i="1" s="1"/>
  <c r="O28" i="1" s="1" a="1"/>
  <c r="O28" i="1" s="1"/>
  <c r="G28" i="1"/>
  <c r="F28" i="1"/>
  <c r="E28" i="1"/>
  <c r="D28" i="1"/>
  <c r="B28" i="1" a="1"/>
  <c r="B28" i="1"/>
  <c r="L27" i="1"/>
  <c r="L26" i="1" s="1"/>
  <c r="K27" i="1"/>
  <c r="K26" i="1" s="1"/>
  <c r="J27" i="1"/>
  <c r="J26" i="1" s="1"/>
  <c r="J18" i="1" s="1"/>
  <c r="I27" i="1"/>
  <c r="F27" i="1"/>
  <c r="E27" i="1"/>
  <c r="D27" i="1"/>
  <c r="B27" i="1" a="1"/>
  <c r="B27" i="1"/>
  <c r="E26" i="1"/>
  <c r="D26" i="1"/>
  <c r="B26" i="1" a="1"/>
  <c r="B26" i="1"/>
  <c r="N25" i="1" a="1"/>
  <c r="N25" i="1"/>
  <c r="O25" i="1" s="1" a="1"/>
  <c r="O25" i="1" s="1"/>
  <c r="G25" i="1"/>
  <c r="F25" i="1"/>
  <c r="E25" i="1"/>
  <c r="D25" i="1"/>
  <c r="B25" i="1" a="1"/>
  <c r="B25" i="1"/>
  <c r="L24" i="1"/>
  <c r="K24" i="1"/>
  <c r="N24" i="1" s="1" a="1"/>
  <c r="N24" i="1" s="1"/>
  <c r="O24" i="1" s="1" a="1"/>
  <c r="O24" i="1" s="1"/>
  <c r="J24" i="1"/>
  <c r="I24" i="1"/>
  <c r="F24" i="1"/>
  <c r="E24" i="1"/>
  <c r="D24" i="1"/>
  <c r="B24" i="1" a="1"/>
  <c r="B24" i="1" s="1"/>
  <c r="N23" i="1" a="1"/>
  <c r="N23" i="1" s="1"/>
  <c r="O23" i="1" s="1" a="1"/>
  <c r="O23" i="1" s="1"/>
  <c r="G23" i="1"/>
  <c r="F23" i="1"/>
  <c r="E23" i="1"/>
  <c r="D23" i="1"/>
  <c r="B23" i="1" a="1"/>
  <c r="B23" i="1"/>
  <c r="L22" i="1"/>
  <c r="N22" i="1" s="1" a="1"/>
  <c r="N22" i="1" s="1"/>
  <c r="O22" i="1" s="1" a="1"/>
  <c r="O22" i="1" s="1"/>
  <c r="K22" i="1"/>
  <c r="J22" i="1"/>
  <c r="I22" i="1"/>
  <c r="F22" i="1"/>
  <c r="E22" i="1"/>
  <c r="D22" i="1"/>
  <c r="B22" i="1" a="1"/>
  <c r="B22" i="1"/>
  <c r="N21" i="1" a="1"/>
  <c r="N21" i="1" s="1"/>
  <c r="O21" i="1" s="1" a="1"/>
  <c r="O21" i="1" s="1"/>
  <c r="G21" i="1"/>
  <c r="F21" i="1"/>
  <c r="E21" i="1"/>
  <c r="D21" i="1"/>
  <c r="B21" i="1" a="1"/>
  <c r="B21" i="1"/>
  <c r="L20" i="1"/>
  <c r="N20" i="1" s="1" a="1"/>
  <c r="N20" i="1" s="1"/>
  <c r="O20" i="1" s="1" a="1"/>
  <c r="O20" i="1" s="1"/>
  <c r="K20" i="1"/>
  <c r="J20" i="1"/>
  <c r="I20" i="1"/>
  <c r="F20" i="1"/>
  <c r="E20" i="1"/>
  <c r="D20" i="1"/>
  <c r="B20" i="1" a="1"/>
  <c r="B20" i="1"/>
  <c r="L19" i="1"/>
  <c r="N19" i="1" s="1" a="1"/>
  <c r="N19" i="1" s="1"/>
  <c r="O19" i="1" s="1" a="1"/>
  <c r="O19" i="1" s="1"/>
  <c r="K19" i="1"/>
  <c r="K18" i="1" s="1"/>
  <c r="J19" i="1"/>
  <c r="I19" i="1"/>
  <c r="E19" i="1"/>
  <c r="D19" i="1"/>
  <c r="B19" i="1" a="1"/>
  <c r="B19" i="1" s="1"/>
  <c r="D18" i="1"/>
  <c r="B18" i="1" a="1"/>
  <c r="B18" i="1" s="1"/>
  <c r="N17" i="1" a="1"/>
  <c r="N17" i="1"/>
  <c r="O17" i="1" s="1" a="1"/>
  <c r="O17" i="1" s="1"/>
  <c r="D17" i="1"/>
  <c r="B17" i="1" a="1"/>
  <c r="B17" i="1" s="1"/>
  <c r="N16" i="1" a="1"/>
  <c r="N16" i="1" s="1"/>
  <c r="O16" i="1" s="1" a="1"/>
  <c r="O16" i="1" s="1"/>
  <c r="D16" i="1"/>
  <c r="B16" i="1" a="1"/>
  <c r="B16" i="1" s="1"/>
  <c r="N15" i="1" a="1"/>
  <c r="N15" i="1"/>
  <c r="O15" i="1" s="1" a="1"/>
  <c r="O15" i="1" s="1"/>
  <c r="D15" i="1"/>
  <c r="B15" i="1" a="1"/>
  <c r="B15" i="1"/>
  <c r="L14" i="1"/>
  <c r="N14" i="1" s="1" a="1"/>
  <c r="N14" i="1" s="1"/>
  <c r="O14" i="1" s="1" a="1"/>
  <c r="O14" i="1" s="1"/>
  <c r="K14" i="1"/>
  <c r="J14" i="1"/>
  <c r="J13" i="1" s="1"/>
  <c r="J12" i="1" s="1"/>
  <c r="J11" i="1" s="1"/>
  <c r="I14" i="1"/>
  <c r="D14" i="1"/>
  <c r="B14" i="1" a="1"/>
  <c r="B14" i="1" s="1"/>
  <c r="L13" i="1"/>
  <c r="N13" i="1" s="1" a="1"/>
  <c r="N13" i="1" s="1"/>
  <c r="O13" i="1" s="1" a="1"/>
  <c r="O13" i="1" s="1"/>
  <c r="K13" i="1"/>
  <c r="K12" i="1" s="1"/>
  <c r="I13" i="1"/>
  <c r="D13" i="1"/>
  <c r="B13" i="1" a="1"/>
  <c r="B13" i="1" s="1"/>
  <c r="L12" i="1"/>
  <c r="I12" i="1"/>
  <c r="D12" i="1"/>
  <c r="B12" i="1" a="1"/>
  <c r="B12" i="1" s="1"/>
  <c r="B11" i="1" a="1"/>
  <c r="B11" i="1" s="1"/>
  <c r="BM7" i="1"/>
  <c r="BN42" i="1" s="1" a="1"/>
  <c r="BN42" i="1" s="1"/>
  <c r="BL7" i="1"/>
  <c r="BM42" i="1" s="1" a="1"/>
  <c r="BM42" i="1" s="1"/>
  <c r="BK7" i="1"/>
  <c r="BL34" i="1" s="1" a="1"/>
  <c r="BL34" i="1" s="1"/>
  <c r="BJ7" i="1"/>
  <c r="BK91" i="1" s="1" a="1"/>
  <c r="BK91" i="1" s="1"/>
  <c r="BI7" i="1"/>
  <c r="BJ80" i="1" s="1" a="1"/>
  <c r="BJ80" i="1" s="1"/>
  <c r="BH7" i="1"/>
  <c r="BI53" i="1" s="1" a="1"/>
  <c r="BI53" i="1" s="1"/>
  <c r="BG7" i="1"/>
  <c r="BH57" i="1" s="1" a="1"/>
  <c r="BH57" i="1" s="1"/>
  <c r="BF7" i="1"/>
  <c r="BG34" i="1" s="1" a="1"/>
  <c r="BG34" i="1" s="1"/>
  <c r="BE7" i="1"/>
  <c r="BF39" i="1" s="1" a="1"/>
  <c r="BF39" i="1" s="1"/>
  <c r="BD7" i="1"/>
  <c r="BE21" i="1" s="1" a="1"/>
  <c r="BE21" i="1" s="1"/>
  <c r="BE20" i="1" s="1"/>
  <c r="BC7" i="1"/>
  <c r="BD51" i="1" s="1" a="1"/>
  <c r="BD51" i="1" s="1"/>
  <c r="BB7" i="1"/>
  <c r="BC44" i="1" s="1" a="1"/>
  <c r="BC44" i="1" s="1"/>
  <c r="BA7" i="1"/>
  <c r="BB17" i="1" s="1" a="1"/>
  <c r="BB17" i="1" s="1"/>
  <c r="AZ7" i="1"/>
  <c r="BA17" i="1" s="1" a="1"/>
  <c r="BA17" i="1" s="1"/>
  <c r="AY7" i="1"/>
  <c r="AZ34" i="1" s="1" a="1"/>
  <c r="AZ34" i="1" s="1"/>
  <c r="AX7" i="1"/>
  <c r="AY30" i="1" s="1" a="1"/>
  <c r="AY30" i="1" s="1"/>
  <c r="AW7" i="1"/>
  <c r="AX25" i="1" s="1" a="1"/>
  <c r="AX25" i="1" s="1"/>
  <c r="AX24" i="1" s="1"/>
  <c r="AV7" i="1"/>
  <c r="AW36" i="1" s="1" a="1"/>
  <c r="AW36" i="1" s="1"/>
  <c r="AU7" i="1"/>
  <c r="AV42" i="1" s="1" a="1"/>
  <c r="AV42" i="1" s="1"/>
  <c r="AT7" i="1"/>
  <c r="AU25" i="1" s="1" a="1"/>
  <c r="AU25" i="1" s="1"/>
  <c r="AU24" i="1" s="1"/>
  <c r="AS7" i="1"/>
  <c r="AT65" i="1" s="1" a="1"/>
  <c r="AT65" i="1" s="1"/>
  <c r="AR7" i="1"/>
  <c r="AS43" i="1" s="1" a="1"/>
  <c r="AS43" i="1" s="1"/>
  <c r="AQ7" i="1"/>
  <c r="AR37" i="1" s="1" a="1"/>
  <c r="AR37" i="1" s="1"/>
  <c r="AP7" i="1"/>
  <c r="AQ44" i="1" s="1" a="1"/>
  <c r="AQ44" i="1" s="1"/>
  <c r="AO7" i="1"/>
  <c r="AP17" i="1" s="1" a="1"/>
  <c r="AP17" i="1" s="1"/>
  <c r="AN7" i="1"/>
  <c r="AO67" i="1" s="1" a="1"/>
  <c r="AO67" i="1" s="1"/>
  <c r="AM7" i="1"/>
  <c r="AN34" i="1" s="1" a="1"/>
  <c r="AN34" i="1" s="1"/>
  <c r="AL7" i="1"/>
  <c r="AM50" i="1" s="1" a="1"/>
  <c r="AM50" i="1" s="1"/>
  <c r="AK7" i="1"/>
  <c r="AL37" i="1" s="1" a="1"/>
  <c r="AL37" i="1" s="1"/>
  <c r="AJ7" i="1"/>
  <c r="AK42" i="1" s="1" a="1"/>
  <c r="AK42" i="1" s="1"/>
  <c r="AI7" i="1"/>
  <c r="AJ30" i="1" s="1" a="1"/>
  <c r="AJ30" i="1" s="1"/>
  <c r="AH7" i="1"/>
  <c r="AI99" i="1" s="1" a="1"/>
  <c r="AI99" i="1" s="1"/>
  <c r="AG7" i="1"/>
  <c r="AF7" i="1"/>
  <c r="AG21" i="1" s="1" a="1"/>
  <c r="AG21" i="1" s="1"/>
  <c r="AG20" i="1" s="1"/>
  <c r="AE7" i="1"/>
  <c r="AF37" i="1" s="1" a="1"/>
  <c r="AF37" i="1" s="1"/>
  <c r="AD7" i="1"/>
  <c r="AE53" i="1" s="1" a="1"/>
  <c r="AE53" i="1" s="1"/>
  <c r="AC7" i="1"/>
  <c r="AD17" i="1" s="1" a="1"/>
  <c r="AD17" i="1" s="1"/>
  <c r="AB7" i="1"/>
  <c r="AC17" i="1" s="1" a="1"/>
  <c r="AC17" i="1" s="1"/>
  <c r="AA7" i="1"/>
  <c r="AB34" i="1" s="1" a="1"/>
  <c r="AB34" i="1" s="1"/>
  <c r="Z7" i="1"/>
  <c r="AA44" i="1" s="1" a="1"/>
  <c r="AA44" i="1" s="1"/>
  <c r="Y7" i="1"/>
  <c r="Z36" i="1" s="1" a="1"/>
  <c r="Z36" i="1" s="1"/>
  <c r="X7" i="1"/>
  <c r="Y33" i="1" s="1" a="1"/>
  <c r="Y33" i="1" s="1"/>
  <c r="W7" i="1"/>
  <c r="X17" i="1" s="1" a="1"/>
  <c r="X17" i="1" s="1"/>
  <c r="V7" i="1"/>
  <c r="W43" i="1" s="1" a="1"/>
  <c r="W43" i="1" s="1"/>
  <c r="U7" i="1"/>
  <c r="V48" i="1" s="1" a="1"/>
  <c r="V48" i="1" s="1"/>
  <c r="T7" i="1"/>
  <c r="U50" i="1" s="1" a="1"/>
  <c r="U50" i="1" s="1"/>
  <c r="S7" i="1"/>
  <c r="T51" i="1" s="1" a="1"/>
  <c r="T51" i="1" s="1"/>
  <c r="R7" i="1"/>
  <c r="S71" i="1" s="1" a="1"/>
  <c r="S71" i="1" s="1"/>
  <c r="N3" i="1"/>
  <c r="Q35" i="1" s="1" a="1"/>
  <c r="Q35" i="1" s="1"/>
  <c r="I13" i="7" l="1"/>
  <c r="AK38" i="1" a="1"/>
  <c r="AK38" i="1" s="1"/>
  <c r="BE43" i="1" a="1"/>
  <c r="BE43" i="1" s="1"/>
  <c r="AE15" i="1" a="1"/>
  <c r="AE15" i="1" s="1"/>
  <c r="AF23" i="1" a="1"/>
  <c r="AF23" i="1" s="1"/>
  <c r="AF22" i="1" s="1"/>
  <c r="BE33" i="1" a="1"/>
  <c r="BE33" i="1" s="1"/>
  <c r="AQ35" i="1" a="1"/>
  <c r="AQ35" i="1" s="1"/>
  <c r="BC35" i="1" a="1"/>
  <c r="BC35" i="1" s="1"/>
  <c r="AC36" i="1" a="1"/>
  <c r="AC36" i="1" s="1"/>
  <c r="AB65" i="1" a="1"/>
  <c r="AB65" i="1" s="1"/>
  <c r="S82" i="1" a="1"/>
  <c r="S82" i="1" s="1"/>
  <c r="AD39" i="1" a="1"/>
  <c r="AD39" i="1" s="1"/>
  <c r="AQ29" i="1" a="1"/>
  <c r="AQ29" i="1" s="1"/>
  <c r="BC71" i="1" a="1"/>
  <c r="BC71" i="1" s="1"/>
  <c r="AC48" i="1" a="1"/>
  <c r="AC48" i="1" s="1"/>
  <c r="S16" i="1" a="1"/>
  <c r="S16" i="1" s="1"/>
  <c r="U33" i="1" a="1"/>
  <c r="U33" i="1" s="1"/>
  <c r="T17" i="1" a="1"/>
  <c r="T17" i="1" s="1"/>
  <c r="AR73" i="1" a="1"/>
  <c r="AR73" i="1" s="1"/>
  <c r="AZ32" i="1" a="1"/>
  <c r="AZ32" i="1" s="1"/>
  <c r="AA33" i="1" a="1"/>
  <c r="AA33" i="1" s="1"/>
  <c r="T34" i="1" a="1"/>
  <c r="T34" i="1" s="1"/>
  <c r="AX73" i="1" a="1"/>
  <c r="AX73" i="1" s="1"/>
  <c r="AQ16" i="1" a="1"/>
  <c r="AQ16" i="1" s="1"/>
  <c r="AZ21" i="1" a="1"/>
  <c r="AZ21" i="1" s="1"/>
  <c r="AZ20" i="1" s="1"/>
  <c r="AI25" i="1" a="1"/>
  <c r="AI25" i="1" s="1"/>
  <c r="AI24" i="1" s="1"/>
  <c r="BM31" i="1" a="1"/>
  <c r="BM31" i="1" s="1"/>
  <c r="BK33" i="1" a="1"/>
  <c r="BK33" i="1" s="1"/>
  <c r="AQ38" i="1" a="1"/>
  <c r="AQ38" i="1" s="1"/>
  <c r="BN69" i="1" a="1"/>
  <c r="BN69" i="1" s="1"/>
  <c r="AL43" i="1" a="1"/>
  <c r="AL43" i="1" s="1"/>
  <c r="BD34" i="1" a="1"/>
  <c r="BD34" i="1" s="1"/>
  <c r="AL52" i="1" a="1"/>
  <c r="AL52" i="1" s="1"/>
  <c r="BL21" i="1" a="1"/>
  <c r="BL21" i="1" s="1"/>
  <c r="BL20" i="1" s="1"/>
  <c r="AB37" i="1" a="1"/>
  <c r="AB37" i="1" s="1"/>
  <c r="BC38" i="1" a="1"/>
  <c r="BC38" i="1" s="1"/>
  <c r="AF28" i="1" a="1"/>
  <c r="AF28" i="1" s="1"/>
  <c r="BJ42" i="1" a="1"/>
  <c r="BJ42" i="1" s="1"/>
  <c r="AR16" i="1" a="1"/>
  <c r="AR16" i="1" s="1"/>
  <c r="AP30" i="1" a="1"/>
  <c r="AP30" i="1" s="1"/>
  <c r="BL37" i="1" a="1"/>
  <c r="BL37" i="1" s="1"/>
  <c r="AN49" i="1" a="1"/>
  <c r="AN49" i="1" s="1"/>
  <c r="AB21" i="1" a="1"/>
  <c r="AB21" i="1" s="1"/>
  <c r="AB20" i="1" s="1"/>
  <c r="AL16" i="1" a="1"/>
  <c r="AL16" i="1" s="1"/>
  <c r="AN21" i="1" a="1"/>
  <c r="AN21" i="1" s="1"/>
  <c r="AN20" i="1" s="1"/>
  <c r="AC31" i="1" a="1"/>
  <c r="AC31" i="1" s="1"/>
  <c r="BL32" i="1" a="1"/>
  <c r="BL32" i="1" s="1"/>
  <c r="BC16" i="1" a="1"/>
  <c r="BC16" i="1" s="1"/>
  <c r="BE44" i="1" a="1"/>
  <c r="BE44" i="1" s="1"/>
  <c r="AF51" i="1" a="1"/>
  <c r="AF51" i="1" s="1"/>
  <c r="AW38" i="1" a="1"/>
  <c r="AW38" i="1" s="1"/>
  <c r="S15" i="1" a="1"/>
  <c r="S15" i="1" s="1"/>
  <c r="Z17" i="1" a="1"/>
  <c r="Z17" i="1" s="1"/>
  <c r="W25" i="1" a="1"/>
  <c r="W25" i="1" s="1"/>
  <c r="W24" i="1" s="1"/>
  <c r="BB30" i="1" a="1"/>
  <c r="BB30" i="1" s="1"/>
  <c r="AG33" i="1" a="1"/>
  <c r="AG33" i="1" s="1"/>
  <c r="AF34" i="1" a="1"/>
  <c r="AF34" i="1" s="1"/>
  <c r="BI38" i="1" a="1"/>
  <c r="BI38" i="1" s="1"/>
  <c r="AP39" i="1" a="1"/>
  <c r="AP39" i="1" s="1"/>
  <c r="Y15" i="1" a="1"/>
  <c r="Y15" i="1" s="1"/>
  <c r="T16" i="1" a="1"/>
  <c r="T16" i="1" s="1"/>
  <c r="AX16" i="1" a="1"/>
  <c r="AX16" i="1" s="1"/>
  <c r="AF17" i="1" a="1"/>
  <c r="AF17" i="1" s="1"/>
  <c r="AR23" i="1" a="1"/>
  <c r="AR23" i="1" s="1"/>
  <c r="AR22" i="1" s="1"/>
  <c r="AC25" i="1" a="1"/>
  <c r="AC25" i="1" s="1"/>
  <c r="AC24" i="1" s="1"/>
  <c r="AR28" i="1" a="1"/>
  <c r="AR28" i="1" s="1"/>
  <c r="AW29" i="1" a="1"/>
  <c r="AW29" i="1" s="1"/>
  <c r="AO36" i="1" a="1"/>
  <c r="AO36" i="1" s="1"/>
  <c r="AV39" i="1" a="1"/>
  <c r="AV39" i="1" s="1"/>
  <c r="BM48" i="1" a="1"/>
  <c r="BM48" i="1" s="1"/>
  <c r="AW35" i="1" a="1"/>
  <c r="AW35" i="1" s="1"/>
  <c r="X39" i="1" a="1"/>
  <c r="X39" i="1" s="1"/>
  <c r="AW43" i="1" a="1"/>
  <c r="AW43" i="1" s="1"/>
  <c r="Z34" i="1" a="1"/>
  <c r="Z34" i="1" s="1"/>
  <c r="AW54" i="1" a="1"/>
  <c r="AW54" i="1" s="1"/>
  <c r="AJ39" i="1" a="1"/>
  <c r="AJ39" i="1" s="1"/>
  <c r="X30" i="1" a="1"/>
  <c r="X30" i="1" s="1"/>
  <c r="BB39" i="1" a="1"/>
  <c r="BB39" i="1" s="1"/>
  <c r="AK15" i="1" a="1"/>
  <c r="AK15" i="1" s="1"/>
  <c r="Z16" i="1" a="1"/>
  <c r="Z16" i="1" s="1"/>
  <c r="AR17" i="1" a="1"/>
  <c r="AR17" i="1" s="1"/>
  <c r="AX23" i="1" a="1"/>
  <c r="AX23" i="1" s="1"/>
  <c r="AX22" i="1" s="1"/>
  <c r="AO25" i="1" a="1"/>
  <c r="AO25" i="1" s="1"/>
  <c r="AO24" i="1" s="1"/>
  <c r="AX28" i="1" a="1"/>
  <c r="AX28" i="1" s="1"/>
  <c r="S29" i="1" a="1"/>
  <c r="S29" i="1" s="1"/>
  <c r="BC29" i="1" a="1"/>
  <c r="BC29" i="1" s="1"/>
  <c r="BA36" i="1" a="1"/>
  <c r="BA36" i="1" s="1"/>
  <c r="BN38" i="1" a="1"/>
  <c r="BN38" i="1" s="1"/>
  <c r="BH39" i="1" a="1"/>
  <c r="BH39" i="1" s="1"/>
  <c r="AM63" i="1" a="1"/>
  <c r="AM63" i="1" s="1"/>
  <c r="AV30" i="1" a="1"/>
  <c r="AV30" i="1" s="1"/>
  <c r="BH69" i="1" a="1"/>
  <c r="BH69" i="1" s="1"/>
  <c r="AL28" i="1" a="1"/>
  <c r="AL28" i="1" s="1"/>
  <c r="BI35" i="1" a="1"/>
  <c r="BI35" i="1" s="1"/>
  <c r="AL34" i="1" a="1"/>
  <c r="AL34" i="1" s="1"/>
  <c r="AQ15" i="1" a="1"/>
  <c r="AQ15" i="1" s="1"/>
  <c r="AE16" i="1" a="1"/>
  <c r="AE16" i="1" s="1"/>
  <c r="BD16" i="1" a="1"/>
  <c r="BD16" i="1" s="1"/>
  <c r="AX17" i="1" a="1"/>
  <c r="AX17" i="1" s="1"/>
  <c r="AD30" i="1" a="1"/>
  <c r="AD30" i="1" s="1"/>
  <c r="BN30" i="1" a="1"/>
  <c r="BN30" i="1" s="1"/>
  <c r="AO31" i="1" a="1"/>
  <c r="AO31" i="1" s="1"/>
  <c r="AS33" i="1" a="1"/>
  <c r="AS33" i="1" s="1"/>
  <c r="AR34" i="1" a="1"/>
  <c r="AR34" i="1" s="1"/>
  <c r="S35" i="1" a="1"/>
  <c r="S35" i="1" s="1"/>
  <c r="AN37" i="1" a="1"/>
  <c r="AN37" i="1" s="1"/>
  <c r="BN39" i="1" a="1"/>
  <c r="BN39" i="1" s="1"/>
  <c r="AB42" i="1" a="1"/>
  <c r="AB42" i="1" s="1"/>
  <c r="AA50" i="1" a="1"/>
  <c r="AA50" i="1" s="1"/>
  <c r="AQ53" i="1" a="1"/>
  <c r="AQ53" i="1" s="1"/>
  <c r="AR61" i="1" a="1"/>
  <c r="AR61" i="1" s="1"/>
  <c r="AS63" i="1" a="1"/>
  <c r="AS63" i="1" s="1"/>
  <c r="AK29" i="1" a="1"/>
  <c r="AK29" i="1" s="1"/>
  <c r="AK82" i="1" a="1"/>
  <c r="AK82" i="1" s="1"/>
  <c r="BJ34" i="1" a="1"/>
  <c r="BJ34" i="1" s="1"/>
  <c r="AL17" i="1" a="1"/>
  <c r="AL17" i="1" s="1"/>
  <c r="BH30" i="1" a="1"/>
  <c r="BH30" i="1" s="1"/>
  <c r="AM33" i="1" a="1"/>
  <c r="AM33" i="1" s="1"/>
  <c r="AW15" i="1" a="1"/>
  <c r="AW15" i="1" s="1"/>
  <c r="BD17" i="1" a="1"/>
  <c r="BD17" i="1" s="1"/>
  <c r="T23" i="1" a="1"/>
  <c r="T23" i="1" s="1"/>
  <c r="T22" i="1" s="1"/>
  <c r="BD23" i="1" a="1"/>
  <c r="BD23" i="1" s="1"/>
  <c r="BD22" i="1" s="1"/>
  <c r="BA25" i="1" a="1"/>
  <c r="BA25" i="1" s="1"/>
  <c r="BA24" i="1" s="1"/>
  <c r="T28" i="1" a="1"/>
  <c r="T28" i="1" s="1"/>
  <c r="BD28" i="1" a="1"/>
  <c r="BD28" i="1" s="1"/>
  <c r="Y29" i="1" a="1"/>
  <c r="Y29" i="1" s="1"/>
  <c r="BI29" i="1" a="1"/>
  <c r="BI29" i="1" s="1"/>
  <c r="AB32" i="1" a="1"/>
  <c r="AB32" i="1" s="1"/>
  <c r="Y35" i="1" a="1"/>
  <c r="Y35" i="1" s="1"/>
  <c r="BM36" i="1" a="1"/>
  <c r="BM36" i="1" s="1"/>
  <c r="S38" i="1" a="1"/>
  <c r="S38" i="1" s="1"/>
  <c r="AO42" i="1" a="1"/>
  <c r="AO42" i="1" s="1"/>
  <c r="X44" i="1" a="1"/>
  <c r="X44" i="1" s="1"/>
  <c r="AW59" i="1" a="1"/>
  <c r="AW59" i="1" s="1"/>
  <c r="AX61" i="1" a="1"/>
  <c r="AX61" i="1" s="1"/>
  <c r="AY78" i="1" a="1"/>
  <c r="AY78" i="1" s="1"/>
  <c r="BC15" i="1" a="1"/>
  <c r="BC15" i="1" s="1"/>
  <c r="AF16" i="1" a="1"/>
  <c r="AF16" i="1" s="1"/>
  <c r="BJ16" i="1" a="1"/>
  <c r="BJ16" i="1" s="1"/>
  <c r="BJ17" i="1" a="1"/>
  <c r="BJ17" i="1" s="1"/>
  <c r="BG25" i="1" a="1"/>
  <c r="BG25" i="1" s="1"/>
  <c r="BG24" i="1" s="1"/>
  <c r="BA31" i="1" a="1"/>
  <c r="BA31" i="1" s="1"/>
  <c r="AY33" i="1" a="1"/>
  <c r="AY33" i="1" s="1"/>
  <c r="AX34" i="1" a="1"/>
  <c r="AX34" i="1" s="1"/>
  <c r="AE35" i="1" a="1"/>
  <c r="AE35" i="1" s="1"/>
  <c r="BK36" i="1" a="1"/>
  <c r="BK36" i="1" s="1"/>
  <c r="AZ37" i="1" a="1"/>
  <c r="AZ37" i="1" s="1"/>
  <c r="Y38" i="1" a="1"/>
  <c r="Y38" i="1" s="1"/>
  <c r="AP42" i="1" a="1"/>
  <c r="AP42" i="1" s="1"/>
  <c r="U43" i="1" a="1"/>
  <c r="U43" i="1" s="1"/>
  <c r="AG44" i="1" a="1"/>
  <c r="AG44" i="1" s="1"/>
  <c r="BK50" i="1" a="1"/>
  <c r="BK50" i="1" s="1"/>
  <c r="X55" i="1" a="1"/>
  <c r="X55" i="1" s="1"/>
  <c r="BC59" i="1" a="1"/>
  <c r="BC59" i="1" s="1"/>
  <c r="BK78" i="1" a="1"/>
  <c r="BK78" i="1" s="1"/>
  <c r="AW71" i="1" a="1"/>
  <c r="AW71" i="1" s="1"/>
  <c r="AL23" i="1" a="1"/>
  <c r="AL23" i="1" s="1"/>
  <c r="AL22" i="1" s="1"/>
  <c r="BI15" i="1" a="1"/>
  <c r="BI15" i="1" s="1"/>
  <c r="Z23" i="1" a="1"/>
  <c r="Z23" i="1" s="1"/>
  <c r="Z22" i="1" s="1"/>
  <c r="BJ23" i="1" a="1"/>
  <c r="BJ23" i="1" s="1"/>
  <c r="BJ22" i="1" s="1"/>
  <c r="BM25" i="1" a="1"/>
  <c r="BM25" i="1" s="1"/>
  <c r="BM24" i="1" s="1"/>
  <c r="Z28" i="1" a="1"/>
  <c r="Z28" i="1" s="1"/>
  <c r="BJ28" i="1" a="1"/>
  <c r="BJ28" i="1" s="1"/>
  <c r="AE29" i="1" a="1"/>
  <c r="AE29" i="1" s="1"/>
  <c r="AN32" i="1" a="1"/>
  <c r="AN32" i="1" s="1"/>
  <c r="AK35" i="1" a="1"/>
  <c r="AK35" i="1" s="1"/>
  <c r="AE38" i="1" a="1"/>
  <c r="AE38" i="1" s="1"/>
  <c r="AB43" i="1" a="1"/>
  <c r="AB43" i="1" s="1"/>
  <c r="AS44" i="1" a="1"/>
  <c r="AS44" i="1" s="1"/>
  <c r="BN57" i="1" a="1"/>
  <c r="BN57" i="1" s="1"/>
  <c r="AS75" i="1" a="1"/>
  <c r="AS75" i="1" s="1"/>
  <c r="Q31" i="1" a="1"/>
  <c r="Q31" i="1" s="1"/>
  <c r="Q25" i="1" a="1"/>
  <c r="Q25" i="1" s="1"/>
  <c r="Q24" i="1" s="1"/>
  <c r="R55" i="1" a="1"/>
  <c r="R55" i="1" s="1"/>
  <c r="R39" i="1" a="1"/>
  <c r="R39" i="1" s="1"/>
  <c r="R30" i="1" a="1"/>
  <c r="R30" i="1" s="1"/>
  <c r="N12" i="1" a="1"/>
  <c r="N12" i="1" s="1"/>
  <c r="O12" i="1" s="1" a="1"/>
  <c r="O12" i="1" s="1"/>
  <c r="L18" i="1"/>
  <c r="AH147" i="1" a="1"/>
  <c r="AH147" i="1" s="1"/>
  <c r="AH152" i="1" a="1"/>
  <c r="AH152" i="1" s="1"/>
  <c r="AH151" i="1" s="1"/>
  <c r="AH150" i="1" s="1"/>
  <c r="AH156" i="1" a="1"/>
  <c r="AH156" i="1" s="1"/>
  <c r="AH138" i="1" a="1"/>
  <c r="AH138" i="1" s="1"/>
  <c r="AH139" i="1" a="1"/>
  <c r="AH139" i="1" s="1"/>
  <c r="AH155" i="1" a="1"/>
  <c r="AH155" i="1" s="1"/>
  <c r="AH144" i="1" a="1"/>
  <c r="AH144" i="1" s="1"/>
  <c r="AH149" i="1" a="1"/>
  <c r="AH149" i="1" s="1"/>
  <c r="AH143" i="1" a="1"/>
  <c r="AH143" i="1" s="1"/>
  <c r="AH148" i="1" a="1"/>
  <c r="AH148" i="1" s="1"/>
  <c r="AH126" i="1" a="1"/>
  <c r="AH126" i="1" s="1"/>
  <c r="AH110" i="1" a="1"/>
  <c r="AH110" i="1" s="1"/>
  <c r="AH127" i="1" a="1"/>
  <c r="AH127" i="1" s="1"/>
  <c r="AH128" i="1" a="1"/>
  <c r="AH128" i="1" s="1"/>
  <c r="AH129" i="1" a="1"/>
  <c r="AH129" i="1" s="1"/>
  <c r="AH130" i="1" a="1"/>
  <c r="AH130" i="1" s="1"/>
  <c r="AH131" i="1" a="1"/>
  <c r="AH131" i="1" s="1"/>
  <c r="AH119" i="1" a="1"/>
  <c r="AH119" i="1" s="1"/>
  <c r="AH117" i="1" a="1"/>
  <c r="AH117" i="1" s="1"/>
  <c r="AH132" i="1" a="1"/>
  <c r="AH132" i="1" s="1"/>
  <c r="AH120" i="1" a="1"/>
  <c r="AH120" i="1" s="1"/>
  <c r="AH116" i="1" a="1"/>
  <c r="AH116" i="1" s="1"/>
  <c r="AH133" i="1" a="1"/>
  <c r="AH133" i="1" s="1"/>
  <c r="AH135" i="1" a="1"/>
  <c r="AH135" i="1" s="1"/>
  <c r="AH123" i="1" a="1"/>
  <c r="AH123" i="1" s="1"/>
  <c r="AH136" i="1" a="1"/>
  <c r="AH136" i="1" s="1"/>
  <c r="AH124" i="1" a="1"/>
  <c r="AH124" i="1" s="1"/>
  <c r="AH111" i="1" a="1"/>
  <c r="AH111" i="1" s="1"/>
  <c r="AH100" i="1" a="1"/>
  <c r="AH100" i="1" s="1"/>
  <c r="AH101" i="1" a="1"/>
  <c r="AH101" i="1" s="1"/>
  <c r="AH112" i="1" a="1"/>
  <c r="AH112" i="1" s="1"/>
  <c r="AH103" i="1" a="1"/>
  <c r="AH103" i="1" s="1"/>
  <c r="AH134" i="1" a="1"/>
  <c r="AH134" i="1" s="1"/>
  <c r="AH125" i="1" a="1"/>
  <c r="AH125" i="1" s="1"/>
  <c r="AH118" i="1" a="1"/>
  <c r="AH118" i="1" s="1"/>
  <c r="AH115" i="1" a="1"/>
  <c r="AH115" i="1" s="1"/>
  <c r="AH104" i="1" a="1"/>
  <c r="AH104" i="1" s="1"/>
  <c r="AH105" i="1" a="1"/>
  <c r="AH105" i="1" s="1"/>
  <c r="AH122" i="1" a="1"/>
  <c r="AH122" i="1" s="1"/>
  <c r="AH121" i="1" a="1"/>
  <c r="AH121" i="1" s="1"/>
  <c r="AH113" i="1" a="1"/>
  <c r="AH113" i="1" s="1"/>
  <c r="AH114" i="1" a="1"/>
  <c r="AH114" i="1" s="1"/>
  <c r="AH96" i="1" a="1"/>
  <c r="AH96" i="1" s="1"/>
  <c r="AH86" i="1" a="1"/>
  <c r="AH86" i="1" s="1"/>
  <c r="AH99" i="1" a="1"/>
  <c r="AH99" i="1" s="1"/>
  <c r="AH92" i="1" a="1"/>
  <c r="AH92" i="1" s="1"/>
  <c r="AH87" i="1" a="1"/>
  <c r="AH87" i="1" s="1"/>
  <c r="AH85" i="1" a="1"/>
  <c r="AH85" i="1" s="1"/>
  <c r="AH94" i="1" a="1"/>
  <c r="AH94" i="1" s="1"/>
  <c r="AH88" i="1" a="1"/>
  <c r="AH88" i="1" s="1"/>
  <c r="AH84" i="1" a="1"/>
  <c r="AH84" i="1" s="1"/>
  <c r="AH89" i="1" a="1"/>
  <c r="AH89" i="1" s="1"/>
  <c r="AH83" i="1" a="1"/>
  <c r="AH83" i="1" s="1"/>
  <c r="AH106" i="1" a="1"/>
  <c r="AH106" i="1" s="1"/>
  <c r="AH90" i="1" a="1"/>
  <c r="AH90" i="1" s="1"/>
  <c r="AH82" i="1" a="1"/>
  <c r="AH82" i="1" s="1"/>
  <c r="AH91" i="1" a="1"/>
  <c r="AH91" i="1" s="1"/>
  <c r="AH81" i="1" a="1"/>
  <c r="AH81" i="1" s="1"/>
  <c r="AH80" i="1" a="1"/>
  <c r="AH80" i="1" s="1"/>
  <c r="AH97" i="1" a="1"/>
  <c r="AH97" i="1" s="1"/>
  <c r="AH95" i="1" a="1"/>
  <c r="AH95" i="1" s="1"/>
  <c r="AH102" i="1" a="1"/>
  <c r="AH102" i="1" s="1"/>
  <c r="AH98" i="1" a="1"/>
  <c r="AH98" i="1" s="1"/>
  <c r="AH137" i="1" a="1"/>
  <c r="AH137" i="1" s="1"/>
  <c r="AH66" i="1" a="1"/>
  <c r="AH66" i="1" s="1"/>
  <c r="AH67" i="1" a="1"/>
  <c r="AH67" i="1" s="1"/>
  <c r="AH68" i="1" a="1"/>
  <c r="AH68" i="1" s="1"/>
  <c r="AH56" i="1" a="1"/>
  <c r="AH56" i="1" s="1"/>
  <c r="AH69" i="1" a="1"/>
  <c r="AH69" i="1" s="1"/>
  <c r="AH57" i="1" a="1"/>
  <c r="AH57" i="1" s="1"/>
  <c r="AH55" i="1" a="1"/>
  <c r="AH55" i="1" s="1"/>
  <c r="AH70" i="1" a="1"/>
  <c r="AH70" i="1" s="1"/>
  <c r="AH58" i="1" a="1"/>
  <c r="AH58" i="1" s="1"/>
  <c r="AH54" i="1" a="1"/>
  <c r="AH54" i="1" s="1"/>
  <c r="AH44" i="1" a="1"/>
  <c r="AH44" i="1" s="1"/>
  <c r="AH93" i="1" a="1"/>
  <c r="AH93" i="1" s="1"/>
  <c r="AH75" i="1" a="1"/>
  <c r="AH75" i="1" s="1"/>
  <c r="AH71" i="1" a="1"/>
  <c r="AH71" i="1" s="1"/>
  <c r="AH59" i="1" a="1"/>
  <c r="AH59" i="1" s="1"/>
  <c r="AH53" i="1" a="1"/>
  <c r="AH53" i="1" s="1"/>
  <c r="AH107" i="1" a="1"/>
  <c r="AH107" i="1" s="1"/>
  <c r="AH72" i="1" a="1"/>
  <c r="AH72" i="1" s="1"/>
  <c r="AH60" i="1" a="1"/>
  <c r="AH60" i="1" s="1"/>
  <c r="AH52" i="1" a="1"/>
  <c r="AH52" i="1" s="1"/>
  <c r="AH73" i="1" a="1"/>
  <c r="AH73" i="1" s="1"/>
  <c r="AH61" i="1" a="1"/>
  <c r="AH61" i="1" s="1"/>
  <c r="AH51" i="1" a="1"/>
  <c r="AH51" i="1" s="1"/>
  <c r="AH78" i="1" a="1"/>
  <c r="AH78" i="1" s="1"/>
  <c r="AH74" i="1" a="1"/>
  <c r="AH74" i="1" s="1"/>
  <c r="AH62" i="1" a="1"/>
  <c r="AH62" i="1" s="1"/>
  <c r="AH50" i="1" a="1"/>
  <c r="AH50" i="1" s="1"/>
  <c r="AH79" i="1" a="1"/>
  <c r="AH79" i="1" s="1"/>
  <c r="AH63" i="1" a="1"/>
  <c r="AH63" i="1" s="1"/>
  <c r="AH64" i="1" a="1"/>
  <c r="AH64" i="1" s="1"/>
  <c r="AU156" i="1" a="1"/>
  <c r="AU156" i="1" s="1"/>
  <c r="AU139" i="1" a="1"/>
  <c r="AU139" i="1" s="1"/>
  <c r="AU155" i="1" a="1"/>
  <c r="AU155" i="1" s="1"/>
  <c r="AU144" i="1" a="1"/>
  <c r="AU144" i="1" s="1"/>
  <c r="AU149" i="1" a="1"/>
  <c r="AU149" i="1" s="1"/>
  <c r="AU143" i="1" a="1"/>
  <c r="AU143" i="1" s="1"/>
  <c r="AU148" i="1" a="1"/>
  <c r="AU148" i="1" s="1"/>
  <c r="AU147" i="1" a="1"/>
  <c r="AU147" i="1" s="1"/>
  <c r="AU128" i="1" a="1"/>
  <c r="AU128" i="1" s="1"/>
  <c r="AU137" i="1" a="1"/>
  <c r="AU137" i="1" s="1"/>
  <c r="AU129" i="1" a="1"/>
  <c r="AU129" i="1" s="1"/>
  <c r="AU130" i="1" a="1"/>
  <c r="AU130" i="1" s="1"/>
  <c r="AU118" i="1" a="1"/>
  <c r="AU118" i="1" s="1"/>
  <c r="AU131" i="1" a="1"/>
  <c r="AU131" i="1" s="1"/>
  <c r="AU152" i="1" a="1"/>
  <c r="AU152" i="1" s="1"/>
  <c r="AU151" i="1" s="1"/>
  <c r="AU150" i="1" s="1"/>
  <c r="AU138" i="1" a="1"/>
  <c r="AU138" i="1" s="1"/>
  <c r="AU132" i="1" a="1"/>
  <c r="AU132" i="1" s="1"/>
  <c r="AU120" i="1" a="1"/>
  <c r="AU120" i="1" s="1"/>
  <c r="AU133" i="1" a="1"/>
  <c r="AU133" i="1" s="1"/>
  <c r="AU121" i="1" a="1"/>
  <c r="AU121" i="1" s="1"/>
  <c r="AU115" i="1" a="1"/>
  <c r="AU115" i="1" s="1"/>
  <c r="AU134" i="1" a="1"/>
  <c r="AU134" i="1" s="1"/>
  <c r="AU122" i="1" a="1"/>
  <c r="AU122" i="1" s="1"/>
  <c r="AU135" i="1" a="1"/>
  <c r="AU135" i="1" s="1"/>
  <c r="AU123" i="1" a="1"/>
  <c r="AU123" i="1" s="1"/>
  <c r="AU125" i="1" a="1"/>
  <c r="AU125" i="1" s="1"/>
  <c r="AU126" i="1" a="1"/>
  <c r="AU126" i="1" s="1"/>
  <c r="AU114" i="1" a="1"/>
  <c r="AU114" i="1" s="1"/>
  <c r="AU102" i="1" a="1"/>
  <c r="AU102" i="1" s="1"/>
  <c r="AU103" i="1" a="1"/>
  <c r="AU103" i="1" s="1"/>
  <c r="AU136" i="1" a="1"/>
  <c r="AU136" i="1" s="1"/>
  <c r="AU127" i="1" a="1"/>
  <c r="AU127" i="1" s="1"/>
  <c r="AU105" i="1" a="1"/>
  <c r="AU105" i="1" s="1"/>
  <c r="AU117" i="1" a="1"/>
  <c r="AU117" i="1" s="1"/>
  <c r="AU112" i="1" a="1"/>
  <c r="AU112" i="1" s="1"/>
  <c r="AU124" i="1" a="1"/>
  <c r="AU124" i="1" s="1"/>
  <c r="AU119" i="1" a="1"/>
  <c r="AU119" i="1" s="1"/>
  <c r="AU113" i="1" a="1"/>
  <c r="AU113" i="1" s="1"/>
  <c r="AU110" i="1" a="1"/>
  <c r="AU110" i="1" s="1"/>
  <c r="AU98" i="1" a="1"/>
  <c r="AU98" i="1" s="1"/>
  <c r="AU88" i="1" a="1"/>
  <c r="AU88" i="1" s="1"/>
  <c r="AU84" i="1" a="1"/>
  <c r="AU84" i="1" s="1"/>
  <c r="AU92" i="1" a="1"/>
  <c r="AU92" i="1" s="1"/>
  <c r="AU89" i="1" a="1"/>
  <c r="AU89" i="1" s="1"/>
  <c r="AU83" i="1" a="1"/>
  <c r="AU83" i="1" s="1"/>
  <c r="AU107" i="1" a="1"/>
  <c r="AU107" i="1" s="1"/>
  <c r="AU96" i="1" a="1"/>
  <c r="AU96" i="1" s="1"/>
  <c r="AU90" i="1" a="1"/>
  <c r="AU90" i="1" s="1"/>
  <c r="AU82" i="1" a="1"/>
  <c r="AU82" i="1" s="1"/>
  <c r="AU101" i="1" a="1"/>
  <c r="AU101" i="1" s="1"/>
  <c r="AU91" i="1" a="1"/>
  <c r="AU91" i="1" s="1"/>
  <c r="AU81" i="1" a="1"/>
  <c r="AU81" i="1" s="1"/>
  <c r="AU94" i="1" a="1"/>
  <c r="AU94" i="1" s="1"/>
  <c r="AU80" i="1" a="1"/>
  <c r="AU80" i="1" s="1"/>
  <c r="AU104" i="1" a="1"/>
  <c r="AU104" i="1" s="1"/>
  <c r="AU79" i="1" a="1"/>
  <c r="AU79" i="1" s="1"/>
  <c r="AU106" i="1" a="1"/>
  <c r="AU106" i="1" s="1"/>
  <c r="AU116" i="1" a="1"/>
  <c r="AU116" i="1" s="1"/>
  <c r="AU99" i="1" a="1"/>
  <c r="AU99" i="1" s="1"/>
  <c r="AU95" i="1" a="1"/>
  <c r="AU95" i="1" s="1"/>
  <c r="AU68" i="1" a="1"/>
  <c r="AU68" i="1" s="1"/>
  <c r="AU56" i="1" a="1"/>
  <c r="AU56" i="1" s="1"/>
  <c r="AU93" i="1" a="1"/>
  <c r="AU93" i="1" s="1"/>
  <c r="AU69" i="1" a="1"/>
  <c r="AU69" i="1" s="1"/>
  <c r="AU57" i="1" a="1"/>
  <c r="AU57" i="1" s="1"/>
  <c r="AU55" i="1" a="1"/>
  <c r="AU55" i="1" s="1"/>
  <c r="AU70" i="1" a="1"/>
  <c r="AU70" i="1" s="1"/>
  <c r="AU58" i="1" a="1"/>
  <c r="AU58" i="1" s="1"/>
  <c r="AU54" i="1" a="1"/>
  <c r="AU54" i="1" s="1"/>
  <c r="AU44" i="1" a="1"/>
  <c r="AU44" i="1" s="1"/>
  <c r="AU78" i="1" a="1"/>
  <c r="AU78" i="1" s="1"/>
  <c r="AU71" i="1" a="1"/>
  <c r="AU71" i="1" s="1"/>
  <c r="AU59" i="1" a="1"/>
  <c r="AU59" i="1" s="1"/>
  <c r="AU53" i="1" a="1"/>
  <c r="AU53" i="1" s="1"/>
  <c r="AU111" i="1" a="1"/>
  <c r="AU111" i="1" s="1"/>
  <c r="AU72" i="1" a="1"/>
  <c r="AU72" i="1" s="1"/>
  <c r="AU60" i="1" a="1"/>
  <c r="AU60" i="1" s="1"/>
  <c r="AU52" i="1" a="1"/>
  <c r="AU52" i="1" s="1"/>
  <c r="AU43" i="1" a="1"/>
  <c r="AU43" i="1" s="1"/>
  <c r="AU86" i="1" a="1"/>
  <c r="AU86" i="1" s="1"/>
  <c r="AU73" i="1" a="1"/>
  <c r="AU73" i="1" s="1"/>
  <c r="AU61" i="1" a="1"/>
  <c r="AU61" i="1" s="1"/>
  <c r="AU51" i="1" a="1"/>
  <c r="AU51" i="1" s="1"/>
  <c r="AU74" i="1" a="1"/>
  <c r="AU74" i="1" s="1"/>
  <c r="AU62" i="1" a="1"/>
  <c r="AU62" i="1" s="1"/>
  <c r="AU50" i="1" a="1"/>
  <c r="AU50" i="1" s="1"/>
  <c r="AU87" i="1" a="1"/>
  <c r="AU87" i="1" s="1"/>
  <c r="AU85" i="1" a="1"/>
  <c r="AU85" i="1" s="1"/>
  <c r="AU75" i="1" a="1"/>
  <c r="AU75" i="1" s="1"/>
  <c r="AU63" i="1" a="1"/>
  <c r="AU63" i="1" s="1"/>
  <c r="AU49" i="1" a="1"/>
  <c r="AU49" i="1" s="1"/>
  <c r="AU100" i="1" a="1"/>
  <c r="AU100" i="1" s="1"/>
  <c r="AU64" i="1" a="1"/>
  <c r="AU64" i="1" s="1"/>
  <c r="AU65" i="1" a="1"/>
  <c r="AU65" i="1" s="1"/>
  <c r="AU97" i="1" a="1"/>
  <c r="AU97" i="1" s="1"/>
  <c r="AU66" i="1" a="1"/>
  <c r="AU66" i="1" s="1"/>
  <c r="W31" i="1" a="1"/>
  <c r="W31" i="1" s="1"/>
  <c r="AJ156" i="1" a="1"/>
  <c r="AJ156" i="1" s="1"/>
  <c r="AJ155" i="1" a="1"/>
  <c r="AJ155" i="1" s="1"/>
  <c r="AJ144" i="1" a="1"/>
  <c r="AJ144" i="1" s="1"/>
  <c r="AJ149" i="1" a="1"/>
  <c r="AJ149" i="1" s="1"/>
  <c r="AJ143" i="1" a="1"/>
  <c r="AJ143" i="1" s="1"/>
  <c r="AJ148" i="1" a="1"/>
  <c r="AJ148" i="1" s="1"/>
  <c r="AJ147" i="1" a="1"/>
  <c r="AJ147" i="1" s="1"/>
  <c r="AJ152" i="1" a="1"/>
  <c r="AJ152" i="1" s="1"/>
  <c r="AJ151" i="1" s="1"/>
  <c r="AJ150" i="1" s="1"/>
  <c r="AJ130" i="1" a="1"/>
  <c r="AJ130" i="1" s="1"/>
  <c r="AJ118" i="1" a="1"/>
  <c r="AJ118" i="1" s="1"/>
  <c r="AJ106" i="1" a="1"/>
  <c r="AJ106" i="1" s="1"/>
  <c r="AJ131" i="1" a="1"/>
  <c r="AJ131" i="1" s="1"/>
  <c r="AJ119" i="1" a="1"/>
  <c r="AJ119" i="1" s="1"/>
  <c r="AJ117" i="1" a="1"/>
  <c r="AJ117" i="1" s="1"/>
  <c r="AJ132" i="1" a="1"/>
  <c r="AJ132" i="1" s="1"/>
  <c r="AJ120" i="1" a="1"/>
  <c r="AJ120" i="1" s="1"/>
  <c r="AJ116" i="1" a="1"/>
  <c r="AJ116" i="1" s="1"/>
  <c r="AJ133" i="1" a="1"/>
  <c r="AJ133" i="1" s="1"/>
  <c r="AJ134" i="1" a="1"/>
  <c r="AJ134" i="1" s="1"/>
  <c r="AJ122" i="1" a="1"/>
  <c r="AJ122" i="1" s="1"/>
  <c r="AJ135" i="1" a="1"/>
  <c r="AJ135" i="1" s="1"/>
  <c r="AJ123" i="1" a="1"/>
  <c r="AJ123" i="1" s="1"/>
  <c r="AJ136" i="1" a="1"/>
  <c r="AJ136" i="1" s="1"/>
  <c r="AJ124" i="1" a="1"/>
  <c r="AJ124" i="1" s="1"/>
  <c r="AJ137" i="1" a="1"/>
  <c r="AJ137" i="1" s="1"/>
  <c r="AJ125" i="1" a="1"/>
  <c r="AJ125" i="1" s="1"/>
  <c r="AJ127" i="1" a="1"/>
  <c r="AJ127" i="1" s="1"/>
  <c r="AJ128" i="1" a="1"/>
  <c r="AJ128" i="1" s="1"/>
  <c r="AJ104" i="1" a="1"/>
  <c r="AJ104" i="1" s="1"/>
  <c r="AJ92" i="1" a="1"/>
  <c r="AJ92" i="1" s="1"/>
  <c r="AJ139" i="1" a="1"/>
  <c r="AJ139" i="1" s="1"/>
  <c r="AJ129" i="1" a="1"/>
  <c r="AJ129" i="1" s="1"/>
  <c r="AJ115" i="1" a="1"/>
  <c r="AJ115" i="1" s="1"/>
  <c r="AJ105" i="1" a="1"/>
  <c r="AJ105" i="1" s="1"/>
  <c r="AJ138" i="1" a="1"/>
  <c r="AJ138" i="1" s="1"/>
  <c r="AJ113" i="1" a="1"/>
  <c r="AJ113" i="1" s="1"/>
  <c r="AJ110" i="1" a="1"/>
  <c r="AJ110" i="1" s="1"/>
  <c r="AJ126" i="1" a="1"/>
  <c r="AJ126" i="1" s="1"/>
  <c r="AJ121" i="1" a="1"/>
  <c r="AJ121" i="1" s="1"/>
  <c r="AJ114" i="1" a="1"/>
  <c r="AJ114" i="1" s="1"/>
  <c r="AJ111" i="1" a="1"/>
  <c r="AJ111" i="1" s="1"/>
  <c r="AJ100" i="1" a="1"/>
  <c r="AJ100" i="1" s="1"/>
  <c r="AJ90" i="1" a="1"/>
  <c r="AJ90" i="1" s="1"/>
  <c r="AJ82" i="1" a="1"/>
  <c r="AJ82" i="1" s="1"/>
  <c r="AJ101" i="1" a="1"/>
  <c r="AJ101" i="1" s="1"/>
  <c r="AJ91" i="1" a="1"/>
  <c r="AJ91" i="1" s="1"/>
  <c r="AJ81" i="1" a="1"/>
  <c r="AJ81" i="1" s="1"/>
  <c r="AJ80" i="1" a="1"/>
  <c r="AJ80" i="1" s="1"/>
  <c r="AJ112" i="1" a="1"/>
  <c r="AJ112" i="1" s="1"/>
  <c r="AJ97" i="1" a="1"/>
  <c r="AJ97" i="1" s="1"/>
  <c r="AJ95" i="1" a="1"/>
  <c r="AJ95" i="1" s="1"/>
  <c r="AJ79" i="1" a="1"/>
  <c r="AJ79" i="1" s="1"/>
  <c r="AJ98" i="1" a="1"/>
  <c r="AJ98" i="1" s="1"/>
  <c r="AJ102" i="1" a="1"/>
  <c r="AJ102" i="1" s="1"/>
  <c r="AJ93" i="1" a="1"/>
  <c r="AJ93" i="1" s="1"/>
  <c r="AJ96" i="1" a="1"/>
  <c r="AJ96" i="1" s="1"/>
  <c r="AJ86" i="1" a="1"/>
  <c r="AJ86" i="1" s="1"/>
  <c r="AJ107" i="1" a="1"/>
  <c r="AJ107" i="1" s="1"/>
  <c r="AJ87" i="1" a="1"/>
  <c r="AJ87" i="1" s="1"/>
  <c r="AJ85" i="1" a="1"/>
  <c r="AJ85" i="1" s="1"/>
  <c r="AJ75" i="1" a="1"/>
  <c r="AJ75" i="1" s="1"/>
  <c r="AJ88" i="1" a="1"/>
  <c r="AJ88" i="1" s="1"/>
  <c r="AJ70" i="1" a="1"/>
  <c r="AJ70" i="1" s="1"/>
  <c r="AJ58" i="1" a="1"/>
  <c r="AJ58" i="1" s="1"/>
  <c r="AJ54" i="1" a="1"/>
  <c r="AJ54" i="1" s="1"/>
  <c r="AJ44" i="1" a="1"/>
  <c r="AJ44" i="1" s="1"/>
  <c r="AJ71" i="1" a="1"/>
  <c r="AJ71" i="1" s="1"/>
  <c r="AJ59" i="1" a="1"/>
  <c r="AJ59" i="1" s="1"/>
  <c r="AJ53" i="1" a="1"/>
  <c r="AJ53" i="1" s="1"/>
  <c r="AJ89" i="1" a="1"/>
  <c r="AJ89" i="1" s="1"/>
  <c r="AJ72" i="1" a="1"/>
  <c r="AJ72" i="1" s="1"/>
  <c r="AJ60" i="1" a="1"/>
  <c r="AJ60" i="1" s="1"/>
  <c r="AJ52" i="1" a="1"/>
  <c r="AJ52" i="1" s="1"/>
  <c r="AJ43" i="1" a="1"/>
  <c r="AJ43" i="1" s="1"/>
  <c r="AJ83" i="1" a="1"/>
  <c r="AJ83" i="1" s="1"/>
  <c r="AJ73" i="1" a="1"/>
  <c r="AJ73" i="1" s="1"/>
  <c r="AJ61" i="1" a="1"/>
  <c r="AJ61" i="1" s="1"/>
  <c r="AJ51" i="1" a="1"/>
  <c r="AJ51" i="1" s="1"/>
  <c r="AJ74" i="1" a="1"/>
  <c r="AJ74" i="1" s="1"/>
  <c r="AJ62" i="1" a="1"/>
  <c r="AJ62" i="1" s="1"/>
  <c r="AJ50" i="1" a="1"/>
  <c r="AJ50" i="1" s="1"/>
  <c r="AJ78" i="1" a="1"/>
  <c r="AJ78" i="1" s="1"/>
  <c r="AJ63" i="1" a="1"/>
  <c r="AJ63" i="1" s="1"/>
  <c r="AJ49" i="1" a="1"/>
  <c r="AJ49" i="1" s="1"/>
  <c r="AJ64" i="1" a="1"/>
  <c r="AJ64" i="1" s="1"/>
  <c r="AJ48" i="1" a="1"/>
  <c r="AJ48" i="1" s="1"/>
  <c r="AJ103" i="1" a="1"/>
  <c r="AJ103" i="1" s="1"/>
  <c r="AJ65" i="1" a="1"/>
  <c r="AJ65" i="1" s="1"/>
  <c r="AJ66" i="1" a="1"/>
  <c r="AJ66" i="1" s="1"/>
  <c r="AJ94" i="1" a="1"/>
  <c r="AJ94" i="1" s="1"/>
  <c r="AJ84" i="1" a="1"/>
  <c r="AJ84" i="1" s="1"/>
  <c r="AJ67" i="1" a="1"/>
  <c r="AJ67" i="1" s="1"/>
  <c r="AJ99" i="1" a="1"/>
  <c r="AJ99" i="1" s="1"/>
  <c r="AJ68" i="1" a="1"/>
  <c r="AJ68" i="1" s="1"/>
  <c r="AJ56" i="1" a="1"/>
  <c r="AJ56" i="1" s="1"/>
  <c r="AV156" i="1" a="1"/>
  <c r="AV156" i="1" s="1"/>
  <c r="AV139" i="1" a="1"/>
  <c r="AV139" i="1" s="1"/>
  <c r="AV155" i="1" a="1"/>
  <c r="AV155" i="1" s="1"/>
  <c r="AV144" i="1" a="1"/>
  <c r="AV144" i="1" s="1"/>
  <c r="AV149" i="1" a="1"/>
  <c r="AV149" i="1" s="1"/>
  <c r="AV143" i="1" a="1"/>
  <c r="AV143" i="1" s="1"/>
  <c r="AV148" i="1" a="1"/>
  <c r="AV148" i="1" s="1"/>
  <c r="AV147" i="1" a="1"/>
  <c r="AV147" i="1" s="1"/>
  <c r="AV152" i="1" a="1"/>
  <c r="AV152" i="1" s="1"/>
  <c r="AV151" i="1" s="1"/>
  <c r="AV150" i="1" s="1"/>
  <c r="AV130" i="1" a="1"/>
  <c r="AV130" i="1" s="1"/>
  <c r="AV118" i="1" a="1"/>
  <c r="AV118" i="1" s="1"/>
  <c r="AV106" i="1" a="1"/>
  <c r="AV106" i="1" s="1"/>
  <c r="AV131" i="1" a="1"/>
  <c r="AV131" i="1" s="1"/>
  <c r="AV119" i="1" a="1"/>
  <c r="AV119" i="1" s="1"/>
  <c r="AV117" i="1" a="1"/>
  <c r="AV117" i="1" s="1"/>
  <c r="AV138" i="1" a="1"/>
  <c r="AV138" i="1" s="1"/>
  <c r="AV132" i="1" a="1"/>
  <c r="AV132" i="1" s="1"/>
  <c r="AV120" i="1" a="1"/>
  <c r="AV120" i="1" s="1"/>
  <c r="AV116" i="1" a="1"/>
  <c r="AV116" i="1" s="1"/>
  <c r="AV133" i="1" a="1"/>
  <c r="AV133" i="1" s="1"/>
  <c r="AV134" i="1" a="1"/>
  <c r="AV134" i="1" s="1"/>
  <c r="AV122" i="1" a="1"/>
  <c r="AV122" i="1" s="1"/>
  <c r="AV135" i="1" a="1"/>
  <c r="AV135" i="1" s="1"/>
  <c r="AV123" i="1" a="1"/>
  <c r="AV123" i="1" s="1"/>
  <c r="AV136" i="1" a="1"/>
  <c r="AV136" i="1" s="1"/>
  <c r="AV124" i="1" a="1"/>
  <c r="AV124" i="1" s="1"/>
  <c r="AV125" i="1" a="1"/>
  <c r="AV125" i="1" s="1"/>
  <c r="AV127" i="1" a="1"/>
  <c r="AV127" i="1" s="1"/>
  <c r="AV128" i="1" a="1"/>
  <c r="AV128" i="1" s="1"/>
  <c r="AV126" i="1" a="1"/>
  <c r="AV126" i="1" s="1"/>
  <c r="AV111" i="1" a="1"/>
  <c r="AV111" i="1" s="1"/>
  <c r="AV104" i="1" a="1"/>
  <c r="AV104" i="1" s="1"/>
  <c r="AV92" i="1" a="1"/>
  <c r="AV92" i="1" s="1"/>
  <c r="AV105" i="1" a="1"/>
  <c r="AV105" i="1" s="1"/>
  <c r="AV112" i="1" a="1"/>
  <c r="AV112" i="1" s="1"/>
  <c r="AV137" i="1" a="1"/>
  <c r="AV137" i="1" s="1"/>
  <c r="AV115" i="1" a="1"/>
  <c r="AV115" i="1" s="1"/>
  <c r="AV113" i="1" a="1"/>
  <c r="AV113" i="1" s="1"/>
  <c r="AV110" i="1" a="1"/>
  <c r="AV110" i="1" s="1"/>
  <c r="AV100" i="1" a="1"/>
  <c r="AV100" i="1" s="1"/>
  <c r="AV129" i="1" a="1"/>
  <c r="AV129" i="1" s="1"/>
  <c r="AV96" i="1" a="1"/>
  <c r="AV96" i="1" s="1"/>
  <c r="AV90" i="1" a="1"/>
  <c r="AV90" i="1" s="1"/>
  <c r="AV82" i="1" a="1"/>
  <c r="AV82" i="1" s="1"/>
  <c r="AV107" i="1" a="1"/>
  <c r="AV107" i="1" s="1"/>
  <c r="AV101" i="1" a="1"/>
  <c r="AV101" i="1" s="1"/>
  <c r="AV81" i="1" a="1"/>
  <c r="AV81" i="1" s="1"/>
  <c r="AV94" i="1" a="1"/>
  <c r="AV94" i="1" s="1"/>
  <c r="AV91" i="1" a="1"/>
  <c r="AV91" i="1" s="1"/>
  <c r="AV80" i="1" a="1"/>
  <c r="AV80" i="1" s="1"/>
  <c r="AV121" i="1" a="1"/>
  <c r="AV121" i="1" s="1"/>
  <c r="AV79" i="1" a="1"/>
  <c r="AV79" i="1" s="1"/>
  <c r="AV78" i="1" a="1"/>
  <c r="AV78" i="1" s="1"/>
  <c r="AV102" i="1" a="1"/>
  <c r="AV102" i="1" s="1"/>
  <c r="AV95" i="1" a="1"/>
  <c r="AV95" i="1" s="1"/>
  <c r="AV114" i="1" a="1"/>
  <c r="AV114" i="1" s="1"/>
  <c r="AV99" i="1" a="1"/>
  <c r="AV99" i="1" s="1"/>
  <c r="AV86" i="1" a="1"/>
  <c r="AV86" i="1" s="1"/>
  <c r="AV97" i="1" a="1"/>
  <c r="AV97" i="1" s="1"/>
  <c r="AV93" i="1" a="1"/>
  <c r="AV93" i="1" s="1"/>
  <c r="AV87" i="1" a="1"/>
  <c r="AV87" i="1" s="1"/>
  <c r="AV85" i="1" a="1"/>
  <c r="AV85" i="1" s="1"/>
  <c r="AV75" i="1" a="1"/>
  <c r="AV75" i="1" s="1"/>
  <c r="AV70" i="1" a="1"/>
  <c r="AV70" i="1" s="1"/>
  <c r="AV58" i="1" a="1"/>
  <c r="AV58" i="1" s="1"/>
  <c r="AV54" i="1" a="1"/>
  <c r="AV54" i="1" s="1"/>
  <c r="AV44" i="1" a="1"/>
  <c r="AV44" i="1" s="1"/>
  <c r="AV71" i="1" a="1"/>
  <c r="AV71" i="1" s="1"/>
  <c r="AV59" i="1" a="1"/>
  <c r="AV59" i="1" s="1"/>
  <c r="AV53" i="1" a="1"/>
  <c r="AV53" i="1" s="1"/>
  <c r="AV98" i="1" a="1"/>
  <c r="AV98" i="1" s="1"/>
  <c r="AV72" i="1" a="1"/>
  <c r="AV72" i="1" s="1"/>
  <c r="AV60" i="1" a="1"/>
  <c r="AV60" i="1" s="1"/>
  <c r="AV52" i="1" a="1"/>
  <c r="AV52" i="1" s="1"/>
  <c r="AV43" i="1" a="1"/>
  <c r="AV43" i="1" s="1"/>
  <c r="AV73" i="1" a="1"/>
  <c r="AV73" i="1" s="1"/>
  <c r="AV61" i="1" a="1"/>
  <c r="AV61" i="1" s="1"/>
  <c r="AV51" i="1" a="1"/>
  <c r="AV51" i="1" s="1"/>
  <c r="AV74" i="1" a="1"/>
  <c r="AV74" i="1" s="1"/>
  <c r="AV62" i="1" a="1"/>
  <c r="AV62" i="1" s="1"/>
  <c r="AV50" i="1" a="1"/>
  <c r="AV50" i="1" s="1"/>
  <c r="AV103" i="1" a="1"/>
  <c r="AV103" i="1" s="1"/>
  <c r="AV84" i="1" a="1"/>
  <c r="AV84" i="1" s="1"/>
  <c r="AV63" i="1" a="1"/>
  <c r="AV63" i="1" s="1"/>
  <c r="AV49" i="1" a="1"/>
  <c r="AV49" i="1" s="1"/>
  <c r="AV64" i="1" a="1"/>
  <c r="AV64" i="1" s="1"/>
  <c r="AV48" i="1" a="1"/>
  <c r="AV48" i="1" s="1"/>
  <c r="AV65" i="1" a="1"/>
  <c r="AV65" i="1" s="1"/>
  <c r="AV88" i="1" a="1"/>
  <c r="AV88" i="1" s="1"/>
  <c r="AV66" i="1" a="1"/>
  <c r="AV66" i="1" s="1"/>
  <c r="AV83" i="1" a="1"/>
  <c r="AV83" i="1" s="1"/>
  <c r="AV67" i="1" a="1"/>
  <c r="AV67" i="1" s="1"/>
  <c r="AV89" i="1" a="1"/>
  <c r="AV89" i="1" s="1"/>
  <c r="AV68" i="1" a="1"/>
  <c r="AV68" i="1" s="1"/>
  <c r="AV56" i="1" a="1"/>
  <c r="AV56" i="1" s="1"/>
  <c r="BH156" i="1" a="1"/>
  <c r="BH156" i="1" s="1"/>
  <c r="BH139" i="1" a="1"/>
  <c r="BH139" i="1" s="1"/>
  <c r="BH155" i="1" a="1"/>
  <c r="BH155" i="1" s="1"/>
  <c r="BH144" i="1" a="1"/>
  <c r="BH144" i="1" s="1"/>
  <c r="BH149" i="1" a="1"/>
  <c r="BH149" i="1" s="1"/>
  <c r="BH143" i="1" a="1"/>
  <c r="BH143" i="1" s="1"/>
  <c r="BH148" i="1" a="1"/>
  <c r="BH148" i="1" s="1"/>
  <c r="BH147" i="1" a="1"/>
  <c r="BH147" i="1" s="1"/>
  <c r="BH152" i="1" a="1"/>
  <c r="BH152" i="1" s="1"/>
  <c r="BH151" i="1" s="1"/>
  <c r="BH150" i="1" s="1"/>
  <c r="BH130" i="1" a="1"/>
  <c r="BH130" i="1" s="1"/>
  <c r="BH118" i="1" a="1"/>
  <c r="BH118" i="1" s="1"/>
  <c r="BH106" i="1" a="1"/>
  <c r="BH106" i="1" s="1"/>
  <c r="BH131" i="1" a="1"/>
  <c r="BH131" i="1" s="1"/>
  <c r="BH119" i="1" a="1"/>
  <c r="BH119" i="1" s="1"/>
  <c r="BH117" i="1" a="1"/>
  <c r="BH117" i="1" s="1"/>
  <c r="BH132" i="1" a="1"/>
  <c r="BH132" i="1" s="1"/>
  <c r="BH120" i="1" a="1"/>
  <c r="BH120" i="1" s="1"/>
  <c r="BH116" i="1" a="1"/>
  <c r="BH116" i="1" s="1"/>
  <c r="BH133" i="1" a="1"/>
  <c r="BH133" i="1" s="1"/>
  <c r="BH134" i="1" a="1"/>
  <c r="BH134" i="1" s="1"/>
  <c r="BH122" i="1" a="1"/>
  <c r="BH122" i="1" s="1"/>
  <c r="BH137" i="1" a="1"/>
  <c r="BH137" i="1" s="1"/>
  <c r="BH135" i="1" a="1"/>
  <c r="BH135" i="1" s="1"/>
  <c r="BH123" i="1" a="1"/>
  <c r="BH123" i="1" s="1"/>
  <c r="BH136" i="1" a="1"/>
  <c r="BH136" i="1" s="1"/>
  <c r="BH124" i="1" a="1"/>
  <c r="BH124" i="1" s="1"/>
  <c r="BH125" i="1" a="1"/>
  <c r="BH125" i="1" s="1"/>
  <c r="BH138" i="1" a="1"/>
  <c r="BH138" i="1" s="1"/>
  <c r="BH127" i="1" a="1"/>
  <c r="BH127" i="1" s="1"/>
  <c r="BH128" i="1" a="1"/>
  <c r="BH128" i="1" s="1"/>
  <c r="BH104" i="1" a="1"/>
  <c r="BH104" i="1" s="1"/>
  <c r="BH92" i="1" a="1"/>
  <c r="BH92" i="1" s="1"/>
  <c r="BH105" i="1" a="1"/>
  <c r="BH105" i="1" s="1"/>
  <c r="BH93" i="1" a="1"/>
  <c r="BH93" i="1" s="1"/>
  <c r="BH121" i="1" a="1"/>
  <c r="BH121" i="1" s="1"/>
  <c r="BH115" i="1" a="1"/>
  <c r="BH115" i="1" s="1"/>
  <c r="BH114" i="1" a="1"/>
  <c r="BH114" i="1" s="1"/>
  <c r="BH111" i="1" a="1"/>
  <c r="BH111" i="1" s="1"/>
  <c r="BH129" i="1" a="1"/>
  <c r="BH129" i="1" s="1"/>
  <c r="BH112" i="1" a="1"/>
  <c r="BH112" i="1" s="1"/>
  <c r="BH126" i="1" a="1"/>
  <c r="BH126" i="1" s="1"/>
  <c r="BH100" i="1" a="1"/>
  <c r="BH100" i="1" s="1"/>
  <c r="BH113" i="1" a="1"/>
  <c r="BH113" i="1" s="1"/>
  <c r="BH90" i="1" a="1"/>
  <c r="BH90" i="1" s="1"/>
  <c r="BH82" i="1" a="1"/>
  <c r="BH82" i="1" s="1"/>
  <c r="BH101" i="1" a="1"/>
  <c r="BH101" i="1" s="1"/>
  <c r="BH81" i="1" a="1"/>
  <c r="BH81" i="1" s="1"/>
  <c r="BH80" i="1" a="1"/>
  <c r="BH80" i="1" s="1"/>
  <c r="BH97" i="1" a="1"/>
  <c r="BH97" i="1" s="1"/>
  <c r="BH79" i="1" a="1"/>
  <c r="BH79" i="1" s="1"/>
  <c r="BH98" i="1" a="1"/>
  <c r="BH98" i="1" s="1"/>
  <c r="BH96" i="1" a="1"/>
  <c r="BH96" i="1" s="1"/>
  <c r="BH91" i="1" a="1"/>
  <c r="BH91" i="1" s="1"/>
  <c r="BH78" i="1" a="1"/>
  <c r="BH78" i="1" s="1"/>
  <c r="BH107" i="1" a="1"/>
  <c r="BH107" i="1" s="1"/>
  <c r="BH102" i="1" a="1"/>
  <c r="BH102" i="1" s="1"/>
  <c r="BH99" i="1" a="1"/>
  <c r="BH99" i="1" s="1"/>
  <c r="BH94" i="1" a="1"/>
  <c r="BH94" i="1" s="1"/>
  <c r="BH110" i="1" a="1"/>
  <c r="BH110" i="1" s="1"/>
  <c r="BH86" i="1" a="1"/>
  <c r="BH86" i="1" s="1"/>
  <c r="BH87" i="1" a="1"/>
  <c r="BH87" i="1" s="1"/>
  <c r="BH85" i="1" a="1"/>
  <c r="BH85" i="1" s="1"/>
  <c r="BH75" i="1" a="1"/>
  <c r="BH75" i="1" s="1"/>
  <c r="BH70" i="1" a="1"/>
  <c r="BH70" i="1" s="1"/>
  <c r="BH58" i="1" a="1"/>
  <c r="BH58" i="1" s="1"/>
  <c r="BH54" i="1" a="1"/>
  <c r="BH54" i="1" s="1"/>
  <c r="BH44" i="1" a="1"/>
  <c r="BH44" i="1" s="1"/>
  <c r="BH84" i="1" a="1"/>
  <c r="BH84" i="1" s="1"/>
  <c r="BH71" i="1" a="1"/>
  <c r="BH71" i="1" s="1"/>
  <c r="BH59" i="1" a="1"/>
  <c r="BH59" i="1" s="1"/>
  <c r="BH53" i="1" a="1"/>
  <c r="BH53" i="1" s="1"/>
  <c r="BH72" i="1" a="1"/>
  <c r="BH72" i="1" s="1"/>
  <c r="BH60" i="1" a="1"/>
  <c r="BH60" i="1" s="1"/>
  <c r="BH52" i="1" a="1"/>
  <c r="BH52" i="1" s="1"/>
  <c r="BH43" i="1" a="1"/>
  <c r="BH43" i="1" s="1"/>
  <c r="BH103" i="1" a="1"/>
  <c r="BH103" i="1" s="1"/>
  <c r="BH83" i="1" a="1"/>
  <c r="BH83" i="1" s="1"/>
  <c r="BH73" i="1" a="1"/>
  <c r="BH73" i="1" s="1"/>
  <c r="BH61" i="1" a="1"/>
  <c r="BH61" i="1" s="1"/>
  <c r="BH51" i="1" a="1"/>
  <c r="BH51" i="1" s="1"/>
  <c r="BH88" i="1" a="1"/>
  <c r="BH88" i="1" s="1"/>
  <c r="BH62" i="1" a="1"/>
  <c r="BH62" i="1" s="1"/>
  <c r="BH50" i="1" a="1"/>
  <c r="BH50" i="1" s="1"/>
  <c r="BH74" i="1" a="1"/>
  <c r="BH74" i="1" s="1"/>
  <c r="BH63" i="1" a="1"/>
  <c r="BH63" i="1" s="1"/>
  <c r="BH49" i="1" a="1"/>
  <c r="BH49" i="1" s="1"/>
  <c r="BH89" i="1" a="1"/>
  <c r="BH89" i="1" s="1"/>
  <c r="BH64" i="1" a="1"/>
  <c r="BH64" i="1" s="1"/>
  <c r="BH48" i="1" a="1"/>
  <c r="BH48" i="1" s="1"/>
  <c r="BH95" i="1" a="1"/>
  <c r="BH95" i="1" s="1"/>
  <c r="BH65" i="1" a="1"/>
  <c r="BH65" i="1" s="1"/>
  <c r="BH66" i="1" a="1"/>
  <c r="BH66" i="1" s="1"/>
  <c r="BH67" i="1" a="1"/>
  <c r="BH67" i="1" s="1"/>
  <c r="BH68" i="1" a="1"/>
  <c r="BH68" i="1" s="1"/>
  <c r="BH56" i="1" a="1"/>
  <c r="BH56" i="1" s="1"/>
  <c r="T15" i="1" a="1"/>
  <c r="T15" i="1" s="1"/>
  <c r="Z15" i="1" a="1"/>
  <c r="Z15" i="1" s="1"/>
  <c r="AF15" i="1" a="1"/>
  <c r="AF15" i="1" s="1"/>
  <c r="AL15" i="1" a="1"/>
  <c r="AL15" i="1" s="1"/>
  <c r="AR15" i="1" a="1"/>
  <c r="AR15" i="1" s="1"/>
  <c r="AX15" i="1" a="1"/>
  <c r="AX15" i="1" s="1"/>
  <c r="BD15" i="1" a="1"/>
  <c r="BD15" i="1" s="1"/>
  <c r="BJ15" i="1" a="1"/>
  <c r="BJ15" i="1" s="1"/>
  <c r="U17" i="1" a="1"/>
  <c r="U17" i="1" s="1"/>
  <c r="AA17" i="1" a="1"/>
  <c r="AA17" i="1" s="1"/>
  <c r="AG17" i="1" a="1"/>
  <c r="AG17" i="1" s="1"/>
  <c r="AM17" i="1" a="1"/>
  <c r="AM17" i="1" s="1"/>
  <c r="AS17" i="1" a="1"/>
  <c r="AS17" i="1" s="1"/>
  <c r="AY17" i="1" a="1"/>
  <c r="AY17" i="1" s="1"/>
  <c r="BE17" i="1" a="1"/>
  <c r="BE17" i="1" s="1"/>
  <c r="BK17" i="1" a="1"/>
  <c r="BK17" i="1" s="1"/>
  <c r="Q21" i="1" a="1"/>
  <c r="Q21" i="1" s="1"/>
  <c r="Q20" i="1" s="1"/>
  <c r="W21" i="1" a="1"/>
  <c r="W21" i="1" s="1"/>
  <c r="W20" i="1" s="1"/>
  <c r="AC21" i="1" a="1"/>
  <c r="AC21" i="1" s="1"/>
  <c r="AC20" i="1" s="1"/>
  <c r="AI21" i="1" a="1"/>
  <c r="AI21" i="1" s="1"/>
  <c r="AI20" i="1" s="1"/>
  <c r="AO21" i="1" a="1"/>
  <c r="AO21" i="1" s="1"/>
  <c r="AO20" i="1" s="1"/>
  <c r="AU21" i="1" a="1"/>
  <c r="AU21" i="1" s="1"/>
  <c r="AU20" i="1" s="1"/>
  <c r="BA21" i="1" a="1"/>
  <c r="BA21" i="1" s="1"/>
  <c r="BA20" i="1" s="1"/>
  <c r="BG21" i="1" a="1"/>
  <c r="BG21" i="1" s="1"/>
  <c r="BG20" i="1" s="1"/>
  <c r="BM21" i="1" a="1"/>
  <c r="BM21" i="1" s="1"/>
  <c r="BM20" i="1" s="1"/>
  <c r="R25" i="1" a="1"/>
  <c r="R25" i="1" s="1"/>
  <c r="R24" i="1" s="1"/>
  <c r="X25" i="1" a="1"/>
  <c r="X25" i="1" s="1"/>
  <c r="X24" i="1" s="1"/>
  <c r="AD25" i="1" a="1"/>
  <c r="AD25" i="1" s="1"/>
  <c r="AD24" i="1" s="1"/>
  <c r="AJ25" i="1" a="1"/>
  <c r="AJ25" i="1" s="1"/>
  <c r="AJ24" i="1" s="1"/>
  <c r="AP25" i="1" a="1"/>
  <c r="AP25" i="1" s="1"/>
  <c r="AP24" i="1" s="1"/>
  <c r="AV25" i="1" a="1"/>
  <c r="AV25" i="1" s="1"/>
  <c r="AV24" i="1" s="1"/>
  <c r="BB25" i="1" a="1"/>
  <c r="BB25" i="1" s="1"/>
  <c r="BB24" i="1" s="1"/>
  <c r="BH25" i="1" a="1"/>
  <c r="BH25" i="1" s="1"/>
  <c r="BH24" i="1" s="1"/>
  <c r="BN25" i="1" a="1"/>
  <c r="BN25" i="1" s="1"/>
  <c r="BN24" i="1" s="1"/>
  <c r="T35" i="1" a="1"/>
  <c r="T35" i="1" s="1"/>
  <c r="Z35" i="1" a="1"/>
  <c r="Z35" i="1" s="1"/>
  <c r="AF35" i="1" a="1"/>
  <c r="AF35" i="1" s="1"/>
  <c r="AL35" i="1" a="1"/>
  <c r="AL35" i="1" s="1"/>
  <c r="AR35" i="1" a="1"/>
  <c r="AR35" i="1" s="1"/>
  <c r="AX35" i="1" a="1"/>
  <c r="AX35" i="1" s="1"/>
  <c r="BD35" i="1" a="1"/>
  <c r="BD35" i="1" s="1"/>
  <c r="BJ35" i="1" a="1"/>
  <c r="BJ35" i="1" s="1"/>
  <c r="T38" i="1" a="1"/>
  <c r="T38" i="1" s="1"/>
  <c r="Z38" i="1" a="1"/>
  <c r="Z38" i="1" s="1"/>
  <c r="AF38" i="1" a="1"/>
  <c r="AF38" i="1" s="1"/>
  <c r="AL38" i="1" a="1"/>
  <c r="AL38" i="1" s="1"/>
  <c r="AR38" i="1" a="1"/>
  <c r="AR38" i="1" s="1"/>
  <c r="AX38" i="1" a="1"/>
  <c r="AX38" i="1" s="1"/>
  <c r="BD38" i="1" a="1"/>
  <c r="BD38" i="1" s="1"/>
  <c r="BJ38" i="1" a="1"/>
  <c r="BJ38" i="1" s="1"/>
  <c r="S39" i="1" a="1"/>
  <c r="S39" i="1" s="1"/>
  <c r="Y39" i="1" a="1"/>
  <c r="Y39" i="1" s="1"/>
  <c r="AE39" i="1" a="1"/>
  <c r="AE39" i="1" s="1"/>
  <c r="AK39" i="1" a="1"/>
  <c r="AK39" i="1" s="1"/>
  <c r="AQ39" i="1" a="1"/>
  <c r="AQ39" i="1" s="1"/>
  <c r="AW39" i="1" a="1"/>
  <c r="AW39" i="1" s="1"/>
  <c r="BC39" i="1" a="1"/>
  <c r="BC39" i="1" s="1"/>
  <c r="BI39" i="1" a="1"/>
  <c r="BI39" i="1" s="1"/>
  <c r="AC42" i="1" a="1"/>
  <c r="AC42" i="1" s="1"/>
  <c r="AJ42" i="1" a="1"/>
  <c r="AJ42" i="1" s="1"/>
  <c r="AW42" i="1" a="1"/>
  <c r="AW42" i="1" s="1"/>
  <c r="BD42" i="1" a="1"/>
  <c r="BD42" i="1" s="1"/>
  <c r="BK42" i="1" a="1"/>
  <c r="BK42" i="1" s="1"/>
  <c r="AE43" i="1" a="1"/>
  <c r="AE43" i="1" s="1"/>
  <c r="AM43" i="1" a="1"/>
  <c r="AM43" i="1" s="1"/>
  <c r="BF43" i="1" a="1"/>
  <c r="BF43" i="1" s="1"/>
  <c r="Y44" i="1" a="1"/>
  <c r="Y44" i="1" s="1"/>
  <c r="AK44" i="1" a="1"/>
  <c r="AK44" i="1" s="1"/>
  <c r="AW44" i="1" a="1"/>
  <c r="AW44" i="1" s="1"/>
  <c r="BI44" i="1" a="1"/>
  <c r="BI44" i="1" s="1"/>
  <c r="AA49" i="1" a="1"/>
  <c r="AA49" i="1" s="1"/>
  <c r="AS49" i="1" a="1"/>
  <c r="AS49" i="1" s="1"/>
  <c r="AW53" i="1" a="1"/>
  <c r="AW53" i="1" s="1"/>
  <c r="S54" i="1" a="1"/>
  <c r="S54" i="1" s="1"/>
  <c r="BC54" i="1" a="1"/>
  <c r="BC54" i="1" s="1"/>
  <c r="AD55" i="1" a="1"/>
  <c r="AD55" i="1" s="1"/>
  <c r="BI59" i="1" a="1"/>
  <c r="BI59" i="1" s="1"/>
  <c r="BD61" i="1" a="1"/>
  <c r="BD61" i="1" s="1"/>
  <c r="AY63" i="1" a="1"/>
  <c r="AY63" i="1" s="1"/>
  <c r="AN65" i="1" a="1"/>
  <c r="AN65" i="1" s="1"/>
  <c r="Q67" i="1" a="1"/>
  <c r="Q67" i="1" s="1"/>
  <c r="BI71" i="1" a="1"/>
  <c r="BI71" i="1" s="1"/>
  <c r="BD73" i="1" a="1"/>
  <c r="BD73" i="1" s="1"/>
  <c r="AZ75" i="1" a="1"/>
  <c r="AZ75" i="1" s="1"/>
  <c r="AI85" i="1" a="1"/>
  <c r="AI85" i="1" s="1"/>
  <c r="V49" i="1" a="1"/>
  <c r="V49" i="1" s="1"/>
  <c r="AI31" i="1" a="1"/>
  <c r="AI31" i="1" s="1"/>
  <c r="BF37" i="1" a="1"/>
  <c r="BF37" i="1" s="1"/>
  <c r="AH65" i="1" a="1"/>
  <c r="AH65" i="1" s="1"/>
  <c r="U16" i="1" a="1"/>
  <c r="U16" i="1" s="1"/>
  <c r="AA16" i="1" a="1"/>
  <c r="AA16" i="1" s="1"/>
  <c r="AG16" i="1" a="1"/>
  <c r="AG16" i="1" s="1"/>
  <c r="AM16" i="1" a="1"/>
  <c r="AM16" i="1" s="1"/>
  <c r="AS16" i="1" a="1"/>
  <c r="AS16" i="1" s="1"/>
  <c r="AY16" i="1" a="1"/>
  <c r="AY16" i="1" s="1"/>
  <c r="BE16" i="1" a="1"/>
  <c r="BE16" i="1" s="1"/>
  <c r="BK16" i="1" a="1"/>
  <c r="BK16" i="1" s="1"/>
  <c r="U23" i="1" a="1"/>
  <c r="U23" i="1" s="1"/>
  <c r="U22" i="1" s="1"/>
  <c r="AA23" i="1" a="1"/>
  <c r="AA23" i="1" s="1"/>
  <c r="AA22" i="1" s="1"/>
  <c r="AG23" i="1" a="1"/>
  <c r="AG23" i="1" s="1"/>
  <c r="AG22" i="1" s="1"/>
  <c r="AM23" i="1" a="1"/>
  <c r="AM23" i="1" s="1"/>
  <c r="AM22" i="1" s="1"/>
  <c r="AS23" i="1" a="1"/>
  <c r="AS23" i="1" s="1"/>
  <c r="AS22" i="1" s="1"/>
  <c r="AY23" i="1" a="1"/>
  <c r="AY23" i="1" s="1"/>
  <c r="AY22" i="1" s="1"/>
  <c r="BE23" i="1" a="1"/>
  <c r="BE23" i="1" s="1"/>
  <c r="BE22" i="1" s="1"/>
  <c r="BK23" i="1" a="1"/>
  <c r="BK23" i="1" s="1"/>
  <c r="BK22" i="1" s="1"/>
  <c r="N27" i="1" a="1"/>
  <c r="N27" i="1" s="1"/>
  <c r="O27" i="1" s="1" a="1"/>
  <c r="O27" i="1" s="1"/>
  <c r="U28" i="1" a="1"/>
  <c r="U28" i="1" s="1"/>
  <c r="AA28" i="1" a="1"/>
  <c r="AA28" i="1" s="1"/>
  <c r="AG28" i="1" a="1"/>
  <c r="AG28" i="1" s="1"/>
  <c r="AM28" i="1" a="1"/>
  <c r="AM28" i="1" s="1"/>
  <c r="AS28" i="1" a="1"/>
  <c r="AS28" i="1" s="1"/>
  <c r="AY28" i="1" a="1"/>
  <c r="AY28" i="1" s="1"/>
  <c r="BE28" i="1" a="1"/>
  <c r="BE28" i="1" s="1"/>
  <c r="BK28" i="1" a="1"/>
  <c r="BK28" i="1" s="1"/>
  <c r="T29" i="1" a="1"/>
  <c r="T29" i="1" s="1"/>
  <c r="Z29" i="1" a="1"/>
  <c r="Z29" i="1" s="1"/>
  <c r="AF29" i="1" a="1"/>
  <c r="AF29" i="1" s="1"/>
  <c r="AL29" i="1" a="1"/>
  <c r="AL29" i="1" s="1"/>
  <c r="AR29" i="1" a="1"/>
  <c r="AR29" i="1" s="1"/>
  <c r="AX29" i="1" a="1"/>
  <c r="AX29" i="1" s="1"/>
  <c r="BD29" i="1" a="1"/>
  <c r="BD29" i="1" s="1"/>
  <c r="BJ29" i="1" a="1"/>
  <c r="BJ29" i="1" s="1"/>
  <c r="S30" i="1" a="1"/>
  <c r="S30" i="1" s="1"/>
  <c r="Y30" i="1" a="1"/>
  <c r="Y30" i="1" s="1"/>
  <c r="AE30" i="1" a="1"/>
  <c r="AE30" i="1" s="1"/>
  <c r="AK30" i="1" a="1"/>
  <c r="AK30" i="1" s="1"/>
  <c r="AQ30" i="1" a="1"/>
  <c r="AQ30" i="1" s="1"/>
  <c r="AW30" i="1" a="1"/>
  <c r="AW30" i="1" s="1"/>
  <c r="BC30" i="1" a="1"/>
  <c r="BC30" i="1" s="1"/>
  <c r="BI30" i="1" a="1"/>
  <c r="BI30" i="1" s="1"/>
  <c r="R31" i="1" a="1"/>
  <c r="R31" i="1" s="1"/>
  <c r="X31" i="1" a="1"/>
  <c r="X31" i="1" s="1"/>
  <c r="AD31" i="1" a="1"/>
  <c r="AD31" i="1" s="1"/>
  <c r="AJ31" i="1" a="1"/>
  <c r="AJ31" i="1" s="1"/>
  <c r="AP31" i="1" a="1"/>
  <c r="AP31" i="1" s="1"/>
  <c r="AV31" i="1" a="1"/>
  <c r="AV31" i="1" s="1"/>
  <c r="BB31" i="1" a="1"/>
  <c r="BB31" i="1" s="1"/>
  <c r="BH31" i="1" a="1"/>
  <c r="BH31" i="1" s="1"/>
  <c r="BN31" i="1" a="1"/>
  <c r="BN31" i="1" s="1"/>
  <c r="Q32" i="1" a="1"/>
  <c r="Q32" i="1" s="1"/>
  <c r="W32" i="1" a="1"/>
  <c r="W32" i="1" s="1"/>
  <c r="AC32" i="1" a="1"/>
  <c r="AC32" i="1" s="1"/>
  <c r="AI32" i="1" a="1"/>
  <c r="AI32" i="1" s="1"/>
  <c r="AO32" i="1" a="1"/>
  <c r="AO32" i="1" s="1"/>
  <c r="AU32" i="1" a="1"/>
  <c r="AU32" i="1" s="1"/>
  <c r="BA32" i="1" a="1"/>
  <c r="BA32" i="1" s="1"/>
  <c r="BG32" i="1" a="1"/>
  <c r="BG32" i="1" s="1"/>
  <c r="BM32" i="1" a="1"/>
  <c r="BM32" i="1" s="1"/>
  <c r="V33" i="1" a="1"/>
  <c r="V33" i="1" s="1"/>
  <c r="AB33" i="1" a="1"/>
  <c r="AB33" i="1" s="1"/>
  <c r="AH33" i="1" a="1"/>
  <c r="AH33" i="1" s="1"/>
  <c r="AN33" i="1" a="1"/>
  <c r="AN33" i="1" s="1"/>
  <c r="AT33" i="1" a="1"/>
  <c r="AT33" i="1" s="1"/>
  <c r="AZ33" i="1" a="1"/>
  <c r="AZ33" i="1" s="1"/>
  <c r="BF33" i="1" a="1"/>
  <c r="BF33" i="1" s="1"/>
  <c r="BL33" i="1" a="1"/>
  <c r="BL33" i="1" s="1"/>
  <c r="U34" i="1" a="1"/>
  <c r="U34" i="1" s="1"/>
  <c r="AA34" i="1" a="1"/>
  <c r="AA34" i="1" s="1"/>
  <c r="AG34" i="1" a="1"/>
  <c r="AG34" i="1" s="1"/>
  <c r="AM34" i="1" a="1"/>
  <c r="AM34" i="1" s="1"/>
  <c r="AS34" i="1" a="1"/>
  <c r="AS34" i="1" s="1"/>
  <c r="AY34" i="1" a="1"/>
  <c r="AY34" i="1" s="1"/>
  <c r="BE34" i="1" a="1"/>
  <c r="BE34" i="1" s="1"/>
  <c r="BK34" i="1" a="1"/>
  <c r="BK34" i="1" s="1"/>
  <c r="X36" i="1" a="1"/>
  <c r="X36" i="1" s="1"/>
  <c r="AD36" i="1" a="1"/>
  <c r="AD36" i="1" s="1"/>
  <c r="AJ36" i="1" a="1"/>
  <c r="AJ36" i="1" s="1"/>
  <c r="AP36" i="1" a="1"/>
  <c r="AP36" i="1" s="1"/>
  <c r="AV36" i="1" a="1"/>
  <c r="AV36" i="1" s="1"/>
  <c r="BB36" i="1" a="1"/>
  <c r="BB36" i="1" s="1"/>
  <c r="BH36" i="1" a="1"/>
  <c r="BH36" i="1" s="1"/>
  <c r="BN36" i="1" a="1"/>
  <c r="BN36" i="1" s="1"/>
  <c r="Q37" i="1" a="1"/>
  <c r="Q37" i="1" s="1"/>
  <c r="W37" i="1" a="1"/>
  <c r="W37" i="1" s="1"/>
  <c r="AC37" i="1" a="1"/>
  <c r="AC37" i="1" s="1"/>
  <c r="AI37" i="1" a="1"/>
  <c r="AI37" i="1" s="1"/>
  <c r="AO37" i="1" a="1"/>
  <c r="AO37" i="1" s="1"/>
  <c r="AU37" i="1" a="1"/>
  <c r="AU37" i="1" s="1"/>
  <c r="BA37" i="1" a="1"/>
  <c r="BA37" i="1" s="1"/>
  <c r="BG37" i="1" a="1"/>
  <c r="BG37" i="1" s="1"/>
  <c r="BM37" i="1" a="1"/>
  <c r="BM37" i="1" s="1"/>
  <c r="W42" i="1" a="1"/>
  <c r="W42" i="1" s="1"/>
  <c r="AD42" i="1" a="1"/>
  <c r="AD42" i="1" s="1"/>
  <c r="AQ42" i="1" a="1"/>
  <c r="AQ42" i="1" s="1"/>
  <c r="V43" i="1" a="1"/>
  <c r="V43" i="1" s="1"/>
  <c r="AX43" i="1" a="1"/>
  <c r="AX43" i="1" s="1"/>
  <c r="BI43" i="1" a="1"/>
  <c r="BI43" i="1" s="1"/>
  <c r="AH48" i="1" a="1"/>
  <c r="AH48" i="1" s="1"/>
  <c r="AZ48" i="1" a="1"/>
  <c r="AZ48" i="1" s="1"/>
  <c r="AG50" i="1" a="1"/>
  <c r="AG50" i="1" s="1"/>
  <c r="AL51" i="1" a="1"/>
  <c r="AL51" i="1" s="1"/>
  <c r="AR52" i="1" a="1"/>
  <c r="AR52" i="1" s="1"/>
  <c r="AJ55" i="1" a="1"/>
  <c r="AJ55" i="1" s="1"/>
  <c r="BJ61" i="1" a="1"/>
  <c r="BJ61" i="1" s="1"/>
  <c r="BE63" i="1" a="1"/>
  <c r="BE63" i="1" s="1"/>
  <c r="W67" i="1" a="1"/>
  <c r="W67" i="1" s="1"/>
  <c r="BJ73" i="1" a="1"/>
  <c r="BJ73" i="1" s="1"/>
  <c r="BG75" i="1" a="1"/>
  <c r="BG75" i="1" s="1"/>
  <c r="U81" i="1" a="1"/>
  <c r="U81" i="1" s="1"/>
  <c r="AN97" i="1" a="1"/>
  <c r="AN97" i="1" s="1"/>
  <c r="AT147" i="1" a="1"/>
  <c r="AT147" i="1" s="1"/>
  <c r="AT152" i="1" a="1"/>
  <c r="AT152" i="1" s="1"/>
  <c r="AT151" i="1" s="1"/>
  <c r="AT150" i="1" s="1"/>
  <c r="AT156" i="1" a="1"/>
  <c r="AT156" i="1" s="1"/>
  <c r="AT138" i="1" a="1"/>
  <c r="AT138" i="1" s="1"/>
  <c r="AT139" i="1" a="1"/>
  <c r="AT139" i="1" s="1"/>
  <c r="AT155" i="1" a="1"/>
  <c r="AT155" i="1" s="1"/>
  <c r="AT144" i="1" a="1"/>
  <c r="AT144" i="1" s="1"/>
  <c r="AT149" i="1" a="1"/>
  <c r="AT149" i="1" s="1"/>
  <c r="AT143" i="1" a="1"/>
  <c r="AT143" i="1" s="1"/>
  <c r="AT148" i="1" a="1"/>
  <c r="AT148" i="1" s="1"/>
  <c r="AT126" i="1" a="1"/>
  <c r="AT126" i="1" s="1"/>
  <c r="AT110" i="1" a="1"/>
  <c r="AT110" i="1" s="1"/>
  <c r="AT127" i="1" a="1"/>
  <c r="AT127" i="1" s="1"/>
  <c r="AT128" i="1" a="1"/>
  <c r="AT128" i="1" s="1"/>
  <c r="AT137" i="1" a="1"/>
  <c r="AT137" i="1" s="1"/>
  <c r="AT129" i="1" a="1"/>
  <c r="AT129" i="1" s="1"/>
  <c r="AT130" i="1" a="1"/>
  <c r="AT130" i="1" s="1"/>
  <c r="AT118" i="1" a="1"/>
  <c r="AT118" i="1" s="1"/>
  <c r="AT131" i="1" a="1"/>
  <c r="AT131" i="1" s="1"/>
  <c r="AT119" i="1" a="1"/>
  <c r="AT119" i="1" s="1"/>
  <c r="AT117" i="1" a="1"/>
  <c r="AT117" i="1" s="1"/>
  <c r="AT132" i="1" a="1"/>
  <c r="AT132" i="1" s="1"/>
  <c r="AT120" i="1" a="1"/>
  <c r="AT120" i="1" s="1"/>
  <c r="AT116" i="1" a="1"/>
  <c r="AT116" i="1" s="1"/>
  <c r="AT133" i="1" a="1"/>
  <c r="AT133" i="1" s="1"/>
  <c r="AT135" i="1" a="1"/>
  <c r="AT135" i="1" s="1"/>
  <c r="AT123" i="1" a="1"/>
  <c r="AT123" i="1" s="1"/>
  <c r="AT136" i="1" a="1"/>
  <c r="AT136" i="1" s="1"/>
  <c r="AT124" i="1" a="1"/>
  <c r="AT124" i="1" s="1"/>
  <c r="AT134" i="1" a="1"/>
  <c r="AT134" i="1" s="1"/>
  <c r="AT125" i="1" a="1"/>
  <c r="AT125" i="1" s="1"/>
  <c r="AT100" i="1" a="1"/>
  <c r="AT100" i="1" s="1"/>
  <c r="AT122" i="1" a="1"/>
  <c r="AT122" i="1" s="1"/>
  <c r="AT107" i="1" a="1"/>
  <c r="AT107" i="1" s="1"/>
  <c r="AT101" i="1" a="1"/>
  <c r="AT101" i="1" s="1"/>
  <c r="AT114" i="1" a="1"/>
  <c r="AT114" i="1" s="1"/>
  <c r="AT103" i="1" a="1"/>
  <c r="AT103" i="1" s="1"/>
  <c r="AT111" i="1" a="1"/>
  <c r="AT111" i="1" s="1"/>
  <c r="AT104" i="1" a="1"/>
  <c r="AT104" i="1" s="1"/>
  <c r="AT105" i="1" a="1"/>
  <c r="AT105" i="1" s="1"/>
  <c r="AT112" i="1" a="1"/>
  <c r="AT112" i="1" s="1"/>
  <c r="AT106" i="1" a="1"/>
  <c r="AT106" i="1" s="1"/>
  <c r="AT86" i="1" a="1"/>
  <c r="AT86" i="1" s="1"/>
  <c r="AT115" i="1" a="1"/>
  <c r="AT115" i="1" s="1"/>
  <c r="AT97" i="1" a="1"/>
  <c r="AT97" i="1" s="1"/>
  <c r="AT93" i="1" a="1"/>
  <c r="AT93" i="1" s="1"/>
  <c r="AT87" i="1" a="1"/>
  <c r="AT87" i="1" s="1"/>
  <c r="AT85" i="1" a="1"/>
  <c r="AT85" i="1" s="1"/>
  <c r="AT98" i="1" a="1"/>
  <c r="AT98" i="1" s="1"/>
  <c r="AT88" i="1" a="1"/>
  <c r="AT88" i="1" s="1"/>
  <c r="AT84" i="1" a="1"/>
  <c r="AT84" i="1" s="1"/>
  <c r="AT92" i="1" a="1"/>
  <c r="AT92" i="1" s="1"/>
  <c r="AT89" i="1" a="1"/>
  <c r="AT89" i="1" s="1"/>
  <c r="AT83" i="1" a="1"/>
  <c r="AT83" i="1" s="1"/>
  <c r="AT121" i="1" a="1"/>
  <c r="AT121" i="1" s="1"/>
  <c r="AT113" i="1" a="1"/>
  <c r="AT113" i="1" s="1"/>
  <c r="AT96" i="1" a="1"/>
  <c r="AT96" i="1" s="1"/>
  <c r="AT90" i="1" a="1"/>
  <c r="AT90" i="1" s="1"/>
  <c r="AT82" i="1" a="1"/>
  <c r="AT82" i="1" s="1"/>
  <c r="AT91" i="1" a="1"/>
  <c r="AT91" i="1" s="1"/>
  <c r="AT81" i="1" a="1"/>
  <c r="AT81" i="1" s="1"/>
  <c r="AT94" i="1" a="1"/>
  <c r="AT94" i="1" s="1"/>
  <c r="AT80" i="1" a="1"/>
  <c r="AT80" i="1" s="1"/>
  <c r="AT102" i="1" a="1"/>
  <c r="AT102" i="1" s="1"/>
  <c r="AT79" i="1" a="1"/>
  <c r="AT79" i="1" s="1"/>
  <c r="AT66" i="1" a="1"/>
  <c r="AT66" i="1" s="1"/>
  <c r="AT67" i="1" a="1"/>
  <c r="AT67" i="1" s="1"/>
  <c r="AT68" i="1" a="1"/>
  <c r="AT68" i="1" s="1"/>
  <c r="AT56" i="1" a="1"/>
  <c r="AT56" i="1" s="1"/>
  <c r="AT69" i="1" a="1"/>
  <c r="AT69" i="1" s="1"/>
  <c r="AT57" i="1" a="1"/>
  <c r="AT57" i="1" s="1"/>
  <c r="AT55" i="1" a="1"/>
  <c r="AT55" i="1" s="1"/>
  <c r="AT70" i="1" a="1"/>
  <c r="AT70" i="1" s="1"/>
  <c r="AT58" i="1" a="1"/>
  <c r="AT58" i="1" s="1"/>
  <c r="AT54" i="1" a="1"/>
  <c r="AT54" i="1" s="1"/>
  <c r="AT44" i="1" a="1"/>
  <c r="AT44" i="1" s="1"/>
  <c r="AT78" i="1" a="1"/>
  <c r="AT78" i="1" s="1"/>
  <c r="AT71" i="1" a="1"/>
  <c r="AT71" i="1" s="1"/>
  <c r="AT59" i="1" a="1"/>
  <c r="AT59" i="1" s="1"/>
  <c r="AT53" i="1" a="1"/>
  <c r="AT53" i="1" s="1"/>
  <c r="AT72" i="1" a="1"/>
  <c r="AT72" i="1" s="1"/>
  <c r="AT60" i="1" a="1"/>
  <c r="AT60" i="1" s="1"/>
  <c r="AT52" i="1" a="1"/>
  <c r="AT52" i="1" s="1"/>
  <c r="AT73" i="1" a="1"/>
  <c r="AT73" i="1" s="1"/>
  <c r="AT61" i="1" a="1"/>
  <c r="AT61" i="1" s="1"/>
  <c r="AT51" i="1" a="1"/>
  <c r="AT51" i="1" s="1"/>
  <c r="AT74" i="1" a="1"/>
  <c r="AT74" i="1" s="1"/>
  <c r="AT62" i="1" a="1"/>
  <c r="AT62" i="1" s="1"/>
  <c r="AT50" i="1" a="1"/>
  <c r="AT50" i="1" s="1"/>
  <c r="AT99" i="1" a="1"/>
  <c r="AT99" i="1" s="1"/>
  <c r="AT75" i="1" a="1"/>
  <c r="AT75" i="1" s="1"/>
  <c r="AT63" i="1" a="1"/>
  <c r="AT63" i="1" s="1"/>
  <c r="AT49" i="1" a="1"/>
  <c r="AT49" i="1" s="1"/>
  <c r="AT64" i="1" a="1"/>
  <c r="AT64" i="1" s="1"/>
  <c r="AT32" i="1" a="1"/>
  <c r="AT32" i="1" s="1"/>
  <c r="U15" i="1" a="1"/>
  <c r="U15" i="1" s="1"/>
  <c r="AA15" i="1" a="1"/>
  <c r="AA15" i="1" s="1"/>
  <c r="AG15" i="1" a="1"/>
  <c r="AG15" i="1" s="1"/>
  <c r="AM15" i="1" a="1"/>
  <c r="AM15" i="1" s="1"/>
  <c r="AS15" i="1" a="1"/>
  <c r="AS15" i="1" s="1"/>
  <c r="AY15" i="1" a="1"/>
  <c r="AY15" i="1" s="1"/>
  <c r="BE15" i="1" a="1"/>
  <c r="BE15" i="1" s="1"/>
  <c r="BK15" i="1" a="1"/>
  <c r="BK15" i="1" s="1"/>
  <c r="V17" i="1" a="1"/>
  <c r="V17" i="1" s="1"/>
  <c r="AB17" i="1" a="1"/>
  <c r="AB17" i="1" s="1"/>
  <c r="AH17" i="1" a="1"/>
  <c r="AH17" i="1" s="1"/>
  <c r="AN17" i="1" a="1"/>
  <c r="AN17" i="1" s="1"/>
  <c r="AT17" i="1" a="1"/>
  <c r="AT17" i="1" s="1"/>
  <c r="AZ17" i="1" a="1"/>
  <c r="AZ17" i="1" s="1"/>
  <c r="BF17" i="1" a="1"/>
  <c r="BF17" i="1" s="1"/>
  <c r="BL17" i="1" a="1"/>
  <c r="BL17" i="1" s="1"/>
  <c r="R21" i="1" a="1"/>
  <c r="R21" i="1" s="1"/>
  <c r="R20" i="1" s="1"/>
  <c r="X21" i="1" a="1"/>
  <c r="X21" i="1" s="1"/>
  <c r="X20" i="1" s="1"/>
  <c r="AD21" i="1" a="1"/>
  <c r="AD21" i="1" s="1"/>
  <c r="AD20" i="1" s="1"/>
  <c r="AJ21" i="1" a="1"/>
  <c r="AJ21" i="1" s="1"/>
  <c r="AJ20" i="1" s="1"/>
  <c r="AP21" i="1" a="1"/>
  <c r="AP21" i="1" s="1"/>
  <c r="AP20" i="1" s="1"/>
  <c r="AV21" i="1" a="1"/>
  <c r="AV21" i="1" s="1"/>
  <c r="AV20" i="1" s="1"/>
  <c r="BB21" i="1" a="1"/>
  <c r="BB21" i="1" s="1"/>
  <c r="BB20" i="1" s="1"/>
  <c r="BH21" i="1" a="1"/>
  <c r="BH21" i="1" s="1"/>
  <c r="BH20" i="1" s="1"/>
  <c r="BN21" i="1" a="1"/>
  <c r="BN21" i="1" s="1"/>
  <c r="BN20" i="1" s="1"/>
  <c r="S25" i="1" a="1"/>
  <c r="S25" i="1" s="1"/>
  <c r="S24" i="1" s="1"/>
  <c r="Y25" i="1" a="1"/>
  <c r="Y25" i="1" s="1"/>
  <c r="Y24" i="1" s="1"/>
  <c r="AE25" i="1" a="1"/>
  <c r="AE25" i="1" s="1"/>
  <c r="AE24" i="1" s="1"/>
  <c r="AK25" i="1" a="1"/>
  <c r="AK25" i="1" s="1"/>
  <c r="AK24" i="1" s="1"/>
  <c r="AQ25" i="1" a="1"/>
  <c r="AQ25" i="1" s="1"/>
  <c r="AQ24" i="1" s="1"/>
  <c r="AW25" i="1" a="1"/>
  <c r="AW25" i="1" s="1"/>
  <c r="AW24" i="1" s="1"/>
  <c r="BC25" i="1" a="1"/>
  <c r="BC25" i="1" s="1"/>
  <c r="BC24" i="1" s="1"/>
  <c r="BI25" i="1" a="1"/>
  <c r="BI25" i="1" s="1"/>
  <c r="BI24" i="1" s="1"/>
  <c r="U35" i="1" a="1"/>
  <c r="U35" i="1" s="1"/>
  <c r="AA35" i="1" a="1"/>
  <c r="AA35" i="1" s="1"/>
  <c r="AG35" i="1" a="1"/>
  <c r="AG35" i="1" s="1"/>
  <c r="AM35" i="1" a="1"/>
  <c r="AM35" i="1" s="1"/>
  <c r="AS35" i="1" a="1"/>
  <c r="AS35" i="1" s="1"/>
  <c r="AY35" i="1" a="1"/>
  <c r="AY35" i="1" s="1"/>
  <c r="BE35" i="1" a="1"/>
  <c r="BE35" i="1" s="1"/>
  <c r="BK35" i="1" a="1"/>
  <c r="BK35" i="1" s="1"/>
  <c r="N38" i="1" a="1"/>
  <c r="N38" i="1" s="1"/>
  <c r="O38" i="1" s="1" a="1"/>
  <c r="O38" i="1" s="1"/>
  <c r="U38" i="1" a="1"/>
  <c r="U38" i="1" s="1"/>
  <c r="AA38" i="1" a="1"/>
  <c r="AA38" i="1" s="1"/>
  <c r="AG38" i="1" a="1"/>
  <c r="AG38" i="1" s="1"/>
  <c r="AM38" i="1" a="1"/>
  <c r="AM38" i="1" s="1"/>
  <c r="AS38" i="1" a="1"/>
  <c r="AS38" i="1" s="1"/>
  <c r="AY38" i="1" a="1"/>
  <c r="AY38" i="1" s="1"/>
  <c r="BE38" i="1" a="1"/>
  <c r="BE38" i="1" s="1"/>
  <c r="BK38" i="1" a="1"/>
  <c r="BK38" i="1" s="1"/>
  <c r="T39" i="1" a="1"/>
  <c r="T39" i="1" s="1"/>
  <c r="Z39" i="1" a="1"/>
  <c r="Z39" i="1" s="1"/>
  <c r="AF39" i="1" a="1"/>
  <c r="AF39" i="1" s="1"/>
  <c r="AL39" i="1" a="1"/>
  <c r="AL39" i="1" s="1"/>
  <c r="AR39" i="1" a="1"/>
  <c r="AR39" i="1" s="1"/>
  <c r="AX39" i="1" a="1"/>
  <c r="AX39" i="1" s="1"/>
  <c r="BD39" i="1" a="1"/>
  <c r="BD39" i="1" s="1"/>
  <c r="BJ39" i="1" a="1"/>
  <c r="BJ39" i="1" s="1"/>
  <c r="Q42" i="1" a="1"/>
  <c r="Q42" i="1" s="1"/>
  <c r="X42" i="1" a="1"/>
  <c r="X42" i="1" s="1"/>
  <c r="AX42" i="1" a="1"/>
  <c r="AX42" i="1" s="1"/>
  <c r="BE42" i="1" a="1"/>
  <c r="BE42" i="1" s="1"/>
  <c r="BL42" i="1" a="1"/>
  <c r="BL42" i="1" s="1"/>
  <c r="AF43" i="1" a="1"/>
  <c r="AF43" i="1" s="1"/>
  <c r="AN43" i="1" a="1"/>
  <c r="AN43" i="1" s="1"/>
  <c r="Z44" i="1" a="1"/>
  <c r="Z44" i="1" s="1"/>
  <c r="AL44" i="1" a="1"/>
  <c r="AL44" i="1" s="1"/>
  <c r="AX44" i="1" a="1"/>
  <c r="AX44" i="1" s="1"/>
  <c r="BJ44" i="1" a="1"/>
  <c r="BJ44" i="1" s="1"/>
  <c r="N46" i="1" a="1"/>
  <c r="N46" i="1" s="1"/>
  <c r="O46" i="1" s="1" a="1"/>
  <c r="O46" i="1" s="1"/>
  <c r="AB49" i="1" a="1"/>
  <c r="AB49" i="1" s="1"/>
  <c r="S53" i="1" a="1"/>
  <c r="S53" i="1" s="1"/>
  <c r="BC53" i="1" a="1"/>
  <c r="BC53" i="1" s="1"/>
  <c r="Y54" i="1" a="1"/>
  <c r="Y54" i="1" s="1"/>
  <c r="BI54" i="1" a="1"/>
  <c r="BI54" i="1" s="1"/>
  <c r="AP55" i="1" a="1"/>
  <c r="AP55" i="1" s="1"/>
  <c r="BK63" i="1" a="1"/>
  <c r="BK63" i="1" s="1"/>
  <c r="AZ65" i="1" a="1"/>
  <c r="AZ65" i="1" s="1"/>
  <c r="AC67" i="1" a="1"/>
  <c r="AC67" i="1" s="1"/>
  <c r="BK74" i="1" a="1"/>
  <c r="BK74" i="1" s="1"/>
  <c r="AM81" i="1" a="1"/>
  <c r="AM81" i="1" s="1"/>
  <c r="AT95" i="1" a="1"/>
  <c r="AT95" i="1" s="1"/>
  <c r="W156" i="1" a="1"/>
  <c r="W156" i="1" s="1"/>
  <c r="W139" i="1" a="1"/>
  <c r="W139" i="1" s="1"/>
  <c r="W155" i="1" a="1"/>
  <c r="W155" i="1" s="1"/>
  <c r="W144" i="1" a="1"/>
  <c r="W144" i="1" s="1"/>
  <c r="W149" i="1" a="1"/>
  <c r="W149" i="1" s="1"/>
  <c r="W143" i="1" a="1"/>
  <c r="W143" i="1" s="1"/>
  <c r="W148" i="1" a="1"/>
  <c r="W148" i="1" s="1"/>
  <c r="W147" i="1" a="1"/>
  <c r="W147" i="1" s="1"/>
  <c r="W128" i="1" a="1"/>
  <c r="W128" i="1" s="1"/>
  <c r="W129" i="1" a="1"/>
  <c r="W129" i="1" s="1"/>
  <c r="W130" i="1" a="1"/>
  <c r="W130" i="1" s="1"/>
  <c r="W118" i="1" a="1"/>
  <c r="W118" i="1" s="1"/>
  <c r="W131" i="1" a="1"/>
  <c r="W131" i="1" s="1"/>
  <c r="W138" i="1" a="1"/>
  <c r="W138" i="1" s="1"/>
  <c r="W132" i="1" a="1"/>
  <c r="W132" i="1" s="1"/>
  <c r="W120" i="1" a="1"/>
  <c r="W120" i="1" s="1"/>
  <c r="W133" i="1" a="1"/>
  <c r="W133" i="1" s="1"/>
  <c r="W121" i="1" a="1"/>
  <c r="W121" i="1" s="1"/>
  <c r="W115" i="1" a="1"/>
  <c r="W115" i="1" s="1"/>
  <c r="W134" i="1" a="1"/>
  <c r="W134" i="1" s="1"/>
  <c r="W122" i="1" a="1"/>
  <c r="W122" i="1" s="1"/>
  <c r="W135" i="1" a="1"/>
  <c r="W135" i="1" s="1"/>
  <c r="W152" i="1" a="1"/>
  <c r="W152" i="1" s="1"/>
  <c r="W151" i="1" s="1"/>
  <c r="W150" i="1" s="1"/>
  <c r="W137" i="1" a="1"/>
  <c r="W137" i="1" s="1"/>
  <c r="W125" i="1" a="1"/>
  <c r="W125" i="1" s="1"/>
  <c r="W126" i="1" a="1"/>
  <c r="W126" i="1" s="1"/>
  <c r="W102" i="1" a="1"/>
  <c r="W102" i="1" s="1"/>
  <c r="W113" i="1" a="1"/>
  <c r="W113" i="1" s="1"/>
  <c r="W110" i="1" a="1"/>
  <c r="W110" i="1" s="1"/>
  <c r="W103" i="1" a="1"/>
  <c r="W103" i="1" s="1"/>
  <c r="W116" i="1" a="1"/>
  <c r="W116" i="1" s="1"/>
  <c r="W107" i="1" a="1"/>
  <c r="W107" i="1" s="1"/>
  <c r="W105" i="1" a="1"/>
  <c r="W105" i="1" s="1"/>
  <c r="W114" i="1" a="1"/>
  <c r="W114" i="1" s="1"/>
  <c r="W106" i="1" a="1"/>
  <c r="W106" i="1" s="1"/>
  <c r="W124" i="1" a="1"/>
  <c r="W124" i="1" s="1"/>
  <c r="W123" i="1" a="1"/>
  <c r="W123" i="1" s="1"/>
  <c r="W111" i="1" a="1"/>
  <c r="W111" i="1" s="1"/>
  <c r="W119" i="1" a="1"/>
  <c r="W119" i="1" s="1"/>
  <c r="W117" i="1" a="1"/>
  <c r="W117" i="1" s="1"/>
  <c r="W112" i="1" a="1"/>
  <c r="W112" i="1" s="1"/>
  <c r="W98" i="1" a="1"/>
  <c r="W98" i="1" s="1"/>
  <c r="W97" i="1" a="1"/>
  <c r="W97" i="1" s="1"/>
  <c r="W88" i="1" a="1"/>
  <c r="W88" i="1" s="1"/>
  <c r="W84" i="1" a="1"/>
  <c r="W84" i="1" s="1"/>
  <c r="W95" i="1" a="1"/>
  <c r="W95" i="1" s="1"/>
  <c r="W89" i="1" a="1"/>
  <c r="W89" i="1" s="1"/>
  <c r="W83" i="1" a="1"/>
  <c r="W83" i="1" s="1"/>
  <c r="W90" i="1" a="1"/>
  <c r="W90" i="1" s="1"/>
  <c r="W82" i="1" a="1"/>
  <c r="W82" i="1" s="1"/>
  <c r="W127" i="1" a="1"/>
  <c r="W127" i="1" s="1"/>
  <c r="W101" i="1" a="1"/>
  <c r="W101" i="1" s="1"/>
  <c r="W99" i="1" a="1"/>
  <c r="W99" i="1" s="1"/>
  <c r="W91" i="1" a="1"/>
  <c r="W91" i="1" s="1"/>
  <c r="W81" i="1" a="1"/>
  <c r="W81" i="1" s="1"/>
  <c r="W80" i="1" a="1"/>
  <c r="W80" i="1" s="1"/>
  <c r="W104" i="1" a="1"/>
  <c r="W104" i="1" s="1"/>
  <c r="W79" i="1" a="1"/>
  <c r="W79" i="1" s="1"/>
  <c r="W96" i="1" a="1"/>
  <c r="W96" i="1" s="1"/>
  <c r="W93" i="1" a="1"/>
  <c r="W93" i="1" s="1"/>
  <c r="W136" i="1" a="1"/>
  <c r="W136" i="1" s="1"/>
  <c r="W94" i="1" a="1"/>
  <c r="W94" i="1" s="1"/>
  <c r="W92" i="1" a="1"/>
  <c r="W92" i="1" s="1"/>
  <c r="W100" i="1" a="1"/>
  <c r="W100" i="1" s="1"/>
  <c r="W78" i="1" a="1"/>
  <c r="W78" i="1" s="1"/>
  <c r="W68" i="1" a="1"/>
  <c r="W68" i="1" s="1"/>
  <c r="W56" i="1" a="1"/>
  <c r="W56" i="1" s="1"/>
  <c r="W86" i="1" a="1"/>
  <c r="W86" i="1" s="1"/>
  <c r="W69" i="1" a="1"/>
  <c r="W69" i="1" s="1"/>
  <c r="W57" i="1" a="1"/>
  <c r="W57" i="1" s="1"/>
  <c r="W55" i="1" a="1"/>
  <c r="W55" i="1" s="1"/>
  <c r="W70" i="1" a="1"/>
  <c r="W70" i="1" s="1"/>
  <c r="W58" i="1" a="1"/>
  <c r="W58" i="1" s="1"/>
  <c r="W54" i="1" a="1"/>
  <c r="W54" i="1" s="1"/>
  <c r="W44" i="1" a="1"/>
  <c r="W44" i="1" s="1"/>
  <c r="W87" i="1" a="1"/>
  <c r="W87" i="1" s="1"/>
  <c r="W85" i="1" a="1"/>
  <c r="W85" i="1" s="1"/>
  <c r="W71" i="1" a="1"/>
  <c r="W71" i="1" s="1"/>
  <c r="W59" i="1" a="1"/>
  <c r="W59" i="1" s="1"/>
  <c r="W53" i="1" a="1"/>
  <c r="W53" i="1" s="1"/>
  <c r="W72" i="1" a="1"/>
  <c r="W72" i="1" s="1"/>
  <c r="W60" i="1" a="1"/>
  <c r="W60" i="1" s="1"/>
  <c r="W52" i="1" a="1"/>
  <c r="W52" i="1" s="1"/>
  <c r="W73" i="1" a="1"/>
  <c r="W73" i="1" s="1"/>
  <c r="W61" i="1" a="1"/>
  <c r="W61" i="1" s="1"/>
  <c r="W51" i="1" a="1"/>
  <c r="W51" i="1" s="1"/>
  <c r="W74" i="1" a="1"/>
  <c r="W74" i="1" s="1"/>
  <c r="W62" i="1" a="1"/>
  <c r="W62" i="1" s="1"/>
  <c r="W50" i="1" a="1"/>
  <c r="W50" i="1" s="1"/>
  <c r="W63" i="1" a="1"/>
  <c r="W63" i="1" s="1"/>
  <c r="W49" i="1" a="1"/>
  <c r="W49" i="1" s="1"/>
  <c r="W64" i="1" a="1"/>
  <c r="W64" i="1" s="1"/>
  <c r="W65" i="1" a="1"/>
  <c r="W65" i="1" s="1"/>
  <c r="W66" i="1" a="1"/>
  <c r="W66" i="1" s="1"/>
  <c r="AK155" i="1" a="1"/>
  <c r="AK155" i="1" s="1"/>
  <c r="AK144" i="1" a="1"/>
  <c r="AK144" i="1" s="1"/>
  <c r="AK149" i="1" a="1"/>
  <c r="AK149" i="1" s="1"/>
  <c r="AK143" i="1" a="1"/>
  <c r="AK143" i="1" s="1"/>
  <c r="AK148" i="1" a="1"/>
  <c r="AK148" i="1" s="1"/>
  <c r="AK147" i="1" a="1"/>
  <c r="AK147" i="1" s="1"/>
  <c r="AK152" i="1" a="1"/>
  <c r="AK152" i="1" s="1"/>
  <c r="AK151" i="1" s="1"/>
  <c r="AK150" i="1" s="1"/>
  <c r="AK156" i="1" a="1"/>
  <c r="AK156" i="1" s="1"/>
  <c r="AK138" i="1" a="1"/>
  <c r="AK138" i="1" s="1"/>
  <c r="AK132" i="1" a="1"/>
  <c r="AK132" i="1" s="1"/>
  <c r="AK120" i="1" a="1"/>
  <c r="AK120" i="1" s="1"/>
  <c r="AK116" i="1" a="1"/>
  <c r="AK116" i="1" s="1"/>
  <c r="AK133" i="1" a="1"/>
  <c r="AK133" i="1" s="1"/>
  <c r="AK121" i="1" a="1"/>
  <c r="AK121" i="1" s="1"/>
  <c r="AK134" i="1" a="1"/>
  <c r="AK134" i="1" s="1"/>
  <c r="AK122" i="1" a="1"/>
  <c r="AK122" i="1" s="1"/>
  <c r="AK114" i="1" a="1"/>
  <c r="AK114" i="1" s="1"/>
  <c r="AK135" i="1" a="1"/>
  <c r="AK135" i="1" s="1"/>
  <c r="AK123" i="1" a="1"/>
  <c r="AK123" i="1" s="1"/>
  <c r="AK136" i="1" a="1"/>
  <c r="AK136" i="1" s="1"/>
  <c r="AK124" i="1" a="1"/>
  <c r="AK124" i="1" s="1"/>
  <c r="AK137" i="1" a="1"/>
  <c r="AK137" i="1" s="1"/>
  <c r="AK125" i="1" a="1"/>
  <c r="AK125" i="1" s="1"/>
  <c r="AK139" i="1" a="1"/>
  <c r="AK139" i="1" s="1"/>
  <c r="AK126" i="1" a="1"/>
  <c r="AK126" i="1" s="1"/>
  <c r="AK127" i="1" a="1"/>
  <c r="AK127" i="1" s="1"/>
  <c r="AK129" i="1" a="1"/>
  <c r="AK129" i="1" s="1"/>
  <c r="AK130" i="1" a="1"/>
  <c r="AK130" i="1" s="1"/>
  <c r="AK115" i="1" a="1"/>
  <c r="AK115" i="1" s="1"/>
  <c r="AK94" i="1" a="1"/>
  <c r="AK94" i="1" s="1"/>
  <c r="AK118" i="1" a="1"/>
  <c r="AK118" i="1" s="1"/>
  <c r="AK113" i="1" a="1"/>
  <c r="AK113" i="1" s="1"/>
  <c r="AK110" i="1" a="1"/>
  <c r="AK110" i="1" s="1"/>
  <c r="AK106" i="1" a="1"/>
  <c r="AK106" i="1" s="1"/>
  <c r="AK95" i="1" a="1"/>
  <c r="AK95" i="1" s="1"/>
  <c r="AK97" i="1" a="1"/>
  <c r="AK97" i="1" s="1"/>
  <c r="AK107" i="1" a="1"/>
  <c r="AK107" i="1" s="1"/>
  <c r="AK99" i="1" a="1"/>
  <c r="AK99" i="1" s="1"/>
  <c r="AK131" i="1" a="1"/>
  <c r="AK131" i="1" s="1"/>
  <c r="AK117" i="1" a="1"/>
  <c r="AK117" i="1" s="1"/>
  <c r="AK111" i="1" a="1"/>
  <c r="AK111" i="1" s="1"/>
  <c r="AK119" i="1" a="1"/>
  <c r="AK119" i="1" s="1"/>
  <c r="AK102" i="1" a="1"/>
  <c r="AK102" i="1" s="1"/>
  <c r="AK128" i="1" a="1"/>
  <c r="AK128" i="1" s="1"/>
  <c r="AK112" i="1" a="1"/>
  <c r="AK112" i="1" s="1"/>
  <c r="AK101" i="1" a="1"/>
  <c r="AK101" i="1" s="1"/>
  <c r="AK80" i="1" a="1"/>
  <c r="AK80" i="1" s="1"/>
  <c r="AK105" i="1" a="1"/>
  <c r="AK105" i="1" s="1"/>
  <c r="AK79" i="1" a="1"/>
  <c r="AK79" i="1" s="1"/>
  <c r="AK98" i="1" a="1"/>
  <c r="AK98" i="1" s="1"/>
  <c r="AK78" i="1" a="1"/>
  <c r="AK78" i="1" s="1"/>
  <c r="AK104" i="1" a="1"/>
  <c r="AK104" i="1" s="1"/>
  <c r="AK96" i="1" a="1"/>
  <c r="AK96" i="1" s="1"/>
  <c r="AK93" i="1" a="1"/>
  <c r="AK93" i="1" s="1"/>
  <c r="AK86" i="1" a="1"/>
  <c r="AK86" i="1" s="1"/>
  <c r="AK87" i="1" a="1"/>
  <c r="AK87" i="1" s="1"/>
  <c r="AK85" i="1" a="1"/>
  <c r="AK85" i="1" s="1"/>
  <c r="AK100" i="1" a="1"/>
  <c r="AK100" i="1" s="1"/>
  <c r="AK92" i="1" a="1"/>
  <c r="AK92" i="1" s="1"/>
  <c r="AK88" i="1" a="1"/>
  <c r="AK88" i="1" s="1"/>
  <c r="AK84" i="1" a="1"/>
  <c r="AK84" i="1" s="1"/>
  <c r="AK103" i="1" a="1"/>
  <c r="AK103" i="1" s="1"/>
  <c r="AK89" i="1" a="1"/>
  <c r="AK89" i="1" s="1"/>
  <c r="AK83" i="1" a="1"/>
  <c r="AK83" i="1" s="1"/>
  <c r="AK75" i="1" a="1"/>
  <c r="AK75" i="1" s="1"/>
  <c r="AK72" i="1" a="1"/>
  <c r="AK72" i="1" s="1"/>
  <c r="AK60" i="1" a="1"/>
  <c r="AK60" i="1" s="1"/>
  <c r="AK52" i="1" a="1"/>
  <c r="AK52" i="1" s="1"/>
  <c r="AK73" i="1" a="1"/>
  <c r="AK73" i="1" s="1"/>
  <c r="AK61" i="1" a="1"/>
  <c r="AK61" i="1" s="1"/>
  <c r="AK51" i="1" a="1"/>
  <c r="AK51" i="1" s="1"/>
  <c r="AK81" i="1" a="1"/>
  <c r="AK81" i="1" s="1"/>
  <c r="AK74" i="1" a="1"/>
  <c r="AK74" i="1" s="1"/>
  <c r="AK62" i="1" a="1"/>
  <c r="AK62" i="1" s="1"/>
  <c r="AK50" i="1" a="1"/>
  <c r="AK50" i="1" s="1"/>
  <c r="AK90" i="1" a="1"/>
  <c r="AK90" i="1" s="1"/>
  <c r="AK63" i="1" a="1"/>
  <c r="AK63" i="1" s="1"/>
  <c r="AK49" i="1" a="1"/>
  <c r="AK49" i="1" s="1"/>
  <c r="AK64" i="1" a="1"/>
  <c r="AK64" i="1" s="1"/>
  <c r="AK48" i="1" a="1"/>
  <c r="AK48" i="1" s="1"/>
  <c r="AK65" i="1" a="1"/>
  <c r="AK65" i="1" s="1"/>
  <c r="AK66" i="1" a="1"/>
  <c r="AK66" i="1" s="1"/>
  <c r="AK67" i="1" a="1"/>
  <c r="AK67" i="1" s="1"/>
  <c r="AK91" i="1" a="1"/>
  <c r="AK91" i="1" s="1"/>
  <c r="AK68" i="1" a="1"/>
  <c r="AK68" i="1" s="1"/>
  <c r="AK56" i="1" a="1"/>
  <c r="AK56" i="1" s="1"/>
  <c r="AK69" i="1" a="1"/>
  <c r="AK69" i="1" s="1"/>
  <c r="AK57" i="1" a="1"/>
  <c r="AK57" i="1" s="1"/>
  <c r="AK55" i="1" a="1"/>
  <c r="AK55" i="1" s="1"/>
  <c r="AK70" i="1" a="1"/>
  <c r="AK70" i="1" s="1"/>
  <c r="AK58" i="1" a="1"/>
  <c r="AK58" i="1" s="1"/>
  <c r="BK148" i="1" a="1"/>
  <c r="BK148" i="1" s="1"/>
  <c r="BK147" i="1" a="1"/>
  <c r="BK147" i="1" s="1"/>
  <c r="BK152" i="1" a="1"/>
  <c r="BK152" i="1" s="1"/>
  <c r="BK151" i="1" s="1"/>
  <c r="BK150" i="1" s="1"/>
  <c r="BK137" i="1" a="1"/>
  <c r="BK137" i="1" s="1"/>
  <c r="BK156" i="1" a="1"/>
  <c r="BK156" i="1" s="1"/>
  <c r="BK138" i="1" a="1"/>
  <c r="BK138" i="1" s="1"/>
  <c r="BK139" i="1" a="1"/>
  <c r="BK139" i="1" s="1"/>
  <c r="BK155" i="1" a="1"/>
  <c r="BK155" i="1" s="1"/>
  <c r="BK144" i="1" a="1"/>
  <c r="BK144" i="1" s="1"/>
  <c r="BK149" i="1" a="1"/>
  <c r="BK149" i="1" s="1"/>
  <c r="BK136" i="1" a="1"/>
  <c r="BK136" i="1" s="1"/>
  <c r="BK124" i="1" a="1"/>
  <c r="BK124" i="1" s="1"/>
  <c r="BK112" i="1" a="1"/>
  <c r="BK112" i="1" s="1"/>
  <c r="BK125" i="1" a="1"/>
  <c r="BK125" i="1" s="1"/>
  <c r="BK143" i="1" a="1"/>
  <c r="BK143" i="1" s="1"/>
  <c r="BK126" i="1" a="1"/>
  <c r="BK126" i="1" s="1"/>
  <c r="BK110" i="1" a="1"/>
  <c r="BK110" i="1" s="1"/>
  <c r="BK127" i="1" a="1"/>
  <c r="BK127" i="1" s="1"/>
  <c r="BK128" i="1" a="1"/>
  <c r="BK128" i="1" s="1"/>
  <c r="BK129" i="1" a="1"/>
  <c r="BK129" i="1" s="1"/>
  <c r="BK130" i="1" a="1"/>
  <c r="BK130" i="1" s="1"/>
  <c r="BK118" i="1" a="1"/>
  <c r="BK118" i="1" s="1"/>
  <c r="BK131" i="1" a="1"/>
  <c r="BK131" i="1" s="1"/>
  <c r="BK133" i="1" a="1"/>
  <c r="BK133" i="1" s="1"/>
  <c r="BK121" i="1" a="1"/>
  <c r="BK121" i="1" s="1"/>
  <c r="BK134" i="1" a="1"/>
  <c r="BK134" i="1" s="1"/>
  <c r="BK122" i="1" a="1"/>
  <c r="BK122" i="1" s="1"/>
  <c r="BK98" i="1" a="1"/>
  <c r="BK98" i="1" s="1"/>
  <c r="BK132" i="1" a="1"/>
  <c r="BK132" i="1" s="1"/>
  <c r="BK99" i="1" a="1"/>
  <c r="BK99" i="1" s="1"/>
  <c r="BK120" i="1" a="1"/>
  <c r="BK120" i="1" s="1"/>
  <c r="BK101" i="1" a="1"/>
  <c r="BK101" i="1" s="1"/>
  <c r="BK123" i="1" a="1"/>
  <c r="BK123" i="1" s="1"/>
  <c r="BK119" i="1" a="1"/>
  <c r="BK119" i="1" s="1"/>
  <c r="BK116" i="1" a="1"/>
  <c r="BK116" i="1" s="1"/>
  <c r="BK102" i="1" a="1"/>
  <c r="BK102" i="1" s="1"/>
  <c r="BK103" i="1" a="1"/>
  <c r="BK103" i="1" s="1"/>
  <c r="BK113" i="1" a="1"/>
  <c r="BK113" i="1" s="1"/>
  <c r="BK105" i="1" a="1"/>
  <c r="BK105" i="1" s="1"/>
  <c r="BK104" i="1" a="1"/>
  <c r="BK104" i="1" s="1"/>
  <c r="BK97" i="1" a="1"/>
  <c r="BK97" i="1" s="1"/>
  <c r="BK96" i="1" a="1"/>
  <c r="BK96" i="1" s="1"/>
  <c r="BK117" i="1" a="1"/>
  <c r="BK117" i="1" s="1"/>
  <c r="BK107" i="1" a="1"/>
  <c r="BK107" i="1" s="1"/>
  <c r="BK94" i="1" a="1"/>
  <c r="BK94" i="1" s="1"/>
  <c r="BK86" i="1" a="1"/>
  <c r="BK86" i="1" s="1"/>
  <c r="BK87" i="1" a="1"/>
  <c r="BK87" i="1" s="1"/>
  <c r="BK85" i="1" a="1"/>
  <c r="BK85" i="1" s="1"/>
  <c r="BK135" i="1" a="1"/>
  <c r="BK135" i="1" s="1"/>
  <c r="BK114" i="1" a="1"/>
  <c r="BK114" i="1" s="1"/>
  <c r="BK88" i="1" a="1"/>
  <c r="BK88" i="1" s="1"/>
  <c r="BK84" i="1" a="1"/>
  <c r="BK84" i="1" s="1"/>
  <c r="BK111" i="1" a="1"/>
  <c r="BK111" i="1" s="1"/>
  <c r="BK89" i="1" a="1"/>
  <c r="BK89" i="1" s="1"/>
  <c r="BK83" i="1" a="1"/>
  <c r="BK83" i="1" s="1"/>
  <c r="BK90" i="1" a="1"/>
  <c r="BK90" i="1" s="1"/>
  <c r="BK82" i="1" a="1"/>
  <c r="BK82" i="1" s="1"/>
  <c r="BK106" i="1" a="1"/>
  <c r="BK106" i="1" s="1"/>
  <c r="BK100" i="1" a="1"/>
  <c r="BK100" i="1" s="1"/>
  <c r="BK95" i="1" a="1"/>
  <c r="BK95" i="1" s="1"/>
  <c r="BK93" i="1" a="1"/>
  <c r="BK93" i="1" s="1"/>
  <c r="BK92" i="1" a="1"/>
  <c r="BK92" i="1" s="1"/>
  <c r="BK115" i="1" a="1"/>
  <c r="BK115" i="1" s="1"/>
  <c r="BK79" i="1" a="1"/>
  <c r="BK79" i="1" s="1"/>
  <c r="BK64" i="1" a="1"/>
  <c r="BK64" i="1" s="1"/>
  <c r="BK48" i="1" a="1"/>
  <c r="BK48" i="1" s="1"/>
  <c r="BK65" i="1" a="1"/>
  <c r="BK65" i="1" s="1"/>
  <c r="BK66" i="1" a="1"/>
  <c r="BK66" i="1" s="1"/>
  <c r="BK67" i="1" a="1"/>
  <c r="BK67" i="1" s="1"/>
  <c r="BK68" i="1" a="1"/>
  <c r="BK68" i="1" s="1"/>
  <c r="BK56" i="1" a="1"/>
  <c r="BK56" i="1" s="1"/>
  <c r="BK75" i="1" a="1"/>
  <c r="BK75" i="1" s="1"/>
  <c r="BK69" i="1" a="1"/>
  <c r="BK69" i="1" s="1"/>
  <c r="BK57" i="1" a="1"/>
  <c r="BK57" i="1" s="1"/>
  <c r="BK55" i="1" a="1"/>
  <c r="BK55" i="1" s="1"/>
  <c r="BK70" i="1" a="1"/>
  <c r="BK70" i="1" s="1"/>
  <c r="BK58" i="1" a="1"/>
  <c r="BK58" i="1" s="1"/>
  <c r="BK54" i="1" a="1"/>
  <c r="BK54" i="1" s="1"/>
  <c r="BK81" i="1" a="1"/>
  <c r="BK81" i="1" s="1"/>
  <c r="BK71" i="1" a="1"/>
  <c r="BK71" i="1" s="1"/>
  <c r="BK59" i="1" a="1"/>
  <c r="BK59" i="1" s="1"/>
  <c r="BK53" i="1" a="1"/>
  <c r="BK53" i="1" s="1"/>
  <c r="BK72" i="1" a="1"/>
  <c r="BK72" i="1" s="1"/>
  <c r="BK60" i="1" a="1"/>
  <c r="BK60" i="1" s="1"/>
  <c r="BK52" i="1" a="1"/>
  <c r="BK52" i="1" s="1"/>
  <c r="BK73" i="1" a="1"/>
  <c r="BK73" i="1" s="1"/>
  <c r="BK61" i="1" a="1"/>
  <c r="BK61" i="1" s="1"/>
  <c r="BK51" i="1" a="1"/>
  <c r="BK51" i="1" s="1"/>
  <c r="BK80" i="1" a="1"/>
  <c r="BK80" i="1" s="1"/>
  <c r="BK62" i="1" a="1"/>
  <c r="BK62" i="1" s="1"/>
  <c r="V16" i="1" a="1"/>
  <c r="V16" i="1" s="1"/>
  <c r="AB16" i="1" a="1"/>
  <c r="AB16" i="1" s="1"/>
  <c r="AH16" i="1" a="1"/>
  <c r="AH16" i="1" s="1"/>
  <c r="AN16" i="1" a="1"/>
  <c r="AN16" i="1" s="1"/>
  <c r="AT16" i="1" a="1"/>
  <c r="AT16" i="1" s="1"/>
  <c r="AZ16" i="1" a="1"/>
  <c r="AZ16" i="1" s="1"/>
  <c r="BF16" i="1" a="1"/>
  <c r="BF16" i="1" s="1"/>
  <c r="BL16" i="1" a="1"/>
  <c r="BL16" i="1" s="1"/>
  <c r="V23" i="1" a="1"/>
  <c r="V23" i="1" s="1"/>
  <c r="V22" i="1" s="1"/>
  <c r="AB23" i="1" a="1"/>
  <c r="AB23" i="1" s="1"/>
  <c r="AB22" i="1" s="1"/>
  <c r="AH23" i="1" a="1"/>
  <c r="AH23" i="1" s="1"/>
  <c r="AH22" i="1" s="1"/>
  <c r="AN23" i="1" a="1"/>
  <c r="AN23" i="1" s="1"/>
  <c r="AN22" i="1" s="1"/>
  <c r="AT23" i="1" a="1"/>
  <c r="AT23" i="1" s="1"/>
  <c r="AT22" i="1" s="1"/>
  <c r="AZ23" i="1" a="1"/>
  <c r="AZ23" i="1" s="1"/>
  <c r="AZ22" i="1" s="1"/>
  <c r="BF23" i="1" a="1"/>
  <c r="BF23" i="1" s="1"/>
  <c r="BF22" i="1" s="1"/>
  <c r="BL23" i="1" a="1"/>
  <c r="BL23" i="1" s="1"/>
  <c r="BL22" i="1" s="1"/>
  <c r="V28" i="1" a="1"/>
  <c r="V28" i="1" s="1"/>
  <c r="AB28" i="1" a="1"/>
  <c r="AB28" i="1" s="1"/>
  <c r="AH28" i="1" a="1"/>
  <c r="AH28" i="1" s="1"/>
  <c r="AN28" i="1" a="1"/>
  <c r="AN28" i="1" s="1"/>
  <c r="AT28" i="1" a="1"/>
  <c r="AT28" i="1" s="1"/>
  <c r="AZ28" i="1" a="1"/>
  <c r="AZ28" i="1" s="1"/>
  <c r="BF28" i="1" a="1"/>
  <c r="BF28" i="1" s="1"/>
  <c r="BL28" i="1" a="1"/>
  <c r="BL28" i="1" s="1"/>
  <c r="U29" i="1" a="1"/>
  <c r="U29" i="1" s="1"/>
  <c r="AA29" i="1" a="1"/>
  <c r="AA29" i="1" s="1"/>
  <c r="AG29" i="1" a="1"/>
  <c r="AG29" i="1" s="1"/>
  <c r="AM29" i="1" a="1"/>
  <c r="AM29" i="1" s="1"/>
  <c r="AS29" i="1" a="1"/>
  <c r="AS29" i="1" s="1"/>
  <c r="AY29" i="1" a="1"/>
  <c r="AY29" i="1" s="1"/>
  <c r="BE29" i="1" a="1"/>
  <c r="BE29" i="1" s="1"/>
  <c r="BK29" i="1" a="1"/>
  <c r="BK29" i="1" s="1"/>
  <c r="T30" i="1" a="1"/>
  <c r="T30" i="1" s="1"/>
  <c r="Z30" i="1" a="1"/>
  <c r="Z30" i="1" s="1"/>
  <c r="AF30" i="1" a="1"/>
  <c r="AF30" i="1" s="1"/>
  <c r="AL30" i="1" a="1"/>
  <c r="AL30" i="1" s="1"/>
  <c r="AR30" i="1" a="1"/>
  <c r="AR30" i="1" s="1"/>
  <c r="AX30" i="1" a="1"/>
  <c r="AX30" i="1" s="1"/>
  <c r="BD30" i="1" a="1"/>
  <c r="BD30" i="1" s="1"/>
  <c r="BJ30" i="1" a="1"/>
  <c r="BJ30" i="1" s="1"/>
  <c r="S31" i="1" a="1"/>
  <c r="S31" i="1" s="1"/>
  <c r="Y31" i="1" a="1"/>
  <c r="Y31" i="1" s="1"/>
  <c r="AE31" i="1" a="1"/>
  <c r="AE31" i="1" s="1"/>
  <c r="AK31" i="1" a="1"/>
  <c r="AK31" i="1" s="1"/>
  <c r="AQ31" i="1" a="1"/>
  <c r="AQ31" i="1" s="1"/>
  <c r="AW31" i="1" a="1"/>
  <c r="AW31" i="1" s="1"/>
  <c r="BC31" i="1" a="1"/>
  <c r="BC31" i="1" s="1"/>
  <c r="BI31" i="1" a="1"/>
  <c r="BI31" i="1" s="1"/>
  <c r="R32" i="1" a="1"/>
  <c r="R32" i="1" s="1"/>
  <c r="X32" i="1" a="1"/>
  <c r="X32" i="1" s="1"/>
  <c r="AD32" i="1" a="1"/>
  <c r="AD32" i="1" s="1"/>
  <c r="AJ32" i="1" a="1"/>
  <c r="AJ32" i="1" s="1"/>
  <c r="AP32" i="1" a="1"/>
  <c r="AP32" i="1" s="1"/>
  <c r="AV32" i="1" a="1"/>
  <c r="AV32" i="1" s="1"/>
  <c r="BB32" i="1" a="1"/>
  <c r="BB32" i="1" s="1"/>
  <c r="BH32" i="1" a="1"/>
  <c r="BH32" i="1" s="1"/>
  <c r="BN32" i="1" a="1"/>
  <c r="BN32" i="1" s="1"/>
  <c r="Q33" i="1" a="1"/>
  <c r="Q33" i="1" s="1"/>
  <c r="W33" i="1" a="1"/>
  <c r="W33" i="1" s="1"/>
  <c r="AC33" i="1" a="1"/>
  <c r="AC33" i="1" s="1"/>
  <c r="AI33" i="1" a="1"/>
  <c r="AI33" i="1" s="1"/>
  <c r="AO33" i="1" a="1"/>
  <c r="AO33" i="1" s="1"/>
  <c r="AU33" i="1" a="1"/>
  <c r="AU33" i="1" s="1"/>
  <c r="BA33" i="1" a="1"/>
  <c r="BA33" i="1" s="1"/>
  <c r="BG33" i="1" a="1"/>
  <c r="BG33" i="1" s="1"/>
  <c r="BM33" i="1" a="1"/>
  <c r="BM33" i="1" s="1"/>
  <c r="V34" i="1" a="1"/>
  <c r="V34" i="1" s="1"/>
  <c r="AH34" i="1" a="1"/>
  <c r="AH34" i="1" s="1"/>
  <c r="AT34" i="1" a="1"/>
  <c r="AT34" i="1" s="1"/>
  <c r="BF34" i="1" a="1"/>
  <c r="BF34" i="1" s="1"/>
  <c r="S36" i="1" a="1"/>
  <c r="S36" i="1" s="1"/>
  <c r="Y36" i="1" a="1"/>
  <c r="Y36" i="1" s="1"/>
  <c r="AE36" i="1" a="1"/>
  <c r="AE36" i="1" s="1"/>
  <c r="AK36" i="1" a="1"/>
  <c r="AK36" i="1" s="1"/>
  <c r="AQ36" i="1" a="1"/>
  <c r="AQ36" i="1" s="1"/>
  <c r="BC36" i="1" a="1"/>
  <c r="BC36" i="1" s="1"/>
  <c r="BI36" i="1" a="1"/>
  <c r="BI36" i="1" s="1"/>
  <c r="R37" i="1" a="1"/>
  <c r="R37" i="1" s="1"/>
  <c r="X37" i="1" a="1"/>
  <c r="X37" i="1" s="1"/>
  <c r="AD37" i="1" a="1"/>
  <c r="AD37" i="1" s="1"/>
  <c r="AJ37" i="1" a="1"/>
  <c r="AJ37" i="1" s="1"/>
  <c r="AP37" i="1" a="1"/>
  <c r="AP37" i="1" s="1"/>
  <c r="AV37" i="1" a="1"/>
  <c r="AV37" i="1" s="1"/>
  <c r="BB37" i="1" a="1"/>
  <c r="BB37" i="1" s="1"/>
  <c r="BH37" i="1" a="1"/>
  <c r="BH37" i="1" s="1"/>
  <c r="BN37" i="1" a="1"/>
  <c r="BN37" i="1" s="1"/>
  <c r="I40" i="1"/>
  <c r="I26" i="1" s="1"/>
  <c r="I18" i="1" s="1"/>
  <c r="I11" i="1" s="1"/>
  <c r="Q41" i="1" a="1"/>
  <c r="Q41" i="1" s="1"/>
  <c r="Q40" i="1" s="1"/>
  <c r="R42" i="1" a="1"/>
  <c r="R42" i="1" s="1"/>
  <c r="AE42" i="1" a="1"/>
  <c r="AE42" i="1" s="1"/>
  <c r="AR42" i="1" a="1"/>
  <c r="AR42" i="1" s="1"/>
  <c r="AY43" i="1" a="1"/>
  <c r="AY43" i="1" s="1"/>
  <c r="BJ43" i="1" a="1"/>
  <c r="BJ43" i="1" s="1"/>
  <c r="R44" i="1" a="1"/>
  <c r="R44" i="1" s="1"/>
  <c r="Q48" i="1" a="1"/>
  <c r="Q48" i="1" s="1"/>
  <c r="AI48" i="1" a="1"/>
  <c r="AI48" i="1" s="1"/>
  <c r="BA48" i="1" a="1"/>
  <c r="BA48" i="1" s="1"/>
  <c r="AY49" i="1" a="1"/>
  <c r="AY49" i="1" s="1"/>
  <c r="AR51" i="1" a="1"/>
  <c r="AR51" i="1" s="1"/>
  <c r="AX52" i="1" a="1"/>
  <c r="AX52" i="1" s="1"/>
  <c r="AV55" i="1" a="1"/>
  <c r="AV55" i="1" s="1"/>
  <c r="R57" i="1" a="1"/>
  <c r="R57" i="1" s="1"/>
  <c r="BF65" i="1" a="1"/>
  <c r="BF65" i="1" s="1"/>
  <c r="AI67" i="1" a="1"/>
  <c r="AI67" i="1" s="1"/>
  <c r="R69" i="1" a="1"/>
  <c r="R69" i="1" s="1"/>
  <c r="BE81" i="1" a="1"/>
  <c r="BE81" i="1" s="1"/>
  <c r="AI87" i="1" a="1"/>
  <c r="AI87" i="1" s="1"/>
  <c r="AT43" i="1" a="1"/>
  <c r="AT43" i="1" s="1"/>
  <c r="AI156" i="1" a="1"/>
  <c r="AI156" i="1" s="1"/>
  <c r="AI139" i="1" a="1"/>
  <c r="AI139" i="1" s="1"/>
  <c r="AI155" i="1" a="1"/>
  <c r="AI155" i="1" s="1"/>
  <c r="AI144" i="1" a="1"/>
  <c r="AI144" i="1" s="1"/>
  <c r="AI149" i="1" a="1"/>
  <c r="AI149" i="1" s="1"/>
  <c r="AI143" i="1" a="1"/>
  <c r="AI143" i="1" s="1"/>
  <c r="AI148" i="1" a="1"/>
  <c r="AI148" i="1" s="1"/>
  <c r="AI147" i="1" a="1"/>
  <c r="AI147" i="1" s="1"/>
  <c r="AI128" i="1" a="1"/>
  <c r="AI128" i="1" s="1"/>
  <c r="AI129" i="1" a="1"/>
  <c r="AI129" i="1" s="1"/>
  <c r="AI130" i="1" a="1"/>
  <c r="AI130" i="1" s="1"/>
  <c r="AI118" i="1" a="1"/>
  <c r="AI118" i="1" s="1"/>
  <c r="AI131" i="1" a="1"/>
  <c r="AI131" i="1" s="1"/>
  <c r="AI132" i="1" a="1"/>
  <c r="AI132" i="1" s="1"/>
  <c r="AI120" i="1" a="1"/>
  <c r="AI120" i="1" s="1"/>
  <c r="AI133" i="1" a="1"/>
  <c r="AI133" i="1" s="1"/>
  <c r="AI121" i="1" a="1"/>
  <c r="AI121" i="1" s="1"/>
  <c r="AI115" i="1" a="1"/>
  <c r="AI115" i="1" s="1"/>
  <c r="AI152" i="1" a="1"/>
  <c r="AI152" i="1" s="1"/>
  <c r="AI151" i="1" s="1"/>
  <c r="AI150" i="1" s="1"/>
  <c r="AI134" i="1" a="1"/>
  <c r="AI134" i="1" s="1"/>
  <c r="AI122" i="1" a="1"/>
  <c r="AI122" i="1" s="1"/>
  <c r="AI135" i="1" a="1"/>
  <c r="AI135" i="1" s="1"/>
  <c r="AI123" i="1" a="1"/>
  <c r="AI123" i="1" s="1"/>
  <c r="AI137" i="1" a="1"/>
  <c r="AI137" i="1" s="1"/>
  <c r="AI125" i="1" a="1"/>
  <c r="AI125" i="1" s="1"/>
  <c r="AI138" i="1" a="1"/>
  <c r="AI138" i="1" s="1"/>
  <c r="AI126" i="1" a="1"/>
  <c r="AI126" i="1" s="1"/>
  <c r="AI102" i="1" a="1"/>
  <c r="AI102" i="1" s="1"/>
  <c r="AI124" i="1" a="1"/>
  <c r="AI124" i="1" s="1"/>
  <c r="AI116" i="1" a="1"/>
  <c r="AI116" i="1" s="1"/>
  <c r="AI112" i="1" a="1"/>
  <c r="AI112" i="1" s="1"/>
  <c r="AI103" i="1" a="1"/>
  <c r="AI103" i="1" s="1"/>
  <c r="AI105" i="1" a="1"/>
  <c r="AI105" i="1" s="1"/>
  <c r="AI106" i="1" a="1"/>
  <c r="AI106" i="1" s="1"/>
  <c r="AI113" i="1" a="1"/>
  <c r="AI113" i="1" s="1"/>
  <c r="AI110" i="1" a="1"/>
  <c r="AI110" i="1" s="1"/>
  <c r="AI136" i="1" a="1"/>
  <c r="AI136" i="1" s="1"/>
  <c r="AI127" i="1" a="1"/>
  <c r="AI127" i="1" s="1"/>
  <c r="AI117" i="1" a="1"/>
  <c r="AI117" i="1" s="1"/>
  <c r="AI107" i="1" a="1"/>
  <c r="AI107" i="1" s="1"/>
  <c r="AI114" i="1" a="1"/>
  <c r="AI114" i="1" s="1"/>
  <c r="AI119" i="1" a="1"/>
  <c r="AI119" i="1" s="1"/>
  <c r="AI94" i="1" a="1"/>
  <c r="AI94" i="1" s="1"/>
  <c r="AI88" i="1" a="1"/>
  <c r="AI88" i="1" s="1"/>
  <c r="AI84" i="1" a="1"/>
  <c r="AI84" i="1" s="1"/>
  <c r="AI89" i="1" a="1"/>
  <c r="AI89" i="1" s="1"/>
  <c r="AI83" i="1" a="1"/>
  <c r="AI83" i="1" s="1"/>
  <c r="AI90" i="1" a="1"/>
  <c r="AI90" i="1" s="1"/>
  <c r="AI82" i="1" a="1"/>
  <c r="AI82" i="1" s="1"/>
  <c r="AI111" i="1" a="1"/>
  <c r="AI111" i="1" s="1"/>
  <c r="AI101" i="1" a="1"/>
  <c r="AI101" i="1" s="1"/>
  <c r="AI91" i="1" a="1"/>
  <c r="AI91" i="1" s="1"/>
  <c r="AI81" i="1" a="1"/>
  <c r="AI81" i="1" s="1"/>
  <c r="AI80" i="1" a="1"/>
  <c r="AI80" i="1" s="1"/>
  <c r="AI104" i="1" a="1"/>
  <c r="AI104" i="1" s="1"/>
  <c r="AI97" i="1" a="1"/>
  <c r="AI97" i="1" s="1"/>
  <c r="AI95" i="1" a="1"/>
  <c r="AI95" i="1" s="1"/>
  <c r="AI79" i="1" a="1"/>
  <c r="AI79" i="1" s="1"/>
  <c r="AI98" i="1" a="1"/>
  <c r="AI98" i="1" s="1"/>
  <c r="AI93" i="1" a="1"/>
  <c r="AI93" i="1" s="1"/>
  <c r="AI92" i="1" a="1"/>
  <c r="AI92" i="1" s="1"/>
  <c r="AI68" i="1" a="1"/>
  <c r="AI68" i="1" s="1"/>
  <c r="AI56" i="1" a="1"/>
  <c r="AI56" i="1" s="1"/>
  <c r="AI69" i="1" a="1"/>
  <c r="AI69" i="1" s="1"/>
  <c r="AI57" i="1" a="1"/>
  <c r="AI57" i="1" s="1"/>
  <c r="AI55" i="1" a="1"/>
  <c r="AI55" i="1" s="1"/>
  <c r="AI70" i="1" a="1"/>
  <c r="AI70" i="1" s="1"/>
  <c r="AI58" i="1" a="1"/>
  <c r="AI58" i="1" s="1"/>
  <c r="AI54" i="1" a="1"/>
  <c r="AI54" i="1" s="1"/>
  <c r="AI44" i="1" a="1"/>
  <c r="AI44" i="1" s="1"/>
  <c r="AI75" i="1" a="1"/>
  <c r="AI75" i="1" s="1"/>
  <c r="AI71" i="1" a="1"/>
  <c r="AI71" i="1" s="1"/>
  <c r="AI59" i="1" a="1"/>
  <c r="AI59" i="1" s="1"/>
  <c r="AI53" i="1" a="1"/>
  <c r="AI53" i="1" s="1"/>
  <c r="AI72" i="1" a="1"/>
  <c r="AI72" i="1" s="1"/>
  <c r="AI60" i="1" a="1"/>
  <c r="AI60" i="1" s="1"/>
  <c r="AI52" i="1" a="1"/>
  <c r="AI52" i="1" s="1"/>
  <c r="AI43" i="1" a="1"/>
  <c r="AI43" i="1" s="1"/>
  <c r="AI73" i="1" a="1"/>
  <c r="AI73" i="1" s="1"/>
  <c r="AI61" i="1" a="1"/>
  <c r="AI61" i="1" s="1"/>
  <c r="AI51" i="1" a="1"/>
  <c r="AI51" i="1" s="1"/>
  <c r="AI78" i="1" a="1"/>
  <c r="AI78" i="1" s="1"/>
  <c r="AI74" i="1" a="1"/>
  <c r="AI74" i="1" s="1"/>
  <c r="AI62" i="1" a="1"/>
  <c r="AI62" i="1" s="1"/>
  <c r="AI50" i="1" a="1"/>
  <c r="AI50" i="1" s="1"/>
  <c r="AI63" i="1" a="1"/>
  <c r="AI63" i="1" s="1"/>
  <c r="AI49" i="1" a="1"/>
  <c r="AI49" i="1" s="1"/>
  <c r="AI96" i="1" a="1"/>
  <c r="AI96" i="1" s="1"/>
  <c r="AI64" i="1" a="1"/>
  <c r="AI64" i="1" s="1"/>
  <c r="AI86" i="1" a="1"/>
  <c r="AI86" i="1" s="1"/>
  <c r="AI65" i="1" a="1"/>
  <c r="AI65" i="1" s="1"/>
  <c r="AI100" i="1" a="1"/>
  <c r="AI100" i="1" s="1"/>
  <c r="AI66" i="1" a="1"/>
  <c r="AI66" i="1" s="1"/>
  <c r="V32" i="1" a="1"/>
  <c r="V32" i="1" s="1"/>
  <c r="W36" i="1" a="1"/>
  <c r="W36" i="1" s="1"/>
  <c r="AU48" i="1" a="1"/>
  <c r="AU48" i="1" s="1"/>
  <c r="AW155" i="1" a="1"/>
  <c r="AW155" i="1" s="1"/>
  <c r="AW144" i="1" a="1"/>
  <c r="AW144" i="1" s="1"/>
  <c r="AW149" i="1" a="1"/>
  <c r="AW149" i="1" s="1"/>
  <c r="AW143" i="1" a="1"/>
  <c r="AW143" i="1" s="1"/>
  <c r="AW148" i="1" a="1"/>
  <c r="AW148" i="1" s="1"/>
  <c r="AW147" i="1" a="1"/>
  <c r="AW147" i="1" s="1"/>
  <c r="AW152" i="1" a="1"/>
  <c r="AW152" i="1" s="1"/>
  <c r="AW151" i="1" s="1"/>
  <c r="AW150" i="1" s="1"/>
  <c r="AW156" i="1" a="1"/>
  <c r="AW156" i="1" s="1"/>
  <c r="AW138" i="1" a="1"/>
  <c r="AW138" i="1" s="1"/>
  <c r="AW132" i="1" a="1"/>
  <c r="AW132" i="1" s="1"/>
  <c r="AW120" i="1" a="1"/>
  <c r="AW120" i="1" s="1"/>
  <c r="AW116" i="1" a="1"/>
  <c r="AW116" i="1" s="1"/>
  <c r="AW133" i="1" a="1"/>
  <c r="AW133" i="1" s="1"/>
  <c r="AW121" i="1" a="1"/>
  <c r="AW121" i="1" s="1"/>
  <c r="AW134" i="1" a="1"/>
  <c r="AW134" i="1" s="1"/>
  <c r="AW122" i="1" a="1"/>
  <c r="AW122" i="1" s="1"/>
  <c r="AW114" i="1" a="1"/>
  <c r="AW114" i="1" s="1"/>
  <c r="AW135" i="1" a="1"/>
  <c r="AW135" i="1" s="1"/>
  <c r="AW123" i="1" a="1"/>
  <c r="AW123" i="1" s="1"/>
  <c r="AW136" i="1" a="1"/>
  <c r="AW136" i="1" s="1"/>
  <c r="AW124" i="1" a="1"/>
  <c r="AW124" i="1" s="1"/>
  <c r="AW139" i="1" a="1"/>
  <c r="AW139" i="1" s="1"/>
  <c r="AW125" i="1" a="1"/>
  <c r="AW125" i="1" s="1"/>
  <c r="AW126" i="1" a="1"/>
  <c r="AW126" i="1" s="1"/>
  <c r="AW127" i="1" a="1"/>
  <c r="AW127" i="1" s="1"/>
  <c r="AW129" i="1" a="1"/>
  <c r="AW129" i="1" s="1"/>
  <c r="AW137" i="1" a="1"/>
  <c r="AW137" i="1" s="1"/>
  <c r="AW130" i="1" a="1"/>
  <c r="AW130" i="1" s="1"/>
  <c r="AW94" i="1" a="1"/>
  <c r="AW94" i="1" s="1"/>
  <c r="AW118" i="1" a="1"/>
  <c r="AW118" i="1" s="1"/>
  <c r="AW112" i="1" a="1"/>
  <c r="AW112" i="1" s="1"/>
  <c r="AW95" i="1" a="1"/>
  <c r="AW95" i="1" s="1"/>
  <c r="AW131" i="1" a="1"/>
  <c r="AW131" i="1" s="1"/>
  <c r="AW106" i="1" a="1"/>
  <c r="AW106" i="1" s="1"/>
  <c r="AW97" i="1" a="1"/>
  <c r="AW97" i="1" s="1"/>
  <c r="AW117" i="1" a="1"/>
  <c r="AW117" i="1" s="1"/>
  <c r="AW128" i="1" a="1"/>
  <c r="AW128" i="1" s="1"/>
  <c r="AW113" i="1" a="1"/>
  <c r="AW113" i="1" s="1"/>
  <c r="AW110" i="1" a="1"/>
  <c r="AW110" i="1" s="1"/>
  <c r="AW99" i="1" a="1"/>
  <c r="AW99" i="1" s="1"/>
  <c r="AW115" i="1" a="1"/>
  <c r="AW115" i="1" s="1"/>
  <c r="AW119" i="1" a="1"/>
  <c r="AW119" i="1" s="1"/>
  <c r="AW102" i="1" a="1"/>
  <c r="AW102" i="1" s="1"/>
  <c r="AW107" i="1" a="1"/>
  <c r="AW107" i="1" s="1"/>
  <c r="AW101" i="1" a="1"/>
  <c r="AW101" i="1" s="1"/>
  <c r="AW91" i="1" a="1"/>
  <c r="AW91" i="1" s="1"/>
  <c r="AW80" i="1" a="1"/>
  <c r="AW80" i="1" s="1"/>
  <c r="AW79" i="1" a="1"/>
  <c r="AW79" i="1" s="1"/>
  <c r="AW78" i="1" a="1"/>
  <c r="AW78" i="1" s="1"/>
  <c r="AW105" i="1" a="1"/>
  <c r="AW105" i="1" s="1"/>
  <c r="AW104" i="1" a="1"/>
  <c r="AW104" i="1" s="1"/>
  <c r="AW86" i="1" a="1"/>
  <c r="AW86" i="1" s="1"/>
  <c r="AW87" i="1" a="1"/>
  <c r="AW87" i="1" s="1"/>
  <c r="AW85" i="1" a="1"/>
  <c r="AW85" i="1" s="1"/>
  <c r="AW100" i="1" a="1"/>
  <c r="AW100" i="1" s="1"/>
  <c r="AW98" i="1" a="1"/>
  <c r="AW98" i="1" s="1"/>
  <c r="AW93" i="1" a="1"/>
  <c r="AW93" i="1" s="1"/>
  <c r="AW88" i="1" a="1"/>
  <c r="AW88" i="1" s="1"/>
  <c r="AW84" i="1" a="1"/>
  <c r="AW84" i="1" s="1"/>
  <c r="AW111" i="1" a="1"/>
  <c r="AW111" i="1" s="1"/>
  <c r="AW103" i="1" a="1"/>
  <c r="AW103" i="1" s="1"/>
  <c r="AW89" i="1" a="1"/>
  <c r="AW89" i="1" s="1"/>
  <c r="AW83" i="1" a="1"/>
  <c r="AW83" i="1" s="1"/>
  <c r="AW72" i="1" a="1"/>
  <c r="AW72" i="1" s="1"/>
  <c r="AW60" i="1" a="1"/>
  <c r="AW60" i="1" s="1"/>
  <c r="AW52" i="1" a="1"/>
  <c r="AW52" i="1" s="1"/>
  <c r="AW73" i="1" a="1"/>
  <c r="AW73" i="1" s="1"/>
  <c r="AW61" i="1" a="1"/>
  <c r="AW61" i="1" s="1"/>
  <c r="AW51" i="1" a="1"/>
  <c r="AW51" i="1" s="1"/>
  <c r="AW74" i="1" a="1"/>
  <c r="AW74" i="1" s="1"/>
  <c r="AW62" i="1" a="1"/>
  <c r="AW62" i="1" s="1"/>
  <c r="AW50" i="1" a="1"/>
  <c r="AW50" i="1" s="1"/>
  <c r="AW63" i="1" a="1"/>
  <c r="AW63" i="1" s="1"/>
  <c r="AW49" i="1" a="1"/>
  <c r="AW49" i="1" s="1"/>
  <c r="AW96" i="1" a="1"/>
  <c r="AW96" i="1" s="1"/>
  <c r="AW82" i="1" a="1"/>
  <c r="AW82" i="1" s="1"/>
  <c r="AW75" i="1" a="1"/>
  <c r="AW75" i="1" s="1"/>
  <c r="AW64" i="1" a="1"/>
  <c r="AW64" i="1" s="1"/>
  <c r="AW48" i="1" a="1"/>
  <c r="AW48" i="1" s="1"/>
  <c r="AW65" i="1" a="1"/>
  <c r="AW65" i="1" s="1"/>
  <c r="AW81" i="1" a="1"/>
  <c r="AW81" i="1" s="1"/>
  <c r="AW66" i="1" a="1"/>
  <c r="AW66" i="1" s="1"/>
  <c r="AW92" i="1" a="1"/>
  <c r="AW92" i="1" s="1"/>
  <c r="AW67" i="1" a="1"/>
  <c r="AW67" i="1" s="1"/>
  <c r="AW68" i="1" a="1"/>
  <c r="AW68" i="1" s="1"/>
  <c r="AW56" i="1" a="1"/>
  <c r="AW56" i="1" s="1"/>
  <c r="AW69" i="1" a="1"/>
  <c r="AW69" i="1" s="1"/>
  <c r="AW57" i="1" a="1"/>
  <c r="AW57" i="1" s="1"/>
  <c r="AW55" i="1" a="1"/>
  <c r="AW55" i="1" s="1"/>
  <c r="AW70" i="1" a="1"/>
  <c r="AW70" i="1" s="1"/>
  <c r="AW58" i="1" a="1"/>
  <c r="AW58" i="1" s="1"/>
  <c r="AM148" i="1" a="1"/>
  <c r="AM148" i="1" s="1"/>
  <c r="AM147" i="1" a="1"/>
  <c r="AM147" i="1" s="1"/>
  <c r="AM152" i="1" a="1"/>
  <c r="AM152" i="1" s="1"/>
  <c r="AM151" i="1" s="1"/>
  <c r="AM150" i="1" s="1"/>
  <c r="AM137" i="1" a="1"/>
  <c r="AM137" i="1" s="1"/>
  <c r="AM156" i="1" a="1"/>
  <c r="AM156" i="1" s="1"/>
  <c r="AM155" i="1" a="1"/>
  <c r="AM155" i="1" s="1"/>
  <c r="AM144" i="1" a="1"/>
  <c r="AM144" i="1" s="1"/>
  <c r="AM149" i="1" a="1"/>
  <c r="AM149" i="1" s="1"/>
  <c r="AM136" i="1" a="1"/>
  <c r="AM136" i="1" s="1"/>
  <c r="AM124" i="1" a="1"/>
  <c r="AM124" i="1" s="1"/>
  <c r="AM112" i="1" a="1"/>
  <c r="AM112" i="1" s="1"/>
  <c r="AM125" i="1" a="1"/>
  <c r="AM125" i="1" s="1"/>
  <c r="AM126" i="1" a="1"/>
  <c r="AM126" i="1" s="1"/>
  <c r="AM110" i="1" a="1"/>
  <c r="AM110" i="1" s="1"/>
  <c r="AM139" i="1" a="1"/>
  <c r="AM139" i="1" s="1"/>
  <c r="AM138" i="1" a="1"/>
  <c r="AM138" i="1" s="1"/>
  <c r="AM127" i="1" a="1"/>
  <c r="AM127" i="1" s="1"/>
  <c r="AM128" i="1" a="1"/>
  <c r="AM128" i="1" s="1"/>
  <c r="AM129" i="1" a="1"/>
  <c r="AM129" i="1" s="1"/>
  <c r="AM143" i="1" a="1"/>
  <c r="AM143" i="1" s="1"/>
  <c r="AM130" i="1" a="1"/>
  <c r="AM130" i="1" s="1"/>
  <c r="AM118" i="1" a="1"/>
  <c r="AM118" i="1" s="1"/>
  <c r="AM131" i="1" a="1"/>
  <c r="AM131" i="1" s="1"/>
  <c r="AM133" i="1" a="1"/>
  <c r="AM133" i="1" s="1"/>
  <c r="AM121" i="1" a="1"/>
  <c r="AM121" i="1" s="1"/>
  <c r="AM134" i="1" a="1"/>
  <c r="AM134" i="1" s="1"/>
  <c r="AM122" i="1" a="1"/>
  <c r="AM122" i="1" s="1"/>
  <c r="AM123" i="1" a="1"/>
  <c r="AM123" i="1" s="1"/>
  <c r="AM98" i="1" a="1"/>
  <c r="AM98" i="1" s="1"/>
  <c r="AM107" i="1" a="1"/>
  <c r="AM107" i="1" s="1"/>
  <c r="AM99" i="1" a="1"/>
  <c r="AM99" i="1" s="1"/>
  <c r="AM117" i="1" a="1"/>
  <c r="AM117" i="1" s="1"/>
  <c r="AM114" i="1" a="1"/>
  <c r="AM114" i="1" s="1"/>
  <c r="AM111" i="1" a="1"/>
  <c r="AM111" i="1" s="1"/>
  <c r="AM101" i="1" a="1"/>
  <c r="AM101" i="1" s="1"/>
  <c r="AM119" i="1" a="1"/>
  <c r="AM119" i="1" s="1"/>
  <c r="AM102" i="1" a="1"/>
  <c r="AM102" i="1" s="1"/>
  <c r="AM103" i="1" a="1"/>
  <c r="AM103" i="1" s="1"/>
  <c r="AM135" i="1" a="1"/>
  <c r="AM135" i="1" s="1"/>
  <c r="AM105" i="1" a="1"/>
  <c r="AM105" i="1" s="1"/>
  <c r="AM116" i="1" a="1"/>
  <c r="AM116" i="1" s="1"/>
  <c r="AM132" i="1" a="1"/>
  <c r="AM132" i="1" s="1"/>
  <c r="AM115" i="1" a="1"/>
  <c r="AM115" i="1" s="1"/>
  <c r="AM106" i="1" a="1"/>
  <c r="AM106" i="1" s="1"/>
  <c r="AM104" i="1" a="1"/>
  <c r="AM104" i="1" s="1"/>
  <c r="AM97" i="1" a="1"/>
  <c r="AM97" i="1" s="1"/>
  <c r="AM120" i="1" a="1"/>
  <c r="AM120" i="1" s="1"/>
  <c r="AM93" i="1" a="1"/>
  <c r="AM93" i="1" s="1"/>
  <c r="AM86" i="1" a="1"/>
  <c r="AM86" i="1" s="1"/>
  <c r="AM87" i="1" a="1"/>
  <c r="AM87" i="1" s="1"/>
  <c r="AM85" i="1" a="1"/>
  <c r="AM85" i="1" s="1"/>
  <c r="AM96" i="1" a="1"/>
  <c r="AM96" i="1" s="1"/>
  <c r="AM92" i="1" a="1"/>
  <c r="AM92" i="1" s="1"/>
  <c r="AM88" i="1" a="1"/>
  <c r="AM88" i="1" s="1"/>
  <c r="AM84" i="1" a="1"/>
  <c r="AM84" i="1" s="1"/>
  <c r="AM89" i="1" a="1"/>
  <c r="AM89" i="1" s="1"/>
  <c r="AM83" i="1" a="1"/>
  <c r="AM83" i="1" s="1"/>
  <c r="AM113" i="1" a="1"/>
  <c r="AM113" i="1" s="1"/>
  <c r="AM94" i="1" a="1"/>
  <c r="AM94" i="1" s="1"/>
  <c r="AM90" i="1" a="1"/>
  <c r="AM90" i="1" s="1"/>
  <c r="AM82" i="1" a="1"/>
  <c r="AM82" i="1" s="1"/>
  <c r="AM100" i="1" a="1"/>
  <c r="AM100" i="1" s="1"/>
  <c r="AM91" i="1" a="1"/>
  <c r="AM91" i="1" s="1"/>
  <c r="AM79" i="1" a="1"/>
  <c r="AM79" i="1" s="1"/>
  <c r="AM64" i="1" a="1"/>
  <c r="AM64" i="1" s="1"/>
  <c r="AM48" i="1" a="1"/>
  <c r="AM48" i="1" s="1"/>
  <c r="AM95" i="1" a="1"/>
  <c r="AM95" i="1" s="1"/>
  <c r="AM78" i="1" a="1"/>
  <c r="AM78" i="1" s="1"/>
  <c r="AM65" i="1" a="1"/>
  <c r="AM65" i="1" s="1"/>
  <c r="AM80" i="1" a="1"/>
  <c r="AM80" i="1" s="1"/>
  <c r="AM66" i="1" a="1"/>
  <c r="AM66" i="1" s="1"/>
  <c r="AM67" i="1" a="1"/>
  <c r="AM67" i="1" s="1"/>
  <c r="AM68" i="1" a="1"/>
  <c r="AM68" i="1" s="1"/>
  <c r="AM56" i="1" a="1"/>
  <c r="AM56" i="1" s="1"/>
  <c r="AM69" i="1" a="1"/>
  <c r="AM69" i="1" s="1"/>
  <c r="AM57" i="1" a="1"/>
  <c r="AM57" i="1" s="1"/>
  <c r="AM55" i="1" a="1"/>
  <c r="AM55" i="1" s="1"/>
  <c r="AM70" i="1" a="1"/>
  <c r="AM70" i="1" s="1"/>
  <c r="AM58" i="1" a="1"/>
  <c r="AM58" i="1" s="1"/>
  <c r="AM54" i="1" a="1"/>
  <c r="AM54" i="1" s="1"/>
  <c r="AM71" i="1" a="1"/>
  <c r="AM71" i="1" s="1"/>
  <c r="AM59" i="1" a="1"/>
  <c r="AM59" i="1" s="1"/>
  <c r="AM53" i="1" a="1"/>
  <c r="AM53" i="1" s="1"/>
  <c r="AM72" i="1" a="1"/>
  <c r="AM72" i="1" s="1"/>
  <c r="AM60" i="1" a="1"/>
  <c r="AM60" i="1" s="1"/>
  <c r="AM52" i="1" a="1"/>
  <c r="AM52" i="1" s="1"/>
  <c r="AM75" i="1" a="1"/>
  <c r="AM75" i="1" s="1"/>
  <c r="AM73" i="1" a="1"/>
  <c r="AM73" i="1" s="1"/>
  <c r="AM61" i="1" a="1"/>
  <c r="AM61" i="1" s="1"/>
  <c r="AM51" i="1" a="1"/>
  <c r="AM51" i="1" s="1"/>
  <c r="AM74" i="1" a="1"/>
  <c r="AM74" i="1" s="1"/>
  <c r="AM62" i="1" a="1"/>
  <c r="AM62" i="1" s="1"/>
  <c r="AB147" i="1" a="1"/>
  <c r="AB147" i="1" s="1"/>
  <c r="AB152" i="1" a="1"/>
  <c r="AB152" i="1" s="1"/>
  <c r="AB151" i="1" s="1"/>
  <c r="AB150" i="1" s="1"/>
  <c r="AB156" i="1" a="1"/>
  <c r="AB156" i="1" s="1"/>
  <c r="AB138" i="1" a="1"/>
  <c r="AB138" i="1" s="1"/>
  <c r="AB139" i="1" a="1"/>
  <c r="AB139" i="1" s="1"/>
  <c r="AB155" i="1" a="1"/>
  <c r="AB155" i="1" s="1"/>
  <c r="AB144" i="1" a="1"/>
  <c r="AB144" i="1" s="1"/>
  <c r="AB149" i="1" a="1"/>
  <c r="AB149" i="1" s="1"/>
  <c r="AB143" i="1" a="1"/>
  <c r="AB143" i="1" s="1"/>
  <c r="AB148" i="1" a="1"/>
  <c r="AB148" i="1" s="1"/>
  <c r="AB126" i="1" a="1"/>
  <c r="AB126" i="1" s="1"/>
  <c r="AB110" i="1" a="1"/>
  <c r="AB110" i="1" s="1"/>
  <c r="AB127" i="1" a="1"/>
  <c r="AB127" i="1" s="1"/>
  <c r="AB128" i="1" a="1"/>
  <c r="AB128" i="1" s="1"/>
  <c r="AB129" i="1" a="1"/>
  <c r="AB129" i="1" s="1"/>
  <c r="AB130" i="1" a="1"/>
  <c r="AB130" i="1" s="1"/>
  <c r="AB131" i="1" a="1"/>
  <c r="AB131" i="1" s="1"/>
  <c r="AB119" i="1" a="1"/>
  <c r="AB119" i="1" s="1"/>
  <c r="AB117" i="1" a="1"/>
  <c r="AB117" i="1" s="1"/>
  <c r="AB132" i="1" a="1"/>
  <c r="AB132" i="1" s="1"/>
  <c r="AB120" i="1" a="1"/>
  <c r="AB120" i="1" s="1"/>
  <c r="AB116" i="1" a="1"/>
  <c r="AB116" i="1" s="1"/>
  <c r="AB133" i="1" a="1"/>
  <c r="AB133" i="1" s="1"/>
  <c r="AB135" i="1" a="1"/>
  <c r="AB135" i="1" s="1"/>
  <c r="AB123" i="1" a="1"/>
  <c r="AB123" i="1" s="1"/>
  <c r="AB136" i="1" a="1"/>
  <c r="AB136" i="1" s="1"/>
  <c r="AB124" i="1" a="1"/>
  <c r="AB124" i="1" s="1"/>
  <c r="AB137" i="1" a="1"/>
  <c r="AB137" i="1" s="1"/>
  <c r="AB100" i="1" a="1"/>
  <c r="AB100" i="1" s="1"/>
  <c r="AB115" i="1" a="1"/>
  <c r="AB115" i="1" s="1"/>
  <c r="AB112" i="1" a="1"/>
  <c r="AB112" i="1" s="1"/>
  <c r="AB101" i="1" a="1"/>
  <c r="AB101" i="1" s="1"/>
  <c r="AB103" i="1" a="1"/>
  <c r="AB103" i="1" s="1"/>
  <c r="AB104" i="1" a="1"/>
  <c r="AB104" i="1" s="1"/>
  <c r="AB113" i="1" a="1"/>
  <c r="AB113" i="1" s="1"/>
  <c r="AB105" i="1" a="1"/>
  <c r="AB105" i="1" s="1"/>
  <c r="AB134" i="1" a="1"/>
  <c r="AB134" i="1" s="1"/>
  <c r="AB125" i="1" a="1"/>
  <c r="AB125" i="1" s="1"/>
  <c r="AB107" i="1" a="1"/>
  <c r="AB107" i="1" s="1"/>
  <c r="AB114" i="1" a="1"/>
  <c r="AB114" i="1" s="1"/>
  <c r="AB94" i="1" a="1"/>
  <c r="AB94" i="1" s="1"/>
  <c r="AB92" i="1" a="1"/>
  <c r="AB92" i="1" s="1"/>
  <c r="AB86" i="1" a="1"/>
  <c r="AB86" i="1" s="1"/>
  <c r="AB87" i="1" a="1"/>
  <c r="AB87" i="1" s="1"/>
  <c r="AB85" i="1" a="1"/>
  <c r="AB85" i="1" s="1"/>
  <c r="AB102" i="1" a="1"/>
  <c r="AB102" i="1" s="1"/>
  <c r="AB88" i="1" a="1"/>
  <c r="AB88" i="1" s="1"/>
  <c r="AB84" i="1" a="1"/>
  <c r="AB84" i="1" s="1"/>
  <c r="AB89" i="1" a="1"/>
  <c r="AB89" i="1" s="1"/>
  <c r="AB83" i="1" a="1"/>
  <c r="AB83" i="1" s="1"/>
  <c r="AB97" i="1" a="1"/>
  <c r="AB97" i="1" s="1"/>
  <c r="AB90" i="1" a="1"/>
  <c r="AB90" i="1" s="1"/>
  <c r="AB82" i="1" a="1"/>
  <c r="AB82" i="1" s="1"/>
  <c r="AB118" i="1" a="1"/>
  <c r="AB118" i="1" s="1"/>
  <c r="AB98" i="1" a="1"/>
  <c r="AB98" i="1" s="1"/>
  <c r="AB95" i="1" a="1"/>
  <c r="AB95" i="1" s="1"/>
  <c r="AB91" i="1" a="1"/>
  <c r="AB91" i="1" s="1"/>
  <c r="AB81" i="1" a="1"/>
  <c r="AB81" i="1" s="1"/>
  <c r="AB122" i="1" a="1"/>
  <c r="AB122" i="1" s="1"/>
  <c r="AB121" i="1" a="1"/>
  <c r="AB121" i="1" s="1"/>
  <c r="AB111" i="1" a="1"/>
  <c r="AB111" i="1" s="1"/>
  <c r="AB80" i="1" a="1"/>
  <c r="AB80" i="1" s="1"/>
  <c r="AB106" i="1" a="1"/>
  <c r="AB106" i="1" s="1"/>
  <c r="AB99" i="1" a="1"/>
  <c r="AB99" i="1" s="1"/>
  <c r="AB66" i="1" a="1"/>
  <c r="AB66" i="1" s="1"/>
  <c r="AB67" i="1" a="1"/>
  <c r="AB67" i="1" s="1"/>
  <c r="AB79" i="1" a="1"/>
  <c r="AB79" i="1" s="1"/>
  <c r="AB68" i="1" a="1"/>
  <c r="AB68" i="1" s="1"/>
  <c r="AB56" i="1" a="1"/>
  <c r="AB56" i="1" s="1"/>
  <c r="AB75" i="1" a="1"/>
  <c r="AB75" i="1" s="1"/>
  <c r="AB69" i="1" a="1"/>
  <c r="AB69" i="1" s="1"/>
  <c r="AB57" i="1" a="1"/>
  <c r="AB57" i="1" s="1"/>
  <c r="AB55" i="1" a="1"/>
  <c r="AB55" i="1" s="1"/>
  <c r="AB70" i="1" a="1"/>
  <c r="AB70" i="1" s="1"/>
  <c r="AB58" i="1" a="1"/>
  <c r="AB58" i="1" s="1"/>
  <c r="AB54" i="1" a="1"/>
  <c r="AB54" i="1" s="1"/>
  <c r="AB44" i="1" a="1"/>
  <c r="AB44" i="1" s="1"/>
  <c r="AB78" i="1" a="1"/>
  <c r="AB78" i="1" s="1"/>
  <c r="AB71" i="1" a="1"/>
  <c r="AB71" i="1" s="1"/>
  <c r="AB59" i="1" a="1"/>
  <c r="AB59" i="1" s="1"/>
  <c r="AB53" i="1" a="1"/>
  <c r="AB53" i="1" s="1"/>
  <c r="AB93" i="1" a="1"/>
  <c r="AB93" i="1" s="1"/>
  <c r="AB72" i="1" a="1"/>
  <c r="AB72" i="1" s="1"/>
  <c r="AB60" i="1" a="1"/>
  <c r="AB60" i="1" s="1"/>
  <c r="AB52" i="1" a="1"/>
  <c r="AB52" i="1" s="1"/>
  <c r="AB73" i="1" a="1"/>
  <c r="AB73" i="1" s="1"/>
  <c r="AB61" i="1" a="1"/>
  <c r="AB61" i="1" s="1"/>
  <c r="AB51" i="1" a="1"/>
  <c r="AB51" i="1" s="1"/>
  <c r="AB74" i="1" a="1"/>
  <c r="AB74" i="1" s="1"/>
  <c r="AB62" i="1" a="1"/>
  <c r="AB62" i="1" s="1"/>
  <c r="AB50" i="1" a="1"/>
  <c r="AB50" i="1" s="1"/>
  <c r="AB63" i="1" a="1"/>
  <c r="AB63" i="1" s="1"/>
  <c r="AB96" i="1" a="1"/>
  <c r="AB96" i="1" s="1"/>
  <c r="AB64" i="1" a="1"/>
  <c r="AB64" i="1" s="1"/>
  <c r="AN147" i="1" a="1"/>
  <c r="AN147" i="1" s="1"/>
  <c r="AN152" i="1" a="1"/>
  <c r="AN152" i="1" s="1"/>
  <c r="AN151" i="1" s="1"/>
  <c r="AN150" i="1" s="1"/>
  <c r="AN156" i="1" a="1"/>
  <c r="AN156" i="1" s="1"/>
  <c r="AN138" i="1" a="1"/>
  <c r="AN138" i="1" s="1"/>
  <c r="AN139" i="1" a="1"/>
  <c r="AN139" i="1" s="1"/>
  <c r="AN155" i="1" a="1"/>
  <c r="AN155" i="1" s="1"/>
  <c r="AN144" i="1" a="1"/>
  <c r="AN144" i="1" s="1"/>
  <c r="AN149" i="1" a="1"/>
  <c r="AN149" i="1" s="1"/>
  <c r="AN143" i="1" a="1"/>
  <c r="AN143" i="1" s="1"/>
  <c r="AN148" i="1" a="1"/>
  <c r="AN148" i="1" s="1"/>
  <c r="AN126" i="1" a="1"/>
  <c r="AN126" i="1" s="1"/>
  <c r="AN110" i="1" a="1"/>
  <c r="AN110" i="1" s="1"/>
  <c r="AN137" i="1" a="1"/>
  <c r="AN137" i="1" s="1"/>
  <c r="AN127" i="1" a="1"/>
  <c r="AN127" i="1" s="1"/>
  <c r="AN128" i="1" a="1"/>
  <c r="AN128" i="1" s="1"/>
  <c r="AN129" i="1" a="1"/>
  <c r="AN129" i="1" s="1"/>
  <c r="AN130" i="1" a="1"/>
  <c r="AN130" i="1" s="1"/>
  <c r="AN118" i="1" a="1"/>
  <c r="AN118" i="1" s="1"/>
  <c r="AN131" i="1" a="1"/>
  <c r="AN131" i="1" s="1"/>
  <c r="AN119" i="1" a="1"/>
  <c r="AN119" i="1" s="1"/>
  <c r="AN117" i="1" a="1"/>
  <c r="AN117" i="1" s="1"/>
  <c r="AN132" i="1" a="1"/>
  <c r="AN132" i="1" s="1"/>
  <c r="AN120" i="1" a="1"/>
  <c r="AN120" i="1" s="1"/>
  <c r="AN116" i="1" a="1"/>
  <c r="AN116" i="1" s="1"/>
  <c r="AN133" i="1" a="1"/>
  <c r="AN133" i="1" s="1"/>
  <c r="AN135" i="1" a="1"/>
  <c r="AN135" i="1" s="1"/>
  <c r="AN123" i="1" a="1"/>
  <c r="AN123" i="1" s="1"/>
  <c r="AN136" i="1" a="1"/>
  <c r="AN136" i="1" s="1"/>
  <c r="AN124" i="1" a="1"/>
  <c r="AN124" i="1" s="1"/>
  <c r="AN114" i="1" a="1"/>
  <c r="AN114" i="1" s="1"/>
  <c r="AN100" i="1" a="1"/>
  <c r="AN100" i="1" s="1"/>
  <c r="AN101" i="1" a="1"/>
  <c r="AN101" i="1" s="1"/>
  <c r="AN134" i="1" a="1"/>
  <c r="AN134" i="1" s="1"/>
  <c r="AN125" i="1" a="1"/>
  <c r="AN125" i="1" s="1"/>
  <c r="AN121" i="1" a="1"/>
  <c r="AN121" i="1" s="1"/>
  <c r="AN103" i="1" a="1"/>
  <c r="AN103" i="1" s="1"/>
  <c r="AN122" i="1" a="1"/>
  <c r="AN122" i="1" s="1"/>
  <c r="AN104" i="1" a="1"/>
  <c r="AN104" i="1" s="1"/>
  <c r="AN112" i="1" a="1"/>
  <c r="AN112" i="1" s="1"/>
  <c r="AN105" i="1" a="1"/>
  <c r="AN105" i="1" s="1"/>
  <c r="AN115" i="1" a="1"/>
  <c r="AN115" i="1" s="1"/>
  <c r="AN106" i="1" a="1"/>
  <c r="AN106" i="1" s="1"/>
  <c r="AN113" i="1" a="1"/>
  <c r="AN113" i="1" s="1"/>
  <c r="AN93" i="1" a="1"/>
  <c r="AN93" i="1" s="1"/>
  <c r="AN86" i="1" a="1"/>
  <c r="AN86" i="1" s="1"/>
  <c r="AN87" i="1" a="1"/>
  <c r="AN87" i="1" s="1"/>
  <c r="AN85" i="1" a="1"/>
  <c r="AN85" i="1" s="1"/>
  <c r="AN111" i="1" a="1"/>
  <c r="AN111" i="1" s="1"/>
  <c r="AN102" i="1" a="1"/>
  <c r="AN102" i="1" s="1"/>
  <c r="AN96" i="1" a="1"/>
  <c r="AN96" i="1" s="1"/>
  <c r="AN92" i="1" a="1"/>
  <c r="AN92" i="1" s="1"/>
  <c r="AN88" i="1" a="1"/>
  <c r="AN88" i="1" s="1"/>
  <c r="AN84" i="1" a="1"/>
  <c r="AN84" i="1" s="1"/>
  <c r="AN89" i="1" a="1"/>
  <c r="AN89" i="1" s="1"/>
  <c r="AN83" i="1" a="1"/>
  <c r="AN83" i="1" s="1"/>
  <c r="AN94" i="1" a="1"/>
  <c r="AN94" i="1" s="1"/>
  <c r="AN90" i="1" a="1"/>
  <c r="AN90" i="1" s="1"/>
  <c r="AN82" i="1" a="1"/>
  <c r="AN82" i="1" s="1"/>
  <c r="AN91" i="1" a="1"/>
  <c r="AN91" i="1" s="1"/>
  <c r="AN81" i="1" a="1"/>
  <c r="AN81" i="1" s="1"/>
  <c r="AN99" i="1" a="1"/>
  <c r="AN99" i="1" s="1"/>
  <c r="AN80" i="1" a="1"/>
  <c r="AN80" i="1" s="1"/>
  <c r="AN107" i="1" a="1"/>
  <c r="AN107" i="1" s="1"/>
  <c r="AN95" i="1" a="1"/>
  <c r="AN95" i="1" s="1"/>
  <c r="AN78" i="1" a="1"/>
  <c r="AN78" i="1" s="1"/>
  <c r="AN66" i="1" a="1"/>
  <c r="AN66" i="1" s="1"/>
  <c r="AN67" i="1" a="1"/>
  <c r="AN67" i="1" s="1"/>
  <c r="AN68" i="1" a="1"/>
  <c r="AN68" i="1" s="1"/>
  <c r="AN56" i="1" a="1"/>
  <c r="AN56" i="1" s="1"/>
  <c r="AN69" i="1" a="1"/>
  <c r="AN69" i="1" s="1"/>
  <c r="AN57" i="1" a="1"/>
  <c r="AN57" i="1" s="1"/>
  <c r="AN55" i="1" a="1"/>
  <c r="AN55" i="1" s="1"/>
  <c r="AN79" i="1" a="1"/>
  <c r="AN79" i="1" s="1"/>
  <c r="AN70" i="1" a="1"/>
  <c r="AN70" i="1" s="1"/>
  <c r="AN58" i="1" a="1"/>
  <c r="AN58" i="1" s="1"/>
  <c r="AN54" i="1" a="1"/>
  <c r="AN54" i="1" s="1"/>
  <c r="AN44" i="1" a="1"/>
  <c r="AN44" i="1" s="1"/>
  <c r="AN98" i="1" a="1"/>
  <c r="AN98" i="1" s="1"/>
  <c r="AN71" i="1" a="1"/>
  <c r="AN71" i="1" s="1"/>
  <c r="AN59" i="1" a="1"/>
  <c r="AN59" i="1" s="1"/>
  <c r="AN53" i="1" a="1"/>
  <c r="AN53" i="1" s="1"/>
  <c r="AN72" i="1" a="1"/>
  <c r="AN72" i="1" s="1"/>
  <c r="AN60" i="1" a="1"/>
  <c r="AN60" i="1" s="1"/>
  <c r="AN52" i="1" a="1"/>
  <c r="AN52" i="1" s="1"/>
  <c r="AN75" i="1" a="1"/>
  <c r="AN75" i="1" s="1"/>
  <c r="AN73" i="1" a="1"/>
  <c r="AN73" i="1" s="1"/>
  <c r="AN61" i="1" a="1"/>
  <c r="AN61" i="1" s="1"/>
  <c r="AN51" i="1" a="1"/>
  <c r="AN51" i="1" s="1"/>
  <c r="AN74" i="1" a="1"/>
  <c r="AN74" i="1" s="1"/>
  <c r="AN62" i="1" a="1"/>
  <c r="AN62" i="1" s="1"/>
  <c r="AN50" i="1" a="1"/>
  <c r="AN50" i="1" s="1"/>
  <c r="AN63" i="1" a="1"/>
  <c r="AN63" i="1" s="1"/>
  <c r="AN64" i="1" a="1"/>
  <c r="AN64" i="1" s="1"/>
  <c r="AZ147" i="1" a="1"/>
  <c r="AZ147" i="1" s="1"/>
  <c r="AZ152" i="1" a="1"/>
  <c r="AZ152" i="1" s="1"/>
  <c r="AZ151" i="1" s="1"/>
  <c r="AZ150" i="1" s="1"/>
  <c r="AZ156" i="1" a="1"/>
  <c r="AZ156" i="1" s="1"/>
  <c r="AZ138" i="1" a="1"/>
  <c r="AZ138" i="1" s="1"/>
  <c r="AZ139" i="1" a="1"/>
  <c r="AZ139" i="1" s="1"/>
  <c r="AZ155" i="1" a="1"/>
  <c r="AZ155" i="1" s="1"/>
  <c r="AZ144" i="1" a="1"/>
  <c r="AZ144" i="1" s="1"/>
  <c r="AZ149" i="1" a="1"/>
  <c r="AZ149" i="1" s="1"/>
  <c r="AZ143" i="1" a="1"/>
  <c r="AZ143" i="1" s="1"/>
  <c r="AZ148" i="1" a="1"/>
  <c r="AZ148" i="1" s="1"/>
  <c r="AZ126" i="1" a="1"/>
  <c r="AZ126" i="1" s="1"/>
  <c r="AZ110" i="1" a="1"/>
  <c r="AZ110" i="1" s="1"/>
  <c r="AZ127" i="1" a="1"/>
  <c r="AZ127" i="1" s="1"/>
  <c r="AZ128" i="1" a="1"/>
  <c r="AZ128" i="1" s="1"/>
  <c r="AZ129" i="1" a="1"/>
  <c r="AZ129" i="1" s="1"/>
  <c r="AZ130" i="1" a="1"/>
  <c r="AZ130" i="1" s="1"/>
  <c r="AZ118" i="1" a="1"/>
  <c r="AZ118" i="1" s="1"/>
  <c r="AZ131" i="1" a="1"/>
  <c r="AZ131" i="1" s="1"/>
  <c r="AZ119" i="1" a="1"/>
  <c r="AZ119" i="1" s="1"/>
  <c r="AZ117" i="1" a="1"/>
  <c r="AZ117" i="1" s="1"/>
  <c r="AZ137" i="1" a="1"/>
  <c r="AZ137" i="1" s="1"/>
  <c r="AZ132" i="1" a="1"/>
  <c r="AZ132" i="1" s="1"/>
  <c r="AZ120" i="1" a="1"/>
  <c r="AZ120" i="1" s="1"/>
  <c r="AZ116" i="1" a="1"/>
  <c r="AZ116" i="1" s="1"/>
  <c r="AZ133" i="1" a="1"/>
  <c r="AZ133" i="1" s="1"/>
  <c r="AZ135" i="1" a="1"/>
  <c r="AZ135" i="1" s="1"/>
  <c r="AZ123" i="1" a="1"/>
  <c r="AZ123" i="1" s="1"/>
  <c r="AZ136" i="1" a="1"/>
  <c r="AZ136" i="1" s="1"/>
  <c r="AZ124" i="1" a="1"/>
  <c r="AZ124" i="1" s="1"/>
  <c r="AZ100" i="1" a="1"/>
  <c r="AZ100" i="1" s="1"/>
  <c r="AZ115" i="1" a="1"/>
  <c r="AZ115" i="1" s="1"/>
  <c r="AZ113" i="1" a="1"/>
  <c r="AZ113" i="1" s="1"/>
  <c r="AZ101" i="1" a="1"/>
  <c r="AZ101" i="1" s="1"/>
  <c r="AZ107" i="1" a="1"/>
  <c r="AZ107" i="1" s="1"/>
  <c r="AZ103" i="1" a="1"/>
  <c r="AZ103" i="1" s="1"/>
  <c r="AZ114" i="1" a="1"/>
  <c r="AZ114" i="1" s="1"/>
  <c r="AZ104" i="1" a="1"/>
  <c r="AZ104" i="1" s="1"/>
  <c r="AZ105" i="1" a="1"/>
  <c r="AZ105" i="1" s="1"/>
  <c r="AZ111" i="1" a="1"/>
  <c r="AZ111" i="1" s="1"/>
  <c r="AZ121" i="1" a="1"/>
  <c r="AZ121" i="1" s="1"/>
  <c r="AZ112" i="1" a="1"/>
  <c r="AZ112" i="1" s="1"/>
  <c r="AZ134" i="1" a="1"/>
  <c r="AZ134" i="1" s="1"/>
  <c r="AZ86" i="1" a="1"/>
  <c r="AZ86" i="1" s="1"/>
  <c r="AZ95" i="1" a="1"/>
  <c r="AZ95" i="1" s="1"/>
  <c r="AZ87" i="1" a="1"/>
  <c r="AZ87" i="1" s="1"/>
  <c r="AZ85" i="1" a="1"/>
  <c r="AZ85" i="1" s="1"/>
  <c r="AZ106" i="1" a="1"/>
  <c r="AZ106" i="1" s="1"/>
  <c r="AZ102" i="1" a="1"/>
  <c r="AZ102" i="1" s="1"/>
  <c r="AZ93" i="1" a="1"/>
  <c r="AZ93" i="1" s="1"/>
  <c r="AZ88" i="1" a="1"/>
  <c r="AZ88" i="1" s="1"/>
  <c r="AZ84" i="1" a="1"/>
  <c r="AZ84" i="1" s="1"/>
  <c r="AZ89" i="1" a="1"/>
  <c r="AZ89" i="1" s="1"/>
  <c r="AZ83" i="1" a="1"/>
  <c r="AZ83" i="1" s="1"/>
  <c r="AZ122" i="1" a="1"/>
  <c r="AZ122" i="1" s="1"/>
  <c r="AZ99" i="1" a="1"/>
  <c r="AZ99" i="1" s="1"/>
  <c r="AZ97" i="1" a="1"/>
  <c r="AZ97" i="1" s="1"/>
  <c r="AZ92" i="1" a="1"/>
  <c r="AZ92" i="1" s="1"/>
  <c r="AZ90" i="1" a="1"/>
  <c r="AZ90" i="1" s="1"/>
  <c r="AZ82" i="1" a="1"/>
  <c r="AZ82" i="1" s="1"/>
  <c r="AZ125" i="1" a="1"/>
  <c r="AZ125" i="1" s="1"/>
  <c r="AZ98" i="1" a="1"/>
  <c r="AZ98" i="1" s="1"/>
  <c r="AZ81" i="1" a="1"/>
  <c r="AZ81" i="1" s="1"/>
  <c r="AZ96" i="1" a="1"/>
  <c r="AZ96" i="1" s="1"/>
  <c r="AZ91" i="1" a="1"/>
  <c r="AZ91" i="1" s="1"/>
  <c r="AZ80" i="1" a="1"/>
  <c r="AZ80" i="1" s="1"/>
  <c r="AZ94" i="1" a="1"/>
  <c r="AZ94" i="1" s="1"/>
  <c r="AZ66" i="1" a="1"/>
  <c r="AZ66" i="1" s="1"/>
  <c r="AZ67" i="1" a="1"/>
  <c r="AZ67" i="1" s="1"/>
  <c r="AZ68" i="1" a="1"/>
  <c r="AZ68" i="1" s="1"/>
  <c r="AZ56" i="1" a="1"/>
  <c r="AZ56" i="1" s="1"/>
  <c r="AZ69" i="1" a="1"/>
  <c r="AZ69" i="1" s="1"/>
  <c r="AZ57" i="1" a="1"/>
  <c r="AZ57" i="1" s="1"/>
  <c r="AZ55" i="1" a="1"/>
  <c r="AZ55" i="1" s="1"/>
  <c r="AZ70" i="1" a="1"/>
  <c r="AZ70" i="1" s="1"/>
  <c r="AZ58" i="1" a="1"/>
  <c r="AZ58" i="1" s="1"/>
  <c r="AZ54" i="1" a="1"/>
  <c r="AZ54" i="1" s="1"/>
  <c r="AZ44" i="1" a="1"/>
  <c r="AZ44" i="1" s="1"/>
  <c r="AZ71" i="1" a="1"/>
  <c r="AZ71" i="1" s="1"/>
  <c r="AZ59" i="1" a="1"/>
  <c r="AZ59" i="1" s="1"/>
  <c r="AZ53" i="1" a="1"/>
  <c r="AZ53" i="1" s="1"/>
  <c r="AZ72" i="1" a="1"/>
  <c r="AZ72" i="1" s="1"/>
  <c r="AZ60" i="1" a="1"/>
  <c r="AZ60" i="1" s="1"/>
  <c r="AZ52" i="1" a="1"/>
  <c r="AZ52" i="1" s="1"/>
  <c r="AZ73" i="1" a="1"/>
  <c r="AZ73" i="1" s="1"/>
  <c r="AZ61" i="1" a="1"/>
  <c r="AZ61" i="1" s="1"/>
  <c r="AZ51" i="1" a="1"/>
  <c r="AZ51" i="1" s="1"/>
  <c r="AZ79" i="1" a="1"/>
  <c r="AZ79" i="1" s="1"/>
  <c r="AZ74" i="1" a="1"/>
  <c r="AZ74" i="1" s="1"/>
  <c r="AZ62" i="1" a="1"/>
  <c r="AZ62" i="1" s="1"/>
  <c r="AZ50" i="1" a="1"/>
  <c r="AZ50" i="1" s="1"/>
  <c r="AZ63" i="1" a="1"/>
  <c r="AZ63" i="1" s="1"/>
  <c r="AZ49" i="1" a="1"/>
  <c r="AZ49" i="1" s="1"/>
  <c r="AZ78" i="1" a="1"/>
  <c r="AZ78" i="1" s="1"/>
  <c r="AZ64" i="1" a="1"/>
  <c r="AZ64" i="1" s="1"/>
  <c r="BL147" i="1" a="1"/>
  <c r="BL147" i="1" s="1"/>
  <c r="BL152" i="1" a="1"/>
  <c r="BL152" i="1" s="1"/>
  <c r="BL151" i="1" s="1"/>
  <c r="BL150" i="1" s="1"/>
  <c r="BL156" i="1" a="1"/>
  <c r="BL156" i="1" s="1"/>
  <c r="BL138" i="1" a="1"/>
  <c r="BL138" i="1" s="1"/>
  <c r="BL139" i="1" a="1"/>
  <c r="BL139" i="1" s="1"/>
  <c r="BL155" i="1" a="1"/>
  <c r="BL155" i="1" s="1"/>
  <c r="BL144" i="1" a="1"/>
  <c r="BL144" i="1" s="1"/>
  <c r="BL149" i="1" a="1"/>
  <c r="BL149" i="1" s="1"/>
  <c r="BL143" i="1" a="1"/>
  <c r="BL143" i="1" s="1"/>
  <c r="BL148" i="1" a="1"/>
  <c r="BL148" i="1" s="1"/>
  <c r="BL137" i="1" a="1"/>
  <c r="BL137" i="1" s="1"/>
  <c r="BL126" i="1" a="1"/>
  <c r="BL126" i="1" s="1"/>
  <c r="BL110" i="1" a="1"/>
  <c r="BL110" i="1" s="1"/>
  <c r="BL127" i="1" a="1"/>
  <c r="BL127" i="1" s="1"/>
  <c r="BL128" i="1" a="1"/>
  <c r="BL128" i="1" s="1"/>
  <c r="BL129" i="1" a="1"/>
  <c r="BL129" i="1" s="1"/>
  <c r="BL130" i="1" a="1"/>
  <c r="BL130" i="1" s="1"/>
  <c r="BL118" i="1" a="1"/>
  <c r="BL118" i="1" s="1"/>
  <c r="BL131" i="1" a="1"/>
  <c r="BL131" i="1" s="1"/>
  <c r="BL119" i="1" a="1"/>
  <c r="BL119" i="1" s="1"/>
  <c r="BL117" i="1" a="1"/>
  <c r="BL117" i="1" s="1"/>
  <c r="BL132" i="1" a="1"/>
  <c r="BL132" i="1" s="1"/>
  <c r="BL120" i="1" a="1"/>
  <c r="BL120" i="1" s="1"/>
  <c r="BL116" i="1" a="1"/>
  <c r="BL116" i="1" s="1"/>
  <c r="BL133" i="1" a="1"/>
  <c r="BL133" i="1" s="1"/>
  <c r="BL135" i="1" a="1"/>
  <c r="BL135" i="1" s="1"/>
  <c r="BL123" i="1" a="1"/>
  <c r="BL123" i="1" s="1"/>
  <c r="BL136" i="1" a="1"/>
  <c r="BL136" i="1" s="1"/>
  <c r="BL124" i="1" a="1"/>
  <c r="BL124" i="1" s="1"/>
  <c r="BL106" i="1" a="1"/>
  <c r="BL106" i="1" s="1"/>
  <c r="BL100" i="1" a="1"/>
  <c r="BL100" i="1" s="1"/>
  <c r="BL112" i="1" a="1"/>
  <c r="BL112" i="1" s="1"/>
  <c r="BL101" i="1" a="1"/>
  <c r="BL101" i="1" s="1"/>
  <c r="BL103" i="1" a="1"/>
  <c r="BL103" i="1" s="1"/>
  <c r="BL122" i="1" a="1"/>
  <c r="BL122" i="1" s="1"/>
  <c r="BL104" i="1" a="1"/>
  <c r="BL104" i="1" s="1"/>
  <c r="BL113" i="1" a="1"/>
  <c r="BL113" i="1" s="1"/>
  <c r="BL105" i="1" a="1"/>
  <c r="BL105" i="1" s="1"/>
  <c r="BL134" i="1" a="1"/>
  <c r="BL134" i="1" s="1"/>
  <c r="BL125" i="1" a="1"/>
  <c r="BL125" i="1" s="1"/>
  <c r="BL107" i="1" a="1"/>
  <c r="BL107" i="1" s="1"/>
  <c r="BL115" i="1" a="1"/>
  <c r="BL115" i="1" s="1"/>
  <c r="BL114" i="1" a="1"/>
  <c r="BL114" i="1" s="1"/>
  <c r="BL94" i="1" a="1"/>
  <c r="BL94" i="1" s="1"/>
  <c r="BL86" i="1" a="1"/>
  <c r="BL86" i="1" s="1"/>
  <c r="BL87" i="1" a="1"/>
  <c r="BL87" i="1" s="1"/>
  <c r="BL85" i="1" a="1"/>
  <c r="BL85" i="1" s="1"/>
  <c r="BL121" i="1" a="1"/>
  <c r="BL121" i="1" s="1"/>
  <c r="BL102" i="1" a="1"/>
  <c r="BL102" i="1" s="1"/>
  <c r="BL99" i="1" a="1"/>
  <c r="BL99" i="1" s="1"/>
  <c r="BL88" i="1" a="1"/>
  <c r="BL88" i="1" s="1"/>
  <c r="BL84" i="1" a="1"/>
  <c r="BL84" i="1" s="1"/>
  <c r="BL89" i="1" a="1"/>
  <c r="BL89" i="1" s="1"/>
  <c r="BL83" i="1" a="1"/>
  <c r="BL83" i="1" s="1"/>
  <c r="BL111" i="1" a="1"/>
  <c r="BL111" i="1" s="1"/>
  <c r="BL90" i="1" a="1"/>
  <c r="BL90" i="1" s="1"/>
  <c r="BL82" i="1" a="1"/>
  <c r="BL82" i="1" s="1"/>
  <c r="BL95" i="1" a="1"/>
  <c r="BL95" i="1" s="1"/>
  <c r="BL81" i="1" a="1"/>
  <c r="BL81" i="1" s="1"/>
  <c r="BL93" i="1" a="1"/>
  <c r="BL93" i="1" s="1"/>
  <c r="BL92" i="1" a="1"/>
  <c r="BL92" i="1" s="1"/>
  <c r="BL80" i="1" a="1"/>
  <c r="BL80" i="1" s="1"/>
  <c r="BL91" i="1" a="1"/>
  <c r="BL91" i="1" s="1"/>
  <c r="BL96" i="1" a="1"/>
  <c r="BL96" i="1" s="1"/>
  <c r="BL79" i="1" a="1"/>
  <c r="BL79" i="1" s="1"/>
  <c r="BL66" i="1" a="1"/>
  <c r="BL66" i="1" s="1"/>
  <c r="BL67" i="1" a="1"/>
  <c r="BL67" i="1" s="1"/>
  <c r="BL68" i="1" a="1"/>
  <c r="BL68" i="1" s="1"/>
  <c r="BL56" i="1" a="1"/>
  <c r="BL56" i="1" s="1"/>
  <c r="BL75" i="1" a="1"/>
  <c r="BL75" i="1" s="1"/>
  <c r="BL69" i="1" a="1"/>
  <c r="BL69" i="1" s="1"/>
  <c r="BL57" i="1" a="1"/>
  <c r="BL57" i="1" s="1"/>
  <c r="BL55" i="1" a="1"/>
  <c r="BL55" i="1" s="1"/>
  <c r="BL70" i="1" a="1"/>
  <c r="BL70" i="1" s="1"/>
  <c r="BL58" i="1" a="1"/>
  <c r="BL58" i="1" s="1"/>
  <c r="BL54" i="1" a="1"/>
  <c r="BL54" i="1" s="1"/>
  <c r="BL44" i="1" a="1"/>
  <c r="BL44" i="1" s="1"/>
  <c r="BL97" i="1" a="1"/>
  <c r="BL97" i="1" s="1"/>
  <c r="BL71" i="1" a="1"/>
  <c r="BL71" i="1" s="1"/>
  <c r="BL59" i="1" a="1"/>
  <c r="BL59" i="1" s="1"/>
  <c r="BL53" i="1" a="1"/>
  <c r="BL53" i="1" s="1"/>
  <c r="BL72" i="1" a="1"/>
  <c r="BL72" i="1" s="1"/>
  <c r="BL60" i="1" a="1"/>
  <c r="BL60" i="1" s="1"/>
  <c r="BL52" i="1" a="1"/>
  <c r="BL52" i="1" s="1"/>
  <c r="BL73" i="1" a="1"/>
  <c r="BL73" i="1" s="1"/>
  <c r="BL61" i="1" a="1"/>
  <c r="BL61" i="1" s="1"/>
  <c r="BL51" i="1" a="1"/>
  <c r="BL51" i="1" s="1"/>
  <c r="BL62" i="1" a="1"/>
  <c r="BL62" i="1" s="1"/>
  <c r="BL50" i="1" a="1"/>
  <c r="BL50" i="1" s="1"/>
  <c r="BL74" i="1" a="1"/>
  <c r="BL74" i="1" s="1"/>
  <c r="BL63" i="1" a="1"/>
  <c r="BL63" i="1" s="1"/>
  <c r="BL49" i="1" a="1"/>
  <c r="BL49" i="1" s="1"/>
  <c r="BL78" i="1" a="1"/>
  <c r="BL78" i="1" s="1"/>
  <c r="BL64" i="1" a="1"/>
  <c r="BL64" i="1" s="1"/>
  <c r="V15" i="1" a="1"/>
  <c r="V15" i="1" s="1"/>
  <c r="AB15" i="1" a="1"/>
  <c r="AB15" i="1" s="1"/>
  <c r="AH15" i="1" a="1"/>
  <c r="AH15" i="1" s="1"/>
  <c r="AN15" i="1" a="1"/>
  <c r="AN15" i="1" s="1"/>
  <c r="AT15" i="1" a="1"/>
  <c r="AT15" i="1" s="1"/>
  <c r="AZ15" i="1" a="1"/>
  <c r="AZ15" i="1" s="1"/>
  <c r="BF15" i="1" a="1"/>
  <c r="BF15" i="1" s="1"/>
  <c r="BL15" i="1" a="1"/>
  <c r="BL15" i="1" s="1"/>
  <c r="Q17" i="1" a="1"/>
  <c r="Q17" i="1" s="1"/>
  <c r="W17" i="1" a="1"/>
  <c r="W17" i="1" s="1"/>
  <c r="AI17" i="1" a="1"/>
  <c r="AI17" i="1" s="1"/>
  <c r="AO17" i="1" a="1"/>
  <c r="AO17" i="1" s="1"/>
  <c r="AU17" i="1" a="1"/>
  <c r="AU17" i="1" s="1"/>
  <c r="BG17" i="1" a="1"/>
  <c r="BG17" i="1" s="1"/>
  <c r="BM17" i="1" a="1"/>
  <c r="BM17" i="1" s="1"/>
  <c r="S21" i="1" a="1"/>
  <c r="S21" i="1" s="1"/>
  <c r="S20" i="1" s="1"/>
  <c r="Y21" i="1" a="1"/>
  <c r="Y21" i="1" s="1"/>
  <c r="Y20" i="1" s="1"/>
  <c r="AE21" i="1" a="1"/>
  <c r="AE21" i="1" s="1"/>
  <c r="AE20" i="1" s="1"/>
  <c r="AK21" i="1" a="1"/>
  <c r="AK21" i="1" s="1"/>
  <c r="AK20" i="1" s="1"/>
  <c r="AQ21" i="1" a="1"/>
  <c r="AQ21" i="1" s="1"/>
  <c r="AQ20" i="1" s="1"/>
  <c r="AW21" i="1" a="1"/>
  <c r="AW21" i="1" s="1"/>
  <c r="AW20" i="1" s="1"/>
  <c r="BC21" i="1" a="1"/>
  <c r="BC21" i="1" s="1"/>
  <c r="BC20" i="1" s="1"/>
  <c r="BI21" i="1" a="1"/>
  <c r="BI21" i="1" s="1"/>
  <c r="BI20" i="1" s="1"/>
  <c r="T25" i="1" a="1"/>
  <c r="T25" i="1" s="1"/>
  <c r="T24" i="1" s="1"/>
  <c r="Z25" i="1" a="1"/>
  <c r="Z25" i="1" s="1"/>
  <c r="Z24" i="1" s="1"/>
  <c r="AF25" i="1" a="1"/>
  <c r="AF25" i="1" s="1"/>
  <c r="AF24" i="1" s="1"/>
  <c r="AL25" i="1" a="1"/>
  <c r="AL25" i="1" s="1"/>
  <c r="AL24" i="1" s="1"/>
  <c r="AR25" i="1" a="1"/>
  <c r="AR25" i="1" s="1"/>
  <c r="AR24" i="1" s="1"/>
  <c r="BD25" i="1" a="1"/>
  <c r="BD25" i="1" s="1"/>
  <c r="BD24" i="1" s="1"/>
  <c r="BJ25" i="1" a="1"/>
  <c r="BJ25" i="1" s="1"/>
  <c r="BJ24" i="1" s="1"/>
  <c r="V35" i="1" a="1"/>
  <c r="V35" i="1" s="1"/>
  <c r="AB35" i="1" a="1"/>
  <c r="AB35" i="1" s="1"/>
  <c r="AH35" i="1" a="1"/>
  <c r="AH35" i="1" s="1"/>
  <c r="AN35" i="1" a="1"/>
  <c r="AN35" i="1" s="1"/>
  <c r="AT35" i="1" a="1"/>
  <c r="AT35" i="1" s="1"/>
  <c r="AZ35" i="1" a="1"/>
  <c r="AZ35" i="1" s="1"/>
  <c r="BF35" i="1" a="1"/>
  <c r="BF35" i="1" s="1"/>
  <c r="BL35" i="1" a="1"/>
  <c r="BL35" i="1" s="1"/>
  <c r="V38" i="1" a="1"/>
  <c r="V38" i="1" s="1"/>
  <c r="AB38" i="1" a="1"/>
  <c r="AB38" i="1" s="1"/>
  <c r="AH38" i="1" a="1"/>
  <c r="AH38" i="1" s="1"/>
  <c r="AN38" i="1" a="1"/>
  <c r="AN38" i="1" s="1"/>
  <c r="AT38" i="1" a="1"/>
  <c r="AT38" i="1" s="1"/>
  <c r="AZ38" i="1" a="1"/>
  <c r="AZ38" i="1" s="1"/>
  <c r="BF38" i="1" a="1"/>
  <c r="BF38" i="1" s="1"/>
  <c r="BL38" i="1" a="1"/>
  <c r="BL38" i="1" s="1"/>
  <c r="U39" i="1" a="1"/>
  <c r="U39" i="1" s="1"/>
  <c r="AA39" i="1" a="1"/>
  <c r="AA39" i="1" s="1"/>
  <c r="AG39" i="1" a="1"/>
  <c r="AG39" i="1" s="1"/>
  <c r="AM39" i="1" a="1"/>
  <c r="AM39" i="1" s="1"/>
  <c r="AS39" i="1" a="1"/>
  <c r="AS39" i="1" s="1"/>
  <c r="AY39" i="1" a="1"/>
  <c r="AY39" i="1" s="1"/>
  <c r="BE39" i="1" a="1"/>
  <c r="BE39" i="1" s="1"/>
  <c r="BK39" i="1" a="1"/>
  <c r="BK39" i="1" s="1"/>
  <c r="Y42" i="1" a="1"/>
  <c r="Y42" i="1" s="1"/>
  <c r="AL42" i="1" a="1"/>
  <c r="AL42" i="1" s="1"/>
  <c r="AL41" i="1" s="1"/>
  <c r="AL40" i="1" s="1"/>
  <c r="AY42" i="1" a="1"/>
  <c r="AY42" i="1" s="1"/>
  <c r="BF42" i="1" a="1"/>
  <c r="BF42" i="1" s="1"/>
  <c r="Q43" i="1" a="1"/>
  <c r="Q43" i="1" s="1"/>
  <c r="Y43" i="1" a="1"/>
  <c r="Y43" i="1" s="1"/>
  <c r="AG43" i="1" a="1"/>
  <c r="AG43" i="1" s="1"/>
  <c r="AQ43" i="1" a="1"/>
  <c r="AQ43" i="1" s="1"/>
  <c r="AM44" i="1" a="1"/>
  <c r="AM44" i="1" s="1"/>
  <c r="AY44" i="1" a="1"/>
  <c r="AY44" i="1" s="1"/>
  <c r="BK44" i="1" a="1"/>
  <c r="BK44" i="1" s="1"/>
  <c r="AG49" i="1" a="1"/>
  <c r="AG49" i="1" s="1"/>
  <c r="Y53" i="1" a="1"/>
  <c r="Y53" i="1" s="1"/>
  <c r="AE54" i="1" a="1"/>
  <c r="AE54" i="1" s="1"/>
  <c r="BB55" i="1" a="1"/>
  <c r="BB55" i="1" s="1"/>
  <c r="X57" i="1" a="1"/>
  <c r="X57" i="1" s="1"/>
  <c r="BL65" i="1" a="1"/>
  <c r="BL65" i="1" s="1"/>
  <c r="X69" i="1" a="1"/>
  <c r="X69" i="1" s="1"/>
  <c r="Z80" i="1" a="1"/>
  <c r="Z80" i="1" s="1"/>
  <c r="BJ118" i="1" a="1"/>
  <c r="BJ118" i="1" s="1"/>
  <c r="AT21" i="1" a="1"/>
  <c r="AT21" i="1" s="1"/>
  <c r="AT20" i="1" s="1"/>
  <c r="BI155" i="1" a="1"/>
  <c r="BI155" i="1" s="1"/>
  <c r="BI144" i="1" a="1"/>
  <c r="BI144" i="1" s="1"/>
  <c r="BI149" i="1" a="1"/>
  <c r="BI149" i="1" s="1"/>
  <c r="BI143" i="1" a="1"/>
  <c r="BI143" i="1" s="1"/>
  <c r="BI148" i="1" a="1"/>
  <c r="BI148" i="1" s="1"/>
  <c r="BI147" i="1" a="1"/>
  <c r="BI147" i="1" s="1"/>
  <c r="BI152" i="1" a="1"/>
  <c r="BI152" i="1" s="1"/>
  <c r="BI151" i="1" s="1"/>
  <c r="BI150" i="1" s="1"/>
  <c r="BI156" i="1" a="1"/>
  <c r="BI156" i="1" s="1"/>
  <c r="BI138" i="1" a="1"/>
  <c r="BI138" i="1" s="1"/>
  <c r="BI132" i="1" a="1"/>
  <c r="BI132" i="1" s="1"/>
  <c r="BI120" i="1" a="1"/>
  <c r="BI120" i="1" s="1"/>
  <c r="BI116" i="1" a="1"/>
  <c r="BI116" i="1" s="1"/>
  <c r="BI133" i="1" a="1"/>
  <c r="BI133" i="1" s="1"/>
  <c r="BI121" i="1" a="1"/>
  <c r="BI121" i="1" s="1"/>
  <c r="BI134" i="1" a="1"/>
  <c r="BI134" i="1" s="1"/>
  <c r="BI122" i="1" a="1"/>
  <c r="BI122" i="1" s="1"/>
  <c r="BI114" i="1" a="1"/>
  <c r="BI114" i="1" s="1"/>
  <c r="BI135" i="1" a="1"/>
  <c r="BI135" i="1" s="1"/>
  <c r="BI123" i="1" a="1"/>
  <c r="BI123" i="1" s="1"/>
  <c r="BI137" i="1" a="1"/>
  <c r="BI137" i="1" s="1"/>
  <c r="BI136" i="1" a="1"/>
  <c r="BI136" i="1" s="1"/>
  <c r="BI124" i="1" a="1"/>
  <c r="BI124" i="1" s="1"/>
  <c r="BI125" i="1" a="1"/>
  <c r="BI125" i="1" s="1"/>
  <c r="BI126" i="1" a="1"/>
  <c r="BI126" i="1" s="1"/>
  <c r="BI127" i="1" a="1"/>
  <c r="BI127" i="1" s="1"/>
  <c r="BI129" i="1" a="1"/>
  <c r="BI129" i="1" s="1"/>
  <c r="BI130" i="1" a="1"/>
  <c r="BI130" i="1" s="1"/>
  <c r="BI94" i="1" a="1"/>
  <c r="BI94" i="1" s="1"/>
  <c r="BI128" i="1" a="1"/>
  <c r="BI128" i="1" s="1"/>
  <c r="BI118" i="1" a="1"/>
  <c r="BI118" i="1" s="1"/>
  <c r="BI115" i="1" a="1"/>
  <c r="BI115" i="1" s="1"/>
  <c r="BI107" i="1" a="1"/>
  <c r="BI107" i="1" s="1"/>
  <c r="BI95" i="1" a="1"/>
  <c r="BI95" i="1" s="1"/>
  <c r="BI117" i="1" a="1"/>
  <c r="BI117" i="1" s="1"/>
  <c r="BI111" i="1" a="1"/>
  <c r="BI111" i="1" s="1"/>
  <c r="BI97" i="1" a="1"/>
  <c r="BI97" i="1" s="1"/>
  <c r="BI112" i="1" a="1"/>
  <c r="BI112" i="1" s="1"/>
  <c r="BI99" i="1" a="1"/>
  <c r="BI99" i="1" s="1"/>
  <c r="BI119" i="1" a="1"/>
  <c r="BI119" i="1" s="1"/>
  <c r="BI102" i="1" a="1"/>
  <c r="BI102" i="1" s="1"/>
  <c r="BI139" i="1" a="1"/>
  <c r="BI139" i="1" s="1"/>
  <c r="BI113" i="1" a="1"/>
  <c r="BI113" i="1" s="1"/>
  <c r="BI110" i="1" a="1"/>
  <c r="BI110" i="1" s="1"/>
  <c r="BI101" i="1" a="1"/>
  <c r="BI101" i="1" s="1"/>
  <c r="BI93" i="1" a="1"/>
  <c r="BI93" i="1" s="1"/>
  <c r="BI92" i="1" a="1"/>
  <c r="BI92" i="1" s="1"/>
  <c r="BI80" i="1" a="1"/>
  <c r="BI80" i="1" s="1"/>
  <c r="BI79" i="1" a="1"/>
  <c r="BI79" i="1" s="1"/>
  <c r="BI98" i="1" a="1"/>
  <c r="BI98" i="1" s="1"/>
  <c r="BI96" i="1" a="1"/>
  <c r="BI96" i="1" s="1"/>
  <c r="BI91" i="1" a="1"/>
  <c r="BI91" i="1" s="1"/>
  <c r="BI78" i="1" a="1"/>
  <c r="BI78" i="1" s="1"/>
  <c r="BI104" i="1" a="1"/>
  <c r="BI104" i="1" s="1"/>
  <c r="BI105" i="1" a="1"/>
  <c r="BI105" i="1" s="1"/>
  <c r="BI86" i="1" a="1"/>
  <c r="BI86" i="1" s="1"/>
  <c r="BI87" i="1" a="1"/>
  <c r="BI87" i="1" s="1"/>
  <c r="BI85" i="1" a="1"/>
  <c r="BI85" i="1" s="1"/>
  <c r="BI131" i="1" a="1"/>
  <c r="BI131" i="1" s="1"/>
  <c r="BI106" i="1" a="1"/>
  <c r="BI106" i="1" s="1"/>
  <c r="BI100" i="1" a="1"/>
  <c r="BI100" i="1" s="1"/>
  <c r="BI88" i="1" a="1"/>
  <c r="BI88" i="1" s="1"/>
  <c r="BI84" i="1" a="1"/>
  <c r="BI84" i="1" s="1"/>
  <c r="BI103" i="1" a="1"/>
  <c r="BI103" i="1" s="1"/>
  <c r="BI89" i="1" a="1"/>
  <c r="BI89" i="1" s="1"/>
  <c r="BI83" i="1" a="1"/>
  <c r="BI83" i="1" s="1"/>
  <c r="BI72" i="1" a="1"/>
  <c r="BI72" i="1" s="1"/>
  <c r="BI60" i="1" a="1"/>
  <c r="BI60" i="1" s="1"/>
  <c r="BI52" i="1" a="1"/>
  <c r="BI52" i="1" s="1"/>
  <c r="BI73" i="1" a="1"/>
  <c r="BI73" i="1" s="1"/>
  <c r="BI61" i="1" a="1"/>
  <c r="BI61" i="1" s="1"/>
  <c r="BI51" i="1" a="1"/>
  <c r="BI51" i="1" s="1"/>
  <c r="BI62" i="1" a="1"/>
  <c r="BI62" i="1" s="1"/>
  <c r="BI50" i="1" a="1"/>
  <c r="BI50" i="1" s="1"/>
  <c r="BI42" i="1" a="1"/>
  <c r="BI42" i="1" s="1"/>
  <c r="BI74" i="1" a="1"/>
  <c r="BI74" i="1" s="1"/>
  <c r="BI63" i="1" a="1"/>
  <c r="BI63" i="1" s="1"/>
  <c r="BI49" i="1" a="1"/>
  <c r="BI49" i="1" s="1"/>
  <c r="BI64" i="1" a="1"/>
  <c r="BI64" i="1" s="1"/>
  <c r="BI48" i="1" a="1"/>
  <c r="BI48" i="1" s="1"/>
  <c r="BI65" i="1" a="1"/>
  <c r="BI65" i="1" s="1"/>
  <c r="BI66" i="1" a="1"/>
  <c r="BI66" i="1" s="1"/>
  <c r="BI90" i="1" a="1"/>
  <c r="BI90" i="1" s="1"/>
  <c r="BI67" i="1" a="1"/>
  <c r="BI67" i="1" s="1"/>
  <c r="BI75" i="1" a="1"/>
  <c r="BI75" i="1" s="1"/>
  <c r="BI68" i="1" a="1"/>
  <c r="BI68" i="1" s="1"/>
  <c r="BI56" i="1" a="1"/>
  <c r="BI56" i="1" s="1"/>
  <c r="BI69" i="1" a="1"/>
  <c r="BI69" i="1" s="1"/>
  <c r="BI57" i="1" a="1"/>
  <c r="BI57" i="1" s="1"/>
  <c r="BI55" i="1" a="1"/>
  <c r="BI55" i="1" s="1"/>
  <c r="BI82" i="1" a="1"/>
  <c r="BI82" i="1" s="1"/>
  <c r="BI81" i="1" a="1"/>
  <c r="BI81" i="1" s="1"/>
  <c r="BI70" i="1" a="1"/>
  <c r="BI70" i="1" s="1"/>
  <c r="BI58" i="1" a="1"/>
  <c r="BI58" i="1" s="1"/>
  <c r="AX149" i="1" a="1"/>
  <c r="AX149" i="1" s="1"/>
  <c r="AX143" i="1" a="1"/>
  <c r="AX143" i="1" s="1"/>
  <c r="AX148" i="1" a="1"/>
  <c r="AX148" i="1" s="1"/>
  <c r="AX147" i="1" a="1"/>
  <c r="AX147" i="1" s="1"/>
  <c r="AX152" i="1" a="1"/>
  <c r="AX152" i="1" s="1"/>
  <c r="AX151" i="1" s="1"/>
  <c r="AX150" i="1" s="1"/>
  <c r="AX156" i="1" a="1"/>
  <c r="AX156" i="1" s="1"/>
  <c r="AX155" i="1" a="1"/>
  <c r="AX155" i="1" s="1"/>
  <c r="AX134" i="1" a="1"/>
  <c r="AX134" i="1" s="1"/>
  <c r="AX122" i="1" a="1"/>
  <c r="AX122" i="1" s="1"/>
  <c r="AX114" i="1" a="1"/>
  <c r="AX114" i="1" s="1"/>
  <c r="AX135" i="1" a="1"/>
  <c r="AX135" i="1" s="1"/>
  <c r="AX123" i="1" a="1"/>
  <c r="AX123" i="1" s="1"/>
  <c r="AX144" i="1" a="1"/>
  <c r="AX144" i="1" s="1"/>
  <c r="AX136" i="1" a="1"/>
  <c r="AX136" i="1" s="1"/>
  <c r="AX124" i="1" a="1"/>
  <c r="AX124" i="1" s="1"/>
  <c r="AX112" i="1" a="1"/>
  <c r="AX112" i="1" s="1"/>
  <c r="AX125" i="1" a="1"/>
  <c r="AX125" i="1" s="1"/>
  <c r="AX139" i="1" a="1"/>
  <c r="AX139" i="1" s="1"/>
  <c r="AX126" i="1" a="1"/>
  <c r="AX126" i="1" s="1"/>
  <c r="AX127" i="1" a="1"/>
  <c r="AX127" i="1" s="1"/>
  <c r="AX128" i="1" a="1"/>
  <c r="AX128" i="1" s="1"/>
  <c r="AX129" i="1" a="1"/>
  <c r="AX129" i="1" s="1"/>
  <c r="AX131" i="1" a="1"/>
  <c r="AX131" i="1" s="1"/>
  <c r="AX132" i="1" a="1"/>
  <c r="AX132" i="1" s="1"/>
  <c r="AX120" i="1" a="1"/>
  <c r="AX120" i="1" s="1"/>
  <c r="AX138" i="1" a="1"/>
  <c r="AX138" i="1" s="1"/>
  <c r="AX96" i="1" a="1"/>
  <c r="AX96" i="1" s="1"/>
  <c r="AX106" i="1" a="1"/>
  <c r="AX106" i="1" s="1"/>
  <c r="AX97" i="1" a="1"/>
  <c r="AX97" i="1" s="1"/>
  <c r="AX117" i="1" a="1"/>
  <c r="AX117" i="1" s="1"/>
  <c r="AX110" i="1" a="1"/>
  <c r="AX110" i="1" s="1"/>
  <c r="AX99" i="1" a="1"/>
  <c r="AX99" i="1" s="1"/>
  <c r="AX113" i="1" a="1"/>
  <c r="AX113" i="1" s="1"/>
  <c r="AX100" i="1" a="1"/>
  <c r="AX100" i="1" s="1"/>
  <c r="AX137" i="1" a="1"/>
  <c r="AX137" i="1" s="1"/>
  <c r="AX115" i="1" a="1"/>
  <c r="AX115" i="1" s="1"/>
  <c r="AX101" i="1" a="1"/>
  <c r="AX101" i="1" s="1"/>
  <c r="AX119" i="1" a="1"/>
  <c r="AX119" i="1" s="1"/>
  <c r="AX107" i="1" a="1"/>
  <c r="AX107" i="1" s="1"/>
  <c r="AX116" i="1" a="1"/>
  <c r="AX116" i="1" s="1"/>
  <c r="AX111" i="1" a="1"/>
  <c r="AX111" i="1" s="1"/>
  <c r="AX104" i="1" a="1"/>
  <c r="AX104" i="1" s="1"/>
  <c r="AX133" i="1" a="1"/>
  <c r="AX133" i="1" s="1"/>
  <c r="AX121" i="1" a="1"/>
  <c r="AX121" i="1" s="1"/>
  <c r="AX94" i="1" a="1"/>
  <c r="AX94" i="1" s="1"/>
  <c r="AX118" i="1" a="1"/>
  <c r="AX118" i="1" s="1"/>
  <c r="AX105" i="1" a="1"/>
  <c r="AX105" i="1" s="1"/>
  <c r="AX102" i="1" a="1"/>
  <c r="AX102" i="1" s="1"/>
  <c r="AX86" i="1" a="1"/>
  <c r="AX86" i="1" s="1"/>
  <c r="AX130" i="1" a="1"/>
  <c r="AX130" i="1" s="1"/>
  <c r="AX95" i="1" a="1"/>
  <c r="AX95" i="1" s="1"/>
  <c r="AX87" i="1" a="1"/>
  <c r="AX87" i="1" s="1"/>
  <c r="AX85" i="1" a="1"/>
  <c r="AX85" i="1" s="1"/>
  <c r="AX75" i="1" a="1"/>
  <c r="AX75" i="1" s="1"/>
  <c r="AX93" i="1" a="1"/>
  <c r="AX93" i="1" s="1"/>
  <c r="AX88" i="1" a="1"/>
  <c r="AX88" i="1" s="1"/>
  <c r="AX84" i="1" a="1"/>
  <c r="AX84" i="1" s="1"/>
  <c r="AX98" i="1" a="1"/>
  <c r="AX98" i="1" s="1"/>
  <c r="AX89" i="1" a="1"/>
  <c r="AX89" i="1" s="1"/>
  <c r="AX103" i="1" a="1"/>
  <c r="AX103" i="1" s="1"/>
  <c r="AX92" i="1" a="1"/>
  <c r="AX92" i="1" s="1"/>
  <c r="AX90" i="1" a="1"/>
  <c r="AX90" i="1" s="1"/>
  <c r="AX82" i="1" a="1"/>
  <c r="AX82" i="1" s="1"/>
  <c r="AX81" i="1" a="1"/>
  <c r="AX81" i="1" s="1"/>
  <c r="AX74" i="1" a="1"/>
  <c r="AX74" i="1" s="1"/>
  <c r="AX62" i="1" a="1"/>
  <c r="AX62" i="1" s="1"/>
  <c r="AX50" i="1" a="1"/>
  <c r="AX50" i="1" s="1"/>
  <c r="AX78" i="1" a="1"/>
  <c r="AX78" i="1" s="1"/>
  <c r="AX63" i="1" a="1"/>
  <c r="AX63" i="1" s="1"/>
  <c r="AX49" i="1" a="1"/>
  <c r="AX49" i="1" s="1"/>
  <c r="AX64" i="1" a="1"/>
  <c r="AX64" i="1" s="1"/>
  <c r="AX48" i="1" a="1"/>
  <c r="AX48" i="1" s="1"/>
  <c r="AX91" i="1" a="1"/>
  <c r="AX91" i="1" s="1"/>
  <c r="AX65" i="1" a="1"/>
  <c r="AX65" i="1" s="1"/>
  <c r="AX66" i="1" a="1"/>
  <c r="AX66" i="1" s="1"/>
  <c r="AX67" i="1" a="1"/>
  <c r="AX67" i="1" s="1"/>
  <c r="AX68" i="1" a="1"/>
  <c r="AX68" i="1" s="1"/>
  <c r="AX56" i="1" a="1"/>
  <c r="AX56" i="1" s="1"/>
  <c r="AX83" i="1" a="1"/>
  <c r="AX83" i="1" s="1"/>
  <c r="AX80" i="1" a="1"/>
  <c r="AX80" i="1" s="1"/>
  <c r="AX69" i="1" a="1"/>
  <c r="AX69" i="1" s="1"/>
  <c r="AX57" i="1" a="1"/>
  <c r="AX57" i="1" s="1"/>
  <c r="AX55" i="1" a="1"/>
  <c r="AX55" i="1" s="1"/>
  <c r="AX70" i="1" a="1"/>
  <c r="AX70" i="1" s="1"/>
  <c r="AX58" i="1" a="1"/>
  <c r="AX58" i="1" s="1"/>
  <c r="AX54" i="1" a="1"/>
  <c r="AX54" i="1" s="1"/>
  <c r="AX71" i="1" a="1"/>
  <c r="AX71" i="1" s="1"/>
  <c r="AX59" i="1" a="1"/>
  <c r="AX59" i="1" s="1"/>
  <c r="AX53" i="1" a="1"/>
  <c r="AX53" i="1" s="1"/>
  <c r="AX72" i="1" a="1"/>
  <c r="AX72" i="1" s="1"/>
  <c r="AX60" i="1" a="1"/>
  <c r="AX60" i="1" s="1"/>
  <c r="AA148" i="1" a="1"/>
  <c r="AA148" i="1" s="1"/>
  <c r="AA147" i="1" a="1"/>
  <c r="AA147" i="1" s="1"/>
  <c r="AA152" i="1" a="1"/>
  <c r="AA152" i="1" s="1"/>
  <c r="AA151" i="1" s="1"/>
  <c r="AA150" i="1" s="1"/>
  <c r="AA156" i="1" a="1"/>
  <c r="AA156" i="1" s="1"/>
  <c r="AA155" i="1" a="1"/>
  <c r="AA155" i="1" s="1"/>
  <c r="AA144" i="1" a="1"/>
  <c r="AA144" i="1" s="1"/>
  <c r="AA149" i="1" a="1"/>
  <c r="AA149" i="1" s="1"/>
  <c r="AA136" i="1" a="1"/>
  <c r="AA136" i="1" s="1"/>
  <c r="AA124" i="1" a="1"/>
  <c r="AA124" i="1" s="1"/>
  <c r="AA112" i="1" a="1"/>
  <c r="AA112" i="1" s="1"/>
  <c r="AA137" i="1" a="1"/>
  <c r="AA137" i="1" s="1"/>
  <c r="AA125" i="1" a="1"/>
  <c r="AA125" i="1" s="1"/>
  <c r="AA126" i="1" a="1"/>
  <c r="AA126" i="1" s="1"/>
  <c r="AA110" i="1" a="1"/>
  <c r="AA110" i="1" s="1"/>
  <c r="AA127" i="1" a="1"/>
  <c r="AA127" i="1" s="1"/>
  <c r="AA128" i="1" a="1"/>
  <c r="AA128" i="1" s="1"/>
  <c r="AA139" i="1" a="1"/>
  <c r="AA139" i="1" s="1"/>
  <c r="AA129" i="1" a="1"/>
  <c r="AA129" i="1" s="1"/>
  <c r="AA130" i="1" a="1"/>
  <c r="AA130" i="1" s="1"/>
  <c r="AA118" i="1" a="1"/>
  <c r="AA118" i="1" s="1"/>
  <c r="AA131" i="1" a="1"/>
  <c r="AA131" i="1" s="1"/>
  <c r="AA138" i="1" a="1"/>
  <c r="AA138" i="1" s="1"/>
  <c r="AA133" i="1" a="1"/>
  <c r="AA133" i="1" s="1"/>
  <c r="AA121" i="1" a="1"/>
  <c r="AA121" i="1" s="1"/>
  <c r="AA134" i="1" a="1"/>
  <c r="AA134" i="1" s="1"/>
  <c r="AA122" i="1" a="1"/>
  <c r="AA122" i="1" s="1"/>
  <c r="AA98" i="1" a="1"/>
  <c r="AA98" i="1" s="1"/>
  <c r="AA132" i="1" a="1"/>
  <c r="AA132" i="1" s="1"/>
  <c r="AA99" i="1" a="1"/>
  <c r="AA99" i="1" s="1"/>
  <c r="AA143" i="1" a="1"/>
  <c r="AA143" i="1" s="1"/>
  <c r="AA115" i="1" a="1"/>
  <c r="AA115" i="1" s="1"/>
  <c r="AA101" i="1" a="1"/>
  <c r="AA101" i="1" s="1"/>
  <c r="AA119" i="1" a="1"/>
  <c r="AA119" i="1" s="1"/>
  <c r="AA117" i="1" a="1"/>
  <c r="AA117" i="1" s="1"/>
  <c r="AA102" i="1" a="1"/>
  <c r="AA102" i="1" s="1"/>
  <c r="AA123" i="1" a="1"/>
  <c r="AA123" i="1" s="1"/>
  <c r="AA103" i="1" a="1"/>
  <c r="AA103" i="1" s="1"/>
  <c r="AA113" i="1" a="1"/>
  <c r="AA113" i="1" s="1"/>
  <c r="AA105" i="1" a="1"/>
  <c r="AA105" i="1" s="1"/>
  <c r="AA106" i="1" a="1"/>
  <c r="AA106" i="1" s="1"/>
  <c r="AA116" i="1" a="1"/>
  <c r="AA116" i="1" s="1"/>
  <c r="AA104" i="1" a="1"/>
  <c r="AA104" i="1" s="1"/>
  <c r="AA96" i="1" a="1"/>
  <c r="AA96" i="1" s="1"/>
  <c r="AA93" i="1" a="1"/>
  <c r="AA93" i="1" s="1"/>
  <c r="AA114" i="1" a="1"/>
  <c r="AA114" i="1" s="1"/>
  <c r="AA94" i="1" a="1"/>
  <c r="AA94" i="1" s="1"/>
  <c r="AA92" i="1" a="1"/>
  <c r="AA92" i="1" s="1"/>
  <c r="AA86" i="1" a="1"/>
  <c r="AA86" i="1" s="1"/>
  <c r="AA120" i="1" a="1"/>
  <c r="AA120" i="1" s="1"/>
  <c r="AA107" i="1" a="1"/>
  <c r="AA107" i="1" s="1"/>
  <c r="AA87" i="1" a="1"/>
  <c r="AA87" i="1" s="1"/>
  <c r="AA85" i="1" a="1"/>
  <c r="AA85" i="1" s="1"/>
  <c r="AA88" i="1" a="1"/>
  <c r="AA88" i="1" s="1"/>
  <c r="AA84" i="1" a="1"/>
  <c r="AA84" i="1" s="1"/>
  <c r="AA89" i="1" a="1"/>
  <c r="AA89" i="1" s="1"/>
  <c r="AA83" i="1" a="1"/>
  <c r="AA83" i="1" s="1"/>
  <c r="AA135" i="1" a="1"/>
  <c r="AA135" i="1" s="1"/>
  <c r="AA97" i="1" a="1"/>
  <c r="AA97" i="1" s="1"/>
  <c r="AA90" i="1" a="1"/>
  <c r="AA90" i="1" s="1"/>
  <c r="AA82" i="1" a="1"/>
  <c r="AA82" i="1" s="1"/>
  <c r="AA111" i="1" a="1"/>
  <c r="AA111" i="1" s="1"/>
  <c r="AA100" i="1" a="1"/>
  <c r="AA100" i="1" s="1"/>
  <c r="AA95" i="1" a="1"/>
  <c r="AA95" i="1" s="1"/>
  <c r="AA91" i="1" a="1"/>
  <c r="AA91" i="1" s="1"/>
  <c r="AA79" i="1" a="1"/>
  <c r="AA79" i="1" s="1"/>
  <c r="AA64" i="1" a="1"/>
  <c r="AA64" i="1" s="1"/>
  <c r="AA48" i="1" a="1"/>
  <c r="AA48" i="1" s="1"/>
  <c r="AA65" i="1" a="1"/>
  <c r="AA65" i="1" s="1"/>
  <c r="AA66" i="1" a="1"/>
  <c r="AA66" i="1" s="1"/>
  <c r="AA67" i="1" a="1"/>
  <c r="AA67" i="1" s="1"/>
  <c r="AA68" i="1" a="1"/>
  <c r="AA68" i="1" s="1"/>
  <c r="AA56" i="1" a="1"/>
  <c r="AA56" i="1" s="1"/>
  <c r="AA75" i="1" a="1"/>
  <c r="AA75" i="1" s="1"/>
  <c r="AA69" i="1" a="1"/>
  <c r="AA69" i="1" s="1"/>
  <c r="AA57" i="1" a="1"/>
  <c r="AA57" i="1" s="1"/>
  <c r="AA55" i="1" a="1"/>
  <c r="AA55" i="1" s="1"/>
  <c r="AA78" i="1" a="1"/>
  <c r="AA78" i="1" s="1"/>
  <c r="AA70" i="1" a="1"/>
  <c r="AA70" i="1" s="1"/>
  <c r="AA58" i="1" a="1"/>
  <c r="AA58" i="1" s="1"/>
  <c r="AA54" i="1" a="1"/>
  <c r="AA54" i="1" s="1"/>
  <c r="AA81" i="1" a="1"/>
  <c r="AA81" i="1" s="1"/>
  <c r="AA71" i="1" a="1"/>
  <c r="AA71" i="1" s="1"/>
  <c r="AA59" i="1" a="1"/>
  <c r="AA59" i="1" s="1"/>
  <c r="AA53" i="1" a="1"/>
  <c r="AA53" i="1" s="1"/>
  <c r="AA72" i="1" a="1"/>
  <c r="AA72" i="1" s="1"/>
  <c r="AA60" i="1" a="1"/>
  <c r="AA60" i="1" s="1"/>
  <c r="AA52" i="1" a="1"/>
  <c r="AA52" i="1" s="1"/>
  <c r="AA73" i="1" a="1"/>
  <c r="AA73" i="1" s="1"/>
  <c r="AA61" i="1" a="1"/>
  <c r="AA61" i="1" s="1"/>
  <c r="AA51" i="1" a="1"/>
  <c r="AA51" i="1" s="1"/>
  <c r="AA80" i="1" a="1"/>
  <c r="AA80" i="1" s="1"/>
  <c r="AA74" i="1" a="1"/>
  <c r="AA74" i="1" s="1"/>
  <c r="AA62" i="1" a="1"/>
  <c r="AA62" i="1" s="1"/>
  <c r="AC156" i="1" a="1"/>
  <c r="AC156" i="1" s="1"/>
  <c r="AC139" i="1" a="1"/>
  <c r="AC139" i="1" s="1"/>
  <c r="AC155" i="1" a="1"/>
  <c r="AC155" i="1" s="1"/>
  <c r="AC144" i="1" a="1"/>
  <c r="AC144" i="1" s="1"/>
  <c r="AC149" i="1" a="1"/>
  <c r="AC149" i="1" s="1"/>
  <c r="AC143" i="1" a="1"/>
  <c r="AC143" i="1" s="1"/>
  <c r="AC148" i="1" a="1"/>
  <c r="AC148" i="1" s="1"/>
  <c r="AC147" i="1" a="1"/>
  <c r="AC147" i="1" s="1"/>
  <c r="AC128" i="1" a="1"/>
  <c r="AC128" i="1" s="1"/>
  <c r="AC129" i="1" a="1"/>
  <c r="AC129" i="1" s="1"/>
  <c r="AC130" i="1" a="1"/>
  <c r="AC130" i="1" s="1"/>
  <c r="AC118" i="1" a="1"/>
  <c r="AC118" i="1" s="1"/>
  <c r="AC131" i="1" a="1"/>
  <c r="AC131" i="1" s="1"/>
  <c r="AC132" i="1" a="1"/>
  <c r="AC132" i="1" s="1"/>
  <c r="AC120" i="1" a="1"/>
  <c r="AC120" i="1" s="1"/>
  <c r="AC133" i="1" a="1"/>
  <c r="AC133" i="1" s="1"/>
  <c r="AC121" i="1" a="1"/>
  <c r="AC121" i="1" s="1"/>
  <c r="AC115" i="1" a="1"/>
  <c r="AC115" i="1" s="1"/>
  <c r="AC134" i="1" a="1"/>
  <c r="AC134" i="1" s="1"/>
  <c r="AC122" i="1" a="1"/>
  <c r="AC122" i="1" s="1"/>
  <c r="AC152" i="1" a="1"/>
  <c r="AC152" i="1" s="1"/>
  <c r="AC151" i="1" s="1"/>
  <c r="AC150" i="1" s="1"/>
  <c r="AC138" i="1" a="1"/>
  <c r="AC138" i="1" s="1"/>
  <c r="AC135" i="1" a="1"/>
  <c r="AC135" i="1" s="1"/>
  <c r="AC137" i="1" a="1"/>
  <c r="AC137" i="1" s="1"/>
  <c r="AC125" i="1" a="1"/>
  <c r="AC125" i="1" s="1"/>
  <c r="AC126" i="1" a="1"/>
  <c r="AC126" i="1" s="1"/>
  <c r="AC102" i="1" a="1"/>
  <c r="AC102" i="1" s="1"/>
  <c r="AC103" i="1" a="1"/>
  <c r="AC103" i="1" s="1"/>
  <c r="AC117" i="1" a="1"/>
  <c r="AC117" i="1" s="1"/>
  <c r="AC124" i="1" a="1"/>
  <c r="AC124" i="1" s="1"/>
  <c r="AC123" i="1" a="1"/>
  <c r="AC123" i="1" s="1"/>
  <c r="AC119" i="1" a="1"/>
  <c r="AC119" i="1" s="1"/>
  <c r="AC113" i="1" a="1"/>
  <c r="AC113" i="1" s="1"/>
  <c r="AC110" i="1" a="1"/>
  <c r="AC110" i="1" s="1"/>
  <c r="AC105" i="1" a="1"/>
  <c r="AC105" i="1" s="1"/>
  <c r="AC106" i="1" a="1"/>
  <c r="AC106" i="1" s="1"/>
  <c r="AC107" i="1" a="1"/>
  <c r="AC107" i="1" s="1"/>
  <c r="AC114" i="1" a="1"/>
  <c r="AC114" i="1" s="1"/>
  <c r="AC116" i="1" a="1"/>
  <c r="AC116" i="1" s="1"/>
  <c r="AC111" i="1" a="1"/>
  <c r="AC111" i="1" s="1"/>
  <c r="AC136" i="1" a="1"/>
  <c r="AC136" i="1" s="1"/>
  <c r="AC127" i="1" a="1"/>
  <c r="AC127" i="1" s="1"/>
  <c r="AC88" i="1" a="1"/>
  <c r="AC88" i="1" s="1"/>
  <c r="AC84" i="1" a="1"/>
  <c r="AC84" i="1" s="1"/>
  <c r="AC89" i="1" a="1"/>
  <c r="AC89" i="1" s="1"/>
  <c r="AC83" i="1" a="1"/>
  <c r="AC83" i="1" s="1"/>
  <c r="AC97" i="1" a="1"/>
  <c r="AC97" i="1" s="1"/>
  <c r="AC90" i="1" a="1"/>
  <c r="AC90" i="1" s="1"/>
  <c r="AC82" i="1" a="1"/>
  <c r="AC82" i="1" s="1"/>
  <c r="AC98" i="1" a="1"/>
  <c r="AC98" i="1" s="1"/>
  <c r="AC95" i="1" a="1"/>
  <c r="AC95" i="1" s="1"/>
  <c r="AC91" i="1" a="1"/>
  <c r="AC91" i="1" s="1"/>
  <c r="AC81" i="1" a="1"/>
  <c r="AC81" i="1" s="1"/>
  <c r="AC80" i="1" a="1"/>
  <c r="AC80" i="1" s="1"/>
  <c r="AC112" i="1" a="1"/>
  <c r="AC112" i="1" s="1"/>
  <c r="AC100" i="1" a="1"/>
  <c r="AC100" i="1" s="1"/>
  <c r="AC79" i="1" a="1"/>
  <c r="AC79" i="1" s="1"/>
  <c r="AC99" i="1" a="1"/>
  <c r="AC99" i="1" s="1"/>
  <c r="AC96" i="1" a="1"/>
  <c r="AC96" i="1" s="1"/>
  <c r="AC93" i="1" a="1"/>
  <c r="AC93" i="1" s="1"/>
  <c r="AC101" i="1" a="1"/>
  <c r="AC101" i="1" s="1"/>
  <c r="AC68" i="1" a="1"/>
  <c r="AC68" i="1" s="1"/>
  <c r="AC56" i="1" a="1"/>
  <c r="AC56" i="1" s="1"/>
  <c r="AC92" i="1" a="1"/>
  <c r="AC92" i="1" s="1"/>
  <c r="AC87" i="1" a="1"/>
  <c r="AC87" i="1" s="1"/>
  <c r="AC85" i="1" a="1"/>
  <c r="AC85" i="1" s="1"/>
  <c r="AC75" i="1" a="1"/>
  <c r="AC75" i="1" s="1"/>
  <c r="AC69" i="1" a="1"/>
  <c r="AC69" i="1" s="1"/>
  <c r="AC57" i="1" a="1"/>
  <c r="AC57" i="1" s="1"/>
  <c r="AC55" i="1" a="1"/>
  <c r="AC55" i="1" s="1"/>
  <c r="AC70" i="1" a="1"/>
  <c r="AC70" i="1" s="1"/>
  <c r="AC58" i="1" a="1"/>
  <c r="AC58" i="1" s="1"/>
  <c r="AC54" i="1" a="1"/>
  <c r="AC54" i="1" s="1"/>
  <c r="AC44" i="1" a="1"/>
  <c r="AC44" i="1" s="1"/>
  <c r="AC78" i="1" a="1"/>
  <c r="AC78" i="1" s="1"/>
  <c r="AC71" i="1" a="1"/>
  <c r="AC71" i="1" s="1"/>
  <c r="AC59" i="1" a="1"/>
  <c r="AC59" i="1" s="1"/>
  <c r="AC53" i="1" a="1"/>
  <c r="AC53" i="1" s="1"/>
  <c r="AC72" i="1" a="1"/>
  <c r="AC72" i="1" s="1"/>
  <c r="AC60" i="1" a="1"/>
  <c r="AC60" i="1" s="1"/>
  <c r="AC52" i="1" a="1"/>
  <c r="AC52" i="1" s="1"/>
  <c r="AC43" i="1" a="1"/>
  <c r="AC43" i="1" s="1"/>
  <c r="AC73" i="1" a="1"/>
  <c r="AC73" i="1" s="1"/>
  <c r="AC61" i="1" a="1"/>
  <c r="AC61" i="1" s="1"/>
  <c r="AC51" i="1" a="1"/>
  <c r="AC51" i="1" s="1"/>
  <c r="AC74" i="1" a="1"/>
  <c r="AC74" i="1" s="1"/>
  <c r="AC62" i="1" a="1"/>
  <c r="AC62" i="1" s="1"/>
  <c r="AC50" i="1" a="1"/>
  <c r="AC50" i="1" s="1"/>
  <c r="AC104" i="1" a="1"/>
  <c r="AC104" i="1" s="1"/>
  <c r="AC63" i="1" a="1"/>
  <c r="AC63" i="1" s="1"/>
  <c r="AC49" i="1" a="1"/>
  <c r="AC49" i="1" s="1"/>
  <c r="AC64" i="1" a="1"/>
  <c r="AC64" i="1" s="1"/>
  <c r="AC65" i="1" a="1"/>
  <c r="AC65" i="1" s="1"/>
  <c r="AC66" i="1" a="1"/>
  <c r="AC66" i="1" s="1"/>
  <c r="AO156" i="1" a="1"/>
  <c r="AO156" i="1" s="1"/>
  <c r="AO139" i="1" a="1"/>
  <c r="AO139" i="1" s="1"/>
  <c r="AO155" i="1" a="1"/>
  <c r="AO155" i="1" s="1"/>
  <c r="AO144" i="1" a="1"/>
  <c r="AO144" i="1" s="1"/>
  <c r="AO149" i="1" a="1"/>
  <c r="AO149" i="1" s="1"/>
  <c r="AO143" i="1" a="1"/>
  <c r="AO143" i="1" s="1"/>
  <c r="AO148" i="1" a="1"/>
  <c r="AO148" i="1" s="1"/>
  <c r="AO147" i="1" a="1"/>
  <c r="AO147" i="1" s="1"/>
  <c r="AO128" i="1" a="1"/>
  <c r="AO128" i="1" s="1"/>
  <c r="AO138" i="1" a="1"/>
  <c r="AO138" i="1" s="1"/>
  <c r="AO129" i="1" a="1"/>
  <c r="AO129" i="1" s="1"/>
  <c r="AO130" i="1" a="1"/>
  <c r="AO130" i="1" s="1"/>
  <c r="AO118" i="1" a="1"/>
  <c r="AO118" i="1" s="1"/>
  <c r="AO131" i="1" a="1"/>
  <c r="AO131" i="1" s="1"/>
  <c r="AO132" i="1" a="1"/>
  <c r="AO132" i="1" s="1"/>
  <c r="AO120" i="1" a="1"/>
  <c r="AO120" i="1" s="1"/>
  <c r="AO152" i="1" a="1"/>
  <c r="AO152" i="1" s="1"/>
  <c r="AO151" i="1" s="1"/>
  <c r="AO150" i="1" s="1"/>
  <c r="AO133" i="1" a="1"/>
  <c r="AO133" i="1" s="1"/>
  <c r="AO121" i="1" a="1"/>
  <c r="AO121" i="1" s="1"/>
  <c r="AO115" i="1" a="1"/>
  <c r="AO115" i="1" s="1"/>
  <c r="AO134" i="1" a="1"/>
  <c r="AO134" i="1" s="1"/>
  <c r="AO122" i="1" a="1"/>
  <c r="AO122" i="1" s="1"/>
  <c r="AO135" i="1" a="1"/>
  <c r="AO135" i="1" s="1"/>
  <c r="AO123" i="1" a="1"/>
  <c r="AO123" i="1" s="1"/>
  <c r="AO125" i="1" a="1"/>
  <c r="AO125" i="1" s="1"/>
  <c r="AO126" i="1" a="1"/>
  <c r="AO126" i="1" s="1"/>
  <c r="AO117" i="1" a="1"/>
  <c r="AO117" i="1" s="1"/>
  <c r="AO111" i="1" a="1"/>
  <c r="AO111" i="1" s="1"/>
  <c r="AO102" i="1" a="1"/>
  <c r="AO102" i="1" s="1"/>
  <c r="AO103" i="1" a="1"/>
  <c r="AO103" i="1" s="1"/>
  <c r="AO119" i="1" a="1"/>
  <c r="AO119" i="1" s="1"/>
  <c r="AO112" i="1" a="1"/>
  <c r="AO112" i="1" s="1"/>
  <c r="AO105" i="1" a="1"/>
  <c r="AO105" i="1" s="1"/>
  <c r="AO136" i="1" a="1"/>
  <c r="AO136" i="1" s="1"/>
  <c r="AO127" i="1" a="1"/>
  <c r="AO127" i="1" s="1"/>
  <c r="AO106" i="1" a="1"/>
  <c r="AO106" i="1" s="1"/>
  <c r="AO116" i="1" a="1"/>
  <c r="AO116" i="1" s="1"/>
  <c r="AO113" i="1" a="1"/>
  <c r="AO113" i="1" s="1"/>
  <c r="AO110" i="1" a="1"/>
  <c r="AO110" i="1" s="1"/>
  <c r="AO137" i="1" a="1"/>
  <c r="AO137" i="1" s="1"/>
  <c r="AO96" i="1" a="1"/>
  <c r="AO96" i="1" s="1"/>
  <c r="AO92" i="1" a="1"/>
  <c r="AO92" i="1" s="1"/>
  <c r="AO88" i="1" a="1"/>
  <c r="AO88" i="1" s="1"/>
  <c r="AO84" i="1" a="1"/>
  <c r="AO84" i="1" s="1"/>
  <c r="AO124" i="1" a="1"/>
  <c r="AO124" i="1" s="1"/>
  <c r="AO89" i="1" a="1"/>
  <c r="AO89" i="1" s="1"/>
  <c r="AO83" i="1" a="1"/>
  <c r="AO83" i="1" s="1"/>
  <c r="AO94" i="1" a="1"/>
  <c r="AO94" i="1" s="1"/>
  <c r="AO90" i="1" a="1"/>
  <c r="AO90" i="1" s="1"/>
  <c r="AO82" i="1" a="1"/>
  <c r="AO82" i="1" s="1"/>
  <c r="AO91" i="1" a="1"/>
  <c r="AO91" i="1" s="1"/>
  <c r="AO81" i="1" a="1"/>
  <c r="AO81" i="1" s="1"/>
  <c r="AO99" i="1" a="1"/>
  <c r="AO99" i="1" s="1"/>
  <c r="AO80" i="1" a="1"/>
  <c r="AO80" i="1" s="1"/>
  <c r="AO107" i="1" a="1"/>
  <c r="AO107" i="1" s="1"/>
  <c r="AO100" i="1" a="1"/>
  <c r="AO100" i="1" s="1"/>
  <c r="AO79" i="1" a="1"/>
  <c r="AO79" i="1" s="1"/>
  <c r="AO95" i="1" a="1"/>
  <c r="AO95" i="1" s="1"/>
  <c r="AO97" i="1" a="1"/>
  <c r="AO97" i="1" s="1"/>
  <c r="AO101" i="1" a="1"/>
  <c r="AO101" i="1" s="1"/>
  <c r="AO98" i="1" a="1"/>
  <c r="AO98" i="1" s="1"/>
  <c r="AO114" i="1" a="1"/>
  <c r="AO114" i="1" s="1"/>
  <c r="AO68" i="1" a="1"/>
  <c r="AO68" i="1" s="1"/>
  <c r="AO56" i="1" a="1"/>
  <c r="AO56" i="1" s="1"/>
  <c r="AO69" i="1" a="1"/>
  <c r="AO69" i="1" s="1"/>
  <c r="AO57" i="1" a="1"/>
  <c r="AO57" i="1" s="1"/>
  <c r="AO55" i="1" a="1"/>
  <c r="AO55" i="1" s="1"/>
  <c r="AO93" i="1" a="1"/>
  <c r="AO93" i="1" s="1"/>
  <c r="AO70" i="1" a="1"/>
  <c r="AO70" i="1" s="1"/>
  <c r="AO58" i="1" a="1"/>
  <c r="AO58" i="1" s="1"/>
  <c r="AO54" i="1" a="1"/>
  <c r="AO54" i="1" s="1"/>
  <c r="AO44" i="1" a="1"/>
  <c r="AO44" i="1" s="1"/>
  <c r="AO71" i="1" a="1"/>
  <c r="AO71" i="1" s="1"/>
  <c r="AO59" i="1" a="1"/>
  <c r="AO59" i="1" s="1"/>
  <c r="AO53" i="1" a="1"/>
  <c r="AO53" i="1" s="1"/>
  <c r="AO72" i="1" a="1"/>
  <c r="AO72" i="1" s="1"/>
  <c r="AO60" i="1" a="1"/>
  <c r="AO60" i="1" s="1"/>
  <c r="AO52" i="1" a="1"/>
  <c r="AO52" i="1" s="1"/>
  <c r="AO43" i="1" a="1"/>
  <c r="AO43" i="1" s="1"/>
  <c r="AO104" i="1" a="1"/>
  <c r="AO104" i="1" s="1"/>
  <c r="AO75" i="1" a="1"/>
  <c r="AO75" i="1" s="1"/>
  <c r="AO73" i="1" a="1"/>
  <c r="AO73" i="1" s="1"/>
  <c r="AO61" i="1" a="1"/>
  <c r="AO61" i="1" s="1"/>
  <c r="AO51" i="1" a="1"/>
  <c r="AO51" i="1" s="1"/>
  <c r="AO74" i="1" a="1"/>
  <c r="AO74" i="1" s="1"/>
  <c r="AO62" i="1" a="1"/>
  <c r="AO62" i="1" s="1"/>
  <c r="AO50" i="1" a="1"/>
  <c r="AO50" i="1" s="1"/>
  <c r="AO86" i="1" a="1"/>
  <c r="AO86" i="1" s="1"/>
  <c r="AO63" i="1" a="1"/>
  <c r="AO63" i="1" s="1"/>
  <c r="AO49" i="1" a="1"/>
  <c r="AO49" i="1" s="1"/>
  <c r="AO64" i="1" a="1"/>
  <c r="AO64" i="1" s="1"/>
  <c r="AO87" i="1" a="1"/>
  <c r="AO87" i="1" s="1"/>
  <c r="AO85" i="1" a="1"/>
  <c r="AO85" i="1" s="1"/>
  <c r="AO65" i="1" a="1"/>
  <c r="AO65" i="1" s="1"/>
  <c r="AO78" i="1" a="1"/>
  <c r="AO78" i="1" s="1"/>
  <c r="AO66" i="1" a="1"/>
  <c r="AO66" i="1" s="1"/>
  <c r="BA156" i="1" a="1"/>
  <c r="BA156" i="1" s="1"/>
  <c r="BA139" i="1" a="1"/>
  <c r="BA139" i="1" s="1"/>
  <c r="BA155" i="1" a="1"/>
  <c r="BA155" i="1" s="1"/>
  <c r="BA144" i="1" a="1"/>
  <c r="BA144" i="1" s="1"/>
  <c r="BA149" i="1" a="1"/>
  <c r="BA149" i="1" s="1"/>
  <c r="BA143" i="1" a="1"/>
  <c r="BA143" i="1" s="1"/>
  <c r="BA148" i="1" a="1"/>
  <c r="BA148" i="1" s="1"/>
  <c r="BA147" i="1" a="1"/>
  <c r="BA147" i="1" s="1"/>
  <c r="BA128" i="1" a="1"/>
  <c r="BA128" i="1" s="1"/>
  <c r="BA129" i="1" a="1"/>
  <c r="BA129" i="1" s="1"/>
  <c r="BA130" i="1" a="1"/>
  <c r="BA130" i="1" s="1"/>
  <c r="BA118" i="1" a="1"/>
  <c r="BA118" i="1" s="1"/>
  <c r="BA152" i="1" a="1"/>
  <c r="BA152" i="1" s="1"/>
  <c r="BA151" i="1" s="1"/>
  <c r="BA150" i="1" s="1"/>
  <c r="BA131" i="1" a="1"/>
  <c r="BA131" i="1" s="1"/>
  <c r="BA137" i="1" a="1"/>
  <c r="BA137" i="1" s="1"/>
  <c r="BA132" i="1" a="1"/>
  <c r="BA132" i="1" s="1"/>
  <c r="BA120" i="1" a="1"/>
  <c r="BA120" i="1" s="1"/>
  <c r="BA133" i="1" a="1"/>
  <c r="BA133" i="1" s="1"/>
  <c r="BA121" i="1" a="1"/>
  <c r="BA121" i="1" s="1"/>
  <c r="BA115" i="1" a="1"/>
  <c r="BA115" i="1" s="1"/>
  <c r="BA134" i="1" a="1"/>
  <c r="BA134" i="1" s="1"/>
  <c r="BA122" i="1" a="1"/>
  <c r="BA122" i="1" s="1"/>
  <c r="BA138" i="1" a="1"/>
  <c r="BA138" i="1" s="1"/>
  <c r="BA135" i="1" a="1"/>
  <c r="BA135" i="1" s="1"/>
  <c r="BA123" i="1" a="1"/>
  <c r="BA123" i="1" s="1"/>
  <c r="BA125" i="1" a="1"/>
  <c r="BA125" i="1" s="1"/>
  <c r="BA126" i="1" a="1"/>
  <c r="BA126" i="1" s="1"/>
  <c r="BA102" i="1" a="1"/>
  <c r="BA102" i="1" s="1"/>
  <c r="BA136" i="1" a="1"/>
  <c r="BA136" i="1" s="1"/>
  <c r="BA127" i="1" a="1"/>
  <c r="BA127" i="1" s="1"/>
  <c r="BA107" i="1" a="1"/>
  <c r="BA107" i="1" s="1"/>
  <c r="BA103" i="1" a="1"/>
  <c r="BA103" i="1" s="1"/>
  <c r="BA114" i="1" a="1"/>
  <c r="BA114" i="1" s="1"/>
  <c r="BA119" i="1" a="1"/>
  <c r="BA119" i="1" s="1"/>
  <c r="BA105" i="1" a="1"/>
  <c r="BA105" i="1" s="1"/>
  <c r="BA116" i="1" a="1"/>
  <c r="BA116" i="1" s="1"/>
  <c r="BA111" i="1" a="1"/>
  <c r="BA111" i="1" s="1"/>
  <c r="BA124" i="1" a="1"/>
  <c r="BA124" i="1" s="1"/>
  <c r="BA112" i="1" a="1"/>
  <c r="BA112" i="1" s="1"/>
  <c r="BA106" i="1" a="1"/>
  <c r="BA106" i="1" s="1"/>
  <c r="BA93" i="1" a="1"/>
  <c r="BA93" i="1" s="1"/>
  <c r="BA88" i="1" a="1"/>
  <c r="BA88" i="1" s="1"/>
  <c r="BA84" i="1" a="1"/>
  <c r="BA84" i="1" s="1"/>
  <c r="BA89" i="1" a="1"/>
  <c r="BA89" i="1" s="1"/>
  <c r="BA83" i="1" a="1"/>
  <c r="BA83" i="1" s="1"/>
  <c r="BA113" i="1" a="1"/>
  <c r="BA113" i="1" s="1"/>
  <c r="BA99" i="1" a="1"/>
  <c r="BA99" i="1" s="1"/>
  <c r="BA97" i="1" a="1"/>
  <c r="BA97" i="1" s="1"/>
  <c r="BA92" i="1" a="1"/>
  <c r="BA92" i="1" s="1"/>
  <c r="BA90" i="1" a="1"/>
  <c r="BA90" i="1" s="1"/>
  <c r="BA82" i="1" a="1"/>
  <c r="BA82" i="1" s="1"/>
  <c r="BA98" i="1" a="1"/>
  <c r="BA98" i="1" s="1"/>
  <c r="BA81" i="1" a="1"/>
  <c r="BA81" i="1" s="1"/>
  <c r="BA117" i="1" a="1"/>
  <c r="BA117" i="1" s="1"/>
  <c r="BA96" i="1" a="1"/>
  <c r="BA96" i="1" s="1"/>
  <c r="BA91" i="1" a="1"/>
  <c r="BA91" i="1" s="1"/>
  <c r="BA80" i="1" a="1"/>
  <c r="BA80" i="1" s="1"/>
  <c r="BA100" i="1" a="1"/>
  <c r="BA100" i="1" s="1"/>
  <c r="BA79" i="1" a="1"/>
  <c r="BA79" i="1" s="1"/>
  <c r="BA94" i="1" a="1"/>
  <c r="BA94" i="1" s="1"/>
  <c r="BA101" i="1" a="1"/>
  <c r="BA101" i="1" s="1"/>
  <c r="BA68" i="1" a="1"/>
  <c r="BA68" i="1" s="1"/>
  <c r="BA56" i="1" a="1"/>
  <c r="BA56" i="1" s="1"/>
  <c r="BA69" i="1" a="1"/>
  <c r="BA69" i="1" s="1"/>
  <c r="BA57" i="1" a="1"/>
  <c r="BA57" i="1" s="1"/>
  <c r="BA55" i="1" a="1"/>
  <c r="BA55" i="1" s="1"/>
  <c r="BA110" i="1" a="1"/>
  <c r="BA110" i="1" s="1"/>
  <c r="BA70" i="1" a="1"/>
  <c r="BA70" i="1" s="1"/>
  <c r="BA58" i="1" a="1"/>
  <c r="BA58" i="1" s="1"/>
  <c r="BA54" i="1" a="1"/>
  <c r="BA54" i="1" s="1"/>
  <c r="BA44" i="1" a="1"/>
  <c r="BA44" i="1" s="1"/>
  <c r="BA104" i="1" a="1"/>
  <c r="BA104" i="1" s="1"/>
  <c r="BA86" i="1" a="1"/>
  <c r="BA86" i="1" s="1"/>
  <c r="BA71" i="1" a="1"/>
  <c r="BA71" i="1" s="1"/>
  <c r="BA59" i="1" a="1"/>
  <c r="BA59" i="1" s="1"/>
  <c r="BA53" i="1" a="1"/>
  <c r="BA53" i="1" s="1"/>
  <c r="BA72" i="1" a="1"/>
  <c r="BA72" i="1" s="1"/>
  <c r="BA60" i="1" a="1"/>
  <c r="BA60" i="1" s="1"/>
  <c r="BA52" i="1" a="1"/>
  <c r="BA52" i="1" s="1"/>
  <c r="BA43" i="1" a="1"/>
  <c r="BA43" i="1" s="1"/>
  <c r="BA87" i="1" a="1"/>
  <c r="BA87" i="1" s="1"/>
  <c r="BA85" i="1" a="1"/>
  <c r="BA85" i="1" s="1"/>
  <c r="BA73" i="1" a="1"/>
  <c r="BA73" i="1" s="1"/>
  <c r="BA61" i="1" a="1"/>
  <c r="BA61" i="1" s="1"/>
  <c r="BA51" i="1" a="1"/>
  <c r="BA51" i="1" s="1"/>
  <c r="BA74" i="1" a="1"/>
  <c r="BA74" i="1" s="1"/>
  <c r="BA62" i="1" a="1"/>
  <c r="BA62" i="1" s="1"/>
  <c r="BA50" i="1" a="1"/>
  <c r="BA50" i="1" s="1"/>
  <c r="BA63" i="1" a="1"/>
  <c r="BA63" i="1" s="1"/>
  <c r="BA49" i="1" a="1"/>
  <c r="BA49" i="1" s="1"/>
  <c r="BA78" i="1" a="1"/>
  <c r="BA78" i="1" s="1"/>
  <c r="BA64" i="1" a="1"/>
  <c r="BA64" i="1" s="1"/>
  <c r="BA95" i="1" a="1"/>
  <c r="BA95" i="1" s="1"/>
  <c r="BA75" i="1" a="1"/>
  <c r="BA75" i="1" s="1"/>
  <c r="BA65" i="1" a="1"/>
  <c r="BA65" i="1" s="1"/>
  <c r="BA66" i="1" a="1"/>
  <c r="BA66" i="1" s="1"/>
  <c r="BM156" i="1" a="1"/>
  <c r="BM156" i="1" s="1"/>
  <c r="BM139" i="1" a="1"/>
  <c r="BM139" i="1" s="1"/>
  <c r="BM155" i="1" a="1"/>
  <c r="BM155" i="1" s="1"/>
  <c r="BM144" i="1" a="1"/>
  <c r="BM144" i="1" s="1"/>
  <c r="BM149" i="1" a="1"/>
  <c r="BM149" i="1" s="1"/>
  <c r="BM143" i="1" a="1"/>
  <c r="BM143" i="1" s="1"/>
  <c r="BM148" i="1" a="1"/>
  <c r="BM148" i="1" s="1"/>
  <c r="BM147" i="1" a="1"/>
  <c r="BM147" i="1" s="1"/>
  <c r="BM128" i="1" a="1"/>
  <c r="BM128" i="1" s="1"/>
  <c r="BM152" i="1" a="1"/>
  <c r="BM152" i="1" s="1"/>
  <c r="BM151" i="1" s="1"/>
  <c r="BM150" i="1" s="1"/>
  <c r="BM129" i="1" a="1"/>
  <c r="BM129" i="1" s="1"/>
  <c r="BM130" i="1" a="1"/>
  <c r="BM130" i="1" s="1"/>
  <c r="BM118" i="1" a="1"/>
  <c r="BM118" i="1" s="1"/>
  <c r="BM106" i="1" a="1"/>
  <c r="BM106" i="1" s="1"/>
  <c r="BM138" i="1" a="1"/>
  <c r="BM138" i="1" s="1"/>
  <c r="BM131" i="1" a="1"/>
  <c r="BM131" i="1" s="1"/>
  <c r="BM132" i="1" a="1"/>
  <c r="BM132" i="1" s="1"/>
  <c r="BM120" i="1" a="1"/>
  <c r="BM120" i="1" s="1"/>
  <c r="BM133" i="1" a="1"/>
  <c r="BM133" i="1" s="1"/>
  <c r="BM121" i="1" a="1"/>
  <c r="BM121" i="1" s="1"/>
  <c r="BM115" i="1" a="1"/>
  <c r="BM115" i="1" s="1"/>
  <c r="BM134" i="1" a="1"/>
  <c r="BM134" i="1" s="1"/>
  <c r="BM122" i="1" a="1"/>
  <c r="BM122" i="1" s="1"/>
  <c r="BM135" i="1" a="1"/>
  <c r="BM135" i="1" s="1"/>
  <c r="BM123" i="1" a="1"/>
  <c r="BM123" i="1" s="1"/>
  <c r="BM125" i="1" a="1"/>
  <c r="BM125" i="1" s="1"/>
  <c r="BM137" i="1" a="1"/>
  <c r="BM137" i="1" s="1"/>
  <c r="BM126" i="1" a="1"/>
  <c r="BM126" i="1" s="1"/>
  <c r="BM102" i="1" a="1"/>
  <c r="BM102" i="1" s="1"/>
  <c r="BM103" i="1" a="1"/>
  <c r="BM103" i="1" s="1"/>
  <c r="BM116" i="1" a="1"/>
  <c r="BM116" i="1" s="1"/>
  <c r="BM124" i="1" a="1"/>
  <c r="BM124" i="1" s="1"/>
  <c r="BM119" i="1" a="1"/>
  <c r="BM119" i="1" s="1"/>
  <c r="BM113" i="1" a="1"/>
  <c r="BM113" i="1" s="1"/>
  <c r="BM110" i="1" a="1"/>
  <c r="BM110" i="1" s="1"/>
  <c r="BM105" i="1" a="1"/>
  <c r="BM105" i="1" s="1"/>
  <c r="BM107" i="1" a="1"/>
  <c r="BM107" i="1" s="1"/>
  <c r="BM114" i="1" a="1"/>
  <c r="BM114" i="1" s="1"/>
  <c r="BM117" i="1" a="1"/>
  <c r="BM117" i="1" s="1"/>
  <c r="BM111" i="1" a="1"/>
  <c r="BM111" i="1" s="1"/>
  <c r="BM136" i="1" a="1"/>
  <c r="BM136" i="1" s="1"/>
  <c r="BM127" i="1" a="1"/>
  <c r="BM127" i="1" s="1"/>
  <c r="BM99" i="1" a="1"/>
  <c r="BM99" i="1" s="1"/>
  <c r="BM88" i="1" a="1"/>
  <c r="BM88" i="1" s="1"/>
  <c r="BM84" i="1" a="1"/>
  <c r="BM84" i="1" s="1"/>
  <c r="BM89" i="1" a="1"/>
  <c r="BM89" i="1" s="1"/>
  <c r="BM83" i="1" a="1"/>
  <c r="BM83" i="1" s="1"/>
  <c r="BM90" i="1" a="1"/>
  <c r="BM90" i="1" s="1"/>
  <c r="BM82" i="1" a="1"/>
  <c r="BM82" i="1" s="1"/>
  <c r="BM95" i="1" a="1"/>
  <c r="BM95" i="1" s="1"/>
  <c r="BM81" i="1" a="1"/>
  <c r="BM81" i="1" s="1"/>
  <c r="BM93" i="1" a="1"/>
  <c r="BM93" i="1" s="1"/>
  <c r="BM92" i="1" a="1"/>
  <c r="BM92" i="1" s="1"/>
  <c r="BM80" i="1" a="1"/>
  <c r="BM80" i="1" s="1"/>
  <c r="BM100" i="1" a="1"/>
  <c r="BM100" i="1" s="1"/>
  <c r="BM79" i="1" a="1"/>
  <c r="BM79" i="1" s="1"/>
  <c r="BM91" i="1" a="1"/>
  <c r="BM91" i="1" s="1"/>
  <c r="BM78" i="1" a="1"/>
  <c r="BM78" i="1" s="1"/>
  <c r="BM112" i="1" a="1"/>
  <c r="BM112" i="1" s="1"/>
  <c r="BM97" i="1" a="1"/>
  <c r="BM97" i="1" s="1"/>
  <c r="BM96" i="1" a="1"/>
  <c r="BM96" i="1" s="1"/>
  <c r="BM101" i="1" a="1"/>
  <c r="BM101" i="1" s="1"/>
  <c r="BM98" i="1" a="1"/>
  <c r="BM98" i="1" s="1"/>
  <c r="BM68" i="1" a="1"/>
  <c r="BM68" i="1" s="1"/>
  <c r="BM56" i="1" a="1"/>
  <c r="BM56" i="1" s="1"/>
  <c r="BM104" i="1" a="1"/>
  <c r="BM104" i="1" s="1"/>
  <c r="BM94" i="1" a="1"/>
  <c r="BM94" i="1" s="1"/>
  <c r="BM87" i="1" a="1"/>
  <c r="BM87" i="1" s="1"/>
  <c r="BM85" i="1" a="1"/>
  <c r="BM85" i="1" s="1"/>
  <c r="BM75" i="1" a="1"/>
  <c r="BM75" i="1" s="1"/>
  <c r="BM69" i="1" a="1"/>
  <c r="BM69" i="1" s="1"/>
  <c r="BM57" i="1" a="1"/>
  <c r="BM57" i="1" s="1"/>
  <c r="BM55" i="1" a="1"/>
  <c r="BM55" i="1" s="1"/>
  <c r="BM70" i="1" a="1"/>
  <c r="BM70" i="1" s="1"/>
  <c r="BM58" i="1" a="1"/>
  <c r="BM58" i="1" s="1"/>
  <c r="BM54" i="1" a="1"/>
  <c r="BM54" i="1" s="1"/>
  <c r="BM44" i="1" a="1"/>
  <c r="BM44" i="1" s="1"/>
  <c r="BM71" i="1" a="1"/>
  <c r="BM71" i="1" s="1"/>
  <c r="BM59" i="1" a="1"/>
  <c r="BM59" i="1" s="1"/>
  <c r="BM53" i="1" a="1"/>
  <c r="BM53" i="1" s="1"/>
  <c r="BM72" i="1" a="1"/>
  <c r="BM72" i="1" s="1"/>
  <c r="BM60" i="1" a="1"/>
  <c r="BM60" i="1" s="1"/>
  <c r="BM52" i="1" a="1"/>
  <c r="BM52" i="1" s="1"/>
  <c r="BM43" i="1" a="1"/>
  <c r="BM43" i="1" s="1"/>
  <c r="BM73" i="1" a="1"/>
  <c r="BM73" i="1" s="1"/>
  <c r="BM61" i="1" a="1"/>
  <c r="BM61" i="1" s="1"/>
  <c r="BM51" i="1" a="1"/>
  <c r="BM51" i="1" s="1"/>
  <c r="BM62" i="1" a="1"/>
  <c r="BM62" i="1" s="1"/>
  <c r="BM50" i="1" a="1"/>
  <c r="BM50" i="1" s="1"/>
  <c r="BM74" i="1" a="1"/>
  <c r="BM74" i="1" s="1"/>
  <c r="BM63" i="1" a="1"/>
  <c r="BM63" i="1" s="1"/>
  <c r="BM49" i="1" a="1"/>
  <c r="BM49" i="1" s="1"/>
  <c r="BM64" i="1" a="1"/>
  <c r="BM64" i="1" s="1"/>
  <c r="BM65" i="1" a="1"/>
  <c r="BM65" i="1" s="1"/>
  <c r="BM66" i="1" a="1"/>
  <c r="BM66" i="1" s="1"/>
  <c r="Q16" i="1" a="1"/>
  <c r="Q16" i="1" s="1"/>
  <c r="W16" i="1" a="1"/>
  <c r="W16" i="1" s="1"/>
  <c r="AC16" i="1" a="1"/>
  <c r="AC16" i="1" s="1"/>
  <c r="AI16" i="1" a="1"/>
  <c r="AI16" i="1" s="1"/>
  <c r="AO16" i="1" a="1"/>
  <c r="AO16" i="1" s="1"/>
  <c r="AU16" i="1" a="1"/>
  <c r="AU16" i="1" s="1"/>
  <c r="BA16" i="1" a="1"/>
  <c r="BA16" i="1" s="1"/>
  <c r="BG16" i="1" a="1"/>
  <c r="BG16" i="1" s="1"/>
  <c r="BM16" i="1" a="1"/>
  <c r="BM16" i="1" s="1"/>
  <c r="Q23" i="1" a="1"/>
  <c r="Q23" i="1" s="1"/>
  <c r="Q22" i="1" s="1"/>
  <c r="W23" i="1" a="1"/>
  <c r="W23" i="1" s="1"/>
  <c r="W22" i="1" s="1"/>
  <c r="AC23" i="1" a="1"/>
  <c r="AC23" i="1" s="1"/>
  <c r="AC22" i="1" s="1"/>
  <c r="AI23" i="1" a="1"/>
  <c r="AI23" i="1" s="1"/>
  <c r="AI22" i="1" s="1"/>
  <c r="AO23" i="1" a="1"/>
  <c r="AO23" i="1" s="1"/>
  <c r="AO22" i="1" s="1"/>
  <c r="AU23" i="1" a="1"/>
  <c r="AU23" i="1" s="1"/>
  <c r="AU22" i="1" s="1"/>
  <c r="BA23" i="1" a="1"/>
  <c r="BA23" i="1" s="1"/>
  <c r="BA22" i="1" s="1"/>
  <c r="BG23" i="1" a="1"/>
  <c r="BG23" i="1" s="1"/>
  <c r="BG22" i="1" s="1"/>
  <c r="BM23" i="1" a="1"/>
  <c r="BM23" i="1" s="1"/>
  <c r="BM22" i="1" s="1"/>
  <c r="Q28" i="1" a="1"/>
  <c r="Q28" i="1" s="1"/>
  <c r="W28" i="1" a="1"/>
  <c r="W28" i="1" s="1"/>
  <c r="AC28" i="1" a="1"/>
  <c r="AC28" i="1" s="1"/>
  <c r="AI28" i="1" a="1"/>
  <c r="AI28" i="1" s="1"/>
  <c r="AO28" i="1" a="1"/>
  <c r="AO28" i="1" s="1"/>
  <c r="AU28" i="1" a="1"/>
  <c r="AU28" i="1" s="1"/>
  <c r="BA28" i="1" a="1"/>
  <c r="BA28" i="1" s="1"/>
  <c r="BG28" i="1" a="1"/>
  <c r="BG28" i="1" s="1"/>
  <c r="BM28" i="1" a="1"/>
  <c r="BM28" i="1" s="1"/>
  <c r="V29" i="1" a="1"/>
  <c r="V29" i="1" s="1"/>
  <c r="AB29" i="1" a="1"/>
  <c r="AB29" i="1" s="1"/>
  <c r="AH29" i="1" a="1"/>
  <c r="AH29" i="1" s="1"/>
  <c r="AN29" i="1" a="1"/>
  <c r="AN29" i="1" s="1"/>
  <c r="AT29" i="1" a="1"/>
  <c r="AT29" i="1" s="1"/>
  <c r="AZ29" i="1" a="1"/>
  <c r="AZ29" i="1" s="1"/>
  <c r="BF29" i="1" a="1"/>
  <c r="BF29" i="1" s="1"/>
  <c r="BL29" i="1" a="1"/>
  <c r="BL29" i="1" s="1"/>
  <c r="U30" i="1" a="1"/>
  <c r="U30" i="1" s="1"/>
  <c r="AA30" i="1" a="1"/>
  <c r="AA30" i="1" s="1"/>
  <c r="AG30" i="1" a="1"/>
  <c r="AG30" i="1" s="1"/>
  <c r="AM30" i="1" a="1"/>
  <c r="AM30" i="1" s="1"/>
  <c r="AS30" i="1" a="1"/>
  <c r="AS30" i="1" s="1"/>
  <c r="BE30" i="1" a="1"/>
  <c r="BE30" i="1" s="1"/>
  <c r="BK30" i="1" a="1"/>
  <c r="BK30" i="1" s="1"/>
  <c r="T31" i="1" a="1"/>
  <c r="T31" i="1" s="1"/>
  <c r="Z31" i="1" a="1"/>
  <c r="Z31" i="1" s="1"/>
  <c r="AF31" i="1" a="1"/>
  <c r="AF31" i="1" s="1"/>
  <c r="AL31" i="1" a="1"/>
  <c r="AL31" i="1" s="1"/>
  <c r="AR31" i="1" a="1"/>
  <c r="AR31" i="1" s="1"/>
  <c r="AX31" i="1" a="1"/>
  <c r="AX31" i="1" s="1"/>
  <c r="BD31" i="1" a="1"/>
  <c r="BD31" i="1" s="1"/>
  <c r="BJ31" i="1" a="1"/>
  <c r="BJ31" i="1" s="1"/>
  <c r="S32" i="1" a="1"/>
  <c r="S32" i="1" s="1"/>
  <c r="Y32" i="1" a="1"/>
  <c r="Y32" i="1" s="1"/>
  <c r="AE32" i="1" a="1"/>
  <c r="AE32" i="1" s="1"/>
  <c r="AK32" i="1" a="1"/>
  <c r="AK32" i="1" s="1"/>
  <c r="AQ32" i="1" a="1"/>
  <c r="AQ32" i="1" s="1"/>
  <c r="AW32" i="1" a="1"/>
  <c r="AW32" i="1" s="1"/>
  <c r="BC32" i="1" a="1"/>
  <c r="BC32" i="1" s="1"/>
  <c r="BI32" i="1" a="1"/>
  <c r="BI32" i="1" s="1"/>
  <c r="R33" i="1" a="1"/>
  <c r="R33" i="1" s="1"/>
  <c r="X33" i="1" a="1"/>
  <c r="X33" i="1" s="1"/>
  <c r="AD33" i="1" a="1"/>
  <c r="AD33" i="1" s="1"/>
  <c r="AJ33" i="1" a="1"/>
  <c r="AJ33" i="1" s="1"/>
  <c r="AP33" i="1" a="1"/>
  <c r="AP33" i="1" s="1"/>
  <c r="AV33" i="1" a="1"/>
  <c r="AV33" i="1" s="1"/>
  <c r="BB33" i="1" a="1"/>
  <c r="BB33" i="1" s="1"/>
  <c r="BH33" i="1" a="1"/>
  <c r="BH33" i="1" s="1"/>
  <c r="BN33" i="1" a="1"/>
  <c r="BN33" i="1" s="1"/>
  <c r="Q34" i="1" a="1"/>
  <c r="Q34" i="1" s="1"/>
  <c r="W34" i="1" a="1"/>
  <c r="W34" i="1" s="1"/>
  <c r="AC34" i="1" a="1"/>
  <c r="AC34" i="1" s="1"/>
  <c r="AI34" i="1" a="1"/>
  <c r="AI34" i="1" s="1"/>
  <c r="AO34" i="1" a="1"/>
  <c r="AO34" i="1" s="1"/>
  <c r="AU34" i="1" a="1"/>
  <c r="AU34" i="1" s="1"/>
  <c r="BA34" i="1" a="1"/>
  <c r="BA34" i="1" s="1"/>
  <c r="BM34" i="1" a="1"/>
  <c r="BM34" i="1" s="1"/>
  <c r="T36" i="1" a="1"/>
  <c r="T36" i="1" s="1"/>
  <c r="AF36" i="1" a="1"/>
  <c r="AF36" i="1" s="1"/>
  <c r="AL36" i="1" a="1"/>
  <c r="AL36" i="1" s="1"/>
  <c r="AR36" i="1" a="1"/>
  <c r="AR36" i="1" s="1"/>
  <c r="AX36" i="1" a="1"/>
  <c r="AX36" i="1" s="1"/>
  <c r="BD36" i="1" a="1"/>
  <c r="BD36" i="1" s="1"/>
  <c r="BJ36" i="1" a="1"/>
  <c r="BJ36" i="1" s="1"/>
  <c r="S37" i="1" a="1"/>
  <c r="S37" i="1" s="1"/>
  <c r="Y37" i="1" a="1"/>
  <c r="Y37" i="1" s="1"/>
  <c r="AE37" i="1" a="1"/>
  <c r="AE37" i="1" s="1"/>
  <c r="AK37" i="1" a="1"/>
  <c r="AK37" i="1" s="1"/>
  <c r="AQ37" i="1" a="1"/>
  <c r="AQ37" i="1" s="1"/>
  <c r="AW37" i="1" a="1"/>
  <c r="AW37" i="1" s="1"/>
  <c r="BC37" i="1" a="1"/>
  <c r="BC37" i="1" s="1"/>
  <c r="BI37" i="1" a="1"/>
  <c r="BI37" i="1" s="1"/>
  <c r="S42" i="1" a="1"/>
  <c r="S42" i="1" s="1"/>
  <c r="AF42" i="1" a="1"/>
  <c r="AF42" i="1" s="1"/>
  <c r="AS42" i="1" a="1"/>
  <c r="AS42" i="1" s="1"/>
  <c r="AZ43" i="1" a="1"/>
  <c r="AZ43" i="1" s="1"/>
  <c r="BK43" i="1" a="1"/>
  <c r="BK43" i="1" s="1"/>
  <c r="S44" i="1" a="1"/>
  <c r="S44" i="1" s="1"/>
  <c r="AN48" i="1" a="1"/>
  <c r="AN48" i="1" s="1"/>
  <c r="BF48" i="1" a="1"/>
  <c r="BF48" i="1" s="1"/>
  <c r="AS50" i="1" a="1"/>
  <c r="AS50" i="1" s="1"/>
  <c r="AX51" i="1" a="1"/>
  <c r="AX51" i="1" s="1"/>
  <c r="T52" i="1" a="1"/>
  <c r="T52" i="1" s="1"/>
  <c r="BD52" i="1" a="1"/>
  <c r="BD52" i="1" s="1"/>
  <c r="BH55" i="1" a="1"/>
  <c r="BH55" i="1" s="1"/>
  <c r="AD57" i="1" a="1"/>
  <c r="AD57" i="1" s="1"/>
  <c r="S59" i="1" a="1"/>
  <c r="S59" i="1" s="1"/>
  <c r="AU67" i="1" a="1"/>
  <c r="AU67" i="1" s="1"/>
  <c r="AD69" i="1" a="1"/>
  <c r="AD69" i="1" s="1"/>
  <c r="AR80" i="1" a="1"/>
  <c r="AR80" i="1" s="1"/>
  <c r="AD84" i="1" a="1"/>
  <c r="AD84" i="1" s="1"/>
  <c r="V147" i="1" a="1"/>
  <c r="V147" i="1" s="1"/>
  <c r="V152" i="1" a="1"/>
  <c r="V152" i="1" s="1"/>
  <c r="V151" i="1" s="1"/>
  <c r="V150" i="1" s="1"/>
  <c r="V156" i="1" a="1"/>
  <c r="V156" i="1" s="1"/>
  <c r="V138" i="1" a="1"/>
  <c r="V138" i="1" s="1"/>
  <c r="V139" i="1" a="1"/>
  <c r="V139" i="1" s="1"/>
  <c r="V155" i="1" a="1"/>
  <c r="V155" i="1" s="1"/>
  <c r="V144" i="1" a="1"/>
  <c r="V144" i="1" s="1"/>
  <c r="V149" i="1" a="1"/>
  <c r="V149" i="1" s="1"/>
  <c r="V143" i="1" a="1"/>
  <c r="V143" i="1" s="1"/>
  <c r="V148" i="1" a="1"/>
  <c r="V148" i="1" s="1"/>
  <c r="V126" i="1" a="1"/>
  <c r="V126" i="1" s="1"/>
  <c r="V110" i="1" a="1"/>
  <c r="V110" i="1" s="1"/>
  <c r="V127" i="1" a="1"/>
  <c r="V127" i="1" s="1"/>
  <c r="V128" i="1" a="1"/>
  <c r="V128" i="1" s="1"/>
  <c r="V129" i="1" a="1"/>
  <c r="V129" i="1" s="1"/>
  <c r="V130" i="1" a="1"/>
  <c r="V130" i="1" s="1"/>
  <c r="V131" i="1" a="1"/>
  <c r="V131" i="1" s="1"/>
  <c r="V119" i="1" a="1"/>
  <c r="V119" i="1" s="1"/>
  <c r="V117" i="1" a="1"/>
  <c r="V117" i="1" s="1"/>
  <c r="V132" i="1" a="1"/>
  <c r="V132" i="1" s="1"/>
  <c r="V120" i="1" a="1"/>
  <c r="V120" i="1" s="1"/>
  <c r="V116" i="1" a="1"/>
  <c r="V116" i="1" s="1"/>
  <c r="V133" i="1" a="1"/>
  <c r="V133" i="1" s="1"/>
  <c r="V135" i="1" a="1"/>
  <c r="V135" i="1" s="1"/>
  <c r="V123" i="1" a="1"/>
  <c r="V123" i="1" s="1"/>
  <c r="V136" i="1" a="1"/>
  <c r="V136" i="1" s="1"/>
  <c r="V124" i="1" a="1"/>
  <c r="V124" i="1" s="1"/>
  <c r="V100" i="1" a="1"/>
  <c r="V100" i="1" s="1"/>
  <c r="V122" i="1" a="1"/>
  <c r="V122" i="1" s="1"/>
  <c r="V101" i="1" a="1"/>
  <c r="V101" i="1" s="1"/>
  <c r="V137" i="1" a="1"/>
  <c r="V137" i="1" s="1"/>
  <c r="V121" i="1" a="1"/>
  <c r="V121" i="1" s="1"/>
  <c r="V113" i="1" a="1"/>
  <c r="V113" i="1" s="1"/>
  <c r="V103" i="1" a="1"/>
  <c r="V103" i="1" s="1"/>
  <c r="V104" i="1" a="1"/>
  <c r="V104" i="1" s="1"/>
  <c r="V107" i="1" a="1"/>
  <c r="V107" i="1" s="1"/>
  <c r="V105" i="1" a="1"/>
  <c r="V105" i="1" s="1"/>
  <c r="V118" i="1" a="1"/>
  <c r="V118" i="1" s="1"/>
  <c r="V114" i="1" a="1"/>
  <c r="V114" i="1" s="1"/>
  <c r="V134" i="1" a="1"/>
  <c r="V134" i="1" s="1"/>
  <c r="V125" i="1" a="1"/>
  <c r="V125" i="1" s="1"/>
  <c r="V111" i="1" a="1"/>
  <c r="V111" i="1" s="1"/>
  <c r="V86" i="1" a="1"/>
  <c r="V86" i="1" s="1"/>
  <c r="V87" i="1" a="1"/>
  <c r="V87" i="1" s="1"/>
  <c r="V85" i="1" a="1"/>
  <c r="V85" i="1" s="1"/>
  <c r="V106" i="1" a="1"/>
  <c r="V106" i="1" s="1"/>
  <c r="V98" i="1" a="1"/>
  <c r="V98" i="1" s="1"/>
  <c r="V97" i="1" a="1"/>
  <c r="V97" i="1" s="1"/>
  <c r="V88" i="1" a="1"/>
  <c r="V88" i="1" s="1"/>
  <c r="V84" i="1" a="1"/>
  <c r="V84" i="1" s="1"/>
  <c r="V95" i="1" a="1"/>
  <c r="V95" i="1" s="1"/>
  <c r="V89" i="1" a="1"/>
  <c r="V89" i="1" s="1"/>
  <c r="V83" i="1" a="1"/>
  <c r="V83" i="1" s="1"/>
  <c r="V90" i="1" a="1"/>
  <c r="V90" i="1" s="1"/>
  <c r="V82" i="1" a="1"/>
  <c r="V82" i="1" s="1"/>
  <c r="V99" i="1" a="1"/>
  <c r="V99" i="1" s="1"/>
  <c r="V91" i="1" a="1"/>
  <c r="V91" i="1" s="1"/>
  <c r="V81" i="1" a="1"/>
  <c r="V81" i="1" s="1"/>
  <c r="V80" i="1" a="1"/>
  <c r="V80" i="1" s="1"/>
  <c r="V115" i="1" a="1"/>
  <c r="V115" i="1" s="1"/>
  <c r="V112" i="1" a="1"/>
  <c r="V112" i="1" s="1"/>
  <c r="V102" i="1" a="1"/>
  <c r="V102" i="1" s="1"/>
  <c r="V96" i="1" a="1"/>
  <c r="V96" i="1" s="1"/>
  <c r="V93" i="1" a="1"/>
  <c r="V93" i="1" s="1"/>
  <c r="V66" i="1" a="1"/>
  <c r="V66" i="1" s="1"/>
  <c r="V94" i="1" a="1"/>
  <c r="V94" i="1" s="1"/>
  <c r="V75" i="1" a="1"/>
  <c r="V75" i="1" s="1"/>
  <c r="V67" i="1" a="1"/>
  <c r="V67" i="1" s="1"/>
  <c r="V78" i="1" a="1"/>
  <c r="V78" i="1" s="1"/>
  <c r="V68" i="1" a="1"/>
  <c r="V68" i="1" s="1"/>
  <c r="V56" i="1" a="1"/>
  <c r="V56" i="1" s="1"/>
  <c r="V69" i="1" a="1"/>
  <c r="V69" i="1" s="1"/>
  <c r="V57" i="1" a="1"/>
  <c r="V57" i="1" s="1"/>
  <c r="V55" i="1" a="1"/>
  <c r="V55" i="1" s="1"/>
  <c r="V92" i="1" a="1"/>
  <c r="V92" i="1" s="1"/>
  <c r="V70" i="1" a="1"/>
  <c r="V70" i="1" s="1"/>
  <c r="V58" i="1" a="1"/>
  <c r="V58" i="1" s="1"/>
  <c r="V54" i="1" a="1"/>
  <c r="V54" i="1" s="1"/>
  <c r="V44" i="1" a="1"/>
  <c r="V44" i="1" s="1"/>
  <c r="V71" i="1" a="1"/>
  <c r="V71" i="1" s="1"/>
  <c r="V59" i="1" a="1"/>
  <c r="V59" i="1" s="1"/>
  <c r="V53" i="1" a="1"/>
  <c r="V53" i="1" s="1"/>
  <c r="V72" i="1" a="1"/>
  <c r="V72" i="1" s="1"/>
  <c r="V60" i="1" a="1"/>
  <c r="V60" i="1" s="1"/>
  <c r="V52" i="1" a="1"/>
  <c r="V52" i="1" s="1"/>
  <c r="V79" i="1" a="1"/>
  <c r="V79" i="1" s="1"/>
  <c r="V73" i="1" a="1"/>
  <c r="V73" i="1" s="1"/>
  <c r="V61" i="1" a="1"/>
  <c r="V61" i="1" s="1"/>
  <c r="V51" i="1" a="1"/>
  <c r="V51" i="1" s="1"/>
  <c r="V74" i="1" a="1"/>
  <c r="V74" i="1" s="1"/>
  <c r="V62" i="1" a="1"/>
  <c r="V62" i="1" s="1"/>
  <c r="V63" i="1" a="1"/>
  <c r="V63" i="1" s="1"/>
  <c r="V64" i="1" a="1"/>
  <c r="V64" i="1" s="1"/>
  <c r="BG156" i="1" a="1"/>
  <c r="BG156" i="1" s="1"/>
  <c r="BG139" i="1" a="1"/>
  <c r="BG139" i="1" s="1"/>
  <c r="BG155" i="1" a="1"/>
  <c r="BG155" i="1" s="1"/>
  <c r="BG144" i="1" a="1"/>
  <c r="BG144" i="1" s="1"/>
  <c r="BG149" i="1" a="1"/>
  <c r="BG149" i="1" s="1"/>
  <c r="BG143" i="1" a="1"/>
  <c r="BG143" i="1" s="1"/>
  <c r="BG148" i="1" a="1"/>
  <c r="BG148" i="1" s="1"/>
  <c r="BG147" i="1" a="1"/>
  <c r="BG147" i="1" s="1"/>
  <c r="BG128" i="1" a="1"/>
  <c r="BG128" i="1" s="1"/>
  <c r="BG129" i="1" a="1"/>
  <c r="BG129" i="1" s="1"/>
  <c r="BG152" i="1" a="1"/>
  <c r="BG152" i="1" s="1"/>
  <c r="BG151" i="1" s="1"/>
  <c r="BG150" i="1" s="1"/>
  <c r="BG130" i="1" a="1"/>
  <c r="BG130" i="1" s="1"/>
  <c r="BG118" i="1" a="1"/>
  <c r="BG118" i="1" s="1"/>
  <c r="BG106" i="1" a="1"/>
  <c r="BG106" i="1" s="1"/>
  <c r="BG131" i="1" a="1"/>
  <c r="BG131" i="1" s="1"/>
  <c r="BG132" i="1" a="1"/>
  <c r="BG132" i="1" s="1"/>
  <c r="BG120" i="1" a="1"/>
  <c r="BG120" i="1" s="1"/>
  <c r="BG133" i="1" a="1"/>
  <c r="BG133" i="1" s="1"/>
  <c r="BG121" i="1" a="1"/>
  <c r="BG121" i="1" s="1"/>
  <c r="BG115" i="1" a="1"/>
  <c r="BG115" i="1" s="1"/>
  <c r="BG134" i="1" a="1"/>
  <c r="BG134" i="1" s="1"/>
  <c r="BG122" i="1" a="1"/>
  <c r="BG122" i="1" s="1"/>
  <c r="BG137" i="1" a="1"/>
  <c r="BG137" i="1" s="1"/>
  <c r="BG135" i="1" a="1"/>
  <c r="BG135" i="1" s="1"/>
  <c r="BG123" i="1" a="1"/>
  <c r="BG123" i="1" s="1"/>
  <c r="BG125" i="1" a="1"/>
  <c r="BG125" i="1" s="1"/>
  <c r="BG126" i="1" a="1"/>
  <c r="BG126" i="1" s="1"/>
  <c r="BG102" i="1" a="1"/>
  <c r="BG102" i="1" s="1"/>
  <c r="BG113" i="1" a="1"/>
  <c r="BG113" i="1" s="1"/>
  <c r="BG110" i="1" a="1"/>
  <c r="BG110" i="1" s="1"/>
  <c r="BG103" i="1" a="1"/>
  <c r="BG103" i="1" s="1"/>
  <c r="BG117" i="1" a="1"/>
  <c r="BG117" i="1" s="1"/>
  <c r="BG107" i="1" a="1"/>
  <c r="BG107" i="1" s="1"/>
  <c r="BG105" i="1" a="1"/>
  <c r="BG105" i="1" s="1"/>
  <c r="BG114" i="1" a="1"/>
  <c r="BG114" i="1" s="1"/>
  <c r="BG124" i="1" a="1"/>
  <c r="BG124" i="1" s="1"/>
  <c r="BG111" i="1" a="1"/>
  <c r="BG111" i="1" s="1"/>
  <c r="BG119" i="1" a="1"/>
  <c r="BG119" i="1" s="1"/>
  <c r="BG116" i="1" a="1"/>
  <c r="BG116" i="1" s="1"/>
  <c r="BG112" i="1" a="1"/>
  <c r="BG112" i="1" s="1"/>
  <c r="BG88" i="1" a="1"/>
  <c r="BG88" i="1" s="1"/>
  <c r="BG84" i="1" a="1"/>
  <c r="BG84" i="1" s="1"/>
  <c r="BG127" i="1" a="1"/>
  <c r="BG127" i="1" s="1"/>
  <c r="BG95" i="1" a="1"/>
  <c r="BG95" i="1" s="1"/>
  <c r="BG89" i="1" a="1"/>
  <c r="BG89" i="1" s="1"/>
  <c r="BG83" i="1" a="1"/>
  <c r="BG83" i="1" s="1"/>
  <c r="BG93" i="1" a="1"/>
  <c r="BG93" i="1" s="1"/>
  <c r="BG90" i="1" a="1"/>
  <c r="BG90" i="1" s="1"/>
  <c r="BG82" i="1" a="1"/>
  <c r="BG82" i="1" s="1"/>
  <c r="BG101" i="1" a="1"/>
  <c r="BG101" i="1" s="1"/>
  <c r="BG92" i="1" a="1"/>
  <c r="BG92" i="1" s="1"/>
  <c r="BG81" i="1" a="1"/>
  <c r="BG81" i="1" s="1"/>
  <c r="BG138" i="1" a="1"/>
  <c r="BG138" i="1" s="1"/>
  <c r="BG80" i="1" a="1"/>
  <c r="BG80" i="1" s="1"/>
  <c r="BG104" i="1" a="1"/>
  <c r="BG104" i="1" s="1"/>
  <c r="BG97" i="1" a="1"/>
  <c r="BG97" i="1" s="1"/>
  <c r="BG91" i="1" a="1"/>
  <c r="BG91" i="1" s="1"/>
  <c r="BG79" i="1" a="1"/>
  <c r="BG79" i="1" s="1"/>
  <c r="BG136" i="1" a="1"/>
  <c r="BG136" i="1" s="1"/>
  <c r="BG98" i="1" a="1"/>
  <c r="BG98" i="1" s="1"/>
  <c r="BG96" i="1" a="1"/>
  <c r="BG96" i="1" s="1"/>
  <c r="BG78" i="1" a="1"/>
  <c r="BG78" i="1" s="1"/>
  <c r="BG99" i="1" a="1"/>
  <c r="BG99" i="1" s="1"/>
  <c r="BG94" i="1" a="1"/>
  <c r="BG94" i="1" s="1"/>
  <c r="BG68" i="1" a="1"/>
  <c r="BG68" i="1" s="1"/>
  <c r="BG56" i="1" a="1"/>
  <c r="BG56" i="1" s="1"/>
  <c r="BG86" i="1" a="1"/>
  <c r="BG86" i="1" s="1"/>
  <c r="BG69" i="1" a="1"/>
  <c r="BG69" i="1" s="1"/>
  <c r="BG57" i="1" a="1"/>
  <c r="BG57" i="1" s="1"/>
  <c r="BG55" i="1" a="1"/>
  <c r="BG55" i="1" s="1"/>
  <c r="BG70" i="1" a="1"/>
  <c r="BG70" i="1" s="1"/>
  <c r="BG58" i="1" a="1"/>
  <c r="BG58" i="1" s="1"/>
  <c r="BG54" i="1" a="1"/>
  <c r="BG54" i="1" s="1"/>
  <c r="BG44" i="1" a="1"/>
  <c r="BG44" i="1" s="1"/>
  <c r="BG87" i="1" a="1"/>
  <c r="BG87" i="1" s="1"/>
  <c r="BG85" i="1" a="1"/>
  <c r="BG85" i="1" s="1"/>
  <c r="BG71" i="1" a="1"/>
  <c r="BG71" i="1" s="1"/>
  <c r="BG59" i="1" a="1"/>
  <c r="BG59" i="1" s="1"/>
  <c r="BG53" i="1" a="1"/>
  <c r="BG53" i="1" s="1"/>
  <c r="BG72" i="1" a="1"/>
  <c r="BG72" i="1" s="1"/>
  <c r="BG60" i="1" a="1"/>
  <c r="BG60" i="1" s="1"/>
  <c r="BG52" i="1" a="1"/>
  <c r="BG52" i="1" s="1"/>
  <c r="BG43" i="1" a="1"/>
  <c r="BG43" i="1" s="1"/>
  <c r="BG73" i="1" a="1"/>
  <c r="BG73" i="1" s="1"/>
  <c r="BG61" i="1" a="1"/>
  <c r="BG61" i="1" s="1"/>
  <c r="BG51" i="1" a="1"/>
  <c r="BG51" i="1" s="1"/>
  <c r="BG100" i="1" a="1"/>
  <c r="BG100" i="1" s="1"/>
  <c r="BG74" i="1" a="1"/>
  <c r="BG74" i="1" s="1"/>
  <c r="BG62" i="1" a="1"/>
  <c r="BG62" i="1" s="1"/>
  <c r="BG50" i="1" a="1"/>
  <c r="BG50" i="1" s="1"/>
  <c r="BG63" i="1" a="1"/>
  <c r="BG63" i="1" s="1"/>
  <c r="BG49" i="1" a="1"/>
  <c r="BG49" i="1" s="1"/>
  <c r="BG64" i="1" a="1"/>
  <c r="BG64" i="1" s="1"/>
  <c r="BG65" i="1" a="1"/>
  <c r="BG65" i="1" s="1"/>
  <c r="BG66" i="1" a="1"/>
  <c r="BG66" i="1" s="1"/>
  <c r="AU31" i="1" a="1"/>
  <c r="AU31" i="1" s="1"/>
  <c r="AH32" i="1" a="1"/>
  <c r="AH32" i="1" s="1"/>
  <c r="AI42" i="1" a="1"/>
  <c r="AI42" i="1" s="1"/>
  <c r="Z149" i="1" a="1"/>
  <c r="Z149" i="1" s="1"/>
  <c r="Z143" i="1" a="1"/>
  <c r="Z143" i="1" s="1"/>
  <c r="Z148" i="1" a="1"/>
  <c r="Z148" i="1" s="1"/>
  <c r="Z147" i="1" a="1"/>
  <c r="Z147" i="1" s="1"/>
  <c r="Z152" i="1" a="1"/>
  <c r="Z152" i="1" s="1"/>
  <c r="Z151" i="1" s="1"/>
  <c r="Z150" i="1" s="1"/>
  <c r="Z156" i="1" a="1"/>
  <c r="Z156" i="1" s="1"/>
  <c r="Z155" i="1" a="1"/>
  <c r="Z155" i="1" s="1"/>
  <c r="Z134" i="1" a="1"/>
  <c r="Z134" i="1" s="1"/>
  <c r="Z122" i="1" a="1"/>
  <c r="Z122" i="1" s="1"/>
  <c r="Z114" i="1" a="1"/>
  <c r="Z114" i="1" s="1"/>
  <c r="Z135" i="1" a="1"/>
  <c r="Z135" i="1" s="1"/>
  <c r="Z123" i="1" a="1"/>
  <c r="Z123" i="1" s="1"/>
  <c r="Z136" i="1" a="1"/>
  <c r="Z136" i="1" s="1"/>
  <c r="Z124" i="1" a="1"/>
  <c r="Z124" i="1" s="1"/>
  <c r="Z112" i="1" a="1"/>
  <c r="Z112" i="1" s="1"/>
  <c r="Z137" i="1" a="1"/>
  <c r="Z137" i="1" s="1"/>
  <c r="Z125" i="1" a="1"/>
  <c r="Z125" i="1" s="1"/>
  <c r="Z126" i="1" a="1"/>
  <c r="Z126" i="1" s="1"/>
  <c r="Z127" i="1" a="1"/>
  <c r="Z127" i="1" s="1"/>
  <c r="Z144" i="1" a="1"/>
  <c r="Z144" i="1" s="1"/>
  <c r="Z128" i="1" a="1"/>
  <c r="Z128" i="1" s="1"/>
  <c r="Z139" i="1" a="1"/>
  <c r="Z139" i="1" s="1"/>
  <c r="Z129" i="1" a="1"/>
  <c r="Z129" i="1" s="1"/>
  <c r="Z131" i="1" a="1"/>
  <c r="Z131" i="1" s="1"/>
  <c r="Z132" i="1" a="1"/>
  <c r="Z132" i="1" s="1"/>
  <c r="Z120" i="1" a="1"/>
  <c r="Z120" i="1" s="1"/>
  <c r="Z116" i="1" a="1"/>
  <c r="Z116" i="1" s="1"/>
  <c r="Z111" i="1" a="1"/>
  <c r="Z111" i="1" s="1"/>
  <c r="Z96" i="1" a="1"/>
  <c r="Z96" i="1" s="1"/>
  <c r="Z121" i="1" a="1"/>
  <c r="Z121" i="1" s="1"/>
  <c r="Z118" i="1" a="1"/>
  <c r="Z118" i="1" s="1"/>
  <c r="Z97" i="1" a="1"/>
  <c r="Z97" i="1" s="1"/>
  <c r="Z99" i="1" a="1"/>
  <c r="Z99" i="1" s="1"/>
  <c r="Z100" i="1" a="1"/>
  <c r="Z100" i="1" s="1"/>
  <c r="Z133" i="1" a="1"/>
  <c r="Z133" i="1" s="1"/>
  <c r="Z115" i="1" a="1"/>
  <c r="Z115" i="1" s="1"/>
  <c r="Z101" i="1" a="1"/>
  <c r="Z101" i="1" s="1"/>
  <c r="Z138" i="1" a="1"/>
  <c r="Z138" i="1" s="1"/>
  <c r="Z130" i="1" a="1"/>
  <c r="Z130" i="1" s="1"/>
  <c r="Z119" i="1" a="1"/>
  <c r="Z119" i="1" s="1"/>
  <c r="Z117" i="1" a="1"/>
  <c r="Z117" i="1" s="1"/>
  <c r="Z110" i="1" a="1"/>
  <c r="Z110" i="1" s="1"/>
  <c r="Z113" i="1" a="1"/>
  <c r="Z113" i="1" s="1"/>
  <c r="Z104" i="1" a="1"/>
  <c r="Z104" i="1" s="1"/>
  <c r="Z93" i="1" a="1"/>
  <c r="Z93" i="1" s="1"/>
  <c r="Z102" i="1" a="1"/>
  <c r="Z102" i="1" s="1"/>
  <c r="Z94" i="1" a="1"/>
  <c r="Z94" i="1" s="1"/>
  <c r="Z92" i="1" a="1"/>
  <c r="Z92" i="1" s="1"/>
  <c r="Z86" i="1" a="1"/>
  <c r="Z86" i="1" s="1"/>
  <c r="Z107" i="1" a="1"/>
  <c r="Z107" i="1" s="1"/>
  <c r="Z87" i="1" a="1"/>
  <c r="Z87" i="1" s="1"/>
  <c r="Z85" i="1" a="1"/>
  <c r="Z85" i="1" s="1"/>
  <c r="Z75" i="1" a="1"/>
  <c r="Z75" i="1" s="1"/>
  <c r="Z88" i="1" a="1"/>
  <c r="Z88" i="1" s="1"/>
  <c r="Z84" i="1" a="1"/>
  <c r="Z84" i="1" s="1"/>
  <c r="Z98" i="1" a="1"/>
  <c r="Z98" i="1" s="1"/>
  <c r="Z89" i="1" a="1"/>
  <c r="Z89" i="1" s="1"/>
  <c r="Z103" i="1" a="1"/>
  <c r="Z103" i="1" s="1"/>
  <c r="Z90" i="1" a="1"/>
  <c r="Z90" i="1" s="1"/>
  <c r="Z105" i="1" a="1"/>
  <c r="Z105" i="1" s="1"/>
  <c r="Z95" i="1" a="1"/>
  <c r="Z95" i="1" s="1"/>
  <c r="Z91" i="1" a="1"/>
  <c r="Z91" i="1" s="1"/>
  <c r="Z81" i="1" a="1"/>
  <c r="Z81" i="1" s="1"/>
  <c r="Z74" i="1" a="1"/>
  <c r="Z74" i="1" s="1"/>
  <c r="Z62" i="1" a="1"/>
  <c r="Z62" i="1" s="1"/>
  <c r="Z50" i="1" a="1"/>
  <c r="Z50" i="1" s="1"/>
  <c r="Z63" i="1" a="1"/>
  <c r="Z63" i="1" s="1"/>
  <c r="Z49" i="1" a="1"/>
  <c r="Z49" i="1" s="1"/>
  <c r="Z64" i="1" a="1"/>
  <c r="Z64" i="1" s="1"/>
  <c r="Z48" i="1" a="1"/>
  <c r="Z48" i="1" s="1"/>
  <c r="Z65" i="1" a="1"/>
  <c r="Z65" i="1" s="1"/>
  <c r="Z66" i="1" a="1"/>
  <c r="Z66" i="1" s="1"/>
  <c r="Z79" i="1" a="1"/>
  <c r="Z79" i="1" s="1"/>
  <c r="Z67" i="1" a="1"/>
  <c r="Z67" i="1" s="1"/>
  <c r="Z82" i="1" a="1"/>
  <c r="Z82" i="1" s="1"/>
  <c r="Z68" i="1" a="1"/>
  <c r="Z68" i="1" s="1"/>
  <c r="Z56" i="1" a="1"/>
  <c r="Z56" i="1" s="1"/>
  <c r="Z83" i="1" a="1"/>
  <c r="Z83" i="1" s="1"/>
  <c r="Z69" i="1" a="1"/>
  <c r="Z69" i="1" s="1"/>
  <c r="Z57" i="1" a="1"/>
  <c r="Z57" i="1" s="1"/>
  <c r="Z55" i="1" a="1"/>
  <c r="Z55" i="1" s="1"/>
  <c r="Z106" i="1" a="1"/>
  <c r="Z106" i="1" s="1"/>
  <c r="Z78" i="1" a="1"/>
  <c r="Z78" i="1" s="1"/>
  <c r="Z70" i="1" a="1"/>
  <c r="Z70" i="1" s="1"/>
  <c r="Z58" i="1" a="1"/>
  <c r="Z58" i="1" s="1"/>
  <c r="Z54" i="1" a="1"/>
  <c r="Z54" i="1" s="1"/>
  <c r="Z71" i="1" a="1"/>
  <c r="Z71" i="1" s="1"/>
  <c r="Z59" i="1" a="1"/>
  <c r="Z59" i="1" s="1"/>
  <c r="Z53" i="1" a="1"/>
  <c r="Z53" i="1" s="1"/>
  <c r="Z72" i="1" a="1"/>
  <c r="Z72" i="1" s="1"/>
  <c r="Z60" i="1" a="1"/>
  <c r="Z60" i="1" s="1"/>
  <c r="AY148" i="1" a="1"/>
  <c r="AY148" i="1" s="1"/>
  <c r="AY147" i="1" a="1"/>
  <c r="AY147" i="1" s="1"/>
  <c r="AY152" i="1" a="1"/>
  <c r="AY152" i="1" s="1"/>
  <c r="AY151" i="1" s="1"/>
  <c r="AY150" i="1" s="1"/>
  <c r="AY137" i="1" a="1"/>
  <c r="AY137" i="1" s="1"/>
  <c r="AY156" i="1" a="1"/>
  <c r="AY156" i="1" s="1"/>
  <c r="AY139" i="1" a="1"/>
  <c r="AY139" i="1" s="1"/>
  <c r="AY155" i="1" a="1"/>
  <c r="AY155" i="1" s="1"/>
  <c r="AY144" i="1" a="1"/>
  <c r="AY144" i="1" s="1"/>
  <c r="AY149" i="1" a="1"/>
  <c r="AY149" i="1" s="1"/>
  <c r="AY136" i="1" a="1"/>
  <c r="AY136" i="1" s="1"/>
  <c r="AY124" i="1" a="1"/>
  <c r="AY124" i="1" s="1"/>
  <c r="AY112" i="1" a="1"/>
  <c r="AY112" i="1" s="1"/>
  <c r="AY125" i="1" a="1"/>
  <c r="AY125" i="1" s="1"/>
  <c r="AY126" i="1" a="1"/>
  <c r="AY126" i="1" s="1"/>
  <c r="AY110" i="1" a="1"/>
  <c r="AY110" i="1" s="1"/>
  <c r="AY127" i="1" a="1"/>
  <c r="AY127" i="1" s="1"/>
  <c r="AY143" i="1" a="1"/>
  <c r="AY143" i="1" s="1"/>
  <c r="AY128" i="1" a="1"/>
  <c r="AY128" i="1" s="1"/>
  <c r="AY129" i="1" a="1"/>
  <c r="AY129" i="1" s="1"/>
  <c r="AY130" i="1" a="1"/>
  <c r="AY130" i="1" s="1"/>
  <c r="AY118" i="1" a="1"/>
  <c r="AY118" i="1" s="1"/>
  <c r="AY131" i="1" a="1"/>
  <c r="AY131" i="1" s="1"/>
  <c r="AY138" i="1" a="1"/>
  <c r="AY138" i="1" s="1"/>
  <c r="AY133" i="1" a="1"/>
  <c r="AY133" i="1" s="1"/>
  <c r="AY121" i="1" a="1"/>
  <c r="AY121" i="1" s="1"/>
  <c r="AY134" i="1" a="1"/>
  <c r="AY134" i="1" s="1"/>
  <c r="AY122" i="1" a="1"/>
  <c r="AY122" i="1" s="1"/>
  <c r="AY117" i="1" a="1"/>
  <c r="AY117" i="1" s="1"/>
  <c r="AY98" i="1" a="1"/>
  <c r="AY98" i="1" s="1"/>
  <c r="AY120" i="1" a="1"/>
  <c r="AY120" i="1" s="1"/>
  <c r="AY99" i="1" a="1"/>
  <c r="AY99" i="1" s="1"/>
  <c r="AY135" i="1" a="1"/>
  <c r="AY135" i="1" s="1"/>
  <c r="AY115" i="1" a="1"/>
  <c r="AY115" i="1" s="1"/>
  <c r="AY113" i="1" a="1"/>
  <c r="AY113" i="1" s="1"/>
  <c r="AY101" i="1" a="1"/>
  <c r="AY101" i="1" s="1"/>
  <c r="AY119" i="1" a="1"/>
  <c r="AY119" i="1" s="1"/>
  <c r="AY102" i="1" a="1"/>
  <c r="AY102" i="1" s="1"/>
  <c r="AY132" i="1" a="1"/>
  <c r="AY132" i="1" s="1"/>
  <c r="AY107" i="1" a="1"/>
  <c r="AY107" i="1" s="1"/>
  <c r="AY103" i="1" a="1"/>
  <c r="AY103" i="1" s="1"/>
  <c r="AY116" i="1" a="1"/>
  <c r="AY116" i="1" s="1"/>
  <c r="AY114" i="1" a="1"/>
  <c r="AY114" i="1" s="1"/>
  <c r="AY111" i="1" a="1"/>
  <c r="AY111" i="1" s="1"/>
  <c r="AY105" i="1" a="1"/>
  <c r="AY105" i="1" s="1"/>
  <c r="AY123" i="1" a="1"/>
  <c r="AY123" i="1" s="1"/>
  <c r="AY104" i="1" a="1"/>
  <c r="AY104" i="1" s="1"/>
  <c r="AY86" i="1" a="1"/>
  <c r="AY86" i="1" s="1"/>
  <c r="AY95" i="1" a="1"/>
  <c r="AY95" i="1" s="1"/>
  <c r="AY87" i="1" a="1"/>
  <c r="AY87" i="1" s="1"/>
  <c r="AY85" i="1" a="1"/>
  <c r="AY85" i="1" s="1"/>
  <c r="AY106" i="1" a="1"/>
  <c r="AY106" i="1" s="1"/>
  <c r="AY93" i="1" a="1"/>
  <c r="AY93" i="1" s="1"/>
  <c r="AY88" i="1" a="1"/>
  <c r="AY88" i="1" s="1"/>
  <c r="AY84" i="1" a="1"/>
  <c r="AY84" i="1" s="1"/>
  <c r="AY89" i="1" a="1"/>
  <c r="AY89" i="1" s="1"/>
  <c r="AY83" i="1" a="1"/>
  <c r="AY83" i="1" s="1"/>
  <c r="AY97" i="1" a="1"/>
  <c r="AY97" i="1" s="1"/>
  <c r="AY92" i="1" a="1"/>
  <c r="AY92" i="1" s="1"/>
  <c r="AY90" i="1" a="1"/>
  <c r="AY90" i="1" s="1"/>
  <c r="AY82" i="1" a="1"/>
  <c r="AY82" i="1" s="1"/>
  <c r="AY100" i="1" a="1"/>
  <c r="AY100" i="1" s="1"/>
  <c r="AY96" i="1" a="1"/>
  <c r="AY96" i="1" s="1"/>
  <c r="AY91" i="1" a="1"/>
  <c r="AY91" i="1" s="1"/>
  <c r="AY79" i="1" a="1"/>
  <c r="AY79" i="1" s="1"/>
  <c r="AY64" i="1" a="1"/>
  <c r="AY64" i="1" s="1"/>
  <c r="AY48" i="1" a="1"/>
  <c r="AY48" i="1" s="1"/>
  <c r="AY75" i="1" a="1"/>
  <c r="AY75" i="1" s="1"/>
  <c r="AY65" i="1" a="1"/>
  <c r="AY65" i="1" s="1"/>
  <c r="AY66" i="1" a="1"/>
  <c r="AY66" i="1" s="1"/>
  <c r="AY81" i="1" a="1"/>
  <c r="AY81" i="1" s="1"/>
  <c r="AY67" i="1" a="1"/>
  <c r="AY67" i="1" s="1"/>
  <c r="AY68" i="1" a="1"/>
  <c r="AY68" i="1" s="1"/>
  <c r="AY56" i="1" a="1"/>
  <c r="AY56" i="1" s="1"/>
  <c r="AY94" i="1" a="1"/>
  <c r="AY94" i="1" s="1"/>
  <c r="AY69" i="1" a="1"/>
  <c r="AY69" i="1" s="1"/>
  <c r="AY57" i="1" a="1"/>
  <c r="AY57" i="1" s="1"/>
  <c r="AY55" i="1" a="1"/>
  <c r="AY55" i="1" s="1"/>
  <c r="AY80" i="1" a="1"/>
  <c r="AY80" i="1" s="1"/>
  <c r="AY70" i="1" a="1"/>
  <c r="AY70" i="1" s="1"/>
  <c r="AY58" i="1" a="1"/>
  <c r="AY58" i="1" s="1"/>
  <c r="AY54" i="1" a="1"/>
  <c r="AY54" i="1" s="1"/>
  <c r="AY71" i="1" a="1"/>
  <c r="AY71" i="1" s="1"/>
  <c r="AY59" i="1" a="1"/>
  <c r="AY59" i="1" s="1"/>
  <c r="AY53" i="1" a="1"/>
  <c r="AY53" i="1" s="1"/>
  <c r="AY72" i="1" a="1"/>
  <c r="AY72" i="1" s="1"/>
  <c r="AY60" i="1" a="1"/>
  <c r="AY60" i="1" s="1"/>
  <c r="AY52" i="1" a="1"/>
  <c r="AY52" i="1" s="1"/>
  <c r="AY73" i="1" a="1"/>
  <c r="AY73" i="1" s="1"/>
  <c r="AY61" i="1" a="1"/>
  <c r="AY61" i="1" s="1"/>
  <c r="AY51" i="1" a="1"/>
  <c r="AY51" i="1" s="1"/>
  <c r="AY74" i="1" a="1"/>
  <c r="AY74" i="1" s="1"/>
  <c r="AY62" i="1" a="1"/>
  <c r="AY62" i="1" s="1"/>
  <c r="BN156" i="1" a="1"/>
  <c r="BN156" i="1" s="1"/>
  <c r="BN139" i="1" a="1"/>
  <c r="BN139" i="1" s="1"/>
  <c r="BN155" i="1" a="1"/>
  <c r="BN155" i="1" s="1"/>
  <c r="BN144" i="1" a="1"/>
  <c r="BN144" i="1" s="1"/>
  <c r="BN149" i="1" a="1"/>
  <c r="BN149" i="1" s="1"/>
  <c r="BN143" i="1" a="1"/>
  <c r="BN143" i="1" s="1"/>
  <c r="BN148" i="1" a="1"/>
  <c r="BN148" i="1" s="1"/>
  <c r="BN147" i="1" a="1"/>
  <c r="BN147" i="1" s="1"/>
  <c r="BN152" i="1" a="1"/>
  <c r="BN152" i="1" s="1"/>
  <c r="BN151" i="1" s="1"/>
  <c r="BN150" i="1" s="1"/>
  <c r="BN130" i="1" a="1"/>
  <c r="BN130" i="1" s="1"/>
  <c r="BN118" i="1" a="1"/>
  <c r="BN118" i="1" s="1"/>
  <c r="BN106" i="1" a="1"/>
  <c r="BN106" i="1" s="1"/>
  <c r="BN138" i="1" a="1"/>
  <c r="BN138" i="1" s="1"/>
  <c r="BN131" i="1" a="1"/>
  <c r="BN131" i="1" s="1"/>
  <c r="BN119" i="1" a="1"/>
  <c r="BN119" i="1" s="1"/>
  <c r="BN117" i="1" a="1"/>
  <c r="BN117" i="1" s="1"/>
  <c r="BN132" i="1" a="1"/>
  <c r="BN132" i="1" s="1"/>
  <c r="BN120" i="1" a="1"/>
  <c r="BN120" i="1" s="1"/>
  <c r="BN116" i="1" a="1"/>
  <c r="BN116" i="1" s="1"/>
  <c r="BN133" i="1" a="1"/>
  <c r="BN133" i="1" s="1"/>
  <c r="BN134" i="1" a="1"/>
  <c r="BN134" i="1" s="1"/>
  <c r="BN122" i="1" a="1"/>
  <c r="BN122" i="1" s="1"/>
  <c r="BN135" i="1" a="1"/>
  <c r="BN135" i="1" s="1"/>
  <c r="BN123" i="1" a="1"/>
  <c r="BN123" i="1" s="1"/>
  <c r="BN136" i="1" a="1"/>
  <c r="BN136" i="1" s="1"/>
  <c r="BN124" i="1" a="1"/>
  <c r="BN124" i="1" s="1"/>
  <c r="BN125" i="1" a="1"/>
  <c r="BN125" i="1" s="1"/>
  <c r="BN127" i="1" a="1"/>
  <c r="BN127" i="1" s="1"/>
  <c r="BN128" i="1" a="1"/>
  <c r="BN128" i="1" s="1"/>
  <c r="BN104" i="1" a="1"/>
  <c r="BN104" i="1" s="1"/>
  <c r="BN92" i="1" a="1"/>
  <c r="BN92" i="1" s="1"/>
  <c r="BN137" i="1" a="1"/>
  <c r="BN137" i="1" s="1"/>
  <c r="BN113" i="1" a="1"/>
  <c r="BN113" i="1" s="1"/>
  <c r="BN110" i="1" a="1"/>
  <c r="BN110" i="1" s="1"/>
  <c r="BN105" i="1" a="1"/>
  <c r="BN105" i="1" s="1"/>
  <c r="BN93" i="1" a="1"/>
  <c r="BN93" i="1" s="1"/>
  <c r="BN129" i="1" a="1"/>
  <c r="BN129" i="1" s="1"/>
  <c r="BN114" i="1" a="1"/>
  <c r="BN114" i="1" s="1"/>
  <c r="BN107" i="1" a="1"/>
  <c r="BN107" i="1" s="1"/>
  <c r="BN126" i="1" a="1"/>
  <c r="BN126" i="1" s="1"/>
  <c r="BN115" i="1" a="1"/>
  <c r="BN115" i="1" s="1"/>
  <c r="BN111" i="1" a="1"/>
  <c r="BN111" i="1" s="1"/>
  <c r="BN100" i="1" a="1"/>
  <c r="BN100" i="1" s="1"/>
  <c r="BN112" i="1" a="1"/>
  <c r="BN112" i="1" s="1"/>
  <c r="BN102" i="1" a="1"/>
  <c r="BN102" i="1" s="1"/>
  <c r="BN90" i="1" a="1"/>
  <c r="BN90" i="1" s="1"/>
  <c r="BN82" i="1" a="1"/>
  <c r="BN82" i="1" s="1"/>
  <c r="BN121" i="1" a="1"/>
  <c r="BN121" i="1" s="1"/>
  <c r="BN95" i="1" a="1"/>
  <c r="BN95" i="1" s="1"/>
  <c r="BN81" i="1" a="1"/>
  <c r="BN81" i="1" s="1"/>
  <c r="BN80" i="1" a="1"/>
  <c r="BN80" i="1" s="1"/>
  <c r="BN79" i="1" a="1"/>
  <c r="BN79" i="1" s="1"/>
  <c r="BN78" i="1" a="1"/>
  <c r="BN78" i="1" s="1"/>
  <c r="BN103" i="1" a="1"/>
  <c r="BN103" i="1" s="1"/>
  <c r="BN91" i="1" a="1"/>
  <c r="BN91" i="1" s="1"/>
  <c r="BN97" i="1" a="1"/>
  <c r="BN97" i="1" s="1"/>
  <c r="BN96" i="1" a="1"/>
  <c r="BN96" i="1" s="1"/>
  <c r="BN101" i="1" a="1"/>
  <c r="BN101" i="1" s="1"/>
  <c r="BN98" i="1" a="1"/>
  <c r="BN98" i="1" s="1"/>
  <c r="BN94" i="1" a="1"/>
  <c r="BN94" i="1" s="1"/>
  <c r="BN86" i="1" a="1"/>
  <c r="BN86" i="1" s="1"/>
  <c r="BN87" i="1" a="1"/>
  <c r="BN87" i="1" s="1"/>
  <c r="BN85" i="1" a="1"/>
  <c r="BN85" i="1" s="1"/>
  <c r="BN75" i="1" a="1"/>
  <c r="BN75" i="1" s="1"/>
  <c r="BN83" i="1" a="1"/>
  <c r="BN83" i="1" s="1"/>
  <c r="BN70" i="1" a="1"/>
  <c r="BN70" i="1" s="1"/>
  <c r="BN58" i="1" a="1"/>
  <c r="BN58" i="1" s="1"/>
  <c r="BN54" i="1" a="1"/>
  <c r="BN54" i="1" s="1"/>
  <c r="BN44" i="1" a="1"/>
  <c r="BN44" i="1" s="1"/>
  <c r="BN71" i="1" a="1"/>
  <c r="BN71" i="1" s="1"/>
  <c r="BN59" i="1" a="1"/>
  <c r="BN59" i="1" s="1"/>
  <c r="BN53" i="1" a="1"/>
  <c r="BN53" i="1" s="1"/>
  <c r="BN88" i="1" a="1"/>
  <c r="BN88" i="1" s="1"/>
  <c r="BN72" i="1" a="1"/>
  <c r="BN72" i="1" s="1"/>
  <c r="BN60" i="1" a="1"/>
  <c r="BN60" i="1" s="1"/>
  <c r="BN52" i="1" a="1"/>
  <c r="BN52" i="1" s="1"/>
  <c r="BN43" i="1" a="1"/>
  <c r="BN43" i="1" s="1"/>
  <c r="BN73" i="1" a="1"/>
  <c r="BN73" i="1" s="1"/>
  <c r="BN61" i="1" a="1"/>
  <c r="BN61" i="1" s="1"/>
  <c r="BN51" i="1" a="1"/>
  <c r="BN51" i="1" s="1"/>
  <c r="BN89" i="1" a="1"/>
  <c r="BN89" i="1" s="1"/>
  <c r="BN62" i="1" a="1"/>
  <c r="BN62" i="1" s="1"/>
  <c r="BN50" i="1" a="1"/>
  <c r="BN50" i="1" s="1"/>
  <c r="BN99" i="1" a="1"/>
  <c r="BN99" i="1" s="1"/>
  <c r="BN63" i="1" a="1"/>
  <c r="BN63" i="1" s="1"/>
  <c r="BN49" i="1" a="1"/>
  <c r="BN49" i="1" s="1"/>
  <c r="BN74" i="1" a="1"/>
  <c r="BN74" i="1" s="1"/>
  <c r="BN64" i="1" a="1"/>
  <c r="BN64" i="1" s="1"/>
  <c r="BN48" i="1" a="1"/>
  <c r="BN48" i="1" s="1"/>
  <c r="BN65" i="1" a="1"/>
  <c r="BN65" i="1" s="1"/>
  <c r="BN66" i="1" a="1"/>
  <c r="BN66" i="1" s="1"/>
  <c r="BN67" i="1" a="1"/>
  <c r="BN67" i="1" s="1"/>
  <c r="BN68" i="1" a="1"/>
  <c r="BN68" i="1" s="1"/>
  <c r="BN56" i="1" a="1"/>
  <c r="BN56" i="1" s="1"/>
  <c r="Q15" i="1" a="1"/>
  <c r="Q15" i="1" s="1"/>
  <c r="W15" i="1" a="1"/>
  <c r="W15" i="1" s="1"/>
  <c r="AC15" i="1" a="1"/>
  <c r="AC15" i="1" s="1"/>
  <c r="AI15" i="1" a="1"/>
  <c r="AI15" i="1" s="1"/>
  <c r="AO15" i="1" a="1"/>
  <c r="AO15" i="1" s="1"/>
  <c r="AU15" i="1" a="1"/>
  <c r="AU15" i="1" s="1"/>
  <c r="BA15" i="1" a="1"/>
  <c r="BA15" i="1" s="1"/>
  <c r="BG15" i="1" a="1"/>
  <c r="BG15" i="1" s="1"/>
  <c r="BM15" i="1" a="1"/>
  <c r="BM15" i="1" s="1"/>
  <c r="R17" i="1" a="1"/>
  <c r="R17" i="1" s="1"/>
  <c r="AJ17" i="1" a="1"/>
  <c r="AJ17" i="1" s="1"/>
  <c r="AV17" i="1" a="1"/>
  <c r="AV17" i="1" s="1"/>
  <c r="BH17" i="1" a="1"/>
  <c r="BH17" i="1" s="1"/>
  <c r="BN17" i="1" a="1"/>
  <c r="BN17" i="1" s="1"/>
  <c r="T21" i="1" a="1"/>
  <c r="T21" i="1" s="1"/>
  <c r="T20" i="1" s="1"/>
  <c r="Z21" i="1" a="1"/>
  <c r="Z21" i="1" s="1"/>
  <c r="Z20" i="1" s="1"/>
  <c r="AF21" i="1" a="1"/>
  <c r="AF21" i="1" s="1"/>
  <c r="AF20" i="1" s="1"/>
  <c r="AL21" i="1" a="1"/>
  <c r="AL21" i="1" s="1"/>
  <c r="AL20" i="1" s="1"/>
  <c r="AR21" i="1" a="1"/>
  <c r="AR21" i="1" s="1"/>
  <c r="AR20" i="1" s="1"/>
  <c r="AX21" i="1" a="1"/>
  <c r="AX21" i="1" s="1"/>
  <c r="AX20" i="1" s="1"/>
  <c r="BD21" i="1" a="1"/>
  <c r="BD21" i="1" s="1"/>
  <c r="BD20" i="1" s="1"/>
  <c r="BJ21" i="1" a="1"/>
  <c r="BJ21" i="1" s="1"/>
  <c r="BJ20" i="1" s="1"/>
  <c r="U25" i="1" a="1"/>
  <c r="U25" i="1" s="1"/>
  <c r="U24" i="1" s="1"/>
  <c r="AA25" i="1" a="1"/>
  <c r="AA25" i="1" s="1"/>
  <c r="AA24" i="1" s="1"/>
  <c r="AG25" i="1" a="1"/>
  <c r="AG25" i="1" s="1"/>
  <c r="AG24" i="1" s="1"/>
  <c r="AM25" i="1" a="1"/>
  <c r="AM25" i="1" s="1"/>
  <c r="AM24" i="1" s="1"/>
  <c r="AS25" i="1" a="1"/>
  <c r="AS25" i="1" s="1"/>
  <c r="AS24" i="1" s="1"/>
  <c r="AY25" i="1" a="1"/>
  <c r="AY25" i="1" s="1"/>
  <c r="AY24" i="1" s="1"/>
  <c r="BE25" i="1" a="1"/>
  <c r="BE25" i="1" s="1"/>
  <c r="BE24" i="1" s="1"/>
  <c r="BK25" i="1" a="1"/>
  <c r="BK25" i="1" s="1"/>
  <c r="BK24" i="1" s="1"/>
  <c r="W35" i="1" a="1"/>
  <c r="W35" i="1" s="1"/>
  <c r="AC35" i="1" a="1"/>
  <c r="AC35" i="1" s="1"/>
  <c r="AI35" i="1" a="1"/>
  <c r="AI35" i="1" s="1"/>
  <c r="AO35" i="1" a="1"/>
  <c r="AO35" i="1" s="1"/>
  <c r="AU35" i="1" a="1"/>
  <c r="AU35" i="1" s="1"/>
  <c r="BA35" i="1" a="1"/>
  <c r="BA35" i="1" s="1"/>
  <c r="BG35" i="1" a="1"/>
  <c r="BG35" i="1" s="1"/>
  <c r="BM35" i="1" a="1"/>
  <c r="BM35" i="1" s="1"/>
  <c r="W38" i="1" a="1"/>
  <c r="W38" i="1" s="1"/>
  <c r="AC38" i="1" a="1"/>
  <c r="AC38" i="1" s="1"/>
  <c r="AI38" i="1" a="1"/>
  <c r="AI38" i="1" s="1"/>
  <c r="AO38" i="1" a="1"/>
  <c r="AO38" i="1" s="1"/>
  <c r="AU38" i="1" a="1"/>
  <c r="AU38" i="1" s="1"/>
  <c r="BA38" i="1" a="1"/>
  <c r="BA38" i="1" s="1"/>
  <c r="BG38" i="1" a="1"/>
  <c r="BG38" i="1" s="1"/>
  <c r="BM38" i="1" a="1"/>
  <c r="BM38" i="1" s="1"/>
  <c r="V39" i="1" a="1"/>
  <c r="V39" i="1" s="1"/>
  <c r="AB39" i="1" a="1"/>
  <c r="AB39" i="1" s="1"/>
  <c r="AH39" i="1" a="1"/>
  <c r="AH39" i="1" s="1"/>
  <c r="AN39" i="1" a="1"/>
  <c r="AN39" i="1" s="1"/>
  <c r="AT39" i="1" a="1"/>
  <c r="AT39" i="1" s="1"/>
  <c r="AZ39" i="1" a="1"/>
  <c r="AZ39" i="1" s="1"/>
  <c r="BL39" i="1" a="1"/>
  <c r="BL39" i="1" s="1"/>
  <c r="Z42" i="1" a="1"/>
  <c r="Z42" i="1" s="1"/>
  <c r="AM42" i="1" a="1"/>
  <c r="AM42" i="1" s="1"/>
  <c r="AZ42" i="1" a="1"/>
  <c r="AZ42" i="1" s="1"/>
  <c r="BG42" i="1" a="1"/>
  <c r="BG42" i="1" s="1"/>
  <c r="Z43" i="1" a="1"/>
  <c r="Z43" i="1" s="1"/>
  <c r="AH43" i="1" a="1"/>
  <c r="AH43" i="1" s="1"/>
  <c r="AR43" i="1" a="1"/>
  <c r="AR43" i="1" s="1"/>
  <c r="BC43" i="1" a="1"/>
  <c r="BC43" i="1" s="1"/>
  <c r="AE44" i="1" a="1"/>
  <c r="AE44" i="1" s="1"/>
  <c r="AH49" i="1" a="1"/>
  <c r="AH49" i="1" s="1"/>
  <c r="BE49" i="1" a="1"/>
  <c r="BE49" i="1" s="1"/>
  <c r="AK54" i="1" a="1"/>
  <c r="AK54" i="1" s="1"/>
  <c r="BN55" i="1" a="1"/>
  <c r="BN55" i="1" s="1"/>
  <c r="AJ57" i="1" a="1"/>
  <c r="AJ57" i="1" s="1"/>
  <c r="Y59" i="1" a="1"/>
  <c r="Y59" i="1" s="1"/>
  <c r="T61" i="1" a="1"/>
  <c r="T61" i="1" s="1"/>
  <c r="BA67" i="1" a="1"/>
  <c r="BA67" i="1" s="1"/>
  <c r="AJ69" i="1" a="1"/>
  <c r="AJ69" i="1" s="1"/>
  <c r="Y71" i="1" a="1"/>
  <c r="Y71" i="1" s="1"/>
  <c r="T73" i="1" a="1"/>
  <c r="T73" i="1" s="1"/>
  <c r="BN84" i="1" a="1"/>
  <c r="BN84" i="1" s="1"/>
  <c r="BF147" i="1" a="1"/>
  <c r="BF147" i="1" s="1"/>
  <c r="BF152" i="1" a="1"/>
  <c r="BF152" i="1" s="1"/>
  <c r="BF151" i="1" s="1"/>
  <c r="BF150" i="1" s="1"/>
  <c r="BF156" i="1" a="1"/>
  <c r="BF156" i="1" s="1"/>
  <c r="BF138" i="1" a="1"/>
  <c r="BF138" i="1" s="1"/>
  <c r="BF139" i="1" a="1"/>
  <c r="BF139" i="1" s="1"/>
  <c r="BF155" i="1" a="1"/>
  <c r="BF155" i="1" s="1"/>
  <c r="BF144" i="1" a="1"/>
  <c r="BF144" i="1" s="1"/>
  <c r="BF149" i="1" a="1"/>
  <c r="BF149" i="1" s="1"/>
  <c r="BF143" i="1" a="1"/>
  <c r="BF143" i="1" s="1"/>
  <c r="BF148" i="1" a="1"/>
  <c r="BF148" i="1" s="1"/>
  <c r="BF126" i="1" a="1"/>
  <c r="BF126" i="1" s="1"/>
  <c r="BF110" i="1" a="1"/>
  <c r="BF110" i="1" s="1"/>
  <c r="BF127" i="1" a="1"/>
  <c r="BF127" i="1" s="1"/>
  <c r="BF128" i="1" a="1"/>
  <c r="BF128" i="1" s="1"/>
  <c r="BF129" i="1" a="1"/>
  <c r="BF129" i="1" s="1"/>
  <c r="BF130" i="1" a="1"/>
  <c r="BF130" i="1" s="1"/>
  <c r="BF118" i="1" a="1"/>
  <c r="BF118" i="1" s="1"/>
  <c r="BF131" i="1" a="1"/>
  <c r="BF131" i="1" s="1"/>
  <c r="BF119" i="1" a="1"/>
  <c r="BF119" i="1" s="1"/>
  <c r="BF117" i="1" a="1"/>
  <c r="BF117" i="1" s="1"/>
  <c r="BF132" i="1" a="1"/>
  <c r="BF132" i="1" s="1"/>
  <c r="BF120" i="1" a="1"/>
  <c r="BF120" i="1" s="1"/>
  <c r="BF116" i="1" a="1"/>
  <c r="BF116" i="1" s="1"/>
  <c r="BF133" i="1" a="1"/>
  <c r="BF133" i="1" s="1"/>
  <c r="BF137" i="1" a="1"/>
  <c r="BF137" i="1" s="1"/>
  <c r="BF135" i="1" a="1"/>
  <c r="BF135" i="1" s="1"/>
  <c r="BF123" i="1" a="1"/>
  <c r="BF123" i="1" s="1"/>
  <c r="BF136" i="1" a="1"/>
  <c r="BF136" i="1" s="1"/>
  <c r="BF124" i="1" a="1"/>
  <c r="BF124" i="1" s="1"/>
  <c r="BF100" i="1" a="1"/>
  <c r="BF100" i="1" s="1"/>
  <c r="BF101" i="1" a="1"/>
  <c r="BF101" i="1" s="1"/>
  <c r="BF121" i="1" a="1"/>
  <c r="BF121" i="1" s="1"/>
  <c r="BF113" i="1" a="1"/>
  <c r="BF113" i="1" s="1"/>
  <c r="BF103" i="1" a="1"/>
  <c r="BF103" i="1" s="1"/>
  <c r="BF115" i="1" a="1"/>
  <c r="BF115" i="1" s="1"/>
  <c r="BF104" i="1" a="1"/>
  <c r="BF104" i="1" s="1"/>
  <c r="BF107" i="1" a="1"/>
  <c r="BF107" i="1" s="1"/>
  <c r="BF105" i="1" a="1"/>
  <c r="BF105" i="1" s="1"/>
  <c r="BF114" i="1" a="1"/>
  <c r="BF114" i="1" s="1"/>
  <c r="BF122" i="1" a="1"/>
  <c r="BF122" i="1" s="1"/>
  <c r="BF134" i="1" a="1"/>
  <c r="BF134" i="1" s="1"/>
  <c r="BF125" i="1" a="1"/>
  <c r="BF125" i="1" s="1"/>
  <c r="BF111" i="1" a="1"/>
  <c r="BF111" i="1" s="1"/>
  <c r="BF86" i="1" a="1"/>
  <c r="BF86" i="1" s="1"/>
  <c r="BF87" i="1" a="1"/>
  <c r="BF87" i="1" s="1"/>
  <c r="BF85" i="1" a="1"/>
  <c r="BF85" i="1" s="1"/>
  <c r="BF88" i="1" a="1"/>
  <c r="BF88" i="1" s="1"/>
  <c r="BF84" i="1" a="1"/>
  <c r="BF84" i="1" s="1"/>
  <c r="BF95" i="1" a="1"/>
  <c r="BF95" i="1" s="1"/>
  <c r="BF89" i="1" a="1"/>
  <c r="BF89" i="1" s="1"/>
  <c r="BF83" i="1" a="1"/>
  <c r="BF83" i="1" s="1"/>
  <c r="BF93" i="1" a="1"/>
  <c r="BF93" i="1" s="1"/>
  <c r="BF90" i="1" a="1"/>
  <c r="BF90" i="1" s="1"/>
  <c r="BF82" i="1" a="1"/>
  <c r="BF82" i="1" s="1"/>
  <c r="BF92" i="1" a="1"/>
  <c r="BF92" i="1" s="1"/>
  <c r="BF81" i="1" a="1"/>
  <c r="BF81" i="1" s="1"/>
  <c r="BF80" i="1" a="1"/>
  <c r="BF80" i="1" s="1"/>
  <c r="BF97" i="1" a="1"/>
  <c r="BF97" i="1" s="1"/>
  <c r="BF91" i="1" a="1"/>
  <c r="BF91" i="1" s="1"/>
  <c r="BF102" i="1" a="1"/>
  <c r="BF102" i="1" s="1"/>
  <c r="BF98" i="1" a="1"/>
  <c r="BF98" i="1" s="1"/>
  <c r="BF96" i="1" a="1"/>
  <c r="BF96" i="1" s="1"/>
  <c r="BF112" i="1" a="1"/>
  <c r="BF112" i="1" s="1"/>
  <c r="BF99" i="1" a="1"/>
  <c r="BF99" i="1" s="1"/>
  <c r="BF66" i="1" a="1"/>
  <c r="BF66" i="1" s="1"/>
  <c r="BF75" i="1" a="1"/>
  <c r="BF75" i="1" s="1"/>
  <c r="BF67" i="1" a="1"/>
  <c r="BF67" i="1" s="1"/>
  <c r="BF68" i="1" a="1"/>
  <c r="BF68" i="1" s="1"/>
  <c r="BF56" i="1" a="1"/>
  <c r="BF56" i="1" s="1"/>
  <c r="BF106" i="1" a="1"/>
  <c r="BF106" i="1" s="1"/>
  <c r="BF94" i="1" a="1"/>
  <c r="BF94" i="1" s="1"/>
  <c r="BF78" i="1" a="1"/>
  <c r="BF78" i="1" s="1"/>
  <c r="BF69" i="1" a="1"/>
  <c r="BF69" i="1" s="1"/>
  <c r="BF57" i="1" a="1"/>
  <c r="BF57" i="1" s="1"/>
  <c r="BF55" i="1" a="1"/>
  <c r="BF55" i="1" s="1"/>
  <c r="BF79" i="1" a="1"/>
  <c r="BF79" i="1" s="1"/>
  <c r="BF70" i="1" a="1"/>
  <c r="BF70" i="1" s="1"/>
  <c r="BF58" i="1" a="1"/>
  <c r="BF58" i="1" s="1"/>
  <c r="BF54" i="1" a="1"/>
  <c r="BF54" i="1" s="1"/>
  <c r="BF44" i="1" a="1"/>
  <c r="BF44" i="1" s="1"/>
  <c r="BF71" i="1" a="1"/>
  <c r="BF71" i="1" s="1"/>
  <c r="BF59" i="1" a="1"/>
  <c r="BF59" i="1" s="1"/>
  <c r="BF53" i="1" a="1"/>
  <c r="BF53" i="1" s="1"/>
  <c r="BF72" i="1" a="1"/>
  <c r="BF72" i="1" s="1"/>
  <c r="BF60" i="1" a="1"/>
  <c r="BF60" i="1" s="1"/>
  <c r="BF52" i="1" a="1"/>
  <c r="BF52" i="1" s="1"/>
  <c r="BF73" i="1" a="1"/>
  <c r="BF73" i="1" s="1"/>
  <c r="BF61" i="1" a="1"/>
  <c r="BF61" i="1" s="1"/>
  <c r="BF51" i="1" a="1"/>
  <c r="BF51" i="1" s="1"/>
  <c r="BF74" i="1" a="1"/>
  <c r="BF74" i="1" s="1"/>
  <c r="BF62" i="1" a="1"/>
  <c r="BF62" i="1" s="1"/>
  <c r="BF50" i="1" a="1"/>
  <c r="BF50" i="1" s="1"/>
  <c r="BF63" i="1" a="1"/>
  <c r="BF63" i="1" s="1"/>
  <c r="BF49" i="1" a="1"/>
  <c r="BF49" i="1" s="1"/>
  <c r="BF64" i="1" a="1"/>
  <c r="BF64" i="1" s="1"/>
  <c r="BG31" i="1" a="1"/>
  <c r="BG31" i="1" s="1"/>
  <c r="BF32" i="1" a="1"/>
  <c r="BF32" i="1" s="1"/>
  <c r="V37" i="1" a="1"/>
  <c r="V37" i="1" s="1"/>
  <c r="V42" i="1" a="1"/>
  <c r="V42" i="1" s="1"/>
  <c r="X156" i="1" a="1"/>
  <c r="X156" i="1" s="1"/>
  <c r="X155" i="1" a="1"/>
  <c r="X155" i="1" s="1"/>
  <c r="X144" i="1" a="1"/>
  <c r="X144" i="1" s="1"/>
  <c r="X149" i="1" a="1"/>
  <c r="X149" i="1" s="1"/>
  <c r="X143" i="1" a="1"/>
  <c r="X143" i="1" s="1"/>
  <c r="X148" i="1" a="1"/>
  <c r="X148" i="1" s="1"/>
  <c r="X147" i="1" a="1"/>
  <c r="X147" i="1" s="1"/>
  <c r="X152" i="1" a="1"/>
  <c r="X152" i="1" s="1"/>
  <c r="X151" i="1" s="1"/>
  <c r="X150" i="1" s="1"/>
  <c r="X130" i="1" a="1"/>
  <c r="X130" i="1" s="1"/>
  <c r="X118" i="1" a="1"/>
  <c r="X118" i="1" s="1"/>
  <c r="X131" i="1" a="1"/>
  <c r="X131" i="1" s="1"/>
  <c r="X119" i="1" a="1"/>
  <c r="X119" i="1" s="1"/>
  <c r="X117" i="1" a="1"/>
  <c r="X117" i="1" s="1"/>
  <c r="X138" i="1" a="1"/>
  <c r="X138" i="1" s="1"/>
  <c r="X132" i="1" a="1"/>
  <c r="X132" i="1" s="1"/>
  <c r="X120" i="1" a="1"/>
  <c r="X120" i="1" s="1"/>
  <c r="X116" i="1" a="1"/>
  <c r="X116" i="1" s="1"/>
  <c r="X133" i="1" a="1"/>
  <c r="X133" i="1" s="1"/>
  <c r="X134" i="1" a="1"/>
  <c r="X134" i="1" s="1"/>
  <c r="X122" i="1" a="1"/>
  <c r="X122" i="1" s="1"/>
  <c r="X135" i="1" a="1"/>
  <c r="X135" i="1" s="1"/>
  <c r="X123" i="1" a="1"/>
  <c r="X123" i="1" s="1"/>
  <c r="X136" i="1" a="1"/>
  <c r="X136" i="1" s="1"/>
  <c r="X124" i="1" a="1"/>
  <c r="X124" i="1" s="1"/>
  <c r="X137" i="1" a="1"/>
  <c r="X137" i="1" s="1"/>
  <c r="X125" i="1" a="1"/>
  <c r="X125" i="1" s="1"/>
  <c r="X127" i="1" a="1"/>
  <c r="X127" i="1" s="1"/>
  <c r="X139" i="1" a="1"/>
  <c r="X139" i="1" s="1"/>
  <c r="X128" i="1" a="1"/>
  <c r="X128" i="1" s="1"/>
  <c r="X104" i="1" a="1"/>
  <c r="X104" i="1" s="1"/>
  <c r="X92" i="1" a="1"/>
  <c r="X92" i="1" s="1"/>
  <c r="X105" i="1" a="1"/>
  <c r="X105" i="1" s="1"/>
  <c r="X121" i="1" a="1"/>
  <c r="X121" i="1" s="1"/>
  <c r="X114" i="1" a="1"/>
  <c r="X114" i="1" s="1"/>
  <c r="X111" i="1" a="1"/>
  <c r="X111" i="1" s="1"/>
  <c r="X129" i="1" a="1"/>
  <c r="X129" i="1" s="1"/>
  <c r="X115" i="1" a="1"/>
  <c r="X115" i="1" s="1"/>
  <c r="X112" i="1" a="1"/>
  <c r="X112" i="1" s="1"/>
  <c r="X126" i="1" a="1"/>
  <c r="X126" i="1" s="1"/>
  <c r="X100" i="1" a="1"/>
  <c r="X100" i="1" s="1"/>
  <c r="X90" i="1" a="1"/>
  <c r="X90" i="1" s="1"/>
  <c r="X82" i="1" a="1"/>
  <c r="X82" i="1" s="1"/>
  <c r="X110" i="1" a="1"/>
  <c r="X110" i="1" s="1"/>
  <c r="X106" i="1" a="1"/>
  <c r="X106" i="1" s="1"/>
  <c r="X101" i="1" a="1"/>
  <c r="X101" i="1" s="1"/>
  <c r="X99" i="1" a="1"/>
  <c r="X99" i="1" s="1"/>
  <c r="X91" i="1" a="1"/>
  <c r="X91" i="1" s="1"/>
  <c r="X81" i="1" a="1"/>
  <c r="X81" i="1" s="1"/>
  <c r="X80" i="1" a="1"/>
  <c r="X80" i="1" s="1"/>
  <c r="X79" i="1" a="1"/>
  <c r="X79" i="1" s="1"/>
  <c r="X96" i="1" a="1"/>
  <c r="X96" i="1" s="1"/>
  <c r="X93" i="1" a="1"/>
  <c r="X93" i="1" s="1"/>
  <c r="X107" i="1" a="1"/>
  <c r="X107" i="1" s="1"/>
  <c r="X102" i="1" a="1"/>
  <c r="X102" i="1" s="1"/>
  <c r="X94" i="1" a="1"/>
  <c r="X94" i="1" s="1"/>
  <c r="X86" i="1" a="1"/>
  <c r="X86" i="1" s="1"/>
  <c r="X87" i="1" a="1"/>
  <c r="X87" i="1" s="1"/>
  <c r="X85" i="1" a="1"/>
  <c r="X85" i="1" s="1"/>
  <c r="X75" i="1" a="1"/>
  <c r="X75" i="1" s="1"/>
  <c r="X70" i="1" a="1"/>
  <c r="X70" i="1" s="1"/>
  <c r="X58" i="1" a="1"/>
  <c r="X58" i="1" s="1"/>
  <c r="X54" i="1" a="1"/>
  <c r="X54" i="1" s="1"/>
  <c r="X84" i="1" a="1"/>
  <c r="X84" i="1" s="1"/>
  <c r="X71" i="1" a="1"/>
  <c r="X71" i="1" s="1"/>
  <c r="X59" i="1" a="1"/>
  <c r="X59" i="1" s="1"/>
  <c r="X53" i="1" a="1"/>
  <c r="X53" i="1" s="1"/>
  <c r="X72" i="1" a="1"/>
  <c r="X72" i="1" s="1"/>
  <c r="X60" i="1" a="1"/>
  <c r="X60" i="1" s="1"/>
  <c r="X52" i="1" a="1"/>
  <c r="X52" i="1" s="1"/>
  <c r="X43" i="1" a="1"/>
  <c r="X43" i="1" s="1"/>
  <c r="X97" i="1" a="1"/>
  <c r="X97" i="1" s="1"/>
  <c r="X73" i="1" a="1"/>
  <c r="X73" i="1" s="1"/>
  <c r="X61" i="1" a="1"/>
  <c r="X61" i="1" s="1"/>
  <c r="X51" i="1" a="1"/>
  <c r="X51" i="1" s="1"/>
  <c r="X88" i="1" a="1"/>
  <c r="X88" i="1" s="1"/>
  <c r="X74" i="1" a="1"/>
  <c r="X74" i="1" s="1"/>
  <c r="X62" i="1" a="1"/>
  <c r="X62" i="1" s="1"/>
  <c r="X50" i="1" a="1"/>
  <c r="X50" i="1" s="1"/>
  <c r="X95" i="1" a="1"/>
  <c r="X95" i="1" s="1"/>
  <c r="X63" i="1" a="1"/>
  <c r="X63" i="1" s="1"/>
  <c r="X49" i="1" a="1"/>
  <c r="X49" i="1" s="1"/>
  <c r="X89" i="1" a="1"/>
  <c r="X89" i="1" s="1"/>
  <c r="X64" i="1" a="1"/>
  <c r="X64" i="1" s="1"/>
  <c r="X48" i="1" a="1"/>
  <c r="X48" i="1" s="1"/>
  <c r="X65" i="1" a="1"/>
  <c r="X65" i="1" s="1"/>
  <c r="X98" i="1" a="1"/>
  <c r="X98" i="1" s="1"/>
  <c r="X66" i="1" a="1"/>
  <c r="X66" i="1" s="1"/>
  <c r="X103" i="1" a="1"/>
  <c r="X103" i="1" s="1"/>
  <c r="X83" i="1" a="1"/>
  <c r="X83" i="1" s="1"/>
  <c r="X67" i="1" a="1"/>
  <c r="X67" i="1" s="1"/>
  <c r="X113" i="1" a="1"/>
  <c r="X113" i="1" s="1"/>
  <c r="X68" i="1" a="1"/>
  <c r="X68" i="1" s="1"/>
  <c r="X56" i="1" a="1"/>
  <c r="X56" i="1" s="1"/>
  <c r="BJ149" i="1" a="1"/>
  <c r="BJ149" i="1" s="1"/>
  <c r="BJ143" i="1" a="1"/>
  <c r="BJ143" i="1" s="1"/>
  <c r="BJ148" i="1" a="1"/>
  <c r="BJ148" i="1" s="1"/>
  <c r="BJ147" i="1" a="1"/>
  <c r="BJ147" i="1" s="1"/>
  <c r="BJ152" i="1" a="1"/>
  <c r="BJ152" i="1" s="1"/>
  <c r="BJ151" i="1" s="1"/>
  <c r="BJ150" i="1" s="1"/>
  <c r="BJ156" i="1" a="1"/>
  <c r="BJ156" i="1" s="1"/>
  <c r="BJ139" i="1" a="1"/>
  <c r="BJ139" i="1" s="1"/>
  <c r="BJ155" i="1" a="1"/>
  <c r="BJ155" i="1" s="1"/>
  <c r="BJ144" i="1" a="1"/>
  <c r="BJ144" i="1" s="1"/>
  <c r="BJ134" i="1" a="1"/>
  <c r="BJ134" i="1" s="1"/>
  <c r="BJ122" i="1" a="1"/>
  <c r="BJ122" i="1" s="1"/>
  <c r="BJ114" i="1" a="1"/>
  <c r="BJ114" i="1" s="1"/>
  <c r="BJ135" i="1" a="1"/>
  <c r="BJ135" i="1" s="1"/>
  <c r="BJ123" i="1" a="1"/>
  <c r="BJ123" i="1" s="1"/>
  <c r="BJ137" i="1" a="1"/>
  <c r="BJ137" i="1" s="1"/>
  <c r="BJ136" i="1" a="1"/>
  <c r="BJ136" i="1" s="1"/>
  <c r="BJ124" i="1" a="1"/>
  <c r="BJ124" i="1" s="1"/>
  <c r="BJ112" i="1" a="1"/>
  <c r="BJ112" i="1" s="1"/>
  <c r="BJ125" i="1" a="1"/>
  <c r="BJ125" i="1" s="1"/>
  <c r="BJ126" i="1" a="1"/>
  <c r="BJ126" i="1" s="1"/>
  <c r="BJ127" i="1" a="1"/>
  <c r="BJ127" i="1" s="1"/>
  <c r="BJ138" i="1" a="1"/>
  <c r="BJ138" i="1" s="1"/>
  <c r="BJ128" i="1" a="1"/>
  <c r="BJ128" i="1" s="1"/>
  <c r="BJ129" i="1" a="1"/>
  <c r="BJ129" i="1" s="1"/>
  <c r="BJ131" i="1" a="1"/>
  <c r="BJ131" i="1" s="1"/>
  <c r="BJ132" i="1" a="1"/>
  <c r="BJ132" i="1" s="1"/>
  <c r="BJ120" i="1" a="1"/>
  <c r="BJ120" i="1" s="1"/>
  <c r="BJ117" i="1" a="1"/>
  <c r="BJ117" i="1" s="1"/>
  <c r="BJ115" i="1" a="1"/>
  <c r="BJ115" i="1" s="1"/>
  <c r="BJ111" i="1" a="1"/>
  <c r="BJ111" i="1" s="1"/>
  <c r="BJ96" i="1" a="1"/>
  <c r="BJ96" i="1" s="1"/>
  <c r="BJ121" i="1" a="1"/>
  <c r="BJ121" i="1" s="1"/>
  <c r="BJ97" i="1" a="1"/>
  <c r="BJ97" i="1" s="1"/>
  <c r="BJ99" i="1" a="1"/>
  <c r="BJ99" i="1" s="1"/>
  <c r="BJ106" i="1" a="1"/>
  <c r="BJ106" i="1" s="1"/>
  <c r="BJ100" i="1" a="1"/>
  <c r="BJ100" i="1" s="1"/>
  <c r="BJ133" i="1" a="1"/>
  <c r="BJ133" i="1" s="1"/>
  <c r="BJ101" i="1" a="1"/>
  <c r="BJ101" i="1" s="1"/>
  <c r="BJ130" i="1" a="1"/>
  <c r="BJ130" i="1" s="1"/>
  <c r="BJ119" i="1" a="1"/>
  <c r="BJ119" i="1" s="1"/>
  <c r="BJ116" i="1" a="1"/>
  <c r="BJ116" i="1" s="1"/>
  <c r="BJ110" i="1" a="1"/>
  <c r="BJ110" i="1" s="1"/>
  <c r="BJ113" i="1" a="1"/>
  <c r="BJ113" i="1" s="1"/>
  <c r="BJ104" i="1" a="1"/>
  <c r="BJ104" i="1" s="1"/>
  <c r="BJ91" i="1" a="1"/>
  <c r="BJ91" i="1" s="1"/>
  <c r="BJ98" i="1" a="1"/>
  <c r="BJ98" i="1" s="1"/>
  <c r="BJ105" i="1" a="1"/>
  <c r="BJ105" i="1" s="1"/>
  <c r="BJ102" i="1" a="1"/>
  <c r="BJ102" i="1" s="1"/>
  <c r="BJ107" i="1" a="1"/>
  <c r="BJ107" i="1" s="1"/>
  <c r="BJ94" i="1" a="1"/>
  <c r="BJ94" i="1" s="1"/>
  <c r="BJ86" i="1" a="1"/>
  <c r="BJ86" i="1" s="1"/>
  <c r="BJ87" i="1" a="1"/>
  <c r="BJ87" i="1" s="1"/>
  <c r="BJ85" i="1" a="1"/>
  <c r="BJ85" i="1" s="1"/>
  <c r="BJ75" i="1" a="1"/>
  <c r="BJ75" i="1" s="1"/>
  <c r="BJ88" i="1" a="1"/>
  <c r="BJ88" i="1" s="1"/>
  <c r="BJ84" i="1" a="1"/>
  <c r="BJ84" i="1" s="1"/>
  <c r="BJ89" i="1" a="1"/>
  <c r="BJ89" i="1" s="1"/>
  <c r="BJ103" i="1" a="1"/>
  <c r="BJ103" i="1" s="1"/>
  <c r="BJ90" i="1" a="1"/>
  <c r="BJ90" i="1" s="1"/>
  <c r="BJ82" i="1" a="1"/>
  <c r="BJ82" i="1" s="1"/>
  <c r="BJ95" i="1" a="1"/>
  <c r="BJ95" i="1" s="1"/>
  <c r="BJ81" i="1" a="1"/>
  <c r="BJ81" i="1" s="1"/>
  <c r="BJ62" i="1" a="1"/>
  <c r="BJ62" i="1" s="1"/>
  <c r="BJ50" i="1" a="1"/>
  <c r="BJ50" i="1" s="1"/>
  <c r="BJ83" i="1" a="1"/>
  <c r="BJ83" i="1" s="1"/>
  <c r="BJ78" i="1" a="1"/>
  <c r="BJ78" i="1" s="1"/>
  <c r="BJ74" i="1" a="1"/>
  <c r="BJ74" i="1" s="1"/>
  <c r="BJ63" i="1" a="1"/>
  <c r="BJ63" i="1" s="1"/>
  <c r="BJ49" i="1" a="1"/>
  <c r="BJ49" i="1" s="1"/>
  <c r="BJ64" i="1" a="1"/>
  <c r="BJ64" i="1" s="1"/>
  <c r="BJ48" i="1" a="1"/>
  <c r="BJ48" i="1" s="1"/>
  <c r="BJ92" i="1" a="1"/>
  <c r="BJ92" i="1" s="1"/>
  <c r="BJ79" i="1" a="1"/>
  <c r="BJ79" i="1" s="1"/>
  <c r="BJ65" i="1" a="1"/>
  <c r="BJ65" i="1" s="1"/>
  <c r="BJ66" i="1" a="1"/>
  <c r="BJ66" i="1" s="1"/>
  <c r="BJ67" i="1" a="1"/>
  <c r="BJ67" i="1" s="1"/>
  <c r="BJ68" i="1" a="1"/>
  <c r="BJ68" i="1" s="1"/>
  <c r="BJ56" i="1" a="1"/>
  <c r="BJ56" i="1" s="1"/>
  <c r="BJ69" i="1" a="1"/>
  <c r="BJ69" i="1" s="1"/>
  <c r="BJ57" i="1" a="1"/>
  <c r="BJ57" i="1" s="1"/>
  <c r="BJ55" i="1" a="1"/>
  <c r="BJ55" i="1" s="1"/>
  <c r="BJ93" i="1" a="1"/>
  <c r="BJ93" i="1" s="1"/>
  <c r="BJ70" i="1" a="1"/>
  <c r="BJ70" i="1" s="1"/>
  <c r="BJ58" i="1" a="1"/>
  <c r="BJ58" i="1" s="1"/>
  <c r="BJ54" i="1" a="1"/>
  <c r="BJ54" i="1" s="1"/>
  <c r="BJ71" i="1" a="1"/>
  <c r="BJ71" i="1" s="1"/>
  <c r="BJ59" i="1" a="1"/>
  <c r="BJ59" i="1" s="1"/>
  <c r="BJ53" i="1" a="1"/>
  <c r="BJ53" i="1" s="1"/>
  <c r="BJ72" i="1" a="1"/>
  <c r="BJ72" i="1" s="1"/>
  <c r="BJ60" i="1" a="1"/>
  <c r="BJ60" i="1" s="1"/>
  <c r="R156" i="1" a="1"/>
  <c r="R156" i="1" s="1"/>
  <c r="Q156" i="1" a="1"/>
  <c r="Q156" i="1" s="1"/>
  <c r="R155" i="1" a="1"/>
  <c r="R155" i="1" s="1"/>
  <c r="R144" i="1" a="1"/>
  <c r="R144" i="1" s="1"/>
  <c r="Q155" i="1" a="1"/>
  <c r="Q155" i="1" s="1"/>
  <c r="R149" i="1" a="1"/>
  <c r="R149" i="1" s="1"/>
  <c r="Q144" i="1" a="1"/>
  <c r="Q144" i="1" s="1"/>
  <c r="R143" i="1" a="1"/>
  <c r="R143" i="1" s="1"/>
  <c r="Q149" i="1" a="1"/>
  <c r="Q149" i="1" s="1"/>
  <c r="R148" i="1" a="1"/>
  <c r="R148" i="1" s="1"/>
  <c r="Q143" i="1" a="1"/>
  <c r="Q143" i="1" s="1"/>
  <c r="Q148" i="1" a="1"/>
  <c r="Q148" i="1" s="1"/>
  <c r="R147" i="1" a="1"/>
  <c r="R147" i="1" s="1"/>
  <c r="R152" i="1" a="1"/>
  <c r="R152" i="1" s="1"/>
  <c r="R151" i="1" s="1"/>
  <c r="R150" i="1" s="1"/>
  <c r="Q147" i="1" a="1"/>
  <c r="Q147" i="1" s="1"/>
  <c r="R130" i="1" a="1"/>
  <c r="R130" i="1" s="1"/>
  <c r="Q128" i="1" a="1"/>
  <c r="Q128" i="1" s="1"/>
  <c r="R118" i="1" a="1"/>
  <c r="R118" i="1" s="1"/>
  <c r="Q138" i="1" a="1"/>
  <c r="Q138" i="1" s="1"/>
  <c r="R131" i="1" a="1"/>
  <c r="R131" i="1" s="1"/>
  <c r="Q129" i="1" a="1"/>
  <c r="Q129" i="1" s="1"/>
  <c r="R119" i="1" a="1"/>
  <c r="R119" i="1" s="1"/>
  <c r="R117" i="1" a="1"/>
  <c r="R117" i="1" s="1"/>
  <c r="R132" i="1" a="1"/>
  <c r="R132" i="1" s="1"/>
  <c r="Q130" i="1" a="1"/>
  <c r="Q130" i="1" s="1"/>
  <c r="R120" i="1" a="1"/>
  <c r="R120" i="1" s="1"/>
  <c r="Q118" i="1" a="1"/>
  <c r="Q118" i="1" s="1"/>
  <c r="R116" i="1" a="1"/>
  <c r="R116" i="1" s="1"/>
  <c r="R133" i="1" a="1"/>
  <c r="R133" i="1" s="1"/>
  <c r="Q131" i="1" a="1"/>
  <c r="Q131" i="1" s="1"/>
  <c r="R134" i="1" a="1"/>
  <c r="R134" i="1" s="1"/>
  <c r="Q132" i="1" a="1"/>
  <c r="Q132" i="1" s="1"/>
  <c r="R122" i="1" a="1"/>
  <c r="R122" i="1" s="1"/>
  <c r="Q120" i="1" a="1"/>
  <c r="Q120" i="1" s="1"/>
  <c r="R139" i="1" a="1"/>
  <c r="R139" i="1" s="1"/>
  <c r="R135" i="1" a="1"/>
  <c r="R135" i="1" s="1"/>
  <c r="Q133" i="1" a="1"/>
  <c r="Q133" i="1" s="1"/>
  <c r="R123" i="1" a="1"/>
  <c r="R123" i="1" s="1"/>
  <c r="Q121" i="1" a="1"/>
  <c r="Q121" i="1" s="1"/>
  <c r="Q115" i="1" a="1"/>
  <c r="Q115" i="1" s="1"/>
  <c r="R136" i="1" a="1"/>
  <c r="R136" i="1" s="1"/>
  <c r="Q134" i="1" a="1"/>
  <c r="Q134" i="1" s="1"/>
  <c r="R124" i="1" a="1"/>
  <c r="R124" i="1" s="1"/>
  <c r="Q122" i="1" a="1"/>
  <c r="Q122" i="1" s="1"/>
  <c r="Q139" i="1" a="1"/>
  <c r="Q139" i="1" s="1"/>
  <c r="R137" i="1" a="1"/>
  <c r="R137" i="1" s="1"/>
  <c r="Q135" i="1" a="1"/>
  <c r="Q135" i="1" s="1"/>
  <c r="R125" i="1" a="1"/>
  <c r="R125" i="1" s="1"/>
  <c r="Q152" i="1" a="1"/>
  <c r="Q152" i="1" s="1"/>
  <c r="Q151" i="1" s="1"/>
  <c r="Q150" i="1" s="1"/>
  <c r="Q137" i="1" a="1"/>
  <c r="Q137" i="1" s="1"/>
  <c r="R127" i="1" a="1"/>
  <c r="R127" i="1" s="1"/>
  <c r="Q125" i="1" a="1"/>
  <c r="Q125" i="1" s="1"/>
  <c r="R128" i="1" a="1"/>
  <c r="R128" i="1" s="1"/>
  <c r="Q126" i="1" a="1"/>
  <c r="Q126" i="1" s="1"/>
  <c r="R114" i="1" a="1"/>
  <c r="R114" i="1" s="1"/>
  <c r="R107" i="1" a="1"/>
  <c r="R107" i="1" s="1"/>
  <c r="R104" i="1" a="1"/>
  <c r="R104" i="1" s="1"/>
  <c r="Q102" i="1" a="1"/>
  <c r="Q102" i="1" s="1"/>
  <c r="R92" i="1" a="1"/>
  <c r="R92" i="1" s="1"/>
  <c r="Q136" i="1" a="1"/>
  <c r="Q136" i="1" s="1"/>
  <c r="Q127" i="1" a="1"/>
  <c r="Q127" i="1" s="1"/>
  <c r="Q107" i="1" a="1"/>
  <c r="Q107" i="1" s="1"/>
  <c r="R105" i="1" a="1"/>
  <c r="R105" i="1" s="1"/>
  <c r="Q103" i="1" a="1"/>
  <c r="Q103" i="1" s="1"/>
  <c r="Q114" i="1" a="1"/>
  <c r="Q114" i="1" s="1"/>
  <c r="Q119" i="1" a="1"/>
  <c r="Q119" i="1" s="1"/>
  <c r="Q105" i="1" a="1"/>
  <c r="Q105" i="1" s="1"/>
  <c r="Q117" i="1" a="1"/>
  <c r="Q117" i="1" s="1"/>
  <c r="R115" i="1" a="1"/>
  <c r="R115" i="1" s="1"/>
  <c r="Q111" i="1" a="1"/>
  <c r="Q111" i="1" s="1"/>
  <c r="Q106" i="1" a="1"/>
  <c r="Q106" i="1" s="1"/>
  <c r="R112" i="1" a="1"/>
  <c r="R112" i="1" s="1"/>
  <c r="R121" i="1" a="1"/>
  <c r="R121" i="1" s="1"/>
  <c r="R129" i="1" a="1"/>
  <c r="R129" i="1" s="1"/>
  <c r="Q124" i="1" a="1"/>
  <c r="Q124" i="1" s="1"/>
  <c r="Q112" i="1" a="1"/>
  <c r="Q112" i="1" s="1"/>
  <c r="R138" i="1" a="1"/>
  <c r="R138" i="1" s="1"/>
  <c r="R100" i="1" a="1"/>
  <c r="R100" i="1" s="1"/>
  <c r="Q123" i="1" a="1"/>
  <c r="Q123" i="1" s="1"/>
  <c r="R113" i="1" a="1"/>
  <c r="R113" i="1" s="1"/>
  <c r="R110" i="1" a="1"/>
  <c r="R110" i="1" s="1"/>
  <c r="Q113" i="1" a="1"/>
  <c r="Q113" i="1" s="1"/>
  <c r="R102" i="1" a="1"/>
  <c r="R102" i="1" s="1"/>
  <c r="R90" i="1" a="1"/>
  <c r="R90" i="1" s="1"/>
  <c r="Q88" i="1" a="1"/>
  <c r="Q88" i="1" s="1"/>
  <c r="Q84" i="1" a="1"/>
  <c r="Q84" i="1" s="1"/>
  <c r="R82" i="1" a="1"/>
  <c r="R82" i="1" s="1"/>
  <c r="R91" i="1" a="1"/>
  <c r="R91" i="1" s="1"/>
  <c r="Q89" i="1" a="1"/>
  <c r="Q89" i="1" s="1"/>
  <c r="Q83" i="1" a="1"/>
  <c r="Q83" i="1" s="1"/>
  <c r="R81" i="1" a="1"/>
  <c r="R81" i="1" s="1"/>
  <c r="Q116" i="1" a="1"/>
  <c r="Q116" i="1" s="1"/>
  <c r="R96" i="1" a="1"/>
  <c r="R96" i="1" s="1"/>
  <c r="Q90" i="1" a="1"/>
  <c r="Q90" i="1" s="1"/>
  <c r="Q82" i="1" a="1"/>
  <c r="Q82" i="1" s="1"/>
  <c r="R80" i="1" a="1"/>
  <c r="R80" i="1" s="1"/>
  <c r="Q91" i="1" a="1"/>
  <c r="Q91" i="1" s="1"/>
  <c r="Q81" i="1" a="1"/>
  <c r="Q81" i="1" s="1"/>
  <c r="R79" i="1" a="1"/>
  <c r="R79" i="1" s="1"/>
  <c r="Q96" i="1" a="1"/>
  <c r="Q96" i="1" s="1"/>
  <c r="R94" i="1" a="1"/>
  <c r="R94" i="1" s="1"/>
  <c r="R93" i="1" a="1"/>
  <c r="R93" i="1" s="1"/>
  <c r="Q80" i="1" a="1"/>
  <c r="Q80" i="1" s="1"/>
  <c r="Q110" i="1" a="1"/>
  <c r="Q110" i="1" s="1"/>
  <c r="R103" i="1" a="1"/>
  <c r="R103" i="1" s="1"/>
  <c r="Q100" i="1" a="1"/>
  <c r="Q100" i="1" s="1"/>
  <c r="Q79" i="1" a="1"/>
  <c r="Q79" i="1" s="1"/>
  <c r="R106" i="1" a="1"/>
  <c r="R106" i="1" s="1"/>
  <c r="Q94" i="1" a="1"/>
  <c r="Q94" i="1" s="1"/>
  <c r="Q93" i="1" a="1"/>
  <c r="Q93" i="1" s="1"/>
  <c r="R101" i="1" a="1"/>
  <c r="R101" i="1" s="1"/>
  <c r="R98" i="1" a="1"/>
  <c r="R98" i="1" s="1"/>
  <c r="R97" i="1" a="1"/>
  <c r="R97" i="1" s="1"/>
  <c r="Q92" i="1" a="1"/>
  <c r="Q92" i="1" s="1"/>
  <c r="R86" i="1" a="1"/>
  <c r="R86" i="1" s="1"/>
  <c r="Q101" i="1" a="1"/>
  <c r="Q101" i="1" s="1"/>
  <c r="R99" i="1" a="1"/>
  <c r="R99" i="1" s="1"/>
  <c r="Q98" i="1" a="1"/>
  <c r="Q98" i="1" s="1"/>
  <c r="R95" i="1" a="1"/>
  <c r="R95" i="1" s="1"/>
  <c r="R87" i="1" a="1"/>
  <c r="R87" i="1" s="1"/>
  <c r="R85" i="1" a="1"/>
  <c r="R85" i="1" s="1"/>
  <c r="R75" i="1" a="1"/>
  <c r="R75" i="1" s="1"/>
  <c r="R126" i="1" a="1"/>
  <c r="R126" i="1" s="1"/>
  <c r="R83" i="1" a="1"/>
  <c r="R83" i="1" s="1"/>
  <c r="R70" i="1" a="1"/>
  <c r="R70" i="1" s="1"/>
  <c r="Q68" i="1" a="1"/>
  <c r="Q68" i="1" s="1"/>
  <c r="R58" i="1" a="1"/>
  <c r="R58" i="1" s="1"/>
  <c r="Q56" i="1" a="1"/>
  <c r="Q56" i="1" s="1"/>
  <c r="R54" i="1" a="1"/>
  <c r="R54" i="1" s="1"/>
  <c r="R71" i="1" a="1"/>
  <c r="R71" i="1" s="1"/>
  <c r="Q69" i="1" a="1"/>
  <c r="Q69" i="1" s="1"/>
  <c r="R59" i="1" a="1"/>
  <c r="R59" i="1" s="1"/>
  <c r="Q57" i="1" a="1"/>
  <c r="Q57" i="1" s="1"/>
  <c r="Q55" i="1" a="1"/>
  <c r="Q55" i="1" s="1"/>
  <c r="R53" i="1" a="1"/>
  <c r="R53" i="1" s="1"/>
  <c r="R72" i="1" a="1"/>
  <c r="R72" i="1" s="1"/>
  <c r="Q70" i="1" a="1"/>
  <c r="Q70" i="1" s="1"/>
  <c r="R60" i="1" a="1"/>
  <c r="R60" i="1" s="1"/>
  <c r="Q58" i="1" a="1"/>
  <c r="Q58" i="1" s="1"/>
  <c r="Q54" i="1" a="1"/>
  <c r="Q54" i="1" s="1"/>
  <c r="R52" i="1" a="1"/>
  <c r="R52" i="1" s="1"/>
  <c r="Q44" i="1" a="1"/>
  <c r="Q44" i="1" s="1"/>
  <c r="R43" i="1" a="1"/>
  <c r="R43" i="1" s="1"/>
  <c r="Q99" i="1" a="1"/>
  <c r="Q99" i="1" s="1"/>
  <c r="Q86" i="1" a="1"/>
  <c r="Q86" i="1" s="1"/>
  <c r="R73" i="1" a="1"/>
  <c r="R73" i="1" s="1"/>
  <c r="Q71" i="1" a="1"/>
  <c r="Q71" i="1" s="1"/>
  <c r="R61" i="1" a="1"/>
  <c r="R61" i="1" s="1"/>
  <c r="Q59" i="1" a="1"/>
  <c r="Q59" i="1" s="1"/>
  <c r="Q53" i="1" a="1"/>
  <c r="Q53" i="1" s="1"/>
  <c r="R51" i="1" a="1"/>
  <c r="R51" i="1" s="1"/>
  <c r="R84" i="1" a="1"/>
  <c r="R84" i="1" s="1"/>
  <c r="R74" i="1" a="1"/>
  <c r="R74" i="1" s="1"/>
  <c r="Q72" i="1" a="1"/>
  <c r="Q72" i="1" s="1"/>
  <c r="R62" i="1" a="1"/>
  <c r="R62" i="1" s="1"/>
  <c r="Q60" i="1" a="1"/>
  <c r="Q60" i="1" s="1"/>
  <c r="Q52" i="1" a="1"/>
  <c r="Q52" i="1" s="1"/>
  <c r="R50" i="1" a="1"/>
  <c r="R50" i="1" s="1"/>
  <c r="Q97" i="1" a="1"/>
  <c r="Q97" i="1" s="1"/>
  <c r="Q87" i="1" a="1"/>
  <c r="Q87" i="1" s="1"/>
  <c r="Q85" i="1" a="1"/>
  <c r="Q85" i="1" s="1"/>
  <c r="Q73" i="1" a="1"/>
  <c r="Q73" i="1" s="1"/>
  <c r="R63" i="1" a="1"/>
  <c r="R63" i="1" s="1"/>
  <c r="Q61" i="1" a="1"/>
  <c r="Q61" i="1" s="1"/>
  <c r="Q51" i="1" a="1"/>
  <c r="Q51" i="1" s="1"/>
  <c r="R49" i="1" a="1"/>
  <c r="R49" i="1" s="1"/>
  <c r="R111" i="1" a="1"/>
  <c r="R111" i="1" s="1"/>
  <c r="R88" i="1" a="1"/>
  <c r="R88" i="1" s="1"/>
  <c r="Q74" i="1" a="1"/>
  <c r="Q74" i="1" s="1"/>
  <c r="R64" i="1" a="1"/>
  <c r="R64" i="1" s="1"/>
  <c r="Q62" i="1" a="1"/>
  <c r="Q62" i="1" s="1"/>
  <c r="Q50" i="1" a="1"/>
  <c r="Q50" i="1" s="1"/>
  <c r="R48" i="1" a="1"/>
  <c r="R48" i="1" s="1"/>
  <c r="Q95" i="1" a="1"/>
  <c r="Q95" i="1" s="1"/>
  <c r="R65" i="1" a="1"/>
  <c r="R65" i="1" s="1"/>
  <c r="Q63" i="1" a="1"/>
  <c r="Q63" i="1" s="1"/>
  <c r="Q49" i="1" a="1"/>
  <c r="Q49" i="1" s="1"/>
  <c r="R89" i="1" a="1"/>
  <c r="R89" i="1" s="1"/>
  <c r="R78" i="1" a="1"/>
  <c r="R78" i="1" s="1"/>
  <c r="R66" i="1" a="1"/>
  <c r="R66" i="1" s="1"/>
  <c r="Q64" i="1" a="1"/>
  <c r="Q64" i="1" s="1"/>
  <c r="Q104" i="1" a="1"/>
  <c r="Q104" i="1" s="1"/>
  <c r="Q78" i="1" a="1"/>
  <c r="Q78" i="1" s="1"/>
  <c r="Q75" i="1" a="1"/>
  <c r="Q75" i="1" s="1"/>
  <c r="R67" i="1" a="1"/>
  <c r="R67" i="1" s="1"/>
  <c r="Q65" i="1" a="1"/>
  <c r="Q65" i="1" s="1"/>
  <c r="R68" i="1" a="1"/>
  <c r="R68" i="1" s="1"/>
  <c r="Q66" i="1" a="1"/>
  <c r="Q66" i="1" s="1"/>
  <c r="R56" i="1" a="1"/>
  <c r="R56" i="1" s="1"/>
  <c r="AD156" i="1" a="1"/>
  <c r="AD156" i="1" s="1"/>
  <c r="AD155" i="1" a="1"/>
  <c r="AD155" i="1" s="1"/>
  <c r="AD144" i="1" a="1"/>
  <c r="AD144" i="1" s="1"/>
  <c r="AD149" i="1" a="1"/>
  <c r="AD149" i="1" s="1"/>
  <c r="AD143" i="1" a="1"/>
  <c r="AD143" i="1" s="1"/>
  <c r="AD148" i="1" a="1"/>
  <c r="AD148" i="1" s="1"/>
  <c r="AD147" i="1" a="1"/>
  <c r="AD147" i="1" s="1"/>
  <c r="AD152" i="1" a="1"/>
  <c r="AD152" i="1" s="1"/>
  <c r="AD151" i="1" s="1"/>
  <c r="AD150" i="1" s="1"/>
  <c r="AD130" i="1" a="1"/>
  <c r="AD130" i="1" s="1"/>
  <c r="AD118" i="1" a="1"/>
  <c r="AD118" i="1" s="1"/>
  <c r="AD131" i="1" a="1"/>
  <c r="AD131" i="1" s="1"/>
  <c r="AD119" i="1" a="1"/>
  <c r="AD119" i="1" s="1"/>
  <c r="AD117" i="1" a="1"/>
  <c r="AD117" i="1" s="1"/>
  <c r="AD132" i="1" a="1"/>
  <c r="AD132" i="1" s="1"/>
  <c r="AD120" i="1" a="1"/>
  <c r="AD120" i="1" s="1"/>
  <c r="AD116" i="1" a="1"/>
  <c r="AD116" i="1" s="1"/>
  <c r="AD139" i="1" a="1"/>
  <c r="AD139" i="1" s="1"/>
  <c r="AD133" i="1" a="1"/>
  <c r="AD133" i="1" s="1"/>
  <c r="AD134" i="1" a="1"/>
  <c r="AD134" i="1" s="1"/>
  <c r="AD122" i="1" a="1"/>
  <c r="AD122" i="1" s="1"/>
  <c r="AD138" i="1" a="1"/>
  <c r="AD138" i="1" s="1"/>
  <c r="AD135" i="1" a="1"/>
  <c r="AD135" i="1" s="1"/>
  <c r="AD123" i="1" a="1"/>
  <c r="AD123" i="1" s="1"/>
  <c r="AD136" i="1" a="1"/>
  <c r="AD136" i="1" s="1"/>
  <c r="AD124" i="1" a="1"/>
  <c r="AD124" i="1" s="1"/>
  <c r="AD137" i="1" a="1"/>
  <c r="AD137" i="1" s="1"/>
  <c r="AD125" i="1" a="1"/>
  <c r="AD125" i="1" s="1"/>
  <c r="AD127" i="1" a="1"/>
  <c r="AD127" i="1" s="1"/>
  <c r="AD128" i="1" a="1"/>
  <c r="AD128" i="1" s="1"/>
  <c r="AD104" i="1" a="1"/>
  <c r="AD104" i="1" s="1"/>
  <c r="AD92" i="1" a="1"/>
  <c r="AD92" i="1" s="1"/>
  <c r="AD113" i="1" a="1"/>
  <c r="AD113" i="1" s="1"/>
  <c r="AD110" i="1" a="1"/>
  <c r="AD110" i="1" s="1"/>
  <c r="AD105" i="1" a="1"/>
  <c r="AD105" i="1" s="1"/>
  <c r="AD129" i="1" a="1"/>
  <c r="AD129" i="1" s="1"/>
  <c r="AD114" i="1" a="1"/>
  <c r="AD114" i="1" s="1"/>
  <c r="AD107" i="1" a="1"/>
  <c r="AD107" i="1" s="1"/>
  <c r="AD126" i="1" a="1"/>
  <c r="AD126" i="1" s="1"/>
  <c r="AD111" i="1" a="1"/>
  <c r="AD111" i="1" s="1"/>
  <c r="AD100" i="1" a="1"/>
  <c r="AD100" i="1" s="1"/>
  <c r="AD112" i="1" a="1"/>
  <c r="AD112" i="1" s="1"/>
  <c r="AD102" i="1" a="1"/>
  <c r="AD102" i="1" s="1"/>
  <c r="AD97" i="1" a="1"/>
  <c r="AD97" i="1" s="1"/>
  <c r="AD90" i="1" a="1"/>
  <c r="AD90" i="1" s="1"/>
  <c r="AD82" i="1" a="1"/>
  <c r="AD82" i="1" s="1"/>
  <c r="AD98" i="1" a="1"/>
  <c r="AD98" i="1" s="1"/>
  <c r="AD95" i="1" a="1"/>
  <c r="AD95" i="1" s="1"/>
  <c r="AD91" i="1" a="1"/>
  <c r="AD91" i="1" s="1"/>
  <c r="AD81" i="1" a="1"/>
  <c r="AD81" i="1" s="1"/>
  <c r="AD80" i="1" a="1"/>
  <c r="AD80" i="1" s="1"/>
  <c r="AD79" i="1" a="1"/>
  <c r="AD79" i="1" s="1"/>
  <c r="AD121" i="1" a="1"/>
  <c r="AD121" i="1" s="1"/>
  <c r="AD115" i="1" a="1"/>
  <c r="AD115" i="1" s="1"/>
  <c r="AD103" i="1" a="1"/>
  <c r="AD103" i="1" s="1"/>
  <c r="AD99" i="1" a="1"/>
  <c r="AD99" i="1" s="1"/>
  <c r="AD96" i="1" a="1"/>
  <c r="AD96" i="1" s="1"/>
  <c r="AD93" i="1" a="1"/>
  <c r="AD93" i="1" s="1"/>
  <c r="AD101" i="1" a="1"/>
  <c r="AD101" i="1" s="1"/>
  <c r="AD106" i="1" a="1"/>
  <c r="AD106" i="1" s="1"/>
  <c r="AD94" i="1" a="1"/>
  <c r="AD94" i="1" s="1"/>
  <c r="AD86" i="1" a="1"/>
  <c r="AD86" i="1" s="1"/>
  <c r="AD87" i="1" a="1"/>
  <c r="AD87" i="1" s="1"/>
  <c r="AD85" i="1" a="1"/>
  <c r="AD85" i="1" s="1"/>
  <c r="AD75" i="1" a="1"/>
  <c r="AD75" i="1" s="1"/>
  <c r="AD70" i="1" a="1"/>
  <c r="AD70" i="1" s="1"/>
  <c r="AD58" i="1" a="1"/>
  <c r="AD58" i="1" s="1"/>
  <c r="AD54" i="1" a="1"/>
  <c r="AD54" i="1" s="1"/>
  <c r="AD44" i="1" a="1"/>
  <c r="AD44" i="1" s="1"/>
  <c r="AD71" i="1" a="1"/>
  <c r="AD71" i="1" s="1"/>
  <c r="AD59" i="1" a="1"/>
  <c r="AD59" i="1" s="1"/>
  <c r="AD53" i="1" a="1"/>
  <c r="AD53" i="1" s="1"/>
  <c r="AD88" i="1" a="1"/>
  <c r="AD88" i="1" s="1"/>
  <c r="AD78" i="1" a="1"/>
  <c r="AD78" i="1" s="1"/>
  <c r="AD72" i="1" a="1"/>
  <c r="AD72" i="1" s="1"/>
  <c r="AD60" i="1" a="1"/>
  <c r="AD60" i="1" s="1"/>
  <c r="AD52" i="1" a="1"/>
  <c r="AD52" i="1" s="1"/>
  <c r="AD43" i="1" a="1"/>
  <c r="AD43" i="1" s="1"/>
  <c r="AD73" i="1" a="1"/>
  <c r="AD73" i="1" s="1"/>
  <c r="AD61" i="1" a="1"/>
  <c r="AD61" i="1" s="1"/>
  <c r="AD51" i="1" a="1"/>
  <c r="AD51" i="1" s="1"/>
  <c r="AD89" i="1" a="1"/>
  <c r="AD89" i="1" s="1"/>
  <c r="AD74" i="1" a="1"/>
  <c r="AD74" i="1" s="1"/>
  <c r="AD62" i="1" a="1"/>
  <c r="AD62" i="1" s="1"/>
  <c r="AD50" i="1" a="1"/>
  <c r="AD50" i="1" s="1"/>
  <c r="AD63" i="1" a="1"/>
  <c r="AD63" i="1" s="1"/>
  <c r="AD49" i="1" a="1"/>
  <c r="AD49" i="1" s="1"/>
  <c r="AD83" i="1" a="1"/>
  <c r="AD83" i="1" s="1"/>
  <c r="AD64" i="1" a="1"/>
  <c r="AD64" i="1" s="1"/>
  <c r="AD48" i="1" a="1"/>
  <c r="AD48" i="1" s="1"/>
  <c r="AD65" i="1" a="1"/>
  <c r="AD65" i="1" s="1"/>
  <c r="AD66" i="1" a="1"/>
  <c r="AD66" i="1" s="1"/>
  <c r="AD67" i="1" a="1"/>
  <c r="AD67" i="1" s="1"/>
  <c r="AD68" i="1" a="1"/>
  <c r="AD68" i="1" s="1"/>
  <c r="AD56" i="1" a="1"/>
  <c r="AD56" i="1" s="1"/>
  <c r="AP156" i="1" a="1"/>
  <c r="AP156" i="1" s="1"/>
  <c r="AP155" i="1" a="1"/>
  <c r="AP155" i="1" s="1"/>
  <c r="AP144" i="1" a="1"/>
  <c r="AP144" i="1" s="1"/>
  <c r="AP149" i="1" a="1"/>
  <c r="AP149" i="1" s="1"/>
  <c r="AP143" i="1" a="1"/>
  <c r="AP143" i="1" s="1"/>
  <c r="AP148" i="1" a="1"/>
  <c r="AP148" i="1" s="1"/>
  <c r="AP147" i="1" a="1"/>
  <c r="AP147" i="1" s="1"/>
  <c r="AP152" i="1" a="1"/>
  <c r="AP152" i="1" s="1"/>
  <c r="AP151" i="1" s="1"/>
  <c r="AP150" i="1" s="1"/>
  <c r="AP130" i="1" a="1"/>
  <c r="AP130" i="1" s="1"/>
  <c r="AP118" i="1" a="1"/>
  <c r="AP118" i="1" s="1"/>
  <c r="AP106" i="1" a="1"/>
  <c r="AP106" i="1" s="1"/>
  <c r="AP139" i="1" a="1"/>
  <c r="AP139" i="1" s="1"/>
  <c r="AP131" i="1" a="1"/>
  <c r="AP131" i="1" s="1"/>
  <c r="AP119" i="1" a="1"/>
  <c r="AP119" i="1" s="1"/>
  <c r="AP117" i="1" a="1"/>
  <c r="AP117" i="1" s="1"/>
  <c r="AP132" i="1" a="1"/>
  <c r="AP132" i="1" s="1"/>
  <c r="AP120" i="1" a="1"/>
  <c r="AP120" i="1" s="1"/>
  <c r="AP116" i="1" a="1"/>
  <c r="AP116" i="1" s="1"/>
  <c r="AP133" i="1" a="1"/>
  <c r="AP133" i="1" s="1"/>
  <c r="AP134" i="1" a="1"/>
  <c r="AP134" i="1" s="1"/>
  <c r="AP122" i="1" a="1"/>
  <c r="AP122" i="1" s="1"/>
  <c r="AP135" i="1" a="1"/>
  <c r="AP135" i="1" s="1"/>
  <c r="AP123" i="1" a="1"/>
  <c r="AP123" i="1" s="1"/>
  <c r="AP136" i="1" a="1"/>
  <c r="AP136" i="1" s="1"/>
  <c r="AP124" i="1" a="1"/>
  <c r="AP124" i="1" s="1"/>
  <c r="AP125" i="1" a="1"/>
  <c r="AP125" i="1" s="1"/>
  <c r="AP137" i="1" a="1"/>
  <c r="AP137" i="1" s="1"/>
  <c r="AP127" i="1" a="1"/>
  <c r="AP127" i="1" s="1"/>
  <c r="AP128" i="1" a="1"/>
  <c r="AP128" i="1" s="1"/>
  <c r="AP104" i="1" a="1"/>
  <c r="AP104" i="1" s="1"/>
  <c r="AP92" i="1" a="1"/>
  <c r="AP92" i="1" s="1"/>
  <c r="AP112" i="1" a="1"/>
  <c r="AP112" i="1" s="1"/>
  <c r="AP105" i="1" a="1"/>
  <c r="AP105" i="1" s="1"/>
  <c r="AP138" i="1" a="1"/>
  <c r="AP138" i="1" s="1"/>
  <c r="AP126" i="1" a="1"/>
  <c r="AP126" i="1" s="1"/>
  <c r="AP121" i="1" a="1"/>
  <c r="AP121" i="1" s="1"/>
  <c r="AP115" i="1" a="1"/>
  <c r="AP115" i="1" s="1"/>
  <c r="AP113" i="1" a="1"/>
  <c r="AP113" i="1" s="1"/>
  <c r="AP110" i="1" a="1"/>
  <c r="AP110" i="1" s="1"/>
  <c r="AP114" i="1" a="1"/>
  <c r="AP114" i="1" s="1"/>
  <c r="AP107" i="1" a="1"/>
  <c r="AP107" i="1" s="1"/>
  <c r="AP100" i="1" a="1"/>
  <c r="AP100" i="1" s="1"/>
  <c r="AP111" i="1" a="1"/>
  <c r="AP111" i="1" s="1"/>
  <c r="AP102" i="1" a="1"/>
  <c r="AP102" i="1" s="1"/>
  <c r="AP94" i="1" a="1"/>
  <c r="AP94" i="1" s="1"/>
  <c r="AP90" i="1" a="1"/>
  <c r="AP90" i="1" s="1"/>
  <c r="AP82" i="1" a="1"/>
  <c r="AP82" i="1" s="1"/>
  <c r="AP129" i="1" a="1"/>
  <c r="AP129" i="1" s="1"/>
  <c r="AP91" i="1" a="1"/>
  <c r="AP91" i="1" s="1"/>
  <c r="AP81" i="1" a="1"/>
  <c r="AP81" i="1" s="1"/>
  <c r="AP80" i="1" a="1"/>
  <c r="AP80" i="1" s="1"/>
  <c r="AP99" i="1" a="1"/>
  <c r="AP99" i="1" s="1"/>
  <c r="AP79" i="1" a="1"/>
  <c r="AP79" i="1" s="1"/>
  <c r="AP78" i="1" a="1"/>
  <c r="AP78" i="1" s="1"/>
  <c r="AP103" i="1" a="1"/>
  <c r="AP103" i="1" s="1"/>
  <c r="AP95" i="1" a="1"/>
  <c r="AP95" i="1" s="1"/>
  <c r="AP97" i="1" a="1"/>
  <c r="AP97" i="1" s="1"/>
  <c r="AP101" i="1" a="1"/>
  <c r="AP101" i="1" s="1"/>
  <c r="AP98" i="1" a="1"/>
  <c r="AP98" i="1" s="1"/>
  <c r="AP93" i="1" a="1"/>
  <c r="AP93" i="1" s="1"/>
  <c r="AP86" i="1" a="1"/>
  <c r="AP86" i="1" s="1"/>
  <c r="AP87" i="1" a="1"/>
  <c r="AP87" i="1" s="1"/>
  <c r="AP85" i="1" a="1"/>
  <c r="AP85" i="1" s="1"/>
  <c r="AP75" i="1" a="1"/>
  <c r="AP75" i="1" s="1"/>
  <c r="AP89" i="1" a="1"/>
  <c r="AP89" i="1" s="1"/>
  <c r="AP83" i="1" a="1"/>
  <c r="AP83" i="1" s="1"/>
  <c r="AP70" i="1" a="1"/>
  <c r="AP70" i="1" s="1"/>
  <c r="AP58" i="1" a="1"/>
  <c r="AP58" i="1" s="1"/>
  <c r="AP54" i="1" a="1"/>
  <c r="AP54" i="1" s="1"/>
  <c r="AP44" i="1" a="1"/>
  <c r="AP44" i="1" s="1"/>
  <c r="AP71" i="1" a="1"/>
  <c r="AP71" i="1" s="1"/>
  <c r="AP59" i="1" a="1"/>
  <c r="AP59" i="1" s="1"/>
  <c r="AP53" i="1" a="1"/>
  <c r="AP53" i="1" s="1"/>
  <c r="AP72" i="1" a="1"/>
  <c r="AP72" i="1" s="1"/>
  <c r="AP60" i="1" a="1"/>
  <c r="AP60" i="1" s="1"/>
  <c r="AP52" i="1" a="1"/>
  <c r="AP52" i="1" s="1"/>
  <c r="AP43" i="1" a="1"/>
  <c r="AP43" i="1" s="1"/>
  <c r="AP73" i="1" a="1"/>
  <c r="AP73" i="1" s="1"/>
  <c r="AP61" i="1" a="1"/>
  <c r="AP61" i="1" s="1"/>
  <c r="AP51" i="1" a="1"/>
  <c r="AP51" i="1" s="1"/>
  <c r="AP74" i="1" a="1"/>
  <c r="AP74" i="1" s="1"/>
  <c r="AP62" i="1" a="1"/>
  <c r="AP62" i="1" s="1"/>
  <c r="AP50" i="1" a="1"/>
  <c r="AP50" i="1" s="1"/>
  <c r="AP63" i="1" a="1"/>
  <c r="AP63" i="1" s="1"/>
  <c r="AP49" i="1" a="1"/>
  <c r="AP49" i="1" s="1"/>
  <c r="AP96" i="1" a="1"/>
  <c r="AP96" i="1" s="1"/>
  <c r="AP64" i="1" a="1"/>
  <c r="AP64" i="1" s="1"/>
  <c r="AP48" i="1" a="1"/>
  <c r="AP48" i="1" s="1"/>
  <c r="AP84" i="1" a="1"/>
  <c r="AP84" i="1" s="1"/>
  <c r="AP65" i="1" a="1"/>
  <c r="AP65" i="1" s="1"/>
  <c r="AP66" i="1" a="1"/>
  <c r="AP66" i="1" s="1"/>
  <c r="AP67" i="1" a="1"/>
  <c r="AP67" i="1" s="1"/>
  <c r="AP88" i="1" a="1"/>
  <c r="AP88" i="1" s="1"/>
  <c r="AP68" i="1" a="1"/>
  <c r="AP68" i="1" s="1"/>
  <c r="AP56" i="1" a="1"/>
  <c r="AP56" i="1" s="1"/>
  <c r="BB156" i="1" a="1"/>
  <c r="BB156" i="1" s="1"/>
  <c r="BB139" i="1" a="1"/>
  <c r="BB139" i="1" s="1"/>
  <c r="BB155" i="1" a="1"/>
  <c r="BB155" i="1" s="1"/>
  <c r="BB144" i="1" a="1"/>
  <c r="BB144" i="1" s="1"/>
  <c r="BB149" i="1" a="1"/>
  <c r="BB149" i="1" s="1"/>
  <c r="BB143" i="1" a="1"/>
  <c r="BB143" i="1" s="1"/>
  <c r="BB148" i="1" a="1"/>
  <c r="BB148" i="1" s="1"/>
  <c r="BB147" i="1" a="1"/>
  <c r="BB147" i="1" s="1"/>
  <c r="BB152" i="1" a="1"/>
  <c r="BB152" i="1" s="1"/>
  <c r="BB151" i="1" s="1"/>
  <c r="BB150" i="1" s="1"/>
  <c r="BB130" i="1" a="1"/>
  <c r="BB130" i="1" s="1"/>
  <c r="BB118" i="1" a="1"/>
  <c r="BB118" i="1" s="1"/>
  <c r="BB106" i="1" a="1"/>
  <c r="BB106" i="1" s="1"/>
  <c r="BB131" i="1" a="1"/>
  <c r="BB131" i="1" s="1"/>
  <c r="BB119" i="1" a="1"/>
  <c r="BB119" i="1" s="1"/>
  <c r="BB117" i="1" a="1"/>
  <c r="BB117" i="1" s="1"/>
  <c r="BB137" i="1" a="1"/>
  <c r="BB137" i="1" s="1"/>
  <c r="BB132" i="1" a="1"/>
  <c r="BB132" i="1" s="1"/>
  <c r="BB120" i="1" a="1"/>
  <c r="BB120" i="1" s="1"/>
  <c r="BB116" i="1" a="1"/>
  <c r="BB116" i="1" s="1"/>
  <c r="BB133" i="1" a="1"/>
  <c r="BB133" i="1" s="1"/>
  <c r="BB134" i="1" a="1"/>
  <c r="BB134" i="1" s="1"/>
  <c r="BB122" i="1" a="1"/>
  <c r="BB122" i="1" s="1"/>
  <c r="BB138" i="1" a="1"/>
  <c r="BB138" i="1" s="1"/>
  <c r="BB135" i="1" a="1"/>
  <c r="BB135" i="1" s="1"/>
  <c r="BB123" i="1" a="1"/>
  <c r="BB123" i="1" s="1"/>
  <c r="BB136" i="1" a="1"/>
  <c r="BB136" i="1" s="1"/>
  <c r="BB124" i="1" a="1"/>
  <c r="BB124" i="1" s="1"/>
  <c r="BB125" i="1" a="1"/>
  <c r="BB125" i="1" s="1"/>
  <c r="BB127" i="1" a="1"/>
  <c r="BB127" i="1" s="1"/>
  <c r="BB128" i="1" a="1"/>
  <c r="BB128" i="1" s="1"/>
  <c r="BB114" i="1" a="1"/>
  <c r="BB114" i="1" s="1"/>
  <c r="BB107" i="1" a="1"/>
  <c r="BB107" i="1" s="1"/>
  <c r="BB104" i="1" a="1"/>
  <c r="BB104" i="1" s="1"/>
  <c r="BB92" i="1" a="1"/>
  <c r="BB92" i="1" s="1"/>
  <c r="BB105" i="1" a="1"/>
  <c r="BB105" i="1" s="1"/>
  <c r="BB93" i="1" a="1"/>
  <c r="BB93" i="1" s="1"/>
  <c r="BB112" i="1" a="1"/>
  <c r="BB112" i="1" s="1"/>
  <c r="BB121" i="1" a="1"/>
  <c r="BB121" i="1" s="1"/>
  <c r="BB129" i="1" a="1"/>
  <c r="BB129" i="1" s="1"/>
  <c r="BB100" i="1" a="1"/>
  <c r="BB100" i="1" s="1"/>
  <c r="BB113" i="1" a="1"/>
  <c r="BB113" i="1" s="1"/>
  <c r="BB110" i="1" a="1"/>
  <c r="BB110" i="1" s="1"/>
  <c r="BB102" i="1" a="1"/>
  <c r="BB102" i="1" s="1"/>
  <c r="BB97" i="1" a="1"/>
  <c r="BB97" i="1" s="1"/>
  <c r="BB90" i="1" a="1"/>
  <c r="BB90" i="1" s="1"/>
  <c r="BB82" i="1" a="1"/>
  <c r="BB82" i="1" s="1"/>
  <c r="BB99" i="1" a="1"/>
  <c r="BB99" i="1" s="1"/>
  <c r="BB98" i="1" a="1"/>
  <c r="BB98" i="1" s="1"/>
  <c r="BB81" i="1" a="1"/>
  <c r="BB81" i="1" s="1"/>
  <c r="BB96" i="1" a="1"/>
  <c r="BB96" i="1" s="1"/>
  <c r="BB80" i="1" a="1"/>
  <c r="BB80" i="1" s="1"/>
  <c r="BB91" i="1" a="1"/>
  <c r="BB91" i="1" s="1"/>
  <c r="BB79" i="1" a="1"/>
  <c r="BB79" i="1" s="1"/>
  <c r="BB94" i="1" a="1"/>
  <c r="BB94" i="1" s="1"/>
  <c r="BB78" i="1" a="1"/>
  <c r="BB78" i="1" s="1"/>
  <c r="BB103" i="1" a="1"/>
  <c r="BB103" i="1" s="1"/>
  <c r="BB101" i="1" a="1"/>
  <c r="BB101" i="1" s="1"/>
  <c r="BB126" i="1" a="1"/>
  <c r="BB126" i="1" s="1"/>
  <c r="BB111" i="1" a="1"/>
  <c r="BB111" i="1" s="1"/>
  <c r="BB86" i="1" a="1"/>
  <c r="BB86" i="1" s="1"/>
  <c r="BB95" i="1" a="1"/>
  <c r="BB95" i="1" s="1"/>
  <c r="BB87" i="1" a="1"/>
  <c r="BB87" i="1" s="1"/>
  <c r="BB85" i="1" a="1"/>
  <c r="BB85" i="1" s="1"/>
  <c r="BB75" i="1" a="1"/>
  <c r="BB75" i="1" s="1"/>
  <c r="BB70" i="1" a="1"/>
  <c r="BB70" i="1" s="1"/>
  <c r="BB58" i="1" a="1"/>
  <c r="BB58" i="1" s="1"/>
  <c r="BB54" i="1" a="1"/>
  <c r="BB54" i="1" s="1"/>
  <c r="BB44" i="1" a="1"/>
  <c r="BB44" i="1" s="1"/>
  <c r="BB71" i="1" a="1"/>
  <c r="BB71" i="1" s="1"/>
  <c r="BB59" i="1" a="1"/>
  <c r="BB59" i="1" s="1"/>
  <c r="BB53" i="1" a="1"/>
  <c r="BB53" i="1" s="1"/>
  <c r="BB72" i="1" a="1"/>
  <c r="BB72" i="1" s="1"/>
  <c r="BB60" i="1" a="1"/>
  <c r="BB60" i="1" s="1"/>
  <c r="BB52" i="1" a="1"/>
  <c r="BB52" i="1" s="1"/>
  <c r="BB43" i="1" a="1"/>
  <c r="BB43" i="1" s="1"/>
  <c r="BB84" i="1" a="1"/>
  <c r="BB84" i="1" s="1"/>
  <c r="BB73" i="1" a="1"/>
  <c r="BB73" i="1" s="1"/>
  <c r="BB61" i="1" a="1"/>
  <c r="BB61" i="1" s="1"/>
  <c r="BB51" i="1" a="1"/>
  <c r="BB51" i="1" s="1"/>
  <c r="BB74" i="1" a="1"/>
  <c r="BB74" i="1" s="1"/>
  <c r="BB62" i="1" a="1"/>
  <c r="BB62" i="1" s="1"/>
  <c r="BB50" i="1" a="1"/>
  <c r="BB50" i="1" s="1"/>
  <c r="BB63" i="1" a="1"/>
  <c r="BB63" i="1" s="1"/>
  <c r="BB49" i="1" a="1"/>
  <c r="BB49" i="1" s="1"/>
  <c r="BB88" i="1" a="1"/>
  <c r="BB88" i="1" s="1"/>
  <c r="BB83" i="1" a="1"/>
  <c r="BB83" i="1" s="1"/>
  <c r="BB64" i="1" a="1"/>
  <c r="BB64" i="1" s="1"/>
  <c r="BB48" i="1" a="1"/>
  <c r="BB48" i="1" s="1"/>
  <c r="BB115" i="1" a="1"/>
  <c r="BB115" i="1" s="1"/>
  <c r="BB65" i="1" a="1"/>
  <c r="BB65" i="1" s="1"/>
  <c r="BB89" i="1" a="1"/>
  <c r="BB89" i="1" s="1"/>
  <c r="BB66" i="1" a="1"/>
  <c r="BB66" i="1" s="1"/>
  <c r="BB67" i="1" a="1"/>
  <c r="BB67" i="1" s="1"/>
  <c r="BB68" i="1" a="1"/>
  <c r="BB68" i="1" s="1"/>
  <c r="BB56" i="1" a="1"/>
  <c r="BB56" i="1" s="1"/>
  <c r="S155" i="1" a="1"/>
  <c r="S155" i="1" s="1"/>
  <c r="S144" i="1" a="1"/>
  <c r="S144" i="1" s="1"/>
  <c r="S149" i="1" a="1"/>
  <c r="S149" i="1" s="1"/>
  <c r="S143" i="1" a="1"/>
  <c r="S143" i="1" s="1"/>
  <c r="S148" i="1" a="1"/>
  <c r="S148" i="1" s="1"/>
  <c r="S147" i="1" a="1"/>
  <c r="S147" i="1" s="1"/>
  <c r="S152" i="1" a="1"/>
  <c r="S152" i="1" s="1"/>
  <c r="S151" i="1" s="1"/>
  <c r="S150" i="1" s="1"/>
  <c r="S156" i="1" a="1"/>
  <c r="S156" i="1" s="1"/>
  <c r="S138" i="1" a="1"/>
  <c r="S138" i="1" s="1"/>
  <c r="S132" i="1" a="1"/>
  <c r="S132" i="1" s="1"/>
  <c r="S120" i="1" a="1"/>
  <c r="S120" i="1" s="1"/>
  <c r="S116" i="1" a="1"/>
  <c r="S116" i="1" s="1"/>
  <c r="S133" i="1" a="1"/>
  <c r="S133" i="1" s="1"/>
  <c r="S121" i="1" a="1"/>
  <c r="S121" i="1" s="1"/>
  <c r="S134" i="1" a="1"/>
  <c r="S134" i="1" s="1"/>
  <c r="S122" i="1" a="1"/>
  <c r="S122" i="1" s="1"/>
  <c r="S114" i="1" a="1"/>
  <c r="S114" i="1" s="1"/>
  <c r="S139" i="1" a="1"/>
  <c r="S139" i="1" s="1"/>
  <c r="S135" i="1" a="1"/>
  <c r="S135" i="1" s="1"/>
  <c r="S123" i="1" a="1"/>
  <c r="S123" i="1" s="1"/>
  <c r="S136" i="1" a="1"/>
  <c r="S136" i="1" s="1"/>
  <c r="S124" i="1" a="1"/>
  <c r="S124" i="1" s="1"/>
  <c r="S137" i="1" a="1"/>
  <c r="S137" i="1" s="1"/>
  <c r="S125" i="1" a="1"/>
  <c r="S125" i="1" s="1"/>
  <c r="S126" i="1" a="1"/>
  <c r="S126" i="1" s="1"/>
  <c r="S127" i="1" a="1"/>
  <c r="S127" i="1" s="1"/>
  <c r="S129" i="1" a="1"/>
  <c r="S129" i="1" s="1"/>
  <c r="S130" i="1" a="1"/>
  <c r="S130" i="1" s="1"/>
  <c r="S131" i="1" a="1"/>
  <c r="S131" i="1" s="1"/>
  <c r="S111" i="1" a="1"/>
  <c r="S111" i="1" s="1"/>
  <c r="S106" i="1" a="1"/>
  <c r="S106" i="1" s="1"/>
  <c r="S94" i="1" a="1"/>
  <c r="S94" i="1" s="1"/>
  <c r="S95" i="1" a="1"/>
  <c r="S95" i="1" s="1"/>
  <c r="S119" i="1" a="1"/>
  <c r="S119" i="1" s="1"/>
  <c r="S128" i="1" a="1"/>
  <c r="S128" i="1" s="1"/>
  <c r="S117" i="1" a="1"/>
  <c r="S117" i="1" s="1"/>
  <c r="S115" i="1" a="1"/>
  <c r="S115" i="1" s="1"/>
  <c r="S112" i="1" a="1"/>
  <c r="S112" i="1" s="1"/>
  <c r="S99" i="1" a="1"/>
  <c r="S99" i="1" s="1"/>
  <c r="S113" i="1" a="1"/>
  <c r="S113" i="1" s="1"/>
  <c r="S110" i="1" a="1"/>
  <c r="S110" i="1" s="1"/>
  <c r="S102" i="1" a="1"/>
  <c r="S102" i="1" s="1"/>
  <c r="S96" i="1" a="1"/>
  <c r="S96" i="1" s="1"/>
  <c r="S80" i="1" a="1"/>
  <c r="S80" i="1" s="1"/>
  <c r="S79" i="1" a="1"/>
  <c r="S79" i="1" s="1"/>
  <c r="S100" i="1" a="1"/>
  <c r="S100" i="1" s="1"/>
  <c r="S103" i="1" a="1"/>
  <c r="S103" i="1" s="1"/>
  <c r="S93" i="1" a="1"/>
  <c r="S93" i="1" s="1"/>
  <c r="S105" i="1" a="1"/>
  <c r="S105" i="1" s="1"/>
  <c r="S98" i="1" a="1"/>
  <c r="S98" i="1" s="1"/>
  <c r="S92" i="1" a="1"/>
  <c r="S92" i="1" s="1"/>
  <c r="S118" i="1" a="1"/>
  <c r="S118" i="1" s="1"/>
  <c r="S101" i="1" a="1"/>
  <c r="S101" i="1" s="1"/>
  <c r="S97" i="1" a="1"/>
  <c r="S97" i="1" s="1"/>
  <c r="S86" i="1" a="1"/>
  <c r="S86" i="1" s="1"/>
  <c r="S87" i="1" a="1"/>
  <c r="S87" i="1" s="1"/>
  <c r="S85" i="1" a="1"/>
  <c r="S85" i="1" s="1"/>
  <c r="S88" i="1" a="1"/>
  <c r="S88" i="1" s="1"/>
  <c r="S84" i="1" a="1"/>
  <c r="S84" i="1" s="1"/>
  <c r="S104" i="1" a="1"/>
  <c r="S104" i="1" s="1"/>
  <c r="S89" i="1" a="1"/>
  <c r="S89" i="1" s="1"/>
  <c r="S83" i="1" a="1"/>
  <c r="S83" i="1" s="1"/>
  <c r="S72" i="1" a="1"/>
  <c r="S72" i="1" s="1"/>
  <c r="S60" i="1" a="1"/>
  <c r="S60" i="1" s="1"/>
  <c r="S52" i="1" a="1"/>
  <c r="S52" i="1" s="1"/>
  <c r="S73" i="1" a="1"/>
  <c r="S73" i="1" s="1"/>
  <c r="S61" i="1" a="1"/>
  <c r="S61" i="1" s="1"/>
  <c r="S51" i="1" a="1"/>
  <c r="S51" i="1" s="1"/>
  <c r="S91" i="1" a="1"/>
  <c r="S91" i="1" s="1"/>
  <c r="S81" i="1" a="1"/>
  <c r="S81" i="1" s="1"/>
  <c r="S74" i="1" a="1"/>
  <c r="S74" i="1" s="1"/>
  <c r="S62" i="1" a="1"/>
  <c r="S62" i="1" s="1"/>
  <c r="S50" i="1" a="1"/>
  <c r="S50" i="1" s="1"/>
  <c r="S63" i="1" a="1"/>
  <c r="S63" i="1" s="1"/>
  <c r="S49" i="1" a="1"/>
  <c r="S49" i="1" s="1"/>
  <c r="S64" i="1" a="1"/>
  <c r="S64" i="1" s="1"/>
  <c r="S48" i="1" a="1"/>
  <c r="S48" i="1" s="1"/>
  <c r="S65" i="1" a="1"/>
  <c r="S65" i="1" s="1"/>
  <c r="S78" i="1" a="1"/>
  <c r="S78" i="1" s="1"/>
  <c r="S75" i="1" a="1"/>
  <c r="S75" i="1" s="1"/>
  <c r="S66" i="1" a="1"/>
  <c r="S66" i="1" s="1"/>
  <c r="S67" i="1" a="1"/>
  <c r="S67" i="1" s="1"/>
  <c r="S107" i="1" a="1"/>
  <c r="S107" i="1" s="1"/>
  <c r="S68" i="1" a="1"/>
  <c r="S68" i="1" s="1"/>
  <c r="S56" i="1" a="1"/>
  <c r="S56" i="1" s="1"/>
  <c r="S90" i="1" a="1"/>
  <c r="S90" i="1" s="1"/>
  <c r="S69" i="1" a="1"/>
  <c r="S69" i="1" s="1"/>
  <c r="S57" i="1" a="1"/>
  <c r="S57" i="1" s="1"/>
  <c r="S55" i="1" a="1"/>
  <c r="S55" i="1" s="1"/>
  <c r="S70" i="1" a="1"/>
  <c r="S70" i="1" s="1"/>
  <c r="S58" i="1" a="1"/>
  <c r="S58" i="1" s="1"/>
  <c r="AE155" i="1" a="1"/>
  <c r="AE155" i="1" s="1"/>
  <c r="AE144" i="1" a="1"/>
  <c r="AE144" i="1" s="1"/>
  <c r="AE149" i="1" a="1"/>
  <c r="AE149" i="1" s="1"/>
  <c r="AE143" i="1" a="1"/>
  <c r="AE143" i="1" s="1"/>
  <c r="AE148" i="1" a="1"/>
  <c r="AE148" i="1" s="1"/>
  <c r="AE147" i="1" a="1"/>
  <c r="AE147" i="1" s="1"/>
  <c r="AE152" i="1" a="1"/>
  <c r="AE152" i="1" s="1"/>
  <c r="AE151" i="1" s="1"/>
  <c r="AE150" i="1" s="1"/>
  <c r="AE156" i="1" a="1"/>
  <c r="AE156" i="1" s="1"/>
  <c r="AE138" i="1" a="1"/>
  <c r="AE138" i="1" s="1"/>
  <c r="AE132" i="1" a="1"/>
  <c r="AE132" i="1" s="1"/>
  <c r="AE120" i="1" a="1"/>
  <c r="AE120" i="1" s="1"/>
  <c r="AE116" i="1" a="1"/>
  <c r="AE116" i="1" s="1"/>
  <c r="AE139" i="1" a="1"/>
  <c r="AE139" i="1" s="1"/>
  <c r="AE133" i="1" a="1"/>
  <c r="AE133" i="1" s="1"/>
  <c r="AE121" i="1" a="1"/>
  <c r="AE121" i="1" s="1"/>
  <c r="AE134" i="1" a="1"/>
  <c r="AE134" i="1" s="1"/>
  <c r="AE122" i="1" a="1"/>
  <c r="AE122" i="1" s="1"/>
  <c r="AE114" i="1" a="1"/>
  <c r="AE114" i="1" s="1"/>
  <c r="AE135" i="1" a="1"/>
  <c r="AE135" i="1" s="1"/>
  <c r="AE123" i="1" a="1"/>
  <c r="AE123" i="1" s="1"/>
  <c r="AE136" i="1" a="1"/>
  <c r="AE136" i="1" s="1"/>
  <c r="AE124" i="1" a="1"/>
  <c r="AE124" i="1" s="1"/>
  <c r="AE137" i="1" a="1"/>
  <c r="AE137" i="1" s="1"/>
  <c r="AE125" i="1" a="1"/>
  <c r="AE125" i="1" s="1"/>
  <c r="AE126" i="1" a="1"/>
  <c r="AE126" i="1" s="1"/>
  <c r="AE127" i="1" a="1"/>
  <c r="AE127" i="1" s="1"/>
  <c r="AE129" i="1" a="1"/>
  <c r="AE129" i="1" s="1"/>
  <c r="AE130" i="1" a="1"/>
  <c r="AE130" i="1" s="1"/>
  <c r="AE106" i="1" a="1"/>
  <c r="AE106" i="1" s="1"/>
  <c r="AE94" i="1" a="1"/>
  <c r="AE94" i="1" s="1"/>
  <c r="AE117" i="1" a="1"/>
  <c r="AE117" i="1" s="1"/>
  <c r="AE95" i="1" a="1"/>
  <c r="AE95" i="1" s="1"/>
  <c r="AE119" i="1" a="1"/>
  <c r="AE119" i="1" s="1"/>
  <c r="AE107" i="1" a="1"/>
  <c r="AE107" i="1" s="1"/>
  <c r="AE97" i="1" a="1"/>
  <c r="AE97" i="1" s="1"/>
  <c r="AE111" i="1" a="1"/>
  <c r="AE111" i="1" s="1"/>
  <c r="AE99" i="1" a="1"/>
  <c r="AE99" i="1" s="1"/>
  <c r="AE112" i="1" a="1"/>
  <c r="AE112" i="1" s="1"/>
  <c r="AE131" i="1" a="1"/>
  <c r="AE131" i="1" s="1"/>
  <c r="AE118" i="1" a="1"/>
  <c r="AE118" i="1" s="1"/>
  <c r="AE102" i="1" a="1"/>
  <c r="AE102" i="1" s="1"/>
  <c r="AE115" i="1" a="1"/>
  <c r="AE115" i="1" s="1"/>
  <c r="AE80" i="1" a="1"/>
  <c r="AE80" i="1" s="1"/>
  <c r="AE79" i="1" a="1"/>
  <c r="AE79" i="1" s="1"/>
  <c r="AE100" i="1" a="1"/>
  <c r="AE100" i="1" s="1"/>
  <c r="AE103" i="1" a="1"/>
  <c r="AE103" i="1" s="1"/>
  <c r="AE96" i="1" a="1"/>
  <c r="AE96" i="1" s="1"/>
  <c r="AE93" i="1" a="1"/>
  <c r="AE93" i="1" s="1"/>
  <c r="AE105" i="1" a="1"/>
  <c r="AE105" i="1" s="1"/>
  <c r="AE101" i="1" a="1"/>
  <c r="AE101" i="1" s="1"/>
  <c r="AE86" i="1" a="1"/>
  <c r="AE86" i="1" s="1"/>
  <c r="AE128" i="1" a="1"/>
  <c r="AE128" i="1" s="1"/>
  <c r="AE92" i="1" a="1"/>
  <c r="AE92" i="1" s="1"/>
  <c r="AE87" i="1" a="1"/>
  <c r="AE87" i="1" s="1"/>
  <c r="AE85" i="1" a="1"/>
  <c r="AE85" i="1" s="1"/>
  <c r="AE113" i="1" a="1"/>
  <c r="AE113" i="1" s="1"/>
  <c r="AE88" i="1" a="1"/>
  <c r="AE88" i="1" s="1"/>
  <c r="AE84" i="1" a="1"/>
  <c r="AE84" i="1" s="1"/>
  <c r="AE110" i="1" a="1"/>
  <c r="AE110" i="1" s="1"/>
  <c r="AE104" i="1" a="1"/>
  <c r="AE104" i="1" s="1"/>
  <c r="AE89" i="1" a="1"/>
  <c r="AE89" i="1" s="1"/>
  <c r="AE83" i="1" a="1"/>
  <c r="AE83" i="1" s="1"/>
  <c r="AE78" i="1" a="1"/>
  <c r="AE78" i="1" s="1"/>
  <c r="AE72" i="1" a="1"/>
  <c r="AE72" i="1" s="1"/>
  <c r="AE60" i="1" a="1"/>
  <c r="AE60" i="1" s="1"/>
  <c r="AE52" i="1" a="1"/>
  <c r="AE52" i="1" s="1"/>
  <c r="AE73" i="1" a="1"/>
  <c r="AE73" i="1" s="1"/>
  <c r="AE61" i="1" a="1"/>
  <c r="AE61" i="1" s="1"/>
  <c r="AE51" i="1" a="1"/>
  <c r="AE51" i="1" s="1"/>
  <c r="AE74" i="1" a="1"/>
  <c r="AE74" i="1" s="1"/>
  <c r="AE62" i="1" a="1"/>
  <c r="AE62" i="1" s="1"/>
  <c r="AE50" i="1" a="1"/>
  <c r="AE50" i="1" s="1"/>
  <c r="AE82" i="1" a="1"/>
  <c r="AE82" i="1" s="1"/>
  <c r="AE63" i="1" a="1"/>
  <c r="AE63" i="1" s="1"/>
  <c r="AE49" i="1" a="1"/>
  <c r="AE49" i="1" s="1"/>
  <c r="AE64" i="1" a="1"/>
  <c r="AE64" i="1" s="1"/>
  <c r="AE48" i="1" a="1"/>
  <c r="AE48" i="1" s="1"/>
  <c r="AE90" i="1" a="1"/>
  <c r="AE90" i="1" s="1"/>
  <c r="AE65" i="1" a="1"/>
  <c r="AE65" i="1" s="1"/>
  <c r="AE81" i="1" a="1"/>
  <c r="AE81" i="1" s="1"/>
  <c r="AE66" i="1" a="1"/>
  <c r="AE66" i="1" s="1"/>
  <c r="AE98" i="1" a="1"/>
  <c r="AE98" i="1" s="1"/>
  <c r="AE67" i="1" a="1"/>
  <c r="AE67" i="1" s="1"/>
  <c r="AE68" i="1" a="1"/>
  <c r="AE68" i="1" s="1"/>
  <c r="AE56" i="1" a="1"/>
  <c r="AE56" i="1" s="1"/>
  <c r="AE69" i="1" a="1"/>
  <c r="AE69" i="1" s="1"/>
  <c r="AE57" i="1" a="1"/>
  <c r="AE57" i="1" s="1"/>
  <c r="AE55" i="1" a="1"/>
  <c r="AE55" i="1" s="1"/>
  <c r="AE91" i="1" a="1"/>
  <c r="AE91" i="1" s="1"/>
  <c r="AE75" i="1" a="1"/>
  <c r="AE75" i="1" s="1"/>
  <c r="AE70" i="1" a="1"/>
  <c r="AE70" i="1" s="1"/>
  <c r="AE58" i="1" a="1"/>
  <c r="AE58" i="1" s="1"/>
  <c r="AQ155" i="1" a="1"/>
  <c r="AQ155" i="1" s="1"/>
  <c r="AQ144" i="1" a="1"/>
  <c r="AQ144" i="1" s="1"/>
  <c r="AQ149" i="1" a="1"/>
  <c r="AQ149" i="1" s="1"/>
  <c r="AQ143" i="1" a="1"/>
  <c r="AQ143" i="1" s="1"/>
  <c r="AQ148" i="1" a="1"/>
  <c r="AQ148" i="1" s="1"/>
  <c r="AQ147" i="1" a="1"/>
  <c r="AQ147" i="1" s="1"/>
  <c r="AQ152" i="1" a="1"/>
  <c r="AQ152" i="1" s="1"/>
  <c r="AQ151" i="1" s="1"/>
  <c r="AQ150" i="1" s="1"/>
  <c r="AQ156" i="1" a="1"/>
  <c r="AQ156" i="1" s="1"/>
  <c r="AQ138" i="1" a="1"/>
  <c r="AQ138" i="1" s="1"/>
  <c r="AQ132" i="1" a="1"/>
  <c r="AQ132" i="1" s="1"/>
  <c r="AQ120" i="1" a="1"/>
  <c r="AQ120" i="1" s="1"/>
  <c r="AQ116" i="1" a="1"/>
  <c r="AQ116" i="1" s="1"/>
  <c r="AQ133" i="1" a="1"/>
  <c r="AQ133" i="1" s="1"/>
  <c r="AQ121" i="1" a="1"/>
  <c r="AQ121" i="1" s="1"/>
  <c r="AQ134" i="1" a="1"/>
  <c r="AQ134" i="1" s="1"/>
  <c r="AQ122" i="1" a="1"/>
  <c r="AQ122" i="1" s="1"/>
  <c r="AQ114" i="1" a="1"/>
  <c r="AQ114" i="1" s="1"/>
  <c r="AQ135" i="1" a="1"/>
  <c r="AQ135" i="1" s="1"/>
  <c r="AQ123" i="1" a="1"/>
  <c r="AQ123" i="1" s="1"/>
  <c r="AQ136" i="1" a="1"/>
  <c r="AQ136" i="1" s="1"/>
  <c r="AQ124" i="1" a="1"/>
  <c r="AQ124" i="1" s="1"/>
  <c r="AQ125" i="1" a="1"/>
  <c r="AQ125" i="1" s="1"/>
  <c r="AQ126" i="1" a="1"/>
  <c r="AQ126" i="1" s="1"/>
  <c r="AQ137" i="1" a="1"/>
  <c r="AQ137" i="1" s="1"/>
  <c r="AQ127" i="1" a="1"/>
  <c r="AQ127" i="1" s="1"/>
  <c r="AQ129" i="1" a="1"/>
  <c r="AQ129" i="1" s="1"/>
  <c r="AQ130" i="1" a="1"/>
  <c r="AQ130" i="1" s="1"/>
  <c r="AQ139" i="1" a="1"/>
  <c r="AQ139" i="1" s="1"/>
  <c r="AQ94" i="1" a="1"/>
  <c r="AQ94" i="1" s="1"/>
  <c r="AQ95" i="1" a="1"/>
  <c r="AQ95" i="1" s="1"/>
  <c r="AQ119" i="1" a="1"/>
  <c r="AQ119" i="1" s="1"/>
  <c r="AQ115" i="1" a="1"/>
  <c r="AQ115" i="1" s="1"/>
  <c r="AQ113" i="1" a="1"/>
  <c r="AQ113" i="1" s="1"/>
  <c r="AQ110" i="1" a="1"/>
  <c r="AQ110" i="1" s="1"/>
  <c r="AQ97" i="1" a="1"/>
  <c r="AQ97" i="1" s="1"/>
  <c r="AQ131" i="1" a="1"/>
  <c r="AQ131" i="1" s="1"/>
  <c r="AQ99" i="1" a="1"/>
  <c r="AQ99" i="1" s="1"/>
  <c r="AQ128" i="1" a="1"/>
  <c r="AQ128" i="1" s="1"/>
  <c r="AQ118" i="1" a="1"/>
  <c r="AQ118" i="1" s="1"/>
  <c r="AQ107" i="1" a="1"/>
  <c r="AQ107" i="1" s="1"/>
  <c r="AQ111" i="1" a="1"/>
  <c r="AQ111" i="1" s="1"/>
  <c r="AQ102" i="1" a="1"/>
  <c r="AQ102" i="1" s="1"/>
  <c r="AQ80" i="1" a="1"/>
  <c r="AQ80" i="1" s="1"/>
  <c r="AQ112" i="1" a="1"/>
  <c r="AQ112" i="1" s="1"/>
  <c r="AQ79" i="1" a="1"/>
  <c r="AQ79" i="1" s="1"/>
  <c r="AQ100" i="1" a="1"/>
  <c r="AQ100" i="1" s="1"/>
  <c r="AQ78" i="1" a="1"/>
  <c r="AQ78" i="1" s="1"/>
  <c r="AQ103" i="1" a="1"/>
  <c r="AQ103" i="1" s="1"/>
  <c r="AQ98" i="1" a="1"/>
  <c r="AQ98" i="1" s="1"/>
  <c r="AQ101" i="1" a="1"/>
  <c r="AQ101" i="1" s="1"/>
  <c r="AQ86" i="1" a="1"/>
  <c r="AQ86" i="1" s="1"/>
  <c r="AQ117" i="1" a="1"/>
  <c r="AQ117" i="1" s="1"/>
  <c r="AQ93" i="1" a="1"/>
  <c r="AQ93" i="1" s="1"/>
  <c r="AQ87" i="1" a="1"/>
  <c r="AQ87" i="1" s="1"/>
  <c r="AQ85" i="1" a="1"/>
  <c r="AQ85" i="1" s="1"/>
  <c r="AQ105" i="1" a="1"/>
  <c r="AQ105" i="1" s="1"/>
  <c r="AQ96" i="1" a="1"/>
  <c r="AQ96" i="1" s="1"/>
  <c r="AQ88" i="1" a="1"/>
  <c r="AQ88" i="1" s="1"/>
  <c r="AQ84" i="1" a="1"/>
  <c r="AQ84" i="1" s="1"/>
  <c r="AQ104" i="1" a="1"/>
  <c r="AQ104" i="1" s="1"/>
  <c r="AQ92" i="1" a="1"/>
  <c r="AQ92" i="1" s="1"/>
  <c r="AQ89" i="1" a="1"/>
  <c r="AQ89" i="1" s="1"/>
  <c r="AQ83" i="1" a="1"/>
  <c r="AQ83" i="1" s="1"/>
  <c r="AQ72" i="1" a="1"/>
  <c r="AQ72" i="1" s="1"/>
  <c r="AQ60" i="1" a="1"/>
  <c r="AQ60" i="1" s="1"/>
  <c r="AQ52" i="1" a="1"/>
  <c r="AQ52" i="1" s="1"/>
  <c r="AQ90" i="1" a="1"/>
  <c r="AQ90" i="1" s="1"/>
  <c r="AQ73" i="1" a="1"/>
  <c r="AQ73" i="1" s="1"/>
  <c r="AQ61" i="1" a="1"/>
  <c r="AQ61" i="1" s="1"/>
  <c r="AQ51" i="1" a="1"/>
  <c r="AQ51" i="1" s="1"/>
  <c r="AQ75" i="1" a="1"/>
  <c r="AQ75" i="1" s="1"/>
  <c r="AQ74" i="1" a="1"/>
  <c r="AQ74" i="1" s="1"/>
  <c r="AQ62" i="1" a="1"/>
  <c r="AQ62" i="1" s="1"/>
  <c r="AQ50" i="1" a="1"/>
  <c r="AQ50" i="1" s="1"/>
  <c r="AQ63" i="1" a="1"/>
  <c r="AQ63" i="1" s="1"/>
  <c r="AQ49" i="1" a="1"/>
  <c r="AQ49" i="1" s="1"/>
  <c r="AQ64" i="1" a="1"/>
  <c r="AQ64" i="1" s="1"/>
  <c r="AQ48" i="1" a="1"/>
  <c r="AQ48" i="1" s="1"/>
  <c r="AQ106" i="1" a="1"/>
  <c r="AQ106" i="1" s="1"/>
  <c r="AQ65" i="1" a="1"/>
  <c r="AQ65" i="1" s="1"/>
  <c r="AQ91" i="1" a="1"/>
  <c r="AQ91" i="1" s="1"/>
  <c r="AQ66" i="1" a="1"/>
  <c r="AQ66" i="1" s="1"/>
  <c r="AQ82" i="1" a="1"/>
  <c r="AQ82" i="1" s="1"/>
  <c r="AQ67" i="1" a="1"/>
  <c r="AQ67" i="1" s="1"/>
  <c r="AQ68" i="1" a="1"/>
  <c r="AQ68" i="1" s="1"/>
  <c r="AQ56" i="1" a="1"/>
  <c r="AQ56" i="1" s="1"/>
  <c r="AQ69" i="1" a="1"/>
  <c r="AQ69" i="1" s="1"/>
  <c r="AQ57" i="1" a="1"/>
  <c r="AQ57" i="1" s="1"/>
  <c r="AQ55" i="1" a="1"/>
  <c r="AQ55" i="1" s="1"/>
  <c r="AQ81" i="1" a="1"/>
  <c r="AQ81" i="1" s="1"/>
  <c r="AQ70" i="1" a="1"/>
  <c r="AQ70" i="1" s="1"/>
  <c r="AQ58" i="1" a="1"/>
  <c r="AQ58" i="1" s="1"/>
  <c r="BC155" i="1" a="1"/>
  <c r="BC155" i="1" s="1"/>
  <c r="BC144" i="1" a="1"/>
  <c r="BC144" i="1" s="1"/>
  <c r="BC149" i="1" a="1"/>
  <c r="BC149" i="1" s="1"/>
  <c r="BC143" i="1" a="1"/>
  <c r="BC143" i="1" s="1"/>
  <c r="BC148" i="1" a="1"/>
  <c r="BC148" i="1" s="1"/>
  <c r="BC147" i="1" a="1"/>
  <c r="BC147" i="1" s="1"/>
  <c r="BC152" i="1" a="1"/>
  <c r="BC152" i="1" s="1"/>
  <c r="BC151" i="1" s="1"/>
  <c r="BC150" i="1" s="1"/>
  <c r="BC156" i="1" a="1"/>
  <c r="BC156" i="1" s="1"/>
  <c r="BC138" i="1" a="1"/>
  <c r="BC138" i="1" s="1"/>
  <c r="BC139" i="1" a="1"/>
  <c r="BC139" i="1" s="1"/>
  <c r="BC132" i="1" a="1"/>
  <c r="BC132" i="1" s="1"/>
  <c r="BC120" i="1" a="1"/>
  <c r="BC120" i="1" s="1"/>
  <c r="BC116" i="1" a="1"/>
  <c r="BC116" i="1" s="1"/>
  <c r="BC137" i="1" a="1"/>
  <c r="BC137" i="1" s="1"/>
  <c r="BC133" i="1" a="1"/>
  <c r="BC133" i="1" s="1"/>
  <c r="BC121" i="1" a="1"/>
  <c r="BC121" i="1" s="1"/>
  <c r="BC134" i="1" a="1"/>
  <c r="BC134" i="1" s="1"/>
  <c r="BC122" i="1" a="1"/>
  <c r="BC122" i="1" s="1"/>
  <c r="BC114" i="1" a="1"/>
  <c r="BC114" i="1" s="1"/>
  <c r="BC135" i="1" a="1"/>
  <c r="BC135" i="1" s="1"/>
  <c r="BC123" i="1" a="1"/>
  <c r="BC123" i="1" s="1"/>
  <c r="BC136" i="1" a="1"/>
  <c r="BC136" i="1" s="1"/>
  <c r="BC124" i="1" a="1"/>
  <c r="BC124" i="1" s="1"/>
  <c r="BC125" i="1" a="1"/>
  <c r="BC125" i="1" s="1"/>
  <c r="BC126" i="1" a="1"/>
  <c r="BC126" i="1" s="1"/>
  <c r="BC127" i="1" a="1"/>
  <c r="BC127" i="1" s="1"/>
  <c r="BC129" i="1" a="1"/>
  <c r="BC129" i="1" s="1"/>
  <c r="BC130" i="1" a="1"/>
  <c r="BC130" i="1" s="1"/>
  <c r="BC131" i="1" a="1"/>
  <c r="BC131" i="1" s="1"/>
  <c r="BC111" i="1" a="1"/>
  <c r="BC111" i="1" s="1"/>
  <c r="BC94" i="1" a="1"/>
  <c r="BC94" i="1" s="1"/>
  <c r="BC95" i="1" a="1"/>
  <c r="BC95" i="1" s="1"/>
  <c r="BC119" i="1" a="1"/>
  <c r="BC119" i="1" s="1"/>
  <c r="BC128" i="1" a="1"/>
  <c r="BC128" i="1" s="1"/>
  <c r="BC112" i="1" a="1"/>
  <c r="BC112" i="1" s="1"/>
  <c r="BC97" i="1" a="1"/>
  <c r="BC97" i="1" s="1"/>
  <c r="BC106" i="1" a="1"/>
  <c r="BC106" i="1" s="1"/>
  <c r="BC99" i="1" a="1"/>
  <c r="BC99" i="1" s="1"/>
  <c r="BC118" i="1" a="1"/>
  <c r="BC118" i="1" s="1"/>
  <c r="BC113" i="1" a="1"/>
  <c r="BC113" i="1" s="1"/>
  <c r="BC110" i="1" a="1"/>
  <c r="BC110" i="1" s="1"/>
  <c r="BC102" i="1" a="1"/>
  <c r="BC102" i="1" s="1"/>
  <c r="BC117" i="1" a="1"/>
  <c r="BC117" i="1" s="1"/>
  <c r="BC115" i="1" a="1"/>
  <c r="BC115" i="1" s="1"/>
  <c r="BC96" i="1" a="1"/>
  <c r="BC96" i="1" s="1"/>
  <c r="BC80" i="1" a="1"/>
  <c r="BC80" i="1" s="1"/>
  <c r="BC91" i="1" a="1"/>
  <c r="BC91" i="1" s="1"/>
  <c r="BC79" i="1" a="1"/>
  <c r="BC79" i="1" s="1"/>
  <c r="BC100" i="1" a="1"/>
  <c r="BC100" i="1" s="1"/>
  <c r="BC78" i="1" a="1"/>
  <c r="BC78" i="1" s="1"/>
  <c r="BC103" i="1" a="1"/>
  <c r="BC103" i="1" s="1"/>
  <c r="BC101" i="1" a="1"/>
  <c r="BC101" i="1" s="1"/>
  <c r="BC86" i="1" a="1"/>
  <c r="BC86" i="1" s="1"/>
  <c r="BC87" i="1" a="1"/>
  <c r="BC87" i="1" s="1"/>
  <c r="BC85" i="1" a="1"/>
  <c r="BC85" i="1" s="1"/>
  <c r="BC88" i="1" a="1"/>
  <c r="BC88" i="1" s="1"/>
  <c r="BC84" i="1" a="1"/>
  <c r="BC84" i="1" s="1"/>
  <c r="BC107" i="1" a="1"/>
  <c r="BC107" i="1" s="1"/>
  <c r="BC104" i="1" a="1"/>
  <c r="BC104" i="1" s="1"/>
  <c r="BC89" i="1" a="1"/>
  <c r="BC89" i="1" s="1"/>
  <c r="BC83" i="1" a="1"/>
  <c r="BC83" i="1" s="1"/>
  <c r="BC72" i="1" a="1"/>
  <c r="BC72" i="1" s="1"/>
  <c r="BC60" i="1" a="1"/>
  <c r="BC60" i="1" s="1"/>
  <c r="BC52" i="1" a="1"/>
  <c r="BC52" i="1" s="1"/>
  <c r="BC98" i="1" a="1"/>
  <c r="BC98" i="1" s="1"/>
  <c r="BC82" i="1" a="1"/>
  <c r="BC82" i="1" s="1"/>
  <c r="BC73" i="1" a="1"/>
  <c r="BC73" i="1" s="1"/>
  <c r="BC61" i="1" a="1"/>
  <c r="BC61" i="1" s="1"/>
  <c r="BC51" i="1" a="1"/>
  <c r="BC51" i="1" s="1"/>
  <c r="BC81" i="1" a="1"/>
  <c r="BC81" i="1" s="1"/>
  <c r="BC74" i="1" a="1"/>
  <c r="BC74" i="1" s="1"/>
  <c r="BC62" i="1" a="1"/>
  <c r="BC62" i="1" s="1"/>
  <c r="BC50" i="1" a="1"/>
  <c r="BC50" i="1" s="1"/>
  <c r="BC42" i="1" a="1"/>
  <c r="BC42" i="1" s="1"/>
  <c r="BC105" i="1" a="1"/>
  <c r="BC105" i="1" s="1"/>
  <c r="BC63" i="1" a="1"/>
  <c r="BC63" i="1" s="1"/>
  <c r="BC49" i="1" a="1"/>
  <c r="BC49" i="1" s="1"/>
  <c r="BC64" i="1" a="1"/>
  <c r="BC64" i="1" s="1"/>
  <c r="BC48" i="1" a="1"/>
  <c r="BC48" i="1" s="1"/>
  <c r="BC65" i="1" a="1"/>
  <c r="BC65" i="1" s="1"/>
  <c r="BC92" i="1" a="1"/>
  <c r="BC92" i="1" s="1"/>
  <c r="BC75" i="1" a="1"/>
  <c r="BC75" i="1" s="1"/>
  <c r="BC66" i="1" a="1"/>
  <c r="BC66" i="1" s="1"/>
  <c r="BC67" i="1" a="1"/>
  <c r="BC67" i="1" s="1"/>
  <c r="BC68" i="1" a="1"/>
  <c r="BC68" i="1" s="1"/>
  <c r="BC56" i="1" a="1"/>
  <c r="BC56" i="1" s="1"/>
  <c r="BC90" i="1" a="1"/>
  <c r="BC90" i="1" s="1"/>
  <c r="BC69" i="1" a="1"/>
  <c r="BC69" i="1" s="1"/>
  <c r="BC57" i="1" a="1"/>
  <c r="BC57" i="1" s="1"/>
  <c r="BC55" i="1" a="1"/>
  <c r="BC55" i="1" s="1"/>
  <c r="BC93" i="1" a="1"/>
  <c r="BC93" i="1" s="1"/>
  <c r="BC70" i="1" a="1"/>
  <c r="BC70" i="1" s="1"/>
  <c r="BC58" i="1" a="1"/>
  <c r="BC58" i="1" s="1"/>
  <c r="R16" i="1" a="1"/>
  <c r="R16" i="1" s="1"/>
  <c r="X16" i="1" a="1"/>
  <c r="X16" i="1" s="1"/>
  <c r="AD16" i="1" a="1"/>
  <c r="AD16" i="1" s="1"/>
  <c r="AJ16" i="1" a="1"/>
  <c r="AJ16" i="1" s="1"/>
  <c r="AP16" i="1" a="1"/>
  <c r="AP16" i="1" s="1"/>
  <c r="AV16" i="1" a="1"/>
  <c r="AV16" i="1" s="1"/>
  <c r="BB16" i="1" a="1"/>
  <c r="BB16" i="1" s="1"/>
  <c r="BH16" i="1" a="1"/>
  <c r="BH16" i="1" s="1"/>
  <c r="BN16" i="1" a="1"/>
  <c r="BN16" i="1" s="1"/>
  <c r="R23" i="1" a="1"/>
  <c r="R23" i="1" s="1"/>
  <c r="R22" i="1" s="1"/>
  <c r="X23" i="1" a="1"/>
  <c r="X23" i="1" s="1"/>
  <c r="X22" i="1" s="1"/>
  <c r="AD23" i="1" a="1"/>
  <c r="AD23" i="1" s="1"/>
  <c r="AD22" i="1" s="1"/>
  <c r="AJ23" i="1" a="1"/>
  <c r="AJ23" i="1" s="1"/>
  <c r="AJ22" i="1" s="1"/>
  <c r="AP23" i="1" a="1"/>
  <c r="AP23" i="1" s="1"/>
  <c r="AP22" i="1" s="1"/>
  <c r="AV23" i="1" a="1"/>
  <c r="AV23" i="1" s="1"/>
  <c r="AV22" i="1" s="1"/>
  <c r="BB23" i="1" a="1"/>
  <c r="BB23" i="1" s="1"/>
  <c r="BB22" i="1" s="1"/>
  <c r="BH23" i="1" a="1"/>
  <c r="BH23" i="1" s="1"/>
  <c r="BH22" i="1" s="1"/>
  <c r="BN23" i="1" a="1"/>
  <c r="BN23" i="1" s="1"/>
  <c r="BN22" i="1" s="1"/>
  <c r="R28" i="1" a="1"/>
  <c r="R28" i="1" s="1"/>
  <c r="R27" i="1" s="1"/>
  <c r="R26" i="1" s="1"/>
  <c r="X28" i="1" a="1"/>
  <c r="X28" i="1" s="1"/>
  <c r="AD28" i="1" a="1"/>
  <c r="AD28" i="1" s="1"/>
  <c r="AJ28" i="1" a="1"/>
  <c r="AJ28" i="1" s="1"/>
  <c r="AP28" i="1" a="1"/>
  <c r="AP28" i="1" s="1"/>
  <c r="AV28" i="1" a="1"/>
  <c r="AV28" i="1" s="1"/>
  <c r="BB28" i="1" a="1"/>
  <c r="BB28" i="1" s="1"/>
  <c r="BH28" i="1" a="1"/>
  <c r="BH28" i="1" s="1"/>
  <c r="BN28" i="1" a="1"/>
  <c r="BN28" i="1" s="1"/>
  <c r="Q29" i="1" a="1"/>
  <c r="Q29" i="1" s="1"/>
  <c r="W29" i="1" a="1"/>
  <c r="W29" i="1" s="1"/>
  <c r="AC29" i="1" a="1"/>
  <c r="AC29" i="1" s="1"/>
  <c r="AI29" i="1" a="1"/>
  <c r="AI29" i="1" s="1"/>
  <c r="AO29" i="1" a="1"/>
  <c r="AO29" i="1" s="1"/>
  <c r="AU29" i="1" a="1"/>
  <c r="AU29" i="1" s="1"/>
  <c r="BA29" i="1" a="1"/>
  <c r="BA29" i="1" s="1"/>
  <c r="BG29" i="1" a="1"/>
  <c r="BG29" i="1" s="1"/>
  <c r="BM29" i="1" a="1"/>
  <c r="BM29" i="1" s="1"/>
  <c r="V30" i="1" a="1"/>
  <c r="V30" i="1" s="1"/>
  <c r="AB30" i="1" a="1"/>
  <c r="AB30" i="1" s="1"/>
  <c r="AH30" i="1" a="1"/>
  <c r="AH30" i="1" s="1"/>
  <c r="AN30" i="1" a="1"/>
  <c r="AN30" i="1" s="1"/>
  <c r="AT30" i="1" a="1"/>
  <c r="AT30" i="1" s="1"/>
  <c r="AZ30" i="1" a="1"/>
  <c r="AZ30" i="1" s="1"/>
  <c r="BF30" i="1" a="1"/>
  <c r="BF30" i="1" s="1"/>
  <c r="BL30" i="1" a="1"/>
  <c r="BL30" i="1" s="1"/>
  <c r="U31" i="1" a="1"/>
  <c r="U31" i="1" s="1"/>
  <c r="AA31" i="1" a="1"/>
  <c r="AA31" i="1" s="1"/>
  <c r="AG31" i="1" a="1"/>
  <c r="AG31" i="1" s="1"/>
  <c r="AM31" i="1" a="1"/>
  <c r="AM31" i="1" s="1"/>
  <c r="AS31" i="1" a="1"/>
  <c r="AS31" i="1" s="1"/>
  <c r="AY31" i="1" a="1"/>
  <c r="AY31" i="1" s="1"/>
  <c r="BE31" i="1" a="1"/>
  <c r="BE31" i="1" s="1"/>
  <c r="BK31" i="1" a="1"/>
  <c r="BK31" i="1" s="1"/>
  <c r="T32" i="1" a="1"/>
  <c r="T32" i="1" s="1"/>
  <c r="Z32" i="1" a="1"/>
  <c r="Z32" i="1" s="1"/>
  <c r="AF32" i="1" a="1"/>
  <c r="AF32" i="1" s="1"/>
  <c r="AL32" i="1" a="1"/>
  <c r="AL32" i="1" s="1"/>
  <c r="AR32" i="1" a="1"/>
  <c r="AR32" i="1" s="1"/>
  <c r="AX32" i="1" a="1"/>
  <c r="AX32" i="1" s="1"/>
  <c r="BD32" i="1" a="1"/>
  <c r="BD32" i="1" s="1"/>
  <c r="BJ32" i="1" a="1"/>
  <c r="BJ32" i="1" s="1"/>
  <c r="S33" i="1" a="1"/>
  <c r="S33" i="1" s="1"/>
  <c r="AE33" i="1" a="1"/>
  <c r="AE33" i="1" s="1"/>
  <c r="AK33" i="1" a="1"/>
  <c r="AK33" i="1" s="1"/>
  <c r="AQ33" i="1" a="1"/>
  <c r="AQ33" i="1" s="1"/>
  <c r="AW33" i="1" a="1"/>
  <c r="AW33" i="1" s="1"/>
  <c r="BC33" i="1" a="1"/>
  <c r="BC33" i="1" s="1"/>
  <c r="BI33" i="1" a="1"/>
  <c r="BI33" i="1" s="1"/>
  <c r="R34" i="1" a="1"/>
  <c r="R34" i="1" s="1"/>
  <c r="X34" i="1" a="1"/>
  <c r="X34" i="1" s="1"/>
  <c r="AD34" i="1" a="1"/>
  <c r="AD34" i="1" s="1"/>
  <c r="AJ34" i="1" a="1"/>
  <c r="AJ34" i="1" s="1"/>
  <c r="AP34" i="1" a="1"/>
  <c r="AP34" i="1" s="1"/>
  <c r="AV34" i="1" a="1"/>
  <c r="AV34" i="1" s="1"/>
  <c r="BB34" i="1" a="1"/>
  <c r="BB34" i="1" s="1"/>
  <c r="BH34" i="1" a="1"/>
  <c r="BH34" i="1" s="1"/>
  <c r="BN34" i="1" a="1"/>
  <c r="BN34" i="1" s="1"/>
  <c r="U36" i="1" a="1"/>
  <c r="U36" i="1" s="1"/>
  <c r="AA36" i="1" a="1"/>
  <c r="AA36" i="1" s="1"/>
  <c r="AG36" i="1" a="1"/>
  <c r="AG36" i="1" s="1"/>
  <c r="AM36" i="1" a="1"/>
  <c r="AM36" i="1" s="1"/>
  <c r="AS36" i="1" a="1"/>
  <c r="AS36" i="1" s="1"/>
  <c r="AY36" i="1" a="1"/>
  <c r="AY36" i="1" s="1"/>
  <c r="BE36" i="1" a="1"/>
  <c r="BE36" i="1" s="1"/>
  <c r="T37" i="1" a="1"/>
  <c r="T37" i="1" s="1"/>
  <c r="Z37" i="1" a="1"/>
  <c r="Z37" i="1" s="1"/>
  <c r="AX37" i="1" a="1"/>
  <c r="AX37" i="1" s="1"/>
  <c r="BD37" i="1" a="1"/>
  <c r="BD37" i="1" s="1"/>
  <c r="BJ37" i="1" a="1"/>
  <c r="BJ37" i="1" s="1"/>
  <c r="T42" i="1" a="1"/>
  <c r="T42" i="1" s="1"/>
  <c r="AG42" i="1" a="1"/>
  <c r="AG42" i="1" s="1"/>
  <c r="AT42" i="1" a="1"/>
  <c r="AT42" i="1" s="1"/>
  <c r="BH42" i="1" a="1"/>
  <c r="BH42" i="1" s="1"/>
  <c r="S43" i="1" a="1"/>
  <c r="S43" i="1" s="1"/>
  <c r="BL43" i="1" a="1"/>
  <c r="BL43" i="1" s="1"/>
  <c r="T44" i="1" a="1"/>
  <c r="T44" i="1" s="1"/>
  <c r="W48" i="1" a="1"/>
  <c r="W48" i="1" s="1"/>
  <c r="AO48" i="1" a="1"/>
  <c r="AO48" i="1" s="1"/>
  <c r="BG48" i="1" a="1"/>
  <c r="BG48" i="1" s="1"/>
  <c r="AY50" i="1" a="1"/>
  <c r="AY50" i="1" s="1"/>
  <c r="Z52" i="1" a="1"/>
  <c r="Z52" i="1" s="1"/>
  <c r="BJ52" i="1" a="1"/>
  <c r="BJ52" i="1" s="1"/>
  <c r="AP57" i="1" a="1"/>
  <c r="AP57" i="1" s="1"/>
  <c r="AE59" i="1" a="1"/>
  <c r="AE59" i="1" s="1"/>
  <c r="Z61" i="1" a="1"/>
  <c r="Z61" i="1" s="1"/>
  <c r="U63" i="1" a="1"/>
  <c r="U63" i="1" s="1"/>
  <c r="BG67" i="1" a="1"/>
  <c r="BG67" i="1" s="1"/>
  <c r="AP69" i="1" a="1"/>
  <c r="AP69" i="1" s="1"/>
  <c r="AE71" i="1" a="1"/>
  <c r="AE71" i="1" s="1"/>
  <c r="Z73" i="1" a="1"/>
  <c r="Z73" i="1" s="1"/>
  <c r="X78" i="1" a="1"/>
  <c r="X78" i="1" s="1"/>
  <c r="AH21" i="1" a="1"/>
  <c r="AH21" i="1" s="1"/>
  <c r="AH20" i="1" s="1"/>
  <c r="AI36" i="1" a="1"/>
  <c r="AI36" i="1" s="1"/>
  <c r="AU36" i="1" a="1"/>
  <c r="AU36" i="1" s="1"/>
  <c r="BG36" i="1" a="1"/>
  <c r="BG36" i="1" s="1"/>
  <c r="AT37" i="1" a="1"/>
  <c r="AT37" i="1" s="1"/>
  <c r="Y155" i="1" a="1"/>
  <c r="Y155" i="1" s="1"/>
  <c r="Y144" i="1" a="1"/>
  <c r="Y144" i="1" s="1"/>
  <c r="Y149" i="1" a="1"/>
  <c r="Y149" i="1" s="1"/>
  <c r="Y143" i="1" a="1"/>
  <c r="Y143" i="1" s="1"/>
  <c r="Y148" i="1" a="1"/>
  <c r="Y148" i="1" s="1"/>
  <c r="Y147" i="1" a="1"/>
  <c r="Y147" i="1" s="1"/>
  <c r="Y152" i="1" a="1"/>
  <c r="Y152" i="1" s="1"/>
  <c r="Y151" i="1" s="1"/>
  <c r="Y150" i="1" s="1"/>
  <c r="Y156" i="1" a="1"/>
  <c r="Y156" i="1" s="1"/>
  <c r="Y138" i="1" a="1"/>
  <c r="Y138" i="1" s="1"/>
  <c r="Y132" i="1" a="1"/>
  <c r="Y132" i="1" s="1"/>
  <c r="Y120" i="1" a="1"/>
  <c r="Y120" i="1" s="1"/>
  <c r="Y116" i="1" a="1"/>
  <c r="Y116" i="1" s="1"/>
  <c r="Y133" i="1" a="1"/>
  <c r="Y133" i="1" s="1"/>
  <c r="Y121" i="1" a="1"/>
  <c r="Y121" i="1" s="1"/>
  <c r="Y134" i="1" a="1"/>
  <c r="Y134" i="1" s="1"/>
  <c r="Y122" i="1" a="1"/>
  <c r="Y122" i="1" s="1"/>
  <c r="Y114" i="1" a="1"/>
  <c r="Y114" i="1" s="1"/>
  <c r="Y135" i="1" a="1"/>
  <c r="Y135" i="1" s="1"/>
  <c r="Y123" i="1" a="1"/>
  <c r="Y123" i="1" s="1"/>
  <c r="Y136" i="1" a="1"/>
  <c r="Y136" i="1" s="1"/>
  <c r="Y124" i="1" a="1"/>
  <c r="Y124" i="1" s="1"/>
  <c r="Y137" i="1" a="1"/>
  <c r="Y137" i="1" s="1"/>
  <c r="Y125" i="1" a="1"/>
  <c r="Y125" i="1" s="1"/>
  <c r="Y126" i="1" a="1"/>
  <c r="Y126" i="1" s="1"/>
  <c r="Y127" i="1" a="1"/>
  <c r="Y127" i="1" s="1"/>
  <c r="Y129" i="1" a="1"/>
  <c r="Y129" i="1" s="1"/>
  <c r="Y130" i="1" a="1"/>
  <c r="Y130" i="1" s="1"/>
  <c r="Y106" i="1" a="1"/>
  <c r="Y106" i="1" s="1"/>
  <c r="Y94" i="1" a="1"/>
  <c r="Y94" i="1" s="1"/>
  <c r="Y128" i="1" a="1"/>
  <c r="Y128" i="1" s="1"/>
  <c r="Y107" i="1" a="1"/>
  <c r="Y107" i="1" s="1"/>
  <c r="Y95" i="1" a="1"/>
  <c r="Y95" i="1" s="1"/>
  <c r="Y139" i="1" a="1"/>
  <c r="Y139" i="1" s="1"/>
  <c r="Y118" i="1" a="1"/>
  <c r="Y118" i="1" s="1"/>
  <c r="Y112" i="1" a="1"/>
  <c r="Y112" i="1" s="1"/>
  <c r="Y99" i="1" a="1"/>
  <c r="Y99" i="1" s="1"/>
  <c r="Y115" i="1" a="1"/>
  <c r="Y115" i="1" s="1"/>
  <c r="Y119" i="1" a="1"/>
  <c r="Y119" i="1" s="1"/>
  <c r="Y117" i="1" a="1"/>
  <c r="Y117" i="1" s="1"/>
  <c r="Y102" i="1" a="1"/>
  <c r="Y102" i="1" s="1"/>
  <c r="Y113" i="1" a="1"/>
  <c r="Y113" i="1" s="1"/>
  <c r="Y110" i="1" a="1"/>
  <c r="Y110" i="1" s="1"/>
  <c r="Y101" i="1" a="1"/>
  <c r="Y101" i="1" s="1"/>
  <c r="Y80" i="1" a="1"/>
  <c r="Y80" i="1" s="1"/>
  <c r="Y79" i="1" a="1"/>
  <c r="Y79" i="1" s="1"/>
  <c r="Y96" i="1" a="1"/>
  <c r="Y96" i="1" s="1"/>
  <c r="Y104" i="1" a="1"/>
  <c r="Y104" i="1" s="1"/>
  <c r="Y93" i="1" a="1"/>
  <c r="Y93" i="1" s="1"/>
  <c r="Y92" i="1" a="1"/>
  <c r="Y92" i="1" s="1"/>
  <c r="Y86" i="1" a="1"/>
  <c r="Y86" i="1" s="1"/>
  <c r="Y87" i="1" a="1"/>
  <c r="Y87" i="1" s="1"/>
  <c r="Y85" i="1" a="1"/>
  <c r="Y85" i="1" s="1"/>
  <c r="Y111" i="1" a="1"/>
  <c r="Y111" i="1" s="1"/>
  <c r="Y100" i="1" a="1"/>
  <c r="Y100" i="1" s="1"/>
  <c r="Y98" i="1" a="1"/>
  <c r="Y98" i="1" s="1"/>
  <c r="Y97" i="1" a="1"/>
  <c r="Y97" i="1" s="1"/>
  <c r="Y88" i="1" a="1"/>
  <c r="Y88" i="1" s="1"/>
  <c r="Y84" i="1" a="1"/>
  <c r="Y84" i="1" s="1"/>
  <c r="Y103" i="1" a="1"/>
  <c r="Y103" i="1" s="1"/>
  <c r="Y89" i="1" a="1"/>
  <c r="Y89" i="1" s="1"/>
  <c r="Y83" i="1" a="1"/>
  <c r="Y83" i="1" s="1"/>
  <c r="Y131" i="1" a="1"/>
  <c r="Y131" i="1" s="1"/>
  <c r="Y91" i="1" a="1"/>
  <c r="Y91" i="1" s="1"/>
  <c r="Y72" i="1" a="1"/>
  <c r="Y72" i="1" s="1"/>
  <c r="Y60" i="1" a="1"/>
  <c r="Y60" i="1" s="1"/>
  <c r="Y52" i="1" a="1"/>
  <c r="Y52" i="1" s="1"/>
  <c r="Y73" i="1" a="1"/>
  <c r="Y73" i="1" s="1"/>
  <c r="Y61" i="1" a="1"/>
  <c r="Y61" i="1" s="1"/>
  <c r="Y51" i="1" a="1"/>
  <c r="Y51" i="1" s="1"/>
  <c r="Y74" i="1" a="1"/>
  <c r="Y74" i="1" s="1"/>
  <c r="Y62" i="1" a="1"/>
  <c r="Y62" i="1" s="1"/>
  <c r="Y50" i="1" a="1"/>
  <c r="Y50" i="1" s="1"/>
  <c r="Y63" i="1" a="1"/>
  <c r="Y63" i="1" s="1"/>
  <c r="Y49" i="1" a="1"/>
  <c r="Y49" i="1" s="1"/>
  <c r="Y64" i="1" a="1"/>
  <c r="Y64" i="1" s="1"/>
  <c r="Y48" i="1" a="1"/>
  <c r="Y48" i="1" s="1"/>
  <c r="Y65" i="1" a="1"/>
  <c r="Y65" i="1" s="1"/>
  <c r="Y66" i="1" a="1"/>
  <c r="Y66" i="1" s="1"/>
  <c r="Y90" i="1" a="1"/>
  <c r="Y90" i="1" s="1"/>
  <c r="Y82" i="1" a="1"/>
  <c r="Y82" i="1" s="1"/>
  <c r="Y67" i="1" a="1"/>
  <c r="Y67" i="1" s="1"/>
  <c r="Y105" i="1" a="1"/>
  <c r="Y105" i="1" s="1"/>
  <c r="Y75" i="1" a="1"/>
  <c r="Y75" i="1" s="1"/>
  <c r="Y68" i="1" a="1"/>
  <c r="Y68" i="1" s="1"/>
  <c r="Y56" i="1" a="1"/>
  <c r="Y56" i="1" s="1"/>
  <c r="Y78" i="1" a="1"/>
  <c r="Y78" i="1" s="1"/>
  <c r="Y69" i="1" a="1"/>
  <c r="Y69" i="1" s="1"/>
  <c r="Y57" i="1" a="1"/>
  <c r="Y57" i="1" s="1"/>
  <c r="Y55" i="1" a="1"/>
  <c r="Y55" i="1" s="1"/>
  <c r="Y81" i="1" a="1"/>
  <c r="Y81" i="1" s="1"/>
  <c r="Y70" i="1" a="1"/>
  <c r="Y70" i="1" s="1"/>
  <c r="Y58" i="1" a="1"/>
  <c r="Y58" i="1" s="1"/>
  <c r="AL149" i="1" a="1"/>
  <c r="AL149" i="1" s="1"/>
  <c r="AL143" i="1" a="1"/>
  <c r="AL143" i="1" s="1"/>
  <c r="AL148" i="1" a="1"/>
  <c r="AL148" i="1" s="1"/>
  <c r="AL147" i="1" a="1"/>
  <c r="AL147" i="1" s="1"/>
  <c r="AL152" i="1" a="1"/>
  <c r="AL152" i="1" s="1"/>
  <c r="AL151" i="1" s="1"/>
  <c r="AL150" i="1" s="1"/>
  <c r="AL156" i="1" a="1"/>
  <c r="AL156" i="1" s="1"/>
  <c r="AL155" i="1" a="1"/>
  <c r="AL155" i="1" s="1"/>
  <c r="AL134" i="1" a="1"/>
  <c r="AL134" i="1" s="1"/>
  <c r="AL122" i="1" a="1"/>
  <c r="AL122" i="1" s="1"/>
  <c r="AL114" i="1" a="1"/>
  <c r="AL114" i="1" s="1"/>
  <c r="AL135" i="1" a="1"/>
  <c r="AL135" i="1" s="1"/>
  <c r="AL123" i="1" a="1"/>
  <c r="AL123" i="1" s="1"/>
  <c r="AL136" i="1" a="1"/>
  <c r="AL136" i="1" s="1"/>
  <c r="AL124" i="1" a="1"/>
  <c r="AL124" i="1" s="1"/>
  <c r="AL112" i="1" a="1"/>
  <c r="AL112" i="1" s="1"/>
  <c r="AL137" i="1" a="1"/>
  <c r="AL137" i="1" s="1"/>
  <c r="AL125" i="1" a="1"/>
  <c r="AL125" i="1" s="1"/>
  <c r="AL144" i="1" a="1"/>
  <c r="AL144" i="1" s="1"/>
  <c r="AL126" i="1" a="1"/>
  <c r="AL126" i="1" s="1"/>
  <c r="AL139" i="1" a="1"/>
  <c r="AL139" i="1" s="1"/>
  <c r="AL138" i="1" a="1"/>
  <c r="AL138" i="1" s="1"/>
  <c r="AL127" i="1" a="1"/>
  <c r="AL127" i="1" s="1"/>
  <c r="AL128" i="1" a="1"/>
  <c r="AL128" i="1" s="1"/>
  <c r="AL129" i="1" a="1"/>
  <c r="AL129" i="1" s="1"/>
  <c r="AL131" i="1" a="1"/>
  <c r="AL131" i="1" s="1"/>
  <c r="AL132" i="1" a="1"/>
  <c r="AL132" i="1" s="1"/>
  <c r="AL120" i="1" a="1"/>
  <c r="AL120" i="1" s="1"/>
  <c r="AL113" i="1" a="1"/>
  <c r="AL113" i="1" s="1"/>
  <c r="AL96" i="1" a="1"/>
  <c r="AL96" i="1" s="1"/>
  <c r="AL133" i="1" a="1"/>
  <c r="AL133" i="1" s="1"/>
  <c r="AL97" i="1" a="1"/>
  <c r="AL97" i="1" s="1"/>
  <c r="AL130" i="1" a="1"/>
  <c r="AL130" i="1" s="1"/>
  <c r="AL107" i="1" a="1"/>
  <c r="AL107" i="1" s="1"/>
  <c r="AL99" i="1" a="1"/>
  <c r="AL99" i="1" s="1"/>
  <c r="AL117" i="1" a="1"/>
  <c r="AL117" i="1" s="1"/>
  <c r="AL111" i="1" a="1"/>
  <c r="AL111" i="1" s="1"/>
  <c r="AL100" i="1" a="1"/>
  <c r="AL100" i="1" s="1"/>
  <c r="AL121" i="1" a="1"/>
  <c r="AL121" i="1" s="1"/>
  <c r="AL101" i="1" a="1"/>
  <c r="AL101" i="1" s="1"/>
  <c r="AL119" i="1" a="1"/>
  <c r="AL119" i="1" s="1"/>
  <c r="AL104" i="1" a="1"/>
  <c r="AL104" i="1" s="1"/>
  <c r="AL98" i="1" a="1"/>
  <c r="AL98" i="1" s="1"/>
  <c r="AL95" i="1" a="1"/>
  <c r="AL95" i="1" s="1"/>
  <c r="AL106" i="1" a="1"/>
  <c r="AL106" i="1" s="1"/>
  <c r="AL118" i="1" a="1"/>
  <c r="AL118" i="1" s="1"/>
  <c r="AL102" i="1" a="1"/>
  <c r="AL102" i="1" s="1"/>
  <c r="AL115" i="1" a="1"/>
  <c r="AL115" i="1" s="1"/>
  <c r="AL93" i="1" a="1"/>
  <c r="AL93" i="1" s="1"/>
  <c r="AL86" i="1" a="1"/>
  <c r="AL86" i="1" s="1"/>
  <c r="AL110" i="1" a="1"/>
  <c r="AL110" i="1" s="1"/>
  <c r="AL87" i="1" a="1"/>
  <c r="AL87" i="1" s="1"/>
  <c r="AL85" i="1" a="1"/>
  <c r="AL85" i="1" s="1"/>
  <c r="AL75" i="1" a="1"/>
  <c r="AL75" i="1" s="1"/>
  <c r="AL92" i="1" a="1"/>
  <c r="AL92" i="1" s="1"/>
  <c r="AL88" i="1" a="1"/>
  <c r="AL88" i="1" s="1"/>
  <c r="AL84" i="1" a="1"/>
  <c r="AL84" i="1" s="1"/>
  <c r="AL89" i="1" a="1"/>
  <c r="AL89" i="1" s="1"/>
  <c r="AL103" i="1" a="1"/>
  <c r="AL103" i="1" s="1"/>
  <c r="AL94" i="1" a="1"/>
  <c r="AL94" i="1" s="1"/>
  <c r="AL90" i="1" a="1"/>
  <c r="AL90" i="1" s="1"/>
  <c r="AL91" i="1" a="1"/>
  <c r="AL91" i="1" s="1"/>
  <c r="AL81" i="1" a="1"/>
  <c r="AL81" i="1" s="1"/>
  <c r="AL116" i="1" a="1"/>
  <c r="AL116" i="1" s="1"/>
  <c r="AL74" i="1" a="1"/>
  <c r="AL74" i="1" s="1"/>
  <c r="AL62" i="1" a="1"/>
  <c r="AL62" i="1" s="1"/>
  <c r="AL50" i="1" a="1"/>
  <c r="AL50" i="1" s="1"/>
  <c r="AL83" i="1" a="1"/>
  <c r="AL83" i="1" s="1"/>
  <c r="AL63" i="1" a="1"/>
  <c r="AL63" i="1" s="1"/>
  <c r="AL49" i="1" a="1"/>
  <c r="AL49" i="1" s="1"/>
  <c r="AL64" i="1" a="1"/>
  <c r="AL64" i="1" s="1"/>
  <c r="AL48" i="1" a="1"/>
  <c r="AL48" i="1" s="1"/>
  <c r="AL80" i="1" a="1"/>
  <c r="AL80" i="1" s="1"/>
  <c r="AL78" i="1" a="1"/>
  <c r="AL78" i="1" s="1"/>
  <c r="AL65" i="1" a="1"/>
  <c r="AL65" i="1" s="1"/>
  <c r="AL66" i="1" a="1"/>
  <c r="AL66" i="1" s="1"/>
  <c r="AL67" i="1" a="1"/>
  <c r="AL67" i="1" s="1"/>
  <c r="AL105" i="1" a="1"/>
  <c r="AL105" i="1" s="1"/>
  <c r="AL68" i="1" a="1"/>
  <c r="AL68" i="1" s="1"/>
  <c r="AL56" i="1" a="1"/>
  <c r="AL56" i="1" s="1"/>
  <c r="AL79" i="1" a="1"/>
  <c r="AL79" i="1" s="1"/>
  <c r="AL69" i="1" a="1"/>
  <c r="AL69" i="1" s="1"/>
  <c r="AL57" i="1" a="1"/>
  <c r="AL57" i="1" s="1"/>
  <c r="AL55" i="1" a="1"/>
  <c r="AL55" i="1" s="1"/>
  <c r="AL70" i="1" a="1"/>
  <c r="AL70" i="1" s="1"/>
  <c r="AL58" i="1" a="1"/>
  <c r="AL58" i="1" s="1"/>
  <c r="AL54" i="1" a="1"/>
  <c r="AL54" i="1" s="1"/>
  <c r="AL71" i="1" a="1"/>
  <c r="AL71" i="1" s="1"/>
  <c r="AL59" i="1" a="1"/>
  <c r="AL59" i="1" s="1"/>
  <c r="AL53" i="1" a="1"/>
  <c r="AL53" i="1" s="1"/>
  <c r="AL82" i="1" a="1"/>
  <c r="AL82" i="1" s="1"/>
  <c r="AL72" i="1" a="1"/>
  <c r="AL72" i="1" s="1"/>
  <c r="AL60" i="1" a="1"/>
  <c r="AL60" i="1" s="1"/>
  <c r="T149" i="1" a="1"/>
  <c r="T149" i="1" s="1"/>
  <c r="T143" i="1" a="1"/>
  <c r="T143" i="1" s="1"/>
  <c r="T148" i="1" a="1"/>
  <c r="T148" i="1" s="1"/>
  <c r="T147" i="1" a="1"/>
  <c r="T147" i="1" s="1"/>
  <c r="T152" i="1" a="1"/>
  <c r="T152" i="1" s="1"/>
  <c r="T151" i="1" s="1"/>
  <c r="T150" i="1" s="1"/>
  <c r="T156" i="1" a="1"/>
  <c r="T156" i="1" s="1"/>
  <c r="T155" i="1" a="1"/>
  <c r="T155" i="1" s="1"/>
  <c r="T134" i="1" a="1"/>
  <c r="T134" i="1" s="1"/>
  <c r="T122" i="1" a="1"/>
  <c r="T122" i="1" s="1"/>
  <c r="T114" i="1" a="1"/>
  <c r="T114" i="1" s="1"/>
  <c r="T135" i="1" a="1"/>
  <c r="T135" i="1" s="1"/>
  <c r="T123" i="1" a="1"/>
  <c r="T123" i="1" s="1"/>
  <c r="T139" i="1" a="1"/>
  <c r="T139" i="1" s="1"/>
  <c r="T136" i="1" a="1"/>
  <c r="T136" i="1" s="1"/>
  <c r="T124" i="1" a="1"/>
  <c r="T124" i="1" s="1"/>
  <c r="T112" i="1" a="1"/>
  <c r="T112" i="1" s="1"/>
  <c r="T137" i="1" a="1"/>
  <c r="T137" i="1" s="1"/>
  <c r="T125" i="1" a="1"/>
  <c r="T125" i="1" s="1"/>
  <c r="T126" i="1" a="1"/>
  <c r="T126" i="1" s="1"/>
  <c r="T127" i="1" a="1"/>
  <c r="T127" i="1" s="1"/>
  <c r="T128" i="1" a="1"/>
  <c r="T128" i="1" s="1"/>
  <c r="T144" i="1" a="1"/>
  <c r="T144" i="1" s="1"/>
  <c r="T129" i="1" a="1"/>
  <c r="T129" i="1" s="1"/>
  <c r="T131" i="1" a="1"/>
  <c r="T131" i="1" s="1"/>
  <c r="T132" i="1" a="1"/>
  <c r="T132" i="1" s="1"/>
  <c r="T119" i="1" a="1"/>
  <c r="T119" i="1" s="1"/>
  <c r="T96" i="1" a="1"/>
  <c r="T96" i="1" s="1"/>
  <c r="T117" i="1" a="1"/>
  <c r="T117" i="1" s="1"/>
  <c r="T97" i="1" a="1"/>
  <c r="T97" i="1" s="1"/>
  <c r="T115" i="1" a="1"/>
  <c r="T115" i="1" s="1"/>
  <c r="T99" i="1" a="1"/>
  <c r="T99" i="1" s="1"/>
  <c r="T100" i="1" a="1"/>
  <c r="T100" i="1" s="1"/>
  <c r="T121" i="1" a="1"/>
  <c r="T121" i="1" s="1"/>
  <c r="T110" i="1" a="1"/>
  <c r="T110" i="1" s="1"/>
  <c r="T101" i="1" a="1"/>
  <c r="T101" i="1" s="1"/>
  <c r="T120" i="1" a="1"/>
  <c r="T120" i="1" s="1"/>
  <c r="T113" i="1" a="1"/>
  <c r="T113" i="1" s="1"/>
  <c r="T138" i="1" a="1"/>
  <c r="T138" i="1" s="1"/>
  <c r="T133" i="1" a="1"/>
  <c r="T133" i="1" s="1"/>
  <c r="T116" i="1" a="1"/>
  <c r="T116" i="1" s="1"/>
  <c r="T130" i="1" a="1"/>
  <c r="T130" i="1" s="1"/>
  <c r="T118" i="1" a="1"/>
  <c r="T118" i="1" s="1"/>
  <c r="T104" i="1" a="1"/>
  <c r="T104" i="1" s="1"/>
  <c r="T93" i="1" a="1"/>
  <c r="T93" i="1" s="1"/>
  <c r="T105" i="1" a="1"/>
  <c r="T105" i="1" s="1"/>
  <c r="T103" i="1" a="1"/>
  <c r="T103" i="1" s="1"/>
  <c r="T94" i="1" a="1"/>
  <c r="T94" i="1" s="1"/>
  <c r="T92" i="1" a="1"/>
  <c r="T92" i="1" s="1"/>
  <c r="T106" i="1" a="1"/>
  <c r="T106" i="1" s="1"/>
  <c r="T98" i="1" a="1"/>
  <c r="T98" i="1" s="1"/>
  <c r="T86" i="1" a="1"/>
  <c r="T86" i="1" s="1"/>
  <c r="T87" i="1" a="1"/>
  <c r="T87" i="1" s="1"/>
  <c r="T85" i="1" a="1"/>
  <c r="T85" i="1" s="1"/>
  <c r="T75" i="1" a="1"/>
  <c r="T75" i="1" s="1"/>
  <c r="T88" i="1" a="1"/>
  <c r="T88" i="1" s="1"/>
  <c r="T84" i="1" a="1"/>
  <c r="T84" i="1" s="1"/>
  <c r="T95" i="1" a="1"/>
  <c r="T95" i="1" s="1"/>
  <c r="T89" i="1" a="1"/>
  <c r="T89" i="1" s="1"/>
  <c r="T107" i="1" a="1"/>
  <c r="T107" i="1" s="1"/>
  <c r="T90" i="1" a="1"/>
  <c r="T90" i="1" s="1"/>
  <c r="T111" i="1" a="1"/>
  <c r="T111" i="1" s="1"/>
  <c r="T102" i="1" a="1"/>
  <c r="T102" i="1" s="1"/>
  <c r="T91" i="1" a="1"/>
  <c r="T91" i="1" s="1"/>
  <c r="T81" i="1" a="1"/>
  <c r="T81" i="1" s="1"/>
  <c r="T74" i="1" a="1"/>
  <c r="T74" i="1" s="1"/>
  <c r="T62" i="1" a="1"/>
  <c r="T62" i="1" s="1"/>
  <c r="T50" i="1" a="1"/>
  <c r="T50" i="1" s="1"/>
  <c r="T63" i="1" a="1"/>
  <c r="T63" i="1" s="1"/>
  <c r="T49" i="1" a="1"/>
  <c r="T49" i="1" s="1"/>
  <c r="T64" i="1" a="1"/>
  <c r="T64" i="1" s="1"/>
  <c r="T48" i="1" a="1"/>
  <c r="T48" i="1" s="1"/>
  <c r="T80" i="1" a="1"/>
  <c r="T80" i="1" s="1"/>
  <c r="T65" i="1" a="1"/>
  <c r="T65" i="1" s="1"/>
  <c r="T66" i="1" a="1"/>
  <c r="T66" i="1" s="1"/>
  <c r="T78" i="1" a="1"/>
  <c r="T78" i="1" s="1"/>
  <c r="T67" i="1" a="1"/>
  <c r="T67" i="1" s="1"/>
  <c r="T68" i="1" a="1"/>
  <c r="T68" i="1" s="1"/>
  <c r="T56" i="1" a="1"/>
  <c r="T56" i="1" s="1"/>
  <c r="T69" i="1" a="1"/>
  <c r="T69" i="1" s="1"/>
  <c r="T57" i="1" a="1"/>
  <c r="T57" i="1" s="1"/>
  <c r="T55" i="1" a="1"/>
  <c r="T55" i="1" s="1"/>
  <c r="T70" i="1" a="1"/>
  <c r="T70" i="1" s="1"/>
  <c r="T58" i="1" a="1"/>
  <c r="T58" i="1" s="1"/>
  <c r="T54" i="1" a="1"/>
  <c r="T54" i="1" s="1"/>
  <c r="T71" i="1" a="1"/>
  <c r="T71" i="1" s="1"/>
  <c r="T59" i="1" a="1"/>
  <c r="T59" i="1" s="1"/>
  <c r="T53" i="1" a="1"/>
  <c r="T53" i="1" s="1"/>
  <c r="T83" i="1" a="1"/>
  <c r="T83" i="1" s="1"/>
  <c r="T82" i="1" a="1"/>
  <c r="T82" i="1" s="1"/>
  <c r="T79" i="1" a="1"/>
  <c r="T79" i="1" s="1"/>
  <c r="T72" i="1" a="1"/>
  <c r="T72" i="1" s="1"/>
  <c r="T60" i="1" a="1"/>
  <c r="T60" i="1" s="1"/>
  <c r="AF149" i="1" a="1"/>
  <c r="AF149" i="1" s="1"/>
  <c r="AF143" i="1" a="1"/>
  <c r="AF143" i="1" s="1"/>
  <c r="AF148" i="1" a="1"/>
  <c r="AF148" i="1" s="1"/>
  <c r="AF147" i="1" a="1"/>
  <c r="AF147" i="1" s="1"/>
  <c r="AF152" i="1" a="1"/>
  <c r="AF152" i="1" s="1"/>
  <c r="AF151" i="1" s="1"/>
  <c r="AF150" i="1" s="1"/>
  <c r="AF156" i="1" a="1"/>
  <c r="AF156" i="1" s="1"/>
  <c r="AF155" i="1" a="1"/>
  <c r="AF155" i="1" s="1"/>
  <c r="AF139" i="1" a="1"/>
  <c r="AF139" i="1" s="1"/>
  <c r="AF134" i="1" a="1"/>
  <c r="AF134" i="1" s="1"/>
  <c r="AF122" i="1" a="1"/>
  <c r="AF122" i="1" s="1"/>
  <c r="AF114" i="1" a="1"/>
  <c r="AF114" i="1" s="1"/>
  <c r="AF135" i="1" a="1"/>
  <c r="AF135" i="1" s="1"/>
  <c r="AF123" i="1" a="1"/>
  <c r="AF123" i="1" s="1"/>
  <c r="AF138" i="1" a="1"/>
  <c r="AF138" i="1" s="1"/>
  <c r="AF136" i="1" a="1"/>
  <c r="AF136" i="1" s="1"/>
  <c r="AF124" i="1" a="1"/>
  <c r="AF124" i="1" s="1"/>
  <c r="AF112" i="1" a="1"/>
  <c r="AF112" i="1" s="1"/>
  <c r="AF137" i="1" a="1"/>
  <c r="AF137" i="1" s="1"/>
  <c r="AF125" i="1" a="1"/>
  <c r="AF125" i="1" s="1"/>
  <c r="AF126" i="1" a="1"/>
  <c r="AF126" i="1" s="1"/>
  <c r="AF144" i="1" a="1"/>
  <c r="AF144" i="1" s="1"/>
  <c r="AF127" i="1" a="1"/>
  <c r="AF127" i="1" s="1"/>
  <c r="AF128" i="1" a="1"/>
  <c r="AF128" i="1" s="1"/>
  <c r="AF129" i="1" a="1"/>
  <c r="AF129" i="1" s="1"/>
  <c r="AF131" i="1" a="1"/>
  <c r="AF131" i="1" s="1"/>
  <c r="AF132" i="1" a="1"/>
  <c r="AF132" i="1" s="1"/>
  <c r="AF119" i="1" a="1"/>
  <c r="AF119" i="1" s="1"/>
  <c r="AF96" i="1" a="1"/>
  <c r="AF96" i="1" s="1"/>
  <c r="AF107" i="1" a="1"/>
  <c r="AF107" i="1" s="1"/>
  <c r="AF97" i="1" a="1"/>
  <c r="AF97" i="1" s="1"/>
  <c r="AF133" i="1" a="1"/>
  <c r="AF133" i="1" s="1"/>
  <c r="AF99" i="1" a="1"/>
  <c r="AF99" i="1" s="1"/>
  <c r="AF130" i="1" a="1"/>
  <c r="AF130" i="1" s="1"/>
  <c r="AF100" i="1" a="1"/>
  <c r="AF100" i="1" s="1"/>
  <c r="AF116" i="1" a="1"/>
  <c r="AF116" i="1" s="1"/>
  <c r="AF101" i="1" a="1"/>
  <c r="AF101" i="1" s="1"/>
  <c r="AF120" i="1" a="1"/>
  <c r="AF120" i="1" s="1"/>
  <c r="AF118" i="1" a="1"/>
  <c r="AF118" i="1" s="1"/>
  <c r="AF115" i="1" a="1"/>
  <c r="AF115" i="1" s="1"/>
  <c r="AF104" i="1" a="1"/>
  <c r="AF104" i="1" s="1"/>
  <c r="AF121" i="1" a="1"/>
  <c r="AF121" i="1" s="1"/>
  <c r="AF110" i="1" a="1"/>
  <c r="AF110" i="1" s="1"/>
  <c r="AF103" i="1" a="1"/>
  <c r="AF103" i="1" s="1"/>
  <c r="AF93" i="1" a="1"/>
  <c r="AF93" i="1" s="1"/>
  <c r="AF105" i="1" a="1"/>
  <c r="AF105" i="1" s="1"/>
  <c r="AF86" i="1" a="1"/>
  <c r="AF86" i="1" s="1"/>
  <c r="AF111" i="1" a="1"/>
  <c r="AF111" i="1" s="1"/>
  <c r="AF92" i="1" a="1"/>
  <c r="AF92" i="1" s="1"/>
  <c r="AF87" i="1" a="1"/>
  <c r="AF87" i="1" s="1"/>
  <c r="AF85" i="1" a="1"/>
  <c r="AF85" i="1" s="1"/>
  <c r="AF75" i="1" a="1"/>
  <c r="AF75" i="1" s="1"/>
  <c r="AF106" i="1" a="1"/>
  <c r="AF106" i="1" s="1"/>
  <c r="AF94" i="1" a="1"/>
  <c r="AF94" i="1" s="1"/>
  <c r="AF88" i="1" a="1"/>
  <c r="AF88" i="1" s="1"/>
  <c r="AF84" i="1" a="1"/>
  <c r="AF84" i="1" s="1"/>
  <c r="AF113" i="1" a="1"/>
  <c r="AF113" i="1" s="1"/>
  <c r="AF89" i="1" a="1"/>
  <c r="AF89" i="1" s="1"/>
  <c r="AF90" i="1" a="1"/>
  <c r="AF90" i="1" s="1"/>
  <c r="AF117" i="1" a="1"/>
  <c r="AF117" i="1" s="1"/>
  <c r="AF102" i="1" a="1"/>
  <c r="AF102" i="1" s="1"/>
  <c r="AF91" i="1" a="1"/>
  <c r="AF91" i="1" s="1"/>
  <c r="AF81" i="1" a="1"/>
  <c r="AF81" i="1" s="1"/>
  <c r="AF79" i="1" a="1"/>
  <c r="AF79" i="1" s="1"/>
  <c r="AF74" i="1" a="1"/>
  <c r="AF74" i="1" s="1"/>
  <c r="AF62" i="1" a="1"/>
  <c r="AF62" i="1" s="1"/>
  <c r="AF50" i="1" a="1"/>
  <c r="AF50" i="1" s="1"/>
  <c r="AF63" i="1" a="1"/>
  <c r="AF63" i="1" s="1"/>
  <c r="AF49" i="1" a="1"/>
  <c r="AF49" i="1" s="1"/>
  <c r="AF82" i="1" a="1"/>
  <c r="AF82" i="1" s="1"/>
  <c r="AF64" i="1" a="1"/>
  <c r="AF64" i="1" s="1"/>
  <c r="AF48" i="1" a="1"/>
  <c r="AF48" i="1" s="1"/>
  <c r="AF95" i="1" a="1"/>
  <c r="AF95" i="1" s="1"/>
  <c r="AF65" i="1" a="1"/>
  <c r="AF65" i="1" s="1"/>
  <c r="AF83" i="1" a="1"/>
  <c r="AF83" i="1" s="1"/>
  <c r="AF66" i="1" a="1"/>
  <c r="AF66" i="1" s="1"/>
  <c r="AF67" i="1" a="1"/>
  <c r="AF67" i="1" s="1"/>
  <c r="AF98" i="1" a="1"/>
  <c r="AF98" i="1" s="1"/>
  <c r="AF68" i="1" a="1"/>
  <c r="AF68" i="1" s="1"/>
  <c r="AF56" i="1" a="1"/>
  <c r="AF56" i="1" s="1"/>
  <c r="AF80" i="1" a="1"/>
  <c r="AF80" i="1" s="1"/>
  <c r="AF69" i="1" a="1"/>
  <c r="AF69" i="1" s="1"/>
  <c r="AF57" i="1" a="1"/>
  <c r="AF57" i="1" s="1"/>
  <c r="AF55" i="1" a="1"/>
  <c r="AF55" i="1" s="1"/>
  <c r="AF70" i="1" a="1"/>
  <c r="AF70" i="1" s="1"/>
  <c r="AF58" i="1" a="1"/>
  <c r="AF58" i="1" s="1"/>
  <c r="AF54" i="1" a="1"/>
  <c r="AF54" i="1" s="1"/>
  <c r="AF71" i="1" a="1"/>
  <c r="AF71" i="1" s="1"/>
  <c r="AF59" i="1" a="1"/>
  <c r="AF59" i="1" s="1"/>
  <c r="AF53" i="1" a="1"/>
  <c r="AF53" i="1" s="1"/>
  <c r="AF72" i="1" a="1"/>
  <c r="AF72" i="1" s="1"/>
  <c r="AF60" i="1" a="1"/>
  <c r="AF60" i="1" s="1"/>
  <c r="AR149" i="1" a="1"/>
  <c r="AR149" i="1" s="1"/>
  <c r="AR143" i="1" a="1"/>
  <c r="AR143" i="1" s="1"/>
  <c r="AR148" i="1" a="1"/>
  <c r="AR148" i="1" s="1"/>
  <c r="AR147" i="1" a="1"/>
  <c r="AR147" i="1" s="1"/>
  <c r="AR152" i="1" a="1"/>
  <c r="AR152" i="1" s="1"/>
  <c r="AR151" i="1" s="1"/>
  <c r="AR150" i="1" s="1"/>
  <c r="AR156" i="1" a="1"/>
  <c r="AR156" i="1" s="1"/>
  <c r="AR155" i="1" a="1"/>
  <c r="AR155" i="1" s="1"/>
  <c r="AR134" i="1" a="1"/>
  <c r="AR134" i="1" s="1"/>
  <c r="AR122" i="1" a="1"/>
  <c r="AR122" i="1" s="1"/>
  <c r="AR114" i="1" a="1"/>
  <c r="AR114" i="1" s="1"/>
  <c r="AR135" i="1" a="1"/>
  <c r="AR135" i="1" s="1"/>
  <c r="AR123" i="1" a="1"/>
  <c r="AR123" i="1" s="1"/>
  <c r="AR136" i="1" a="1"/>
  <c r="AR136" i="1" s="1"/>
  <c r="AR124" i="1" a="1"/>
  <c r="AR124" i="1" s="1"/>
  <c r="AR112" i="1" a="1"/>
  <c r="AR112" i="1" s="1"/>
  <c r="AR144" i="1" a="1"/>
  <c r="AR144" i="1" s="1"/>
  <c r="AR125" i="1" a="1"/>
  <c r="AR125" i="1" s="1"/>
  <c r="AR126" i="1" a="1"/>
  <c r="AR126" i="1" s="1"/>
  <c r="AR137" i="1" a="1"/>
  <c r="AR137" i="1" s="1"/>
  <c r="AR127" i="1" a="1"/>
  <c r="AR127" i="1" s="1"/>
  <c r="AR128" i="1" a="1"/>
  <c r="AR128" i="1" s="1"/>
  <c r="AR129" i="1" a="1"/>
  <c r="AR129" i="1" s="1"/>
  <c r="AR131" i="1" a="1"/>
  <c r="AR131" i="1" s="1"/>
  <c r="AR139" i="1" a="1"/>
  <c r="AR139" i="1" s="1"/>
  <c r="AR132" i="1" a="1"/>
  <c r="AR132" i="1" s="1"/>
  <c r="AR120" i="1" a="1"/>
  <c r="AR120" i="1" s="1"/>
  <c r="AR130" i="1" a="1"/>
  <c r="AR130" i="1" s="1"/>
  <c r="AR119" i="1" a="1"/>
  <c r="AR119" i="1" s="1"/>
  <c r="AR106" i="1" a="1"/>
  <c r="AR106" i="1" s="1"/>
  <c r="AR96" i="1" a="1"/>
  <c r="AR96" i="1" s="1"/>
  <c r="AR138" i="1" a="1"/>
  <c r="AR138" i="1" s="1"/>
  <c r="AR121" i="1" a="1"/>
  <c r="AR121" i="1" s="1"/>
  <c r="AR110" i="1" a="1"/>
  <c r="AR110" i="1" s="1"/>
  <c r="AR97" i="1" a="1"/>
  <c r="AR97" i="1" s="1"/>
  <c r="AR115" i="1" a="1"/>
  <c r="AR115" i="1" s="1"/>
  <c r="AR113" i="1" a="1"/>
  <c r="AR113" i="1" s="1"/>
  <c r="AR116" i="1" a="1"/>
  <c r="AR116" i="1" s="1"/>
  <c r="AR99" i="1" a="1"/>
  <c r="AR99" i="1" s="1"/>
  <c r="AR100" i="1" a="1"/>
  <c r="AR100" i="1" s="1"/>
  <c r="AR118" i="1" a="1"/>
  <c r="AR118" i="1" s="1"/>
  <c r="AR107" i="1" a="1"/>
  <c r="AR107" i="1" s="1"/>
  <c r="AR101" i="1" a="1"/>
  <c r="AR101" i="1" s="1"/>
  <c r="AR111" i="1" a="1"/>
  <c r="AR111" i="1" s="1"/>
  <c r="AR104" i="1" a="1"/>
  <c r="AR104" i="1" s="1"/>
  <c r="AR117" i="1" a="1"/>
  <c r="AR117" i="1" s="1"/>
  <c r="AR103" i="1" a="1"/>
  <c r="AR103" i="1" s="1"/>
  <c r="AR95" i="1" a="1"/>
  <c r="AR95" i="1" s="1"/>
  <c r="AR98" i="1" a="1"/>
  <c r="AR98" i="1" s="1"/>
  <c r="AR86" i="1" a="1"/>
  <c r="AR86" i="1" s="1"/>
  <c r="AR93" i="1" a="1"/>
  <c r="AR93" i="1" s="1"/>
  <c r="AR87" i="1" a="1"/>
  <c r="AR87" i="1" s="1"/>
  <c r="AR85" i="1" a="1"/>
  <c r="AR85" i="1" s="1"/>
  <c r="AR75" i="1" a="1"/>
  <c r="AR75" i="1" s="1"/>
  <c r="AR105" i="1" a="1"/>
  <c r="AR105" i="1" s="1"/>
  <c r="AR88" i="1" a="1"/>
  <c r="AR88" i="1" s="1"/>
  <c r="AR84" i="1" a="1"/>
  <c r="AR84" i="1" s="1"/>
  <c r="AR92" i="1" a="1"/>
  <c r="AR92" i="1" s="1"/>
  <c r="AR89" i="1" a="1"/>
  <c r="AR89" i="1" s="1"/>
  <c r="AR90" i="1" a="1"/>
  <c r="AR90" i="1" s="1"/>
  <c r="AR82" i="1" a="1"/>
  <c r="AR82" i="1" s="1"/>
  <c r="AR133" i="1" a="1"/>
  <c r="AR133" i="1" s="1"/>
  <c r="AR102" i="1" a="1"/>
  <c r="AR102" i="1" s="1"/>
  <c r="AR91" i="1" a="1"/>
  <c r="AR91" i="1" s="1"/>
  <c r="AR81" i="1" a="1"/>
  <c r="AR81" i="1" s="1"/>
  <c r="AR74" i="1" a="1"/>
  <c r="AR74" i="1" s="1"/>
  <c r="AR62" i="1" a="1"/>
  <c r="AR62" i="1" s="1"/>
  <c r="AR50" i="1" a="1"/>
  <c r="AR50" i="1" s="1"/>
  <c r="AR63" i="1" a="1"/>
  <c r="AR63" i="1" s="1"/>
  <c r="AR49" i="1" a="1"/>
  <c r="AR49" i="1" s="1"/>
  <c r="AR64" i="1" a="1"/>
  <c r="AR64" i="1" s="1"/>
  <c r="AR48" i="1" a="1"/>
  <c r="AR48" i="1" s="1"/>
  <c r="AR79" i="1" a="1"/>
  <c r="AR79" i="1" s="1"/>
  <c r="AR65" i="1" a="1"/>
  <c r="AR65" i="1" s="1"/>
  <c r="AR66" i="1" a="1"/>
  <c r="AR66" i="1" s="1"/>
  <c r="AR67" i="1" a="1"/>
  <c r="AR67" i="1" s="1"/>
  <c r="AR68" i="1" a="1"/>
  <c r="AR68" i="1" s="1"/>
  <c r="AR56" i="1" a="1"/>
  <c r="AR56" i="1" s="1"/>
  <c r="AR94" i="1" a="1"/>
  <c r="AR94" i="1" s="1"/>
  <c r="AR69" i="1" a="1"/>
  <c r="AR69" i="1" s="1"/>
  <c r="AR57" i="1" a="1"/>
  <c r="AR57" i="1" s="1"/>
  <c r="AR55" i="1" a="1"/>
  <c r="AR55" i="1" s="1"/>
  <c r="AR78" i="1" a="1"/>
  <c r="AR78" i="1" s="1"/>
  <c r="AR70" i="1" a="1"/>
  <c r="AR70" i="1" s="1"/>
  <c r="AR58" i="1" a="1"/>
  <c r="AR58" i="1" s="1"/>
  <c r="AR54" i="1" a="1"/>
  <c r="AR54" i="1" s="1"/>
  <c r="AR71" i="1" a="1"/>
  <c r="AR71" i="1" s="1"/>
  <c r="AR59" i="1" a="1"/>
  <c r="AR59" i="1" s="1"/>
  <c r="AR53" i="1" a="1"/>
  <c r="AR53" i="1" s="1"/>
  <c r="AR83" i="1" a="1"/>
  <c r="AR83" i="1" s="1"/>
  <c r="AR72" i="1" a="1"/>
  <c r="AR72" i="1" s="1"/>
  <c r="AR60" i="1" a="1"/>
  <c r="AR60" i="1" s="1"/>
  <c r="BD149" i="1" a="1"/>
  <c r="BD149" i="1" s="1"/>
  <c r="BD143" i="1" a="1"/>
  <c r="BD143" i="1" s="1"/>
  <c r="BD148" i="1" a="1"/>
  <c r="BD148" i="1" s="1"/>
  <c r="BD147" i="1" a="1"/>
  <c r="BD147" i="1" s="1"/>
  <c r="BD152" i="1" a="1"/>
  <c r="BD152" i="1" s="1"/>
  <c r="BD151" i="1" s="1"/>
  <c r="BD150" i="1" s="1"/>
  <c r="BD156" i="1" a="1"/>
  <c r="BD156" i="1" s="1"/>
  <c r="BD139" i="1" a="1"/>
  <c r="BD139" i="1" s="1"/>
  <c r="BD155" i="1" a="1"/>
  <c r="BD155" i="1" s="1"/>
  <c r="BD134" i="1" a="1"/>
  <c r="BD134" i="1" s="1"/>
  <c r="BD122" i="1" a="1"/>
  <c r="BD122" i="1" s="1"/>
  <c r="BD114" i="1" a="1"/>
  <c r="BD114" i="1" s="1"/>
  <c r="BD144" i="1" a="1"/>
  <c r="BD144" i="1" s="1"/>
  <c r="BD135" i="1" a="1"/>
  <c r="BD135" i="1" s="1"/>
  <c r="BD123" i="1" a="1"/>
  <c r="BD123" i="1" s="1"/>
  <c r="BD138" i="1" a="1"/>
  <c r="BD138" i="1" s="1"/>
  <c r="BD136" i="1" a="1"/>
  <c r="BD136" i="1" s="1"/>
  <c r="BD124" i="1" a="1"/>
  <c r="BD124" i="1" s="1"/>
  <c r="BD112" i="1" a="1"/>
  <c r="BD112" i="1" s="1"/>
  <c r="BD125" i="1" a="1"/>
  <c r="BD125" i="1" s="1"/>
  <c r="BD126" i="1" a="1"/>
  <c r="BD126" i="1" s="1"/>
  <c r="BD127" i="1" a="1"/>
  <c r="BD127" i="1" s="1"/>
  <c r="BD128" i="1" a="1"/>
  <c r="BD128" i="1" s="1"/>
  <c r="BD129" i="1" a="1"/>
  <c r="BD129" i="1" s="1"/>
  <c r="BD131" i="1" a="1"/>
  <c r="BD131" i="1" s="1"/>
  <c r="BD132" i="1" a="1"/>
  <c r="BD132" i="1" s="1"/>
  <c r="BD120" i="1" a="1"/>
  <c r="BD120" i="1" s="1"/>
  <c r="BD119" i="1" a="1"/>
  <c r="BD119" i="1" s="1"/>
  <c r="BD96" i="1" a="1"/>
  <c r="BD96" i="1" s="1"/>
  <c r="BD116" i="1" a="1"/>
  <c r="BD116" i="1" s="1"/>
  <c r="BD97" i="1" a="1"/>
  <c r="BD97" i="1" s="1"/>
  <c r="BD99" i="1" a="1"/>
  <c r="BD99" i="1" s="1"/>
  <c r="BD137" i="1" a="1"/>
  <c r="BD137" i="1" s="1"/>
  <c r="BD100" i="1" a="1"/>
  <c r="BD100" i="1" s="1"/>
  <c r="BD121" i="1" a="1"/>
  <c r="BD121" i="1" s="1"/>
  <c r="BD118" i="1" a="1"/>
  <c r="BD118" i="1" s="1"/>
  <c r="BD110" i="1" a="1"/>
  <c r="BD110" i="1" s="1"/>
  <c r="BD101" i="1" a="1"/>
  <c r="BD101" i="1" s="1"/>
  <c r="BD113" i="1" a="1"/>
  <c r="BD113" i="1" s="1"/>
  <c r="BD133" i="1" a="1"/>
  <c r="BD133" i="1" s="1"/>
  <c r="BD117" i="1" a="1"/>
  <c r="BD117" i="1" s="1"/>
  <c r="BD130" i="1" a="1"/>
  <c r="BD130" i="1" s="1"/>
  <c r="BD115" i="1" a="1"/>
  <c r="BD115" i="1" s="1"/>
  <c r="BD104" i="1" a="1"/>
  <c r="BD104" i="1" s="1"/>
  <c r="BD106" i="1" a="1"/>
  <c r="BD106" i="1" s="1"/>
  <c r="BD103" i="1" a="1"/>
  <c r="BD103" i="1" s="1"/>
  <c r="BD94" i="1" a="1"/>
  <c r="BD94" i="1" s="1"/>
  <c r="BD86" i="1" a="1"/>
  <c r="BD86" i="1" s="1"/>
  <c r="BD87" i="1" a="1"/>
  <c r="BD87" i="1" s="1"/>
  <c r="BD85" i="1" a="1"/>
  <c r="BD85" i="1" s="1"/>
  <c r="BD75" i="1" a="1"/>
  <c r="BD75" i="1" s="1"/>
  <c r="BD111" i="1" a="1"/>
  <c r="BD111" i="1" s="1"/>
  <c r="BD88" i="1" a="1"/>
  <c r="BD88" i="1" s="1"/>
  <c r="BD84" i="1" a="1"/>
  <c r="BD84" i="1" s="1"/>
  <c r="BD107" i="1" a="1"/>
  <c r="BD107" i="1" s="1"/>
  <c r="BD95" i="1" a="1"/>
  <c r="BD95" i="1" s="1"/>
  <c r="BD89" i="1" a="1"/>
  <c r="BD89" i="1" s="1"/>
  <c r="BD105" i="1" a="1"/>
  <c r="BD105" i="1" s="1"/>
  <c r="BD93" i="1" a="1"/>
  <c r="BD93" i="1" s="1"/>
  <c r="BD90" i="1" a="1"/>
  <c r="BD90" i="1" s="1"/>
  <c r="BD82" i="1" a="1"/>
  <c r="BD82" i="1" s="1"/>
  <c r="BD102" i="1" a="1"/>
  <c r="BD102" i="1" s="1"/>
  <c r="BD92" i="1" a="1"/>
  <c r="BD92" i="1" s="1"/>
  <c r="BD81" i="1" a="1"/>
  <c r="BD81" i="1" s="1"/>
  <c r="BD98" i="1" a="1"/>
  <c r="BD98" i="1" s="1"/>
  <c r="BD74" i="1" a="1"/>
  <c r="BD74" i="1" s="1"/>
  <c r="BD62" i="1" a="1"/>
  <c r="BD62" i="1" s="1"/>
  <c r="BD50" i="1" a="1"/>
  <c r="BD50" i="1" s="1"/>
  <c r="BD63" i="1" a="1"/>
  <c r="BD63" i="1" s="1"/>
  <c r="BD49" i="1" a="1"/>
  <c r="BD49" i="1" s="1"/>
  <c r="BD91" i="1" a="1"/>
  <c r="BD91" i="1" s="1"/>
  <c r="BD64" i="1" a="1"/>
  <c r="BD64" i="1" s="1"/>
  <c r="BD48" i="1" a="1"/>
  <c r="BD48" i="1" s="1"/>
  <c r="BD80" i="1" a="1"/>
  <c r="BD80" i="1" s="1"/>
  <c r="BD65" i="1" a="1"/>
  <c r="BD65" i="1" s="1"/>
  <c r="BD83" i="1" a="1"/>
  <c r="BD83" i="1" s="1"/>
  <c r="BD66" i="1" a="1"/>
  <c r="BD66" i="1" s="1"/>
  <c r="BD67" i="1" a="1"/>
  <c r="BD67" i="1" s="1"/>
  <c r="BD78" i="1" a="1"/>
  <c r="BD78" i="1" s="1"/>
  <c r="BD68" i="1" a="1"/>
  <c r="BD68" i="1" s="1"/>
  <c r="BD56" i="1" a="1"/>
  <c r="BD56" i="1" s="1"/>
  <c r="BD79" i="1" a="1"/>
  <c r="BD79" i="1" s="1"/>
  <c r="BD69" i="1" a="1"/>
  <c r="BD69" i="1" s="1"/>
  <c r="BD57" i="1" a="1"/>
  <c r="BD57" i="1" s="1"/>
  <c r="BD55" i="1" a="1"/>
  <c r="BD55" i="1" s="1"/>
  <c r="BD70" i="1" a="1"/>
  <c r="BD70" i="1" s="1"/>
  <c r="BD58" i="1" a="1"/>
  <c r="BD58" i="1" s="1"/>
  <c r="BD54" i="1" a="1"/>
  <c r="BD54" i="1" s="1"/>
  <c r="BD71" i="1" a="1"/>
  <c r="BD71" i="1" s="1"/>
  <c r="BD59" i="1" a="1"/>
  <c r="BD59" i="1" s="1"/>
  <c r="BD53" i="1" a="1"/>
  <c r="BD53" i="1" s="1"/>
  <c r="BD72" i="1" a="1"/>
  <c r="BD72" i="1" s="1"/>
  <c r="BD60" i="1" a="1"/>
  <c r="BD60" i="1" s="1"/>
  <c r="R15" i="1" a="1"/>
  <c r="R15" i="1" s="1"/>
  <c r="X15" i="1" a="1"/>
  <c r="X15" i="1" s="1"/>
  <c r="AD15" i="1" a="1"/>
  <c r="AD15" i="1" s="1"/>
  <c r="AJ15" i="1" a="1"/>
  <c r="AJ15" i="1" s="1"/>
  <c r="AP15" i="1" a="1"/>
  <c r="AP15" i="1" s="1"/>
  <c r="AV15" i="1" a="1"/>
  <c r="AV15" i="1" s="1"/>
  <c r="BB15" i="1" a="1"/>
  <c r="BB15" i="1" s="1"/>
  <c r="BH15" i="1" a="1"/>
  <c r="BH15" i="1" s="1"/>
  <c r="BN15" i="1" a="1"/>
  <c r="BN15" i="1" s="1"/>
  <c r="S17" i="1" a="1"/>
  <c r="S17" i="1" s="1"/>
  <c r="Y17" i="1" a="1"/>
  <c r="Y17" i="1" s="1"/>
  <c r="AE17" i="1" a="1"/>
  <c r="AE17" i="1" s="1"/>
  <c r="AK17" i="1" a="1"/>
  <c r="AK17" i="1" s="1"/>
  <c r="AQ17" i="1" a="1"/>
  <c r="AQ17" i="1" s="1"/>
  <c r="AW17" i="1" a="1"/>
  <c r="AW17" i="1" s="1"/>
  <c r="BC17" i="1" a="1"/>
  <c r="BC17" i="1" s="1"/>
  <c r="BI17" i="1" a="1"/>
  <c r="BI17" i="1" s="1"/>
  <c r="U21" i="1" a="1"/>
  <c r="U21" i="1" s="1"/>
  <c r="U20" i="1" s="1"/>
  <c r="AA21" i="1" a="1"/>
  <c r="AA21" i="1" s="1"/>
  <c r="AA20" i="1" s="1"/>
  <c r="AM21" i="1" a="1"/>
  <c r="AM21" i="1" s="1"/>
  <c r="AM20" i="1" s="1"/>
  <c r="AS21" i="1" a="1"/>
  <c r="AS21" i="1" s="1"/>
  <c r="AS20" i="1" s="1"/>
  <c r="AY21" i="1" a="1"/>
  <c r="AY21" i="1" s="1"/>
  <c r="AY20" i="1" s="1"/>
  <c r="BK21" i="1" a="1"/>
  <c r="BK21" i="1" s="1"/>
  <c r="BK20" i="1" s="1"/>
  <c r="V25" i="1" a="1"/>
  <c r="V25" i="1" s="1"/>
  <c r="V24" i="1" s="1"/>
  <c r="AB25" i="1" a="1"/>
  <c r="AB25" i="1" s="1"/>
  <c r="AB24" i="1" s="1"/>
  <c r="AH25" i="1" a="1"/>
  <c r="AH25" i="1" s="1"/>
  <c r="AH24" i="1" s="1"/>
  <c r="AN25" i="1" a="1"/>
  <c r="AN25" i="1" s="1"/>
  <c r="AN24" i="1" s="1"/>
  <c r="AT25" i="1" a="1"/>
  <c r="AT25" i="1" s="1"/>
  <c r="AT24" i="1" s="1"/>
  <c r="AZ25" i="1" a="1"/>
  <c r="AZ25" i="1" s="1"/>
  <c r="AZ24" i="1" s="1"/>
  <c r="BF25" i="1" a="1"/>
  <c r="BF25" i="1" s="1"/>
  <c r="BF24" i="1" s="1"/>
  <c r="BL25" i="1" a="1"/>
  <c r="BL25" i="1" s="1"/>
  <c r="BL24" i="1" s="1"/>
  <c r="R35" i="1" a="1"/>
  <c r="R35" i="1" s="1"/>
  <c r="X35" i="1" a="1"/>
  <c r="X35" i="1" s="1"/>
  <c r="AD35" i="1" a="1"/>
  <c r="AD35" i="1" s="1"/>
  <c r="AJ35" i="1" a="1"/>
  <c r="AJ35" i="1" s="1"/>
  <c r="AP35" i="1" a="1"/>
  <c r="AP35" i="1" s="1"/>
  <c r="AV35" i="1" a="1"/>
  <c r="AV35" i="1" s="1"/>
  <c r="BB35" i="1" a="1"/>
  <c r="BB35" i="1" s="1"/>
  <c r="BH35" i="1" a="1"/>
  <c r="BH35" i="1" s="1"/>
  <c r="BN35" i="1" a="1"/>
  <c r="BN35" i="1" s="1"/>
  <c r="X38" i="1" a="1"/>
  <c r="X38" i="1" s="1"/>
  <c r="AD38" i="1" a="1"/>
  <c r="AD38" i="1" s="1"/>
  <c r="AJ38" i="1" a="1"/>
  <c r="AJ38" i="1" s="1"/>
  <c r="AP38" i="1" a="1"/>
  <c r="AP38" i="1" s="1"/>
  <c r="AV38" i="1" a="1"/>
  <c r="AV38" i="1" s="1"/>
  <c r="BB38" i="1" a="1"/>
  <c r="BB38" i="1" s="1"/>
  <c r="BH38" i="1" a="1"/>
  <c r="BH38" i="1" s="1"/>
  <c r="Q39" i="1" a="1"/>
  <c r="Q39" i="1" s="1"/>
  <c r="W39" i="1" a="1"/>
  <c r="W39" i="1" s="1"/>
  <c r="AC39" i="1" a="1"/>
  <c r="AC39" i="1" s="1"/>
  <c r="AI39" i="1" a="1"/>
  <c r="AI39" i="1" s="1"/>
  <c r="AO39" i="1" a="1"/>
  <c r="AO39" i="1" s="1"/>
  <c r="AU39" i="1" a="1"/>
  <c r="AU39" i="1" s="1"/>
  <c r="BA39" i="1" a="1"/>
  <c r="BA39" i="1" s="1"/>
  <c r="BG39" i="1" a="1"/>
  <c r="BG39" i="1" s="1"/>
  <c r="BM39" i="1" a="1"/>
  <c r="BM39" i="1" s="1"/>
  <c r="AA42" i="1" a="1"/>
  <c r="AA42" i="1" s="1"/>
  <c r="AN42" i="1" a="1"/>
  <c r="AN42" i="1" s="1"/>
  <c r="BA42" i="1" a="1"/>
  <c r="BA42" i="1" s="1"/>
  <c r="AA43" i="1" a="1"/>
  <c r="AA43" i="1" s="1"/>
  <c r="AK43" i="1" a="1"/>
  <c r="AK43" i="1" s="1"/>
  <c r="BD43" i="1" a="1"/>
  <c r="BD43" i="1" s="1"/>
  <c r="AF44" i="1" a="1"/>
  <c r="AF44" i="1" s="1"/>
  <c r="AR44" i="1" a="1"/>
  <c r="AR44" i="1" s="1"/>
  <c r="BD44" i="1" a="1"/>
  <c r="BD44" i="1" s="1"/>
  <c r="U49" i="1" a="1"/>
  <c r="U49" i="1" s="1"/>
  <c r="AM49" i="1" a="1"/>
  <c r="AM49" i="1" s="1"/>
  <c r="AK53" i="1" a="1"/>
  <c r="AK53" i="1" s="1"/>
  <c r="AQ54" i="1" a="1"/>
  <c r="AQ54" i="1" s="1"/>
  <c r="AV57" i="1" a="1"/>
  <c r="AV57" i="1" s="1"/>
  <c r="AK59" i="1" a="1"/>
  <c r="AK59" i="1" s="1"/>
  <c r="AF61" i="1" a="1"/>
  <c r="AF61" i="1" s="1"/>
  <c r="AA63" i="1" a="1"/>
  <c r="AA63" i="1" s="1"/>
  <c r="BM67" i="1" a="1"/>
  <c r="BM67" i="1" s="1"/>
  <c r="AV69" i="1" a="1"/>
  <c r="AV69" i="1" s="1"/>
  <c r="AK71" i="1" a="1"/>
  <c r="AK71" i="1" s="1"/>
  <c r="AF73" i="1" a="1"/>
  <c r="AF73" i="1" s="1"/>
  <c r="W75" i="1" a="1"/>
  <c r="W75" i="1" s="1"/>
  <c r="N77" i="1" a="1"/>
  <c r="N77" i="1" s="1"/>
  <c r="O77" i="1" s="1" a="1"/>
  <c r="O77" i="1" s="1"/>
  <c r="L76" i="1"/>
  <c r="N76" i="1" s="1" a="1"/>
  <c r="N76" i="1" s="1"/>
  <c r="O76" i="1" s="1" a="1"/>
  <c r="O76" i="1" s="1"/>
  <c r="AF78" i="1" a="1"/>
  <c r="AF78" i="1" s="1"/>
  <c r="AC86" i="1" a="1"/>
  <c r="AC86" i="1" s="1"/>
  <c r="AW90" i="1" a="1"/>
  <c r="AW90" i="1" s="1"/>
  <c r="AC94" i="1" a="1"/>
  <c r="AC94" i="1" s="1"/>
  <c r="BL98" i="1" a="1"/>
  <c r="BL98" i="1" s="1"/>
  <c r="V21" i="1" a="1"/>
  <c r="V21" i="1" s="1"/>
  <c r="V20" i="1" s="1"/>
  <c r="BF21" i="1" a="1"/>
  <c r="BF21" i="1" s="1"/>
  <c r="BF20" i="1" s="1"/>
  <c r="AH37" i="1" a="1"/>
  <c r="AH37" i="1" s="1"/>
  <c r="U148" i="1" a="1"/>
  <c r="U148" i="1" s="1"/>
  <c r="U147" i="1" a="1"/>
  <c r="U147" i="1" s="1"/>
  <c r="U152" i="1" a="1"/>
  <c r="U152" i="1" s="1"/>
  <c r="U151" i="1" s="1"/>
  <c r="U150" i="1" s="1"/>
  <c r="U156" i="1" a="1"/>
  <c r="U156" i="1" s="1"/>
  <c r="U155" i="1" a="1"/>
  <c r="U155" i="1" s="1"/>
  <c r="U144" i="1" a="1"/>
  <c r="U144" i="1" s="1"/>
  <c r="U149" i="1" a="1"/>
  <c r="U149" i="1" s="1"/>
  <c r="U139" i="1" a="1"/>
  <c r="U139" i="1" s="1"/>
  <c r="U136" i="1" a="1"/>
  <c r="U136" i="1" s="1"/>
  <c r="U124" i="1" a="1"/>
  <c r="U124" i="1" s="1"/>
  <c r="U112" i="1" a="1"/>
  <c r="U112" i="1" s="1"/>
  <c r="U137" i="1" a="1"/>
  <c r="U137" i="1" s="1"/>
  <c r="U125" i="1" a="1"/>
  <c r="U125" i="1" s="1"/>
  <c r="U126" i="1" a="1"/>
  <c r="U126" i="1" s="1"/>
  <c r="U110" i="1" a="1"/>
  <c r="U110" i="1" s="1"/>
  <c r="U127" i="1" a="1"/>
  <c r="U127" i="1" s="1"/>
  <c r="U128" i="1" a="1"/>
  <c r="U128" i="1" s="1"/>
  <c r="U129" i="1" a="1"/>
  <c r="U129" i="1" s="1"/>
  <c r="U138" i="1" a="1"/>
  <c r="U138" i="1" s="1"/>
  <c r="U130" i="1" a="1"/>
  <c r="U130" i="1" s="1"/>
  <c r="U118" i="1" a="1"/>
  <c r="U118" i="1" s="1"/>
  <c r="U131" i="1" a="1"/>
  <c r="U131" i="1" s="1"/>
  <c r="U143" i="1" a="1"/>
  <c r="U143" i="1" s="1"/>
  <c r="U133" i="1" a="1"/>
  <c r="U133" i="1" s="1"/>
  <c r="U121" i="1" a="1"/>
  <c r="U121" i="1" s="1"/>
  <c r="U134" i="1" a="1"/>
  <c r="U134" i="1" s="1"/>
  <c r="U122" i="1" a="1"/>
  <c r="U122" i="1" s="1"/>
  <c r="U135" i="1" a="1"/>
  <c r="U135" i="1" s="1"/>
  <c r="U115" i="1" a="1"/>
  <c r="U115" i="1" s="1"/>
  <c r="U98" i="1" a="1"/>
  <c r="U98" i="1" s="1"/>
  <c r="U99" i="1" a="1"/>
  <c r="U99" i="1" s="1"/>
  <c r="U132" i="1" a="1"/>
  <c r="U132" i="1" s="1"/>
  <c r="U101" i="1" a="1"/>
  <c r="U101" i="1" s="1"/>
  <c r="U120" i="1" a="1"/>
  <c r="U120" i="1" s="1"/>
  <c r="U102" i="1" a="1"/>
  <c r="U102" i="1" s="1"/>
  <c r="U116" i="1" a="1"/>
  <c r="U116" i="1" s="1"/>
  <c r="U113" i="1" a="1"/>
  <c r="U113" i="1" s="1"/>
  <c r="U103" i="1" a="1"/>
  <c r="U103" i="1" s="1"/>
  <c r="U107" i="1" a="1"/>
  <c r="U107" i="1" s="1"/>
  <c r="U105" i="1" a="1"/>
  <c r="U105" i="1" s="1"/>
  <c r="U123" i="1" a="1"/>
  <c r="U123" i="1" s="1"/>
  <c r="U114" i="1" a="1"/>
  <c r="U114" i="1" s="1"/>
  <c r="U106" i="1" a="1"/>
  <c r="U106" i="1" s="1"/>
  <c r="U111" i="1" a="1"/>
  <c r="U111" i="1" s="1"/>
  <c r="U94" i="1" a="1"/>
  <c r="U94" i="1" s="1"/>
  <c r="U100" i="1" a="1"/>
  <c r="U100" i="1" s="1"/>
  <c r="U92" i="1" a="1"/>
  <c r="U92" i="1" s="1"/>
  <c r="U86" i="1" a="1"/>
  <c r="U86" i="1" s="1"/>
  <c r="U87" i="1" a="1"/>
  <c r="U87" i="1" s="1"/>
  <c r="U85" i="1" a="1"/>
  <c r="U85" i="1" s="1"/>
  <c r="U119" i="1" a="1"/>
  <c r="U119" i="1" s="1"/>
  <c r="U97" i="1" a="1"/>
  <c r="U97" i="1" s="1"/>
  <c r="U88" i="1" a="1"/>
  <c r="U88" i="1" s="1"/>
  <c r="U84" i="1" a="1"/>
  <c r="U84" i="1" s="1"/>
  <c r="U95" i="1" a="1"/>
  <c r="U95" i="1" s="1"/>
  <c r="U89" i="1" a="1"/>
  <c r="U89" i="1" s="1"/>
  <c r="U83" i="1" a="1"/>
  <c r="U83" i="1" s="1"/>
  <c r="U104" i="1" a="1"/>
  <c r="U104" i="1" s="1"/>
  <c r="U90" i="1" a="1"/>
  <c r="U90" i="1" s="1"/>
  <c r="U82" i="1" a="1"/>
  <c r="U82" i="1" s="1"/>
  <c r="U91" i="1" a="1"/>
  <c r="U91" i="1" s="1"/>
  <c r="U79" i="1" a="1"/>
  <c r="U79" i="1" s="1"/>
  <c r="U96" i="1" a="1"/>
  <c r="U96" i="1" s="1"/>
  <c r="U64" i="1" a="1"/>
  <c r="U64" i="1" s="1"/>
  <c r="U48" i="1" a="1"/>
  <c r="U48" i="1" s="1"/>
  <c r="U65" i="1" a="1"/>
  <c r="U65" i="1" s="1"/>
  <c r="U80" i="1" a="1"/>
  <c r="U80" i="1" s="1"/>
  <c r="U66" i="1" a="1"/>
  <c r="U66" i="1" s="1"/>
  <c r="U78" i="1" a="1"/>
  <c r="U78" i="1" s="1"/>
  <c r="U75" i="1" a="1"/>
  <c r="U75" i="1" s="1"/>
  <c r="U67" i="1" a="1"/>
  <c r="U67" i="1" s="1"/>
  <c r="U68" i="1" a="1"/>
  <c r="U68" i="1" s="1"/>
  <c r="U56" i="1" a="1"/>
  <c r="U56" i="1" s="1"/>
  <c r="U69" i="1" a="1"/>
  <c r="U69" i="1" s="1"/>
  <c r="U57" i="1" a="1"/>
  <c r="U57" i="1" s="1"/>
  <c r="U55" i="1" a="1"/>
  <c r="U55" i="1" s="1"/>
  <c r="U117" i="1" a="1"/>
  <c r="U117" i="1" s="1"/>
  <c r="U70" i="1" a="1"/>
  <c r="U70" i="1" s="1"/>
  <c r="U58" i="1" a="1"/>
  <c r="U58" i="1" s="1"/>
  <c r="U54" i="1" a="1"/>
  <c r="U54" i="1" s="1"/>
  <c r="U71" i="1" a="1"/>
  <c r="U71" i="1" s="1"/>
  <c r="U59" i="1" a="1"/>
  <c r="U59" i="1" s="1"/>
  <c r="U53" i="1" a="1"/>
  <c r="U53" i="1" s="1"/>
  <c r="U72" i="1" a="1"/>
  <c r="U72" i="1" s="1"/>
  <c r="U60" i="1" a="1"/>
  <c r="U60" i="1" s="1"/>
  <c r="U52" i="1" a="1"/>
  <c r="U52" i="1" s="1"/>
  <c r="U93" i="1" a="1"/>
  <c r="U93" i="1" s="1"/>
  <c r="U73" i="1" a="1"/>
  <c r="U73" i="1" s="1"/>
  <c r="U61" i="1" a="1"/>
  <c r="U61" i="1" s="1"/>
  <c r="U51" i="1" a="1"/>
  <c r="U51" i="1" s="1"/>
  <c r="U74" i="1" a="1"/>
  <c r="U74" i="1" s="1"/>
  <c r="U62" i="1" a="1"/>
  <c r="U62" i="1" s="1"/>
  <c r="AG148" i="1" a="1"/>
  <c r="AG148" i="1" s="1"/>
  <c r="AG147" i="1" a="1"/>
  <c r="AG147" i="1" s="1"/>
  <c r="AG152" i="1" a="1"/>
  <c r="AG152" i="1" s="1"/>
  <c r="AG151" i="1" s="1"/>
  <c r="AG150" i="1" s="1"/>
  <c r="AG156" i="1" a="1"/>
  <c r="AG156" i="1" s="1"/>
  <c r="AG155" i="1" a="1"/>
  <c r="AG155" i="1" s="1"/>
  <c r="AG144" i="1" a="1"/>
  <c r="AG144" i="1" s="1"/>
  <c r="AG149" i="1" a="1"/>
  <c r="AG149" i="1" s="1"/>
  <c r="AG138" i="1" a="1"/>
  <c r="AG138" i="1" s="1"/>
  <c r="AG136" i="1" a="1"/>
  <c r="AG136" i="1" s="1"/>
  <c r="AG124" i="1" a="1"/>
  <c r="AG124" i="1" s="1"/>
  <c r="AG112" i="1" a="1"/>
  <c r="AG112" i="1" s="1"/>
  <c r="AG137" i="1" a="1"/>
  <c r="AG137" i="1" s="1"/>
  <c r="AG125" i="1" a="1"/>
  <c r="AG125" i="1" s="1"/>
  <c r="AG126" i="1" a="1"/>
  <c r="AG126" i="1" s="1"/>
  <c r="AG110" i="1" a="1"/>
  <c r="AG110" i="1" s="1"/>
  <c r="AG127" i="1" a="1"/>
  <c r="AG127" i="1" s="1"/>
  <c r="AG128" i="1" a="1"/>
  <c r="AG128" i="1" s="1"/>
  <c r="AG129" i="1" a="1"/>
  <c r="AG129" i="1" s="1"/>
  <c r="AG130" i="1" a="1"/>
  <c r="AG130" i="1" s="1"/>
  <c r="AG118" i="1" a="1"/>
  <c r="AG118" i="1" s="1"/>
  <c r="AG143" i="1" a="1"/>
  <c r="AG143" i="1" s="1"/>
  <c r="AG131" i="1" a="1"/>
  <c r="AG131" i="1" s="1"/>
  <c r="AG133" i="1" a="1"/>
  <c r="AG133" i="1" s="1"/>
  <c r="AG121" i="1" a="1"/>
  <c r="AG121" i="1" s="1"/>
  <c r="AG139" i="1" a="1"/>
  <c r="AG139" i="1" s="1"/>
  <c r="AG134" i="1" a="1"/>
  <c r="AG134" i="1" s="1"/>
  <c r="AG122" i="1" a="1"/>
  <c r="AG122" i="1" s="1"/>
  <c r="AG114" i="1" a="1"/>
  <c r="AG114" i="1" s="1"/>
  <c r="AG98" i="1" a="1"/>
  <c r="AG98" i="1" s="1"/>
  <c r="AG111" i="1" a="1"/>
  <c r="AG111" i="1" s="1"/>
  <c r="AG99" i="1" a="1"/>
  <c r="AG99" i="1" s="1"/>
  <c r="AG123" i="1" a="1"/>
  <c r="AG123" i="1" s="1"/>
  <c r="AG116" i="1" a="1"/>
  <c r="AG116" i="1" s="1"/>
  <c r="AG101" i="1" a="1"/>
  <c r="AG101" i="1" s="1"/>
  <c r="AG120" i="1" a="1"/>
  <c r="AG120" i="1" s="1"/>
  <c r="AG102" i="1" a="1"/>
  <c r="AG102" i="1" s="1"/>
  <c r="AG103" i="1" a="1"/>
  <c r="AG103" i="1" s="1"/>
  <c r="AG115" i="1" a="1"/>
  <c r="AG115" i="1" s="1"/>
  <c r="AG105" i="1" a="1"/>
  <c r="AG105" i="1" s="1"/>
  <c r="AG135" i="1" a="1"/>
  <c r="AG135" i="1" s="1"/>
  <c r="AG106" i="1" a="1"/>
  <c r="AG106" i="1" s="1"/>
  <c r="AG117" i="1" a="1"/>
  <c r="AG117" i="1" s="1"/>
  <c r="AG113" i="1" a="1"/>
  <c r="AG113" i="1" s="1"/>
  <c r="AG107" i="1" a="1"/>
  <c r="AG107" i="1" s="1"/>
  <c r="AG100" i="1" a="1"/>
  <c r="AG100" i="1" s="1"/>
  <c r="AG93" i="1" a="1"/>
  <c r="AG93" i="1" s="1"/>
  <c r="AG119" i="1" a="1"/>
  <c r="AG119" i="1" s="1"/>
  <c r="AG96" i="1" a="1"/>
  <c r="AG96" i="1" s="1"/>
  <c r="AG86" i="1" a="1"/>
  <c r="AG86" i="1" s="1"/>
  <c r="AG132" i="1" a="1"/>
  <c r="AG132" i="1" s="1"/>
  <c r="AG92" i="1" a="1"/>
  <c r="AG92" i="1" s="1"/>
  <c r="AG87" i="1" a="1"/>
  <c r="AG87" i="1" s="1"/>
  <c r="AG85" i="1" a="1"/>
  <c r="AG85" i="1" s="1"/>
  <c r="AG94" i="1" a="1"/>
  <c r="AG94" i="1" s="1"/>
  <c r="AG88" i="1" a="1"/>
  <c r="AG88" i="1" s="1"/>
  <c r="AG84" i="1" a="1"/>
  <c r="AG84" i="1" s="1"/>
  <c r="AG89" i="1" a="1"/>
  <c r="AG89" i="1" s="1"/>
  <c r="AG83" i="1" a="1"/>
  <c r="AG83" i="1" s="1"/>
  <c r="AG104" i="1" a="1"/>
  <c r="AG104" i="1" s="1"/>
  <c r="AG90" i="1" a="1"/>
  <c r="AG90" i="1" s="1"/>
  <c r="AG82" i="1" a="1"/>
  <c r="AG82" i="1" s="1"/>
  <c r="AG91" i="1" a="1"/>
  <c r="AG91" i="1" s="1"/>
  <c r="AG97" i="1" a="1"/>
  <c r="AG97" i="1" s="1"/>
  <c r="AG95" i="1" a="1"/>
  <c r="AG95" i="1" s="1"/>
  <c r="AG79" i="1" a="1"/>
  <c r="AG79" i="1" s="1"/>
  <c r="AG64" i="1" a="1"/>
  <c r="AG64" i="1" s="1"/>
  <c r="AG48" i="1" a="1"/>
  <c r="AG48" i="1" s="1"/>
  <c r="AG65" i="1" a="1"/>
  <c r="AG65" i="1" s="1"/>
  <c r="AG66" i="1" a="1"/>
  <c r="AG66" i="1" s="1"/>
  <c r="AG81" i="1" a="1"/>
  <c r="AG81" i="1" s="1"/>
  <c r="AG67" i="1" a="1"/>
  <c r="AG67" i="1" s="1"/>
  <c r="AG68" i="1" a="1"/>
  <c r="AG68" i="1" s="1"/>
  <c r="AG56" i="1" a="1"/>
  <c r="AG56" i="1" s="1"/>
  <c r="AG69" i="1" a="1"/>
  <c r="AG69" i="1" s="1"/>
  <c r="AG57" i="1" a="1"/>
  <c r="AG57" i="1" s="1"/>
  <c r="AG55" i="1" a="1"/>
  <c r="AG55" i="1" s="1"/>
  <c r="AG80" i="1" a="1"/>
  <c r="AG80" i="1" s="1"/>
  <c r="AG70" i="1" a="1"/>
  <c r="AG70" i="1" s="1"/>
  <c r="AG58" i="1" a="1"/>
  <c r="AG58" i="1" s="1"/>
  <c r="AG54" i="1" a="1"/>
  <c r="AG54" i="1" s="1"/>
  <c r="AG75" i="1" a="1"/>
  <c r="AG75" i="1" s="1"/>
  <c r="AG71" i="1" a="1"/>
  <c r="AG71" i="1" s="1"/>
  <c r="AG59" i="1" a="1"/>
  <c r="AG59" i="1" s="1"/>
  <c r="AG53" i="1" a="1"/>
  <c r="AG53" i="1" s="1"/>
  <c r="AG72" i="1" a="1"/>
  <c r="AG72" i="1" s="1"/>
  <c r="AG60" i="1" a="1"/>
  <c r="AG60" i="1" s="1"/>
  <c r="AG52" i="1" a="1"/>
  <c r="AG52" i="1" s="1"/>
  <c r="AG78" i="1" a="1"/>
  <c r="AG78" i="1" s="1"/>
  <c r="AG73" i="1" a="1"/>
  <c r="AG73" i="1" s="1"/>
  <c r="AG61" i="1" a="1"/>
  <c r="AG61" i="1" s="1"/>
  <c r="AG51" i="1" a="1"/>
  <c r="AG51" i="1" s="1"/>
  <c r="AG74" i="1" a="1"/>
  <c r="AG74" i="1" s="1"/>
  <c r="AG62" i="1" a="1"/>
  <c r="AG62" i="1" s="1"/>
  <c r="AS148" i="1" a="1"/>
  <c r="AS148" i="1" s="1"/>
  <c r="AS147" i="1" a="1"/>
  <c r="AS147" i="1" s="1"/>
  <c r="AS152" i="1" a="1"/>
  <c r="AS152" i="1" s="1"/>
  <c r="AS151" i="1" s="1"/>
  <c r="AS150" i="1" s="1"/>
  <c r="AS137" i="1" a="1"/>
  <c r="AS137" i="1" s="1"/>
  <c r="AS156" i="1" a="1"/>
  <c r="AS156" i="1" s="1"/>
  <c r="AS155" i="1" a="1"/>
  <c r="AS155" i="1" s="1"/>
  <c r="AS144" i="1" a="1"/>
  <c r="AS144" i="1" s="1"/>
  <c r="AS149" i="1" a="1"/>
  <c r="AS149" i="1" s="1"/>
  <c r="AS136" i="1" a="1"/>
  <c r="AS136" i="1" s="1"/>
  <c r="AS124" i="1" a="1"/>
  <c r="AS124" i="1" s="1"/>
  <c r="AS112" i="1" a="1"/>
  <c r="AS112" i="1" s="1"/>
  <c r="AS125" i="1" a="1"/>
  <c r="AS125" i="1" s="1"/>
  <c r="AS126" i="1" a="1"/>
  <c r="AS126" i="1" s="1"/>
  <c r="AS110" i="1" a="1"/>
  <c r="AS110" i="1" s="1"/>
  <c r="AS127" i="1" a="1"/>
  <c r="AS127" i="1" s="1"/>
  <c r="AS128" i="1" a="1"/>
  <c r="AS128" i="1" s="1"/>
  <c r="AS143" i="1" a="1"/>
  <c r="AS143" i="1" s="1"/>
  <c r="AS129" i="1" a="1"/>
  <c r="AS129" i="1" s="1"/>
  <c r="AS138" i="1" a="1"/>
  <c r="AS138" i="1" s="1"/>
  <c r="AS130" i="1" a="1"/>
  <c r="AS130" i="1" s="1"/>
  <c r="AS118" i="1" a="1"/>
  <c r="AS118" i="1" s="1"/>
  <c r="AS131" i="1" a="1"/>
  <c r="AS131" i="1" s="1"/>
  <c r="AS133" i="1" a="1"/>
  <c r="AS133" i="1" s="1"/>
  <c r="AS121" i="1" a="1"/>
  <c r="AS121" i="1" s="1"/>
  <c r="AS134" i="1" a="1"/>
  <c r="AS134" i="1" s="1"/>
  <c r="AS122" i="1" a="1"/>
  <c r="AS122" i="1" s="1"/>
  <c r="AS115" i="1" a="1"/>
  <c r="AS115" i="1" s="1"/>
  <c r="AS98" i="1" a="1"/>
  <c r="AS98" i="1" s="1"/>
  <c r="AS116" i="1" a="1"/>
  <c r="AS116" i="1" s="1"/>
  <c r="AS113" i="1" a="1"/>
  <c r="AS113" i="1" s="1"/>
  <c r="AS99" i="1" a="1"/>
  <c r="AS99" i="1" s="1"/>
  <c r="AS107" i="1" a="1"/>
  <c r="AS107" i="1" s="1"/>
  <c r="AS101" i="1" a="1"/>
  <c r="AS101" i="1" s="1"/>
  <c r="AS135" i="1" a="1"/>
  <c r="AS135" i="1" s="1"/>
  <c r="AS114" i="1" a="1"/>
  <c r="AS114" i="1" s="1"/>
  <c r="AS102" i="1" a="1"/>
  <c r="AS102" i="1" s="1"/>
  <c r="AS111" i="1" a="1"/>
  <c r="AS111" i="1" s="1"/>
  <c r="AS103" i="1" a="1"/>
  <c r="AS103" i="1" s="1"/>
  <c r="AS120" i="1" a="1"/>
  <c r="AS120" i="1" s="1"/>
  <c r="AS132" i="1" a="1"/>
  <c r="AS132" i="1" s="1"/>
  <c r="AS117" i="1" a="1"/>
  <c r="AS117" i="1" s="1"/>
  <c r="AS105" i="1" a="1"/>
  <c r="AS105" i="1" s="1"/>
  <c r="AS119" i="1" a="1"/>
  <c r="AS119" i="1" s="1"/>
  <c r="AS100" i="1" a="1"/>
  <c r="AS100" i="1" s="1"/>
  <c r="AS95" i="1" a="1"/>
  <c r="AS95" i="1" s="1"/>
  <c r="AS86" i="1" a="1"/>
  <c r="AS86" i="1" s="1"/>
  <c r="AS97" i="1" a="1"/>
  <c r="AS97" i="1" s="1"/>
  <c r="AS93" i="1" a="1"/>
  <c r="AS93" i="1" s="1"/>
  <c r="AS87" i="1" a="1"/>
  <c r="AS87" i="1" s="1"/>
  <c r="AS85" i="1" a="1"/>
  <c r="AS85" i="1" s="1"/>
  <c r="AS88" i="1" a="1"/>
  <c r="AS88" i="1" s="1"/>
  <c r="AS84" i="1" a="1"/>
  <c r="AS84" i="1" s="1"/>
  <c r="AS92" i="1" a="1"/>
  <c r="AS92" i="1" s="1"/>
  <c r="AS89" i="1" a="1"/>
  <c r="AS89" i="1" s="1"/>
  <c r="AS83" i="1" a="1"/>
  <c r="AS83" i="1" s="1"/>
  <c r="AS104" i="1" a="1"/>
  <c r="AS104" i="1" s="1"/>
  <c r="AS96" i="1" a="1"/>
  <c r="AS96" i="1" s="1"/>
  <c r="AS90" i="1" a="1"/>
  <c r="AS90" i="1" s="1"/>
  <c r="AS82" i="1" a="1"/>
  <c r="AS82" i="1" s="1"/>
  <c r="AS91" i="1" a="1"/>
  <c r="AS91" i="1" s="1"/>
  <c r="AS106" i="1" a="1"/>
  <c r="AS106" i="1" s="1"/>
  <c r="AS94" i="1" a="1"/>
  <c r="AS94" i="1" s="1"/>
  <c r="AS123" i="1" a="1"/>
  <c r="AS123" i="1" s="1"/>
  <c r="AS79" i="1" a="1"/>
  <c r="AS79" i="1" s="1"/>
  <c r="AS64" i="1" a="1"/>
  <c r="AS64" i="1" s="1"/>
  <c r="AS48" i="1" a="1"/>
  <c r="AS48" i="1" s="1"/>
  <c r="AS65" i="1" a="1"/>
  <c r="AS65" i="1" s="1"/>
  <c r="AS66" i="1" a="1"/>
  <c r="AS66" i="1" s="1"/>
  <c r="AS139" i="1" a="1"/>
  <c r="AS139" i="1" s="1"/>
  <c r="AS67" i="1" a="1"/>
  <c r="AS67" i="1" s="1"/>
  <c r="AS68" i="1" a="1"/>
  <c r="AS68" i="1" s="1"/>
  <c r="AS56" i="1" a="1"/>
  <c r="AS56" i="1" s="1"/>
  <c r="AS69" i="1" a="1"/>
  <c r="AS69" i="1" s="1"/>
  <c r="AS57" i="1" a="1"/>
  <c r="AS57" i="1" s="1"/>
  <c r="AS55" i="1" a="1"/>
  <c r="AS55" i="1" s="1"/>
  <c r="AS78" i="1" a="1"/>
  <c r="AS78" i="1" s="1"/>
  <c r="AS70" i="1" a="1"/>
  <c r="AS70" i="1" s="1"/>
  <c r="AS58" i="1" a="1"/>
  <c r="AS58" i="1" s="1"/>
  <c r="AS54" i="1" a="1"/>
  <c r="AS54" i="1" s="1"/>
  <c r="AS81" i="1" a="1"/>
  <c r="AS81" i="1" s="1"/>
  <c r="AS71" i="1" a="1"/>
  <c r="AS71" i="1" s="1"/>
  <c r="AS59" i="1" a="1"/>
  <c r="AS59" i="1" s="1"/>
  <c r="AS53" i="1" a="1"/>
  <c r="AS53" i="1" s="1"/>
  <c r="AS72" i="1" a="1"/>
  <c r="AS72" i="1" s="1"/>
  <c r="AS60" i="1" a="1"/>
  <c r="AS60" i="1" s="1"/>
  <c r="AS52" i="1" a="1"/>
  <c r="AS52" i="1" s="1"/>
  <c r="AS73" i="1" a="1"/>
  <c r="AS73" i="1" s="1"/>
  <c r="AS61" i="1" a="1"/>
  <c r="AS61" i="1" s="1"/>
  <c r="AS51" i="1" a="1"/>
  <c r="AS51" i="1" s="1"/>
  <c r="AS80" i="1" a="1"/>
  <c r="AS80" i="1" s="1"/>
  <c r="AS74" i="1" a="1"/>
  <c r="AS74" i="1" s="1"/>
  <c r="AS62" i="1" a="1"/>
  <c r="AS62" i="1" s="1"/>
  <c r="BE148" i="1" a="1"/>
  <c r="BE148" i="1" s="1"/>
  <c r="BE147" i="1" a="1"/>
  <c r="BE147" i="1" s="1"/>
  <c r="BE152" i="1" a="1"/>
  <c r="BE152" i="1" s="1"/>
  <c r="BE151" i="1" s="1"/>
  <c r="BE150" i="1" s="1"/>
  <c r="BE137" i="1" a="1"/>
  <c r="BE137" i="1" s="1"/>
  <c r="BE156" i="1" a="1"/>
  <c r="BE156" i="1" s="1"/>
  <c r="BE138" i="1" a="1"/>
  <c r="BE138" i="1" s="1"/>
  <c r="BE139" i="1" a="1"/>
  <c r="BE139" i="1" s="1"/>
  <c r="BE155" i="1" a="1"/>
  <c r="BE155" i="1" s="1"/>
  <c r="BE144" i="1" a="1"/>
  <c r="BE144" i="1" s="1"/>
  <c r="BE149" i="1" a="1"/>
  <c r="BE149" i="1" s="1"/>
  <c r="BE136" i="1" a="1"/>
  <c r="BE136" i="1" s="1"/>
  <c r="BE124" i="1" a="1"/>
  <c r="BE124" i="1" s="1"/>
  <c r="BE112" i="1" a="1"/>
  <c r="BE112" i="1" s="1"/>
  <c r="BE125" i="1" a="1"/>
  <c r="BE125" i="1" s="1"/>
  <c r="BE126" i="1" a="1"/>
  <c r="BE126" i="1" s="1"/>
  <c r="BE110" i="1" a="1"/>
  <c r="BE110" i="1" s="1"/>
  <c r="BE143" i="1" a="1"/>
  <c r="BE143" i="1" s="1"/>
  <c r="BE127" i="1" a="1"/>
  <c r="BE127" i="1" s="1"/>
  <c r="BE128" i="1" a="1"/>
  <c r="BE128" i="1" s="1"/>
  <c r="BE129" i="1" a="1"/>
  <c r="BE129" i="1" s="1"/>
  <c r="BE130" i="1" a="1"/>
  <c r="BE130" i="1" s="1"/>
  <c r="BE118" i="1" a="1"/>
  <c r="BE118" i="1" s="1"/>
  <c r="BE131" i="1" a="1"/>
  <c r="BE131" i="1" s="1"/>
  <c r="BE133" i="1" a="1"/>
  <c r="BE133" i="1" s="1"/>
  <c r="BE121" i="1" a="1"/>
  <c r="BE121" i="1" s="1"/>
  <c r="BE134" i="1" a="1"/>
  <c r="BE134" i="1" s="1"/>
  <c r="BE122" i="1" a="1"/>
  <c r="BE122" i="1" s="1"/>
  <c r="BE135" i="1" a="1"/>
  <c r="BE135" i="1" s="1"/>
  <c r="BE106" i="1" a="1"/>
  <c r="BE106" i="1" s="1"/>
  <c r="BE98" i="1" a="1"/>
  <c r="BE98" i="1" s="1"/>
  <c r="BE99" i="1" a="1"/>
  <c r="BE99" i="1" s="1"/>
  <c r="BE132" i="1" a="1"/>
  <c r="BE132" i="1" s="1"/>
  <c r="BE101" i="1" a="1"/>
  <c r="BE101" i="1" s="1"/>
  <c r="BE102" i="1" a="1"/>
  <c r="BE102" i="1" s="1"/>
  <c r="BE117" i="1" a="1"/>
  <c r="BE117" i="1" s="1"/>
  <c r="BE113" i="1" a="1"/>
  <c r="BE113" i="1" s="1"/>
  <c r="BE103" i="1" a="1"/>
  <c r="BE103" i="1" s="1"/>
  <c r="BE123" i="1" a="1"/>
  <c r="BE123" i="1" s="1"/>
  <c r="BE115" i="1" a="1"/>
  <c r="BE115" i="1" s="1"/>
  <c r="BE107" i="1" a="1"/>
  <c r="BE107" i="1" s="1"/>
  <c r="BE105" i="1" a="1"/>
  <c r="BE105" i="1" s="1"/>
  <c r="BE120" i="1" a="1"/>
  <c r="BE120" i="1" s="1"/>
  <c r="BE114" i="1" a="1"/>
  <c r="BE114" i="1" s="1"/>
  <c r="BE111" i="1" a="1"/>
  <c r="BE111" i="1" s="1"/>
  <c r="BE94" i="1" a="1"/>
  <c r="BE94" i="1" s="1"/>
  <c r="BE100" i="1" a="1"/>
  <c r="BE100" i="1" s="1"/>
  <c r="BE86" i="1" a="1"/>
  <c r="BE86" i="1" s="1"/>
  <c r="BE87" i="1" a="1"/>
  <c r="BE87" i="1" s="1"/>
  <c r="BE85" i="1" a="1"/>
  <c r="BE85" i="1" s="1"/>
  <c r="BE88" i="1" a="1"/>
  <c r="BE88" i="1" s="1"/>
  <c r="BE84" i="1" a="1"/>
  <c r="BE84" i="1" s="1"/>
  <c r="BE95" i="1" a="1"/>
  <c r="BE95" i="1" s="1"/>
  <c r="BE89" i="1" a="1"/>
  <c r="BE89" i="1" s="1"/>
  <c r="BE83" i="1" a="1"/>
  <c r="BE83" i="1" s="1"/>
  <c r="BE104" i="1" a="1"/>
  <c r="BE104" i="1" s="1"/>
  <c r="BE93" i="1" a="1"/>
  <c r="BE93" i="1" s="1"/>
  <c r="BE90" i="1" a="1"/>
  <c r="BE90" i="1" s="1"/>
  <c r="BE82" i="1" a="1"/>
  <c r="BE82" i="1" s="1"/>
  <c r="BE116" i="1" a="1"/>
  <c r="BE116" i="1" s="1"/>
  <c r="BE92" i="1" a="1"/>
  <c r="BE92" i="1" s="1"/>
  <c r="BE97" i="1" a="1"/>
  <c r="BE97" i="1" s="1"/>
  <c r="BE91" i="1" a="1"/>
  <c r="BE91" i="1" s="1"/>
  <c r="BE79" i="1" a="1"/>
  <c r="BE79" i="1" s="1"/>
  <c r="BE119" i="1" a="1"/>
  <c r="BE119" i="1" s="1"/>
  <c r="BE64" i="1" a="1"/>
  <c r="BE64" i="1" s="1"/>
  <c r="BE48" i="1" a="1"/>
  <c r="BE48" i="1" s="1"/>
  <c r="BE65" i="1" a="1"/>
  <c r="BE65" i="1" s="1"/>
  <c r="BE96" i="1" a="1"/>
  <c r="BE96" i="1" s="1"/>
  <c r="BE80" i="1" a="1"/>
  <c r="BE80" i="1" s="1"/>
  <c r="BE66" i="1" a="1"/>
  <c r="BE66" i="1" s="1"/>
  <c r="BE75" i="1" a="1"/>
  <c r="BE75" i="1" s="1"/>
  <c r="BE67" i="1" a="1"/>
  <c r="BE67" i="1" s="1"/>
  <c r="BE78" i="1" a="1"/>
  <c r="BE78" i="1" s="1"/>
  <c r="BE68" i="1" a="1"/>
  <c r="BE68" i="1" s="1"/>
  <c r="BE56" i="1" a="1"/>
  <c r="BE56" i="1" s="1"/>
  <c r="BE69" i="1" a="1"/>
  <c r="BE69" i="1" s="1"/>
  <c r="BE57" i="1" a="1"/>
  <c r="BE57" i="1" s="1"/>
  <c r="BE55" i="1" a="1"/>
  <c r="BE55" i="1" s="1"/>
  <c r="BE70" i="1" a="1"/>
  <c r="BE70" i="1" s="1"/>
  <c r="BE58" i="1" a="1"/>
  <c r="BE58" i="1" s="1"/>
  <c r="BE54" i="1" a="1"/>
  <c r="BE54" i="1" s="1"/>
  <c r="BE71" i="1" a="1"/>
  <c r="BE71" i="1" s="1"/>
  <c r="BE59" i="1" a="1"/>
  <c r="BE59" i="1" s="1"/>
  <c r="BE53" i="1" a="1"/>
  <c r="BE53" i="1" s="1"/>
  <c r="BE72" i="1" a="1"/>
  <c r="BE72" i="1" s="1"/>
  <c r="BE60" i="1" a="1"/>
  <c r="BE60" i="1" s="1"/>
  <c r="BE52" i="1" a="1"/>
  <c r="BE52" i="1" s="1"/>
  <c r="BE73" i="1" a="1"/>
  <c r="BE73" i="1" s="1"/>
  <c r="BE61" i="1" a="1"/>
  <c r="BE61" i="1" s="1"/>
  <c r="BE51" i="1" a="1"/>
  <c r="BE51" i="1" s="1"/>
  <c r="BE74" i="1" a="1"/>
  <c r="BE74" i="1" s="1"/>
  <c r="BE62" i="1" a="1"/>
  <c r="BE62" i="1" s="1"/>
  <c r="Y16" i="1" a="1"/>
  <c r="Y16" i="1" s="1"/>
  <c r="AK16" i="1" a="1"/>
  <c r="AK16" i="1" s="1"/>
  <c r="AW16" i="1" a="1"/>
  <c r="AW16" i="1" s="1"/>
  <c r="BI16" i="1" a="1"/>
  <c r="BI16" i="1" s="1"/>
  <c r="S23" i="1" a="1"/>
  <c r="S23" i="1" s="1"/>
  <c r="S22" i="1" s="1"/>
  <c r="Y23" i="1" a="1"/>
  <c r="Y23" i="1" s="1"/>
  <c r="Y22" i="1" s="1"/>
  <c r="AE23" i="1" a="1"/>
  <c r="AE23" i="1" s="1"/>
  <c r="AE22" i="1" s="1"/>
  <c r="AK23" i="1" a="1"/>
  <c r="AK23" i="1" s="1"/>
  <c r="AK22" i="1" s="1"/>
  <c r="AQ23" i="1" a="1"/>
  <c r="AQ23" i="1" s="1"/>
  <c r="AQ22" i="1" s="1"/>
  <c r="AW23" i="1" a="1"/>
  <c r="AW23" i="1" s="1"/>
  <c r="AW22" i="1" s="1"/>
  <c r="BC23" i="1" a="1"/>
  <c r="BC23" i="1" s="1"/>
  <c r="BC22" i="1" s="1"/>
  <c r="BI23" i="1" a="1"/>
  <c r="BI23" i="1" s="1"/>
  <c r="BI22" i="1" s="1"/>
  <c r="S28" i="1" a="1"/>
  <c r="S28" i="1" s="1"/>
  <c r="Y28" i="1" a="1"/>
  <c r="Y28" i="1" s="1"/>
  <c r="AE28" i="1" a="1"/>
  <c r="AE28" i="1" s="1"/>
  <c r="AK28" i="1" a="1"/>
  <c r="AK28" i="1" s="1"/>
  <c r="AQ28" i="1" a="1"/>
  <c r="AQ28" i="1" s="1"/>
  <c r="AW28" i="1" a="1"/>
  <c r="AW28" i="1" s="1"/>
  <c r="BC28" i="1" a="1"/>
  <c r="BC28" i="1" s="1"/>
  <c r="BI28" i="1" a="1"/>
  <c r="BI28" i="1" s="1"/>
  <c r="R29" i="1" a="1"/>
  <c r="R29" i="1" s="1"/>
  <c r="X29" i="1" a="1"/>
  <c r="X29" i="1" s="1"/>
  <c r="AD29" i="1" a="1"/>
  <c r="AD29" i="1" s="1"/>
  <c r="AJ29" i="1" a="1"/>
  <c r="AJ29" i="1" s="1"/>
  <c r="AP29" i="1" a="1"/>
  <c r="AP29" i="1" s="1"/>
  <c r="AV29" i="1" a="1"/>
  <c r="AV29" i="1" s="1"/>
  <c r="BB29" i="1" a="1"/>
  <c r="BB29" i="1" s="1"/>
  <c r="BH29" i="1" a="1"/>
  <c r="BH29" i="1" s="1"/>
  <c r="BN29" i="1" a="1"/>
  <c r="BN29" i="1" s="1"/>
  <c r="Q30" i="1" a="1"/>
  <c r="Q30" i="1" s="1"/>
  <c r="W30" i="1" a="1"/>
  <c r="W30" i="1" s="1"/>
  <c r="AC30" i="1" a="1"/>
  <c r="AC30" i="1" s="1"/>
  <c r="AI30" i="1" a="1"/>
  <c r="AI30" i="1" s="1"/>
  <c r="AO30" i="1" a="1"/>
  <c r="AO30" i="1" s="1"/>
  <c r="AU30" i="1" a="1"/>
  <c r="AU30" i="1" s="1"/>
  <c r="BA30" i="1" a="1"/>
  <c r="BA30" i="1" s="1"/>
  <c r="BG30" i="1" a="1"/>
  <c r="BG30" i="1" s="1"/>
  <c r="BM30" i="1" a="1"/>
  <c r="BM30" i="1" s="1"/>
  <c r="V31" i="1" a="1"/>
  <c r="V31" i="1" s="1"/>
  <c r="AB31" i="1" a="1"/>
  <c r="AB31" i="1" s="1"/>
  <c r="AH31" i="1" a="1"/>
  <c r="AH31" i="1" s="1"/>
  <c r="AN31" i="1" a="1"/>
  <c r="AN31" i="1" s="1"/>
  <c r="AT31" i="1" a="1"/>
  <c r="AT31" i="1" s="1"/>
  <c r="AZ31" i="1" a="1"/>
  <c r="AZ31" i="1" s="1"/>
  <c r="BF31" i="1" a="1"/>
  <c r="BF31" i="1" s="1"/>
  <c r="BL31" i="1" a="1"/>
  <c r="BL31" i="1" s="1"/>
  <c r="U32" i="1" a="1"/>
  <c r="U32" i="1" s="1"/>
  <c r="AA32" i="1" a="1"/>
  <c r="AA32" i="1" s="1"/>
  <c r="AG32" i="1" a="1"/>
  <c r="AG32" i="1" s="1"/>
  <c r="AM32" i="1" a="1"/>
  <c r="AM32" i="1" s="1"/>
  <c r="AS32" i="1" a="1"/>
  <c r="AS32" i="1" s="1"/>
  <c r="AY32" i="1" a="1"/>
  <c r="AY32" i="1" s="1"/>
  <c r="BE32" i="1" a="1"/>
  <c r="BE32" i="1" s="1"/>
  <c r="BK32" i="1" a="1"/>
  <c r="BK32" i="1" s="1"/>
  <c r="T33" i="1" a="1"/>
  <c r="T33" i="1" s="1"/>
  <c r="Z33" i="1" a="1"/>
  <c r="Z33" i="1" s="1"/>
  <c r="AF33" i="1" a="1"/>
  <c r="AF33" i="1" s="1"/>
  <c r="AL33" i="1" a="1"/>
  <c r="AL33" i="1" s="1"/>
  <c r="AR33" i="1" a="1"/>
  <c r="AR33" i="1" s="1"/>
  <c r="AX33" i="1" a="1"/>
  <c r="AX33" i="1" s="1"/>
  <c r="BD33" i="1" a="1"/>
  <c r="BD33" i="1" s="1"/>
  <c r="BJ33" i="1" a="1"/>
  <c r="BJ33" i="1" s="1"/>
  <c r="S34" i="1" a="1"/>
  <c r="S34" i="1" s="1"/>
  <c r="Y34" i="1" a="1"/>
  <c r="Y34" i="1" s="1"/>
  <c r="AE34" i="1" a="1"/>
  <c r="AE34" i="1" s="1"/>
  <c r="AK34" i="1" a="1"/>
  <c r="AK34" i="1" s="1"/>
  <c r="AQ34" i="1" a="1"/>
  <c r="AQ34" i="1" s="1"/>
  <c r="AW34" i="1" a="1"/>
  <c r="AW34" i="1" s="1"/>
  <c r="BC34" i="1" a="1"/>
  <c r="BC34" i="1" s="1"/>
  <c r="BI34" i="1" a="1"/>
  <c r="BI34" i="1" s="1"/>
  <c r="V36" i="1" a="1"/>
  <c r="V36" i="1" s="1"/>
  <c r="AB36" i="1" a="1"/>
  <c r="AB36" i="1" s="1"/>
  <c r="AH36" i="1" a="1"/>
  <c r="AH36" i="1" s="1"/>
  <c r="AN36" i="1" a="1"/>
  <c r="AN36" i="1" s="1"/>
  <c r="AT36" i="1" a="1"/>
  <c r="AT36" i="1" s="1"/>
  <c r="AZ36" i="1" a="1"/>
  <c r="AZ36" i="1" s="1"/>
  <c r="BF36" i="1" a="1"/>
  <c r="BF36" i="1" s="1"/>
  <c r="BL36" i="1" a="1"/>
  <c r="BL36" i="1" s="1"/>
  <c r="U37" i="1" a="1"/>
  <c r="U37" i="1" s="1"/>
  <c r="AA37" i="1" a="1"/>
  <c r="AA37" i="1" s="1"/>
  <c r="AG37" i="1" a="1"/>
  <c r="AG37" i="1" s="1"/>
  <c r="AM37" i="1" a="1"/>
  <c r="AM37" i="1" s="1"/>
  <c r="AS37" i="1" a="1"/>
  <c r="AS37" i="1" s="1"/>
  <c r="AY37" i="1" a="1"/>
  <c r="AY37" i="1" s="1"/>
  <c r="BE37" i="1" a="1"/>
  <c r="BE37" i="1" s="1"/>
  <c r="BK37" i="1" a="1"/>
  <c r="BK37" i="1" s="1"/>
  <c r="U42" i="1" a="1"/>
  <c r="U42" i="1" s="1"/>
  <c r="AH42" i="1" a="1"/>
  <c r="AH42" i="1" s="1"/>
  <c r="AU42" i="1" a="1"/>
  <c r="AU42" i="1" s="1"/>
  <c r="BB42" i="1" a="1"/>
  <c r="BB42" i="1" s="1"/>
  <c r="T43" i="1" a="1"/>
  <c r="T43" i="1" s="1"/>
  <c r="U44" i="1" a="1"/>
  <c r="U44" i="1" s="1"/>
  <c r="AB48" i="1" a="1"/>
  <c r="AB48" i="1" s="1"/>
  <c r="AT48" i="1" a="1"/>
  <c r="AT48" i="1" s="1"/>
  <c r="BL48" i="1" a="1"/>
  <c r="BL48" i="1" s="1"/>
  <c r="BK49" i="1" a="1"/>
  <c r="BK49" i="1" s="1"/>
  <c r="V50" i="1" a="1"/>
  <c r="V50" i="1" s="1"/>
  <c r="BE50" i="1" a="1"/>
  <c r="BE50" i="1" s="1"/>
  <c r="Z51" i="1" a="1"/>
  <c r="Z51" i="1" s="1"/>
  <c r="BJ51" i="1" a="1"/>
  <c r="BJ51" i="1" s="1"/>
  <c r="AF52" i="1" a="1"/>
  <c r="AF52" i="1" s="1"/>
  <c r="BB57" i="1" a="1"/>
  <c r="BB57" i="1" s="1"/>
  <c r="AQ59" i="1" a="1"/>
  <c r="AQ59" i="1" s="1"/>
  <c r="AL61" i="1" a="1"/>
  <c r="AL61" i="1" s="1"/>
  <c r="AG63" i="1" a="1"/>
  <c r="AG63" i="1" s="1"/>
  <c r="V65" i="1" a="1"/>
  <c r="V65" i="1" s="1"/>
  <c r="BB69" i="1" a="1"/>
  <c r="BB69" i="1" s="1"/>
  <c r="AQ71" i="1" a="1"/>
  <c r="AQ71" i="1" s="1"/>
  <c r="AL73" i="1" a="1"/>
  <c r="AL73" i="1" s="1"/>
  <c r="AX79" i="1" a="1"/>
  <c r="AX79" i="1" s="1"/>
  <c r="BM86" i="1" a="1"/>
  <c r="BM86" i="1" s="1"/>
  <c r="L45" i="1"/>
  <c r="N45" i="1" s="1" a="1"/>
  <c r="N45" i="1" s="1"/>
  <c r="O45" i="1" s="1" a="1"/>
  <c r="O45" i="1" s="1"/>
  <c r="N108" i="1" a="1"/>
  <c r="N108" i="1" s="1"/>
  <c r="O108" i="1" s="1" a="1"/>
  <c r="O108" i="1" s="1"/>
  <c r="I140" i="1"/>
  <c r="N150" i="1" a="1"/>
  <c r="N150" i="1" s="1"/>
  <c r="O150" i="1" s="1" a="1"/>
  <c r="O150" i="1" s="1"/>
  <c r="AK19" i="6"/>
  <c r="N145" i="1" a="1"/>
  <c r="N145" i="1" s="1"/>
  <c r="O145" i="1" s="1" a="1"/>
  <c r="O145" i="1" s="1"/>
  <c r="K153" i="1"/>
  <c r="N153" i="1" s="1" a="1"/>
  <c r="N153" i="1" s="1"/>
  <c r="O153" i="1" s="1" a="1"/>
  <c r="O153" i="1" s="1"/>
  <c r="N154" i="1" a="1"/>
  <c r="N154" i="1" s="1"/>
  <c r="O154" i="1" s="1" a="1"/>
  <c r="O154" i="1" s="1"/>
  <c r="L12" i="6"/>
  <c r="N13" i="6" a="1"/>
  <c r="N13" i="6" s="1"/>
  <c r="O13" i="6" s="1" a="1"/>
  <c r="O13" i="6" s="1"/>
  <c r="AO14" i="6"/>
  <c r="AO13" i="6" s="1"/>
  <c r="AO12" i="6" s="1"/>
  <c r="K140" i="1"/>
  <c r="K11" i="1" s="1"/>
  <c r="U156" i="6" a="1"/>
  <c r="U156" i="6" s="1"/>
  <c r="U143" i="6" a="1"/>
  <c r="U143" i="6" s="1"/>
  <c r="U142" i="6" s="1"/>
  <c r="U141" i="6" s="1"/>
  <c r="U152" i="6" a="1"/>
  <c r="U152" i="6" s="1"/>
  <c r="U151" i="6" s="1"/>
  <c r="U150" i="6" s="1"/>
  <c r="U148" i="6" a="1"/>
  <c r="U148" i="6" s="1"/>
  <c r="U149" i="6" a="1"/>
  <c r="U149" i="6" s="1"/>
  <c r="U147" i="6" a="1"/>
  <c r="U147" i="6" s="1"/>
  <c r="U146" i="6" s="1"/>
  <c r="U145" i="6" s="1"/>
  <c r="U144" i="6" a="1"/>
  <c r="U144" i="6" s="1"/>
  <c r="U129" i="6" a="1"/>
  <c r="U129" i="6" s="1"/>
  <c r="U130" i="6" a="1"/>
  <c r="U130" i="6" s="1"/>
  <c r="U136" i="6" a="1"/>
  <c r="U136" i="6" s="1"/>
  <c r="U132" i="6" a="1"/>
  <c r="U132" i="6" s="1"/>
  <c r="U134" i="6" a="1"/>
  <c r="U134" i="6" s="1"/>
  <c r="U155" i="6" a="1"/>
  <c r="U155" i="6" s="1"/>
  <c r="U154" i="6" s="1"/>
  <c r="U153" i="6" s="1"/>
  <c r="U135" i="6" a="1"/>
  <c r="U135" i="6" s="1"/>
  <c r="U138" i="6" a="1"/>
  <c r="U138" i="6" s="1"/>
  <c r="U121" i="6" a="1"/>
  <c r="U121" i="6" s="1"/>
  <c r="U128" i="6" a="1"/>
  <c r="U128" i="6" s="1"/>
  <c r="U122" i="6" a="1"/>
  <c r="U122" i="6" s="1"/>
  <c r="U123" i="6" a="1"/>
  <c r="U123" i="6" s="1"/>
  <c r="U124" i="6" a="1"/>
  <c r="U124" i="6" s="1"/>
  <c r="U139" i="6" a="1"/>
  <c r="U139" i="6" s="1"/>
  <c r="U125" i="6" a="1"/>
  <c r="U125" i="6" s="1"/>
  <c r="U131" i="6" a="1"/>
  <c r="U131" i="6" s="1"/>
  <c r="U126" i="6" a="1"/>
  <c r="U126" i="6" s="1"/>
  <c r="U127" i="6" a="1"/>
  <c r="U127" i="6" s="1"/>
  <c r="U117" i="6" a="1"/>
  <c r="U117" i="6" s="1"/>
  <c r="U107" i="6" a="1"/>
  <c r="U107" i="6" s="1"/>
  <c r="U137" i="6" a="1"/>
  <c r="U137" i="6" s="1"/>
  <c r="U116" i="6" a="1"/>
  <c r="U116" i="6" s="1"/>
  <c r="U115" i="6" a="1"/>
  <c r="U115" i="6" s="1"/>
  <c r="U114" i="6" a="1"/>
  <c r="U114" i="6" s="1"/>
  <c r="U120" i="6" a="1"/>
  <c r="U120" i="6" s="1"/>
  <c r="U113" i="6" a="1"/>
  <c r="U113" i="6" s="1"/>
  <c r="U112" i="6" a="1"/>
  <c r="U112" i="6" s="1"/>
  <c r="U118" i="6" a="1"/>
  <c r="U118" i="6" s="1"/>
  <c r="U133" i="6" a="1"/>
  <c r="U133" i="6" s="1"/>
  <c r="U119" i="6" a="1"/>
  <c r="U119" i="6" s="1"/>
  <c r="U105" i="6" a="1"/>
  <c r="U105" i="6" s="1"/>
  <c r="U96" i="6" a="1"/>
  <c r="U96" i="6" s="1"/>
  <c r="U106" i="6" a="1"/>
  <c r="U106" i="6" s="1"/>
  <c r="U97" i="6" a="1"/>
  <c r="U97" i="6" s="1"/>
  <c r="U103" i="6" a="1"/>
  <c r="U103" i="6" s="1"/>
  <c r="U110" i="6" a="1"/>
  <c r="U110" i="6" s="1"/>
  <c r="U98" i="6" a="1"/>
  <c r="U98" i="6" s="1"/>
  <c r="U86" i="6" a="1"/>
  <c r="U86" i="6" s="1"/>
  <c r="U93" i="6" a="1"/>
  <c r="U93" i="6" s="1"/>
  <c r="U101" i="6" a="1"/>
  <c r="U101" i="6" s="1"/>
  <c r="U100" i="6" a="1"/>
  <c r="U100" i="6" s="1"/>
  <c r="U94" i="6" a="1"/>
  <c r="U94" i="6" s="1"/>
  <c r="U88" i="6" a="1"/>
  <c r="U88" i="6" s="1"/>
  <c r="U83" i="6" a="1"/>
  <c r="U83" i="6" s="1"/>
  <c r="U91" i="6" a="1"/>
  <c r="U91" i="6" s="1"/>
  <c r="U102" i="6" a="1"/>
  <c r="U102" i="6" s="1"/>
  <c r="U80" i="6" a="1"/>
  <c r="U80" i="6" s="1"/>
  <c r="U74" i="6" a="1"/>
  <c r="U74" i="6" s="1"/>
  <c r="U95" i="6" a="1"/>
  <c r="U95" i="6" s="1"/>
  <c r="U87" i="6" a="1"/>
  <c r="U87" i="6" s="1"/>
  <c r="U84" i="6" a="1"/>
  <c r="U84" i="6" s="1"/>
  <c r="U72" i="6" a="1"/>
  <c r="U72" i="6" s="1"/>
  <c r="U111" i="6" a="1"/>
  <c r="U111" i="6" s="1"/>
  <c r="U81" i="6" a="1"/>
  <c r="U81" i="6" s="1"/>
  <c r="U62" i="6" a="1"/>
  <c r="U62" i="6" s="1"/>
  <c r="U75" i="6" a="1"/>
  <c r="U75" i="6" s="1"/>
  <c r="U104" i="6" a="1"/>
  <c r="U104" i="6" s="1"/>
  <c r="U89" i="6" a="1"/>
  <c r="U89" i="6" s="1"/>
  <c r="U90" i="6" a="1"/>
  <c r="U90" i="6" s="1"/>
  <c r="U82" i="6" a="1"/>
  <c r="U82" i="6" s="1"/>
  <c r="U99" i="6" a="1"/>
  <c r="U99" i="6" s="1"/>
  <c r="U70" i="6" a="1"/>
  <c r="U70" i="6" s="1"/>
  <c r="U67" i="6" a="1"/>
  <c r="U67" i="6" s="1"/>
  <c r="U79" i="6" a="1"/>
  <c r="U79" i="6" s="1"/>
  <c r="U78" i="6" a="1"/>
  <c r="U78" i="6" s="1"/>
  <c r="U71" i="6" a="1"/>
  <c r="U71" i="6" s="1"/>
  <c r="U66" i="6" a="1"/>
  <c r="U66" i="6" s="1"/>
  <c r="U68" i="6" a="1"/>
  <c r="U68" i="6" s="1"/>
  <c r="U69" i="6" a="1"/>
  <c r="U69" i="6" s="1"/>
  <c r="U65" i="6" a="1"/>
  <c r="U65" i="6" s="1"/>
  <c r="U60" i="6" a="1"/>
  <c r="U60" i="6" s="1"/>
  <c r="U64" i="6" a="1"/>
  <c r="U64" i="6" s="1"/>
  <c r="U61" i="6" a="1"/>
  <c r="U61" i="6" s="1"/>
  <c r="U56" i="6" a="1"/>
  <c r="U56" i="6" s="1"/>
  <c r="U63" i="6" a="1"/>
  <c r="U63" i="6" s="1"/>
  <c r="U57" i="6" a="1"/>
  <c r="U57" i="6" s="1"/>
  <c r="U55" i="6" a="1"/>
  <c r="U55" i="6" s="1"/>
  <c r="U85" i="6" a="1"/>
  <c r="U85" i="6" s="1"/>
  <c r="U58" i="6" a="1"/>
  <c r="U58" i="6" s="1"/>
  <c r="U54" i="6" a="1"/>
  <c r="U54" i="6" s="1"/>
  <c r="U59" i="6" a="1"/>
  <c r="U59" i="6" s="1"/>
  <c r="U73" i="6" a="1"/>
  <c r="U73" i="6" s="1"/>
  <c r="U92" i="6" a="1"/>
  <c r="U92" i="6" s="1"/>
  <c r="U44" i="6" a="1"/>
  <c r="U44" i="6" s="1"/>
  <c r="U53" i="6" a="1"/>
  <c r="U53" i="6" s="1"/>
  <c r="U51" i="6" a="1"/>
  <c r="U51" i="6" s="1"/>
  <c r="U39" i="6" a="1"/>
  <c r="U39" i="6" s="1"/>
  <c r="U43" i="6" a="1"/>
  <c r="U43" i="6" s="1"/>
  <c r="U35" i="6" a="1"/>
  <c r="U35" i="6" s="1"/>
  <c r="U42" i="6" a="1"/>
  <c r="U42" i="6" s="1"/>
  <c r="U41" i="6" s="1"/>
  <c r="U40" i="6" s="1"/>
  <c r="U34" i="6" a="1"/>
  <c r="U34" i="6" s="1"/>
  <c r="U52" i="6" a="1"/>
  <c r="U52" i="6" s="1"/>
  <c r="U48" i="6" a="1"/>
  <c r="U48" i="6" s="1"/>
  <c r="U49" i="6" a="1"/>
  <c r="U49" i="6" s="1"/>
  <c r="U36" i="6" a="1"/>
  <c r="U36" i="6" s="1"/>
  <c r="U32" i="6" a="1"/>
  <c r="U32" i="6" s="1"/>
  <c r="U16" i="6" a="1"/>
  <c r="U16" i="6" s="1"/>
  <c r="U14" i="6" s="1"/>
  <c r="U13" i="6" s="1"/>
  <c r="U12" i="6" s="1"/>
  <c r="U31" i="6" a="1"/>
  <c r="U31" i="6" s="1"/>
  <c r="U17" i="6" a="1"/>
  <c r="U17" i="6" s="1"/>
  <c r="U37" i="6" a="1"/>
  <c r="U37" i="6" s="1"/>
  <c r="U33" i="6" a="1"/>
  <c r="U33" i="6" s="1"/>
  <c r="U25" i="6" a="1"/>
  <c r="U25" i="6" s="1"/>
  <c r="U24" i="6" s="1"/>
  <c r="U28" i="6" a="1"/>
  <c r="U28" i="6" s="1"/>
  <c r="U21" i="6" a="1"/>
  <c r="U21" i="6" s="1"/>
  <c r="U20" i="6" s="1"/>
  <c r="U19" i="6" s="1"/>
  <c r="U50" i="6" a="1"/>
  <c r="U50" i="6" s="1"/>
  <c r="U29" i="6" a="1"/>
  <c r="U29" i="6" s="1"/>
  <c r="U23" i="6" a="1"/>
  <c r="U23" i="6" s="1"/>
  <c r="U22" i="6" s="1"/>
  <c r="U30" i="6" a="1"/>
  <c r="U30" i="6" s="1"/>
  <c r="AG155" i="6" a="1"/>
  <c r="AG155" i="6" s="1"/>
  <c r="AG147" i="6" a="1"/>
  <c r="AG147" i="6" s="1"/>
  <c r="AG156" i="6" a="1"/>
  <c r="AG156" i="6" s="1"/>
  <c r="AG152" i="6" a="1"/>
  <c r="AG152" i="6" s="1"/>
  <c r="AG151" i="6" s="1"/>
  <c r="AG150" i="6" s="1"/>
  <c r="AG144" i="6" a="1"/>
  <c r="AG144" i="6" s="1"/>
  <c r="AG149" i="6" a="1"/>
  <c r="AG149" i="6" s="1"/>
  <c r="AG137" i="6" a="1"/>
  <c r="AG137" i="6" s="1"/>
  <c r="AG148" i="6" a="1"/>
  <c r="AG148" i="6" s="1"/>
  <c r="AG136" i="6" a="1"/>
  <c r="AG136" i="6" s="1"/>
  <c r="AG129" i="6" a="1"/>
  <c r="AG129" i="6" s="1"/>
  <c r="AG143" i="6" a="1"/>
  <c r="AG143" i="6" s="1"/>
  <c r="AG130" i="6" a="1"/>
  <c r="AG130" i="6" s="1"/>
  <c r="AG133" i="6" a="1"/>
  <c r="AG133" i="6" s="1"/>
  <c r="AG132" i="6" a="1"/>
  <c r="AG132" i="6" s="1"/>
  <c r="AG135" i="6" a="1"/>
  <c r="AG135" i="6" s="1"/>
  <c r="AG134" i="6" a="1"/>
  <c r="AG134" i="6" s="1"/>
  <c r="AG131" i="6" a="1"/>
  <c r="AG131" i="6" s="1"/>
  <c r="AG139" i="6" a="1"/>
  <c r="AG139" i="6" s="1"/>
  <c r="AG121" i="6" a="1"/>
  <c r="AG121" i="6" s="1"/>
  <c r="AG138" i="6" a="1"/>
  <c r="AG138" i="6" s="1"/>
  <c r="AG122" i="6" a="1"/>
  <c r="AG122" i="6" s="1"/>
  <c r="AG123" i="6" a="1"/>
  <c r="AG123" i="6" s="1"/>
  <c r="AG124" i="6" a="1"/>
  <c r="AG124" i="6" s="1"/>
  <c r="AG127" i="6" a="1"/>
  <c r="AG127" i="6" s="1"/>
  <c r="AG125" i="6" a="1"/>
  <c r="AG125" i="6" s="1"/>
  <c r="AG117" i="6" a="1"/>
  <c r="AG117" i="6" s="1"/>
  <c r="AG107" i="6" a="1"/>
  <c r="AG107" i="6" s="1"/>
  <c r="AG116" i="6" a="1"/>
  <c r="AG116" i="6" s="1"/>
  <c r="AG115" i="6" a="1"/>
  <c r="AG115" i="6" s="1"/>
  <c r="AG126" i="6" a="1"/>
  <c r="AG126" i="6" s="1"/>
  <c r="AG114" i="6" a="1"/>
  <c r="AG114" i="6" s="1"/>
  <c r="AG113" i="6" a="1"/>
  <c r="AG113" i="6" s="1"/>
  <c r="AG112" i="6" a="1"/>
  <c r="AG112" i="6" s="1"/>
  <c r="AG128" i="6" a="1"/>
  <c r="AG128" i="6" s="1"/>
  <c r="AG106" i="6" a="1"/>
  <c r="AG106" i="6" s="1"/>
  <c r="AG118" i="6" a="1"/>
  <c r="AG118" i="6" s="1"/>
  <c r="AG96" i="6" a="1"/>
  <c r="AG96" i="6" s="1"/>
  <c r="AG110" i="6" a="1"/>
  <c r="AG110" i="6" s="1"/>
  <c r="AG97" i="6" a="1"/>
  <c r="AG97" i="6" s="1"/>
  <c r="AG103" i="6" a="1"/>
  <c r="AG103" i="6" s="1"/>
  <c r="AG111" i="6" a="1"/>
  <c r="AG111" i="6" s="1"/>
  <c r="AG119" i="6" a="1"/>
  <c r="AG119" i="6" s="1"/>
  <c r="AG100" i="6" a="1"/>
  <c r="AG100" i="6" s="1"/>
  <c r="AG86" i="6" a="1"/>
  <c r="AG86" i="6" s="1"/>
  <c r="AG120" i="6" a="1"/>
  <c r="AG120" i="6" s="1"/>
  <c r="AG104" i="6" a="1"/>
  <c r="AG104" i="6" s="1"/>
  <c r="AG101" i="6" a="1"/>
  <c r="AG101" i="6" s="1"/>
  <c r="AG95" i="6" a="1"/>
  <c r="AG95" i="6" s="1"/>
  <c r="AG91" i="6" a="1"/>
  <c r="AG91" i="6" s="1"/>
  <c r="AG105" i="6" a="1"/>
  <c r="AG105" i="6" s="1"/>
  <c r="AG85" i="6" a="1"/>
  <c r="AG85" i="6" s="1"/>
  <c r="AG82" i="6" a="1"/>
  <c r="AG82" i="6" s="1"/>
  <c r="AG94" i="6" a="1"/>
  <c r="AG94" i="6" s="1"/>
  <c r="AG74" i="6" a="1"/>
  <c r="AG74" i="6" s="1"/>
  <c r="AG99" i="6" a="1"/>
  <c r="AG99" i="6" s="1"/>
  <c r="AG90" i="6" a="1"/>
  <c r="AG90" i="6" s="1"/>
  <c r="AG88" i="6" a="1"/>
  <c r="AG88" i="6" s="1"/>
  <c r="AG73" i="6" a="1"/>
  <c r="AG73" i="6" s="1"/>
  <c r="AG62" i="6" a="1"/>
  <c r="AG62" i="6" s="1"/>
  <c r="AG87" i="6" a="1"/>
  <c r="AG87" i="6" s="1"/>
  <c r="AG80" i="6" a="1"/>
  <c r="AG80" i="6" s="1"/>
  <c r="AG79" i="6" a="1"/>
  <c r="AG79" i="6" s="1"/>
  <c r="AG78" i="6" a="1"/>
  <c r="AG78" i="6" s="1"/>
  <c r="AG72" i="6" a="1"/>
  <c r="AG72" i="6" s="1"/>
  <c r="AG98" i="6" a="1"/>
  <c r="AG98" i="6" s="1"/>
  <c r="AG92" i="6" a="1"/>
  <c r="AG92" i="6" s="1"/>
  <c r="AG102" i="6" a="1"/>
  <c r="AG102" i="6" s="1"/>
  <c r="AG93" i="6" a="1"/>
  <c r="AG93" i="6" s="1"/>
  <c r="AG75" i="6" a="1"/>
  <c r="AG75" i="6" s="1"/>
  <c r="AG66" i="6" a="1"/>
  <c r="AG66" i="6" s="1"/>
  <c r="AG81" i="6" a="1"/>
  <c r="AG81" i="6" s="1"/>
  <c r="AG71" i="6" a="1"/>
  <c r="AG71" i="6" s="1"/>
  <c r="AG68" i="6" a="1"/>
  <c r="AG68" i="6" s="1"/>
  <c r="AG83" i="6" a="1"/>
  <c r="AG83" i="6" s="1"/>
  <c r="AG67" i="6" a="1"/>
  <c r="AG67" i="6" s="1"/>
  <c r="AG63" i="6" a="1"/>
  <c r="AG63" i="6" s="1"/>
  <c r="AG64" i="6" a="1"/>
  <c r="AG64" i="6" s="1"/>
  <c r="AG70" i="6" a="1"/>
  <c r="AG70" i="6" s="1"/>
  <c r="AG69" i="6" a="1"/>
  <c r="AG69" i="6" s="1"/>
  <c r="AG60" i="6" a="1"/>
  <c r="AG60" i="6" s="1"/>
  <c r="AG56" i="6" a="1"/>
  <c r="AG56" i="6" s="1"/>
  <c r="AG84" i="6" a="1"/>
  <c r="AG84" i="6" s="1"/>
  <c r="AG65" i="6" a="1"/>
  <c r="AG65" i="6" s="1"/>
  <c r="AG57" i="6" a="1"/>
  <c r="AG57" i="6" s="1"/>
  <c r="AG55" i="6" a="1"/>
  <c r="AG55" i="6" s="1"/>
  <c r="AG89" i="6" a="1"/>
  <c r="AG89" i="6" s="1"/>
  <c r="AG58" i="6" a="1"/>
  <c r="AG58" i="6" s="1"/>
  <c r="AG54" i="6" a="1"/>
  <c r="AG54" i="6" s="1"/>
  <c r="AG59" i="6" a="1"/>
  <c r="AG59" i="6" s="1"/>
  <c r="AG61" i="6" a="1"/>
  <c r="AG61" i="6" s="1"/>
  <c r="AG52" i="6" a="1"/>
  <c r="AG52" i="6" s="1"/>
  <c r="AG44" i="6" a="1"/>
  <c r="AG44" i="6" s="1"/>
  <c r="AG39" i="6" a="1"/>
  <c r="AG39" i="6" s="1"/>
  <c r="AG50" i="6" a="1"/>
  <c r="AG50" i="6" s="1"/>
  <c r="AG43" i="6" a="1"/>
  <c r="AG43" i="6" s="1"/>
  <c r="AG35" i="6" a="1"/>
  <c r="AG35" i="6" s="1"/>
  <c r="AG42" i="6" a="1"/>
  <c r="AG42" i="6" s="1"/>
  <c r="AG34" i="6" a="1"/>
  <c r="AG34" i="6" s="1"/>
  <c r="AG51" i="6" a="1"/>
  <c r="AG51" i="6" s="1"/>
  <c r="AG48" i="6" a="1"/>
  <c r="AG48" i="6" s="1"/>
  <c r="AG53" i="6" a="1"/>
  <c r="AG53" i="6" s="1"/>
  <c r="AG33" i="6" a="1"/>
  <c r="AG33" i="6" s="1"/>
  <c r="AG16" i="6" a="1"/>
  <c r="AG16" i="6" s="1"/>
  <c r="AG17" i="6" a="1"/>
  <c r="AG17" i="6" s="1"/>
  <c r="AG49" i="6" a="1"/>
  <c r="AG49" i="6" s="1"/>
  <c r="AG30" i="6" a="1"/>
  <c r="AG30" i="6" s="1"/>
  <c r="AG25" i="6" a="1"/>
  <c r="AG25" i="6" s="1"/>
  <c r="AG24" i="6" s="1"/>
  <c r="AG21" i="6" a="1"/>
  <c r="AG21" i="6" s="1"/>
  <c r="AG20" i="6" s="1"/>
  <c r="AG36" i="6" a="1"/>
  <c r="AG36" i="6" s="1"/>
  <c r="AG28" i="6" a="1"/>
  <c r="AG28" i="6" s="1"/>
  <c r="AG31" i="6" a="1"/>
  <c r="AG31" i="6" s="1"/>
  <c r="AG37" i="6" a="1"/>
  <c r="AG37" i="6" s="1"/>
  <c r="AG32" i="6" a="1"/>
  <c r="AG32" i="6" s="1"/>
  <c r="AG23" i="6" a="1"/>
  <c r="AG23" i="6" s="1"/>
  <c r="AG22" i="6" s="1"/>
  <c r="AG15" i="6" a="1"/>
  <c r="AG15" i="6" s="1"/>
  <c r="AG29" i="6" a="1"/>
  <c r="AG29" i="6" s="1"/>
  <c r="AS152" i="6" a="1"/>
  <c r="AS152" i="6" s="1"/>
  <c r="AS151" i="6" s="1"/>
  <c r="AS150" i="6" s="1"/>
  <c r="AS155" i="6" a="1"/>
  <c r="AS155" i="6" s="1"/>
  <c r="AS154" i="6" s="1"/>
  <c r="AS153" i="6" s="1"/>
  <c r="AS138" i="6" a="1"/>
  <c r="AS138" i="6" s="1"/>
  <c r="AS149" i="6" a="1"/>
  <c r="AS149" i="6" s="1"/>
  <c r="AS156" i="6" a="1"/>
  <c r="AS156" i="6" s="1"/>
  <c r="AS148" i="6" a="1"/>
  <c r="AS148" i="6" s="1"/>
  <c r="AS143" i="6" a="1"/>
  <c r="AS143" i="6" s="1"/>
  <c r="AS134" i="6" a="1"/>
  <c r="AS134" i="6" s="1"/>
  <c r="AS129" i="6" a="1"/>
  <c r="AS129" i="6" s="1"/>
  <c r="AS144" i="6" a="1"/>
  <c r="AS144" i="6" s="1"/>
  <c r="AS130" i="6" a="1"/>
  <c r="AS130" i="6" s="1"/>
  <c r="AS139" i="6" a="1"/>
  <c r="AS139" i="6" s="1"/>
  <c r="AS132" i="6" a="1"/>
  <c r="AS132" i="6" s="1"/>
  <c r="AS147" i="6" a="1"/>
  <c r="AS147" i="6" s="1"/>
  <c r="AS146" i="6" s="1"/>
  <c r="AS145" i="6" s="1"/>
  <c r="AS133" i="6" a="1"/>
  <c r="AS133" i="6" s="1"/>
  <c r="AS136" i="6" a="1"/>
  <c r="AS136" i="6" s="1"/>
  <c r="AS135" i="6" a="1"/>
  <c r="AS135" i="6" s="1"/>
  <c r="AS121" i="6" a="1"/>
  <c r="AS121" i="6" s="1"/>
  <c r="AS128" i="6" a="1"/>
  <c r="AS128" i="6" s="1"/>
  <c r="AS122" i="6" a="1"/>
  <c r="AS122" i="6" s="1"/>
  <c r="AS123" i="6" a="1"/>
  <c r="AS123" i="6" s="1"/>
  <c r="AS124" i="6" a="1"/>
  <c r="AS124" i="6" s="1"/>
  <c r="AS125" i="6" a="1"/>
  <c r="AS125" i="6" s="1"/>
  <c r="AS127" i="6" a="1"/>
  <c r="AS127" i="6" s="1"/>
  <c r="AS117" i="6" a="1"/>
  <c r="AS117" i="6" s="1"/>
  <c r="AS107" i="6" a="1"/>
  <c r="AS107" i="6" s="1"/>
  <c r="AS116" i="6" a="1"/>
  <c r="AS116" i="6" s="1"/>
  <c r="AS115" i="6" a="1"/>
  <c r="AS115" i="6" s="1"/>
  <c r="AS119" i="6" a="1"/>
  <c r="AS119" i="6" s="1"/>
  <c r="AS114" i="6" a="1"/>
  <c r="AS114" i="6" s="1"/>
  <c r="AS113" i="6" a="1"/>
  <c r="AS113" i="6" s="1"/>
  <c r="AS112" i="6" a="1"/>
  <c r="AS112" i="6" s="1"/>
  <c r="AS137" i="6" a="1"/>
  <c r="AS137" i="6" s="1"/>
  <c r="AS110" i="6" a="1"/>
  <c r="AS110" i="6" s="1"/>
  <c r="AS126" i="6" a="1"/>
  <c r="AS126" i="6" s="1"/>
  <c r="AS96" i="6" a="1"/>
  <c r="AS96" i="6" s="1"/>
  <c r="AS118" i="6" a="1"/>
  <c r="AS118" i="6" s="1"/>
  <c r="AS111" i="6" a="1"/>
  <c r="AS111" i="6" s="1"/>
  <c r="AS97" i="6" a="1"/>
  <c r="AS97" i="6" s="1"/>
  <c r="AS103" i="6" a="1"/>
  <c r="AS103" i="6" s="1"/>
  <c r="AS100" i="6" a="1"/>
  <c r="AS100" i="6" s="1"/>
  <c r="AS94" i="6" a="1"/>
  <c r="AS94" i="6" s="1"/>
  <c r="AS105" i="6" a="1"/>
  <c r="AS105" i="6" s="1"/>
  <c r="AS102" i="6" a="1"/>
  <c r="AS102" i="6" s="1"/>
  <c r="AS86" i="6" a="1"/>
  <c r="AS86" i="6" s="1"/>
  <c r="AS131" i="6" a="1"/>
  <c r="AS131" i="6" s="1"/>
  <c r="AS120" i="6" a="1"/>
  <c r="AS120" i="6" s="1"/>
  <c r="AS106" i="6" a="1"/>
  <c r="AS106" i="6" s="1"/>
  <c r="AS93" i="6" a="1"/>
  <c r="AS93" i="6" s="1"/>
  <c r="AS88" i="6" a="1"/>
  <c r="AS88" i="6" s="1"/>
  <c r="AS87" i="6" a="1"/>
  <c r="AS87" i="6" s="1"/>
  <c r="AS90" i="6" a="1"/>
  <c r="AS90" i="6" s="1"/>
  <c r="AS74" i="6" a="1"/>
  <c r="AS74" i="6" s="1"/>
  <c r="AS104" i="6" a="1"/>
  <c r="AS104" i="6" s="1"/>
  <c r="AS95" i="6" a="1"/>
  <c r="AS95" i="6" s="1"/>
  <c r="AS92" i="6" a="1"/>
  <c r="AS92" i="6" s="1"/>
  <c r="AS98" i="6" a="1"/>
  <c r="AS98" i="6" s="1"/>
  <c r="AS91" i="6" a="1"/>
  <c r="AS91" i="6" s="1"/>
  <c r="AS99" i="6" a="1"/>
  <c r="AS99" i="6" s="1"/>
  <c r="AS62" i="6" a="1"/>
  <c r="AS62" i="6" s="1"/>
  <c r="AS73" i="6" a="1"/>
  <c r="AS73" i="6" s="1"/>
  <c r="AS81" i="6" a="1"/>
  <c r="AS81" i="6" s="1"/>
  <c r="AS72" i="6" a="1"/>
  <c r="AS72" i="6" s="1"/>
  <c r="AS85" i="6" a="1"/>
  <c r="AS85" i="6" s="1"/>
  <c r="AS83" i="6" a="1"/>
  <c r="AS83" i="6" s="1"/>
  <c r="AS101" i="6" a="1"/>
  <c r="AS101" i="6" s="1"/>
  <c r="AS79" i="6" a="1"/>
  <c r="AS79" i="6" s="1"/>
  <c r="AS82" i="6" a="1"/>
  <c r="AS82" i="6" s="1"/>
  <c r="AS69" i="6" a="1"/>
  <c r="AS69" i="6" s="1"/>
  <c r="AS84" i="6" a="1"/>
  <c r="AS84" i="6" s="1"/>
  <c r="AS68" i="6" a="1"/>
  <c r="AS68" i="6" s="1"/>
  <c r="AS89" i="6" a="1"/>
  <c r="AS89" i="6" s="1"/>
  <c r="AS80" i="6" a="1"/>
  <c r="AS80" i="6" s="1"/>
  <c r="AS71" i="6" a="1"/>
  <c r="AS71" i="6" s="1"/>
  <c r="AS66" i="6" a="1"/>
  <c r="AS66" i="6" s="1"/>
  <c r="AS61" i="6" a="1"/>
  <c r="AS61" i="6" s="1"/>
  <c r="AS75" i="6" a="1"/>
  <c r="AS75" i="6" s="1"/>
  <c r="AS67" i="6" a="1"/>
  <c r="AS67" i="6" s="1"/>
  <c r="AS56" i="6" a="1"/>
  <c r="AS56" i="6" s="1"/>
  <c r="AS78" i="6" a="1"/>
  <c r="AS78" i="6" s="1"/>
  <c r="AS65" i="6" a="1"/>
  <c r="AS65" i="6" s="1"/>
  <c r="AS57" i="6" a="1"/>
  <c r="AS57" i="6" s="1"/>
  <c r="AS55" i="6" a="1"/>
  <c r="AS55" i="6" s="1"/>
  <c r="AS60" i="6" a="1"/>
  <c r="AS60" i="6" s="1"/>
  <c r="AS58" i="6" a="1"/>
  <c r="AS58" i="6" s="1"/>
  <c r="AS54" i="6" a="1"/>
  <c r="AS54" i="6" s="1"/>
  <c r="AS70" i="6" a="1"/>
  <c r="AS70" i="6" s="1"/>
  <c r="AS63" i="6" a="1"/>
  <c r="AS63" i="6" s="1"/>
  <c r="AS59" i="6" a="1"/>
  <c r="AS59" i="6" s="1"/>
  <c r="AS64" i="6" a="1"/>
  <c r="AS64" i="6" s="1"/>
  <c r="AS44" i="6" a="1"/>
  <c r="AS44" i="6" s="1"/>
  <c r="AS39" i="6" a="1"/>
  <c r="AS39" i="6" s="1"/>
  <c r="AS43" i="6" a="1"/>
  <c r="AS43" i="6" s="1"/>
  <c r="AS49" i="6" a="1"/>
  <c r="AS49" i="6" s="1"/>
  <c r="AS35" i="6" a="1"/>
  <c r="AS35" i="6" s="1"/>
  <c r="AS42" i="6" a="1"/>
  <c r="AS42" i="6" s="1"/>
  <c r="AS41" i="6" s="1"/>
  <c r="AS40" i="6" s="1"/>
  <c r="AS34" i="6" a="1"/>
  <c r="AS34" i="6" s="1"/>
  <c r="AS53" i="6" a="1"/>
  <c r="AS53" i="6" s="1"/>
  <c r="AS50" i="6" a="1"/>
  <c r="AS50" i="6" s="1"/>
  <c r="AS48" i="6" a="1"/>
  <c r="AS48" i="6" s="1"/>
  <c r="AS52" i="6" a="1"/>
  <c r="AS52" i="6" s="1"/>
  <c r="AS51" i="6" a="1"/>
  <c r="AS51" i="6" s="1"/>
  <c r="AS36" i="6" a="1"/>
  <c r="AS36" i="6" s="1"/>
  <c r="AS16" i="6" a="1"/>
  <c r="AS16" i="6" s="1"/>
  <c r="AS31" i="6" a="1"/>
  <c r="AS31" i="6" s="1"/>
  <c r="AS17" i="6" a="1"/>
  <c r="AS17" i="6" s="1"/>
  <c r="AS37" i="6" a="1"/>
  <c r="AS37" i="6" s="1"/>
  <c r="AS29" i="6" a="1"/>
  <c r="AS29" i="6" s="1"/>
  <c r="AS25" i="6" a="1"/>
  <c r="AS25" i="6" s="1"/>
  <c r="AS24" i="6" s="1"/>
  <c r="AS21" i="6" a="1"/>
  <c r="AS21" i="6" s="1"/>
  <c r="AS20" i="6" s="1"/>
  <c r="AS32" i="6" a="1"/>
  <c r="AS32" i="6" s="1"/>
  <c r="AS30" i="6" a="1"/>
  <c r="AS30" i="6" s="1"/>
  <c r="AS33" i="6" a="1"/>
  <c r="AS33" i="6" s="1"/>
  <c r="AS28" i="6" a="1"/>
  <c r="AS28" i="6" s="1"/>
  <c r="AS23" i="6" a="1"/>
  <c r="AS23" i="6" s="1"/>
  <c r="AS22" i="6" s="1"/>
  <c r="AS15" i="6" a="1"/>
  <c r="AS15" i="6" s="1"/>
  <c r="N140" i="1" a="1"/>
  <c r="N140" i="1" s="1"/>
  <c r="O140" i="1" s="1" a="1"/>
  <c r="O140" i="1" s="1"/>
  <c r="V152" i="6" a="1"/>
  <c r="V152" i="6" s="1"/>
  <c r="V151" i="6" s="1"/>
  <c r="V150" i="6" s="1"/>
  <c r="V156" i="6" a="1"/>
  <c r="V156" i="6" s="1"/>
  <c r="V148" i="6" a="1"/>
  <c r="V148" i="6" s="1"/>
  <c r="V144" i="6" a="1"/>
  <c r="V144" i="6" s="1"/>
  <c r="V147" i="6" a="1"/>
  <c r="V147" i="6" s="1"/>
  <c r="V155" i="6" a="1"/>
  <c r="V155" i="6" s="1"/>
  <c r="V149" i="6" a="1"/>
  <c r="V149" i="6" s="1"/>
  <c r="V138" i="6" a="1"/>
  <c r="V138" i="6" s="1"/>
  <c r="V136" i="6" a="1"/>
  <c r="V136" i="6" s="1"/>
  <c r="V139" i="6" a="1"/>
  <c r="V139" i="6" s="1"/>
  <c r="V131" i="6" a="1"/>
  <c r="V131" i="6" s="1"/>
  <c r="V143" i="6" a="1"/>
  <c r="V143" i="6" s="1"/>
  <c r="V142" i="6" s="1"/>
  <c r="V141" i="6" s="1"/>
  <c r="V132" i="6" a="1"/>
  <c r="V132" i="6" s="1"/>
  <c r="V137" i="6" a="1"/>
  <c r="V137" i="6" s="1"/>
  <c r="V135" i="6" a="1"/>
  <c r="V135" i="6" s="1"/>
  <c r="V134" i="6" a="1"/>
  <c r="V134" i="6" s="1"/>
  <c r="V133" i="6" a="1"/>
  <c r="V133" i="6" s="1"/>
  <c r="V123" i="6" a="1"/>
  <c r="V123" i="6" s="1"/>
  <c r="V124" i="6" a="1"/>
  <c r="V124" i="6" s="1"/>
  <c r="V125" i="6" a="1"/>
  <c r="V125" i="6" s="1"/>
  <c r="V126" i="6" a="1"/>
  <c r="V126" i="6" s="1"/>
  <c r="V129" i="6" a="1"/>
  <c r="V129" i="6" s="1"/>
  <c r="V122" i="6" a="1"/>
  <c r="V122" i="6" s="1"/>
  <c r="V115" i="6" a="1"/>
  <c r="V115" i="6" s="1"/>
  <c r="V114" i="6" a="1"/>
  <c r="V114" i="6" s="1"/>
  <c r="V120" i="6" a="1"/>
  <c r="V120" i="6" s="1"/>
  <c r="V113" i="6" a="1"/>
  <c r="V113" i="6" s="1"/>
  <c r="V112" i="6" a="1"/>
  <c r="V112" i="6" s="1"/>
  <c r="V128" i="6" a="1"/>
  <c r="V128" i="6" s="1"/>
  <c r="V127" i="6" a="1"/>
  <c r="V127" i="6" s="1"/>
  <c r="V119" i="6" a="1"/>
  <c r="V119" i="6" s="1"/>
  <c r="V110" i="6" a="1"/>
  <c r="V110" i="6" s="1"/>
  <c r="V117" i="6" a="1"/>
  <c r="V117" i="6" s="1"/>
  <c r="V107" i="6" a="1"/>
  <c r="V107" i="6" s="1"/>
  <c r="V105" i="6" a="1"/>
  <c r="V105" i="6" s="1"/>
  <c r="V106" i="6" a="1"/>
  <c r="V106" i="6" s="1"/>
  <c r="V97" i="6" a="1"/>
  <c r="V97" i="6" s="1"/>
  <c r="V130" i="6" a="1"/>
  <c r="V130" i="6" s="1"/>
  <c r="V98" i="6" a="1"/>
  <c r="V98" i="6" s="1"/>
  <c r="V116" i="6" a="1"/>
  <c r="V116" i="6" s="1"/>
  <c r="V99" i="6" a="1"/>
  <c r="V99" i="6" s="1"/>
  <c r="V103" i="6" a="1"/>
  <c r="V103" i="6" s="1"/>
  <c r="V100" i="6" a="1"/>
  <c r="V100" i="6" s="1"/>
  <c r="V88" i="6" a="1"/>
  <c r="V88" i="6" s="1"/>
  <c r="V121" i="6" a="1"/>
  <c r="V121" i="6" s="1"/>
  <c r="V118" i="6" a="1"/>
  <c r="V118" i="6" s="1"/>
  <c r="V89" i="6" a="1"/>
  <c r="V89" i="6" s="1"/>
  <c r="V104" i="6" a="1"/>
  <c r="V104" i="6" s="1"/>
  <c r="V94" i="6" a="1"/>
  <c r="V94" i="6" s="1"/>
  <c r="V86" i="6" a="1"/>
  <c r="V86" i="6" s="1"/>
  <c r="V80" i="6" a="1"/>
  <c r="V80" i="6" s="1"/>
  <c r="V74" i="6" a="1"/>
  <c r="V74" i="6" s="1"/>
  <c r="V102" i="6" a="1"/>
  <c r="V102" i="6" s="1"/>
  <c r="V101" i="6" a="1"/>
  <c r="V101" i="6" s="1"/>
  <c r="V90" i="6" a="1"/>
  <c r="V90" i="6" s="1"/>
  <c r="V84" i="6" a="1"/>
  <c r="V84" i="6" s="1"/>
  <c r="V96" i="6" a="1"/>
  <c r="V96" i="6" s="1"/>
  <c r="V111" i="6" a="1"/>
  <c r="V111" i="6" s="1"/>
  <c r="V87" i="6" a="1"/>
  <c r="V87" i="6" s="1"/>
  <c r="V83" i="6" a="1"/>
  <c r="V83" i="6" s="1"/>
  <c r="V81" i="6" a="1"/>
  <c r="V81" i="6" s="1"/>
  <c r="V75" i="6" a="1"/>
  <c r="V75" i="6" s="1"/>
  <c r="V64" i="6" a="1"/>
  <c r="V64" i="6" s="1"/>
  <c r="V91" i="6" a="1"/>
  <c r="V91" i="6" s="1"/>
  <c r="V82" i="6" a="1"/>
  <c r="V82" i="6" s="1"/>
  <c r="V95" i="6" a="1"/>
  <c r="V95" i="6" s="1"/>
  <c r="V79" i="6" a="1"/>
  <c r="V79" i="6" s="1"/>
  <c r="V93" i="6" a="1"/>
  <c r="V93" i="6" s="1"/>
  <c r="V78" i="6" a="1"/>
  <c r="V78" i="6" s="1"/>
  <c r="V65" i="6" a="1"/>
  <c r="V65" i="6" s="1"/>
  <c r="V92" i="6" a="1"/>
  <c r="V92" i="6" s="1"/>
  <c r="V69" i="6" a="1"/>
  <c r="V69" i="6" s="1"/>
  <c r="V72" i="6" a="1"/>
  <c r="V72" i="6" s="1"/>
  <c r="V85" i="6" a="1"/>
  <c r="V85" i="6" s="1"/>
  <c r="V62" i="6" a="1"/>
  <c r="V62" i="6" s="1"/>
  <c r="V61" i="6" a="1"/>
  <c r="V61" i="6" s="1"/>
  <c r="V57" i="6" a="1"/>
  <c r="V57" i="6" s="1"/>
  <c r="V55" i="6" a="1"/>
  <c r="V55" i="6" s="1"/>
  <c r="V63" i="6" a="1"/>
  <c r="V63" i="6" s="1"/>
  <c r="V58" i="6" a="1"/>
  <c r="V58" i="6" s="1"/>
  <c r="V59" i="6" a="1"/>
  <c r="V59" i="6" s="1"/>
  <c r="V53" i="6" a="1"/>
  <c r="V53" i="6" s="1"/>
  <c r="V52" i="6" a="1"/>
  <c r="V52" i="6" s="1"/>
  <c r="V73" i="6" a="1"/>
  <c r="V73" i="6" s="1"/>
  <c r="V71" i="6" a="1"/>
  <c r="V71" i="6" s="1"/>
  <c r="V70" i="6" a="1"/>
  <c r="V70" i="6" s="1"/>
  <c r="V67" i="6" a="1"/>
  <c r="V67" i="6" s="1"/>
  <c r="V66" i="6" a="1"/>
  <c r="V66" i="6" s="1"/>
  <c r="V43" i="6" a="1"/>
  <c r="V43" i="6" s="1"/>
  <c r="V60" i="6" a="1"/>
  <c r="V60" i="6" s="1"/>
  <c r="V35" i="6" a="1"/>
  <c r="V35" i="6" s="1"/>
  <c r="V42" i="6" a="1"/>
  <c r="V42" i="6" s="1"/>
  <c r="V41" i="6" s="1"/>
  <c r="V40" i="6" s="1"/>
  <c r="V34" i="6" a="1"/>
  <c r="V34" i="6" s="1"/>
  <c r="V54" i="6" a="1"/>
  <c r="V54" i="6" s="1"/>
  <c r="V68" i="6" a="1"/>
  <c r="V68" i="6" s="1"/>
  <c r="V48" i="6" a="1"/>
  <c r="V48" i="6" s="1"/>
  <c r="V33" i="6" a="1"/>
  <c r="V33" i="6" s="1"/>
  <c r="V49" i="6" a="1"/>
  <c r="V49" i="6" s="1"/>
  <c r="V37" i="6" a="1"/>
  <c r="V37" i="6" s="1"/>
  <c r="V56" i="6" a="1"/>
  <c r="V56" i="6" s="1"/>
  <c r="V50" i="6" a="1"/>
  <c r="V50" i="6" s="1"/>
  <c r="V44" i="6" a="1"/>
  <c r="V44" i="6" s="1"/>
  <c r="V25" i="6" a="1"/>
  <c r="V25" i="6" s="1"/>
  <c r="V24" i="6" s="1"/>
  <c r="V28" i="6" a="1"/>
  <c r="V28" i="6" s="1"/>
  <c r="V21" i="6" a="1"/>
  <c r="V21" i="6" s="1"/>
  <c r="V20" i="6" s="1"/>
  <c r="V39" i="6" a="1"/>
  <c r="V39" i="6" s="1"/>
  <c r="V29" i="6" a="1"/>
  <c r="V29" i="6" s="1"/>
  <c r="V51" i="6" a="1"/>
  <c r="V51" i="6" s="1"/>
  <c r="V23" i="6" a="1"/>
  <c r="V23" i="6" s="1"/>
  <c r="V22" i="6" s="1"/>
  <c r="V30" i="6" a="1"/>
  <c r="V30" i="6" s="1"/>
  <c r="V32" i="6" a="1"/>
  <c r="V32" i="6" s="1"/>
  <c r="AH152" i="6" a="1"/>
  <c r="AH152" i="6" s="1"/>
  <c r="AH151" i="6" s="1"/>
  <c r="AH150" i="6" s="1"/>
  <c r="AH155" i="6" a="1"/>
  <c r="AH155" i="6" s="1"/>
  <c r="AH156" i="6" a="1"/>
  <c r="AH156" i="6" s="1"/>
  <c r="AH143" i="6" a="1"/>
  <c r="AH143" i="6" s="1"/>
  <c r="AH149" i="6" a="1"/>
  <c r="AH149" i="6" s="1"/>
  <c r="AH144" i="6" a="1"/>
  <c r="AH144" i="6" s="1"/>
  <c r="AH148" i="6" a="1"/>
  <c r="AH148" i="6" s="1"/>
  <c r="AH131" i="6" a="1"/>
  <c r="AH131" i="6" s="1"/>
  <c r="AH137" i="6" a="1"/>
  <c r="AH137" i="6" s="1"/>
  <c r="AH133" i="6" a="1"/>
  <c r="AH133" i="6" s="1"/>
  <c r="AH132" i="6" a="1"/>
  <c r="AH132" i="6" s="1"/>
  <c r="AH139" i="6" a="1"/>
  <c r="AH139" i="6" s="1"/>
  <c r="AH135" i="6" a="1"/>
  <c r="AH135" i="6" s="1"/>
  <c r="AH147" i="6" a="1"/>
  <c r="AH147" i="6" s="1"/>
  <c r="AH134" i="6" a="1"/>
  <c r="AH134" i="6" s="1"/>
  <c r="AH123" i="6" a="1"/>
  <c r="AH123" i="6" s="1"/>
  <c r="AH124" i="6" a="1"/>
  <c r="AH124" i="6" s="1"/>
  <c r="AH136" i="6" a="1"/>
  <c r="AH136" i="6" s="1"/>
  <c r="AH127" i="6" a="1"/>
  <c r="AH127" i="6" s="1"/>
  <c r="AH125" i="6" a="1"/>
  <c r="AH125" i="6" s="1"/>
  <c r="AH128" i="6" a="1"/>
  <c r="AH128" i="6" s="1"/>
  <c r="AH126" i="6" a="1"/>
  <c r="AH126" i="6" s="1"/>
  <c r="AH129" i="6" a="1"/>
  <c r="AH129" i="6" s="1"/>
  <c r="AH138" i="6" a="1"/>
  <c r="AH138" i="6" s="1"/>
  <c r="AH115" i="6" a="1"/>
  <c r="AH115" i="6" s="1"/>
  <c r="AH114" i="6" a="1"/>
  <c r="AH114" i="6" s="1"/>
  <c r="AH113" i="6" a="1"/>
  <c r="AH113" i="6" s="1"/>
  <c r="AH112" i="6" a="1"/>
  <c r="AH112" i="6" s="1"/>
  <c r="AH110" i="6" a="1"/>
  <c r="AH110" i="6" s="1"/>
  <c r="AH122" i="6" a="1"/>
  <c r="AH122" i="6" s="1"/>
  <c r="AH117" i="6" a="1"/>
  <c r="AH117" i="6" s="1"/>
  <c r="AH130" i="6" a="1"/>
  <c r="AH130" i="6" s="1"/>
  <c r="AH118" i="6" a="1"/>
  <c r="AH118" i="6" s="1"/>
  <c r="AH97" i="6" a="1"/>
  <c r="AH97" i="6" s="1"/>
  <c r="AH121" i="6" a="1"/>
  <c r="AH121" i="6" s="1"/>
  <c r="AH98" i="6" a="1"/>
  <c r="AH98" i="6" s="1"/>
  <c r="AH120" i="6" a="1"/>
  <c r="AH120" i="6" s="1"/>
  <c r="AH99" i="6" a="1"/>
  <c r="AH99" i="6" s="1"/>
  <c r="AH106" i="6" a="1"/>
  <c r="AH106" i="6" s="1"/>
  <c r="AH119" i="6" a="1"/>
  <c r="AH119" i="6" s="1"/>
  <c r="AH103" i="6" a="1"/>
  <c r="AH103" i="6" s="1"/>
  <c r="AH100" i="6" a="1"/>
  <c r="AH100" i="6" s="1"/>
  <c r="AH96" i="6" a="1"/>
  <c r="AH96" i="6" s="1"/>
  <c r="AH102" i="6" a="1"/>
  <c r="AH102" i="6" s="1"/>
  <c r="AH88" i="6" a="1"/>
  <c r="AH88" i="6" s="1"/>
  <c r="AH116" i="6" a="1"/>
  <c r="AH116" i="6" s="1"/>
  <c r="AH111" i="6" a="1"/>
  <c r="AH111" i="6" s="1"/>
  <c r="AH104" i="6" a="1"/>
  <c r="AH104" i="6" s="1"/>
  <c r="AH101" i="6" a="1"/>
  <c r="AH101" i="6" s="1"/>
  <c r="AH95" i="6" a="1"/>
  <c r="AH95" i="6" s="1"/>
  <c r="AH91" i="6" a="1"/>
  <c r="AH91" i="6" s="1"/>
  <c r="AH92" i="6" a="1"/>
  <c r="AH92" i="6" s="1"/>
  <c r="AH74" i="6" a="1"/>
  <c r="AH74" i="6" s="1"/>
  <c r="AH107" i="6" a="1"/>
  <c r="AH107" i="6" s="1"/>
  <c r="AH90" i="6" a="1"/>
  <c r="AH90" i="6" s="1"/>
  <c r="AH83" i="6" a="1"/>
  <c r="AH83" i="6" s="1"/>
  <c r="AH93" i="6" a="1"/>
  <c r="AH93" i="6" s="1"/>
  <c r="AH82" i="6" a="1"/>
  <c r="AH82" i="6" s="1"/>
  <c r="AH80" i="6" a="1"/>
  <c r="AH80" i="6" s="1"/>
  <c r="AH79" i="6" a="1"/>
  <c r="AH79" i="6" s="1"/>
  <c r="AH72" i="6" a="1"/>
  <c r="AH72" i="6" s="1"/>
  <c r="AH87" i="6" a="1"/>
  <c r="AH87" i="6" s="1"/>
  <c r="AH78" i="6" a="1"/>
  <c r="AH78" i="6" s="1"/>
  <c r="AH64" i="6" a="1"/>
  <c r="AH64" i="6" s="1"/>
  <c r="AH86" i="6" a="1"/>
  <c r="AH86" i="6" s="1"/>
  <c r="AH105" i="6" a="1"/>
  <c r="AH105" i="6" s="1"/>
  <c r="AH85" i="6" a="1"/>
  <c r="AH85" i="6" s="1"/>
  <c r="AH94" i="6" a="1"/>
  <c r="AH94" i="6" s="1"/>
  <c r="AH81" i="6" a="1"/>
  <c r="AH81" i="6" s="1"/>
  <c r="AH69" i="6" a="1"/>
  <c r="AH69" i="6" s="1"/>
  <c r="AH75" i="6" a="1"/>
  <c r="AH75" i="6" s="1"/>
  <c r="AH89" i="6" a="1"/>
  <c r="AH89" i="6" s="1"/>
  <c r="AH67" i="6" a="1"/>
  <c r="AH67" i="6" s="1"/>
  <c r="AH71" i="6" a="1"/>
  <c r="AH71" i="6" s="1"/>
  <c r="AH68" i="6" a="1"/>
  <c r="AH68" i="6" s="1"/>
  <c r="AH66" i="6" a="1"/>
  <c r="AH66" i="6" s="1"/>
  <c r="AH73" i="6" a="1"/>
  <c r="AH73" i="6" s="1"/>
  <c r="AH70" i="6" a="1"/>
  <c r="AH70" i="6" s="1"/>
  <c r="AH60" i="6" a="1"/>
  <c r="AH60" i="6" s="1"/>
  <c r="AH65" i="6" a="1"/>
  <c r="AH65" i="6" s="1"/>
  <c r="AH57" i="6" a="1"/>
  <c r="AH57" i="6" s="1"/>
  <c r="AH55" i="6" a="1"/>
  <c r="AH55" i="6" s="1"/>
  <c r="AH84" i="6" a="1"/>
  <c r="AH84" i="6" s="1"/>
  <c r="AH58" i="6" a="1"/>
  <c r="AH58" i="6" s="1"/>
  <c r="AH59" i="6" a="1"/>
  <c r="AH59" i="6" s="1"/>
  <c r="AH53" i="6" a="1"/>
  <c r="AH53" i="6" s="1"/>
  <c r="AH52" i="6" a="1"/>
  <c r="AH52" i="6" s="1"/>
  <c r="AH61" i="6" a="1"/>
  <c r="AH61" i="6" s="1"/>
  <c r="AH62" i="6" a="1"/>
  <c r="AH62" i="6" s="1"/>
  <c r="AH50" i="6" a="1"/>
  <c r="AH50" i="6" s="1"/>
  <c r="AH43" i="6" a="1"/>
  <c r="AH43" i="6" s="1"/>
  <c r="AH54" i="6" a="1"/>
  <c r="AH54" i="6" s="1"/>
  <c r="AH35" i="6" a="1"/>
  <c r="AH35" i="6" s="1"/>
  <c r="AH42" i="6" a="1"/>
  <c r="AH42" i="6" s="1"/>
  <c r="AH41" i="6" s="1"/>
  <c r="AH40" i="6" s="1"/>
  <c r="AH34" i="6" a="1"/>
  <c r="AH34" i="6" s="1"/>
  <c r="AH51" i="6" a="1"/>
  <c r="AH51" i="6" s="1"/>
  <c r="AH48" i="6" a="1"/>
  <c r="AH48" i="6" s="1"/>
  <c r="AH33" i="6" a="1"/>
  <c r="AH33" i="6" s="1"/>
  <c r="AH37" i="6" a="1"/>
  <c r="AH37" i="6" s="1"/>
  <c r="AH63" i="6" a="1"/>
  <c r="AH63" i="6" s="1"/>
  <c r="AH56" i="6" a="1"/>
  <c r="AH56" i="6" s="1"/>
  <c r="AH49" i="6" a="1"/>
  <c r="AH49" i="6" s="1"/>
  <c r="AH39" i="6" a="1"/>
  <c r="AH39" i="6" s="1"/>
  <c r="AH30" i="6" a="1"/>
  <c r="AH30" i="6" s="1"/>
  <c r="AH25" i="6" a="1"/>
  <c r="AH25" i="6" s="1"/>
  <c r="AH24" i="6" s="1"/>
  <c r="AH21" i="6" a="1"/>
  <c r="AH21" i="6" s="1"/>
  <c r="AH20" i="6" s="1"/>
  <c r="AH19" i="6" s="1"/>
  <c r="AH36" i="6" a="1"/>
  <c r="AH36" i="6" s="1"/>
  <c r="AH31" i="6" a="1"/>
  <c r="AH31" i="6" s="1"/>
  <c r="AH28" i="6" a="1"/>
  <c r="AH28" i="6" s="1"/>
  <c r="AH32" i="6" a="1"/>
  <c r="AH32" i="6" s="1"/>
  <c r="AH44" i="6" a="1"/>
  <c r="AH44" i="6" s="1"/>
  <c r="AH23" i="6" a="1"/>
  <c r="AH23" i="6" s="1"/>
  <c r="AH22" i="6" s="1"/>
  <c r="AH29" i="6" a="1"/>
  <c r="AH29" i="6" s="1"/>
  <c r="AT152" i="6" a="1"/>
  <c r="AT152" i="6" s="1"/>
  <c r="AT151" i="6" s="1"/>
  <c r="AT150" i="6" s="1"/>
  <c r="AT156" i="6" a="1"/>
  <c r="AT156" i="6" s="1"/>
  <c r="AT155" i="6" a="1"/>
  <c r="AT155" i="6" s="1"/>
  <c r="AT154" i="6" s="1"/>
  <c r="AT153" i="6" s="1"/>
  <c r="AT149" i="6" a="1"/>
  <c r="AT149" i="6" s="1"/>
  <c r="AT148" i="6" a="1"/>
  <c r="AT148" i="6" s="1"/>
  <c r="AT144" i="6" a="1"/>
  <c r="AT144" i="6" s="1"/>
  <c r="AT143" i="6" a="1"/>
  <c r="AT143" i="6" s="1"/>
  <c r="AT142" i="6" s="1"/>
  <c r="AT141" i="6" s="1"/>
  <c r="AT138" i="6" a="1"/>
  <c r="AT138" i="6" s="1"/>
  <c r="AT139" i="6" a="1"/>
  <c r="AT139" i="6" s="1"/>
  <c r="AT137" i="6" a="1"/>
  <c r="AT137" i="6" s="1"/>
  <c r="AT131" i="6" a="1"/>
  <c r="AT131" i="6" s="1"/>
  <c r="AT132" i="6" a="1"/>
  <c r="AT132" i="6" s="1"/>
  <c r="AT147" i="6" a="1"/>
  <c r="AT147" i="6" s="1"/>
  <c r="AT134" i="6" a="1"/>
  <c r="AT134" i="6" s="1"/>
  <c r="AT133" i="6" a="1"/>
  <c r="AT133" i="6" s="1"/>
  <c r="AT129" i="6" a="1"/>
  <c r="AT129" i="6" s="1"/>
  <c r="AT136" i="6" a="1"/>
  <c r="AT136" i="6" s="1"/>
  <c r="AT135" i="6" a="1"/>
  <c r="AT135" i="6" s="1"/>
  <c r="AT123" i="6" a="1"/>
  <c r="AT123" i="6" s="1"/>
  <c r="AT124" i="6" a="1"/>
  <c r="AT124" i="6" s="1"/>
  <c r="AT125" i="6" a="1"/>
  <c r="AT125" i="6" s="1"/>
  <c r="AT130" i="6" a="1"/>
  <c r="AT130" i="6" s="1"/>
  <c r="AT115" i="6" a="1"/>
  <c r="AT115" i="6" s="1"/>
  <c r="AT128" i="6" a="1"/>
  <c r="AT128" i="6" s="1"/>
  <c r="AT127" i="6" a="1"/>
  <c r="AT127" i="6" s="1"/>
  <c r="AT119" i="6" a="1"/>
  <c r="AT119" i="6" s="1"/>
  <c r="AT114" i="6" a="1"/>
  <c r="AT114" i="6" s="1"/>
  <c r="AT113" i="6" a="1"/>
  <c r="AT113" i="6" s="1"/>
  <c r="AT121" i="6" a="1"/>
  <c r="AT121" i="6" s="1"/>
  <c r="AT112" i="6" a="1"/>
  <c r="AT112" i="6" s="1"/>
  <c r="AT120" i="6" a="1"/>
  <c r="AT120" i="6" s="1"/>
  <c r="AT110" i="6" a="1"/>
  <c r="AT110" i="6" s="1"/>
  <c r="AT117" i="6" a="1"/>
  <c r="AT117" i="6" s="1"/>
  <c r="AT122" i="6" a="1"/>
  <c r="AT122" i="6" s="1"/>
  <c r="AT96" i="6" a="1"/>
  <c r="AT96" i="6" s="1"/>
  <c r="AT126" i="6" a="1"/>
  <c r="AT126" i="6" s="1"/>
  <c r="AT97" i="6" a="1"/>
  <c r="AT97" i="6" s="1"/>
  <c r="AT118" i="6" a="1"/>
  <c r="AT118" i="6" s="1"/>
  <c r="AT111" i="6" a="1"/>
  <c r="AT111" i="6" s="1"/>
  <c r="AT98" i="6" a="1"/>
  <c r="AT98" i="6" s="1"/>
  <c r="AT99" i="6" a="1"/>
  <c r="AT99" i="6" s="1"/>
  <c r="AT105" i="6" a="1"/>
  <c r="AT105" i="6" s="1"/>
  <c r="AT103" i="6" a="1"/>
  <c r="AT103" i="6" s="1"/>
  <c r="AT102" i="6" a="1"/>
  <c r="AT102" i="6" s="1"/>
  <c r="AT107" i="6" a="1"/>
  <c r="AT107" i="6" s="1"/>
  <c r="AT88" i="6" a="1"/>
  <c r="AT88" i="6" s="1"/>
  <c r="AT101" i="6" a="1"/>
  <c r="AT101" i="6" s="1"/>
  <c r="AT94" i="6" a="1"/>
  <c r="AT94" i="6" s="1"/>
  <c r="AT87" i="6" a="1"/>
  <c r="AT87" i="6" s="1"/>
  <c r="AT89" i="6" a="1"/>
  <c r="AT89" i="6" s="1"/>
  <c r="AT74" i="6" a="1"/>
  <c r="AT74" i="6" s="1"/>
  <c r="AT86" i="6" a="1"/>
  <c r="AT86" i="6" s="1"/>
  <c r="AT85" i="6" a="1"/>
  <c r="AT85" i="6" s="1"/>
  <c r="AT82" i="6" a="1"/>
  <c r="AT82" i="6" s="1"/>
  <c r="AT100" i="6" a="1"/>
  <c r="AT100" i="6" s="1"/>
  <c r="AT84" i="6" a="1"/>
  <c r="AT84" i="6" s="1"/>
  <c r="AT91" i="6" a="1"/>
  <c r="AT91" i="6" s="1"/>
  <c r="AT106" i="6" a="1"/>
  <c r="AT106" i="6" s="1"/>
  <c r="AT73" i="6" a="1"/>
  <c r="AT73" i="6" s="1"/>
  <c r="AT64" i="6" a="1"/>
  <c r="AT64" i="6" s="1"/>
  <c r="AT90" i="6" a="1"/>
  <c r="AT90" i="6" s="1"/>
  <c r="AT72" i="6" a="1"/>
  <c r="AT72" i="6" s="1"/>
  <c r="AT81" i="6" a="1"/>
  <c r="AT81" i="6" s="1"/>
  <c r="AT83" i="6" a="1"/>
  <c r="AT83" i="6" s="1"/>
  <c r="AT79" i="6" a="1"/>
  <c r="AT79" i="6" s="1"/>
  <c r="AT78" i="6" a="1"/>
  <c r="AT78" i="6" s="1"/>
  <c r="AT69" i="6" a="1"/>
  <c r="AT69" i="6" s="1"/>
  <c r="AT116" i="6" a="1"/>
  <c r="AT116" i="6" s="1"/>
  <c r="AT95" i="6" a="1"/>
  <c r="AT95" i="6" s="1"/>
  <c r="AT68" i="6" a="1"/>
  <c r="AT68" i="6" s="1"/>
  <c r="AT92" i="6" a="1"/>
  <c r="AT92" i="6" s="1"/>
  <c r="AT67" i="6" a="1"/>
  <c r="AT67" i="6" s="1"/>
  <c r="AT65" i="6" a="1"/>
  <c r="AT65" i="6" s="1"/>
  <c r="AT80" i="6" a="1"/>
  <c r="AT80" i="6" s="1"/>
  <c r="AT75" i="6" a="1"/>
  <c r="AT75" i="6" s="1"/>
  <c r="AT70" i="6" a="1"/>
  <c r="AT70" i="6" s="1"/>
  <c r="AT104" i="6" a="1"/>
  <c r="AT104" i="6" s="1"/>
  <c r="AT66" i="6" a="1"/>
  <c r="AT66" i="6" s="1"/>
  <c r="AT62" i="6" a="1"/>
  <c r="AT62" i="6" s="1"/>
  <c r="AT57" i="6" a="1"/>
  <c r="AT57" i="6" s="1"/>
  <c r="AT55" i="6" a="1"/>
  <c r="AT55" i="6" s="1"/>
  <c r="AT60" i="6" a="1"/>
  <c r="AT60" i="6" s="1"/>
  <c r="AT58" i="6" a="1"/>
  <c r="AT58" i="6" s="1"/>
  <c r="AT53" i="6" a="1"/>
  <c r="AT53" i="6" s="1"/>
  <c r="AT52" i="6" a="1"/>
  <c r="AT52" i="6" s="1"/>
  <c r="AT71" i="6" a="1"/>
  <c r="AT71" i="6" s="1"/>
  <c r="AT59" i="6" a="1"/>
  <c r="AT59" i="6" s="1"/>
  <c r="AT63" i="6" a="1"/>
  <c r="AT63" i="6" s="1"/>
  <c r="AT93" i="6" a="1"/>
  <c r="AT93" i="6" s="1"/>
  <c r="AT43" i="6" a="1"/>
  <c r="AT43" i="6" s="1"/>
  <c r="AT49" i="6" a="1"/>
  <c r="AT49" i="6" s="1"/>
  <c r="AT35" i="6" a="1"/>
  <c r="AT35" i="6" s="1"/>
  <c r="AT42" i="6" a="1"/>
  <c r="AT42" i="6" s="1"/>
  <c r="AT34" i="6" a="1"/>
  <c r="AT34" i="6" s="1"/>
  <c r="AT50" i="6" a="1"/>
  <c r="AT50" i="6" s="1"/>
  <c r="AT48" i="6" a="1"/>
  <c r="AT48" i="6" s="1"/>
  <c r="AT33" i="6" a="1"/>
  <c r="AT33" i="6" s="1"/>
  <c r="AT37" i="6" a="1"/>
  <c r="AT37" i="6" s="1"/>
  <c r="AT51" i="6" a="1"/>
  <c r="AT51" i="6" s="1"/>
  <c r="AT61" i="6" a="1"/>
  <c r="AT61" i="6" s="1"/>
  <c r="AT56" i="6" a="1"/>
  <c r="AT56" i="6" s="1"/>
  <c r="AT54" i="6" a="1"/>
  <c r="AT54" i="6" s="1"/>
  <c r="AT25" i="6" a="1"/>
  <c r="AT25" i="6" s="1"/>
  <c r="AT24" i="6" s="1"/>
  <c r="AT29" i="6" a="1"/>
  <c r="AT29" i="6" s="1"/>
  <c r="AT21" i="6" a="1"/>
  <c r="AT21" i="6" s="1"/>
  <c r="AT20" i="6" s="1"/>
  <c r="AT44" i="6" a="1"/>
  <c r="AT44" i="6" s="1"/>
  <c r="AT32" i="6" a="1"/>
  <c r="AT32" i="6" s="1"/>
  <c r="AT30" i="6" a="1"/>
  <c r="AT30" i="6" s="1"/>
  <c r="AT39" i="6" a="1"/>
  <c r="AT39" i="6" s="1"/>
  <c r="AT23" i="6" a="1"/>
  <c r="AT23" i="6" s="1"/>
  <c r="AT22" i="6" s="1"/>
  <c r="AT28" i="6" a="1"/>
  <c r="AT28" i="6" s="1"/>
  <c r="BL15" i="6" a="1"/>
  <c r="BL15" i="6" s="1"/>
  <c r="AN17" i="6" a="1"/>
  <c r="AN17" i="6" s="1"/>
  <c r="AZ28" i="6" a="1"/>
  <c r="AZ28" i="6" s="1"/>
  <c r="V31" i="6" a="1"/>
  <c r="V31" i="6" s="1"/>
  <c r="V36" i="6" a="1"/>
  <c r="V36" i="6" s="1"/>
  <c r="AY37" i="6" a="1"/>
  <c r="AY37" i="6" s="1"/>
  <c r="W152" i="6" a="1"/>
  <c r="W152" i="6" s="1"/>
  <c r="W151" i="6" s="1"/>
  <c r="W150" i="6" s="1"/>
  <c r="W156" i="6" a="1"/>
  <c r="W156" i="6" s="1"/>
  <c r="W155" i="6" a="1"/>
  <c r="W155" i="6" s="1"/>
  <c r="W154" i="6" s="1"/>
  <c r="W153" i="6" s="1"/>
  <c r="W148" i="6" a="1"/>
  <c r="W148" i="6" s="1"/>
  <c r="W136" i="6" a="1"/>
  <c r="W136" i="6" s="1"/>
  <c r="W149" i="6" a="1"/>
  <c r="W149" i="6" s="1"/>
  <c r="W139" i="6" a="1"/>
  <c r="W139" i="6" s="1"/>
  <c r="W143" i="6" a="1"/>
  <c r="W143" i="6" s="1"/>
  <c r="W142" i="6" s="1"/>
  <c r="W141" i="6" s="1"/>
  <c r="W134" i="6" a="1"/>
  <c r="W134" i="6" s="1"/>
  <c r="W137" i="6" a="1"/>
  <c r="W137" i="6" s="1"/>
  <c r="W147" i="6" a="1"/>
  <c r="W147" i="6" s="1"/>
  <c r="W135" i="6" a="1"/>
  <c r="W135" i="6" s="1"/>
  <c r="W144" i="6" a="1"/>
  <c r="W144" i="6" s="1"/>
  <c r="W133" i="6" a="1"/>
  <c r="W133" i="6" s="1"/>
  <c r="W132" i="6" a="1"/>
  <c r="W132" i="6" s="1"/>
  <c r="W127" i="6" a="1"/>
  <c r="W127" i="6" s="1"/>
  <c r="W138" i="6" a="1"/>
  <c r="W138" i="6" s="1"/>
  <c r="W128" i="6" a="1"/>
  <c r="W128" i="6" s="1"/>
  <c r="W125" i="6" a="1"/>
  <c r="W125" i="6" s="1"/>
  <c r="W126" i="6" a="1"/>
  <c r="W126" i="6" s="1"/>
  <c r="W131" i="6" a="1"/>
  <c r="W131" i="6" s="1"/>
  <c r="W124" i="6" a="1"/>
  <c r="W124" i="6" s="1"/>
  <c r="W120" i="6" a="1"/>
  <c r="W120" i="6" s="1"/>
  <c r="W113" i="6" a="1"/>
  <c r="W113" i="6" s="1"/>
  <c r="W112" i="6" a="1"/>
  <c r="W112" i="6" s="1"/>
  <c r="W111" i="6" a="1"/>
  <c r="W111" i="6" s="1"/>
  <c r="W119" i="6" a="1"/>
  <c r="W119" i="6" s="1"/>
  <c r="W129" i="6" a="1"/>
  <c r="W129" i="6" s="1"/>
  <c r="W122" i="6" a="1"/>
  <c r="W122" i="6" s="1"/>
  <c r="W115" i="6" a="1"/>
  <c r="W115" i="6" s="1"/>
  <c r="W117" i="6" a="1"/>
  <c r="W117" i="6" s="1"/>
  <c r="W106" i="6" a="1"/>
  <c r="W106" i="6" s="1"/>
  <c r="W97" i="6" a="1"/>
  <c r="W97" i="6" s="1"/>
  <c r="W98" i="6" a="1"/>
  <c r="W98" i="6" s="1"/>
  <c r="W130" i="6" a="1"/>
  <c r="W130" i="6" s="1"/>
  <c r="W99" i="6" a="1"/>
  <c r="W99" i="6" s="1"/>
  <c r="W116" i="6" a="1"/>
  <c r="W116" i="6" s="1"/>
  <c r="W100" i="6" a="1"/>
  <c r="W100" i="6" s="1"/>
  <c r="W123" i="6" a="1"/>
  <c r="W123" i="6" s="1"/>
  <c r="W101" i="6" a="1"/>
  <c r="W101" i="6" s="1"/>
  <c r="W121" i="6" a="1"/>
  <c r="W121" i="6" s="1"/>
  <c r="W88" i="6" a="1"/>
  <c r="W88" i="6" s="1"/>
  <c r="W95" i="6" a="1"/>
  <c r="W95" i="6" s="1"/>
  <c r="W89" i="6" a="1"/>
  <c r="W89" i="6" s="1"/>
  <c r="W104" i="6" a="1"/>
  <c r="W104" i="6" s="1"/>
  <c r="W102" i="6" a="1"/>
  <c r="W102" i="6" s="1"/>
  <c r="W90" i="6" a="1"/>
  <c r="W90" i="6" s="1"/>
  <c r="W118" i="6" a="1"/>
  <c r="W118" i="6" s="1"/>
  <c r="W110" i="6" a="1"/>
  <c r="W110" i="6" s="1"/>
  <c r="W105" i="6" a="1"/>
  <c r="W105" i="6" s="1"/>
  <c r="W107" i="6" a="1"/>
  <c r="W107" i="6" s="1"/>
  <c r="W84" i="6" a="1"/>
  <c r="W84" i="6" s="1"/>
  <c r="W94" i="6" a="1"/>
  <c r="W94" i="6" s="1"/>
  <c r="W103" i="6" a="1"/>
  <c r="W103" i="6" s="1"/>
  <c r="W96" i="6" a="1"/>
  <c r="W96" i="6" s="1"/>
  <c r="W79" i="6" a="1"/>
  <c r="W79" i="6" s="1"/>
  <c r="W114" i="6" a="1"/>
  <c r="W114" i="6" s="1"/>
  <c r="W92" i="6" a="1"/>
  <c r="W92" i="6" s="1"/>
  <c r="W93" i="6" a="1"/>
  <c r="W93" i="6" s="1"/>
  <c r="W91" i="6" a="1"/>
  <c r="W91" i="6" s="1"/>
  <c r="W75" i="6" a="1"/>
  <c r="W75" i="6" s="1"/>
  <c r="W65" i="6" a="1"/>
  <c r="W65" i="6" s="1"/>
  <c r="W66" i="6" a="1"/>
  <c r="W66" i="6" s="1"/>
  <c r="W82" i="6" a="1"/>
  <c r="W82" i="6" s="1"/>
  <c r="W67" i="6" a="1"/>
  <c r="W67" i="6" s="1"/>
  <c r="W86" i="6" a="1"/>
  <c r="W86" i="6" s="1"/>
  <c r="W80" i="6" a="1"/>
  <c r="W80" i="6" s="1"/>
  <c r="W85" i="6" a="1"/>
  <c r="W85" i="6" s="1"/>
  <c r="W73" i="6" a="1"/>
  <c r="W73" i="6" s="1"/>
  <c r="W71" i="6" a="1"/>
  <c r="W71" i="6" s="1"/>
  <c r="W74" i="6" a="1"/>
  <c r="W74" i="6" s="1"/>
  <c r="W78" i="6" a="1"/>
  <c r="W78" i="6" s="1"/>
  <c r="W64" i="6" a="1"/>
  <c r="W64" i="6" s="1"/>
  <c r="W83" i="6" a="1"/>
  <c r="W83" i="6" s="1"/>
  <c r="W63" i="6" a="1"/>
  <c r="W63" i="6" s="1"/>
  <c r="W87" i="6" a="1"/>
  <c r="W87" i="6" s="1"/>
  <c r="W68" i="6" a="1"/>
  <c r="W68" i="6" s="1"/>
  <c r="W81" i="6" a="1"/>
  <c r="W81" i="6" s="1"/>
  <c r="W70" i="6" a="1"/>
  <c r="W70" i="6" s="1"/>
  <c r="W72" i="6" a="1"/>
  <c r="W72" i="6" s="1"/>
  <c r="W57" i="6" a="1"/>
  <c r="W57" i="6" s="1"/>
  <c r="W55" i="6" a="1"/>
  <c r="W55" i="6" s="1"/>
  <c r="W58" i="6" a="1"/>
  <c r="W58" i="6" s="1"/>
  <c r="W59" i="6" a="1"/>
  <c r="W59" i="6" s="1"/>
  <c r="W53" i="6" a="1"/>
  <c r="W53" i="6" s="1"/>
  <c r="W60" i="6" a="1"/>
  <c r="W60" i="6" s="1"/>
  <c r="W42" i="6" a="1"/>
  <c r="W42" i="6" s="1"/>
  <c r="W34" i="6" a="1"/>
  <c r="W34" i="6" s="1"/>
  <c r="W69" i="6" a="1"/>
  <c r="W69" i="6" s="1"/>
  <c r="W61" i="6" a="1"/>
  <c r="W61" i="6" s="1"/>
  <c r="W54" i="6" a="1"/>
  <c r="W54" i="6" s="1"/>
  <c r="W48" i="6" a="1"/>
  <c r="W48" i="6" s="1"/>
  <c r="W47" i="6" s="1"/>
  <c r="W46" i="6" s="1"/>
  <c r="W33" i="6" a="1"/>
  <c r="W33" i="6" s="1"/>
  <c r="W52" i="6" a="1"/>
  <c r="W52" i="6" s="1"/>
  <c r="W49" i="6" a="1"/>
  <c r="W49" i="6" s="1"/>
  <c r="W62" i="6" a="1"/>
  <c r="W62" i="6" s="1"/>
  <c r="W37" i="6" a="1"/>
  <c r="W37" i="6" s="1"/>
  <c r="W32" i="6" a="1"/>
  <c r="W32" i="6" s="1"/>
  <c r="W50" i="6" a="1"/>
  <c r="W50" i="6" s="1"/>
  <c r="W36" i="6" a="1"/>
  <c r="W36" i="6" s="1"/>
  <c r="W56" i="6" a="1"/>
  <c r="W56" i="6" s="1"/>
  <c r="W44" i="6" a="1"/>
  <c r="W44" i="6" s="1"/>
  <c r="W51" i="6" a="1"/>
  <c r="W51" i="6" s="1"/>
  <c r="W39" i="6" a="1"/>
  <c r="W39" i="6" s="1"/>
  <c r="W28" i="6" a="1"/>
  <c r="W28" i="6" s="1"/>
  <c r="W21" i="6" a="1"/>
  <c r="W21" i="6" s="1"/>
  <c r="W20" i="6" s="1"/>
  <c r="W19" i="6" s="1"/>
  <c r="W43" i="6" a="1"/>
  <c r="W43" i="6" s="1"/>
  <c r="W29" i="6" a="1"/>
  <c r="W29" i="6" s="1"/>
  <c r="W38" i="6" a="1"/>
  <c r="W38" i="6" s="1"/>
  <c r="W23" i="6" a="1"/>
  <c r="W23" i="6" s="1"/>
  <c r="W22" i="6" s="1"/>
  <c r="W30" i="6" a="1"/>
  <c r="W30" i="6" s="1"/>
  <c r="W35" i="6" a="1"/>
  <c r="W35" i="6" s="1"/>
  <c r="W16" i="6" a="1"/>
  <c r="W16" i="6" s="1"/>
  <c r="W31" i="6" a="1"/>
  <c r="W31" i="6" s="1"/>
  <c r="AI152" i="6" a="1"/>
  <c r="AI152" i="6" s="1"/>
  <c r="AI151" i="6" s="1"/>
  <c r="AI150" i="6" s="1"/>
  <c r="AI156" i="6" a="1"/>
  <c r="AI156" i="6" s="1"/>
  <c r="AI147" i="6" a="1"/>
  <c r="AI147" i="6" s="1"/>
  <c r="AI146" i="6" s="1"/>
  <c r="AI145" i="6" s="1"/>
  <c r="AI143" i="6" a="1"/>
  <c r="AI143" i="6" s="1"/>
  <c r="AI136" i="6" a="1"/>
  <c r="AI136" i="6" s="1"/>
  <c r="AI155" i="6" a="1"/>
  <c r="AI155" i="6" s="1"/>
  <c r="AI149" i="6" a="1"/>
  <c r="AI149" i="6" s="1"/>
  <c r="AI148" i="6" a="1"/>
  <c r="AI148" i="6" s="1"/>
  <c r="AI139" i="6" a="1"/>
  <c r="AI139" i="6" s="1"/>
  <c r="AI135" i="6" a="1"/>
  <c r="AI135" i="6" s="1"/>
  <c r="AI138" i="6" a="1"/>
  <c r="AI138" i="6" s="1"/>
  <c r="AI134" i="6" a="1"/>
  <c r="AI134" i="6" s="1"/>
  <c r="AI131" i="6" a="1"/>
  <c r="AI131" i="6" s="1"/>
  <c r="AI133" i="6" a="1"/>
  <c r="AI133" i="6" s="1"/>
  <c r="AI137" i="6" a="1"/>
  <c r="AI137" i="6" s="1"/>
  <c r="AI127" i="6" a="1"/>
  <c r="AI127" i="6" s="1"/>
  <c r="AI128" i="6" a="1"/>
  <c r="AI128" i="6" s="1"/>
  <c r="AI125" i="6" a="1"/>
  <c r="AI125" i="6" s="1"/>
  <c r="AI132" i="6" a="1"/>
  <c r="AI132" i="6" s="1"/>
  <c r="AI126" i="6" a="1"/>
  <c r="AI126" i="6" s="1"/>
  <c r="AI124" i="6" a="1"/>
  <c r="AI124" i="6" s="1"/>
  <c r="AI113" i="6" a="1"/>
  <c r="AI113" i="6" s="1"/>
  <c r="AI112" i="6" a="1"/>
  <c r="AI112" i="6" s="1"/>
  <c r="AI111" i="6" a="1"/>
  <c r="AI111" i="6" s="1"/>
  <c r="AI144" i="6" a="1"/>
  <c r="AI144" i="6" s="1"/>
  <c r="AI121" i="6" a="1"/>
  <c r="AI121" i="6" s="1"/>
  <c r="AI115" i="6" a="1"/>
  <c r="AI115" i="6" s="1"/>
  <c r="AI97" i="6" a="1"/>
  <c r="AI97" i="6" s="1"/>
  <c r="AI110" i="6" a="1"/>
  <c r="AI110" i="6" s="1"/>
  <c r="AI98" i="6" a="1"/>
  <c r="AI98" i="6" s="1"/>
  <c r="AI120" i="6" a="1"/>
  <c r="AI120" i="6" s="1"/>
  <c r="AI117" i="6" a="1"/>
  <c r="AI117" i="6" s="1"/>
  <c r="AI99" i="6" a="1"/>
  <c r="AI99" i="6" s="1"/>
  <c r="AI105" i="6" a="1"/>
  <c r="AI105" i="6" s="1"/>
  <c r="AI100" i="6" a="1"/>
  <c r="AI100" i="6" s="1"/>
  <c r="AI101" i="6" a="1"/>
  <c r="AI101" i="6" s="1"/>
  <c r="AI102" i="6" a="1"/>
  <c r="AI102" i="6" s="1"/>
  <c r="AI88" i="6" a="1"/>
  <c r="AI88" i="6" s="1"/>
  <c r="AI106" i="6" a="1"/>
  <c r="AI106" i="6" s="1"/>
  <c r="AI89" i="6" a="1"/>
  <c r="AI89" i="6" s="1"/>
  <c r="AI122" i="6" a="1"/>
  <c r="AI122" i="6" s="1"/>
  <c r="AI104" i="6" a="1"/>
  <c r="AI104" i="6" s="1"/>
  <c r="AI90" i="6" a="1"/>
  <c r="AI90" i="6" s="1"/>
  <c r="AI129" i="6" a="1"/>
  <c r="AI129" i="6" s="1"/>
  <c r="AI119" i="6" a="1"/>
  <c r="AI119" i="6" s="1"/>
  <c r="AI92" i="6" a="1"/>
  <c r="AI92" i="6" s="1"/>
  <c r="AI118" i="6" a="1"/>
  <c r="AI118" i="6" s="1"/>
  <c r="AI93" i="6" a="1"/>
  <c r="AI93" i="6" s="1"/>
  <c r="AI84" i="6" a="1"/>
  <c r="AI84" i="6" s="1"/>
  <c r="AI123" i="6" a="1"/>
  <c r="AI123" i="6" s="1"/>
  <c r="AI116" i="6" a="1"/>
  <c r="AI116" i="6" s="1"/>
  <c r="AI103" i="6" a="1"/>
  <c r="AI103" i="6" s="1"/>
  <c r="AI107" i="6" a="1"/>
  <c r="AI107" i="6" s="1"/>
  <c r="AI83" i="6" a="1"/>
  <c r="AI83" i="6" s="1"/>
  <c r="AI130" i="6" a="1"/>
  <c r="AI130" i="6" s="1"/>
  <c r="AI80" i="6" a="1"/>
  <c r="AI80" i="6" s="1"/>
  <c r="AI96" i="6" a="1"/>
  <c r="AI96" i="6" s="1"/>
  <c r="AI94" i="6" a="1"/>
  <c r="AI94" i="6" s="1"/>
  <c r="AI91" i="6" a="1"/>
  <c r="AI91" i="6" s="1"/>
  <c r="AI85" i="6" a="1"/>
  <c r="AI85" i="6" s="1"/>
  <c r="AI78" i="6" a="1"/>
  <c r="AI78" i="6" s="1"/>
  <c r="AI95" i="6" a="1"/>
  <c r="AI95" i="6" s="1"/>
  <c r="AI87" i="6" a="1"/>
  <c r="AI87" i="6" s="1"/>
  <c r="AI65" i="6" a="1"/>
  <c r="AI65" i="6" s="1"/>
  <c r="AI66" i="6" a="1"/>
  <c r="AI66" i="6" s="1"/>
  <c r="AI86" i="6" a="1"/>
  <c r="AI86" i="6" s="1"/>
  <c r="AI67" i="6" a="1"/>
  <c r="AI67" i="6" s="1"/>
  <c r="AI75" i="6" a="1"/>
  <c r="AI75" i="6" s="1"/>
  <c r="AI81" i="6" a="1"/>
  <c r="AI81" i="6" s="1"/>
  <c r="AI71" i="6" a="1"/>
  <c r="AI71" i="6" s="1"/>
  <c r="AI69" i="6" a="1"/>
  <c r="AI69" i="6" s="1"/>
  <c r="AI68" i="6" a="1"/>
  <c r="AI68" i="6" s="1"/>
  <c r="AI74" i="6" a="1"/>
  <c r="AI74" i="6" s="1"/>
  <c r="AI64" i="6" a="1"/>
  <c r="AI64" i="6" s="1"/>
  <c r="AI79" i="6" a="1"/>
  <c r="AI79" i="6" s="1"/>
  <c r="AI114" i="6" a="1"/>
  <c r="AI114" i="6" s="1"/>
  <c r="AI72" i="6" a="1"/>
  <c r="AI72" i="6" s="1"/>
  <c r="AI73" i="6" a="1"/>
  <c r="AI73" i="6" s="1"/>
  <c r="AI70" i="6" a="1"/>
  <c r="AI70" i="6" s="1"/>
  <c r="AI57" i="6" a="1"/>
  <c r="AI57" i="6" s="1"/>
  <c r="AI55" i="6" a="1"/>
  <c r="AI55" i="6" s="1"/>
  <c r="AI58" i="6" a="1"/>
  <c r="AI58" i="6" s="1"/>
  <c r="AI59" i="6" a="1"/>
  <c r="AI59" i="6" s="1"/>
  <c r="AI53" i="6" a="1"/>
  <c r="AI53" i="6" s="1"/>
  <c r="AI61" i="6" a="1"/>
  <c r="AI61" i="6" s="1"/>
  <c r="AI62" i="6" a="1"/>
  <c r="AI62" i="6" s="1"/>
  <c r="AI63" i="6" a="1"/>
  <c r="AI63" i="6" s="1"/>
  <c r="AI54" i="6" a="1"/>
  <c r="AI54" i="6" s="1"/>
  <c r="AI42" i="6" a="1"/>
  <c r="AI42" i="6" s="1"/>
  <c r="AI41" i="6" s="1"/>
  <c r="AI40" i="6" s="1"/>
  <c r="AI34" i="6" a="1"/>
  <c r="AI34" i="6" s="1"/>
  <c r="AI51" i="6" a="1"/>
  <c r="AI51" i="6" s="1"/>
  <c r="AI82" i="6" a="1"/>
  <c r="AI82" i="6" s="1"/>
  <c r="AI48" i="6" a="1"/>
  <c r="AI48" i="6" s="1"/>
  <c r="AI33" i="6" a="1"/>
  <c r="AI33" i="6" s="1"/>
  <c r="AI37" i="6" a="1"/>
  <c r="AI37" i="6" s="1"/>
  <c r="AI32" i="6" a="1"/>
  <c r="AI32" i="6" s="1"/>
  <c r="AI36" i="6" a="1"/>
  <c r="AI36" i="6" s="1"/>
  <c r="AI56" i="6" a="1"/>
  <c r="AI56" i="6" s="1"/>
  <c r="AI49" i="6" a="1"/>
  <c r="AI49" i="6" s="1"/>
  <c r="AI44" i="6" a="1"/>
  <c r="AI44" i="6" s="1"/>
  <c r="AI60" i="6" a="1"/>
  <c r="AI60" i="6" s="1"/>
  <c r="AI39" i="6" a="1"/>
  <c r="AI39" i="6" s="1"/>
  <c r="AI43" i="6" a="1"/>
  <c r="AI43" i="6" s="1"/>
  <c r="AI35" i="6" a="1"/>
  <c r="AI35" i="6" s="1"/>
  <c r="AI21" i="6" a="1"/>
  <c r="AI21" i="6" s="1"/>
  <c r="AI20" i="6" s="1"/>
  <c r="AI50" i="6" a="1"/>
  <c r="AI50" i="6" s="1"/>
  <c r="AI31" i="6" a="1"/>
  <c r="AI31" i="6" s="1"/>
  <c r="AI52" i="6" a="1"/>
  <c r="AI52" i="6" s="1"/>
  <c r="AI28" i="6" a="1"/>
  <c r="AI28" i="6" s="1"/>
  <c r="AI23" i="6" a="1"/>
  <c r="AI23" i="6" s="1"/>
  <c r="AI22" i="6" s="1"/>
  <c r="AI29" i="6" a="1"/>
  <c r="AI29" i="6" s="1"/>
  <c r="AI16" i="6" a="1"/>
  <c r="AI16" i="6" s="1"/>
  <c r="AU152" i="6" a="1"/>
  <c r="AU152" i="6" s="1"/>
  <c r="AU151" i="6" s="1"/>
  <c r="AU150" i="6" s="1"/>
  <c r="AU156" i="6" a="1"/>
  <c r="AU156" i="6" s="1"/>
  <c r="AU148" i="6" a="1"/>
  <c r="AU148" i="6" s="1"/>
  <c r="AU149" i="6" a="1"/>
  <c r="AU149" i="6" s="1"/>
  <c r="AU136" i="6" a="1"/>
  <c r="AU136" i="6" s="1"/>
  <c r="AU139" i="6" a="1"/>
  <c r="AU139" i="6" s="1"/>
  <c r="AU137" i="6" a="1"/>
  <c r="AU137" i="6" s="1"/>
  <c r="AU143" i="6" a="1"/>
  <c r="AU143" i="6" s="1"/>
  <c r="AU142" i="6" s="1"/>
  <c r="AU141" i="6" s="1"/>
  <c r="AU140" i="6" s="1"/>
  <c r="AU155" i="6" a="1"/>
  <c r="AU155" i="6" s="1"/>
  <c r="AU154" i="6" s="1"/>
  <c r="AU153" i="6" s="1"/>
  <c r="AU133" i="6" a="1"/>
  <c r="AU133" i="6" s="1"/>
  <c r="AU147" i="6" a="1"/>
  <c r="AU147" i="6" s="1"/>
  <c r="AU146" i="6" s="1"/>
  <c r="AU145" i="6" s="1"/>
  <c r="AU138" i="6" a="1"/>
  <c r="AU138" i="6" s="1"/>
  <c r="AU135" i="6" a="1"/>
  <c r="AU135" i="6" s="1"/>
  <c r="AU130" i="6" a="1"/>
  <c r="AU130" i="6" s="1"/>
  <c r="AU127" i="6" a="1"/>
  <c r="AU127" i="6" s="1"/>
  <c r="AU144" i="6" a="1"/>
  <c r="AU144" i="6" s="1"/>
  <c r="AU128" i="6" a="1"/>
  <c r="AU128" i="6" s="1"/>
  <c r="AU125" i="6" a="1"/>
  <c r="AU125" i="6" s="1"/>
  <c r="AU132" i="6" a="1"/>
  <c r="AU132" i="6" s="1"/>
  <c r="AU134" i="6" a="1"/>
  <c r="AU134" i="6" s="1"/>
  <c r="AU124" i="6" a="1"/>
  <c r="AU124" i="6" s="1"/>
  <c r="AU113" i="6" a="1"/>
  <c r="AU113" i="6" s="1"/>
  <c r="AU121" i="6" a="1"/>
  <c r="AU121" i="6" s="1"/>
  <c r="AU112" i="6" a="1"/>
  <c r="AU112" i="6" s="1"/>
  <c r="AU111" i="6" a="1"/>
  <c r="AU111" i="6" s="1"/>
  <c r="AU120" i="6" a="1"/>
  <c r="AU120" i="6" s="1"/>
  <c r="AU131" i="6" a="1"/>
  <c r="AU131" i="6" s="1"/>
  <c r="AU115" i="6" a="1"/>
  <c r="AU115" i="6" s="1"/>
  <c r="AU97" i="6" a="1"/>
  <c r="AU97" i="6" s="1"/>
  <c r="AU126" i="6" a="1"/>
  <c r="AU126" i="6" s="1"/>
  <c r="AU118" i="6" a="1"/>
  <c r="AU118" i="6" s="1"/>
  <c r="AU98" i="6" a="1"/>
  <c r="AU98" i="6" s="1"/>
  <c r="AU129" i="6" a="1"/>
  <c r="AU129" i="6" s="1"/>
  <c r="AU99" i="6" a="1"/>
  <c r="AU99" i="6" s="1"/>
  <c r="AU107" i="6" a="1"/>
  <c r="AU107" i="6" s="1"/>
  <c r="AU100" i="6" a="1"/>
  <c r="AU100" i="6" s="1"/>
  <c r="AU117" i="6" a="1"/>
  <c r="AU117" i="6" s="1"/>
  <c r="AU106" i="6" a="1"/>
  <c r="AU106" i="6" s="1"/>
  <c r="AU101" i="6" a="1"/>
  <c r="AU101" i="6" s="1"/>
  <c r="AU122" i="6" a="1"/>
  <c r="AU122" i="6" s="1"/>
  <c r="AU119" i="6" a="1"/>
  <c r="AU119" i="6" s="1"/>
  <c r="AU88" i="6" a="1"/>
  <c r="AU88" i="6" s="1"/>
  <c r="AU89" i="6" a="1"/>
  <c r="AU89" i="6" s="1"/>
  <c r="AU104" i="6" a="1"/>
  <c r="AU104" i="6" s="1"/>
  <c r="AU90" i="6" a="1"/>
  <c r="AU90" i="6" s="1"/>
  <c r="AU116" i="6" a="1"/>
  <c r="AU116" i="6" s="1"/>
  <c r="AU123" i="6" a="1"/>
  <c r="AU123" i="6" s="1"/>
  <c r="AU114" i="6" a="1"/>
  <c r="AU114" i="6" s="1"/>
  <c r="AU103" i="6" a="1"/>
  <c r="AU103" i="6" s="1"/>
  <c r="AU87" i="6" a="1"/>
  <c r="AU87" i="6" s="1"/>
  <c r="AU96" i="6" a="1"/>
  <c r="AU96" i="6" s="1"/>
  <c r="AU84" i="6" a="1"/>
  <c r="AU84" i="6" s="1"/>
  <c r="AU105" i="6" a="1"/>
  <c r="AU105" i="6" s="1"/>
  <c r="AU94" i="6" a="1"/>
  <c r="AU94" i="6" s="1"/>
  <c r="AU86" i="6" a="1"/>
  <c r="AU86" i="6" s="1"/>
  <c r="AU82" i="6" a="1"/>
  <c r="AU82" i="6" s="1"/>
  <c r="AU85" i="6" a="1"/>
  <c r="AU85" i="6" s="1"/>
  <c r="AU95" i="6" a="1"/>
  <c r="AU95" i="6" s="1"/>
  <c r="AU92" i="6" a="1"/>
  <c r="AU92" i="6" s="1"/>
  <c r="AU93" i="6" a="1"/>
  <c r="AU93" i="6" s="1"/>
  <c r="AU72" i="6" a="1"/>
  <c r="AU72" i="6" s="1"/>
  <c r="AU65" i="6" a="1"/>
  <c r="AU65" i="6" s="1"/>
  <c r="AU110" i="6" a="1"/>
  <c r="AU110" i="6" s="1"/>
  <c r="AU102" i="6" a="1"/>
  <c r="AU102" i="6" s="1"/>
  <c r="AU81" i="6" a="1"/>
  <c r="AU81" i="6" s="1"/>
  <c r="AU74" i="6" a="1"/>
  <c r="AU74" i="6" s="1"/>
  <c r="AU66" i="6" a="1"/>
  <c r="AU66" i="6" s="1"/>
  <c r="AU83" i="6" a="1"/>
  <c r="AU83" i="6" s="1"/>
  <c r="AU67" i="6" a="1"/>
  <c r="AU67" i="6" s="1"/>
  <c r="AU79" i="6" a="1"/>
  <c r="AU79" i="6" s="1"/>
  <c r="AU80" i="6" a="1"/>
  <c r="AU80" i="6" s="1"/>
  <c r="AU71" i="6" a="1"/>
  <c r="AU71" i="6" s="1"/>
  <c r="AU91" i="6" a="1"/>
  <c r="AU91" i="6" s="1"/>
  <c r="AU78" i="6" a="1"/>
  <c r="AU78" i="6" s="1"/>
  <c r="AU57" i="6" a="1"/>
  <c r="AU57" i="6" s="1"/>
  <c r="AU55" i="6" a="1"/>
  <c r="AU55" i="6" s="1"/>
  <c r="AU75" i="6" a="1"/>
  <c r="AU75" i="6" s="1"/>
  <c r="AU60" i="6" a="1"/>
  <c r="AU60" i="6" s="1"/>
  <c r="AU58" i="6" a="1"/>
  <c r="AU58" i="6" s="1"/>
  <c r="AU53" i="6" a="1"/>
  <c r="AU53" i="6" s="1"/>
  <c r="AU68" i="6" a="1"/>
  <c r="AU68" i="6" s="1"/>
  <c r="AU59" i="6" a="1"/>
  <c r="AU59" i="6" s="1"/>
  <c r="AU70" i="6" a="1"/>
  <c r="AU70" i="6" s="1"/>
  <c r="AU63" i="6" a="1"/>
  <c r="AU63" i="6" s="1"/>
  <c r="AU69" i="6" a="1"/>
  <c r="AU69" i="6" s="1"/>
  <c r="AU73" i="6" a="1"/>
  <c r="AU73" i="6" s="1"/>
  <c r="AU64" i="6" a="1"/>
  <c r="AU64" i="6" s="1"/>
  <c r="AU42" i="6" a="1"/>
  <c r="AU42" i="6" s="1"/>
  <c r="AU34" i="6" a="1"/>
  <c r="AU34" i="6" s="1"/>
  <c r="AU50" i="6" a="1"/>
  <c r="AU50" i="6" s="1"/>
  <c r="AU48" i="6" a="1"/>
  <c r="AU48" i="6" s="1"/>
  <c r="AU33" i="6" a="1"/>
  <c r="AU33" i="6" s="1"/>
  <c r="AU37" i="6" a="1"/>
  <c r="AU37" i="6" s="1"/>
  <c r="AU32" i="6" a="1"/>
  <c r="AU32" i="6" s="1"/>
  <c r="AU51" i="6" a="1"/>
  <c r="AU51" i="6" s="1"/>
  <c r="AU52" i="6" a="1"/>
  <c r="AU52" i="6" s="1"/>
  <c r="AU36" i="6" a="1"/>
  <c r="AU36" i="6" s="1"/>
  <c r="AU61" i="6" a="1"/>
  <c r="AU61" i="6" s="1"/>
  <c r="AU56" i="6" a="1"/>
  <c r="AU56" i="6" s="1"/>
  <c r="AU44" i="6" a="1"/>
  <c r="AU44" i="6" s="1"/>
  <c r="AU39" i="6" a="1"/>
  <c r="AU39" i="6" s="1"/>
  <c r="AU29" i="6" a="1"/>
  <c r="AU29" i="6" s="1"/>
  <c r="AU21" i="6" a="1"/>
  <c r="AU21" i="6" s="1"/>
  <c r="AU20" i="6" s="1"/>
  <c r="AU30" i="6" a="1"/>
  <c r="AU30" i="6" s="1"/>
  <c r="AU62" i="6" a="1"/>
  <c r="AU62" i="6" s="1"/>
  <c r="AU35" i="6" a="1"/>
  <c r="AU35" i="6" s="1"/>
  <c r="AU38" i="6" a="1"/>
  <c r="AU38" i="6" s="1"/>
  <c r="AU23" i="6" a="1"/>
  <c r="AU23" i="6" s="1"/>
  <c r="AU22" i="6" s="1"/>
  <c r="AU43" i="6" a="1"/>
  <c r="AU43" i="6" s="1"/>
  <c r="AU28" i="6" a="1"/>
  <c r="AU28" i="6" s="1"/>
  <c r="AU16" i="6" a="1"/>
  <c r="AU16" i="6" s="1"/>
  <c r="AU14" i="6" s="1"/>
  <c r="AU13" i="6" s="1"/>
  <c r="AU12" i="6" s="1"/>
  <c r="AU31" i="6" a="1"/>
  <c r="AU31" i="6" s="1"/>
  <c r="V15" i="6" a="1"/>
  <c r="V15" i="6" s="1"/>
  <c r="AI15" i="6" a="1"/>
  <c r="AI15" i="6" s="1"/>
  <c r="AI14" i="6" s="1"/>
  <c r="AI13" i="6" s="1"/>
  <c r="AI12" i="6" s="1"/>
  <c r="AO17" i="6" a="1"/>
  <c r="AO17" i="6" s="1"/>
  <c r="AP21" i="6" a="1"/>
  <c r="AP21" i="6" s="1"/>
  <c r="AP20" i="6" s="1"/>
  <c r="AT36" i="6" a="1"/>
  <c r="AT36" i="6" s="1"/>
  <c r="BB56" i="6" a="1"/>
  <c r="BB56" i="6" s="1"/>
  <c r="X156" i="6" a="1"/>
  <c r="X156" i="6" s="1"/>
  <c r="X155" i="6" a="1"/>
  <c r="X155" i="6" s="1"/>
  <c r="X154" i="6" s="1"/>
  <c r="X153" i="6" s="1"/>
  <c r="X152" i="6" a="1"/>
  <c r="X152" i="6" s="1"/>
  <c r="X151" i="6" s="1"/>
  <c r="X150" i="6" s="1"/>
  <c r="X138" i="6" a="1"/>
  <c r="X138" i="6" s="1"/>
  <c r="X139" i="6" a="1"/>
  <c r="X139" i="6" s="1"/>
  <c r="X137" i="6" a="1"/>
  <c r="X137" i="6" s="1"/>
  <c r="X148" i="6" a="1"/>
  <c r="X148" i="6" s="1"/>
  <c r="X147" i="6" a="1"/>
  <c r="X147" i="6" s="1"/>
  <c r="X146" i="6" s="1"/>
  <c r="X145" i="6" s="1"/>
  <c r="X136" i="6" a="1"/>
  <c r="X136" i="6" s="1"/>
  <c r="X143" i="6" a="1"/>
  <c r="X143" i="6" s="1"/>
  <c r="X134" i="6" a="1"/>
  <c r="X134" i="6" s="1"/>
  <c r="X133" i="6" a="1"/>
  <c r="X133" i="6" s="1"/>
  <c r="X132" i="6" a="1"/>
  <c r="X132" i="6" s="1"/>
  <c r="X127" i="6" a="1"/>
  <c r="X127" i="6" s="1"/>
  <c r="X149" i="6" a="1"/>
  <c r="X149" i="6" s="1"/>
  <c r="X130" i="6" a="1"/>
  <c r="X130" i="6" s="1"/>
  <c r="X131" i="6" a="1"/>
  <c r="X131" i="6" s="1"/>
  <c r="X129" i="6" a="1"/>
  <c r="X129" i="6" s="1"/>
  <c r="X135" i="6" a="1"/>
  <c r="X135" i="6" s="1"/>
  <c r="X144" i="6" a="1"/>
  <c r="X144" i="6" s="1"/>
  <c r="X111" i="6" a="1"/>
  <c r="X111" i="6" s="1"/>
  <c r="X119" i="6" a="1"/>
  <c r="X119" i="6" s="1"/>
  <c r="X110" i="6" a="1"/>
  <c r="X110" i="6" s="1"/>
  <c r="X109" i="6" s="1"/>
  <c r="X108" i="6" s="1"/>
  <c r="X125" i="6" a="1"/>
  <c r="X125" i="6" s="1"/>
  <c r="X128" i="6" a="1"/>
  <c r="X128" i="6" s="1"/>
  <c r="X118" i="6" a="1"/>
  <c r="X118" i="6" s="1"/>
  <c r="X106" i="6" a="1"/>
  <c r="X106" i="6" s="1"/>
  <c r="X124" i="6" a="1"/>
  <c r="X124" i="6" s="1"/>
  <c r="X120" i="6" a="1"/>
  <c r="X120" i="6" s="1"/>
  <c r="X113" i="6" a="1"/>
  <c r="X113" i="6" s="1"/>
  <c r="X99" i="6" a="1"/>
  <c r="X99" i="6" s="1"/>
  <c r="X116" i="6" a="1"/>
  <c r="X116" i="6" s="1"/>
  <c r="X100" i="6" a="1"/>
  <c r="X100" i="6" s="1"/>
  <c r="X123" i="6" a="1"/>
  <c r="X123" i="6" s="1"/>
  <c r="X112" i="6" a="1"/>
  <c r="X112" i="6" s="1"/>
  <c r="X101" i="6" a="1"/>
  <c r="X101" i="6" s="1"/>
  <c r="X115" i="6" a="1"/>
  <c r="X115" i="6" s="1"/>
  <c r="X102" i="6" a="1"/>
  <c r="X102" i="6" s="1"/>
  <c r="X103" i="6" a="1"/>
  <c r="X103" i="6" s="1"/>
  <c r="X126" i="6" a="1"/>
  <c r="X126" i="6" s="1"/>
  <c r="X122" i="6" a="1"/>
  <c r="X122" i="6" s="1"/>
  <c r="X117" i="6" a="1"/>
  <c r="X117" i="6" s="1"/>
  <c r="X105" i="6" a="1"/>
  <c r="X105" i="6" s="1"/>
  <c r="X104" i="6" a="1"/>
  <c r="X104" i="6" s="1"/>
  <c r="X98" i="6" a="1"/>
  <c r="X98" i="6" s="1"/>
  <c r="X90" i="6" a="1"/>
  <c r="X90" i="6" s="1"/>
  <c r="X91" i="6" a="1"/>
  <c r="X91" i="6" s="1"/>
  <c r="X114" i="6" a="1"/>
  <c r="X114" i="6" s="1"/>
  <c r="X92" i="6" a="1"/>
  <c r="X92" i="6" s="1"/>
  <c r="X121" i="6" a="1"/>
  <c r="X121" i="6" s="1"/>
  <c r="X84" i="6" a="1"/>
  <c r="X84" i="6" s="1"/>
  <c r="X107" i="6" a="1"/>
  <c r="X107" i="6" s="1"/>
  <c r="X96" i="6" a="1"/>
  <c r="X96" i="6" s="1"/>
  <c r="X89" i="6" a="1"/>
  <c r="X89" i="6" s="1"/>
  <c r="X87" i="6" a="1"/>
  <c r="X87" i="6" s="1"/>
  <c r="X82" i="6" a="1"/>
  <c r="X82" i="6" s="1"/>
  <c r="X79" i="6" a="1"/>
  <c r="X79" i="6" s="1"/>
  <c r="X95" i="6" a="1"/>
  <c r="X95" i="6" s="1"/>
  <c r="X97" i="6" a="1"/>
  <c r="X97" i="6" s="1"/>
  <c r="X94" i="6" a="1"/>
  <c r="X94" i="6" s="1"/>
  <c r="X88" i="6" a="1"/>
  <c r="X88" i="6" s="1"/>
  <c r="X86" i="6" a="1"/>
  <c r="X86" i="6" s="1"/>
  <c r="X66" i="6" a="1"/>
  <c r="X66" i="6" s="1"/>
  <c r="X67" i="6" a="1"/>
  <c r="X67" i="6" s="1"/>
  <c r="X68" i="6" a="1"/>
  <c r="X68" i="6" s="1"/>
  <c r="X80" i="6" a="1"/>
  <c r="X80" i="6" s="1"/>
  <c r="X69" i="6" a="1"/>
  <c r="X69" i="6" s="1"/>
  <c r="X78" i="6" a="1"/>
  <c r="X78" i="6" s="1"/>
  <c r="X73" i="6" a="1"/>
  <c r="X73" i="6" s="1"/>
  <c r="X71" i="6" a="1"/>
  <c r="X71" i="6" s="1"/>
  <c r="X85" i="6" a="1"/>
  <c r="X85" i="6" s="1"/>
  <c r="X72" i="6" a="1"/>
  <c r="X72" i="6" s="1"/>
  <c r="X93" i="6" a="1"/>
  <c r="X93" i="6" s="1"/>
  <c r="X75" i="6" a="1"/>
  <c r="X75" i="6" s="1"/>
  <c r="X65" i="6" a="1"/>
  <c r="X65" i="6" s="1"/>
  <c r="X63" i="6" a="1"/>
  <c r="X63" i="6" s="1"/>
  <c r="X83" i="6" a="1"/>
  <c r="X83" i="6" s="1"/>
  <c r="X62" i="6" a="1"/>
  <c r="X62" i="6" s="1"/>
  <c r="X74" i="6" a="1"/>
  <c r="X74" i="6" s="1"/>
  <c r="X59" i="6" a="1"/>
  <c r="X59" i="6" s="1"/>
  <c r="X53" i="6" a="1"/>
  <c r="X53" i="6" s="1"/>
  <c r="X81" i="6" a="1"/>
  <c r="X81" i="6" s="1"/>
  <c r="X64" i="6" a="1"/>
  <c r="X64" i="6" s="1"/>
  <c r="X51" i="6" a="1"/>
  <c r="X51" i="6" s="1"/>
  <c r="X70" i="6" a="1"/>
  <c r="X70" i="6" s="1"/>
  <c r="X60" i="6" a="1"/>
  <c r="X60" i="6" s="1"/>
  <c r="X61" i="6" a="1"/>
  <c r="X61" i="6" s="1"/>
  <c r="X48" i="6" a="1"/>
  <c r="X48" i="6" s="1"/>
  <c r="X33" i="6" a="1"/>
  <c r="X33" i="6" s="1"/>
  <c r="X54" i="6" a="1"/>
  <c r="X54" i="6" s="1"/>
  <c r="X49" i="6" a="1"/>
  <c r="X49" i="6" s="1"/>
  <c r="X52" i="6" a="1"/>
  <c r="X52" i="6" s="1"/>
  <c r="X37" i="6" a="1"/>
  <c r="X37" i="6" s="1"/>
  <c r="X32" i="6" a="1"/>
  <c r="X32" i="6" s="1"/>
  <c r="X50" i="6" a="1"/>
  <c r="X50" i="6" s="1"/>
  <c r="X31" i="6" a="1"/>
  <c r="X31" i="6" s="1"/>
  <c r="X58" i="6" a="1"/>
  <c r="X58" i="6" s="1"/>
  <c r="X56" i="6" a="1"/>
  <c r="X56" i="6" s="1"/>
  <c r="X55" i="6" a="1"/>
  <c r="X55" i="6" s="1"/>
  <c r="X44" i="6" a="1"/>
  <c r="X44" i="6" s="1"/>
  <c r="X39" i="6" a="1"/>
  <c r="X39" i="6" s="1"/>
  <c r="X43" i="6" a="1"/>
  <c r="X43" i="6" s="1"/>
  <c r="X35" i="6" a="1"/>
  <c r="X35" i="6" s="1"/>
  <c r="X57" i="6" a="1"/>
  <c r="X57" i="6" s="1"/>
  <c r="X29" i="6" a="1"/>
  <c r="X29" i="6" s="1"/>
  <c r="X23" i="6" a="1"/>
  <c r="X23" i="6" s="1"/>
  <c r="X22" i="6" s="1"/>
  <c r="X42" i="6" a="1"/>
  <c r="X42" i="6" s="1"/>
  <c r="X41" i="6" s="1"/>
  <c r="X40" i="6" s="1"/>
  <c r="X30" i="6" a="1"/>
  <c r="X30" i="6" s="1"/>
  <c r="X15" i="6" a="1"/>
  <c r="X15" i="6" s="1"/>
  <c r="X16" i="6" a="1"/>
  <c r="X16" i="6" s="1"/>
  <c r="X34" i="6" a="1"/>
  <c r="X34" i="6" s="1"/>
  <c r="X25" i="6" a="1"/>
  <c r="X25" i="6" s="1"/>
  <c r="X24" i="6" s="1"/>
  <c r="AJ156" i="6" a="1"/>
  <c r="AJ156" i="6" s="1"/>
  <c r="AJ155" i="6" a="1"/>
  <c r="AJ155" i="6" s="1"/>
  <c r="AJ154" i="6" s="1"/>
  <c r="AJ153" i="6" s="1"/>
  <c r="AJ148" i="6" a="1"/>
  <c r="AJ148" i="6" s="1"/>
  <c r="AJ144" i="6" a="1"/>
  <c r="AJ144" i="6" s="1"/>
  <c r="AJ138" i="6" a="1"/>
  <c r="AJ138" i="6" s="1"/>
  <c r="AJ152" i="6" a="1"/>
  <c r="AJ152" i="6" s="1"/>
  <c r="AJ151" i="6" s="1"/>
  <c r="AJ150" i="6" s="1"/>
  <c r="AJ149" i="6" a="1"/>
  <c r="AJ149" i="6" s="1"/>
  <c r="AJ137" i="6" a="1"/>
  <c r="AJ137" i="6" s="1"/>
  <c r="AJ147" i="6" a="1"/>
  <c r="AJ147" i="6" s="1"/>
  <c r="AJ135" i="6" a="1"/>
  <c r="AJ135" i="6" s="1"/>
  <c r="AJ133" i="6" a="1"/>
  <c r="AJ133" i="6" s="1"/>
  <c r="AJ127" i="6" a="1"/>
  <c r="AJ127" i="6" s="1"/>
  <c r="AJ139" i="6" a="1"/>
  <c r="AJ139" i="6" s="1"/>
  <c r="AJ143" i="6" a="1"/>
  <c r="AJ143" i="6" s="1"/>
  <c r="AJ136" i="6" a="1"/>
  <c r="AJ136" i="6" s="1"/>
  <c r="AJ132" i="6" a="1"/>
  <c r="AJ132" i="6" s="1"/>
  <c r="AJ128" i="6" a="1"/>
  <c r="AJ128" i="6" s="1"/>
  <c r="AJ126" i="6" a="1"/>
  <c r="AJ126" i="6" s="1"/>
  <c r="AJ134" i="6" a="1"/>
  <c r="AJ134" i="6" s="1"/>
  <c r="AJ111" i="6" a="1"/>
  <c r="AJ111" i="6" s="1"/>
  <c r="AJ131" i="6" a="1"/>
  <c r="AJ131" i="6" s="1"/>
  <c r="AJ110" i="6" a="1"/>
  <c r="AJ110" i="6" s="1"/>
  <c r="AJ125" i="6" a="1"/>
  <c r="AJ125" i="6" s="1"/>
  <c r="AJ121" i="6" a="1"/>
  <c r="AJ121" i="6" s="1"/>
  <c r="AJ130" i="6" a="1"/>
  <c r="AJ130" i="6" s="1"/>
  <c r="AJ120" i="6" a="1"/>
  <c r="AJ120" i="6" s="1"/>
  <c r="AJ119" i="6" a="1"/>
  <c r="AJ119" i="6" s="1"/>
  <c r="AJ118" i="6" a="1"/>
  <c r="AJ118" i="6" s="1"/>
  <c r="AJ106" i="6" a="1"/>
  <c r="AJ106" i="6" s="1"/>
  <c r="AJ124" i="6" a="1"/>
  <c r="AJ124" i="6" s="1"/>
  <c r="AJ113" i="6" a="1"/>
  <c r="AJ113" i="6" s="1"/>
  <c r="AJ117" i="6" a="1"/>
  <c r="AJ117" i="6" s="1"/>
  <c r="AJ99" i="6" a="1"/>
  <c r="AJ99" i="6" s="1"/>
  <c r="AJ100" i="6" a="1"/>
  <c r="AJ100" i="6" s="1"/>
  <c r="AJ112" i="6" a="1"/>
  <c r="AJ112" i="6" s="1"/>
  <c r="AJ105" i="6" a="1"/>
  <c r="AJ105" i="6" s="1"/>
  <c r="AJ101" i="6" a="1"/>
  <c r="AJ101" i="6" s="1"/>
  <c r="AJ122" i="6" a="1"/>
  <c r="AJ122" i="6" s="1"/>
  <c r="AJ116" i="6" a="1"/>
  <c r="AJ116" i="6" s="1"/>
  <c r="AJ102" i="6" a="1"/>
  <c r="AJ102" i="6" s="1"/>
  <c r="AJ103" i="6" a="1"/>
  <c r="AJ103" i="6" s="1"/>
  <c r="AJ104" i="6" a="1"/>
  <c r="AJ104" i="6" s="1"/>
  <c r="AJ90" i="6" a="1"/>
  <c r="AJ90" i="6" s="1"/>
  <c r="AJ115" i="6" a="1"/>
  <c r="AJ115" i="6" s="1"/>
  <c r="AJ97" i="6" a="1"/>
  <c r="AJ97" i="6" s="1"/>
  <c r="AJ95" i="6" a="1"/>
  <c r="AJ95" i="6" s="1"/>
  <c r="AJ91" i="6" a="1"/>
  <c r="AJ91" i="6" s="1"/>
  <c r="AJ92" i="6" a="1"/>
  <c r="AJ92" i="6" s="1"/>
  <c r="AJ123" i="6" a="1"/>
  <c r="AJ123" i="6" s="1"/>
  <c r="AJ93" i="6" a="1"/>
  <c r="AJ93" i="6" s="1"/>
  <c r="AJ84" i="6" a="1"/>
  <c r="AJ84" i="6" s="1"/>
  <c r="AJ96" i="6" a="1"/>
  <c r="AJ96" i="6" s="1"/>
  <c r="AJ94" i="6" a="1"/>
  <c r="AJ94" i="6" s="1"/>
  <c r="AJ82" i="6" a="1"/>
  <c r="AJ82" i="6" s="1"/>
  <c r="AJ114" i="6" a="1"/>
  <c r="AJ114" i="6" s="1"/>
  <c r="AJ107" i="6" a="1"/>
  <c r="AJ107" i="6" s="1"/>
  <c r="AJ129" i="6" a="1"/>
  <c r="AJ129" i="6" s="1"/>
  <c r="AJ80" i="6" a="1"/>
  <c r="AJ80" i="6" s="1"/>
  <c r="AJ87" i="6" a="1"/>
  <c r="AJ87" i="6" s="1"/>
  <c r="AJ86" i="6" a="1"/>
  <c r="AJ86" i="6" s="1"/>
  <c r="AJ79" i="6" a="1"/>
  <c r="AJ79" i="6" s="1"/>
  <c r="AJ66" i="6" a="1"/>
  <c r="AJ66" i="6" s="1"/>
  <c r="AJ88" i="6" a="1"/>
  <c r="AJ88" i="6" s="1"/>
  <c r="AJ67" i="6" a="1"/>
  <c r="AJ67" i="6" s="1"/>
  <c r="AJ68" i="6" a="1"/>
  <c r="AJ68" i="6" s="1"/>
  <c r="AJ98" i="6" a="1"/>
  <c r="AJ98" i="6" s="1"/>
  <c r="AJ75" i="6" a="1"/>
  <c r="AJ75" i="6" s="1"/>
  <c r="AJ69" i="6" a="1"/>
  <c r="AJ69" i="6" s="1"/>
  <c r="AJ81" i="6" a="1"/>
  <c r="AJ81" i="6" s="1"/>
  <c r="AJ71" i="6" a="1"/>
  <c r="AJ71" i="6" s="1"/>
  <c r="AJ85" i="6" a="1"/>
  <c r="AJ85" i="6" s="1"/>
  <c r="AJ89" i="6" a="1"/>
  <c r="AJ89" i="6" s="1"/>
  <c r="AJ83" i="6" a="1"/>
  <c r="AJ83" i="6" s="1"/>
  <c r="AJ73" i="6" a="1"/>
  <c r="AJ73" i="6" s="1"/>
  <c r="AJ74" i="6" a="1"/>
  <c r="AJ74" i="6" s="1"/>
  <c r="AJ64" i="6" a="1"/>
  <c r="AJ64" i="6" s="1"/>
  <c r="AJ63" i="6" a="1"/>
  <c r="AJ63" i="6" s="1"/>
  <c r="AJ78" i="6" a="1"/>
  <c r="AJ78" i="6" s="1"/>
  <c r="AJ59" i="6" a="1"/>
  <c r="AJ59" i="6" s="1"/>
  <c r="AJ53" i="6" a="1"/>
  <c r="AJ53" i="6" s="1"/>
  <c r="AJ65" i="6" a="1"/>
  <c r="AJ65" i="6" s="1"/>
  <c r="AJ61" i="6" a="1"/>
  <c r="AJ61" i="6" s="1"/>
  <c r="AJ51" i="6" a="1"/>
  <c r="AJ51" i="6" s="1"/>
  <c r="AJ62" i="6" a="1"/>
  <c r="AJ62" i="6" s="1"/>
  <c r="AJ72" i="6" a="1"/>
  <c r="AJ72" i="6" s="1"/>
  <c r="AJ60" i="6" a="1"/>
  <c r="AJ60" i="6" s="1"/>
  <c r="AJ57" i="6" a="1"/>
  <c r="AJ57" i="6" s="1"/>
  <c r="AJ48" i="6" a="1"/>
  <c r="AJ48" i="6" s="1"/>
  <c r="AJ33" i="6" a="1"/>
  <c r="AJ33" i="6" s="1"/>
  <c r="AJ37" i="6" a="1"/>
  <c r="AJ37" i="6" s="1"/>
  <c r="AJ32" i="6" a="1"/>
  <c r="AJ32" i="6" s="1"/>
  <c r="AJ70" i="6" a="1"/>
  <c r="AJ70" i="6" s="1"/>
  <c r="AJ55" i="6" a="1"/>
  <c r="AJ55" i="6" s="1"/>
  <c r="AJ31" i="6" a="1"/>
  <c r="AJ31" i="6" s="1"/>
  <c r="AJ56" i="6" a="1"/>
  <c r="AJ56" i="6" s="1"/>
  <c r="AJ49" i="6" a="1"/>
  <c r="AJ49" i="6" s="1"/>
  <c r="AJ44" i="6" a="1"/>
  <c r="AJ44" i="6" s="1"/>
  <c r="AJ39" i="6" a="1"/>
  <c r="AJ39" i="6" s="1"/>
  <c r="AJ50" i="6" a="1"/>
  <c r="AJ50" i="6" s="1"/>
  <c r="AJ43" i="6" a="1"/>
  <c r="AJ43" i="6" s="1"/>
  <c r="AJ52" i="6" a="1"/>
  <c r="AJ52" i="6" s="1"/>
  <c r="AJ35" i="6" a="1"/>
  <c r="AJ35" i="6" s="1"/>
  <c r="AJ58" i="6" a="1"/>
  <c r="AJ58" i="6" s="1"/>
  <c r="AJ42" i="6" a="1"/>
  <c r="AJ42" i="6" s="1"/>
  <c r="AJ54" i="6" a="1"/>
  <c r="AJ54" i="6" s="1"/>
  <c r="AJ28" i="6" a="1"/>
  <c r="AJ28" i="6" s="1"/>
  <c r="AJ23" i="6" a="1"/>
  <c r="AJ23" i="6" s="1"/>
  <c r="AJ22" i="6" s="1"/>
  <c r="AJ19" i="6" s="1"/>
  <c r="AJ15" i="6" a="1"/>
  <c r="AJ15" i="6" s="1"/>
  <c r="AJ29" i="6" a="1"/>
  <c r="AJ29" i="6" s="1"/>
  <c r="AJ16" i="6" a="1"/>
  <c r="AJ16" i="6" s="1"/>
  <c r="AJ17" i="6" a="1"/>
  <c r="AJ17" i="6" s="1"/>
  <c r="AJ30" i="6" a="1"/>
  <c r="AJ30" i="6" s="1"/>
  <c r="AJ25" i="6" a="1"/>
  <c r="AJ25" i="6" s="1"/>
  <c r="AJ24" i="6" s="1"/>
  <c r="AJ34" i="6" a="1"/>
  <c r="AJ34" i="6" s="1"/>
  <c r="AV156" i="6" a="1"/>
  <c r="AV156" i="6" s="1"/>
  <c r="AV155" i="6" a="1"/>
  <c r="AV155" i="6" s="1"/>
  <c r="AV147" i="6" a="1"/>
  <c r="AV147" i="6" s="1"/>
  <c r="AV146" i="6" s="1"/>
  <c r="AV145" i="6" s="1"/>
  <c r="AV152" i="6" a="1"/>
  <c r="AV152" i="6" s="1"/>
  <c r="AV151" i="6" s="1"/>
  <c r="AV150" i="6" s="1"/>
  <c r="AV148" i="6" a="1"/>
  <c r="AV148" i="6" s="1"/>
  <c r="AV143" i="6" a="1"/>
  <c r="AV143" i="6" s="1"/>
  <c r="AV138" i="6" a="1"/>
  <c r="AV138" i="6" s="1"/>
  <c r="AV149" i="6" a="1"/>
  <c r="AV149" i="6" s="1"/>
  <c r="AV137" i="6" a="1"/>
  <c r="AV137" i="6" s="1"/>
  <c r="AV133" i="6" a="1"/>
  <c r="AV133" i="6" s="1"/>
  <c r="AV144" i="6" a="1"/>
  <c r="AV144" i="6" s="1"/>
  <c r="AV130" i="6" a="1"/>
  <c r="AV130" i="6" s="1"/>
  <c r="AV127" i="6" a="1"/>
  <c r="AV127" i="6" s="1"/>
  <c r="AV132" i="6" a="1"/>
  <c r="AV132" i="6" s="1"/>
  <c r="AV131" i="6" a="1"/>
  <c r="AV131" i="6" s="1"/>
  <c r="AV135" i="6" a="1"/>
  <c r="AV135" i="6" s="1"/>
  <c r="AV125" i="6" a="1"/>
  <c r="AV125" i="6" s="1"/>
  <c r="AV128" i="6" a="1"/>
  <c r="AV128" i="6" s="1"/>
  <c r="AV111" i="6" a="1"/>
  <c r="AV111" i="6" s="1"/>
  <c r="AV136" i="6" a="1"/>
  <c r="AV136" i="6" s="1"/>
  <c r="AV120" i="6" a="1"/>
  <c r="AV120" i="6" s="1"/>
  <c r="AV110" i="6" a="1"/>
  <c r="AV110" i="6" s="1"/>
  <c r="AV129" i="6" a="1"/>
  <c r="AV129" i="6" s="1"/>
  <c r="AV122" i="6" a="1"/>
  <c r="AV122" i="6" s="1"/>
  <c r="AV126" i="6" a="1"/>
  <c r="AV126" i="6" s="1"/>
  <c r="AV118" i="6" a="1"/>
  <c r="AV118" i="6" s="1"/>
  <c r="AV106" i="6" a="1"/>
  <c r="AV106" i="6" s="1"/>
  <c r="AV124" i="6" a="1"/>
  <c r="AV124" i="6" s="1"/>
  <c r="AV113" i="6" a="1"/>
  <c r="AV113" i="6" s="1"/>
  <c r="AV99" i="6" a="1"/>
  <c r="AV99" i="6" s="1"/>
  <c r="AV107" i="6" a="1"/>
  <c r="AV107" i="6" s="1"/>
  <c r="AV100" i="6" a="1"/>
  <c r="AV100" i="6" s="1"/>
  <c r="AV134" i="6" a="1"/>
  <c r="AV134" i="6" s="1"/>
  <c r="AV117" i="6" a="1"/>
  <c r="AV117" i="6" s="1"/>
  <c r="AV112" i="6" a="1"/>
  <c r="AV112" i="6" s="1"/>
  <c r="AV101" i="6" a="1"/>
  <c r="AV101" i="6" s="1"/>
  <c r="AV102" i="6" a="1"/>
  <c r="AV102" i="6" s="1"/>
  <c r="AV123" i="6" a="1"/>
  <c r="AV123" i="6" s="1"/>
  <c r="AV103" i="6" a="1"/>
  <c r="AV103" i="6" s="1"/>
  <c r="AV114" i="6" a="1"/>
  <c r="AV114" i="6" s="1"/>
  <c r="AV104" i="6" a="1"/>
  <c r="AV104" i="6" s="1"/>
  <c r="AV90" i="6" a="1"/>
  <c r="AV90" i="6" s="1"/>
  <c r="AV91" i="6" a="1"/>
  <c r="AV91" i="6" s="1"/>
  <c r="AV116" i="6" a="1"/>
  <c r="AV116" i="6" s="1"/>
  <c r="AV92" i="6" a="1"/>
  <c r="AV92" i="6" s="1"/>
  <c r="AV115" i="6" a="1"/>
  <c r="AV115" i="6" s="1"/>
  <c r="AV96" i="6" a="1"/>
  <c r="AV96" i="6" s="1"/>
  <c r="AV84" i="6" a="1"/>
  <c r="AV84" i="6" s="1"/>
  <c r="AV89" i="6" a="1"/>
  <c r="AV89" i="6" s="1"/>
  <c r="AV82" i="6" a="1"/>
  <c r="AV82" i="6" s="1"/>
  <c r="AV139" i="6" a="1"/>
  <c r="AV139" i="6" s="1"/>
  <c r="AV97" i="6" a="1"/>
  <c r="AV97" i="6" s="1"/>
  <c r="AV94" i="6" a="1"/>
  <c r="AV94" i="6" s="1"/>
  <c r="AV119" i="6" a="1"/>
  <c r="AV119" i="6" s="1"/>
  <c r="AV87" i="6" a="1"/>
  <c r="AV87" i="6" s="1"/>
  <c r="AV85" i="6" a="1"/>
  <c r="AV85" i="6" s="1"/>
  <c r="AV121" i="6" a="1"/>
  <c r="AV121" i="6" s="1"/>
  <c r="AV105" i="6" a="1"/>
  <c r="AV105" i="6" s="1"/>
  <c r="AV98" i="6" a="1"/>
  <c r="AV98" i="6" s="1"/>
  <c r="AV81" i="6" a="1"/>
  <c r="AV81" i="6" s="1"/>
  <c r="AV74" i="6" a="1"/>
  <c r="AV74" i="6" s="1"/>
  <c r="AV66" i="6" a="1"/>
  <c r="AV66" i="6" s="1"/>
  <c r="AV67" i="6" a="1"/>
  <c r="AV67" i="6" s="1"/>
  <c r="AV83" i="6" a="1"/>
  <c r="AV83" i="6" s="1"/>
  <c r="AV68" i="6" a="1"/>
  <c r="AV68" i="6" s="1"/>
  <c r="AV79" i="6" a="1"/>
  <c r="AV79" i="6" s="1"/>
  <c r="AV69" i="6" a="1"/>
  <c r="AV69" i="6" s="1"/>
  <c r="AV86" i="6" a="1"/>
  <c r="AV86" i="6" s="1"/>
  <c r="AV78" i="6" a="1"/>
  <c r="AV78" i="6" s="1"/>
  <c r="AV88" i="6" a="1"/>
  <c r="AV88" i="6" s="1"/>
  <c r="AV80" i="6" a="1"/>
  <c r="AV80" i="6" s="1"/>
  <c r="AV71" i="6" a="1"/>
  <c r="AV71" i="6" s="1"/>
  <c r="AV95" i="6" a="1"/>
  <c r="AV95" i="6" s="1"/>
  <c r="AV75" i="6" a="1"/>
  <c r="AV75" i="6" s="1"/>
  <c r="AV93" i="6" a="1"/>
  <c r="AV93" i="6" s="1"/>
  <c r="AV65" i="6" a="1"/>
  <c r="AV65" i="6" s="1"/>
  <c r="AV70" i="6" a="1"/>
  <c r="AV70" i="6" s="1"/>
  <c r="AV64" i="6" a="1"/>
  <c r="AV64" i="6" s="1"/>
  <c r="AV72" i="6" a="1"/>
  <c r="AV72" i="6" s="1"/>
  <c r="AV53" i="6" a="1"/>
  <c r="AV53" i="6" s="1"/>
  <c r="AV59" i="6" a="1"/>
  <c r="AV59" i="6" s="1"/>
  <c r="AV51" i="6" a="1"/>
  <c r="AV51" i="6" s="1"/>
  <c r="AV63" i="6" a="1"/>
  <c r="AV63" i="6" s="1"/>
  <c r="AV73" i="6" a="1"/>
  <c r="AV73" i="6" s="1"/>
  <c r="AV61" i="6" a="1"/>
  <c r="AV61" i="6" s="1"/>
  <c r="AV62" i="6" a="1"/>
  <c r="AV62" i="6" s="1"/>
  <c r="AV50" i="6" a="1"/>
  <c r="AV50" i="6" s="1"/>
  <c r="AV48" i="6" a="1"/>
  <c r="AV48" i="6" s="1"/>
  <c r="AV33" i="6" a="1"/>
  <c r="AV33" i="6" s="1"/>
  <c r="AV37" i="6" a="1"/>
  <c r="AV37" i="6" s="1"/>
  <c r="AV32" i="6" a="1"/>
  <c r="AV32" i="6" s="1"/>
  <c r="AV57" i="6" a="1"/>
  <c r="AV57" i="6" s="1"/>
  <c r="AV55" i="6" a="1"/>
  <c r="AV55" i="6" s="1"/>
  <c r="AV31" i="6" a="1"/>
  <c r="AV31" i="6" s="1"/>
  <c r="AV60" i="6" a="1"/>
  <c r="AV60" i="6" s="1"/>
  <c r="AV56" i="6" a="1"/>
  <c r="AV56" i="6" s="1"/>
  <c r="AV52" i="6" a="1"/>
  <c r="AV52" i="6" s="1"/>
  <c r="AV58" i="6" a="1"/>
  <c r="AV58" i="6" s="1"/>
  <c r="AV44" i="6" a="1"/>
  <c r="AV44" i="6" s="1"/>
  <c r="AV39" i="6" a="1"/>
  <c r="AV39" i="6" s="1"/>
  <c r="AV43" i="6" a="1"/>
  <c r="AV43" i="6" s="1"/>
  <c r="AV54" i="6" a="1"/>
  <c r="AV54" i="6" s="1"/>
  <c r="AV49" i="6" a="1"/>
  <c r="AV49" i="6" s="1"/>
  <c r="AV35" i="6" a="1"/>
  <c r="AV35" i="6" s="1"/>
  <c r="AV34" i="6" a="1"/>
  <c r="AV34" i="6" s="1"/>
  <c r="AV30" i="6" a="1"/>
  <c r="AV30" i="6" s="1"/>
  <c r="AV23" i="6" a="1"/>
  <c r="AV23" i="6" s="1"/>
  <c r="AV22" i="6" s="1"/>
  <c r="AV15" i="6" a="1"/>
  <c r="AV15" i="6" s="1"/>
  <c r="AV14" i="6" s="1"/>
  <c r="AV13" i="6" s="1"/>
  <c r="AV12" i="6" s="1"/>
  <c r="AV28" i="6" a="1"/>
  <c r="AV28" i="6" s="1"/>
  <c r="AV27" i="6" s="1"/>
  <c r="AV16" i="6" a="1"/>
  <c r="AV16" i="6" s="1"/>
  <c r="AV17" i="6" a="1"/>
  <c r="AV17" i="6" s="1"/>
  <c r="AV42" i="6" a="1"/>
  <c r="AV42" i="6" s="1"/>
  <c r="AV41" i="6" s="1"/>
  <c r="AV40" i="6" s="1"/>
  <c r="AV25" i="6" a="1"/>
  <c r="AV25" i="6" s="1"/>
  <c r="AV24" i="6" s="1"/>
  <c r="AV29" i="6" a="1"/>
  <c r="AV29" i="6" s="1"/>
  <c r="BH156" i="6" a="1"/>
  <c r="BH156" i="6" s="1"/>
  <c r="BH155" i="6" a="1"/>
  <c r="BH155" i="6" s="1"/>
  <c r="BH154" i="6" s="1"/>
  <c r="BH153" i="6" s="1"/>
  <c r="BH152" i="6" a="1"/>
  <c r="BH152" i="6" s="1"/>
  <c r="BH151" i="6" s="1"/>
  <c r="BH150" i="6" s="1"/>
  <c r="BH138" i="6" a="1"/>
  <c r="BH138" i="6" s="1"/>
  <c r="BH137" i="6" a="1"/>
  <c r="BH137" i="6" s="1"/>
  <c r="BH148" i="6" a="1"/>
  <c r="BH148" i="6" s="1"/>
  <c r="BH147" i="6" a="1"/>
  <c r="BH147" i="6" s="1"/>
  <c r="BH146" i="6" s="1"/>
  <c r="BH145" i="6" s="1"/>
  <c r="BH132" i="6" a="1"/>
  <c r="BH132" i="6" s="1"/>
  <c r="BH149" i="6" a="1"/>
  <c r="BH149" i="6" s="1"/>
  <c r="BH135" i="6" a="1"/>
  <c r="BH135" i="6" s="1"/>
  <c r="BH144" i="6" a="1"/>
  <c r="BH144" i="6" s="1"/>
  <c r="BH143" i="6" a="1"/>
  <c r="BH143" i="6" s="1"/>
  <c r="BH142" i="6" s="1"/>
  <c r="BH141" i="6" s="1"/>
  <c r="BH136" i="6" a="1"/>
  <c r="BH136" i="6" s="1"/>
  <c r="BH131" i="6" a="1"/>
  <c r="BH131" i="6" s="1"/>
  <c r="BH127" i="6" a="1"/>
  <c r="BH127" i="6" s="1"/>
  <c r="BH128" i="6" a="1"/>
  <c r="BH128" i="6" s="1"/>
  <c r="BH126" i="6" a="1"/>
  <c r="BH126" i="6" s="1"/>
  <c r="BH134" i="6" a="1"/>
  <c r="BH134" i="6" s="1"/>
  <c r="BH139" i="6" a="1"/>
  <c r="BH139" i="6" s="1"/>
  <c r="BH118" i="6" a="1"/>
  <c r="BH118" i="6" s="1"/>
  <c r="BH133" i="6" a="1"/>
  <c r="BH133" i="6" s="1"/>
  <c r="BH130" i="6" a="1"/>
  <c r="BH130" i="6" s="1"/>
  <c r="BH125" i="6" a="1"/>
  <c r="BH125" i="6" s="1"/>
  <c r="BH111" i="6" a="1"/>
  <c r="BH111" i="6" s="1"/>
  <c r="BH110" i="6" a="1"/>
  <c r="BH110" i="6" s="1"/>
  <c r="BH122" i="6" a="1"/>
  <c r="BH122" i="6" s="1"/>
  <c r="BH119" i="6" a="1"/>
  <c r="BH119" i="6" s="1"/>
  <c r="BH106" i="6" a="1"/>
  <c r="BH106" i="6" s="1"/>
  <c r="BH124" i="6" a="1"/>
  <c r="BH124" i="6" s="1"/>
  <c r="BH113" i="6" a="1"/>
  <c r="BH113" i="6" s="1"/>
  <c r="BH114" i="6" a="1"/>
  <c r="BH114" i="6" s="1"/>
  <c r="BH99" i="6" a="1"/>
  <c r="BH99" i="6" s="1"/>
  <c r="BH129" i="6" a="1"/>
  <c r="BH129" i="6" s="1"/>
  <c r="BH121" i="6" a="1"/>
  <c r="BH121" i="6" s="1"/>
  <c r="BH120" i="6" a="1"/>
  <c r="BH120" i="6" s="1"/>
  <c r="BH105" i="6" a="1"/>
  <c r="BH105" i="6" s="1"/>
  <c r="BH100" i="6" a="1"/>
  <c r="BH100" i="6" s="1"/>
  <c r="BH112" i="6" a="1"/>
  <c r="BH112" i="6" s="1"/>
  <c r="BH101" i="6" a="1"/>
  <c r="BH101" i="6" s="1"/>
  <c r="BH102" i="6" a="1"/>
  <c r="BH102" i="6" s="1"/>
  <c r="BH117" i="6" a="1"/>
  <c r="BH117" i="6" s="1"/>
  <c r="BH103" i="6" a="1"/>
  <c r="BH103" i="6" s="1"/>
  <c r="BH104" i="6" a="1"/>
  <c r="BH104" i="6" s="1"/>
  <c r="BH90" i="6" a="1"/>
  <c r="BH90" i="6" s="1"/>
  <c r="BH91" i="6" a="1"/>
  <c r="BH91" i="6" s="1"/>
  <c r="BH96" i="6" a="1"/>
  <c r="BH96" i="6" s="1"/>
  <c r="BH92" i="6" a="1"/>
  <c r="BH92" i="6" s="1"/>
  <c r="BH123" i="6" a="1"/>
  <c r="BH123" i="6" s="1"/>
  <c r="BH93" i="6" a="1"/>
  <c r="BH93" i="6" s="1"/>
  <c r="BH85" i="6" a="1"/>
  <c r="BH85" i="6" s="1"/>
  <c r="BH84" i="6" a="1"/>
  <c r="BH84" i="6" s="1"/>
  <c r="BH95" i="6" a="1"/>
  <c r="BH95" i="6" s="1"/>
  <c r="BH87" i="6" a="1"/>
  <c r="BH87" i="6" s="1"/>
  <c r="BH82" i="6" a="1"/>
  <c r="BH82" i="6" s="1"/>
  <c r="BH98" i="6" a="1"/>
  <c r="BH98" i="6" s="1"/>
  <c r="BH97" i="6" a="1"/>
  <c r="BH97" i="6" s="1"/>
  <c r="BH89" i="6" a="1"/>
  <c r="BH89" i="6" s="1"/>
  <c r="BH115" i="6" a="1"/>
  <c r="BH115" i="6" s="1"/>
  <c r="BH83" i="6" a="1"/>
  <c r="BH83" i="6" s="1"/>
  <c r="BH66" i="6" a="1"/>
  <c r="BH66" i="6" s="1"/>
  <c r="BH80" i="6" a="1"/>
  <c r="BH80" i="6" s="1"/>
  <c r="BH75" i="6" a="1"/>
  <c r="BH75" i="6" s="1"/>
  <c r="BH72" i="6" a="1"/>
  <c r="BH72" i="6" s="1"/>
  <c r="BH67" i="6" a="1"/>
  <c r="BH67" i="6" s="1"/>
  <c r="BH68" i="6" a="1"/>
  <c r="BH68" i="6" s="1"/>
  <c r="BH69" i="6" a="1"/>
  <c r="BH69" i="6" s="1"/>
  <c r="BH86" i="6" a="1"/>
  <c r="BH86" i="6" s="1"/>
  <c r="BH71" i="6" a="1"/>
  <c r="BH71" i="6" s="1"/>
  <c r="BH88" i="6" a="1"/>
  <c r="BH88" i="6" s="1"/>
  <c r="BH94" i="6" a="1"/>
  <c r="BH94" i="6" s="1"/>
  <c r="BH81" i="6" a="1"/>
  <c r="BH81" i="6" s="1"/>
  <c r="BH70" i="6" a="1"/>
  <c r="BH70" i="6" s="1"/>
  <c r="BH107" i="6" a="1"/>
  <c r="BH107" i="6" s="1"/>
  <c r="BH78" i="6" a="1"/>
  <c r="BH78" i="6" s="1"/>
  <c r="BH79" i="6" a="1"/>
  <c r="BH79" i="6" s="1"/>
  <c r="BH116" i="6" a="1"/>
  <c r="BH116" i="6" s="1"/>
  <c r="BH63" i="6" a="1"/>
  <c r="BH63" i="6" s="1"/>
  <c r="BH53" i="6" a="1"/>
  <c r="BH53" i="6" s="1"/>
  <c r="BH73" i="6" a="1"/>
  <c r="BH73" i="6" s="1"/>
  <c r="BH61" i="6" a="1"/>
  <c r="BH61" i="6" s="1"/>
  <c r="BH51" i="6" a="1"/>
  <c r="BH51" i="6" s="1"/>
  <c r="BH62" i="6" a="1"/>
  <c r="BH62" i="6" s="1"/>
  <c r="BH60" i="6" a="1"/>
  <c r="BH60" i="6" s="1"/>
  <c r="BH65" i="6" a="1"/>
  <c r="BH65" i="6" s="1"/>
  <c r="BH59" i="6" a="1"/>
  <c r="BH59" i="6" s="1"/>
  <c r="BH64" i="6" a="1"/>
  <c r="BH64" i="6" s="1"/>
  <c r="BH74" i="6" a="1"/>
  <c r="BH74" i="6" s="1"/>
  <c r="BH48" i="6" a="1"/>
  <c r="BH48" i="6" s="1"/>
  <c r="BH33" i="6" a="1"/>
  <c r="BH33" i="6" s="1"/>
  <c r="BH52" i="6" a="1"/>
  <c r="BH52" i="6" s="1"/>
  <c r="BH49" i="6" a="1"/>
  <c r="BH49" i="6" s="1"/>
  <c r="BH58" i="6" a="1"/>
  <c r="BH58" i="6" s="1"/>
  <c r="BH37" i="6" a="1"/>
  <c r="BH37" i="6" s="1"/>
  <c r="BH32" i="6" a="1"/>
  <c r="BH32" i="6" s="1"/>
  <c r="BH55" i="6" a="1"/>
  <c r="BH55" i="6" s="1"/>
  <c r="BH50" i="6" a="1"/>
  <c r="BH50" i="6" s="1"/>
  <c r="BH31" i="6" a="1"/>
  <c r="BH31" i="6" s="1"/>
  <c r="BH56" i="6" a="1"/>
  <c r="BH56" i="6" s="1"/>
  <c r="BH44" i="6" a="1"/>
  <c r="BH44" i="6" s="1"/>
  <c r="BH57" i="6" a="1"/>
  <c r="BH57" i="6" s="1"/>
  <c r="BH54" i="6" a="1"/>
  <c r="BH54" i="6" s="1"/>
  <c r="BH39" i="6" a="1"/>
  <c r="BH39" i="6" s="1"/>
  <c r="BH43" i="6" a="1"/>
  <c r="BH43" i="6" s="1"/>
  <c r="BH35" i="6" a="1"/>
  <c r="BH35" i="6" s="1"/>
  <c r="BH34" i="6" a="1"/>
  <c r="BH34" i="6" s="1"/>
  <c r="BH29" i="6" a="1"/>
  <c r="BH29" i="6" s="1"/>
  <c r="BH23" i="6" a="1"/>
  <c r="BH23" i="6" s="1"/>
  <c r="BH22" i="6" s="1"/>
  <c r="BH42" i="6" a="1"/>
  <c r="BH42" i="6" s="1"/>
  <c r="BH30" i="6" a="1"/>
  <c r="BH30" i="6" s="1"/>
  <c r="BH15" i="6" a="1"/>
  <c r="BH15" i="6" s="1"/>
  <c r="BH16" i="6" a="1"/>
  <c r="BH16" i="6" s="1"/>
  <c r="BH17" i="6" a="1"/>
  <c r="BH17" i="6" s="1"/>
  <c r="BH25" i="6" a="1"/>
  <c r="BH25" i="6" s="1"/>
  <c r="BH24" i="6" s="1"/>
  <c r="BH28" i="6" a="1"/>
  <c r="BH28" i="6" s="1"/>
  <c r="BH27" i="6" s="1"/>
  <c r="AZ15" i="6" a="1"/>
  <c r="AZ15" i="6" s="1"/>
  <c r="AZ14" i="6" s="1"/>
  <c r="AZ13" i="6" s="1"/>
  <c r="AZ12" i="6" s="1"/>
  <c r="V16" i="6" a="1"/>
  <c r="V16" i="6" s="1"/>
  <c r="AN16" i="6" a="1"/>
  <c r="AN16" i="6" s="1"/>
  <c r="AN14" i="6" s="1"/>
  <c r="AN13" i="6" s="1"/>
  <c r="AN12" i="6" s="1"/>
  <c r="AT17" i="6" a="1"/>
  <c r="AT17" i="6" s="1"/>
  <c r="AI25" i="6" a="1"/>
  <c r="AI25" i="6" s="1"/>
  <c r="AI24" i="6" s="1"/>
  <c r="Y155" i="6" a="1"/>
  <c r="Y155" i="6" s="1"/>
  <c r="Y154" i="6" s="1"/>
  <c r="Y153" i="6" s="1"/>
  <c r="Y156" i="6" a="1"/>
  <c r="Y156" i="6" s="1"/>
  <c r="Y144" i="6" a="1"/>
  <c r="Y144" i="6" s="1"/>
  <c r="Y138" i="6" a="1"/>
  <c r="Y138" i="6" s="1"/>
  <c r="Y152" i="6" a="1"/>
  <c r="Y152" i="6" s="1"/>
  <c r="Y151" i="6" s="1"/>
  <c r="Y150" i="6" s="1"/>
  <c r="Y147" i="6" a="1"/>
  <c r="Y147" i="6" s="1"/>
  <c r="Y146" i="6" s="1"/>
  <c r="Y145" i="6" s="1"/>
  <c r="Y137" i="6" a="1"/>
  <c r="Y137" i="6" s="1"/>
  <c r="Y134" i="6" a="1"/>
  <c r="Y134" i="6" s="1"/>
  <c r="Y148" i="6" a="1"/>
  <c r="Y148" i="6" s="1"/>
  <c r="Y139" i="6" a="1"/>
  <c r="Y139" i="6" s="1"/>
  <c r="Y135" i="6" a="1"/>
  <c r="Y135" i="6" s="1"/>
  <c r="Y133" i="6" a="1"/>
  <c r="Y133" i="6" s="1"/>
  <c r="Y130" i="6" a="1"/>
  <c r="Y130" i="6" s="1"/>
  <c r="Y149" i="6" a="1"/>
  <c r="Y149" i="6" s="1"/>
  <c r="Y131" i="6" a="1"/>
  <c r="Y131" i="6" s="1"/>
  <c r="Y129" i="6" a="1"/>
  <c r="Y129" i="6" s="1"/>
  <c r="Y120" i="6" a="1"/>
  <c r="Y120" i="6" s="1"/>
  <c r="Y143" i="6" a="1"/>
  <c r="Y143" i="6" s="1"/>
  <c r="Y142" i="6" s="1"/>
  <c r="Y141" i="6" s="1"/>
  <c r="Y136" i="6" a="1"/>
  <c r="Y136" i="6" s="1"/>
  <c r="Y121" i="6" a="1"/>
  <c r="Y121" i="6" s="1"/>
  <c r="Y127" i="6" a="1"/>
  <c r="Y127" i="6" s="1"/>
  <c r="Y122" i="6" a="1"/>
  <c r="Y122" i="6" s="1"/>
  <c r="Y125" i="6" a="1"/>
  <c r="Y125" i="6" s="1"/>
  <c r="Y119" i="6" a="1"/>
  <c r="Y119" i="6" s="1"/>
  <c r="Y128" i="6" a="1"/>
  <c r="Y128" i="6" s="1"/>
  <c r="Y118" i="6" a="1"/>
  <c r="Y118" i="6" s="1"/>
  <c r="Y123" i="6" a="1"/>
  <c r="Y123" i="6" s="1"/>
  <c r="Y117" i="6" a="1"/>
  <c r="Y117" i="6" s="1"/>
  <c r="Y116" i="6" a="1"/>
  <c r="Y116" i="6" s="1"/>
  <c r="Y126" i="6" a="1"/>
  <c r="Y126" i="6" s="1"/>
  <c r="Y101" i="6" a="1"/>
  <c r="Y101" i="6" s="1"/>
  <c r="Y124" i="6" a="1"/>
  <c r="Y124" i="6" s="1"/>
  <c r="Y115" i="6" a="1"/>
  <c r="Y115" i="6" s="1"/>
  <c r="Y112" i="6" a="1"/>
  <c r="Y112" i="6" s="1"/>
  <c r="Y102" i="6" a="1"/>
  <c r="Y102" i="6" s="1"/>
  <c r="Y103" i="6" a="1"/>
  <c r="Y103" i="6" s="1"/>
  <c r="Y104" i="6" a="1"/>
  <c r="Y104" i="6" s="1"/>
  <c r="Y132" i="6" a="1"/>
  <c r="Y132" i="6" s="1"/>
  <c r="Y114" i="6" a="1"/>
  <c r="Y114" i="6" s="1"/>
  <c r="Y110" i="6" a="1"/>
  <c r="Y110" i="6" s="1"/>
  <c r="Y92" i="6" a="1"/>
  <c r="Y92" i="6" s="1"/>
  <c r="Y100" i="6" a="1"/>
  <c r="Y100" i="6" s="1"/>
  <c r="Y97" i="6" a="1"/>
  <c r="Y97" i="6" s="1"/>
  <c r="Y96" i="6" a="1"/>
  <c r="Y96" i="6" s="1"/>
  <c r="Y93" i="6" a="1"/>
  <c r="Y93" i="6" s="1"/>
  <c r="Y94" i="6" a="1"/>
  <c r="Y94" i="6" s="1"/>
  <c r="Y113" i="6" a="1"/>
  <c r="Y113" i="6" s="1"/>
  <c r="Y107" i="6" a="1"/>
  <c r="Y107" i="6" s="1"/>
  <c r="Y99" i="6" a="1"/>
  <c r="Y99" i="6" s="1"/>
  <c r="Y90" i="6" a="1"/>
  <c r="Y90" i="6" s="1"/>
  <c r="Y87" i="6" a="1"/>
  <c r="Y87" i="6" s="1"/>
  <c r="Y82" i="6" a="1"/>
  <c r="Y82" i="6" s="1"/>
  <c r="Y95" i="6" a="1"/>
  <c r="Y95" i="6" s="1"/>
  <c r="Y111" i="6" a="1"/>
  <c r="Y111" i="6" s="1"/>
  <c r="Y80" i="6" a="1"/>
  <c r="Y80" i="6" s="1"/>
  <c r="Y85" i="6" a="1"/>
  <c r="Y85" i="6" s="1"/>
  <c r="Y98" i="6" a="1"/>
  <c r="Y98" i="6" s="1"/>
  <c r="Y68" i="6" a="1"/>
  <c r="Y68" i="6" s="1"/>
  <c r="Y69" i="6" a="1"/>
  <c r="Y69" i="6" s="1"/>
  <c r="Y91" i="6" a="1"/>
  <c r="Y91" i="6" s="1"/>
  <c r="Y78" i="6" a="1"/>
  <c r="Y78" i="6" s="1"/>
  <c r="Y74" i="6" a="1"/>
  <c r="Y74" i="6" s="1"/>
  <c r="Y70" i="6" a="1"/>
  <c r="Y70" i="6" s="1"/>
  <c r="Y86" i="6" a="1"/>
  <c r="Y86" i="6" s="1"/>
  <c r="Y79" i="6" a="1"/>
  <c r="Y79" i="6" s="1"/>
  <c r="Y73" i="6" a="1"/>
  <c r="Y73" i="6" s="1"/>
  <c r="Y71" i="6" a="1"/>
  <c r="Y71" i="6" s="1"/>
  <c r="Y89" i="6" a="1"/>
  <c r="Y89" i="6" s="1"/>
  <c r="Y72" i="6" a="1"/>
  <c r="Y72" i="6" s="1"/>
  <c r="Y106" i="6" a="1"/>
  <c r="Y106" i="6" s="1"/>
  <c r="Y83" i="6" a="1"/>
  <c r="Y83" i="6" s="1"/>
  <c r="Y66" i="6" a="1"/>
  <c r="Y66" i="6" s="1"/>
  <c r="Y62" i="6" a="1"/>
  <c r="Y62" i="6" s="1"/>
  <c r="Y81" i="6" a="1"/>
  <c r="Y81" i="6" s="1"/>
  <c r="Y105" i="6" a="1"/>
  <c r="Y105" i="6" s="1"/>
  <c r="Y88" i="6" a="1"/>
  <c r="Y88" i="6" s="1"/>
  <c r="Y84" i="6" a="1"/>
  <c r="Y84" i="6" s="1"/>
  <c r="Y65" i="6" a="1"/>
  <c r="Y65" i="6" s="1"/>
  <c r="Y64" i="6" a="1"/>
  <c r="Y64" i="6" s="1"/>
  <c r="Y63" i="6" a="1"/>
  <c r="Y63" i="6" s="1"/>
  <c r="Y51" i="6" a="1"/>
  <c r="Y51" i="6" s="1"/>
  <c r="Y49" i="6" a="1"/>
  <c r="Y49" i="6" s="1"/>
  <c r="Y60" i="6" a="1"/>
  <c r="Y60" i="6" s="1"/>
  <c r="Y67" i="6" a="1"/>
  <c r="Y67" i="6" s="1"/>
  <c r="Y61" i="6" a="1"/>
  <c r="Y61" i="6" s="1"/>
  <c r="Y56" i="6" a="1"/>
  <c r="Y56" i="6" s="1"/>
  <c r="Y59" i="6" a="1"/>
  <c r="Y59" i="6" s="1"/>
  <c r="Y37" i="6" a="1"/>
  <c r="Y37" i="6" s="1"/>
  <c r="Y52" i="6" a="1"/>
  <c r="Y52" i="6" s="1"/>
  <c r="Y36" i="6" a="1"/>
  <c r="Y36" i="6" s="1"/>
  <c r="Y58" i="6" a="1"/>
  <c r="Y58" i="6" s="1"/>
  <c r="Y50" i="6" a="1"/>
  <c r="Y50" i="6" s="1"/>
  <c r="Y55" i="6" a="1"/>
  <c r="Y55" i="6" s="1"/>
  <c r="Y44" i="6" a="1"/>
  <c r="Y44" i="6" s="1"/>
  <c r="Y39" i="6" a="1"/>
  <c r="Y39" i="6" s="1"/>
  <c r="Y43" i="6" a="1"/>
  <c r="Y43" i="6" s="1"/>
  <c r="Y75" i="6" a="1"/>
  <c r="Y75" i="6" s="1"/>
  <c r="Y38" i="6" a="1"/>
  <c r="Y38" i="6" s="1"/>
  <c r="Y57" i="6" a="1"/>
  <c r="Y57" i="6" s="1"/>
  <c r="Y42" i="6" a="1"/>
  <c r="Y42" i="6" s="1"/>
  <c r="Y41" i="6" s="1"/>
  <c r="Y40" i="6" s="1"/>
  <c r="Y53" i="6" a="1"/>
  <c r="Y53" i="6" s="1"/>
  <c r="Y29" i="6" a="1"/>
  <c r="Y29" i="6" s="1"/>
  <c r="Y23" i="6" a="1"/>
  <c r="Y23" i="6" s="1"/>
  <c r="Y22" i="6" s="1"/>
  <c r="Y48" i="6" a="1"/>
  <c r="Y48" i="6" s="1"/>
  <c r="Y47" i="6" s="1"/>
  <c r="Y46" i="6" s="1"/>
  <c r="Y30" i="6" a="1"/>
  <c r="Y30" i="6" s="1"/>
  <c r="Y15" i="6" a="1"/>
  <c r="Y15" i="6" s="1"/>
  <c r="Y14" i="6" s="1"/>
  <c r="Y13" i="6" s="1"/>
  <c r="Y12" i="6" s="1"/>
  <c r="Y54" i="6" a="1"/>
  <c r="Y54" i="6" s="1"/>
  <c r="Y16" i="6" a="1"/>
  <c r="Y16" i="6" s="1"/>
  <c r="Y35" i="6" a="1"/>
  <c r="Y35" i="6" s="1"/>
  <c r="Y17" i="6" a="1"/>
  <c r="Y17" i="6" s="1"/>
  <c r="Y34" i="6" a="1"/>
  <c r="Y34" i="6" s="1"/>
  <c r="Y31" i="6" a="1"/>
  <c r="Y31" i="6" s="1"/>
  <c r="Y25" i="6" a="1"/>
  <c r="Y25" i="6" s="1"/>
  <c r="Y24" i="6" s="1"/>
  <c r="Y32" i="6" a="1"/>
  <c r="Y32" i="6" s="1"/>
  <c r="Y28" i="6" a="1"/>
  <c r="Y28" i="6" s="1"/>
  <c r="AK155" i="6" a="1"/>
  <c r="AK155" i="6" s="1"/>
  <c r="AK154" i="6" s="1"/>
  <c r="AK153" i="6" s="1"/>
  <c r="AK152" i="6" a="1"/>
  <c r="AK152" i="6" s="1"/>
  <c r="AK151" i="6" s="1"/>
  <c r="AK150" i="6" s="1"/>
  <c r="AK148" i="6" a="1"/>
  <c r="AK148" i="6" s="1"/>
  <c r="AK149" i="6" a="1"/>
  <c r="AK149" i="6" s="1"/>
  <c r="AK139" i="6" a="1"/>
  <c r="AK139" i="6" s="1"/>
  <c r="AK143" i="6" a="1"/>
  <c r="AK143" i="6" s="1"/>
  <c r="AK136" i="6" a="1"/>
  <c r="AK136" i="6" s="1"/>
  <c r="AK138" i="6" a="1"/>
  <c r="AK138" i="6" s="1"/>
  <c r="AK134" i="6" a="1"/>
  <c r="AK134" i="6" s="1"/>
  <c r="AK144" i="6" a="1"/>
  <c r="AK144" i="6" s="1"/>
  <c r="AK156" i="6" a="1"/>
  <c r="AK156" i="6" s="1"/>
  <c r="AK137" i="6" a="1"/>
  <c r="AK137" i="6" s="1"/>
  <c r="AK147" i="6" a="1"/>
  <c r="AK147" i="6" s="1"/>
  <c r="AK146" i="6" s="1"/>
  <c r="AK145" i="6" s="1"/>
  <c r="AK129" i="6" a="1"/>
  <c r="AK129" i="6" s="1"/>
  <c r="AK133" i="6" a="1"/>
  <c r="AK133" i="6" s="1"/>
  <c r="AK126" i="6" a="1"/>
  <c r="AK126" i="6" s="1"/>
  <c r="AK128" i="6" a="1"/>
  <c r="AK128" i="6" s="1"/>
  <c r="AK120" i="6" a="1"/>
  <c r="AK120" i="6" s="1"/>
  <c r="AK121" i="6" a="1"/>
  <c r="AK121" i="6" s="1"/>
  <c r="AK131" i="6" a="1"/>
  <c r="AK131" i="6" s="1"/>
  <c r="AK130" i="6" a="1"/>
  <c r="AK130" i="6" s="1"/>
  <c r="AK122" i="6" a="1"/>
  <c r="AK122" i="6" s="1"/>
  <c r="AK125" i="6" a="1"/>
  <c r="AK125" i="6" s="1"/>
  <c r="AK132" i="6" a="1"/>
  <c r="AK132" i="6" s="1"/>
  <c r="AK118" i="6" a="1"/>
  <c r="AK118" i="6" s="1"/>
  <c r="AK123" i="6" a="1"/>
  <c r="AK123" i="6" s="1"/>
  <c r="AK119" i="6" a="1"/>
  <c r="AK119" i="6" s="1"/>
  <c r="AK117" i="6" a="1"/>
  <c r="AK117" i="6" s="1"/>
  <c r="AK116" i="6" a="1"/>
  <c r="AK116" i="6" s="1"/>
  <c r="AK110" i="6" a="1"/>
  <c r="AK110" i="6" s="1"/>
  <c r="AK105" i="6" a="1"/>
  <c r="AK105" i="6" s="1"/>
  <c r="AK101" i="6" a="1"/>
  <c r="AK101" i="6" s="1"/>
  <c r="AK135" i="6" a="1"/>
  <c r="AK135" i="6" s="1"/>
  <c r="AK112" i="6" a="1"/>
  <c r="AK112" i="6" s="1"/>
  <c r="AK102" i="6" a="1"/>
  <c r="AK102" i="6" s="1"/>
  <c r="AK103" i="6" a="1"/>
  <c r="AK103" i="6" s="1"/>
  <c r="AK115" i="6" a="1"/>
  <c r="AK115" i="6" s="1"/>
  <c r="AK111" i="6" a="1"/>
  <c r="AK111" i="6" s="1"/>
  <c r="AK104" i="6" a="1"/>
  <c r="AK104" i="6" s="1"/>
  <c r="AK107" i="6" a="1"/>
  <c r="AK107" i="6" s="1"/>
  <c r="AK127" i="6" a="1"/>
  <c r="AK127" i="6" s="1"/>
  <c r="AK92" i="6" a="1"/>
  <c r="AK92" i="6" s="1"/>
  <c r="AK93" i="6" a="1"/>
  <c r="AK93" i="6" s="1"/>
  <c r="AK113" i="6" a="1"/>
  <c r="AK113" i="6" s="1"/>
  <c r="AK94" i="6" a="1"/>
  <c r="AK94" i="6" s="1"/>
  <c r="AK124" i="6" a="1"/>
  <c r="AK124" i="6" s="1"/>
  <c r="AK82" i="6" a="1"/>
  <c r="AK82" i="6" s="1"/>
  <c r="AK99" i="6" a="1"/>
  <c r="AK99" i="6" s="1"/>
  <c r="AK86" i="6" a="1"/>
  <c r="AK86" i="6" s="1"/>
  <c r="AK114" i="6" a="1"/>
  <c r="AK114" i="6" s="1"/>
  <c r="AK100" i="6" a="1"/>
  <c r="AK100" i="6" s="1"/>
  <c r="AK88" i="6" a="1"/>
  <c r="AK88" i="6" s="1"/>
  <c r="AK80" i="6" a="1"/>
  <c r="AK80" i="6" s="1"/>
  <c r="AK95" i="6" a="1"/>
  <c r="AK95" i="6" s="1"/>
  <c r="AK87" i="6" a="1"/>
  <c r="AK87" i="6" s="1"/>
  <c r="AK79" i="6" a="1"/>
  <c r="AK79" i="6" s="1"/>
  <c r="AK84" i="6" a="1"/>
  <c r="AK84" i="6" s="1"/>
  <c r="AK98" i="6" a="1"/>
  <c r="AK98" i="6" s="1"/>
  <c r="AK81" i="6" a="1"/>
  <c r="AK81" i="6" s="1"/>
  <c r="AK97" i="6" a="1"/>
  <c r="AK97" i="6" s="1"/>
  <c r="AK106" i="6" a="1"/>
  <c r="AK106" i="6" s="1"/>
  <c r="AK68" i="6" a="1"/>
  <c r="AK68" i="6" s="1"/>
  <c r="AK75" i="6" a="1"/>
  <c r="AK75" i="6" s="1"/>
  <c r="AK69" i="6" a="1"/>
  <c r="AK69" i="6" s="1"/>
  <c r="AK70" i="6" a="1"/>
  <c r="AK70" i="6" s="1"/>
  <c r="AK71" i="6" a="1"/>
  <c r="AK71" i="6" s="1"/>
  <c r="AK85" i="6" a="1"/>
  <c r="AK85" i="6" s="1"/>
  <c r="AK89" i="6" a="1"/>
  <c r="AK89" i="6" s="1"/>
  <c r="AK73" i="6" a="1"/>
  <c r="AK73" i="6" s="1"/>
  <c r="AK83" i="6" a="1"/>
  <c r="AK83" i="6" s="1"/>
  <c r="AK91" i="6" a="1"/>
  <c r="AK91" i="6" s="1"/>
  <c r="AK72" i="6" a="1"/>
  <c r="AK72" i="6" s="1"/>
  <c r="AK96" i="6" a="1"/>
  <c r="AK96" i="6" s="1"/>
  <c r="AK74" i="6" a="1"/>
  <c r="AK74" i="6" s="1"/>
  <c r="AK63" i="6" a="1"/>
  <c r="AK63" i="6" s="1"/>
  <c r="AK62" i="6" a="1"/>
  <c r="AK62" i="6" s="1"/>
  <c r="AK78" i="6" a="1"/>
  <c r="AK78" i="6" s="1"/>
  <c r="AK90" i="6" a="1"/>
  <c r="AK90" i="6" s="1"/>
  <c r="AK65" i="6" a="1"/>
  <c r="AK65" i="6" s="1"/>
  <c r="AK61" i="6" a="1"/>
  <c r="AK61" i="6" s="1"/>
  <c r="AK51" i="6" a="1"/>
  <c r="AK51" i="6" s="1"/>
  <c r="AK49" i="6" a="1"/>
  <c r="AK49" i="6" s="1"/>
  <c r="AK60" i="6" a="1"/>
  <c r="AK60" i="6" s="1"/>
  <c r="AK56" i="6" a="1"/>
  <c r="AK56" i="6" s="1"/>
  <c r="AK67" i="6" a="1"/>
  <c r="AK67" i="6" s="1"/>
  <c r="AK66" i="6" a="1"/>
  <c r="AK66" i="6" s="1"/>
  <c r="AK37" i="6" a="1"/>
  <c r="AK37" i="6" s="1"/>
  <c r="AK32" i="6" a="1"/>
  <c r="AK32" i="6" s="1"/>
  <c r="AK64" i="6" a="1"/>
  <c r="AK64" i="6" s="1"/>
  <c r="AK55" i="6" a="1"/>
  <c r="AK55" i="6" s="1"/>
  <c r="AK36" i="6" a="1"/>
  <c r="AK36" i="6" s="1"/>
  <c r="AK44" i="6" a="1"/>
  <c r="AK44" i="6" s="1"/>
  <c r="AK53" i="6" a="1"/>
  <c r="AK53" i="6" s="1"/>
  <c r="AK39" i="6" a="1"/>
  <c r="AK39" i="6" s="1"/>
  <c r="AK43" i="6" a="1"/>
  <c r="AK43" i="6" s="1"/>
  <c r="AK50" i="6" a="1"/>
  <c r="AK50" i="6" s="1"/>
  <c r="AK38" i="6" a="1"/>
  <c r="AK38" i="6" s="1"/>
  <c r="AK59" i="6" a="1"/>
  <c r="AK59" i="6" s="1"/>
  <c r="AK52" i="6" a="1"/>
  <c r="AK52" i="6" s="1"/>
  <c r="AK42" i="6" a="1"/>
  <c r="AK42" i="6" s="1"/>
  <c r="AK58" i="6" a="1"/>
  <c r="AK58" i="6" s="1"/>
  <c r="AK54" i="6" a="1"/>
  <c r="AK54" i="6" s="1"/>
  <c r="AK28" i="6" a="1"/>
  <c r="AK28" i="6" s="1"/>
  <c r="AK31" i="6" a="1"/>
  <c r="AK31" i="6" s="1"/>
  <c r="AK23" i="6" a="1"/>
  <c r="AK23" i="6" s="1"/>
  <c r="AK22" i="6" s="1"/>
  <c r="AK15" i="6" a="1"/>
  <c r="AK15" i="6" s="1"/>
  <c r="AK29" i="6" a="1"/>
  <c r="AK29" i="6" s="1"/>
  <c r="AK16" i="6" a="1"/>
  <c r="AK16" i="6" s="1"/>
  <c r="AK17" i="6" a="1"/>
  <c r="AK17" i="6" s="1"/>
  <c r="AK30" i="6" a="1"/>
  <c r="AK30" i="6" s="1"/>
  <c r="AK25" i="6" a="1"/>
  <c r="AK25" i="6" s="1"/>
  <c r="AK24" i="6" s="1"/>
  <c r="AK35" i="6" a="1"/>
  <c r="AK35" i="6" s="1"/>
  <c r="AK34" i="6" a="1"/>
  <c r="AK34" i="6" s="1"/>
  <c r="AK33" i="6" a="1"/>
  <c r="AK33" i="6" s="1"/>
  <c r="AK57" i="6" a="1"/>
  <c r="AK57" i="6" s="1"/>
  <c r="AW155" i="6" a="1"/>
  <c r="AW155" i="6" s="1"/>
  <c r="AW156" i="6" a="1"/>
  <c r="AW156" i="6" s="1"/>
  <c r="AW147" i="6" a="1"/>
  <c r="AW147" i="6" s="1"/>
  <c r="AW149" i="6" a="1"/>
  <c r="AW149" i="6" s="1"/>
  <c r="AW144" i="6" a="1"/>
  <c r="AW144" i="6" s="1"/>
  <c r="AW148" i="6" a="1"/>
  <c r="AW148" i="6" s="1"/>
  <c r="AW152" i="6" a="1"/>
  <c r="AW152" i="6" s="1"/>
  <c r="AW151" i="6" s="1"/>
  <c r="AW150" i="6" s="1"/>
  <c r="AW134" i="6" a="1"/>
  <c r="AW134" i="6" s="1"/>
  <c r="AW143" i="6" a="1"/>
  <c r="AW143" i="6" s="1"/>
  <c r="AW133" i="6" a="1"/>
  <c r="AW133" i="6" s="1"/>
  <c r="AW138" i="6" a="1"/>
  <c r="AW138" i="6" s="1"/>
  <c r="AW135" i="6" a="1"/>
  <c r="AW135" i="6" s="1"/>
  <c r="AW136" i="6" a="1"/>
  <c r="AW136" i="6" s="1"/>
  <c r="AW128" i="6" a="1"/>
  <c r="AW128" i="6" s="1"/>
  <c r="AW132" i="6" a="1"/>
  <c r="AW132" i="6" s="1"/>
  <c r="AW131" i="6" a="1"/>
  <c r="AW131" i="6" s="1"/>
  <c r="AW137" i="6" a="1"/>
  <c r="AW137" i="6" s="1"/>
  <c r="AW120" i="6" a="1"/>
  <c r="AW120" i="6" s="1"/>
  <c r="AW129" i="6" a="1"/>
  <c r="AW129" i="6" s="1"/>
  <c r="AW121" i="6" a="1"/>
  <c r="AW121" i="6" s="1"/>
  <c r="AW127" i="6" a="1"/>
  <c r="AW127" i="6" s="1"/>
  <c r="AW126" i="6" a="1"/>
  <c r="AW126" i="6" s="1"/>
  <c r="AW122" i="6" a="1"/>
  <c r="AW122" i="6" s="1"/>
  <c r="AW130" i="6" a="1"/>
  <c r="AW130" i="6" s="1"/>
  <c r="AW125" i="6" a="1"/>
  <c r="AW125" i="6" s="1"/>
  <c r="AW105" i="6" a="1"/>
  <c r="AW105" i="6" s="1"/>
  <c r="AW118" i="6" a="1"/>
  <c r="AW118" i="6" s="1"/>
  <c r="AW123" i="6" a="1"/>
  <c r="AW123" i="6" s="1"/>
  <c r="AW117" i="6" a="1"/>
  <c r="AW117" i="6" s="1"/>
  <c r="AW116" i="6" a="1"/>
  <c r="AW116" i="6" s="1"/>
  <c r="AW107" i="6" a="1"/>
  <c r="AW107" i="6" s="1"/>
  <c r="AW101" i="6" a="1"/>
  <c r="AW101" i="6" s="1"/>
  <c r="AW112" i="6" a="1"/>
  <c r="AW112" i="6" s="1"/>
  <c r="AW111" i="6" a="1"/>
  <c r="AW111" i="6" s="1"/>
  <c r="AW106" i="6" a="1"/>
  <c r="AW106" i="6" s="1"/>
  <c r="AW102" i="6" a="1"/>
  <c r="AW102" i="6" s="1"/>
  <c r="AW103" i="6" a="1"/>
  <c r="AW103" i="6" s="1"/>
  <c r="AW124" i="6" a="1"/>
  <c r="AW124" i="6" s="1"/>
  <c r="AW104" i="6" a="1"/>
  <c r="AW104" i="6" s="1"/>
  <c r="AW92" i="6" a="1"/>
  <c r="AW92" i="6" s="1"/>
  <c r="AW99" i="6" a="1"/>
  <c r="AW99" i="6" s="1"/>
  <c r="AW95" i="6" a="1"/>
  <c r="AW95" i="6" s="1"/>
  <c r="AW93" i="6" a="1"/>
  <c r="AW93" i="6" s="1"/>
  <c r="AW114" i="6" a="1"/>
  <c r="AW114" i="6" s="1"/>
  <c r="AW115" i="6" a="1"/>
  <c r="AW115" i="6" s="1"/>
  <c r="AW90" i="6" a="1"/>
  <c r="AW90" i="6" s="1"/>
  <c r="AW82" i="6" a="1"/>
  <c r="AW82" i="6" s="1"/>
  <c r="AW80" i="6" a="1"/>
  <c r="AW80" i="6" s="1"/>
  <c r="AW139" i="6" a="1"/>
  <c r="AW139" i="6" s="1"/>
  <c r="AW83" i="6" a="1"/>
  <c r="AW83" i="6" s="1"/>
  <c r="AW79" i="6" a="1"/>
  <c r="AW79" i="6" s="1"/>
  <c r="AW113" i="6" a="1"/>
  <c r="AW113" i="6" s="1"/>
  <c r="AW94" i="6" a="1"/>
  <c r="AW94" i="6" s="1"/>
  <c r="AW68" i="6" a="1"/>
  <c r="AW68" i="6" s="1"/>
  <c r="AW110" i="6" a="1"/>
  <c r="AW110" i="6" s="1"/>
  <c r="AW69" i="6" a="1"/>
  <c r="AW69" i="6" s="1"/>
  <c r="AW87" i="6" a="1"/>
  <c r="AW87" i="6" s="1"/>
  <c r="AW78" i="6" a="1"/>
  <c r="AW78" i="6" s="1"/>
  <c r="AW70" i="6" a="1"/>
  <c r="AW70" i="6" s="1"/>
  <c r="AW88" i="6" a="1"/>
  <c r="AW88" i="6" s="1"/>
  <c r="AW86" i="6" a="1"/>
  <c r="AW86" i="6" s="1"/>
  <c r="AW85" i="6" a="1"/>
  <c r="AW85" i="6" s="1"/>
  <c r="AW71" i="6" a="1"/>
  <c r="AW71" i="6" s="1"/>
  <c r="AW119" i="6" a="1"/>
  <c r="AW119" i="6" s="1"/>
  <c r="AW100" i="6" a="1"/>
  <c r="AW100" i="6" s="1"/>
  <c r="AW96" i="6" a="1"/>
  <c r="AW96" i="6" s="1"/>
  <c r="AW84" i="6" a="1"/>
  <c r="AW84" i="6" s="1"/>
  <c r="AW75" i="6" a="1"/>
  <c r="AW75" i="6" s="1"/>
  <c r="AW73" i="6" a="1"/>
  <c r="AW73" i="6" s="1"/>
  <c r="AW91" i="6" a="1"/>
  <c r="AW91" i="6" s="1"/>
  <c r="AW89" i="6" a="1"/>
  <c r="AW89" i="6" s="1"/>
  <c r="AW67" i="6" a="1"/>
  <c r="AW67" i="6" s="1"/>
  <c r="AW66" i="6" a="1"/>
  <c r="AW66" i="6" s="1"/>
  <c r="AW64" i="6" a="1"/>
  <c r="AW64" i="6" s="1"/>
  <c r="AW98" i="6" a="1"/>
  <c r="AW98" i="6" s="1"/>
  <c r="AW74" i="6" a="1"/>
  <c r="AW74" i="6" s="1"/>
  <c r="AW63" i="6" a="1"/>
  <c r="AW63" i="6" s="1"/>
  <c r="AW81" i="6" a="1"/>
  <c r="AW81" i="6" s="1"/>
  <c r="AW72" i="6" a="1"/>
  <c r="AW72" i="6" s="1"/>
  <c r="AW59" i="6" a="1"/>
  <c r="AW59" i="6" s="1"/>
  <c r="AW51" i="6" a="1"/>
  <c r="AW51" i="6" s="1"/>
  <c r="AW97" i="6" a="1"/>
  <c r="AW97" i="6" s="1"/>
  <c r="AW49" i="6" a="1"/>
  <c r="AW49" i="6" s="1"/>
  <c r="AW65" i="6" a="1"/>
  <c r="AW65" i="6" s="1"/>
  <c r="AW61" i="6" a="1"/>
  <c r="AW61" i="6" s="1"/>
  <c r="AW62" i="6" a="1"/>
  <c r="AW62" i="6" s="1"/>
  <c r="AW56" i="6" a="1"/>
  <c r="AW56" i="6" s="1"/>
  <c r="AW57" i="6" a="1"/>
  <c r="AW57" i="6" s="1"/>
  <c r="AW60" i="6" a="1"/>
  <c r="AW60" i="6" s="1"/>
  <c r="AW58" i="6" a="1"/>
  <c r="AW58" i="6" s="1"/>
  <c r="AW37" i="6" a="1"/>
  <c r="AW37" i="6" s="1"/>
  <c r="AW32" i="6" a="1"/>
  <c r="AW32" i="6" s="1"/>
  <c r="AW55" i="6" a="1"/>
  <c r="AW55" i="6" s="1"/>
  <c r="AW53" i="6" a="1"/>
  <c r="AW53" i="6" s="1"/>
  <c r="AW36" i="6" a="1"/>
  <c r="AW36" i="6" s="1"/>
  <c r="AW52" i="6" a="1"/>
  <c r="AW52" i="6" s="1"/>
  <c r="AW44" i="6" a="1"/>
  <c r="AW44" i="6" s="1"/>
  <c r="AW39" i="6" a="1"/>
  <c r="AW39" i="6" s="1"/>
  <c r="AW43" i="6" a="1"/>
  <c r="AW43" i="6" s="1"/>
  <c r="AW54" i="6" a="1"/>
  <c r="AW54" i="6" s="1"/>
  <c r="AW38" i="6" a="1"/>
  <c r="AW38" i="6" s="1"/>
  <c r="AW42" i="6" a="1"/>
  <c r="AW42" i="6" s="1"/>
  <c r="AW41" i="6" s="1"/>
  <c r="AW40" i="6" s="1"/>
  <c r="AW50" i="6" a="1"/>
  <c r="AW50" i="6" s="1"/>
  <c r="AW35" i="6" a="1"/>
  <c r="AW35" i="6" s="1"/>
  <c r="AW23" i="6" a="1"/>
  <c r="AW23" i="6" s="1"/>
  <c r="AW22" i="6" s="1"/>
  <c r="AW15" i="6" a="1"/>
  <c r="AW15" i="6" s="1"/>
  <c r="AW28" i="6" a="1"/>
  <c r="AW28" i="6" s="1"/>
  <c r="AW16" i="6" a="1"/>
  <c r="AW16" i="6" s="1"/>
  <c r="AW17" i="6" a="1"/>
  <c r="AW17" i="6" s="1"/>
  <c r="AW48" i="6" a="1"/>
  <c r="AW48" i="6" s="1"/>
  <c r="AW33" i="6" a="1"/>
  <c r="AW33" i="6" s="1"/>
  <c r="AW31" i="6" a="1"/>
  <c r="AW31" i="6" s="1"/>
  <c r="AW25" i="6" a="1"/>
  <c r="AW25" i="6" s="1"/>
  <c r="AW24" i="6" s="1"/>
  <c r="AW29" i="6" a="1"/>
  <c r="AW29" i="6" s="1"/>
  <c r="W15" i="6" a="1"/>
  <c r="W15" i="6" s="1"/>
  <c r="AU17" i="6" a="1"/>
  <c r="AU17" i="6" s="1"/>
  <c r="AV21" i="6" a="1"/>
  <c r="AV21" i="6" s="1"/>
  <c r="AV20" i="6" s="1"/>
  <c r="AV19" i="6" s="1"/>
  <c r="AO25" i="6" a="1"/>
  <c r="AO25" i="6" s="1"/>
  <c r="AO24" i="6" s="1"/>
  <c r="AT31" i="6" a="1"/>
  <c r="AT31" i="6" s="1"/>
  <c r="AU49" i="6" a="1"/>
  <c r="AU49" i="6" s="1"/>
  <c r="Z155" i="6" a="1"/>
  <c r="Z155" i="6" s="1"/>
  <c r="Z147" i="6" a="1"/>
  <c r="Z147" i="6" s="1"/>
  <c r="Z152" i="6" a="1"/>
  <c r="Z152" i="6" s="1"/>
  <c r="Z151" i="6" s="1"/>
  <c r="Z150" i="6" s="1"/>
  <c r="Z156" i="6" a="1"/>
  <c r="Z156" i="6" s="1"/>
  <c r="Z148" i="6" a="1"/>
  <c r="Z148" i="6" s="1"/>
  <c r="Z149" i="6" a="1"/>
  <c r="Z149" i="6" s="1"/>
  <c r="Z137" i="6" a="1"/>
  <c r="Z137" i="6" s="1"/>
  <c r="Z134" i="6" a="1"/>
  <c r="Z134" i="6" s="1"/>
  <c r="Z135" i="6" a="1"/>
  <c r="Z135" i="6" s="1"/>
  <c r="Z143" i="6" a="1"/>
  <c r="Z143" i="6" s="1"/>
  <c r="Z142" i="6" s="1"/>
  <c r="Z141" i="6" s="1"/>
  <c r="Z139" i="6" a="1"/>
  <c r="Z139" i="6" s="1"/>
  <c r="Z144" i="6" a="1"/>
  <c r="Z144" i="6" s="1"/>
  <c r="Z133" i="6" a="1"/>
  <c r="Z133" i="6" s="1"/>
  <c r="Z138" i="6" a="1"/>
  <c r="Z138" i="6" s="1"/>
  <c r="Z131" i="6" a="1"/>
  <c r="Z131" i="6" s="1"/>
  <c r="Z129" i="6" a="1"/>
  <c r="Z129" i="6" s="1"/>
  <c r="Z136" i="6" a="1"/>
  <c r="Z136" i="6" s="1"/>
  <c r="Z120" i="6" a="1"/>
  <c r="Z120" i="6" s="1"/>
  <c r="Z127" i="6" a="1"/>
  <c r="Z127" i="6" s="1"/>
  <c r="Z122" i="6" a="1"/>
  <c r="Z122" i="6" s="1"/>
  <c r="Z123" i="6" a="1"/>
  <c r="Z123" i="6" s="1"/>
  <c r="Z124" i="6" a="1"/>
  <c r="Z124" i="6" s="1"/>
  <c r="Z128" i="6" a="1"/>
  <c r="Z128" i="6" s="1"/>
  <c r="Z118" i="6" a="1"/>
  <c r="Z118" i="6" s="1"/>
  <c r="Z106" i="6" a="1"/>
  <c r="Z106" i="6" s="1"/>
  <c r="Z117" i="6" a="1"/>
  <c r="Z117" i="6" s="1"/>
  <c r="Z107" i="6" a="1"/>
  <c r="Z107" i="6" s="1"/>
  <c r="Z116" i="6" a="1"/>
  <c r="Z116" i="6" s="1"/>
  <c r="Z115" i="6" a="1"/>
  <c r="Z115" i="6" s="1"/>
  <c r="Z132" i="6" a="1"/>
  <c r="Z132" i="6" s="1"/>
  <c r="Z121" i="6" a="1"/>
  <c r="Z121" i="6" s="1"/>
  <c r="Z114" i="6" a="1"/>
  <c r="Z114" i="6" s="1"/>
  <c r="Z125" i="6" a="1"/>
  <c r="Z125" i="6" s="1"/>
  <c r="Z103" i="6" a="1"/>
  <c r="Z103" i="6" s="1"/>
  <c r="Z130" i="6" a="1"/>
  <c r="Z130" i="6" s="1"/>
  <c r="Z119" i="6" a="1"/>
  <c r="Z119" i="6" s="1"/>
  <c r="Z104" i="6" a="1"/>
  <c r="Z104" i="6" s="1"/>
  <c r="Z110" i="6" a="1"/>
  <c r="Z110" i="6" s="1"/>
  <c r="Z113" i="6" a="1"/>
  <c r="Z113" i="6" s="1"/>
  <c r="Z111" i="6" a="1"/>
  <c r="Z111" i="6" s="1"/>
  <c r="Z95" i="6" a="1"/>
  <c r="Z95" i="6" s="1"/>
  <c r="Z94" i="6" a="1"/>
  <c r="Z94" i="6" s="1"/>
  <c r="Z102" i="6" a="1"/>
  <c r="Z102" i="6" s="1"/>
  <c r="Z112" i="6" a="1"/>
  <c r="Z112" i="6" s="1"/>
  <c r="Z96" i="6" a="1"/>
  <c r="Z96" i="6" s="1"/>
  <c r="Z80" i="6" a="1"/>
  <c r="Z80" i="6" s="1"/>
  <c r="Z98" i="6" a="1"/>
  <c r="Z98" i="6" s="1"/>
  <c r="Z91" i="6" a="1"/>
  <c r="Z91" i="6" s="1"/>
  <c r="Z78" i="6" a="1"/>
  <c r="Z78" i="6" s="1"/>
  <c r="Z105" i="6" a="1"/>
  <c r="Z105" i="6" s="1"/>
  <c r="Z85" i="6" a="1"/>
  <c r="Z85" i="6" s="1"/>
  <c r="Z82" i="6" a="1"/>
  <c r="Z82" i="6" s="1"/>
  <c r="Z72" i="6" a="1"/>
  <c r="Z72" i="6" s="1"/>
  <c r="Z92" i="6" a="1"/>
  <c r="Z92" i="6" s="1"/>
  <c r="Z93" i="6" a="1"/>
  <c r="Z93" i="6" s="1"/>
  <c r="Z74" i="6" a="1"/>
  <c r="Z74" i="6" s="1"/>
  <c r="Z70" i="6" a="1"/>
  <c r="Z70" i="6" s="1"/>
  <c r="Z100" i="6" a="1"/>
  <c r="Z100" i="6" s="1"/>
  <c r="Z86" i="6" a="1"/>
  <c r="Z86" i="6" s="1"/>
  <c r="Z73" i="6" a="1"/>
  <c r="Z73" i="6" s="1"/>
  <c r="Z71" i="6" a="1"/>
  <c r="Z71" i="6" s="1"/>
  <c r="Z97" i="6" a="1"/>
  <c r="Z97" i="6" s="1"/>
  <c r="Z89" i="6" a="1"/>
  <c r="Z89" i="6" s="1"/>
  <c r="Z79" i="6" a="1"/>
  <c r="Z79" i="6" s="1"/>
  <c r="Z60" i="6" a="1"/>
  <c r="Z60" i="6" s="1"/>
  <c r="Z126" i="6" a="1"/>
  <c r="Z126" i="6" s="1"/>
  <c r="Z101" i="6" a="1"/>
  <c r="Z101" i="6" s="1"/>
  <c r="Z90" i="6" a="1"/>
  <c r="Z90" i="6" s="1"/>
  <c r="Z83" i="6" a="1"/>
  <c r="Z83" i="6" s="1"/>
  <c r="Z75" i="6" a="1"/>
  <c r="Z75" i="6" s="1"/>
  <c r="Z69" i="6" a="1"/>
  <c r="Z69" i="6" s="1"/>
  <c r="Z99" i="6" a="1"/>
  <c r="Z99" i="6" s="1"/>
  <c r="Z87" i="6" a="1"/>
  <c r="Z87" i="6" s="1"/>
  <c r="Z67" i="6" a="1"/>
  <c r="Z67" i="6" s="1"/>
  <c r="Z84" i="6" a="1"/>
  <c r="Z84" i="6" s="1"/>
  <c r="Z88" i="6" a="1"/>
  <c r="Z88" i="6" s="1"/>
  <c r="Z81" i="6" a="1"/>
  <c r="Z81" i="6" s="1"/>
  <c r="Z49" i="6" a="1"/>
  <c r="Z49" i="6" s="1"/>
  <c r="Z56" i="6" a="1"/>
  <c r="Z56" i="6" s="1"/>
  <c r="Z61" i="6" a="1"/>
  <c r="Z61" i="6" s="1"/>
  <c r="Z57" i="6" a="1"/>
  <c r="Z57" i="6" s="1"/>
  <c r="Z68" i="6" a="1"/>
  <c r="Z68" i="6" s="1"/>
  <c r="Z62" i="6" a="1"/>
  <c r="Z62" i="6" s="1"/>
  <c r="Z58" i="6" a="1"/>
  <c r="Z58" i="6" s="1"/>
  <c r="Z54" i="6" a="1"/>
  <c r="Z54" i="6" s="1"/>
  <c r="Z66" i="6" a="1"/>
  <c r="Z66" i="6" s="1"/>
  <c r="Z59" i="6" a="1"/>
  <c r="Z59" i="6" s="1"/>
  <c r="Z36" i="6" a="1"/>
  <c r="Z36" i="6" s="1"/>
  <c r="Z65" i="6" a="1"/>
  <c r="Z65" i="6" s="1"/>
  <c r="Z50" i="6" a="1"/>
  <c r="Z50" i="6" s="1"/>
  <c r="Z44" i="6" a="1"/>
  <c r="Z44" i="6" s="1"/>
  <c r="Z64" i="6" a="1"/>
  <c r="Z64" i="6" s="1"/>
  <c r="Z55" i="6" a="1"/>
  <c r="Z55" i="6" s="1"/>
  <c r="Z39" i="6" a="1"/>
  <c r="Z39" i="6" s="1"/>
  <c r="Z43" i="6" a="1"/>
  <c r="Z43" i="6" s="1"/>
  <c r="Z51" i="6" a="1"/>
  <c r="Z51" i="6" s="1"/>
  <c r="Z38" i="6" a="1"/>
  <c r="Z38" i="6" s="1"/>
  <c r="Z35" i="6" a="1"/>
  <c r="Z35" i="6" s="1"/>
  <c r="Z42" i="6" a="1"/>
  <c r="Z42" i="6" s="1"/>
  <c r="Z41" i="6" s="1"/>
  <c r="Z40" i="6" s="1"/>
  <c r="Z53" i="6" a="1"/>
  <c r="Z53" i="6" s="1"/>
  <c r="Z48" i="6" a="1"/>
  <c r="Z48" i="6" s="1"/>
  <c r="Z63" i="6" a="1"/>
  <c r="Z63" i="6" s="1"/>
  <c r="Z37" i="6" a="1"/>
  <c r="Z37" i="6" s="1"/>
  <c r="Z23" i="6" a="1"/>
  <c r="Z23" i="6" s="1"/>
  <c r="Z22" i="6" s="1"/>
  <c r="Z15" i="6" a="1"/>
  <c r="Z15" i="6" s="1"/>
  <c r="Z14" i="6" s="1"/>
  <c r="Z13" i="6" s="1"/>
  <c r="Z12" i="6" s="1"/>
  <c r="Z30" i="6" a="1"/>
  <c r="Z30" i="6" s="1"/>
  <c r="Z16" i="6" a="1"/>
  <c r="Z16" i="6" s="1"/>
  <c r="Z17" i="6" a="1"/>
  <c r="Z17" i="6" s="1"/>
  <c r="Z34" i="6" a="1"/>
  <c r="Z34" i="6" s="1"/>
  <c r="Z25" i="6" a="1"/>
  <c r="Z25" i="6" s="1"/>
  <c r="Z24" i="6" s="1"/>
  <c r="Z32" i="6" a="1"/>
  <c r="Z32" i="6" s="1"/>
  <c r="Z31" i="6" a="1"/>
  <c r="Z31" i="6" s="1"/>
  <c r="Z52" i="6" a="1"/>
  <c r="Z52" i="6" s="1"/>
  <c r="Z28" i="6" a="1"/>
  <c r="Z28" i="6" s="1"/>
  <c r="Z27" i="6" s="1"/>
  <c r="Z26" i="6" s="1"/>
  <c r="Z21" i="6" a="1"/>
  <c r="Z21" i="6" s="1"/>
  <c r="Z20" i="6" s="1"/>
  <c r="Z33" i="6" a="1"/>
  <c r="Z33" i="6" s="1"/>
  <c r="Z29" i="6" a="1"/>
  <c r="Z29" i="6" s="1"/>
  <c r="AL152" i="6" a="1"/>
  <c r="AL152" i="6" s="1"/>
  <c r="AL151" i="6" s="1"/>
  <c r="AL150" i="6" s="1"/>
  <c r="AL156" i="6" a="1"/>
  <c r="AL156" i="6" s="1"/>
  <c r="AL149" i="6" a="1"/>
  <c r="AL149" i="6" s="1"/>
  <c r="AL155" i="6" a="1"/>
  <c r="AL155" i="6" s="1"/>
  <c r="AL154" i="6" s="1"/>
  <c r="AL153" i="6" s="1"/>
  <c r="AL148" i="6" a="1"/>
  <c r="AL148" i="6" s="1"/>
  <c r="AL138" i="6" a="1"/>
  <c r="AL138" i="6" s="1"/>
  <c r="AL147" i="6" a="1"/>
  <c r="AL147" i="6" s="1"/>
  <c r="AL146" i="6" s="1"/>
  <c r="AL145" i="6" s="1"/>
  <c r="AL134" i="6" a="1"/>
  <c r="AL134" i="6" s="1"/>
  <c r="AL135" i="6" a="1"/>
  <c r="AL135" i="6" s="1"/>
  <c r="AL131" i="6" a="1"/>
  <c r="AL131" i="6" s="1"/>
  <c r="AL143" i="6" a="1"/>
  <c r="AL143" i="6" s="1"/>
  <c r="AL139" i="6" a="1"/>
  <c r="AL139" i="6" s="1"/>
  <c r="AL129" i="6" a="1"/>
  <c r="AL129" i="6" s="1"/>
  <c r="AL132" i="6" a="1"/>
  <c r="AL132" i="6" s="1"/>
  <c r="AL130" i="6" a="1"/>
  <c r="AL130" i="6" s="1"/>
  <c r="AL137" i="6" a="1"/>
  <c r="AL137" i="6" s="1"/>
  <c r="AL133" i="6" a="1"/>
  <c r="AL133" i="6" s="1"/>
  <c r="AL128" i="6" a="1"/>
  <c r="AL128" i="6" s="1"/>
  <c r="AL120" i="6" a="1"/>
  <c r="AL120" i="6" s="1"/>
  <c r="AL122" i="6" a="1"/>
  <c r="AL122" i="6" s="1"/>
  <c r="AL123" i="6" a="1"/>
  <c r="AL123" i="6" s="1"/>
  <c r="AL124" i="6" a="1"/>
  <c r="AL124" i="6" s="1"/>
  <c r="AL144" i="6" a="1"/>
  <c r="AL144" i="6" s="1"/>
  <c r="AL126" i="6" a="1"/>
  <c r="AL126" i="6" s="1"/>
  <c r="AL121" i="6" a="1"/>
  <c r="AL121" i="6" s="1"/>
  <c r="AL118" i="6" a="1"/>
  <c r="AL118" i="6" s="1"/>
  <c r="AL106" i="6" a="1"/>
  <c r="AL106" i="6" s="1"/>
  <c r="AL136" i="6" a="1"/>
  <c r="AL136" i="6" s="1"/>
  <c r="AL117" i="6" a="1"/>
  <c r="AL117" i="6" s="1"/>
  <c r="AL107" i="6" a="1"/>
  <c r="AL107" i="6" s="1"/>
  <c r="AL119" i="6" a="1"/>
  <c r="AL119" i="6" s="1"/>
  <c r="AL116" i="6" a="1"/>
  <c r="AL116" i="6" s="1"/>
  <c r="AL115" i="6" a="1"/>
  <c r="AL115" i="6" s="1"/>
  <c r="AL114" i="6" a="1"/>
  <c r="AL114" i="6" s="1"/>
  <c r="AL125" i="6" a="1"/>
  <c r="AL125" i="6" s="1"/>
  <c r="AL103" i="6" a="1"/>
  <c r="AL103" i="6" s="1"/>
  <c r="AL111" i="6" a="1"/>
  <c r="AL111" i="6" s="1"/>
  <c r="AL104" i="6" a="1"/>
  <c r="AL104" i="6" s="1"/>
  <c r="AL95" i="6" a="1"/>
  <c r="AL95" i="6" s="1"/>
  <c r="AL110" i="6" a="1"/>
  <c r="AL110" i="6" s="1"/>
  <c r="AL113" i="6" a="1"/>
  <c r="AL113" i="6" s="1"/>
  <c r="AL99" i="6" a="1"/>
  <c r="AL99" i="6" s="1"/>
  <c r="AL94" i="6" a="1"/>
  <c r="AL94" i="6" s="1"/>
  <c r="AL100" i="6" a="1"/>
  <c r="AL100" i="6" s="1"/>
  <c r="AL88" i="6" a="1"/>
  <c r="AL88" i="6" s="1"/>
  <c r="AL80" i="6" a="1"/>
  <c r="AL80" i="6" s="1"/>
  <c r="AL98" i="6" a="1"/>
  <c r="AL98" i="6" s="1"/>
  <c r="AL87" i="6" a="1"/>
  <c r="AL87" i="6" s="1"/>
  <c r="AL78" i="6" a="1"/>
  <c r="AL78" i="6" s="1"/>
  <c r="AL112" i="6" a="1"/>
  <c r="AL112" i="6" s="1"/>
  <c r="AL102" i="6" a="1"/>
  <c r="AL102" i="6" s="1"/>
  <c r="AL101" i="6" a="1"/>
  <c r="AL101" i="6" s="1"/>
  <c r="AL96" i="6" a="1"/>
  <c r="AL96" i="6" s="1"/>
  <c r="AL92" i="6" a="1"/>
  <c r="AL92" i="6" s="1"/>
  <c r="AL97" i="6" a="1"/>
  <c r="AL97" i="6" s="1"/>
  <c r="AL89" i="6" a="1"/>
  <c r="AL89" i="6" s="1"/>
  <c r="AL86" i="6" a="1"/>
  <c r="AL86" i="6" s="1"/>
  <c r="AL72" i="6" a="1"/>
  <c r="AL72" i="6" s="1"/>
  <c r="AL105" i="6" a="1"/>
  <c r="AL105" i="6" s="1"/>
  <c r="AL70" i="6" a="1"/>
  <c r="AL70" i="6" s="1"/>
  <c r="AL71" i="6" a="1"/>
  <c r="AL71" i="6" s="1"/>
  <c r="AL85" i="6" a="1"/>
  <c r="AL85" i="6" s="1"/>
  <c r="AL60" i="6" a="1"/>
  <c r="AL60" i="6" s="1"/>
  <c r="AL127" i="6" a="1"/>
  <c r="AL127" i="6" s="1"/>
  <c r="AL93" i="6" a="1"/>
  <c r="AL93" i="6" s="1"/>
  <c r="AL81" i="6" a="1"/>
  <c r="AL81" i="6" s="1"/>
  <c r="AL73" i="6" a="1"/>
  <c r="AL73" i="6" s="1"/>
  <c r="AL83" i="6" a="1"/>
  <c r="AL83" i="6" s="1"/>
  <c r="AL91" i="6" a="1"/>
  <c r="AL91" i="6" s="1"/>
  <c r="AL84" i="6" a="1"/>
  <c r="AL84" i="6" s="1"/>
  <c r="AL82" i="6" a="1"/>
  <c r="AL82" i="6" s="1"/>
  <c r="AL90" i="6" a="1"/>
  <c r="AL90" i="6" s="1"/>
  <c r="AL68" i="6" a="1"/>
  <c r="AL68" i="6" s="1"/>
  <c r="AL75" i="6" a="1"/>
  <c r="AL75" i="6" s="1"/>
  <c r="AL62" i="6" a="1"/>
  <c r="AL62" i="6" s="1"/>
  <c r="AL67" i="6" a="1"/>
  <c r="AL67" i="6" s="1"/>
  <c r="AL79" i="6" a="1"/>
  <c r="AL79" i="6" s="1"/>
  <c r="AL65" i="6" a="1"/>
  <c r="AL65" i="6" s="1"/>
  <c r="AL49" i="6" a="1"/>
  <c r="AL49" i="6" s="1"/>
  <c r="AL69" i="6" a="1"/>
  <c r="AL69" i="6" s="1"/>
  <c r="AL56" i="6" a="1"/>
  <c r="AL56" i="6" s="1"/>
  <c r="AL74" i="6" a="1"/>
  <c r="AL74" i="6" s="1"/>
  <c r="AL63" i="6" a="1"/>
  <c r="AL63" i="6" s="1"/>
  <c r="AL57" i="6" a="1"/>
  <c r="AL57" i="6" s="1"/>
  <c r="AL58" i="6" a="1"/>
  <c r="AL58" i="6" s="1"/>
  <c r="AL54" i="6" a="1"/>
  <c r="AL54" i="6" s="1"/>
  <c r="AL66" i="6" a="1"/>
  <c r="AL66" i="6" s="1"/>
  <c r="AL64" i="6" a="1"/>
  <c r="AL64" i="6" s="1"/>
  <c r="AL59" i="6" a="1"/>
  <c r="AL59" i="6" s="1"/>
  <c r="AL36" i="6" a="1"/>
  <c r="AL36" i="6" s="1"/>
  <c r="AL55" i="6" a="1"/>
  <c r="AL55" i="6" s="1"/>
  <c r="AL44" i="6" a="1"/>
  <c r="AL44" i="6" s="1"/>
  <c r="AL53" i="6" a="1"/>
  <c r="AL53" i="6" s="1"/>
  <c r="AL39" i="6" a="1"/>
  <c r="AL39" i="6" s="1"/>
  <c r="AL43" i="6" a="1"/>
  <c r="AL43" i="6" s="1"/>
  <c r="AL35" i="6" a="1"/>
  <c r="AL35" i="6" s="1"/>
  <c r="AL52" i="6" a="1"/>
  <c r="AL52" i="6" s="1"/>
  <c r="AL50" i="6" a="1"/>
  <c r="AL50" i="6" s="1"/>
  <c r="AL42" i="6" a="1"/>
  <c r="AL42" i="6" s="1"/>
  <c r="AL48" i="6" a="1"/>
  <c r="AL48" i="6" s="1"/>
  <c r="AL61" i="6" a="1"/>
  <c r="AL61" i="6" s="1"/>
  <c r="AL51" i="6" a="1"/>
  <c r="AL51" i="6" s="1"/>
  <c r="AL31" i="6" a="1"/>
  <c r="AL31" i="6" s="1"/>
  <c r="AL23" i="6" a="1"/>
  <c r="AL23" i="6" s="1"/>
  <c r="AL22" i="6" s="1"/>
  <c r="AL15" i="6" a="1"/>
  <c r="AL15" i="6" s="1"/>
  <c r="AL14" i="6" s="1"/>
  <c r="AL13" i="6" s="1"/>
  <c r="AL12" i="6" s="1"/>
  <c r="AL29" i="6" a="1"/>
  <c r="AL29" i="6" s="1"/>
  <c r="AL16" i="6" a="1"/>
  <c r="AL16" i="6" s="1"/>
  <c r="AL32" i="6" a="1"/>
  <c r="AL32" i="6" s="1"/>
  <c r="AL17" i="6" a="1"/>
  <c r="AL17" i="6" s="1"/>
  <c r="AL25" i="6" a="1"/>
  <c r="AL25" i="6" s="1"/>
  <c r="AL24" i="6" s="1"/>
  <c r="AL37" i="6" a="1"/>
  <c r="AL37" i="6" s="1"/>
  <c r="AL30" i="6" a="1"/>
  <c r="AL30" i="6" s="1"/>
  <c r="AL34" i="6" a="1"/>
  <c r="AL34" i="6" s="1"/>
  <c r="AL33" i="6" a="1"/>
  <c r="AL33" i="6" s="1"/>
  <c r="AL21" i="6" a="1"/>
  <c r="AL21" i="6" s="1"/>
  <c r="AL20" i="6" s="1"/>
  <c r="AL19" i="6" s="1"/>
  <c r="AL28" i="6" a="1"/>
  <c r="AL28" i="6" s="1"/>
  <c r="AX156" i="6" a="1"/>
  <c r="AX156" i="6" s="1"/>
  <c r="AX148" i="6" a="1"/>
  <c r="AX148" i="6" s="1"/>
  <c r="AX144" i="6" a="1"/>
  <c r="AX144" i="6" s="1"/>
  <c r="AX143" i="6" a="1"/>
  <c r="AX143" i="6" s="1"/>
  <c r="AX142" i="6" s="1"/>
  <c r="AX141" i="6" s="1"/>
  <c r="AX139" i="6" a="1"/>
  <c r="AX139" i="6" s="1"/>
  <c r="AX155" i="6" a="1"/>
  <c r="AX155" i="6" s="1"/>
  <c r="AX152" i="6" a="1"/>
  <c r="AX152" i="6" s="1"/>
  <c r="AX151" i="6" s="1"/>
  <c r="AX150" i="6" s="1"/>
  <c r="AX134" i="6" a="1"/>
  <c r="AX134" i="6" s="1"/>
  <c r="AX135" i="6" a="1"/>
  <c r="AX135" i="6" s="1"/>
  <c r="AX149" i="6" a="1"/>
  <c r="AX149" i="6" s="1"/>
  <c r="AX147" i="6" a="1"/>
  <c r="AX147" i="6" s="1"/>
  <c r="AX146" i="6" s="1"/>
  <c r="AX145" i="6" s="1"/>
  <c r="AX136" i="6" a="1"/>
  <c r="AX136" i="6" s="1"/>
  <c r="AX131" i="6" a="1"/>
  <c r="AX131" i="6" s="1"/>
  <c r="AX132" i="6" a="1"/>
  <c r="AX132" i="6" s="1"/>
  <c r="AX137" i="6" a="1"/>
  <c r="AX137" i="6" s="1"/>
  <c r="AX129" i="6" a="1"/>
  <c r="AX129" i="6" s="1"/>
  <c r="AX120" i="6" a="1"/>
  <c r="AX120" i="6" s="1"/>
  <c r="AX127" i="6" a="1"/>
  <c r="AX127" i="6" s="1"/>
  <c r="AX126" i="6" a="1"/>
  <c r="AX126" i="6" s="1"/>
  <c r="AX122" i="6" a="1"/>
  <c r="AX122" i="6" s="1"/>
  <c r="AX123" i="6" a="1"/>
  <c r="AX123" i="6" s="1"/>
  <c r="AX124" i="6" a="1"/>
  <c r="AX124" i="6" s="1"/>
  <c r="AX130" i="6" a="1"/>
  <c r="AX130" i="6" s="1"/>
  <c r="AX118" i="6" a="1"/>
  <c r="AX118" i="6" s="1"/>
  <c r="AX106" i="6" a="1"/>
  <c r="AX106" i="6" s="1"/>
  <c r="AX133" i="6" a="1"/>
  <c r="AX133" i="6" s="1"/>
  <c r="AX117" i="6" a="1"/>
  <c r="AX117" i="6" s="1"/>
  <c r="AX107" i="6" a="1"/>
  <c r="AX107" i="6" s="1"/>
  <c r="AX116" i="6" a="1"/>
  <c r="AX116" i="6" s="1"/>
  <c r="AX115" i="6" a="1"/>
  <c r="AX115" i="6" s="1"/>
  <c r="AX114" i="6" a="1"/>
  <c r="AX114" i="6" s="1"/>
  <c r="AX138" i="6" a="1"/>
  <c r="AX138" i="6" s="1"/>
  <c r="AX128" i="6" a="1"/>
  <c r="AX128" i="6" s="1"/>
  <c r="AX103" i="6" a="1"/>
  <c r="AX103" i="6" s="1"/>
  <c r="AX104" i="6" a="1"/>
  <c r="AX104" i="6" s="1"/>
  <c r="AX105" i="6" a="1"/>
  <c r="AX105" i="6" s="1"/>
  <c r="AX95" i="6" a="1"/>
  <c r="AX95" i="6" s="1"/>
  <c r="AX96" i="6" a="1"/>
  <c r="AX96" i="6" s="1"/>
  <c r="AX101" i="6" a="1"/>
  <c r="AX101" i="6" s="1"/>
  <c r="AX112" i="6" a="1"/>
  <c r="AX112" i="6" s="1"/>
  <c r="AX111" i="6" a="1"/>
  <c r="AX111" i="6" s="1"/>
  <c r="AX110" i="6" a="1"/>
  <c r="AX110" i="6" s="1"/>
  <c r="AX119" i="6" a="1"/>
  <c r="AX119" i="6" s="1"/>
  <c r="AX125" i="6" a="1"/>
  <c r="AX125" i="6" s="1"/>
  <c r="AX121" i="6" a="1"/>
  <c r="AX121" i="6" s="1"/>
  <c r="AX80" i="6" a="1"/>
  <c r="AX80" i="6" s="1"/>
  <c r="AX100" i="6" a="1"/>
  <c r="AX100" i="6" s="1"/>
  <c r="AX91" i="6" a="1"/>
  <c r="AX91" i="6" s="1"/>
  <c r="AX86" i="6" a="1"/>
  <c r="AX86" i="6" s="1"/>
  <c r="AX78" i="6" a="1"/>
  <c r="AX78" i="6" s="1"/>
  <c r="AX83" i="6" a="1"/>
  <c r="AX83" i="6" s="1"/>
  <c r="AX89" i="6" a="1"/>
  <c r="AX89" i="6" s="1"/>
  <c r="AX88" i="6" a="1"/>
  <c r="AX88" i="6" s="1"/>
  <c r="AX72" i="6" a="1"/>
  <c r="AX72" i="6" s="1"/>
  <c r="AX92" i="6" a="1"/>
  <c r="AX92" i="6" s="1"/>
  <c r="AX99" i="6" a="1"/>
  <c r="AX99" i="6" s="1"/>
  <c r="AX97" i="6" a="1"/>
  <c r="AX97" i="6" s="1"/>
  <c r="AX93" i="6" a="1"/>
  <c r="AX93" i="6" s="1"/>
  <c r="AX70" i="6" a="1"/>
  <c r="AX70" i="6" s="1"/>
  <c r="AX102" i="6" a="1"/>
  <c r="AX102" i="6" s="1"/>
  <c r="AX94" i="6" a="1"/>
  <c r="AX94" i="6" s="1"/>
  <c r="AX87" i="6" a="1"/>
  <c r="AX87" i="6" s="1"/>
  <c r="AX79" i="6" a="1"/>
  <c r="AX79" i="6" s="1"/>
  <c r="AX71" i="6" a="1"/>
  <c r="AX71" i="6" s="1"/>
  <c r="AX90" i="6" a="1"/>
  <c r="AX90" i="6" s="1"/>
  <c r="AX85" i="6" a="1"/>
  <c r="AX85" i="6" s="1"/>
  <c r="AX60" i="6" a="1"/>
  <c r="AX60" i="6" s="1"/>
  <c r="AX84" i="6" a="1"/>
  <c r="AX84" i="6" s="1"/>
  <c r="AX82" i="6" a="1"/>
  <c r="AX82" i="6" s="1"/>
  <c r="AX75" i="6" a="1"/>
  <c r="AX75" i="6" s="1"/>
  <c r="AX73" i="6" a="1"/>
  <c r="AX73" i="6" s="1"/>
  <c r="AX113" i="6" a="1"/>
  <c r="AX113" i="6" s="1"/>
  <c r="AX74" i="6" a="1"/>
  <c r="AX74" i="6" s="1"/>
  <c r="AX63" i="6" a="1"/>
  <c r="AX63" i="6" s="1"/>
  <c r="AX98" i="6" a="1"/>
  <c r="AX98" i="6" s="1"/>
  <c r="AX62" i="6" a="1"/>
  <c r="AX62" i="6" s="1"/>
  <c r="AX67" i="6" a="1"/>
  <c r="AX67" i="6" s="1"/>
  <c r="AX49" i="6" a="1"/>
  <c r="AX49" i="6" s="1"/>
  <c r="AX68" i="6" a="1"/>
  <c r="AX68" i="6" s="1"/>
  <c r="AX65" i="6" a="1"/>
  <c r="AX65" i="6" s="1"/>
  <c r="AX69" i="6" a="1"/>
  <c r="AX69" i="6" s="1"/>
  <c r="AX61" i="6" a="1"/>
  <c r="AX61" i="6" s="1"/>
  <c r="AX56" i="6" a="1"/>
  <c r="AX56" i="6" s="1"/>
  <c r="AX64" i="6" a="1"/>
  <c r="AX64" i="6" s="1"/>
  <c r="AX57" i="6" a="1"/>
  <c r="AX57" i="6" s="1"/>
  <c r="AX58" i="6" a="1"/>
  <c r="AX58" i="6" s="1"/>
  <c r="AX54" i="6" a="1"/>
  <c r="AX54" i="6" s="1"/>
  <c r="AX55" i="6" a="1"/>
  <c r="AX55" i="6" s="1"/>
  <c r="AX36" i="6" a="1"/>
  <c r="AX36" i="6" s="1"/>
  <c r="AX81" i="6" a="1"/>
  <c r="AX81" i="6" s="1"/>
  <c r="AX51" i="6" a="1"/>
  <c r="AX51" i="6" s="1"/>
  <c r="AX52" i="6" a="1"/>
  <c r="AX52" i="6" s="1"/>
  <c r="AX44" i="6" a="1"/>
  <c r="AX44" i="6" s="1"/>
  <c r="AX39" i="6" a="1"/>
  <c r="AX39" i="6" s="1"/>
  <c r="AX43" i="6" a="1"/>
  <c r="AX43" i="6" s="1"/>
  <c r="AX59" i="6" a="1"/>
  <c r="AX59" i="6" s="1"/>
  <c r="AX35" i="6" a="1"/>
  <c r="AX35" i="6" s="1"/>
  <c r="AX42" i="6" a="1"/>
  <c r="AX42" i="6" s="1"/>
  <c r="AX48" i="6" a="1"/>
  <c r="AX48" i="6" s="1"/>
  <c r="AX66" i="6" a="1"/>
  <c r="AX66" i="6" s="1"/>
  <c r="AX37" i="6" a="1"/>
  <c r="AX37" i="6" s="1"/>
  <c r="AX23" i="6" a="1"/>
  <c r="AX23" i="6" s="1"/>
  <c r="AX22" i="6" s="1"/>
  <c r="AX32" i="6" a="1"/>
  <c r="AX32" i="6" s="1"/>
  <c r="AX15" i="6" a="1"/>
  <c r="AX15" i="6" s="1"/>
  <c r="AX28" i="6" a="1"/>
  <c r="AX28" i="6" s="1"/>
  <c r="AX16" i="6" a="1"/>
  <c r="AX16" i="6" s="1"/>
  <c r="AX17" i="6" a="1"/>
  <c r="AX17" i="6" s="1"/>
  <c r="AX33" i="6" a="1"/>
  <c r="AX33" i="6" s="1"/>
  <c r="AX25" i="6" a="1"/>
  <c r="AX25" i="6" s="1"/>
  <c r="AX24" i="6" s="1"/>
  <c r="AX53" i="6" a="1"/>
  <c r="AX53" i="6" s="1"/>
  <c r="AX31" i="6" a="1"/>
  <c r="AX31" i="6" s="1"/>
  <c r="AX29" i="6" a="1"/>
  <c r="AX29" i="6" s="1"/>
  <c r="AX21" i="6" a="1"/>
  <c r="AX21" i="6" s="1"/>
  <c r="AX20" i="6" s="1"/>
  <c r="AX34" i="6" a="1"/>
  <c r="AX34" i="6" s="1"/>
  <c r="AX30" i="6" a="1"/>
  <c r="AX30" i="6" s="1"/>
  <c r="BJ155" i="6" a="1"/>
  <c r="BJ155" i="6" s="1"/>
  <c r="BJ147" i="6" a="1"/>
  <c r="BJ147" i="6" s="1"/>
  <c r="BJ152" i="6" a="1"/>
  <c r="BJ152" i="6" s="1"/>
  <c r="BJ151" i="6" s="1"/>
  <c r="BJ150" i="6" s="1"/>
  <c r="BJ143" i="6" a="1"/>
  <c r="BJ143" i="6" s="1"/>
  <c r="BJ142" i="6" s="1"/>
  <c r="BJ141" i="6" s="1"/>
  <c r="BJ156" i="6" a="1"/>
  <c r="BJ156" i="6" s="1"/>
  <c r="BJ149" i="6" a="1"/>
  <c r="BJ149" i="6" s="1"/>
  <c r="BJ138" i="6" a="1"/>
  <c r="BJ138" i="6" s="1"/>
  <c r="BJ137" i="6" a="1"/>
  <c r="BJ137" i="6" s="1"/>
  <c r="BJ134" i="6" a="1"/>
  <c r="BJ134" i="6" s="1"/>
  <c r="BJ144" i="6" a="1"/>
  <c r="BJ144" i="6" s="1"/>
  <c r="BJ139" i="6" a="1"/>
  <c r="BJ139" i="6" s="1"/>
  <c r="BJ135" i="6" a="1"/>
  <c r="BJ135" i="6" s="1"/>
  <c r="BJ136" i="6" a="1"/>
  <c r="BJ136" i="6" s="1"/>
  <c r="BJ133" i="6" a="1"/>
  <c r="BJ133" i="6" s="1"/>
  <c r="BJ131" i="6" a="1"/>
  <c r="BJ131" i="6" s="1"/>
  <c r="BJ132" i="6" a="1"/>
  <c r="BJ132" i="6" s="1"/>
  <c r="BJ148" i="6" a="1"/>
  <c r="BJ148" i="6" s="1"/>
  <c r="BJ130" i="6" a="1"/>
  <c r="BJ130" i="6" s="1"/>
  <c r="BJ119" i="6" a="1"/>
  <c r="BJ119" i="6" s="1"/>
  <c r="BJ120" i="6" a="1"/>
  <c r="BJ120" i="6" s="1"/>
  <c r="BJ129" i="6" a="1"/>
  <c r="BJ129" i="6" s="1"/>
  <c r="BJ122" i="6" a="1"/>
  <c r="BJ122" i="6" s="1"/>
  <c r="BJ123" i="6" a="1"/>
  <c r="BJ123" i="6" s="1"/>
  <c r="BJ128" i="6" a="1"/>
  <c r="BJ128" i="6" s="1"/>
  <c r="BJ124" i="6" a="1"/>
  <c r="BJ124" i="6" s="1"/>
  <c r="BJ105" i="6" a="1"/>
  <c r="BJ105" i="6" s="1"/>
  <c r="BJ125" i="6" a="1"/>
  <c r="BJ125" i="6" s="1"/>
  <c r="BJ106" i="6" a="1"/>
  <c r="BJ106" i="6" s="1"/>
  <c r="BJ117" i="6" a="1"/>
  <c r="BJ117" i="6" s="1"/>
  <c r="BJ107" i="6" a="1"/>
  <c r="BJ107" i="6" s="1"/>
  <c r="BJ116" i="6" a="1"/>
  <c r="BJ116" i="6" s="1"/>
  <c r="BJ127" i="6" a="1"/>
  <c r="BJ127" i="6" s="1"/>
  <c r="BJ115" i="6" a="1"/>
  <c r="BJ115" i="6" s="1"/>
  <c r="BJ118" i="6" a="1"/>
  <c r="BJ118" i="6" s="1"/>
  <c r="BJ114" i="6" a="1"/>
  <c r="BJ114" i="6" s="1"/>
  <c r="BJ121" i="6" a="1"/>
  <c r="BJ121" i="6" s="1"/>
  <c r="BJ103" i="6" a="1"/>
  <c r="BJ103" i="6" s="1"/>
  <c r="BJ104" i="6" a="1"/>
  <c r="BJ104" i="6" s="1"/>
  <c r="BJ110" i="6" a="1"/>
  <c r="BJ110" i="6" s="1"/>
  <c r="BJ95" i="6" a="1"/>
  <c r="BJ95" i="6" s="1"/>
  <c r="BJ126" i="6" a="1"/>
  <c r="BJ126" i="6" s="1"/>
  <c r="BJ101" i="6" a="1"/>
  <c r="BJ101" i="6" s="1"/>
  <c r="BJ98" i="6" a="1"/>
  <c r="BJ98" i="6" s="1"/>
  <c r="BJ113" i="6" a="1"/>
  <c r="BJ113" i="6" s="1"/>
  <c r="BJ111" i="6" a="1"/>
  <c r="BJ111" i="6" s="1"/>
  <c r="BJ88" i="6" a="1"/>
  <c r="BJ88" i="6" s="1"/>
  <c r="BJ80" i="6" a="1"/>
  <c r="BJ80" i="6" s="1"/>
  <c r="BJ112" i="6" a="1"/>
  <c r="BJ112" i="6" s="1"/>
  <c r="BJ100" i="6" a="1"/>
  <c r="BJ100" i="6" s="1"/>
  <c r="BJ94" i="6" a="1"/>
  <c r="BJ94" i="6" s="1"/>
  <c r="BJ78" i="6" a="1"/>
  <c r="BJ78" i="6" s="1"/>
  <c r="BJ92" i="6" a="1"/>
  <c r="BJ92" i="6" s="1"/>
  <c r="BJ82" i="6" a="1"/>
  <c r="BJ82" i="6" s="1"/>
  <c r="BJ96" i="6" a="1"/>
  <c r="BJ96" i="6" s="1"/>
  <c r="BJ85" i="6" a="1"/>
  <c r="BJ85" i="6" s="1"/>
  <c r="BJ86" i="6" a="1"/>
  <c r="BJ86" i="6" s="1"/>
  <c r="BJ72" i="6" a="1"/>
  <c r="BJ72" i="6" s="1"/>
  <c r="BJ102" i="6" a="1"/>
  <c r="BJ102" i="6" s="1"/>
  <c r="BJ91" i="6" a="1"/>
  <c r="BJ91" i="6" s="1"/>
  <c r="BJ74" i="6" a="1"/>
  <c r="BJ74" i="6" s="1"/>
  <c r="BJ70" i="6" a="1"/>
  <c r="BJ70" i="6" s="1"/>
  <c r="BJ71" i="6" a="1"/>
  <c r="BJ71" i="6" s="1"/>
  <c r="BJ60" i="6" a="1"/>
  <c r="BJ60" i="6" s="1"/>
  <c r="BJ93" i="6" a="1"/>
  <c r="BJ93" i="6" s="1"/>
  <c r="BJ87" i="6" a="1"/>
  <c r="BJ87" i="6" s="1"/>
  <c r="BJ84" i="6" a="1"/>
  <c r="BJ84" i="6" s="1"/>
  <c r="BJ97" i="6" a="1"/>
  <c r="BJ97" i="6" s="1"/>
  <c r="BJ90" i="6" a="1"/>
  <c r="BJ90" i="6" s="1"/>
  <c r="BJ81" i="6" a="1"/>
  <c r="BJ81" i="6" s="1"/>
  <c r="BJ79" i="6" a="1"/>
  <c r="BJ79" i="6" s="1"/>
  <c r="BJ73" i="6" a="1"/>
  <c r="BJ73" i="6" s="1"/>
  <c r="BJ89" i="6" a="1"/>
  <c r="BJ89" i="6" s="1"/>
  <c r="BJ99" i="6" a="1"/>
  <c r="BJ99" i="6" s="1"/>
  <c r="BJ64" i="6" a="1"/>
  <c r="BJ64" i="6" s="1"/>
  <c r="BJ65" i="6" a="1"/>
  <c r="BJ65" i="6" s="1"/>
  <c r="BJ63" i="6" a="1"/>
  <c r="BJ63" i="6" s="1"/>
  <c r="BJ69" i="6" a="1"/>
  <c r="BJ69" i="6" s="1"/>
  <c r="BJ67" i="6" a="1"/>
  <c r="BJ67" i="6" s="1"/>
  <c r="BJ83" i="6" a="1"/>
  <c r="BJ83" i="6" s="1"/>
  <c r="BJ66" i="6" a="1"/>
  <c r="BJ66" i="6" s="1"/>
  <c r="BJ49" i="6" a="1"/>
  <c r="BJ49" i="6" s="1"/>
  <c r="BJ59" i="6" a="1"/>
  <c r="BJ59" i="6" s="1"/>
  <c r="BJ68" i="6" a="1"/>
  <c r="BJ68" i="6" s="1"/>
  <c r="BJ56" i="6" a="1"/>
  <c r="BJ56" i="6" s="1"/>
  <c r="BJ57" i="6" a="1"/>
  <c r="BJ57" i="6" s="1"/>
  <c r="BJ75" i="6" a="1"/>
  <c r="BJ75" i="6" s="1"/>
  <c r="BJ58" i="6" a="1"/>
  <c r="BJ58" i="6" s="1"/>
  <c r="BJ54" i="6" a="1"/>
  <c r="BJ54" i="6" s="1"/>
  <c r="BJ55" i="6" a="1"/>
  <c r="BJ55" i="6" s="1"/>
  <c r="BJ36" i="6" a="1"/>
  <c r="BJ36" i="6" s="1"/>
  <c r="BJ50" i="6" a="1"/>
  <c r="BJ50" i="6" s="1"/>
  <c r="BJ44" i="6" a="1"/>
  <c r="BJ44" i="6" s="1"/>
  <c r="BJ61" i="6" a="1"/>
  <c r="BJ61" i="6" s="1"/>
  <c r="BJ39" i="6" a="1"/>
  <c r="BJ39" i="6" s="1"/>
  <c r="BJ43" i="6" a="1"/>
  <c r="BJ43" i="6" s="1"/>
  <c r="BJ51" i="6" a="1"/>
  <c r="BJ51" i="6" s="1"/>
  <c r="BJ35" i="6" a="1"/>
  <c r="BJ35" i="6" s="1"/>
  <c r="BJ62" i="6" a="1"/>
  <c r="BJ62" i="6" s="1"/>
  <c r="BJ42" i="6" a="1"/>
  <c r="BJ42" i="6" s="1"/>
  <c r="BJ41" i="6" s="1"/>
  <c r="BJ40" i="6" s="1"/>
  <c r="BJ34" i="6" a="1"/>
  <c r="BJ34" i="6" s="1"/>
  <c r="BJ48" i="6" a="1"/>
  <c r="BJ48" i="6" s="1"/>
  <c r="BJ53" i="6" a="1"/>
  <c r="BJ53" i="6" s="1"/>
  <c r="BJ31" i="6" a="1"/>
  <c r="BJ31" i="6" s="1"/>
  <c r="BJ23" i="6" a="1"/>
  <c r="BJ23" i="6" s="1"/>
  <c r="BJ22" i="6" s="1"/>
  <c r="BJ15" i="6" a="1"/>
  <c r="BJ15" i="6" s="1"/>
  <c r="BJ14" i="6" s="1"/>
  <c r="BJ13" i="6" s="1"/>
  <c r="BJ12" i="6" s="1"/>
  <c r="BJ30" i="6" a="1"/>
  <c r="BJ30" i="6" s="1"/>
  <c r="BJ16" i="6" a="1"/>
  <c r="BJ16" i="6" s="1"/>
  <c r="BJ17" i="6" a="1"/>
  <c r="BJ17" i="6" s="1"/>
  <c r="BJ33" i="6" a="1"/>
  <c r="BJ33" i="6" s="1"/>
  <c r="BJ25" i="6" a="1"/>
  <c r="BJ25" i="6" s="1"/>
  <c r="BJ24" i="6" s="1"/>
  <c r="BJ37" i="6" a="1"/>
  <c r="BJ37" i="6" s="1"/>
  <c r="BJ28" i="6" a="1"/>
  <c r="BJ28" i="6" s="1"/>
  <c r="BJ27" i="6" s="1"/>
  <c r="BJ21" i="6" a="1"/>
  <c r="BJ21" i="6" s="1"/>
  <c r="BJ20" i="6" s="1"/>
  <c r="BJ19" i="6" s="1"/>
  <c r="BJ52" i="6" a="1"/>
  <c r="BJ52" i="6" s="1"/>
  <c r="BJ29" i="6" a="1"/>
  <c r="BJ29" i="6" s="1"/>
  <c r="N14" i="6" a="1"/>
  <c r="N14" i="6" s="1"/>
  <c r="O14" i="6" s="1" a="1"/>
  <c r="O14" i="6" s="1"/>
  <c r="BA15" i="6" a="1"/>
  <c r="BA15" i="6" s="1"/>
  <c r="V17" i="6" a="1"/>
  <c r="V17" i="6" s="1"/>
  <c r="Q19" i="6"/>
  <c r="AW21" i="6" a="1"/>
  <c r="AW21" i="6" s="1"/>
  <c r="AW20" i="6" s="1"/>
  <c r="AW19" i="6" s="1"/>
  <c r="AU25" i="6" a="1"/>
  <c r="AU25" i="6" s="1"/>
  <c r="AU24" i="6" s="1"/>
  <c r="AA147" i="6" a="1"/>
  <c r="AA147" i="6" s="1"/>
  <c r="AA146" i="6" s="1"/>
  <c r="AA145" i="6" s="1"/>
  <c r="AA156" i="6" a="1"/>
  <c r="AA156" i="6" s="1"/>
  <c r="AA148" i="6" a="1"/>
  <c r="AA148" i="6" s="1"/>
  <c r="AA143" i="6" a="1"/>
  <c r="AA143" i="6" s="1"/>
  <c r="AA142" i="6" s="1"/>
  <c r="AA141" i="6" s="1"/>
  <c r="AA152" i="6" a="1"/>
  <c r="AA152" i="6" s="1"/>
  <c r="AA151" i="6" s="1"/>
  <c r="AA150" i="6" s="1"/>
  <c r="AA149" i="6" a="1"/>
  <c r="AA149" i="6" s="1"/>
  <c r="AA144" i="6" a="1"/>
  <c r="AA144" i="6" s="1"/>
  <c r="AA129" i="6" a="1"/>
  <c r="AA129" i="6" s="1"/>
  <c r="AA133" i="6" a="1"/>
  <c r="AA133" i="6" s="1"/>
  <c r="AA130" i="6" a="1"/>
  <c r="AA130" i="6" s="1"/>
  <c r="AA138" i="6" a="1"/>
  <c r="AA138" i="6" s="1"/>
  <c r="AA155" i="6" a="1"/>
  <c r="AA155" i="6" s="1"/>
  <c r="AA132" i="6" a="1"/>
  <c r="AA132" i="6" s="1"/>
  <c r="AA136" i="6" a="1"/>
  <c r="AA136" i="6" s="1"/>
  <c r="AA135" i="6" a="1"/>
  <c r="AA135" i="6" s="1"/>
  <c r="AA121" i="6" a="1"/>
  <c r="AA121" i="6" s="1"/>
  <c r="AA127" i="6" a="1"/>
  <c r="AA127" i="6" s="1"/>
  <c r="AA122" i="6" a="1"/>
  <c r="AA122" i="6" s="1"/>
  <c r="AA131" i="6" a="1"/>
  <c r="AA131" i="6" s="1"/>
  <c r="AA123" i="6" a="1"/>
  <c r="AA123" i="6" s="1"/>
  <c r="AA139" i="6" a="1"/>
  <c r="AA139" i="6" s="1"/>
  <c r="AA124" i="6" a="1"/>
  <c r="AA124" i="6" s="1"/>
  <c r="AA137" i="6" a="1"/>
  <c r="AA137" i="6" s="1"/>
  <c r="AA128" i="6" a="1"/>
  <c r="AA128" i="6" s="1"/>
  <c r="AA125" i="6" a="1"/>
  <c r="AA125" i="6" s="1"/>
  <c r="AA126" i="6" a="1"/>
  <c r="AA126" i="6" s="1"/>
  <c r="AA117" i="6" a="1"/>
  <c r="AA117" i="6" s="1"/>
  <c r="AA107" i="6" a="1"/>
  <c r="AA107" i="6" s="1"/>
  <c r="AA116" i="6" a="1"/>
  <c r="AA116" i="6" s="1"/>
  <c r="AA134" i="6" a="1"/>
  <c r="AA134" i="6" s="1"/>
  <c r="AA115" i="6" a="1"/>
  <c r="AA115" i="6" s="1"/>
  <c r="AA114" i="6" a="1"/>
  <c r="AA114" i="6" s="1"/>
  <c r="AA113" i="6" a="1"/>
  <c r="AA113" i="6" s="1"/>
  <c r="AA112" i="6" a="1"/>
  <c r="AA112" i="6" s="1"/>
  <c r="AA119" i="6" a="1"/>
  <c r="AA119" i="6" s="1"/>
  <c r="AA110" i="6" a="1"/>
  <c r="AA110" i="6" s="1"/>
  <c r="AA111" i="6" a="1"/>
  <c r="AA111" i="6" s="1"/>
  <c r="AA96" i="6" a="1"/>
  <c r="AA96" i="6" s="1"/>
  <c r="AA97" i="6" a="1"/>
  <c r="AA97" i="6" s="1"/>
  <c r="AA103" i="6" a="1"/>
  <c r="AA103" i="6" s="1"/>
  <c r="AA120" i="6" a="1"/>
  <c r="AA120" i="6" s="1"/>
  <c r="AA99" i="6" a="1"/>
  <c r="AA99" i="6" s="1"/>
  <c r="AA118" i="6" a="1"/>
  <c r="AA118" i="6" s="1"/>
  <c r="AA105" i="6" a="1"/>
  <c r="AA105" i="6" s="1"/>
  <c r="AA86" i="6" a="1"/>
  <c r="AA86" i="6" s="1"/>
  <c r="AA92" i="6" a="1"/>
  <c r="AA92" i="6" s="1"/>
  <c r="AA106" i="6" a="1"/>
  <c r="AA106" i="6" s="1"/>
  <c r="AA100" i="6" a="1"/>
  <c r="AA100" i="6" s="1"/>
  <c r="AA78" i="6" a="1"/>
  <c r="AA78" i="6" s="1"/>
  <c r="AA95" i="6" a="1"/>
  <c r="AA95" i="6" s="1"/>
  <c r="AA87" i="6" a="1"/>
  <c r="AA87" i="6" s="1"/>
  <c r="AA89" i="6" a="1"/>
  <c r="AA89" i="6" s="1"/>
  <c r="AA83" i="6" a="1"/>
  <c r="AA83" i="6" s="1"/>
  <c r="AA74" i="6" a="1"/>
  <c r="AA74" i="6" s="1"/>
  <c r="AA94" i="6" a="1"/>
  <c r="AA94" i="6" s="1"/>
  <c r="AA101" i="6" a="1"/>
  <c r="AA101" i="6" s="1"/>
  <c r="AA90" i="6" a="1"/>
  <c r="AA90" i="6" s="1"/>
  <c r="AA79" i="6" a="1"/>
  <c r="AA79" i="6" s="1"/>
  <c r="AA73" i="6" a="1"/>
  <c r="AA73" i="6" s="1"/>
  <c r="AA91" i="6" a="1"/>
  <c r="AA91" i="6" s="1"/>
  <c r="AA72" i="6" a="1"/>
  <c r="AA72" i="6" s="1"/>
  <c r="AA62" i="6" a="1"/>
  <c r="AA62" i="6" s="1"/>
  <c r="AA85" i="6" a="1"/>
  <c r="AA85" i="6" s="1"/>
  <c r="AA104" i="6" a="1"/>
  <c r="AA104" i="6" s="1"/>
  <c r="AA75" i="6" a="1"/>
  <c r="AA75" i="6" s="1"/>
  <c r="AA98" i="6" a="1"/>
  <c r="AA98" i="6" s="1"/>
  <c r="AA88" i="6" a="1"/>
  <c r="AA88" i="6" s="1"/>
  <c r="AA84" i="6" a="1"/>
  <c r="AA84" i="6" s="1"/>
  <c r="AA81" i="6" a="1"/>
  <c r="AA81" i="6" s="1"/>
  <c r="AA93" i="6" a="1"/>
  <c r="AA93" i="6" s="1"/>
  <c r="AA71" i="6" a="1"/>
  <c r="AA71" i="6" s="1"/>
  <c r="AA69" i="6" a="1"/>
  <c r="AA69" i="6" s="1"/>
  <c r="AA80" i="6" a="1"/>
  <c r="AA80" i="6" s="1"/>
  <c r="AA68" i="6" a="1"/>
  <c r="AA68" i="6" s="1"/>
  <c r="AA102" i="6" a="1"/>
  <c r="AA102" i="6" s="1"/>
  <c r="AA60" i="6" a="1"/>
  <c r="AA60" i="6" s="1"/>
  <c r="AA56" i="6" a="1"/>
  <c r="AA56" i="6" s="1"/>
  <c r="AA67" i="6" a="1"/>
  <c r="AA67" i="6" s="1"/>
  <c r="AA57" i="6" a="1"/>
  <c r="AA57" i="6" s="1"/>
  <c r="AA55" i="6" a="1"/>
  <c r="AA55" i="6" s="1"/>
  <c r="AA70" i="6" a="1"/>
  <c r="AA70" i="6" s="1"/>
  <c r="AA61" i="6" a="1"/>
  <c r="AA61" i="6" s="1"/>
  <c r="AA58" i="6" a="1"/>
  <c r="AA58" i="6" s="1"/>
  <c r="AA54" i="6" a="1"/>
  <c r="AA54" i="6" s="1"/>
  <c r="AA66" i="6" a="1"/>
  <c r="AA66" i="6" s="1"/>
  <c r="AA59" i="6" a="1"/>
  <c r="AA59" i="6" s="1"/>
  <c r="AA65" i="6" a="1"/>
  <c r="AA65" i="6" s="1"/>
  <c r="AA64" i="6" a="1"/>
  <c r="AA64" i="6" s="1"/>
  <c r="AA63" i="6" a="1"/>
  <c r="AA63" i="6" s="1"/>
  <c r="AA50" i="6" a="1"/>
  <c r="AA50" i="6" s="1"/>
  <c r="AA44" i="6" a="1"/>
  <c r="AA44" i="6" s="1"/>
  <c r="AA39" i="6" a="1"/>
  <c r="AA39" i="6" s="1"/>
  <c r="AA43" i="6" a="1"/>
  <c r="AA43" i="6" s="1"/>
  <c r="AA82" i="6" a="1"/>
  <c r="AA82" i="6" s="1"/>
  <c r="AA51" i="6" a="1"/>
  <c r="AA51" i="6" s="1"/>
  <c r="AA35" i="6" a="1"/>
  <c r="AA35" i="6" s="1"/>
  <c r="AA42" i="6" a="1"/>
  <c r="AA42" i="6" s="1"/>
  <c r="AA41" i="6" s="1"/>
  <c r="AA40" i="6" s="1"/>
  <c r="AA34" i="6" a="1"/>
  <c r="AA34" i="6" s="1"/>
  <c r="AA53" i="6" a="1"/>
  <c r="AA53" i="6" s="1"/>
  <c r="AA48" i="6" a="1"/>
  <c r="AA48" i="6" s="1"/>
  <c r="AA47" i="6" s="1"/>
  <c r="AA46" i="6" s="1"/>
  <c r="AA52" i="6" a="1"/>
  <c r="AA52" i="6" s="1"/>
  <c r="AA49" i="6" a="1"/>
  <c r="AA49" i="6" s="1"/>
  <c r="AA16" i="6" a="1"/>
  <c r="AA16" i="6" s="1"/>
  <c r="AA14" i="6" s="1"/>
  <c r="AA13" i="6" s="1"/>
  <c r="AA12" i="6" s="1"/>
  <c r="AA30" i="6" a="1"/>
  <c r="AA30" i="6" s="1"/>
  <c r="AA17" i="6" a="1"/>
  <c r="AA17" i="6" s="1"/>
  <c r="AA25" i="6" a="1"/>
  <c r="AA25" i="6" s="1"/>
  <c r="AA24" i="6" s="1"/>
  <c r="AA32" i="6" a="1"/>
  <c r="AA32" i="6" s="1"/>
  <c r="AA31" i="6" a="1"/>
  <c r="AA31" i="6" s="1"/>
  <c r="AA28" i="6" a="1"/>
  <c r="AA28" i="6" s="1"/>
  <c r="AA21" i="6" a="1"/>
  <c r="AA21" i="6" s="1"/>
  <c r="AA20" i="6" s="1"/>
  <c r="AA19" i="6" s="1"/>
  <c r="AA33" i="6" a="1"/>
  <c r="AA33" i="6" s="1"/>
  <c r="AA36" i="6" a="1"/>
  <c r="AA36" i="6" s="1"/>
  <c r="AA29" i="6" a="1"/>
  <c r="AA29" i="6" s="1"/>
  <c r="AA23" i="6" a="1"/>
  <c r="AA23" i="6" s="1"/>
  <c r="AA22" i="6" s="1"/>
  <c r="AM156" i="6" a="1"/>
  <c r="AM156" i="6" s="1"/>
  <c r="AM152" i="6" a="1"/>
  <c r="AM152" i="6" s="1"/>
  <c r="AM151" i="6" s="1"/>
  <c r="AM150" i="6" s="1"/>
  <c r="AM149" i="6" a="1"/>
  <c r="AM149" i="6" s="1"/>
  <c r="AM148" i="6" a="1"/>
  <c r="AM148" i="6" s="1"/>
  <c r="AM155" i="6" a="1"/>
  <c r="AM155" i="6" s="1"/>
  <c r="AM138" i="6" a="1"/>
  <c r="AM138" i="6" s="1"/>
  <c r="AM139" i="6" a="1"/>
  <c r="AM139" i="6" s="1"/>
  <c r="AM147" i="6" a="1"/>
  <c r="AM147" i="6" s="1"/>
  <c r="AM146" i="6" s="1"/>
  <c r="AM145" i="6" s="1"/>
  <c r="AM137" i="6" a="1"/>
  <c r="AM137" i="6" s="1"/>
  <c r="AM129" i="6" a="1"/>
  <c r="AM129" i="6" s="1"/>
  <c r="AM130" i="6" a="1"/>
  <c r="AM130" i="6" s="1"/>
  <c r="AM132" i="6" a="1"/>
  <c r="AM132" i="6" s="1"/>
  <c r="AM143" i="6" a="1"/>
  <c r="AM143" i="6" s="1"/>
  <c r="AM142" i="6" s="1"/>
  <c r="AM141" i="6" s="1"/>
  <c r="AM144" i="6" a="1"/>
  <c r="AM144" i="6" s="1"/>
  <c r="AM136" i="6" a="1"/>
  <c r="AM136" i="6" s="1"/>
  <c r="AM131" i="6" a="1"/>
  <c r="AM131" i="6" s="1"/>
  <c r="AM121" i="6" a="1"/>
  <c r="AM121" i="6" s="1"/>
  <c r="AM122" i="6" a="1"/>
  <c r="AM122" i="6" s="1"/>
  <c r="AM134" i="6" a="1"/>
  <c r="AM134" i="6" s="1"/>
  <c r="AM123" i="6" a="1"/>
  <c r="AM123" i="6" s="1"/>
  <c r="AM124" i="6" a="1"/>
  <c r="AM124" i="6" s="1"/>
  <c r="AM125" i="6" a="1"/>
  <c r="AM125" i="6" s="1"/>
  <c r="AM133" i="6" a="1"/>
  <c r="AM133" i="6" s="1"/>
  <c r="AM128" i="6" a="1"/>
  <c r="AM128" i="6" s="1"/>
  <c r="AM126" i="6" a="1"/>
  <c r="AM126" i="6" s="1"/>
  <c r="AM117" i="6" a="1"/>
  <c r="AM117" i="6" s="1"/>
  <c r="AM107" i="6" a="1"/>
  <c r="AM107" i="6" s="1"/>
  <c r="AM119" i="6" a="1"/>
  <c r="AM119" i="6" s="1"/>
  <c r="AM116" i="6" a="1"/>
  <c r="AM116" i="6" s="1"/>
  <c r="AM115" i="6" a="1"/>
  <c r="AM115" i="6" s="1"/>
  <c r="AM120" i="6" a="1"/>
  <c r="AM120" i="6" s="1"/>
  <c r="AM114" i="6" a="1"/>
  <c r="AM114" i="6" s="1"/>
  <c r="AM113" i="6" a="1"/>
  <c r="AM113" i="6" s="1"/>
  <c r="AM135" i="6" a="1"/>
  <c r="AM135" i="6" s="1"/>
  <c r="AM127" i="6" a="1"/>
  <c r="AM127" i="6" s="1"/>
  <c r="AM112" i="6" a="1"/>
  <c r="AM112" i="6" s="1"/>
  <c r="AM96" i="6" a="1"/>
  <c r="AM96" i="6" s="1"/>
  <c r="AM106" i="6" a="1"/>
  <c r="AM106" i="6" s="1"/>
  <c r="AM97" i="6" a="1"/>
  <c r="AM97" i="6" s="1"/>
  <c r="AM103" i="6" a="1"/>
  <c r="AM103" i="6" s="1"/>
  <c r="AM110" i="6" a="1"/>
  <c r="AM110" i="6" s="1"/>
  <c r="AM101" i="6" a="1"/>
  <c r="AM101" i="6" s="1"/>
  <c r="AM86" i="6" a="1"/>
  <c r="AM86" i="6" s="1"/>
  <c r="AM118" i="6" a="1"/>
  <c r="AM118" i="6" s="1"/>
  <c r="AM99" i="6" a="1"/>
  <c r="AM99" i="6" s="1"/>
  <c r="AM98" i="6" a="1"/>
  <c r="AM98" i="6" s="1"/>
  <c r="AM87" i="6" a="1"/>
  <c r="AM87" i="6" s="1"/>
  <c r="AM89" i="6" a="1"/>
  <c r="AM89" i="6" s="1"/>
  <c r="AM105" i="6" a="1"/>
  <c r="AM105" i="6" s="1"/>
  <c r="AM90" i="6" a="1"/>
  <c r="AM90" i="6" s="1"/>
  <c r="AM93" i="6" a="1"/>
  <c r="AM93" i="6" s="1"/>
  <c r="AM100" i="6" a="1"/>
  <c r="AM100" i="6" s="1"/>
  <c r="AM95" i="6" a="1"/>
  <c r="AM95" i="6" s="1"/>
  <c r="AM85" i="6" a="1"/>
  <c r="AM85" i="6" s="1"/>
  <c r="AM82" i="6" a="1"/>
  <c r="AM82" i="6" s="1"/>
  <c r="AM78" i="6" a="1"/>
  <c r="AM78" i="6" s="1"/>
  <c r="AM74" i="6" a="1"/>
  <c r="AM74" i="6" s="1"/>
  <c r="AM92" i="6" a="1"/>
  <c r="AM92" i="6" s="1"/>
  <c r="AM84" i="6" a="1"/>
  <c r="AM84" i="6" s="1"/>
  <c r="AM111" i="6" a="1"/>
  <c r="AM111" i="6" s="1"/>
  <c r="AM104" i="6" a="1"/>
  <c r="AM104" i="6" s="1"/>
  <c r="AM83" i="6" a="1"/>
  <c r="AM83" i="6" s="1"/>
  <c r="AM81" i="6" a="1"/>
  <c r="AM81" i="6" s="1"/>
  <c r="AM73" i="6" a="1"/>
  <c r="AM73" i="6" s="1"/>
  <c r="AM62" i="6" a="1"/>
  <c r="AM62" i="6" s="1"/>
  <c r="AM102" i="6" a="1"/>
  <c r="AM102" i="6" s="1"/>
  <c r="AM91" i="6" a="1"/>
  <c r="AM91" i="6" s="1"/>
  <c r="AM79" i="6" a="1"/>
  <c r="AM79" i="6" s="1"/>
  <c r="AM94" i="6" a="1"/>
  <c r="AM94" i="6" s="1"/>
  <c r="AM80" i="6" a="1"/>
  <c r="AM80" i="6" s="1"/>
  <c r="AM71" i="6" a="1"/>
  <c r="AM71" i="6" s="1"/>
  <c r="AM67" i="6" a="1"/>
  <c r="AM67" i="6" s="1"/>
  <c r="AM65" i="6" a="1"/>
  <c r="AM65" i="6" s="1"/>
  <c r="AM70" i="6" a="1"/>
  <c r="AM70" i="6" s="1"/>
  <c r="AM66" i="6" a="1"/>
  <c r="AM66" i="6" s="1"/>
  <c r="AM61" i="6" a="1"/>
  <c r="AM61" i="6" s="1"/>
  <c r="AM88" i="6" a="1"/>
  <c r="AM88" i="6" s="1"/>
  <c r="AM56" i="6" a="1"/>
  <c r="AM56" i="6" s="1"/>
  <c r="AM72" i="6" a="1"/>
  <c r="AM72" i="6" s="1"/>
  <c r="AM63" i="6" a="1"/>
  <c r="AM63" i="6" s="1"/>
  <c r="AM60" i="6" a="1"/>
  <c r="AM60" i="6" s="1"/>
  <c r="AM57" i="6" a="1"/>
  <c r="AM57" i="6" s="1"/>
  <c r="AM55" i="6" a="1"/>
  <c r="AM55" i="6" s="1"/>
  <c r="AM75" i="6" a="1"/>
  <c r="AM75" i="6" s="1"/>
  <c r="AM58" i="6" a="1"/>
  <c r="AM58" i="6" s="1"/>
  <c r="AM54" i="6" a="1"/>
  <c r="AM54" i="6" s="1"/>
  <c r="AM64" i="6" a="1"/>
  <c r="AM64" i="6" s="1"/>
  <c r="AM59" i="6" a="1"/>
  <c r="AM59" i="6" s="1"/>
  <c r="AM44" i="6" a="1"/>
  <c r="AM44" i="6" s="1"/>
  <c r="AM69" i="6" a="1"/>
  <c r="AM69" i="6" s="1"/>
  <c r="AM53" i="6" a="1"/>
  <c r="AM53" i="6" s="1"/>
  <c r="AM49" i="6" a="1"/>
  <c r="AM49" i="6" s="1"/>
  <c r="AM39" i="6" a="1"/>
  <c r="AM39" i="6" s="1"/>
  <c r="AM68" i="6" a="1"/>
  <c r="AM68" i="6" s="1"/>
  <c r="AM43" i="6" a="1"/>
  <c r="AM43" i="6" s="1"/>
  <c r="AM35" i="6" a="1"/>
  <c r="AM35" i="6" s="1"/>
  <c r="AM52" i="6" a="1"/>
  <c r="AM52" i="6" s="1"/>
  <c r="AM50" i="6" a="1"/>
  <c r="AM50" i="6" s="1"/>
  <c r="AM42" i="6" a="1"/>
  <c r="AM42" i="6" s="1"/>
  <c r="AM34" i="6" a="1"/>
  <c r="AM34" i="6" s="1"/>
  <c r="AM48" i="6" a="1"/>
  <c r="AM48" i="6" s="1"/>
  <c r="AM51" i="6" a="1"/>
  <c r="AM51" i="6" s="1"/>
  <c r="AM16" i="6" a="1"/>
  <c r="AM16" i="6" s="1"/>
  <c r="AM14" i="6" s="1"/>
  <c r="AM13" i="6" s="1"/>
  <c r="AM12" i="6" s="1"/>
  <c r="AM32" i="6" a="1"/>
  <c r="AM32" i="6" s="1"/>
  <c r="AM29" i="6" a="1"/>
  <c r="AM29" i="6" s="1"/>
  <c r="AM17" i="6" a="1"/>
  <c r="AM17" i="6" s="1"/>
  <c r="AM36" i="6" a="1"/>
  <c r="AM36" i="6" s="1"/>
  <c r="AM25" i="6" a="1"/>
  <c r="AM25" i="6" s="1"/>
  <c r="AM24" i="6" s="1"/>
  <c r="AM37" i="6" a="1"/>
  <c r="AM37" i="6" s="1"/>
  <c r="AM33" i="6" a="1"/>
  <c r="AM33" i="6" s="1"/>
  <c r="AM30" i="6" a="1"/>
  <c r="AM30" i="6" s="1"/>
  <c r="AM21" i="6" a="1"/>
  <c r="AM21" i="6" s="1"/>
  <c r="AM20" i="6" s="1"/>
  <c r="AM28" i="6" a="1"/>
  <c r="AM28" i="6" s="1"/>
  <c r="AM31" i="6" a="1"/>
  <c r="AM31" i="6" s="1"/>
  <c r="AM23" i="6" a="1"/>
  <c r="AM23" i="6" s="1"/>
  <c r="AM22" i="6" s="1"/>
  <c r="AY155" i="6" a="1"/>
  <c r="AY155" i="6" s="1"/>
  <c r="AY152" i="6" a="1"/>
  <c r="AY152" i="6" s="1"/>
  <c r="AY151" i="6" s="1"/>
  <c r="AY150" i="6" s="1"/>
  <c r="AY156" i="6" a="1"/>
  <c r="AY156" i="6" s="1"/>
  <c r="AY148" i="6" a="1"/>
  <c r="AY148" i="6" s="1"/>
  <c r="AY138" i="6" a="1"/>
  <c r="AY138" i="6" s="1"/>
  <c r="AY147" i="6" a="1"/>
  <c r="AY147" i="6" s="1"/>
  <c r="AY146" i="6" s="1"/>
  <c r="AY145" i="6" s="1"/>
  <c r="AY149" i="6" a="1"/>
  <c r="AY149" i="6" s="1"/>
  <c r="AY136" i="6" a="1"/>
  <c r="AY136" i="6" s="1"/>
  <c r="AY129" i="6" a="1"/>
  <c r="AY129" i="6" s="1"/>
  <c r="AY130" i="6" a="1"/>
  <c r="AY130" i="6" s="1"/>
  <c r="AY137" i="6" a="1"/>
  <c r="AY137" i="6" s="1"/>
  <c r="AY132" i="6" a="1"/>
  <c r="AY132" i="6" s="1"/>
  <c r="AY143" i="6" a="1"/>
  <c r="AY143" i="6" s="1"/>
  <c r="AY131" i="6" a="1"/>
  <c r="AY131" i="6" s="1"/>
  <c r="AY144" i="6" a="1"/>
  <c r="AY144" i="6" s="1"/>
  <c r="AY139" i="6" a="1"/>
  <c r="AY139" i="6" s="1"/>
  <c r="AY135" i="6" a="1"/>
  <c r="AY135" i="6" s="1"/>
  <c r="AY121" i="6" a="1"/>
  <c r="AY121" i="6" s="1"/>
  <c r="AY127" i="6" a="1"/>
  <c r="AY127" i="6" s="1"/>
  <c r="AY126" i="6" a="1"/>
  <c r="AY126" i="6" s="1"/>
  <c r="AY122" i="6" a="1"/>
  <c r="AY122" i="6" s="1"/>
  <c r="AY123" i="6" a="1"/>
  <c r="AY123" i="6" s="1"/>
  <c r="AY124" i="6" a="1"/>
  <c r="AY124" i="6" s="1"/>
  <c r="AY133" i="6" a="1"/>
  <c r="AY133" i="6" s="1"/>
  <c r="AY125" i="6" a="1"/>
  <c r="AY125" i="6" s="1"/>
  <c r="AY128" i="6" a="1"/>
  <c r="AY128" i="6" s="1"/>
  <c r="AY117" i="6" a="1"/>
  <c r="AY117" i="6" s="1"/>
  <c r="AY107" i="6" a="1"/>
  <c r="AY107" i="6" s="1"/>
  <c r="AY116" i="6" a="1"/>
  <c r="AY116" i="6" s="1"/>
  <c r="AY115" i="6" a="1"/>
  <c r="AY115" i="6" s="1"/>
  <c r="AY114" i="6" a="1"/>
  <c r="AY114" i="6" s="1"/>
  <c r="AY113" i="6" a="1"/>
  <c r="AY113" i="6" s="1"/>
  <c r="AY119" i="6" a="1"/>
  <c r="AY119" i="6" s="1"/>
  <c r="AY112" i="6" a="1"/>
  <c r="AY112" i="6" s="1"/>
  <c r="AY134" i="6" a="1"/>
  <c r="AY134" i="6" s="1"/>
  <c r="AY106" i="6" a="1"/>
  <c r="AY106" i="6" s="1"/>
  <c r="AY105" i="6" a="1"/>
  <c r="AY105" i="6" s="1"/>
  <c r="AY96" i="6" a="1"/>
  <c r="AY96" i="6" s="1"/>
  <c r="AY110" i="6" a="1"/>
  <c r="AY110" i="6" s="1"/>
  <c r="AY109" i="6" s="1"/>
  <c r="AY108" i="6" s="1"/>
  <c r="AY97" i="6" a="1"/>
  <c r="AY97" i="6" s="1"/>
  <c r="AY103" i="6" a="1"/>
  <c r="AY103" i="6" s="1"/>
  <c r="AY101" i="6" a="1"/>
  <c r="AY101" i="6" s="1"/>
  <c r="AY94" i="6" a="1"/>
  <c r="AY94" i="6" s="1"/>
  <c r="AY98" i="6" a="1"/>
  <c r="AY98" i="6" s="1"/>
  <c r="AY86" i="6" a="1"/>
  <c r="AY86" i="6" s="1"/>
  <c r="AY104" i="6" a="1"/>
  <c r="AY104" i="6" s="1"/>
  <c r="AY99" i="6" a="1"/>
  <c r="AY99" i="6" s="1"/>
  <c r="AY92" i="6" a="1"/>
  <c r="AY92" i="6" s="1"/>
  <c r="AY95" i="6" a="1"/>
  <c r="AY95" i="6" s="1"/>
  <c r="AY111" i="6" a="1"/>
  <c r="AY111" i="6" s="1"/>
  <c r="AY120" i="6" a="1"/>
  <c r="AY120" i="6" s="1"/>
  <c r="AY118" i="6" a="1"/>
  <c r="AY118" i="6" s="1"/>
  <c r="AY88" i="6" a="1"/>
  <c r="AY88" i="6" s="1"/>
  <c r="AY80" i="6" a="1"/>
  <c r="AY80" i="6" s="1"/>
  <c r="AY84" i="6" a="1"/>
  <c r="AY84" i="6" s="1"/>
  <c r="AY74" i="6" a="1"/>
  <c r="AY74" i="6" s="1"/>
  <c r="AY102" i="6" a="1"/>
  <c r="AY102" i="6" s="1"/>
  <c r="AY90" i="6" a="1"/>
  <c r="AY90" i="6" s="1"/>
  <c r="AY85" i="6" a="1"/>
  <c r="AY85" i="6" s="1"/>
  <c r="AY83" i="6" a="1"/>
  <c r="AY83" i="6" s="1"/>
  <c r="AY79" i="6" a="1"/>
  <c r="AY79" i="6" s="1"/>
  <c r="AY82" i="6" a="1"/>
  <c r="AY82" i="6" s="1"/>
  <c r="AY75" i="6" a="1"/>
  <c r="AY75" i="6" s="1"/>
  <c r="AY62" i="6" a="1"/>
  <c r="AY62" i="6" s="1"/>
  <c r="AY100" i="6" a="1"/>
  <c r="AY100" i="6" s="1"/>
  <c r="AY93" i="6" a="1"/>
  <c r="AY93" i="6" s="1"/>
  <c r="AY87" i="6" a="1"/>
  <c r="AY87" i="6" s="1"/>
  <c r="AY71" i="6" a="1"/>
  <c r="AY71" i="6" s="1"/>
  <c r="AY89" i="6" a="1"/>
  <c r="AY89" i="6" s="1"/>
  <c r="AY70" i="6" a="1"/>
  <c r="AY70" i="6" s="1"/>
  <c r="AY73" i="6" a="1"/>
  <c r="AY73" i="6" s="1"/>
  <c r="AY91" i="6" a="1"/>
  <c r="AY91" i="6" s="1"/>
  <c r="AY69" i="6" a="1"/>
  <c r="AY69" i="6" s="1"/>
  <c r="AY68" i="6" a="1"/>
  <c r="AY68" i="6" s="1"/>
  <c r="AY78" i="6" a="1"/>
  <c r="AY78" i="6" s="1"/>
  <c r="AY77" i="6" s="1"/>
  <c r="AY76" i="6" s="1"/>
  <c r="AY63" i="6" a="1"/>
  <c r="AY63" i="6" s="1"/>
  <c r="AY61" i="6" a="1"/>
  <c r="AY61" i="6" s="1"/>
  <c r="AY56" i="6" a="1"/>
  <c r="AY56" i="6" s="1"/>
  <c r="AY64" i="6" a="1"/>
  <c r="AY64" i="6" s="1"/>
  <c r="AY57" i="6" a="1"/>
  <c r="AY57" i="6" s="1"/>
  <c r="AY55" i="6" a="1"/>
  <c r="AY55" i="6" s="1"/>
  <c r="AY58" i="6" a="1"/>
  <c r="AY58" i="6" s="1"/>
  <c r="AY54" i="6" a="1"/>
  <c r="AY54" i="6" s="1"/>
  <c r="AY60" i="6" a="1"/>
  <c r="AY60" i="6" s="1"/>
  <c r="AY81" i="6" a="1"/>
  <c r="AY81" i="6" s="1"/>
  <c r="AY66" i="6" a="1"/>
  <c r="AY66" i="6" s="1"/>
  <c r="AY59" i="6" a="1"/>
  <c r="AY59" i="6" s="1"/>
  <c r="AY52" i="6" a="1"/>
  <c r="AY52" i="6" s="1"/>
  <c r="AY44" i="6" a="1"/>
  <c r="AY44" i="6" s="1"/>
  <c r="AY39" i="6" a="1"/>
  <c r="AY39" i="6" s="1"/>
  <c r="AY72" i="6" a="1"/>
  <c r="AY72" i="6" s="1"/>
  <c r="AY43" i="6" a="1"/>
  <c r="AY43" i="6" s="1"/>
  <c r="AY67" i="6" a="1"/>
  <c r="AY67" i="6" s="1"/>
  <c r="AY35" i="6" a="1"/>
  <c r="AY35" i="6" s="1"/>
  <c r="AY42" i="6" a="1"/>
  <c r="AY42" i="6" s="1"/>
  <c r="AY34" i="6" a="1"/>
  <c r="AY34" i="6" s="1"/>
  <c r="AY49" i="6" a="1"/>
  <c r="AY49" i="6" s="1"/>
  <c r="AY48" i="6" a="1"/>
  <c r="AY48" i="6" s="1"/>
  <c r="AY50" i="6" a="1"/>
  <c r="AY50" i="6" s="1"/>
  <c r="AY28" i="6" a="1"/>
  <c r="AY28" i="6" s="1"/>
  <c r="AY16" i="6" a="1"/>
  <c r="AY16" i="6" s="1"/>
  <c r="AY14" i="6" s="1"/>
  <c r="AY13" i="6" s="1"/>
  <c r="AY12" i="6" s="1"/>
  <c r="AY17" i="6" a="1"/>
  <c r="AY17" i="6" s="1"/>
  <c r="AY65" i="6" a="1"/>
  <c r="AY65" i="6" s="1"/>
  <c r="AY33" i="6" a="1"/>
  <c r="AY33" i="6" s="1"/>
  <c r="AY25" i="6" a="1"/>
  <c r="AY25" i="6" s="1"/>
  <c r="AY24" i="6" s="1"/>
  <c r="AY31" i="6" a="1"/>
  <c r="AY31" i="6" s="1"/>
  <c r="AY53" i="6" a="1"/>
  <c r="AY53" i="6" s="1"/>
  <c r="AY29" i="6" a="1"/>
  <c r="AY29" i="6" s="1"/>
  <c r="AY21" i="6" a="1"/>
  <c r="AY21" i="6" s="1"/>
  <c r="AY20" i="6" s="1"/>
  <c r="AY19" i="6" s="1"/>
  <c r="AY36" i="6" a="1"/>
  <c r="AY36" i="6" s="1"/>
  <c r="AY30" i="6" a="1"/>
  <c r="AY30" i="6" s="1"/>
  <c r="AY23" i="6" a="1"/>
  <c r="AY23" i="6" s="1"/>
  <c r="AY22" i="6" s="1"/>
  <c r="BK147" i="6" a="1"/>
  <c r="BK147" i="6" s="1"/>
  <c r="BK146" i="6" s="1"/>
  <c r="BK145" i="6" s="1"/>
  <c r="BK156" i="6" a="1"/>
  <c r="BK156" i="6" s="1"/>
  <c r="BK149" i="6" a="1"/>
  <c r="BK149" i="6" s="1"/>
  <c r="BK139" i="6" a="1"/>
  <c r="BK139" i="6" s="1"/>
  <c r="BK148" i="6" a="1"/>
  <c r="BK148" i="6" s="1"/>
  <c r="BK144" i="6" a="1"/>
  <c r="BK144" i="6" s="1"/>
  <c r="BK135" i="6" a="1"/>
  <c r="BK135" i="6" s="1"/>
  <c r="BK155" i="6" a="1"/>
  <c r="BK155" i="6" s="1"/>
  <c r="BK154" i="6" s="1"/>
  <c r="BK153" i="6" s="1"/>
  <c r="BK129" i="6" a="1"/>
  <c r="BK129" i="6" s="1"/>
  <c r="BK137" i="6" a="1"/>
  <c r="BK137" i="6" s="1"/>
  <c r="BK133" i="6" a="1"/>
  <c r="BK133" i="6" s="1"/>
  <c r="BK130" i="6" a="1"/>
  <c r="BK130" i="6" s="1"/>
  <c r="BK152" i="6" a="1"/>
  <c r="BK152" i="6" s="1"/>
  <c r="BK151" i="6" s="1"/>
  <c r="BK150" i="6" s="1"/>
  <c r="BK136" i="6" a="1"/>
  <c r="BK136" i="6" s="1"/>
  <c r="BK138" i="6" a="1"/>
  <c r="BK138" i="6" s="1"/>
  <c r="BK143" i="6" a="1"/>
  <c r="BK143" i="6" s="1"/>
  <c r="BK134" i="6" a="1"/>
  <c r="BK134" i="6" s="1"/>
  <c r="BK121" i="6" a="1"/>
  <c r="BK121" i="6" s="1"/>
  <c r="BK122" i="6" a="1"/>
  <c r="BK122" i="6" s="1"/>
  <c r="BK123" i="6" a="1"/>
  <c r="BK123" i="6" s="1"/>
  <c r="BK128" i="6" a="1"/>
  <c r="BK128" i="6" s="1"/>
  <c r="BK124" i="6" a="1"/>
  <c r="BK124" i="6" s="1"/>
  <c r="BK125" i="6" a="1"/>
  <c r="BK125" i="6" s="1"/>
  <c r="BK117" i="6" a="1"/>
  <c r="BK117" i="6" s="1"/>
  <c r="BK107" i="6" a="1"/>
  <c r="BK107" i="6" s="1"/>
  <c r="BK116" i="6" a="1"/>
  <c r="BK116" i="6" s="1"/>
  <c r="BK127" i="6" a="1"/>
  <c r="BK127" i="6" s="1"/>
  <c r="BK115" i="6" a="1"/>
  <c r="BK115" i="6" s="1"/>
  <c r="BK118" i="6" a="1"/>
  <c r="BK118" i="6" s="1"/>
  <c r="BK114" i="6" a="1"/>
  <c r="BK114" i="6" s="1"/>
  <c r="BK113" i="6" a="1"/>
  <c r="BK113" i="6" s="1"/>
  <c r="BK112" i="6" a="1"/>
  <c r="BK112" i="6" s="1"/>
  <c r="BK119" i="6" a="1"/>
  <c r="BK119" i="6" s="1"/>
  <c r="BK132" i="6" a="1"/>
  <c r="BK132" i="6" s="1"/>
  <c r="BK131" i="6" a="1"/>
  <c r="BK131" i="6" s="1"/>
  <c r="BK110" i="6" a="1"/>
  <c r="BK110" i="6" s="1"/>
  <c r="BK96" i="6" a="1"/>
  <c r="BK96" i="6" s="1"/>
  <c r="BK97" i="6" a="1"/>
  <c r="BK97" i="6" s="1"/>
  <c r="BK105" i="6" a="1"/>
  <c r="BK105" i="6" s="1"/>
  <c r="BK103" i="6" a="1"/>
  <c r="BK103" i="6" s="1"/>
  <c r="BK98" i="6" a="1"/>
  <c r="BK98" i="6" s="1"/>
  <c r="BK126" i="6" a="1"/>
  <c r="BK126" i="6" s="1"/>
  <c r="BK95" i="6" a="1"/>
  <c r="BK95" i="6" s="1"/>
  <c r="BK86" i="6" a="1"/>
  <c r="BK86" i="6" s="1"/>
  <c r="BK120" i="6" a="1"/>
  <c r="BK120" i="6" s="1"/>
  <c r="BK101" i="6" a="1"/>
  <c r="BK101" i="6" s="1"/>
  <c r="BK100" i="6" a="1"/>
  <c r="BK100" i="6" s="1"/>
  <c r="BK94" i="6" a="1"/>
  <c r="BK94" i="6" s="1"/>
  <c r="BK89" i="6" a="1"/>
  <c r="BK89" i="6" s="1"/>
  <c r="BK111" i="6" a="1"/>
  <c r="BK111" i="6" s="1"/>
  <c r="BK99" i="6" a="1"/>
  <c r="BK99" i="6" s="1"/>
  <c r="BK90" i="6" a="1"/>
  <c r="BK90" i="6" s="1"/>
  <c r="BK93" i="6" a="1"/>
  <c r="BK93" i="6" s="1"/>
  <c r="BK88" i="6" a="1"/>
  <c r="BK88" i="6" s="1"/>
  <c r="BK91" i="6" a="1"/>
  <c r="BK91" i="6" s="1"/>
  <c r="BK102" i="6" a="1"/>
  <c r="BK102" i="6" s="1"/>
  <c r="BK83" i="6" a="1"/>
  <c r="BK83" i="6" s="1"/>
  <c r="BK74" i="6" a="1"/>
  <c r="BK74" i="6" s="1"/>
  <c r="BK92" i="6" a="1"/>
  <c r="BK92" i="6" s="1"/>
  <c r="BK106" i="6" a="1"/>
  <c r="BK106" i="6" s="1"/>
  <c r="BK85" i="6" a="1"/>
  <c r="BK85" i="6" s="1"/>
  <c r="BK87" i="6" a="1"/>
  <c r="BK87" i="6" s="1"/>
  <c r="BK84" i="6" a="1"/>
  <c r="BK84" i="6" s="1"/>
  <c r="BK62" i="6" a="1"/>
  <c r="BK62" i="6" s="1"/>
  <c r="BK81" i="6" a="1"/>
  <c r="BK81" i="6" s="1"/>
  <c r="BK79" i="6" a="1"/>
  <c r="BK79" i="6" s="1"/>
  <c r="BK78" i="6" a="1"/>
  <c r="BK78" i="6" s="1"/>
  <c r="BK75" i="6" a="1"/>
  <c r="BK75" i="6" s="1"/>
  <c r="BK71" i="6" a="1"/>
  <c r="BK71" i="6" s="1"/>
  <c r="BK65" i="6" a="1"/>
  <c r="BK65" i="6" s="1"/>
  <c r="BK63" i="6" a="1"/>
  <c r="BK63" i="6" s="1"/>
  <c r="BK68" i="6" a="1"/>
  <c r="BK68" i="6" s="1"/>
  <c r="BK73" i="6" a="1"/>
  <c r="BK73" i="6" s="1"/>
  <c r="BK72" i="6" a="1"/>
  <c r="BK72" i="6" s="1"/>
  <c r="BK80" i="6" a="1"/>
  <c r="BK80" i="6" s="1"/>
  <c r="BK67" i="6" a="1"/>
  <c r="BK67" i="6" s="1"/>
  <c r="BK104" i="6" a="1"/>
  <c r="BK104" i="6" s="1"/>
  <c r="BK56" i="6" a="1"/>
  <c r="BK56" i="6" s="1"/>
  <c r="BK64" i="6" a="1"/>
  <c r="BK64" i="6" s="1"/>
  <c r="BK57" i="6" a="1"/>
  <c r="BK57" i="6" s="1"/>
  <c r="BK55" i="6" a="1"/>
  <c r="BK55" i="6" s="1"/>
  <c r="BK58" i="6" a="1"/>
  <c r="BK58" i="6" s="1"/>
  <c r="BK54" i="6" a="1"/>
  <c r="BK54" i="6" s="1"/>
  <c r="BK82" i="6" a="1"/>
  <c r="BK82" i="6" s="1"/>
  <c r="BK69" i="6" a="1"/>
  <c r="BK69" i="6" s="1"/>
  <c r="BK70" i="6" a="1"/>
  <c r="BK70" i="6" s="1"/>
  <c r="BK61" i="6" a="1"/>
  <c r="BK61" i="6" s="1"/>
  <c r="BK60" i="6" a="1"/>
  <c r="BK60" i="6" s="1"/>
  <c r="BK50" i="6" a="1"/>
  <c r="BK50" i="6" s="1"/>
  <c r="BK44" i="6" a="1"/>
  <c r="BK44" i="6" s="1"/>
  <c r="BK59" i="6" a="1"/>
  <c r="BK59" i="6" s="1"/>
  <c r="BK39" i="6" a="1"/>
  <c r="BK39" i="6" s="1"/>
  <c r="BK43" i="6" a="1"/>
  <c r="BK43" i="6" s="1"/>
  <c r="BK51" i="6" a="1"/>
  <c r="BK51" i="6" s="1"/>
  <c r="BK35" i="6" a="1"/>
  <c r="BK35" i="6" s="1"/>
  <c r="BK42" i="6" a="1"/>
  <c r="BK42" i="6" s="1"/>
  <c r="BK34" i="6" a="1"/>
  <c r="BK34" i="6" s="1"/>
  <c r="BK48" i="6" a="1"/>
  <c r="BK48" i="6" s="1"/>
  <c r="BK66" i="6" a="1"/>
  <c r="BK66" i="6" s="1"/>
  <c r="BK53" i="6" a="1"/>
  <c r="BK53" i="6" s="1"/>
  <c r="BK52" i="6" a="1"/>
  <c r="BK52" i="6" s="1"/>
  <c r="BK49" i="6" a="1"/>
  <c r="BK49" i="6" s="1"/>
  <c r="BK16" i="6" a="1"/>
  <c r="BK16" i="6" s="1"/>
  <c r="BK30" i="6" a="1"/>
  <c r="BK30" i="6" s="1"/>
  <c r="BK17" i="6" a="1"/>
  <c r="BK17" i="6" s="1"/>
  <c r="BK33" i="6" a="1"/>
  <c r="BK33" i="6" s="1"/>
  <c r="BK36" i="6" a="1"/>
  <c r="BK36" i="6" s="1"/>
  <c r="BK25" i="6" a="1"/>
  <c r="BK25" i="6" s="1"/>
  <c r="BK24" i="6" s="1"/>
  <c r="BK28" i="6" a="1"/>
  <c r="BK28" i="6" s="1"/>
  <c r="BK37" i="6" a="1"/>
  <c r="BK37" i="6" s="1"/>
  <c r="BK21" i="6" a="1"/>
  <c r="BK21" i="6" s="1"/>
  <c r="BK20" i="6" s="1"/>
  <c r="BK32" i="6" a="1"/>
  <c r="BK32" i="6" s="1"/>
  <c r="BK29" i="6" a="1"/>
  <c r="BK29" i="6" s="1"/>
  <c r="BK31" i="6" a="1"/>
  <c r="BK31" i="6" s="1"/>
  <c r="BK23" i="6" a="1"/>
  <c r="BK23" i="6" s="1"/>
  <c r="BK22" i="6" s="1"/>
  <c r="W17" i="6" a="1"/>
  <c r="W17" i="6" s="1"/>
  <c r="BA17" i="6" a="1"/>
  <c r="BA17" i="6" s="1"/>
  <c r="R19" i="6"/>
  <c r="R18" i="6" s="1"/>
  <c r="Y33" i="6" a="1"/>
  <c r="Y33" i="6" s="1"/>
  <c r="AB152" i="6" a="1"/>
  <c r="AB152" i="6" s="1"/>
  <c r="AB151" i="6" s="1"/>
  <c r="AB150" i="6" s="1"/>
  <c r="AB156" i="6" a="1"/>
  <c r="AB156" i="6" s="1"/>
  <c r="AB155" i="6" a="1"/>
  <c r="AB155" i="6" s="1"/>
  <c r="AB149" i="6" a="1"/>
  <c r="AB149" i="6" s="1"/>
  <c r="AB143" i="6" a="1"/>
  <c r="AB143" i="6" s="1"/>
  <c r="AB147" i="6" a="1"/>
  <c r="AB147" i="6" s="1"/>
  <c r="AB138" i="6" a="1"/>
  <c r="AB138" i="6" s="1"/>
  <c r="AB135" i="6" a="1"/>
  <c r="AB135" i="6" s="1"/>
  <c r="AB131" i="6" a="1"/>
  <c r="AB131" i="6" s="1"/>
  <c r="AB132" i="6" a="1"/>
  <c r="AB132" i="6" s="1"/>
  <c r="AB144" i="6" a="1"/>
  <c r="AB144" i="6" s="1"/>
  <c r="AB134" i="6" a="1"/>
  <c r="AB134" i="6" s="1"/>
  <c r="AB136" i="6" a="1"/>
  <c r="AB136" i="6" s="1"/>
  <c r="AB123" i="6" a="1"/>
  <c r="AB123" i="6" s="1"/>
  <c r="AB139" i="6" a="1"/>
  <c r="AB139" i="6" s="1"/>
  <c r="AB124" i="6" a="1"/>
  <c r="AB124" i="6" s="1"/>
  <c r="AB137" i="6" a="1"/>
  <c r="AB137" i="6" s="1"/>
  <c r="AB128" i="6" a="1"/>
  <c r="AB128" i="6" s="1"/>
  <c r="AB125" i="6" a="1"/>
  <c r="AB125" i="6" s="1"/>
  <c r="AB126" i="6" a="1"/>
  <c r="AB126" i="6" s="1"/>
  <c r="AB130" i="6" a="1"/>
  <c r="AB130" i="6" s="1"/>
  <c r="AB129" i="6" a="1"/>
  <c r="AB129" i="6" s="1"/>
  <c r="AB148" i="6" a="1"/>
  <c r="AB148" i="6" s="1"/>
  <c r="AB115" i="6" a="1"/>
  <c r="AB115" i="6" s="1"/>
  <c r="AB127" i="6" a="1"/>
  <c r="AB127" i="6" s="1"/>
  <c r="AB114" i="6" a="1"/>
  <c r="AB114" i="6" s="1"/>
  <c r="AB113" i="6" a="1"/>
  <c r="AB113" i="6" s="1"/>
  <c r="AB121" i="6" a="1"/>
  <c r="AB121" i="6" s="1"/>
  <c r="AB112" i="6" a="1"/>
  <c r="AB112" i="6" s="1"/>
  <c r="AB122" i="6" a="1"/>
  <c r="AB122" i="6" s="1"/>
  <c r="AB120" i="6" a="1"/>
  <c r="AB120" i="6" s="1"/>
  <c r="AB110" i="6" a="1"/>
  <c r="AB110" i="6" s="1"/>
  <c r="AB117" i="6" a="1"/>
  <c r="AB117" i="6" s="1"/>
  <c r="AB133" i="6" a="1"/>
  <c r="AB133" i="6" s="1"/>
  <c r="AB111" i="6" a="1"/>
  <c r="AB111" i="6" s="1"/>
  <c r="AB97" i="6" a="1"/>
  <c r="AB97" i="6" s="1"/>
  <c r="AB105" i="6" a="1"/>
  <c r="AB105" i="6" s="1"/>
  <c r="AB98" i="6" a="1"/>
  <c r="AB98" i="6" s="1"/>
  <c r="AB99" i="6" a="1"/>
  <c r="AB99" i="6" s="1"/>
  <c r="AB119" i="6" a="1"/>
  <c r="AB119" i="6" s="1"/>
  <c r="AB118" i="6" a="1"/>
  <c r="AB118" i="6" s="1"/>
  <c r="AB116" i="6" a="1"/>
  <c r="AB116" i="6" s="1"/>
  <c r="AB107" i="6" a="1"/>
  <c r="AB107" i="6" s="1"/>
  <c r="AB101" i="6" a="1"/>
  <c r="AB101" i="6" s="1"/>
  <c r="AB88" i="6" a="1"/>
  <c r="AB88" i="6" s="1"/>
  <c r="AB93" i="6" a="1"/>
  <c r="AB93" i="6" s="1"/>
  <c r="AB103" i="6" a="1"/>
  <c r="AB103" i="6" s="1"/>
  <c r="AB94" i="6" a="1"/>
  <c r="AB94" i="6" s="1"/>
  <c r="AB96" i="6" a="1"/>
  <c r="AB96" i="6" s="1"/>
  <c r="AB95" i="6" a="1"/>
  <c r="AB95" i="6" s="1"/>
  <c r="AB89" i="6" a="1"/>
  <c r="AB89" i="6" s="1"/>
  <c r="AB87" i="6" a="1"/>
  <c r="AB87" i="6" s="1"/>
  <c r="AB83" i="6" a="1"/>
  <c r="AB83" i="6" s="1"/>
  <c r="AB74" i="6" a="1"/>
  <c r="AB74" i="6" s="1"/>
  <c r="AB92" i="6" a="1"/>
  <c r="AB92" i="6" s="1"/>
  <c r="AB80" i="6" a="1"/>
  <c r="AB80" i="6" s="1"/>
  <c r="AB106" i="6" a="1"/>
  <c r="AB106" i="6" s="1"/>
  <c r="AB102" i="6" a="1"/>
  <c r="AB102" i="6" s="1"/>
  <c r="AB72" i="6" a="1"/>
  <c r="AB72" i="6" s="1"/>
  <c r="AB85" i="6" a="1"/>
  <c r="AB85" i="6" s="1"/>
  <c r="AB64" i="6" a="1"/>
  <c r="AB64" i="6" s="1"/>
  <c r="AB104" i="6" a="1"/>
  <c r="AB104" i="6" s="1"/>
  <c r="AB90" i="6" a="1"/>
  <c r="AB90" i="6" s="1"/>
  <c r="AB84" i="6" a="1"/>
  <c r="AB84" i="6" s="1"/>
  <c r="AB81" i="6" a="1"/>
  <c r="AB81" i="6" s="1"/>
  <c r="AB78" i="6" a="1"/>
  <c r="AB78" i="6" s="1"/>
  <c r="AB73" i="6" a="1"/>
  <c r="AB73" i="6" s="1"/>
  <c r="AB68" i="6" a="1"/>
  <c r="AB68" i="6" s="1"/>
  <c r="AB67" i="6" a="1"/>
  <c r="AB67" i="6" s="1"/>
  <c r="AB70" i="6" a="1"/>
  <c r="AB70" i="6" s="1"/>
  <c r="AB91" i="6" a="1"/>
  <c r="AB91" i="6" s="1"/>
  <c r="AB86" i="6" a="1"/>
  <c r="AB86" i="6" s="1"/>
  <c r="AB82" i="6" a="1"/>
  <c r="AB82" i="6" s="1"/>
  <c r="AB79" i="6" a="1"/>
  <c r="AB79" i="6" s="1"/>
  <c r="AB60" i="6" a="1"/>
  <c r="AB60" i="6" s="1"/>
  <c r="AB57" i="6" a="1"/>
  <c r="AB57" i="6" s="1"/>
  <c r="AB55" i="6" a="1"/>
  <c r="AB55" i="6" s="1"/>
  <c r="AB100" i="6" a="1"/>
  <c r="AB100" i="6" s="1"/>
  <c r="AB61" i="6" a="1"/>
  <c r="AB61" i="6" s="1"/>
  <c r="AB58" i="6" a="1"/>
  <c r="AB58" i="6" s="1"/>
  <c r="AB71" i="6" a="1"/>
  <c r="AB71" i="6" s="1"/>
  <c r="AB66" i="6" a="1"/>
  <c r="AB66" i="6" s="1"/>
  <c r="AB62" i="6" a="1"/>
  <c r="AB62" i="6" s="1"/>
  <c r="AB59" i="6" a="1"/>
  <c r="AB59" i="6" s="1"/>
  <c r="AB53" i="6" a="1"/>
  <c r="AB53" i="6" s="1"/>
  <c r="AB52" i="6" a="1"/>
  <c r="AB52" i="6" s="1"/>
  <c r="AB65" i="6" a="1"/>
  <c r="AB65" i="6" s="1"/>
  <c r="AB63" i="6" a="1"/>
  <c r="AB63" i="6" s="1"/>
  <c r="AB69" i="6" a="1"/>
  <c r="AB69" i="6" s="1"/>
  <c r="AB75" i="6" a="1"/>
  <c r="AB75" i="6" s="1"/>
  <c r="AB43" i="6" a="1"/>
  <c r="AB43" i="6" s="1"/>
  <c r="AB51" i="6" a="1"/>
  <c r="AB51" i="6" s="1"/>
  <c r="AB35" i="6" a="1"/>
  <c r="AB35" i="6" s="1"/>
  <c r="AB56" i="6" a="1"/>
  <c r="AB56" i="6" s="1"/>
  <c r="AB42" i="6" a="1"/>
  <c r="AB42" i="6" s="1"/>
  <c r="AB41" i="6" s="1"/>
  <c r="AB40" i="6" s="1"/>
  <c r="AB34" i="6" a="1"/>
  <c r="AB34" i="6" s="1"/>
  <c r="AB48" i="6" a="1"/>
  <c r="AB48" i="6" s="1"/>
  <c r="AB33" i="6" a="1"/>
  <c r="AB33" i="6" s="1"/>
  <c r="AB37" i="6" a="1"/>
  <c r="AB37" i="6" s="1"/>
  <c r="AB49" i="6" a="1"/>
  <c r="AB49" i="6" s="1"/>
  <c r="AB54" i="6" a="1"/>
  <c r="AB54" i="6" s="1"/>
  <c r="AB25" i="6" a="1"/>
  <c r="AB25" i="6" s="1"/>
  <c r="AB24" i="6" s="1"/>
  <c r="AB32" i="6" a="1"/>
  <c r="AB32" i="6" s="1"/>
  <c r="AB31" i="6" a="1"/>
  <c r="AB31" i="6" s="1"/>
  <c r="AB39" i="6" a="1"/>
  <c r="AB39" i="6" s="1"/>
  <c r="AB21" i="6" a="1"/>
  <c r="AB21" i="6" s="1"/>
  <c r="AB20" i="6" s="1"/>
  <c r="AB19" i="6" s="1"/>
  <c r="AB28" i="6" a="1"/>
  <c r="AB28" i="6" s="1"/>
  <c r="AB27" i="6" s="1"/>
  <c r="AB50" i="6" a="1"/>
  <c r="AB50" i="6" s="1"/>
  <c r="AB36" i="6" a="1"/>
  <c r="AB36" i="6" s="1"/>
  <c r="AB29" i="6" a="1"/>
  <c r="AB29" i="6" s="1"/>
  <c r="AB23" i="6" a="1"/>
  <c r="AB23" i="6" s="1"/>
  <c r="AB22" i="6" s="1"/>
  <c r="AB44" i="6" a="1"/>
  <c r="AB44" i="6" s="1"/>
  <c r="AN152" i="6" a="1"/>
  <c r="AN152" i="6" s="1"/>
  <c r="AN151" i="6" s="1"/>
  <c r="AN150" i="6" s="1"/>
  <c r="AN156" i="6" a="1"/>
  <c r="AN156" i="6" s="1"/>
  <c r="AN149" i="6" a="1"/>
  <c r="AN149" i="6" s="1"/>
  <c r="AN148" i="6" a="1"/>
  <c r="AN148" i="6" s="1"/>
  <c r="AN155" i="6" a="1"/>
  <c r="AN155" i="6" s="1"/>
  <c r="AN154" i="6" s="1"/>
  <c r="AN153" i="6" s="1"/>
  <c r="AN147" i="6" a="1"/>
  <c r="AN147" i="6" s="1"/>
  <c r="AN137" i="6" a="1"/>
  <c r="AN137" i="6" s="1"/>
  <c r="AN138" i="6" a="1"/>
  <c r="AN138" i="6" s="1"/>
  <c r="AN131" i="6" a="1"/>
  <c r="AN131" i="6" s="1"/>
  <c r="AN132" i="6" a="1"/>
  <c r="AN132" i="6" s="1"/>
  <c r="AN136" i="6" a="1"/>
  <c r="AN136" i="6" s="1"/>
  <c r="AN133" i="6" a="1"/>
  <c r="AN133" i="6" s="1"/>
  <c r="AN144" i="6" a="1"/>
  <c r="AN144" i="6" s="1"/>
  <c r="AN143" i="6" a="1"/>
  <c r="AN143" i="6" s="1"/>
  <c r="AN142" i="6" s="1"/>
  <c r="AN141" i="6" s="1"/>
  <c r="AN139" i="6" a="1"/>
  <c r="AN139" i="6" s="1"/>
  <c r="AN130" i="6" a="1"/>
  <c r="AN130" i="6" s="1"/>
  <c r="AN134" i="6" a="1"/>
  <c r="AN134" i="6" s="1"/>
  <c r="AN123" i="6" a="1"/>
  <c r="AN123" i="6" s="1"/>
  <c r="AN124" i="6" a="1"/>
  <c r="AN124" i="6" s="1"/>
  <c r="AN125" i="6" a="1"/>
  <c r="AN125" i="6" s="1"/>
  <c r="AN135" i="6" a="1"/>
  <c r="AN135" i="6" s="1"/>
  <c r="AN129" i="6" a="1"/>
  <c r="AN129" i="6" s="1"/>
  <c r="AN127" i="6" a="1"/>
  <c r="AN127" i="6" s="1"/>
  <c r="AN115" i="6" a="1"/>
  <c r="AN115" i="6" s="1"/>
  <c r="AN120" i="6" a="1"/>
  <c r="AN120" i="6" s="1"/>
  <c r="AN114" i="6" a="1"/>
  <c r="AN114" i="6" s="1"/>
  <c r="AN113" i="6" a="1"/>
  <c r="AN113" i="6" s="1"/>
  <c r="AN122" i="6" a="1"/>
  <c r="AN122" i="6" s="1"/>
  <c r="AN112" i="6" a="1"/>
  <c r="AN112" i="6" s="1"/>
  <c r="AN128" i="6" a="1"/>
  <c r="AN128" i="6" s="1"/>
  <c r="AN110" i="6" a="1"/>
  <c r="AN110" i="6" s="1"/>
  <c r="AN109" i="6" s="1"/>
  <c r="AN108" i="6" s="1"/>
  <c r="AN126" i="6" a="1"/>
  <c r="AN126" i="6" s="1"/>
  <c r="AN117" i="6" a="1"/>
  <c r="AN117" i="6" s="1"/>
  <c r="AN121" i="6" a="1"/>
  <c r="AN121" i="6" s="1"/>
  <c r="AN116" i="6" a="1"/>
  <c r="AN116" i="6" s="1"/>
  <c r="AN107" i="6" a="1"/>
  <c r="AN107" i="6" s="1"/>
  <c r="AN96" i="6" a="1"/>
  <c r="AN96" i="6" s="1"/>
  <c r="AN106" i="6" a="1"/>
  <c r="AN106" i="6" s="1"/>
  <c r="AN97" i="6" a="1"/>
  <c r="AN97" i="6" s="1"/>
  <c r="AN119" i="6" a="1"/>
  <c r="AN119" i="6" s="1"/>
  <c r="AN98" i="6" a="1"/>
  <c r="AN98" i="6" s="1"/>
  <c r="AN99" i="6" a="1"/>
  <c r="AN99" i="6" s="1"/>
  <c r="AN111" i="6" a="1"/>
  <c r="AN111" i="6" s="1"/>
  <c r="AN101" i="6" a="1"/>
  <c r="AN101" i="6" s="1"/>
  <c r="AN88" i="6" a="1"/>
  <c r="AN88" i="6" s="1"/>
  <c r="AN118" i="6" a="1"/>
  <c r="AN118" i="6" s="1"/>
  <c r="AN105" i="6" a="1"/>
  <c r="AN105" i="6" s="1"/>
  <c r="AN90" i="6" a="1"/>
  <c r="AN90" i="6" s="1"/>
  <c r="AN104" i="6" a="1"/>
  <c r="AN104" i="6" s="1"/>
  <c r="AN94" i="6" a="1"/>
  <c r="AN94" i="6" s="1"/>
  <c r="AN95" i="6" a="1"/>
  <c r="AN95" i="6" s="1"/>
  <c r="AN89" i="6" a="1"/>
  <c r="AN89" i="6" s="1"/>
  <c r="AN85" i="6" a="1"/>
  <c r="AN85" i="6" s="1"/>
  <c r="AN82" i="6" a="1"/>
  <c r="AN82" i="6" s="1"/>
  <c r="AN78" i="6" a="1"/>
  <c r="AN78" i="6" s="1"/>
  <c r="AN77" i="6" s="1"/>
  <c r="AN76" i="6" s="1"/>
  <c r="AN74" i="6" a="1"/>
  <c r="AN74" i="6" s="1"/>
  <c r="AN100" i="6" a="1"/>
  <c r="AN100" i="6" s="1"/>
  <c r="AN92" i="6" a="1"/>
  <c r="AN92" i="6" s="1"/>
  <c r="AN102" i="6" a="1"/>
  <c r="AN102" i="6" s="1"/>
  <c r="AN91" i="6" a="1"/>
  <c r="AN91" i="6" s="1"/>
  <c r="AN86" i="6" a="1"/>
  <c r="AN86" i="6" s="1"/>
  <c r="AN83" i="6" a="1"/>
  <c r="AN83" i="6" s="1"/>
  <c r="AN81" i="6" a="1"/>
  <c r="AN81" i="6" s="1"/>
  <c r="AN73" i="6" a="1"/>
  <c r="AN73" i="6" s="1"/>
  <c r="AN93" i="6" a="1"/>
  <c r="AN93" i="6" s="1"/>
  <c r="AN72" i="6" a="1"/>
  <c r="AN72" i="6" s="1"/>
  <c r="AN64" i="6" a="1"/>
  <c r="AN64" i="6" s="1"/>
  <c r="AN84" i="6" a="1"/>
  <c r="AN84" i="6" s="1"/>
  <c r="AN79" i="6" a="1"/>
  <c r="AN79" i="6" s="1"/>
  <c r="AN80" i="6" a="1"/>
  <c r="AN80" i="6" s="1"/>
  <c r="AN103" i="6" a="1"/>
  <c r="AN103" i="6" s="1"/>
  <c r="AN69" i="6" a="1"/>
  <c r="AN69" i="6" s="1"/>
  <c r="AN70" i="6" a="1"/>
  <c r="AN70" i="6" s="1"/>
  <c r="AN66" i="6" a="1"/>
  <c r="AN66" i="6" s="1"/>
  <c r="AN61" i="6" a="1"/>
  <c r="AN61" i="6" s="1"/>
  <c r="AN87" i="6" a="1"/>
  <c r="AN87" i="6" s="1"/>
  <c r="AN60" i="6" a="1"/>
  <c r="AN60" i="6" s="1"/>
  <c r="AN57" i="6" a="1"/>
  <c r="AN57" i="6" s="1"/>
  <c r="AN55" i="6" a="1"/>
  <c r="AN55" i="6" s="1"/>
  <c r="AN63" i="6" a="1"/>
  <c r="AN63" i="6" s="1"/>
  <c r="AN58" i="6" a="1"/>
  <c r="AN58" i="6" s="1"/>
  <c r="AN75" i="6" a="1"/>
  <c r="AN75" i="6" s="1"/>
  <c r="AN53" i="6" a="1"/>
  <c r="AN53" i="6" s="1"/>
  <c r="AN59" i="6" a="1"/>
  <c r="AN59" i="6" s="1"/>
  <c r="AN52" i="6" a="1"/>
  <c r="AN52" i="6" s="1"/>
  <c r="AN67" i="6" a="1"/>
  <c r="AN67" i="6" s="1"/>
  <c r="AN68" i="6" a="1"/>
  <c r="AN68" i="6" s="1"/>
  <c r="AN43" i="6" a="1"/>
  <c r="AN43" i="6" s="1"/>
  <c r="AN71" i="6" a="1"/>
  <c r="AN71" i="6" s="1"/>
  <c r="AN35" i="6" a="1"/>
  <c r="AN35" i="6" s="1"/>
  <c r="AN56" i="6" a="1"/>
  <c r="AN56" i="6" s="1"/>
  <c r="AN50" i="6" a="1"/>
  <c r="AN50" i="6" s="1"/>
  <c r="AN42" i="6" a="1"/>
  <c r="AN42" i="6" s="1"/>
  <c r="AN34" i="6" a="1"/>
  <c r="AN34" i="6" s="1"/>
  <c r="AN48" i="6" a="1"/>
  <c r="AN48" i="6" s="1"/>
  <c r="AN33" i="6" a="1"/>
  <c r="AN33" i="6" s="1"/>
  <c r="AN51" i="6" a="1"/>
  <c r="AN51" i="6" s="1"/>
  <c r="AN54" i="6" a="1"/>
  <c r="AN54" i="6" s="1"/>
  <c r="AN37" i="6" a="1"/>
  <c r="AN37" i="6" s="1"/>
  <c r="AN29" i="6" a="1"/>
  <c r="AN29" i="6" s="1"/>
  <c r="AN49" i="6" a="1"/>
  <c r="AN49" i="6" s="1"/>
  <c r="AN25" i="6" a="1"/>
  <c r="AN25" i="6" s="1"/>
  <c r="AN24" i="6" s="1"/>
  <c r="AN36" i="6" a="1"/>
  <c r="AN36" i="6" s="1"/>
  <c r="AN30" i="6" a="1"/>
  <c r="AN30" i="6" s="1"/>
  <c r="AN21" i="6" a="1"/>
  <c r="AN21" i="6" s="1"/>
  <c r="AN20" i="6" s="1"/>
  <c r="AN65" i="6" a="1"/>
  <c r="AN65" i="6" s="1"/>
  <c r="AN62" i="6" a="1"/>
  <c r="AN62" i="6" s="1"/>
  <c r="AN44" i="6" a="1"/>
  <c r="AN44" i="6" s="1"/>
  <c r="AN28" i="6" a="1"/>
  <c r="AN28" i="6" s="1"/>
  <c r="AN31" i="6" a="1"/>
  <c r="AN31" i="6" s="1"/>
  <c r="AN23" i="6" a="1"/>
  <c r="AN23" i="6" s="1"/>
  <c r="AN22" i="6" s="1"/>
  <c r="AN39" i="6" a="1"/>
  <c r="AN39" i="6" s="1"/>
  <c r="AZ152" i="6" a="1"/>
  <c r="AZ152" i="6" s="1"/>
  <c r="AZ151" i="6" s="1"/>
  <c r="AZ150" i="6" s="1"/>
  <c r="AZ155" i="6" a="1"/>
  <c r="AZ155" i="6" s="1"/>
  <c r="AZ154" i="6" s="1"/>
  <c r="AZ153" i="6" s="1"/>
  <c r="AZ148" i="6" a="1"/>
  <c r="AZ148" i="6" s="1"/>
  <c r="AZ147" i="6" a="1"/>
  <c r="AZ147" i="6" s="1"/>
  <c r="AZ156" i="6" a="1"/>
  <c r="AZ156" i="6" s="1"/>
  <c r="AZ149" i="6" a="1"/>
  <c r="AZ149" i="6" s="1"/>
  <c r="AZ144" i="6" a="1"/>
  <c r="AZ144" i="6" s="1"/>
  <c r="AZ135" i="6" a="1"/>
  <c r="AZ135" i="6" s="1"/>
  <c r="AZ134" i="6" a="1"/>
  <c r="AZ134" i="6" s="1"/>
  <c r="AZ131" i="6" a="1"/>
  <c r="AZ131" i="6" s="1"/>
  <c r="AZ137" i="6" a="1"/>
  <c r="AZ137" i="6" s="1"/>
  <c r="AZ136" i="6" a="1"/>
  <c r="AZ136" i="6" s="1"/>
  <c r="AZ132" i="6" a="1"/>
  <c r="AZ132" i="6" s="1"/>
  <c r="AZ129" i="6" a="1"/>
  <c r="AZ129" i="6" s="1"/>
  <c r="AZ139" i="6" a="1"/>
  <c r="AZ139" i="6" s="1"/>
  <c r="AZ123" i="6" a="1"/>
  <c r="AZ123" i="6" s="1"/>
  <c r="AZ124" i="6" a="1"/>
  <c r="AZ124" i="6" s="1"/>
  <c r="AZ133" i="6" a="1"/>
  <c r="AZ133" i="6" s="1"/>
  <c r="AZ125" i="6" a="1"/>
  <c r="AZ125" i="6" s="1"/>
  <c r="AZ128" i="6" a="1"/>
  <c r="AZ128" i="6" s="1"/>
  <c r="AZ115" i="6" a="1"/>
  <c r="AZ115" i="6" s="1"/>
  <c r="AZ122" i="6" a="1"/>
  <c r="AZ122" i="6" s="1"/>
  <c r="AZ114" i="6" a="1"/>
  <c r="AZ114" i="6" s="1"/>
  <c r="AZ113" i="6" a="1"/>
  <c r="AZ113" i="6" s="1"/>
  <c r="AZ143" i="6" a="1"/>
  <c r="AZ143" i="6" s="1"/>
  <c r="AZ142" i="6" s="1"/>
  <c r="AZ141" i="6" s="1"/>
  <c r="AZ126" i="6" a="1"/>
  <c r="AZ126" i="6" s="1"/>
  <c r="AZ119" i="6" a="1"/>
  <c r="AZ119" i="6" s="1"/>
  <c r="AZ112" i="6" a="1"/>
  <c r="AZ112" i="6" s="1"/>
  <c r="AZ110" i="6" a="1"/>
  <c r="AZ110" i="6" s="1"/>
  <c r="AZ130" i="6" a="1"/>
  <c r="AZ130" i="6" s="1"/>
  <c r="AZ127" i="6" a="1"/>
  <c r="AZ127" i="6" s="1"/>
  <c r="AZ117" i="6" a="1"/>
  <c r="AZ117" i="6" s="1"/>
  <c r="AZ105" i="6" a="1"/>
  <c r="AZ105" i="6" s="1"/>
  <c r="AZ95" i="6" a="1"/>
  <c r="AZ95" i="6" s="1"/>
  <c r="AZ96" i="6" a="1"/>
  <c r="AZ96" i="6" s="1"/>
  <c r="AZ97" i="6" a="1"/>
  <c r="AZ97" i="6" s="1"/>
  <c r="AZ116" i="6" a="1"/>
  <c r="AZ116" i="6" s="1"/>
  <c r="AZ98" i="6" a="1"/>
  <c r="AZ98" i="6" s="1"/>
  <c r="AZ99" i="6" a="1"/>
  <c r="AZ99" i="6" s="1"/>
  <c r="AZ118" i="6" a="1"/>
  <c r="AZ118" i="6" s="1"/>
  <c r="AZ106" i="6" a="1"/>
  <c r="AZ106" i="6" s="1"/>
  <c r="AZ111" i="6" a="1"/>
  <c r="AZ111" i="6" s="1"/>
  <c r="AZ88" i="6" a="1"/>
  <c r="AZ88" i="6" s="1"/>
  <c r="AZ138" i="6" a="1"/>
  <c r="AZ138" i="6" s="1"/>
  <c r="AZ120" i="6" a="1"/>
  <c r="AZ120" i="6" s="1"/>
  <c r="AZ104" i="6" a="1"/>
  <c r="AZ104" i="6" s="1"/>
  <c r="AZ107" i="6" a="1"/>
  <c r="AZ107" i="6" s="1"/>
  <c r="AZ93" i="6" a="1"/>
  <c r="AZ93" i="6" s="1"/>
  <c r="AZ121" i="6" a="1"/>
  <c r="AZ121" i="6" s="1"/>
  <c r="AZ101" i="6" a="1"/>
  <c r="AZ101" i="6" s="1"/>
  <c r="AZ100" i="6" a="1"/>
  <c r="AZ100" i="6" s="1"/>
  <c r="AZ74" i="6" a="1"/>
  <c r="AZ74" i="6" s="1"/>
  <c r="AZ92" i="6" a="1"/>
  <c r="AZ92" i="6" s="1"/>
  <c r="AZ91" i="6" a="1"/>
  <c r="AZ91" i="6" s="1"/>
  <c r="AZ78" i="6" a="1"/>
  <c r="AZ78" i="6" s="1"/>
  <c r="AZ89" i="6" a="1"/>
  <c r="AZ89" i="6" s="1"/>
  <c r="AZ94" i="6" a="1"/>
  <c r="AZ94" i="6" s="1"/>
  <c r="AZ75" i="6" a="1"/>
  <c r="AZ75" i="6" s="1"/>
  <c r="AZ86" i="6" a="1"/>
  <c r="AZ86" i="6" s="1"/>
  <c r="AZ80" i="6" a="1"/>
  <c r="AZ80" i="6" s="1"/>
  <c r="AZ84" i="6" a="1"/>
  <c r="AZ84" i="6" s="1"/>
  <c r="AZ73" i="6" a="1"/>
  <c r="AZ73" i="6" s="1"/>
  <c r="AZ64" i="6" a="1"/>
  <c r="AZ64" i="6" s="1"/>
  <c r="AZ103" i="6" a="1"/>
  <c r="AZ103" i="6" s="1"/>
  <c r="AZ81" i="6" a="1"/>
  <c r="AZ81" i="6" s="1"/>
  <c r="AZ69" i="6" a="1"/>
  <c r="AZ69" i="6" s="1"/>
  <c r="AZ85" i="6" a="1"/>
  <c r="AZ85" i="6" s="1"/>
  <c r="AZ83" i="6" a="1"/>
  <c r="AZ83" i="6" s="1"/>
  <c r="AZ61" i="6" a="1"/>
  <c r="AZ61" i="6" s="1"/>
  <c r="AZ90" i="6" a="1"/>
  <c r="AZ90" i="6" s="1"/>
  <c r="AZ67" i="6" a="1"/>
  <c r="AZ67" i="6" s="1"/>
  <c r="AZ79" i="6" a="1"/>
  <c r="AZ79" i="6" s="1"/>
  <c r="AZ57" i="6" a="1"/>
  <c r="AZ57" i="6" s="1"/>
  <c r="AZ55" i="6" a="1"/>
  <c r="AZ55" i="6" s="1"/>
  <c r="AZ87" i="6" a="1"/>
  <c r="AZ87" i="6" s="1"/>
  <c r="AZ70" i="6" a="1"/>
  <c r="AZ70" i="6" s="1"/>
  <c r="AZ58" i="6" a="1"/>
  <c r="AZ58" i="6" s="1"/>
  <c r="AZ71" i="6" a="1"/>
  <c r="AZ71" i="6" s="1"/>
  <c r="AZ62" i="6" a="1"/>
  <c r="AZ62" i="6" s="1"/>
  <c r="AZ60" i="6" a="1"/>
  <c r="AZ60" i="6" s="1"/>
  <c r="AZ53" i="6" a="1"/>
  <c r="AZ53" i="6" s="1"/>
  <c r="AZ52" i="6" a="1"/>
  <c r="AZ52" i="6" s="1"/>
  <c r="AZ66" i="6" a="1"/>
  <c r="AZ66" i="6" s="1"/>
  <c r="AZ59" i="6" a="1"/>
  <c r="AZ59" i="6" s="1"/>
  <c r="AZ82" i="6" a="1"/>
  <c r="AZ82" i="6" s="1"/>
  <c r="AZ102" i="6" a="1"/>
  <c r="AZ102" i="6" s="1"/>
  <c r="AZ68" i="6" a="1"/>
  <c r="AZ68" i="6" s="1"/>
  <c r="AZ43" i="6" a="1"/>
  <c r="AZ43" i="6" s="1"/>
  <c r="AZ72" i="6" a="1"/>
  <c r="AZ72" i="6" s="1"/>
  <c r="AZ35" i="6" a="1"/>
  <c r="AZ35" i="6" s="1"/>
  <c r="AZ56" i="6" a="1"/>
  <c r="AZ56" i="6" s="1"/>
  <c r="AZ42" i="6" a="1"/>
  <c r="AZ42" i="6" s="1"/>
  <c r="AZ34" i="6" a="1"/>
  <c r="AZ34" i="6" s="1"/>
  <c r="AZ49" i="6" a="1"/>
  <c r="AZ49" i="6" s="1"/>
  <c r="AZ63" i="6" a="1"/>
  <c r="AZ63" i="6" s="1"/>
  <c r="AZ54" i="6" a="1"/>
  <c r="AZ54" i="6" s="1"/>
  <c r="AZ48" i="6" a="1"/>
  <c r="AZ48" i="6" s="1"/>
  <c r="AZ33" i="6" a="1"/>
  <c r="AZ33" i="6" s="1"/>
  <c r="AZ50" i="6" a="1"/>
  <c r="AZ50" i="6" s="1"/>
  <c r="AZ37" i="6" a="1"/>
  <c r="AZ37" i="6" s="1"/>
  <c r="AZ65" i="6" a="1"/>
  <c r="AZ65" i="6" s="1"/>
  <c r="AZ51" i="6" a="1"/>
  <c r="AZ51" i="6" s="1"/>
  <c r="AZ25" i="6" a="1"/>
  <c r="AZ25" i="6" s="1"/>
  <c r="AZ24" i="6" s="1"/>
  <c r="AZ44" i="6" a="1"/>
  <c r="AZ44" i="6" s="1"/>
  <c r="AZ31" i="6" a="1"/>
  <c r="AZ31" i="6" s="1"/>
  <c r="AZ39" i="6" a="1"/>
  <c r="AZ39" i="6" s="1"/>
  <c r="AZ21" i="6" a="1"/>
  <c r="AZ21" i="6" s="1"/>
  <c r="AZ20" i="6" s="1"/>
  <c r="AZ29" i="6" a="1"/>
  <c r="AZ29" i="6" s="1"/>
  <c r="AZ30" i="6" a="1"/>
  <c r="AZ30" i="6" s="1"/>
  <c r="AZ36" i="6" a="1"/>
  <c r="AZ36" i="6" s="1"/>
  <c r="AZ23" i="6" a="1"/>
  <c r="AZ23" i="6" s="1"/>
  <c r="AZ22" i="6" s="1"/>
  <c r="AZ32" i="6" a="1"/>
  <c r="AZ32" i="6" s="1"/>
  <c r="BL152" i="6" a="1"/>
  <c r="BL152" i="6" s="1"/>
  <c r="BL151" i="6" s="1"/>
  <c r="BL150" i="6" s="1"/>
  <c r="BL156" i="6" a="1"/>
  <c r="BL156" i="6" s="1"/>
  <c r="BL155" i="6" a="1"/>
  <c r="BL155" i="6" s="1"/>
  <c r="BL148" i="6" a="1"/>
  <c r="BL148" i="6" s="1"/>
  <c r="BL147" i="6" a="1"/>
  <c r="BL147" i="6" s="1"/>
  <c r="BL138" i="6" a="1"/>
  <c r="BL138" i="6" s="1"/>
  <c r="BL144" i="6" a="1"/>
  <c r="BL144" i="6" s="1"/>
  <c r="BL149" i="6" a="1"/>
  <c r="BL149" i="6" s="1"/>
  <c r="BL131" i="6" a="1"/>
  <c r="BL131" i="6" s="1"/>
  <c r="BL134" i="6" a="1"/>
  <c r="BL134" i="6" s="1"/>
  <c r="BL143" i="6" a="1"/>
  <c r="BL143" i="6" s="1"/>
  <c r="BL142" i="6" s="1"/>
  <c r="BL141" i="6" s="1"/>
  <c r="BL130" i="6" a="1"/>
  <c r="BL130" i="6" s="1"/>
  <c r="BL129" i="6" a="1"/>
  <c r="BL129" i="6" s="1"/>
  <c r="BL126" i="6" a="1"/>
  <c r="BL126" i="6" s="1"/>
  <c r="BL123" i="6" a="1"/>
  <c r="BL123" i="6" s="1"/>
  <c r="BL139" i="6" a="1"/>
  <c r="BL139" i="6" s="1"/>
  <c r="BL137" i="6" a="1"/>
  <c r="BL137" i="6" s="1"/>
  <c r="BL128" i="6" a="1"/>
  <c r="BL128" i="6" s="1"/>
  <c r="BL124" i="6" a="1"/>
  <c r="BL124" i="6" s="1"/>
  <c r="BL125" i="6" a="1"/>
  <c r="BL125" i="6" s="1"/>
  <c r="BL136" i="6" a="1"/>
  <c r="BL136" i="6" s="1"/>
  <c r="BL135" i="6" a="1"/>
  <c r="BL135" i="6" s="1"/>
  <c r="BL127" i="6" a="1"/>
  <c r="BL127" i="6" s="1"/>
  <c r="BL122" i="6" a="1"/>
  <c r="BL122" i="6" s="1"/>
  <c r="BL115" i="6" a="1"/>
  <c r="BL115" i="6" s="1"/>
  <c r="BL118" i="6" a="1"/>
  <c r="BL118" i="6" s="1"/>
  <c r="BL114" i="6" a="1"/>
  <c r="BL114" i="6" s="1"/>
  <c r="BL113" i="6" a="1"/>
  <c r="BL113" i="6" s="1"/>
  <c r="BL112" i="6" a="1"/>
  <c r="BL112" i="6" s="1"/>
  <c r="BL121" i="6" a="1"/>
  <c r="BL121" i="6" s="1"/>
  <c r="BL120" i="6" a="1"/>
  <c r="BL120" i="6" s="1"/>
  <c r="BL110" i="6" a="1"/>
  <c r="BL110" i="6" s="1"/>
  <c r="BL117" i="6" a="1"/>
  <c r="BL117" i="6" s="1"/>
  <c r="BL95" i="6" a="1"/>
  <c r="BL95" i="6" s="1"/>
  <c r="BL96" i="6" a="1"/>
  <c r="BL96" i="6" s="1"/>
  <c r="BL97" i="6" a="1"/>
  <c r="BL97" i="6" s="1"/>
  <c r="BL98" i="6" a="1"/>
  <c r="BL98" i="6" s="1"/>
  <c r="BL99" i="6" a="1"/>
  <c r="BL99" i="6" s="1"/>
  <c r="BL133" i="6" a="1"/>
  <c r="BL133" i="6" s="1"/>
  <c r="BL86" i="6" a="1"/>
  <c r="BL86" i="6" s="1"/>
  <c r="BL107" i="6" a="1"/>
  <c r="BL107" i="6" s="1"/>
  <c r="BL100" i="6" a="1"/>
  <c r="BL100" i="6" s="1"/>
  <c r="BL94" i="6" a="1"/>
  <c r="BL94" i="6" s="1"/>
  <c r="BL87" i="6" a="1"/>
  <c r="BL87" i="6" s="1"/>
  <c r="BL88" i="6" a="1"/>
  <c r="BL88" i="6" s="1"/>
  <c r="BL119" i="6" a="1"/>
  <c r="BL119" i="6" s="1"/>
  <c r="BL90" i="6" a="1"/>
  <c r="BL90" i="6" s="1"/>
  <c r="BL111" i="6" a="1"/>
  <c r="BL111" i="6" s="1"/>
  <c r="BL106" i="6" a="1"/>
  <c r="BL106" i="6" s="1"/>
  <c r="BL105" i="6" a="1"/>
  <c r="BL105" i="6" s="1"/>
  <c r="BL101" i="6" a="1"/>
  <c r="BL101" i="6" s="1"/>
  <c r="BL83" i="6" a="1"/>
  <c r="BL83" i="6" s="1"/>
  <c r="BL74" i="6" a="1"/>
  <c r="BL74" i="6" s="1"/>
  <c r="BL102" i="6" a="1"/>
  <c r="BL102" i="6" s="1"/>
  <c r="BL92" i="6" a="1"/>
  <c r="BL92" i="6" s="1"/>
  <c r="BL80" i="6" a="1"/>
  <c r="BL80" i="6" s="1"/>
  <c r="BL132" i="6" a="1"/>
  <c r="BL132" i="6" s="1"/>
  <c r="BL116" i="6" a="1"/>
  <c r="BL116" i="6" s="1"/>
  <c r="BL89" i="6" a="1"/>
  <c r="BL89" i="6" s="1"/>
  <c r="BL91" i="6" a="1"/>
  <c r="BL91" i="6" s="1"/>
  <c r="BL93" i="6" a="1"/>
  <c r="BL93" i="6" s="1"/>
  <c r="BL103" i="6" a="1"/>
  <c r="BL103" i="6" s="1"/>
  <c r="BL81" i="6" a="1"/>
  <c r="BL81" i="6" s="1"/>
  <c r="BL64" i="6" a="1"/>
  <c r="BL64" i="6" s="1"/>
  <c r="BL78" i="6" a="1"/>
  <c r="BL78" i="6" s="1"/>
  <c r="BL79" i="6" a="1"/>
  <c r="BL79" i="6" s="1"/>
  <c r="BL75" i="6" a="1"/>
  <c r="BL75" i="6" s="1"/>
  <c r="BL104" i="6" a="1"/>
  <c r="BL104" i="6" s="1"/>
  <c r="BL82" i="6" a="1"/>
  <c r="BL82" i="6" s="1"/>
  <c r="BL69" i="6" a="1"/>
  <c r="BL69" i="6" s="1"/>
  <c r="BL85" i="6" a="1"/>
  <c r="BL85" i="6" s="1"/>
  <c r="BL68" i="6" a="1"/>
  <c r="BL68" i="6" s="1"/>
  <c r="BL63" i="6" a="1"/>
  <c r="BL63" i="6" s="1"/>
  <c r="BL73" i="6" a="1"/>
  <c r="BL73" i="6" s="1"/>
  <c r="BL67" i="6" a="1"/>
  <c r="BL67" i="6" s="1"/>
  <c r="BL66" i="6" a="1"/>
  <c r="BL66" i="6" s="1"/>
  <c r="BL84" i="6" a="1"/>
  <c r="BL84" i="6" s="1"/>
  <c r="BL70" i="6" a="1"/>
  <c r="BL70" i="6" s="1"/>
  <c r="BL65" i="6" a="1"/>
  <c r="BL65" i="6" s="1"/>
  <c r="BL57" i="6" a="1"/>
  <c r="BL57" i="6" s="1"/>
  <c r="BL55" i="6" a="1"/>
  <c r="BL55" i="6" s="1"/>
  <c r="BL58" i="6" a="1"/>
  <c r="BL58" i="6" s="1"/>
  <c r="BL53" i="6" a="1"/>
  <c r="BL53" i="6" s="1"/>
  <c r="BL72" i="6" a="1"/>
  <c r="BL72" i="6" s="1"/>
  <c r="BL52" i="6" a="1"/>
  <c r="BL52" i="6" s="1"/>
  <c r="BL61" i="6" a="1"/>
  <c r="BL61" i="6" s="1"/>
  <c r="BL60" i="6" a="1"/>
  <c r="BL60" i="6" s="1"/>
  <c r="BL62" i="6" a="1"/>
  <c r="BL62" i="6" s="1"/>
  <c r="BL59" i="6" a="1"/>
  <c r="BL59" i="6" s="1"/>
  <c r="BL43" i="6" a="1"/>
  <c r="BL43" i="6" s="1"/>
  <c r="BL51" i="6" a="1"/>
  <c r="BL51" i="6" s="1"/>
  <c r="BL35" i="6" a="1"/>
  <c r="BL35" i="6" s="1"/>
  <c r="BL56" i="6" a="1"/>
  <c r="BL56" i="6" s="1"/>
  <c r="BL54" i="6" a="1"/>
  <c r="BL54" i="6" s="1"/>
  <c r="BL42" i="6" a="1"/>
  <c r="BL42" i="6" s="1"/>
  <c r="BL41" i="6" s="1"/>
  <c r="BL40" i="6" s="1"/>
  <c r="BL34" i="6" a="1"/>
  <c r="BL34" i="6" s="1"/>
  <c r="BL48" i="6" a="1"/>
  <c r="BL48" i="6" s="1"/>
  <c r="BL33" i="6" a="1"/>
  <c r="BL33" i="6" s="1"/>
  <c r="BL37" i="6" a="1"/>
  <c r="BL37" i="6" s="1"/>
  <c r="BL49" i="6" a="1"/>
  <c r="BL49" i="6" s="1"/>
  <c r="BL25" i="6" a="1"/>
  <c r="BL25" i="6" s="1"/>
  <c r="BL24" i="6" s="1"/>
  <c r="BL36" i="6" a="1"/>
  <c r="BL36" i="6" s="1"/>
  <c r="BL28" i="6" a="1"/>
  <c r="BL28" i="6" s="1"/>
  <c r="BL21" i="6" a="1"/>
  <c r="BL21" i="6" s="1"/>
  <c r="BL20" i="6" s="1"/>
  <c r="BL19" i="6" s="1"/>
  <c r="BL50" i="6" a="1"/>
  <c r="BL50" i="6" s="1"/>
  <c r="BL32" i="6" a="1"/>
  <c r="BL32" i="6" s="1"/>
  <c r="BL31" i="6" a="1"/>
  <c r="BL31" i="6" s="1"/>
  <c r="BL29" i="6" a="1"/>
  <c r="BL29" i="6" s="1"/>
  <c r="BL23" i="6" a="1"/>
  <c r="BL23" i="6" s="1"/>
  <c r="BL22" i="6" s="1"/>
  <c r="BL39" i="6" a="1"/>
  <c r="BL39" i="6" s="1"/>
  <c r="BL71" i="6" a="1"/>
  <c r="BL71" i="6" s="1"/>
  <c r="BL44" i="6" a="1"/>
  <c r="BL44" i="6" s="1"/>
  <c r="AB15" i="6" a="1"/>
  <c r="AB15" i="6" s="1"/>
  <c r="BF14" i="6"/>
  <c r="BF13" i="6" s="1"/>
  <c r="BF12" i="6" s="1"/>
  <c r="AB16" i="6" a="1"/>
  <c r="AB16" i="6" s="1"/>
  <c r="AT16" i="6" a="1"/>
  <c r="AT16" i="6" s="1"/>
  <c r="BL16" i="6" a="1"/>
  <c r="BL16" i="6" s="1"/>
  <c r="X17" i="6" a="1"/>
  <c r="X17" i="6" s="1"/>
  <c r="BC19" i="6"/>
  <c r="AN32" i="6" a="1"/>
  <c r="AN32" i="6" s="1"/>
  <c r="AC152" i="6" a="1"/>
  <c r="AC152" i="6" s="1"/>
  <c r="AC151" i="6" s="1"/>
  <c r="AC150" i="6" s="1"/>
  <c r="AC156" i="6" a="1"/>
  <c r="AC156" i="6" s="1"/>
  <c r="AC148" i="6" a="1"/>
  <c r="AC148" i="6" s="1"/>
  <c r="AC149" i="6" a="1"/>
  <c r="AC149" i="6" s="1"/>
  <c r="AC144" i="6" a="1"/>
  <c r="AC144" i="6" s="1"/>
  <c r="AC136" i="6" a="1"/>
  <c r="AC136" i="6" s="1"/>
  <c r="AC147" i="6" a="1"/>
  <c r="AC147" i="6" s="1"/>
  <c r="AC146" i="6" s="1"/>
  <c r="AC145" i="6" s="1"/>
  <c r="AC143" i="6" a="1"/>
  <c r="AC143" i="6" s="1"/>
  <c r="AC142" i="6" s="1"/>
  <c r="AC141" i="6" s="1"/>
  <c r="AC140" i="6" s="1"/>
  <c r="AC138" i="6" a="1"/>
  <c r="AC138" i="6" s="1"/>
  <c r="AC155" i="6" a="1"/>
  <c r="AC155" i="6" s="1"/>
  <c r="AC154" i="6" s="1"/>
  <c r="AC153" i="6" s="1"/>
  <c r="AC127" i="6" a="1"/>
  <c r="AC127" i="6" s="1"/>
  <c r="AC128" i="6" a="1"/>
  <c r="AC128" i="6" s="1"/>
  <c r="AC139" i="6" a="1"/>
  <c r="AC139" i="6" s="1"/>
  <c r="AC137" i="6" a="1"/>
  <c r="AC137" i="6" s="1"/>
  <c r="AC131" i="6" a="1"/>
  <c r="AC131" i="6" s="1"/>
  <c r="AC125" i="6" a="1"/>
  <c r="AC125" i="6" s="1"/>
  <c r="AC130" i="6" a="1"/>
  <c r="AC130" i="6" s="1"/>
  <c r="AC129" i="6" a="1"/>
  <c r="AC129" i="6" s="1"/>
  <c r="AC126" i="6" a="1"/>
  <c r="AC126" i="6" s="1"/>
  <c r="AC133" i="6" a="1"/>
  <c r="AC133" i="6" s="1"/>
  <c r="AC132" i="6" a="1"/>
  <c r="AC132" i="6" s="1"/>
  <c r="AC135" i="6" a="1"/>
  <c r="AC135" i="6" s="1"/>
  <c r="AC134" i="6" a="1"/>
  <c r="AC134" i="6" s="1"/>
  <c r="AC113" i="6" a="1"/>
  <c r="AC113" i="6" s="1"/>
  <c r="AC121" i="6" a="1"/>
  <c r="AC121" i="6" s="1"/>
  <c r="AC112" i="6" a="1"/>
  <c r="AC112" i="6" s="1"/>
  <c r="AC123" i="6" a="1"/>
  <c r="AC123" i="6" s="1"/>
  <c r="AC111" i="6" a="1"/>
  <c r="AC111" i="6" s="1"/>
  <c r="AC122" i="6" a="1"/>
  <c r="AC122" i="6" s="1"/>
  <c r="AC120" i="6" a="1"/>
  <c r="AC120" i="6" s="1"/>
  <c r="AC119" i="6" a="1"/>
  <c r="AC119" i="6" s="1"/>
  <c r="AC115" i="6" a="1"/>
  <c r="AC115" i="6" s="1"/>
  <c r="AC97" i="6" a="1"/>
  <c r="AC97" i="6" s="1"/>
  <c r="AC105" i="6" a="1"/>
  <c r="AC105" i="6" s="1"/>
  <c r="AC98" i="6" a="1"/>
  <c r="AC98" i="6" s="1"/>
  <c r="AC114" i="6" a="1"/>
  <c r="AC114" i="6" s="1"/>
  <c r="AC99" i="6" a="1"/>
  <c r="AC99" i="6" s="1"/>
  <c r="AC107" i="6" a="1"/>
  <c r="AC107" i="6" s="1"/>
  <c r="AC100" i="6" a="1"/>
  <c r="AC100" i="6" s="1"/>
  <c r="AC118" i="6" a="1"/>
  <c r="AC118" i="6" s="1"/>
  <c r="AC106" i="6" a="1"/>
  <c r="AC106" i="6" s="1"/>
  <c r="AC101" i="6" a="1"/>
  <c r="AC101" i="6" s="1"/>
  <c r="AC116" i="6" a="1"/>
  <c r="AC116" i="6" s="1"/>
  <c r="AC88" i="6" a="1"/>
  <c r="AC88" i="6" s="1"/>
  <c r="AC89" i="6" a="1"/>
  <c r="AC89" i="6" s="1"/>
  <c r="AC95" i="6" a="1"/>
  <c r="AC95" i="6" s="1"/>
  <c r="AC90" i="6" a="1"/>
  <c r="AC90" i="6" s="1"/>
  <c r="AC117" i="6" a="1"/>
  <c r="AC117" i="6" s="1"/>
  <c r="AC103" i="6" a="1"/>
  <c r="AC103" i="6" s="1"/>
  <c r="AC94" i="6" a="1"/>
  <c r="AC94" i="6" s="1"/>
  <c r="AC102" i="6" a="1"/>
  <c r="AC102" i="6" s="1"/>
  <c r="AC84" i="6" a="1"/>
  <c r="AC84" i="6" s="1"/>
  <c r="AC96" i="6" a="1"/>
  <c r="AC96" i="6" s="1"/>
  <c r="AC92" i="6" a="1"/>
  <c r="AC92" i="6" s="1"/>
  <c r="AC80" i="6" a="1"/>
  <c r="AC80" i="6" s="1"/>
  <c r="AC86" i="6" a="1"/>
  <c r="AC86" i="6" s="1"/>
  <c r="AC104" i="6" a="1"/>
  <c r="AC104" i="6" s="1"/>
  <c r="AC93" i="6" a="1"/>
  <c r="AC93" i="6" s="1"/>
  <c r="AC91" i="6" a="1"/>
  <c r="AC91" i="6" s="1"/>
  <c r="AC124" i="6" a="1"/>
  <c r="AC124" i="6" s="1"/>
  <c r="AC85" i="6" a="1"/>
  <c r="AC85" i="6" s="1"/>
  <c r="AC65" i="6" a="1"/>
  <c r="AC65" i="6" s="1"/>
  <c r="AC81" i="6" a="1"/>
  <c r="AC81" i="6" s="1"/>
  <c r="AC66" i="6" a="1"/>
  <c r="AC66" i="6" s="1"/>
  <c r="AC83" i="6" a="1"/>
  <c r="AC83" i="6" s="1"/>
  <c r="AC75" i="6" a="1"/>
  <c r="AC75" i="6" s="1"/>
  <c r="AC67" i="6" a="1"/>
  <c r="AC67" i="6" s="1"/>
  <c r="AC110" i="6" a="1"/>
  <c r="AC110" i="6" s="1"/>
  <c r="AC87" i="6" a="1"/>
  <c r="AC87" i="6" s="1"/>
  <c r="AC82" i="6" a="1"/>
  <c r="AC82" i="6" s="1"/>
  <c r="AC71" i="6" a="1"/>
  <c r="AC71" i="6" s="1"/>
  <c r="AC72" i="6" a="1"/>
  <c r="AC72" i="6" s="1"/>
  <c r="AC70" i="6" a="1"/>
  <c r="AC70" i="6" s="1"/>
  <c r="AC64" i="6" a="1"/>
  <c r="AC64" i="6" s="1"/>
  <c r="AC79" i="6" a="1"/>
  <c r="AC79" i="6" s="1"/>
  <c r="AC78" i="6" a="1"/>
  <c r="AC78" i="6" s="1"/>
  <c r="AC57" i="6" a="1"/>
  <c r="AC57" i="6" s="1"/>
  <c r="AC55" i="6" a="1"/>
  <c r="AC55" i="6" s="1"/>
  <c r="AC61" i="6" a="1"/>
  <c r="AC61" i="6" s="1"/>
  <c r="AC58" i="6" a="1"/>
  <c r="AC58" i="6" s="1"/>
  <c r="AC62" i="6" a="1"/>
  <c r="AC62" i="6" s="1"/>
  <c r="AC59" i="6" a="1"/>
  <c r="AC59" i="6" s="1"/>
  <c r="AC53" i="6" a="1"/>
  <c r="AC53" i="6" s="1"/>
  <c r="AC73" i="6" a="1"/>
  <c r="AC73" i="6" s="1"/>
  <c r="AC68" i="6" a="1"/>
  <c r="AC68" i="6" s="1"/>
  <c r="AC63" i="6" a="1"/>
  <c r="AC63" i="6" s="1"/>
  <c r="AC69" i="6" a="1"/>
  <c r="AC69" i="6" s="1"/>
  <c r="AC74" i="6" a="1"/>
  <c r="AC74" i="6" s="1"/>
  <c r="AC42" i="6" a="1"/>
  <c r="AC42" i="6" s="1"/>
  <c r="AC34" i="6" a="1"/>
  <c r="AC34" i="6" s="1"/>
  <c r="AC56" i="6" a="1"/>
  <c r="AC56" i="6" s="1"/>
  <c r="AC48" i="6" a="1"/>
  <c r="AC48" i="6" s="1"/>
  <c r="AC33" i="6" a="1"/>
  <c r="AC33" i="6" s="1"/>
  <c r="AC37" i="6" a="1"/>
  <c r="AC37" i="6" s="1"/>
  <c r="AC32" i="6" a="1"/>
  <c r="AC32" i="6" s="1"/>
  <c r="AC49" i="6" a="1"/>
  <c r="AC49" i="6" s="1"/>
  <c r="AC52" i="6" a="1"/>
  <c r="AC52" i="6" s="1"/>
  <c r="AC36" i="6" a="1"/>
  <c r="AC36" i="6" s="1"/>
  <c r="AC54" i="6" a="1"/>
  <c r="AC54" i="6" s="1"/>
  <c r="AC50" i="6" a="1"/>
  <c r="AC50" i="6" s="1"/>
  <c r="AC44" i="6" a="1"/>
  <c r="AC44" i="6" s="1"/>
  <c r="AC39" i="6" a="1"/>
  <c r="AC39" i="6" s="1"/>
  <c r="AC31" i="6" a="1"/>
  <c r="AC31" i="6" s="1"/>
  <c r="AC21" i="6" a="1"/>
  <c r="AC21" i="6" s="1"/>
  <c r="AC20" i="6" s="1"/>
  <c r="AC19" i="6" s="1"/>
  <c r="AC60" i="6" a="1"/>
  <c r="AC60" i="6" s="1"/>
  <c r="AC43" i="6" a="1"/>
  <c r="AC43" i="6" s="1"/>
  <c r="AC38" i="6" a="1"/>
  <c r="AC38" i="6" s="1"/>
  <c r="AC28" i="6" a="1"/>
  <c r="AC28" i="6" s="1"/>
  <c r="AC35" i="6" a="1"/>
  <c r="AC35" i="6" s="1"/>
  <c r="AC51" i="6" a="1"/>
  <c r="AC51" i="6" s="1"/>
  <c r="AC29" i="6" a="1"/>
  <c r="AC29" i="6" s="1"/>
  <c r="AC23" i="6" a="1"/>
  <c r="AC23" i="6" s="1"/>
  <c r="AC22" i="6" s="1"/>
  <c r="AC16" i="6" a="1"/>
  <c r="AC16" i="6" s="1"/>
  <c r="AC30" i="6" a="1"/>
  <c r="AC30" i="6" s="1"/>
  <c r="AO152" i="6" a="1"/>
  <c r="AO152" i="6" s="1"/>
  <c r="AO151" i="6" s="1"/>
  <c r="AO150" i="6" s="1"/>
  <c r="AO156" i="6" a="1"/>
  <c r="AO156" i="6" s="1"/>
  <c r="AO155" i="6" a="1"/>
  <c r="AO155" i="6" s="1"/>
  <c r="AO154" i="6" s="1"/>
  <c r="AO153" i="6" s="1"/>
  <c r="AO147" i="6" a="1"/>
  <c r="AO147" i="6" s="1"/>
  <c r="AO146" i="6" s="1"/>
  <c r="AO145" i="6" s="1"/>
  <c r="AO143" i="6" a="1"/>
  <c r="AO143" i="6" s="1"/>
  <c r="AO142" i="6" s="1"/>
  <c r="AO141" i="6" s="1"/>
  <c r="AO140" i="6" s="1"/>
  <c r="AO144" i="6" a="1"/>
  <c r="AO144" i="6" s="1"/>
  <c r="AO136" i="6" a="1"/>
  <c r="AO136" i="6" s="1"/>
  <c r="AO133" i="6" a="1"/>
  <c r="AO133" i="6" s="1"/>
  <c r="AO148" i="6" a="1"/>
  <c r="AO148" i="6" s="1"/>
  <c r="AO149" i="6" a="1"/>
  <c r="AO149" i="6" s="1"/>
  <c r="AO137" i="6" a="1"/>
  <c r="AO137" i="6" s="1"/>
  <c r="AO135" i="6" a="1"/>
  <c r="AO135" i="6" s="1"/>
  <c r="AO130" i="6" a="1"/>
  <c r="AO130" i="6" s="1"/>
  <c r="AO132" i="6" a="1"/>
  <c r="AO132" i="6" s="1"/>
  <c r="AO131" i="6" a="1"/>
  <c r="AO131" i="6" s="1"/>
  <c r="AO127" i="6" a="1"/>
  <c r="AO127" i="6" s="1"/>
  <c r="AO134" i="6" a="1"/>
  <c r="AO134" i="6" s="1"/>
  <c r="AO128" i="6" a="1"/>
  <c r="AO128" i="6" s="1"/>
  <c r="AO138" i="6" a="1"/>
  <c r="AO138" i="6" s="1"/>
  <c r="AO125" i="6" a="1"/>
  <c r="AO125" i="6" s="1"/>
  <c r="AO129" i="6" a="1"/>
  <c r="AO129" i="6" s="1"/>
  <c r="AO139" i="6" a="1"/>
  <c r="AO139" i="6" s="1"/>
  <c r="AO113" i="6" a="1"/>
  <c r="AO113" i="6" s="1"/>
  <c r="AO122" i="6" a="1"/>
  <c r="AO122" i="6" s="1"/>
  <c r="AO112" i="6" a="1"/>
  <c r="AO112" i="6" s="1"/>
  <c r="AO123" i="6" a="1"/>
  <c r="AO123" i="6" s="1"/>
  <c r="AO111" i="6" a="1"/>
  <c r="AO111" i="6" s="1"/>
  <c r="AO115" i="6" a="1"/>
  <c r="AO115" i="6" s="1"/>
  <c r="AO121" i="6" a="1"/>
  <c r="AO121" i="6" s="1"/>
  <c r="AO120" i="6" a="1"/>
  <c r="AO120" i="6" s="1"/>
  <c r="AO116" i="6" a="1"/>
  <c r="AO116" i="6" s="1"/>
  <c r="AO106" i="6" a="1"/>
  <c r="AO106" i="6" s="1"/>
  <c r="AO97" i="6" a="1"/>
  <c r="AO97" i="6" s="1"/>
  <c r="AO98" i="6" a="1"/>
  <c r="AO98" i="6" s="1"/>
  <c r="AO119" i="6" a="1"/>
  <c r="AO119" i="6" s="1"/>
  <c r="AO99" i="6" a="1"/>
  <c r="AO99" i="6" s="1"/>
  <c r="AO100" i="6" a="1"/>
  <c r="AO100" i="6" s="1"/>
  <c r="AO126" i="6" a="1"/>
  <c r="AO126" i="6" s="1"/>
  <c r="AO114" i="6" a="1"/>
  <c r="AO114" i="6" s="1"/>
  <c r="AO101" i="6" a="1"/>
  <c r="AO101" i="6" s="1"/>
  <c r="AO88" i="6" a="1"/>
  <c r="AO88" i="6" s="1"/>
  <c r="AO89" i="6" a="1"/>
  <c r="AO89" i="6" s="1"/>
  <c r="AO117" i="6" a="1"/>
  <c r="AO117" i="6" s="1"/>
  <c r="AO105" i="6" a="1"/>
  <c r="AO105" i="6" s="1"/>
  <c r="AO90" i="6" a="1"/>
  <c r="AO90" i="6" s="1"/>
  <c r="AO124" i="6" a="1"/>
  <c r="AO124" i="6" s="1"/>
  <c r="AO110" i="6" a="1"/>
  <c r="AO110" i="6" s="1"/>
  <c r="AO91" i="6" a="1"/>
  <c r="AO91" i="6" s="1"/>
  <c r="AO95" i="6" a="1"/>
  <c r="AO95" i="6" s="1"/>
  <c r="AO84" i="6" a="1"/>
  <c r="AO84" i="6" s="1"/>
  <c r="AO102" i="6" a="1"/>
  <c r="AO102" i="6" s="1"/>
  <c r="AO103" i="6" a="1"/>
  <c r="AO103" i="6" s="1"/>
  <c r="AO96" i="6" a="1"/>
  <c r="AO96" i="6" s="1"/>
  <c r="AO93" i="6" a="1"/>
  <c r="AO93" i="6" s="1"/>
  <c r="AO83" i="6" a="1"/>
  <c r="AO83" i="6" s="1"/>
  <c r="AO104" i="6" a="1"/>
  <c r="AO104" i="6" s="1"/>
  <c r="AO87" i="6" a="1"/>
  <c r="AO87" i="6" s="1"/>
  <c r="AO118" i="6" a="1"/>
  <c r="AO118" i="6" s="1"/>
  <c r="AO92" i="6" a="1"/>
  <c r="AO92" i="6" s="1"/>
  <c r="AO85" i="6" a="1"/>
  <c r="AO85" i="6" s="1"/>
  <c r="AO74" i="6" a="1"/>
  <c r="AO74" i="6" s="1"/>
  <c r="AO72" i="6" a="1"/>
  <c r="AO72" i="6" s="1"/>
  <c r="AO65" i="6" a="1"/>
  <c r="AO65" i="6" s="1"/>
  <c r="AO107" i="6" a="1"/>
  <c r="AO107" i="6" s="1"/>
  <c r="AO79" i="6" a="1"/>
  <c r="AO79" i="6" s="1"/>
  <c r="AO66" i="6" a="1"/>
  <c r="AO66" i="6" s="1"/>
  <c r="AO82" i="6" a="1"/>
  <c r="AO82" i="6" s="1"/>
  <c r="AO80" i="6" a="1"/>
  <c r="AO80" i="6" s="1"/>
  <c r="AO78" i="6" a="1"/>
  <c r="AO78" i="6" s="1"/>
  <c r="AO67" i="6" a="1"/>
  <c r="AO67" i="6" s="1"/>
  <c r="AO94" i="6" a="1"/>
  <c r="AO94" i="6" s="1"/>
  <c r="AO75" i="6" a="1"/>
  <c r="AO75" i="6" s="1"/>
  <c r="AO71" i="6" a="1"/>
  <c r="AO71" i="6" s="1"/>
  <c r="AO73" i="6" a="1"/>
  <c r="AO73" i="6" s="1"/>
  <c r="AO70" i="6" a="1"/>
  <c r="AO70" i="6" s="1"/>
  <c r="AO68" i="6" a="1"/>
  <c r="AO68" i="6" s="1"/>
  <c r="AO60" i="6" a="1"/>
  <c r="AO60" i="6" s="1"/>
  <c r="AO57" i="6" a="1"/>
  <c r="AO57" i="6" s="1"/>
  <c r="AO55" i="6" a="1"/>
  <c r="AO55" i="6" s="1"/>
  <c r="AO86" i="6" a="1"/>
  <c r="AO86" i="6" s="1"/>
  <c r="AO63" i="6" a="1"/>
  <c r="AO63" i="6" s="1"/>
  <c r="AO58" i="6" a="1"/>
  <c r="AO58" i="6" s="1"/>
  <c r="AO53" i="6" a="1"/>
  <c r="AO53" i="6" s="1"/>
  <c r="AO64" i="6" a="1"/>
  <c r="AO64" i="6" s="1"/>
  <c r="AO59" i="6" a="1"/>
  <c r="AO59" i="6" s="1"/>
  <c r="AO61" i="6" a="1"/>
  <c r="AO61" i="6" s="1"/>
  <c r="AO62" i="6" a="1"/>
  <c r="AO62" i="6" s="1"/>
  <c r="AO69" i="6" a="1"/>
  <c r="AO69" i="6" s="1"/>
  <c r="AO50" i="6" a="1"/>
  <c r="AO50" i="6" s="1"/>
  <c r="AO42" i="6" a="1"/>
  <c r="AO42" i="6" s="1"/>
  <c r="AO34" i="6" a="1"/>
  <c r="AO34" i="6" s="1"/>
  <c r="AO56" i="6" a="1"/>
  <c r="AO56" i="6" s="1"/>
  <c r="AO81" i="6" a="1"/>
  <c r="AO81" i="6" s="1"/>
  <c r="AO52" i="6" a="1"/>
  <c r="AO52" i="6" s="1"/>
  <c r="AO48" i="6" a="1"/>
  <c r="AO48" i="6" s="1"/>
  <c r="AO33" i="6" a="1"/>
  <c r="AO33" i="6" s="1"/>
  <c r="AO51" i="6" a="1"/>
  <c r="AO51" i="6" s="1"/>
  <c r="AO37" i="6" a="1"/>
  <c r="AO37" i="6" s="1"/>
  <c r="AO32" i="6" a="1"/>
  <c r="AO32" i="6" s="1"/>
  <c r="AO54" i="6" a="1"/>
  <c r="AO54" i="6" s="1"/>
  <c r="AO36" i="6" a="1"/>
  <c r="AO36" i="6" s="1"/>
  <c r="AO44" i="6" a="1"/>
  <c r="AO44" i="6" s="1"/>
  <c r="AO49" i="6" a="1"/>
  <c r="AO49" i="6" s="1"/>
  <c r="AO39" i="6" a="1"/>
  <c r="AO39" i="6" s="1"/>
  <c r="AO30" i="6" a="1"/>
  <c r="AO30" i="6" s="1"/>
  <c r="AO21" i="6" a="1"/>
  <c r="AO21" i="6" s="1"/>
  <c r="AO20" i="6" s="1"/>
  <c r="AO31" i="6" a="1"/>
  <c r="AO31" i="6" s="1"/>
  <c r="AO28" i="6" a="1"/>
  <c r="AO28" i="6" s="1"/>
  <c r="AO23" i="6" a="1"/>
  <c r="AO23" i="6" s="1"/>
  <c r="AO22" i="6" s="1"/>
  <c r="AO38" i="6" a="1"/>
  <c r="AO38" i="6" s="1"/>
  <c r="AO35" i="6" a="1"/>
  <c r="AO35" i="6" s="1"/>
  <c r="AO16" i="6" a="1"/>
  <c r="AO16" i="6" s="1"/>
  <c r="AO43" i="6" a="1"/>
  <c r="AO43" i="6" s="1"/>
  <c r="AO29" i="6" a="1"/>
  <c r="AO29" i="6" s="1"/>
  <c r="BA152" i="6" a="1"/>
  <c r="BA152" i="6" s="1"/>
  <c r="BA151" i="6" s="1"/>
  <c r="BA150" i="6" s="1"/>
  <c r="BA156" i="6" a="1"/>
  <c r="BA156" i="6" s="1"/>
  <c r="BA155" i="6" a="1"/>
  <c r="BA155" i="6" s="1"/>
  <c r="BA147" i="6" a="1"/>
  <c r="BA147" i="6" s="1"/>
  <c r="BA136" i="6" a="1"/>
  <c r="BA136" i="6" s="1"/>
  <c r="BA148" i="6" a="1"/>
  <c r="BA148" i="6" s="1"/>
  <c r="BA144" i="6" a="1"/>
  <c r="BA144" i="6" s="1"/>
  <c r="BA149" i="6" a="1"/>
  <c r="BA149" i="6" s="1"/>
  <c r="BA138" i="6" a="1"/>
  <c r="BA138" i="6" s="1"/>
  <c r="BA137" i="6" a="1"/>
  <c r="BA137" i="6" s="1"/>
  <c r="BA139" i="6" a="1"/>
  <c r="BA139" i="6" s="1"/>
  <c r="BA127" i="6" a="1"/>
  <c r="BA127" i="6" s="1"/>
  <c r="BA134" i="6" a="1"/>
  <c r="BA134" i="6" s="1"/>
  <c r="BA133" i="6" a="1"/>
  <c r="BA133" i="6" s="1"/>
  <c r="BA128" i="6" a="1"/>
  <c r="BA128" i="6" s="1"/>
  <c r="BA125" i="6" a="1"/>
  <c r="BA125" i="6" s="1"/>
  <c r="BA129" i="6" a="1"/>
  <c r="BA129" i="6" s="1"/>
  <c r="BA132" i="6" a="1"/>
  <c r="BA132" i="6" s="1"/>
  <c r="BA130" i="6" a="1"/>
  <c r="BA130" i="6" s="1"/>
  <c r="BA143" i="6" a="1"/>
  <c r="BA143" i="6" s="1"/>
  <c r="BA142" i="6" s="1"/>
  <c r="BA141" i="6" s="1"/>
  <c r="BA135" i="6" a="1"/>
  <c r="BA135" i="6" s="1"/>
  <c r="BA126" i="6" a="1"/>
  <c r="BA126" i="6" s="1"/>
  <c r="BA113" i="6" a="1"/>
  <c r="BA113" i="6" s="1"/>
  <c r="BA119" i="6" a="1"/>
  <c r="BA119" i="6" s="1"/>
  <c r="BA112" i="6" a="1"/>
  <c r="BA112" i="6" s="1"/>
  <c r="BA123" i="6" a="1"/>
  <c r="BA123" i="6" s="1"/>
  <c r="BA111" i="6" a="1"/>
  <c r="BA111" i="6" s="1"/>
  <c r="BA110" i="6" a="1"/>
  <c r="BA110" i="6" s="1"/>
  <c r="BA121" i="6" a="1"/>
  <c r="BA121" i="6" s="1"/>
  <c r="BA115" i="6" a="1"/>
  <c r="BA115" i="6" s="1"/>
  <c r="BA97" i="6" a="1"/>
  <c r="BA97" i="6" s="1"/>
  <c r="BA124" i="6" a="1"/>
  <c r="BA124" i="6" s="1"/>
  <c r="BA98" i="6" a="1"/>
  <c r="BA98" i="6" s="1"/>
  <c r="BA116" i="6" a="1"/>
  <c r="BA116" i="6" s="1"/>
  <c r="BA99" i="6" a="1"/>
  <c r="BA99" i="6" s="1"/>
  <c r="BA100" i="6" a="1"/>
  <c r="BA100" i="6" s="1"/>
  <c r="BA131" i="6" a="1"/>
  <c r="BA131" i="6" s="1"/>
  <c r="BA120" i="6" a="1"/>
  <c r="BA120" i="6" s="1"/>
  <c r="BA101" i="6" a="1"/>
  <c r="BA101" i="6" s="1"/>
  <c r="BA105" i="6" a="1"/>
  <c r="BA105" i="6" s="1"/>
  <c r="BA122" i="6" a="1"/>
  <c r="BA122" i="6" s="1"/>
  <c r="BA88" i="6" a="1"/>
  <c r="BA88" i="6" s="1"/>
  <c r="BA106" i="6" a="1"/>
  <c r="BA106" i="6" s="1"/>
  <c r="BA89" i="6" a="1"/>
  <c r="BA89" i="6" s="1"/>
  <c r="BA114" i="6" a="1"/>
  <c r="BA114" i="6" s="1"/>
  <c r="BA90" i="6" a="1"/>
  <c r="BA90" i="6" s="1"/>
  <c r="BA118" i="6" a="1"/>
  <c r="BA118" i="6" s="1"/>
  <c r="BA117" i="6" a="1"/>
  <c r="BA117" i="6" s="1"/>
  <c r="BA87" i="6" a="1"/>
  <c r="BA87" i="6" s="1"/>
  <c r="BA84" i="6" a="1"/>
  <c r="BA84" i="6" s="1"/>
  <c r="BA96" i="6" a="1"/>
  <c r="BA96" i="6" s="1"/>
  <c r="BA92" i="6" a="1"/>
  <c r="BA92" i="6" s="1"/>
  <c r="BA91" i="6" a="1"/>
  <c r="BA91" i="6" s="1"/>
  <c r="BA78" i="6" a="1"/>
  <c r="BA78" i="6" s="1"/>
  <c r="BA75" i="6" a="1"/>
  <c r="BA75" i="6" s="1"/>
  <c r="BA95" i="6" a="1"/>
  <c r="BA95" i="6" s="1"/>
  <c r="BA82" i="6" a="1"/>
  <c r="BA82" i="6" s="1"/>
  <c r="BA104" i="6" a="1"/>
  <c r="BA104" i="6" s="1"/>
  <c r="BA93" i="6" a="1"/>
  <c r="BA93" i="6" s="1"/>
  <c r="BA103" i="6" a="1"/>
  <c r="BA103" i="6" s="1"/>
  <c r="BA107" i="6" a="1"/>
  <c r="BA107" i="6" s="1"/>
  <c r="BA73" i="6" a="1"/>
  <c r="BA73" i="6" s="1"/>
  <c r="BA65" i="6" a="1"/>
  <c r="BA65" i="6" s="1"/>
  <c r="BA72" i="6" a="1"/>
  <c r="BA72" i="6" s="1"/>
  <c r="BA66" i="6" a="1"/>
  <c r="BA66" i="6" s="1"/>
  <c r="BA67" i="6" a="1"/>
  <c r="BA67" i="6" s="1"/>
  <c r="BA81" i="6" a="1"/>
  <c r="BA81" i="6" s="1"/>
  <c r="BA71" i="6" a="1"/>
  <c r="BA71" i="6" s="1"/>
  <c r="BA85" i="6" a="1"/>
  <c r="BA85" i="6" s="1"/>
  <c r="BA83" i="6" a="1"/>
  <c r="BA83" i="6" s="1"/>
  <c r="BA61" i="6" a="1"/>
  <c r="BA61" i="6" s="1"/>
  <c r="BA80" i="6" a="1"/>
  <c r="BA80" i="6" s="1"/>
  <c r="BA68" i="6" a="1"/>
  <c r="BA68" i="6" s="1"/>
  <c r="BA69" i="6" a="1"/>
  <c r="BA69" i="6" s="1"/>
  <c r="BA60" i="6" a="1"/>
  <c r="BA60" i="6" s="1"/>
  <c r="BA102" i="6" a="1"/>
  <c r="BA102" i="6" s="1"/>
  <c r="BA86" i="6" a="1"/>
  <c r="BA86" i="6" s="1"/>
  <c r="BA64" i="6" a="1"/>
  <c r="BA64" i="6" s="1"/>
  <c r="BA94" i="6" a="1"/>
  <c r="BA94" i="6" s="1"/>
  <c r="BA74" i="6" a="1"/>
  <c r="BA74" i="6" s="1"/>
  <c r="BA57" i="6" a="1"/>
  <c r="BA57" i="6" s="1"/>
  <c r="BA55" i="6" a="1"/>
  <c r="BA55" i="6" s="1"/>
  <c r="BA58" i="6" a="1"/>
  <c r="BA58" i="6" s="1"/>
  <c r="BA79" i="6" a="1"/>
  <c r="BA79" i="6" s="1"/>
  <c r="BA70" i="6" a="1"/>
  <c r="BA70" i="6" s="1"/>
  <c r="BA62" i="6" a="1"/>
  <c r="BA62" i="6" s="1"/>
  <c r="BA53" i="6" a="1"/>
  <c r="BA53" i="6" s="1"/>
  <c r="BA59" i="6" a="1"/>
  <c r="BA59" i="6" s="1"/>
  <c r="BA63" i="6" a="1"/>
  <c r="BA63" i="6" s="1"/>
  <c r="BA42" i="6" a="1"/>
  <c r="BA42" i="6" s="1"/>
  <c r="BA34" i="6" a="1"/>
  <c r="BA34" i="6" s="1"/>
  <c r="BA56" i="6" a="1"/>
  <c r="BA56" i="6" s="1"/>
  <c r="BA49" i="6" a="1"/>
  <c r="BA49" i="6" s="1"/>
  <c r="BA48" i="6" a="1"/>
  <c r="BA48" i="6" s="1"/>
  <c r="BA33" i="6" a="1"/>
  <c r="BA33" i="6" s="1"/>
  <c r="BA54" i="6" a="1"/>
  <c r="BA54" i="6" s="1"/>
  <c r="BA50" i="6" a="1"/>
  <c r="BA50" i="6" s="1"/>
  <c r="BA37" i="6" a="1"/>
  <c r="BA37" i="6" s="1"/>
  <c r="BA32" i="6" a="1"/>
  <c r="BA32" i="6" s="1"/>
  <c r="BA36" i="6" a="1"/>
  <c r="BA36" i="6" s="1"/>
  <c r="BA51" i="6" a="1"/>
  <c r="BA51" i="6" s="1"/>
  <c r="BA44" i="6" a="1"/>
  <c r="BA44" i="6" s="1"/>
  <c r="BA39" i="6" a="1"/>
  <c r="BA39" i="6" s="1"/>
  <c r="BA52" i="6" a="1"/>
  <c r="BA52" i="6" s="1"/>
  <c r="BA35" i="6" a="1"/>
  <c r="BA35" i="6" s="1"/>
  <c r="BA31" i="6" a="1"/>
  <c r="BA31" i="6" s="1"/>
  <c r="BA21" i="6" a="1"/>
  <c r="BA21" i="6" s="1"/>
  <c r="BA20" i="6" s="1"/>
  <c r="BA19" i="6" s="1"/>
  <c r="BA38" i="6" a="1"/>
  <c r="BA38" i="6" s="1"/>
  <c r="BA29" i="6" a="1"/>
  <c r="BA29" i="6" s="1"/>
  <c r="BA30" i="6" a="1"/>
  <c r="BA30" i="6" s="1"/>
  <c r="BA43" i="6" a="1"/>
  <c r="BA43" i="6" s="1"/>
  <c r="BA23" i="6" a="1"/>
  <c r="BA23" i="6" s="1"/>
  <c r="BA22" i="6" s="1"/>
  <c r="BA16" i="6" a="1"/>
  <c r="BA16" i="6" s="1"/>
  <c r="BA28" i="6" a="1"/>
  <c r="BA28" i="6" s="1"/>
  <c r="BM152" i="6" a="1"/>
  <c r="BM152" i="6" s="1"/>
  <c r="BM151" i="6" s="1"/>
  <c r="BM150" i="6" s="1"/>
  <c r="BM156" i="6" a="1"/>
  <c r="BM156" i="6" s="1"/>
  <c r="BM148" i="6" a="1"/>
  <c r="BM148" i="6" s="1"/>
  <c r="BM144" i="6" a="1"/>
  <c r="BM144" i="6" s="1"/>
  <c r="BM155" i="6" a="1"/>
  <c r="BM155" i="6" s="1"/>
  <c r="BM154" i="6" s="1"/>
  <c r="BM153" i="6" s="1"/>
  <c r="BM149" i="6" a="1"/>
  <c r="BM149" i="6" s="1"/>
  <c r="BM135" i="6" a="1"/>
  <c r="BM135" i="6" s="1"/>
  <c r="BM136" i="6" a="1"/>
  <c r="BM136" i="6" s="1"/>
  <c r="BM132" i="6" a="1"/>
  <c r="BM132" i="6" s="1"/>
  <c r="BM139" i="6" a="1"/>
  <c r="BM139" i="6" s="1"/>
  <c r="BM147" i="6" a="1"/>
  <c r="BM147" i="6" s="1"/>
  <c r="BM138" i="6" a="1"/>
  <c r="BM138" i="6" s="1"/>
  <c r="BM130" i="6" a="1"/>
  <c r="BM130" i="6" s="1"/>
  <c r="BM129" i="6" a="1"/>
  <c r="BM129" i="6" s="1"/>
  <c r="BM143" i="6" a="1"/>
  <c r="BM143" i="6" s="1"/>
  <c r="BM142" i="6" s="1"/>
  <c r="BM141" i="6" s="1"/>
  <c r="BM134" i="6" a="1"/>
  <c r="BM134" i="6" s="1"/>
  <c r="BM127" i="6" a="1"/>
  <c r="BM127" i="6" s="1"/>
  <c r="BM137" i="6" a="1"/>
  <c r="BM137" i="6" s="1"/>
  <c r="BM133" i="6" a="1"/>
  <c r="BM133" i="6" s="1"/>
  <c r="BM128" i="6" a="1"/>
  <c r="BM128" i="6" s="1"/>
  <c r="BM125" i="6" a="1"/>
  <c r="BM125" i="6" s="1"/>
  <c r="BM126" i="6" a="1"/>
  <c r="BM126" i="6" s="1"/>
  <c r="BM113" i="6" a="1"/>
  <c r="BM113" i="6" s="1"/>
  <c r="BM112" i="6" a="1"/>
  <c r="BM112" i="6" s="1"/>
  <c r="BM123" i="6" a="1"/>
  <c r="BM123" i="6" s="1"/>
  <c r="BM111" i="6" a="1"/>
  <c r="BM111" i="6" s="1"/>
  <c r="BM121" i="6" a="1"/>
  <c r="BM121" i="6" s="1"/>
  <c r="BM120" i="6" a="1"/>
  <c r="BM120" i="6" s="1"/>
  <c r="BM110" i="6" a="1"/>
  <c r="BM110" i="6" s="1"/>
  <c r="BM131" i="6" a="1"/>
  <c r="BM131" i="6" s="1"/>
  <c r="BM104" i="6" a="1"/>
  <c r="BM104" i="6" s="1"/>
  <c r="BM122" i="6" a="1"/>
  <c r="BM122" i="6" s="1"/>
  <c r="BM115" i="6" a="1"/>
  <c r="BM115" i="6" s="1"/>
  <c r="BM97" i="6" a="1"/>
  <c r="BM97" i="6" s="1"/>
  <c r="BM118" i="6" a="1"/>
  <c r="BM118" i="6" s="1"/>
  <c r="BM117" i="6" a="1"/>
  <c r="BM117" i="6" s="1"/>
  <c r="BM98" i="6" a="1"/>
  <c r="BM98" i="6" s="1"/>
  <c r="BM99" i="6" a="1"/>
  <c r="BM99" i="6" s="1"/>
  <c r="BM107" i="6" a="1"/>
  <c r="BM107" i="6" s="1"/>
  <c r="BM100" i="6" a="1"/>
  <c r="BM100" i="6" s="1"/>
  <c r="BM116" i="6" a="1"/>
  <c r="BM116" i="6" s="1"/>
  <c r="BM106" i="6" a="1"/>
  <c r="BM106" i="6" s="1"/>
  <c r="BM101" i="6" a="1"/>
  <c r="BM101" i="6" s="1"/>
  <c r="BM124" i="6" a="1"/>
  <c r="BM124" i="6" s="1"/>
  <c r="BM88" i="6" a="1"/>
  <c r="BM88" i="6" s="1"/>
  <c r="BM89" i="6" a="1"/>
  <c r="BM89" i="6" s="1"/>
  <c r="BM119" i="6" a="1"/>
  <c r="BM119" i="6" s="1"/>
  <c r="BM102" i="6" a="1"/>
  <c r="BM102" i="6" s="1"/>
  <c r="BM90" i="6" a="1"/>
  <c r="BM90" i="6" s="1"/>
  <c r="BM91" i="6" a="1"/>
  <c r="BM91" i="6" s="1"/>
  <c r="BM84" i="6" a="1"/>
  <c r="BM84" i="6" s="1"/>
  <c r="BM103" i="6" a="1"/>
  <c r="BM103" i="6" s="1"/>
  <c r="BM95" i="6" a="1"/>
  <c r="BM95" i="6" s="1"/>
  <c r="BM96" i="6" a="1"/>
  <c r="BM96" i="6" s="1"/>
  <c r="BM80" i="6" a="1"/>
  <c r="BM80" i="6" s="1"/>
  <c r="BM86" i="6" a="1"/>
  <c r="BM86" i="6" s="1"/>
  <c r="BM114" i="6" a="1"/>
  <c r="BM114" i="6" s="1"/>
  <c r="BM93" i="6" a="1"/>
  <c r="BM93" i="6" s="1"/>
  <c r="BM78" i="6" a="1"/>
  <c r="BM78" i="6" s="1"/>
  <c r="BM75" i="6" a="1"/>
  <c r="BM75" i="6" s="1"/>
  <c r="BM92" i="6" a="1"/>
  <c r="BM92" i="6" s="1"/>
  <c r="BM87" i="6" a="1"/>
  <c r="BM87" i="6" s="1"/>
  <c r="BM81" i="6" a="1"/>
  <c r="BM81" i="6" s="1"/>
  <c r="BM64" i="6" a="1"/>
  <c r="BM64" i="6" s="1"/>
  <c r="BM65" i="6" a="1"/>
  <c r="BM65" i="6" s="1"/>
  <c r="BM79" i="6" a="1"/>
  <c r="BM79" i="6" s="1"/>
  <c r="BM73" i="6" a="1"/>
  <c r="BM73" i="6" s="1"/>
  <c r="BM66" i="6" a="1"/>
  <c r="BM66" i="6" s="1"/>
  <c r="BM105" i="6" a="1"/>
  <c r="BM105" i="6" s="1"/>
  <c r="BM67" i="6" a="1"/>
  <c r="BM67" i="6" s="1"/>
  <c r="BM82" i="6" a="1"/>
  <c r="BM82" i="6" s="1"/>
  <c r="BM83" i="6" a="1"/>
  <c r="BM83" i="6" s="1"/>
  <c r="BM94" i="6" a="1"/>
  <c r="BM94" i="6" s="1"/>
  <c r="BM71" i="6" a="1"/>
  <c r="BM71" i="6" s="1"/>
  <c r="BM74" i="6" a="1"/>
  <c r="BM74" i="6" s="1"/>
  <c r="BM69" i="6" a="1"/>
  <c r="BM69" i="6" s="1"/>
  <c r="BM61" i="6" a="1"/>
  <c r="BM61" i="6" s="1"/>
  <c r="BM57" i="6" a="1"/>
  <c r="BM57" i="6" s="1"/>
  <c r="BM55" i="6" a="1"/>
  <c r="BM55" i="6" s="1"/>
  <c r="BM68" i="6" a="1"/>
  <c r="BM68" i="6" s="1"/>
  <c r="BM58" i="6" a="1"/>
  <c r="BM58" i="6" s="1"/>
  <c r="BM85" i="6" a="1"/>
  <c r="BM85" i="6" s="1"/>
  <c r="BM53" i="6" a="1"/>
  <c r="BM53" i="6" s="1"/>
  <c r="BM72" i="6" a="1"/>
  <c r="BM72" i="6" s="1"/>
  <c r="BM60" i="6" a="1"/>
  <c r="BM60" i="6" s="1"/>
  <c r="BM70" i="6" a="1"/>
  <c r="BM70" i="6" s="1"/>
  <c r="BM63" i="6" a="1"/>
  <c r="BM63" i="6" s="1"/>
  <c r="BM59" i="6" a="1"/>
  <c r="BM59" i="6" s="1"/>
  <c r="BM62" i="6" a="1"/>
  <c r="BM62" i="6" s="1"/>
  <c r="BM42" i="6" a="1"/>
  <c r="BM42" i="6" s="1"/>
  <c r="BM34" i="6" a="1"/>
  <c r="BM34" i="6" s="1"/>
  <c r="BM56" i="6" a="1"/>
  <c r="BM56" i="6" s="1"/>
  <c r="BM54" i="6" a="1"/>
  <c r="BM54" i="6" s="1"/>
  <c r="BM48" i="6" a="1"/>
  <c r="BM48" i="6" s="1"/>
  <c r="BM33" i="6" a="1"/>
  <c r="BM33" i="6" s="1"/>
  <c r="BM37" i="6" a="1"/>
  <c r="BM37" i="6" s="1"/>
  <c r="BM32" i="6" a="1"/>
  <c r="BM32" i="6" s="1"/>
  <c r="BM49" i="6" a="1"/>
  <c r="BM49" i="6" s="1"/>
  <c r="BM52" i="6" a="1"/>
  <c r="BM52" i="6" s="1"/>
  <c r="BM36" i="6" a="1"/>
  <c r="BM36" i="6" s="1"/>
  <c r="BM50" i="6" a="1"/>
  <c r="BM50" i="6" s="1"/>
  <c r="BM44" i="6" a="1"/>
  <c r="BM44" i="6" s="1"/>
  <c r="BM39" i="6" a="1"/>
  <c r="BM39" i="6" s="1"/>
  <c r="BM21" i="6" a="1"/>
  <c r="BM21" i="6" s="1"/>
  <c r="BM20" i="6" s="1"/>
  <c r="BM43" i="6" a="1"/>
  <c r="BM43" i="6" s="1"/>
  <c r="BM28" i="6" a="1"/>
  <c r="BM28" i="6" s="1"/>
  <c r="BM35" i="6" a="1"/>
  <c r="BM35" i="6" s="1"/>
  <c r="BM31" i="6" a="1"/>
  <c r="BM31" i="6" s="1"/>
  <c r="BM29" i="6" a="1"/>
  <c r="BM29" i="6" s="1"/>
  <c r="BM23" i="6" a="1"/>
  <c r="BM23" i="6" s="1"/>
  <c r="BM22" i="6" s="1"/>
  <c r="BM51" i="6" a="1"/>
  <c r="BM51" i="6" s="1"/>
  <c r="BM38" i="6" a="1"/>
  <c r="BM38" i="6" s="1"/>
  <c r="BM16" i="6" a="1"/>
  <c r="BM16" i="6" s="1"/>
  <c r="BM14" i="6" s="1"/>
  <c r="BM13" i="6" s="1"/>
  <c r="BM12" i="6" s="1"/>
  <c r="BM30" i="6" a="1"/>
  <c r="BM30" i="6" s="1"/>
  <c r="AB17" i="6" a="1"/>
  <c r="AB17" i="6" s="1"/>
  <c r="X21" i="6" a="1"/>
  <c r="X21" i="6" s="1"/>
  <c r="X20" i="6" s="1"/>
  <c r="X19" i="6" s="1"/>
  <c r="BH21" i="6" a="1"/>
  <c r="BH21" i="6" s="1"/>
  <c r="BH20" i="6" s="1"/>
  <c r="BH19" i="6" s="1"/>
  <c r="BM25" i="6" a="1"/>
  <c r="BM25" i="6" s="1"/>
  <c r="BM24" i="6" s="1"/>
  <c r="AB30" i="6" a="1"/>
  <c r="AB30" i="6" s="1"/>
  <c r="AY32" i="6" a="1"/>
  <c r="AY32" i="6" s="1"/>
  <c r="AK48" i="6" a="1"/>
  <c r="AK48" i="6" s="1"/>
  <c r="AU54" i="6" a="1"/>
  <c r="AU54" i="6" s="1"/>
  <c r="AD156" i="6" a="1"/>
  <c r="AD156" i="6" s="1"/>
  <c r="AD155" i="6" a="1"/>
  <c r="AD155" i="6" s="1"/>
  <c r="AD154" i="6" s="1"/>
  <c r="AD153" i="6" s="1"/>
  <c r="AD152" i="6" a="1"/>
  <c r="AD152" i="6" s="1"/>
  <c r="AD151" i="6" s="1"/>
  <c r="AD150" i="6" s="1"/>
  <c r="AD148" i="6" a="1"/>
  <c r="AD148" i="6" s="1"/>
  <c r="AD138" i="6" a="1"/>
  <c r="AD138" i="6" s="1"/>
  <c r="AD137" i="6" a="1"/>
  <c r="AD137" i="6" s="1"/>
  <c r="AD139" i="6" a="1"/>
  <c r="AD139" i="6" s="1"/>
  <c r="AD149" i="6" a="1"/>
  <c r="AD149" i="6" s="1"/>
  <c r="AD144" i="6" a="1"/>
  <c r="AD144" i="6" s="1"/>
  <c r="AD136" i="6" a="1"/>
  <c r="AD136" i="6" s="1"/>
  <c r="AD147" i="6" a="1"/>
  <c r="AD147" i="6" s="1"/>
  <c r="AD146" i="6" s="1"/>
  <c r="AD145" i="6" s="1"/>
  <c r="AD134" i="6" a="1"/>
  <c r="AD134" i="6" s="1"/>
  <c r="AD127" i="6" a="1"/>
  <c r="AD127" i="6" s="1"/>
  <c r="AD132" i="6" a="1"/>
  <c r="AD132" i="6" s="1"/>
  <c r="AD143" i="6" a="1"/>
  <c r="AD143" i="6" s="1"/>
  <c r="AD135" i="6" a="1"/>
  <c r="AD135" i="6" s="1"/>
  <c r="AD130" i="6" a="1"/>
  <c r="AD130" i="6" s="1"/>
  <c r="AD129" i="6" a="1"/>
  <c r="AD129" i="6" s="1"/>
  <c r="AD128" i="6" a="1"/>
  <c r="AD128" i="6" s="1"/>
  <c r="AD126" i="6" a="1"/>
  <c r="AD126" i="6" s="1"/>
  <c r="AD133" i="6" a="1"/>
  <c r="AD133" i="6" s="1"/>
  <c r="AD131" i="6" a="1"/>
  <c r="AD131" i="6" s="1"/>
  <c r="AD123" i="6" a="1"/>
  <c r="AD123" i="6" s="1"/>
  <c r="AD111" i="6" a="1"/>
  <c r="AD111" i="6" s="1"/>
  <c r="AD122" i="6" a="1"/>
  <c r="AD122" i="6" s="1"/>
  <c r="AD120" i="6" a="1"/>
  <c r="AD120" i="6" s="1"/>
  <c r="AD110" i="6" a="1"/>
  <c r="AD110" i="6" s="1"/>
  <c r="AD119" i="6" a="1"/>
  <c r="AD119" i="6" s="1"/>
  <c r="AD124" i="6" a="1"/>
  <c r="AD124" i="6" s="1"/>
  <c r="AD118" i="6" a="1"/>
  <c r="AD118" i="6" s="1"/>
  <c r="AD106" i="6" a="1"/>
  <c r="AD106" i="6" s="1"/>
  <c r="AD113" i="6" a="1"/>
  <c r="AD113" i="6" s="1"/>
  <c r="AD105" i="6" a="1"/>
  <c r="AD105" i="6" s="1"/>
  <c r="AD99" i="6" a="1"/>
  <c r="AD99" i="6" s="1"/>
  <c r="AD114" i="6" a="1"/>
  <c r="AD114" i="6" s="1"/>
  <c r="AD107" i="6" a="1"/>
  <c r="AD107" i="6" s="1"/>
  <c r="AD100" i="6" a="1"/>
  <c r="AD100" i="6" s="1"/>
  <c r="AD101" i="6" a="1"/>
  <c r="AD101" i="6" s="1"/>
  <c r="AD102" i="6" a="1"/>
  <c r="AD102" i="6" s="1"/>
  <c r="AD103" i="6" a="1"/>
  <c r="AD103" i="6" s="1"/>
  <c r="AD115" i="6" a="1"/>
  <c r="AD115" i="6" s="1"/>
  <c r="AD125" i="6" a="1"/>
  <c r="AD125" i="6" s="1"/>
  <c r="AD95" i="6" a="1"/>
  <c r="AD95" i="6" s="1"/>
  <c r="AD90" i="6" a="1"/>
  <c r="AD90" i="6" s="1"/>
  <c r="AD91" i="6" a="1"/>
  <c r="AD91" i="6" s="1"/>
  <c r="AD121" i="6" a="1"/>
  <c r="AD121" i="6" s="1"/>
  <c r="AD112" i="6" a="1"/>
  <c r="AD112" i="6" s="1"/>
  <c r="AD92" i="6" a="1"/>
  <c r="AD92" i="6" s="1"/>
  <c r="AD117" i="6" a="1"/>
  <c r="AD117" i="6" s="1"/>
  <c r="AD97" i="6" a="1"/>
  <c r="AD97" i="6" s="1"/>
  <c r="AD84" i="6" a="1"/>
  <c r="AD84" i="6" s="1"/>
  <c r="AD88" i="6" a="1"/>
  <c r="AD88" i="6" s="1"/>
  <c r="AD104" i="6" a="1"/>
  <c r="AD104" i="6" s="1"/>
  <c r="AD86" i="6" a="1"/>
  <c r="AD86" i="6" s="1"/>
  <c r="AD82" i="6" a="1"/>
  <c r="AD82" i="6" s="1"/>
  <c r="AD93" i="6" a="1"/>
  <c r="AD93" i="6" s="1"/>
  <c r="AD94" i="6" a="1"/>
  <c r="AD94" i="6" s="1"/>
  <c r="AD87" i="6" a="1"/>
  <c r="AD87" i="6" s="1"/>
  <c r="AD96" i="6" a="1"/>
  <c r="AD96" i="6" s="1"/>
  <c r="AD89" i="6" a="1"/>
  <c r="AD89" i="6" s="1"/>
  <c r="AD85" i="6" a="1"/>
  <c r="AD85" i="6" s="1"/>
  <c r="AD66" i="6" a="1"/>
  <c r="AD66" i="6" s="1"/>
  <c r="AD81" i="6" a="1"/>
  <c r="AD81" i="6" s="1"/>
  <c r="AD75" i="6" a="1"/>
  <c r="AD75" i="6" s="1"/>
  <c r="AD67" i="6" a="1"/>
  <c r="AD67" i="6" s="1"/>
  <c r="AD83" i="6" a="1"/>
  <c r="AD83" i="6" s="1"/>
  <c r="AD68" i="6" a="1"/>
  <c r="AD68" i="6" s="1"/>
  <c r="AD69" i="6" a="1"/>
  <c r="AD69" i="6" s="1"/>
  <c r="AD98" i="6" a="1"/>
  <c r="AD98" i="6" s="1"/>
  <c r="AD71" i="6" a="1"/>
  <c r="AD71" i="6" s="1"/>
  <c r="AD80" i="6" a="1"/>
  <c r="AD80" i="6" s="1"/>
  <c r="AD79" i="6" a="1"/>
  <c r="AD79" i="6" s="1"/>
  <c r="AD78" i="6" a="1"/>
  <c r="AD78" i="6" s="1"/>
  <c r="AD72" i="6" a="1"/>
  <c r="AD72" i="6" s="1"/>
  <c r="AD70" i="6" a="1"/>
  <c r="AD70" i="6" s="1"/>
  <c r="AD64" i="6" a="1"/>
  <c r="AD64" i="6" s="1"/>
  <c r="AD63" i="6" a="1"/>
  <c r="AD63" i="6" s="1"/>
  <c r="AD74" i="6" a="1"/>
  <c r="AD74" i="6" s="1"/>
  <c r="AD73" i="6" a="1"/>
  <c r="AD73" i="6" s="1"/>
  <c r="AD116" i="6" a="1"/>
  <c r="AD116" i="6" s="1"/>
  <c r="AD62" i="6" a="1"/>
  <c r="AD62" i="6" s="1"/>
  <c r="AD59" i="6" a="1"/>
  <c r="AD59" i="6" s="1"/>
  <c r="AD53" i="6" a="1"/>
  <c r="AD53" i="6" s="1"/>
  <c r="AD51" i="6" a="1"/>
  <c r="AD51" i="6" s="1"/>
  <c r="AD65" i="6" a="1"/>
  <c r="AD65" i="6" s="1"/>
  <c r="AD60" i="6" a="1"/>
  <c r="AD60" i="6" s="1"/>
  <c r="AD61" i="6" a="1"/>
  <c r="AD61" i="6" s="1"/>
  <c r="AD48" i="6" a="1"/>
  <c r="AD48" i="6" s="1"/>
  <c r="AD33" i="6" a="1"/>
  <c r="AD33" i="6" s="1"/>
  <c r="AD58" i="6" a="1"/>
  <c r="AD58" i="6" s="1"/>
  <c r="AD37" i="6" a="1"/>
  <c r="AD37" i="6" s="1"/>
  <c r="AD32" i="6" a="1"/>
  <c r="AD32" i="6" s="1"/>
  <c r="AD49" i="6" a="1"/>
  <c r="AD49" i="6" s="1"/>
  <c r="AD31" i="6" a="1"/>
  <c r="AD31" i="6" s="1"/>
  <c r="AD57" i="6" a="1"/>
  <c r="AD57" i="6" s="1"/>
  <c r="AD52" i="6" a="1"/>
  <c r="AD52" i="6" s="1"/>
  <c r="AD54" i="6" a="1"/>
  <c r="AD54" i="6" s="1"/>
  <c r="AD50" i="6" a="1"/>
  <c r="AD50" i="6" s="1"/>
  <c r="AD44" i="6" a="1"/>
  <c r="AD44" i="6" s="1"/>
  <c r="AD39" i="6" a="1"/>
  <c r="AD39" i="6" s="1"/>
  <c r="AD43" i="6" a="1"/>
  <c r="AD43" i="6" s="1"/>
  <c r="AD35" i="6" a="1"/>
  <c r="AD35" i="6" s="1"/>
  <c r="AD28" i="6" a="1"/>
  <c r="AD28" i="6" s="1"/>
  <c r="AD56" i="6" a="1"/>
  <c r="AD56" i="6" s="1"/>
  <c r="AD42" i="6" a="1"/>
  <c r="AD42" i="6" s="1"/>
  <c r="AD34" i="6" a="1"/>
  <c r="AD34" i="6" s="1"/>
  <c r="AD29" i="6" a="1"/>
  <c r="AD29" i="6" s="1"/>
  <c r="AD23" i="6" a="1"/>
  <c r="AD23" i="6" s="1"/>
  <c r="AD22" i="6" s="1"/>
  <c r="AD15" i="6" a="1"/>
  <c r="AD15" i="6" s="1"/>
  <c r="AD16" i="6" a="1"/>
  <c r="AD16" i="6" s="1"/>
  <c r="AD30" i="6" a="1"/>
  <c r="AD30" i="6" s="1"/>
  <c r="AD55" i="6" a="1"/>
  <c r="AD55" i="6" s="1"/>
  <c r="AD25" i="6" a="1"/>
  <c r="AD25" i="6" s="1"/>
  <c r="AD24" i="6" s="1"/>
  <c r="AP156" i="6" a="1"/>
  <c r="AP156" i="6" s="1"/>
  <c r="AP155" i="6" a="1"/>
  <c r="AP155" i="6" s="1"/>
  <c r="AP154" i="6" s="1"/>
  <c r="AP153" i="6" s="1"/>
  <c r="AP147" i="6" a="1"/>
  <c r="AP147" i="6" s="1"/>
  <c r="AP138" i="6" a="1"/>
  <c r="AP138" i="6" s="1"/>
  <c r="AP137" i="6" a="1"/>
  <c r="AP137" i="6" s="1"/>
  <c r="AP143" i="6" a="1"/>
  <c r="AP143" i="6" s="1"/>
  <c r="AP149" i="6" a="1"/>
  <c r="AP149" i="6" s="1"/>
  <c r="AP152" i="6" a="1"/>
  <c r="AP152" i="6" s="1"/>
  <c r="AP151" i="6" s="1"/>
  <c r="AP150" i="6" s="1"/>
  <c r="AP144" i="6" a="1"/>
  <c r="AP144" i="6" s="1"/>
  <c r="AP148" i="6" a="1"/>
  <c r="AP148" i="6" s="1"/>
  <c r="AP136" i="6" a="1"/>
  <c r="AP136" i="6" s="1"/>
  <c r="AP134" i="6" a="1"/>
  <c r="AP134" i="6" s="1"/>
  <c r="AP132" i="6" a="1"/>
  <c r="AP132" i="6" s="1"/>
  <c r="AP131" i="6" a="1"/>
  <c r="AP131" i="6" s="1"/>
  <c r="AP127" i="6" a="1"/>
  <c r="AP127" i="6" s="1"/>
  <c r="AP135" i="6" a="1"/>
  <c r="AP135" i="6" s="1"/>
  <c r="AP129" i="6" a="1"/>
  <c r="AP129" i="6" s="1"/>
  <c r="AP130" i="6" a="1"/>
  <c r="AP130" i="6" s="1"/>
  <c r="AP126" i="6" a="1"/>
  <c r="AP126" i="6" s="1"/>
  <c r="AP123" i="6" a="1"/>
  <c r="AP123" i="6" s="1"/>
  <c r="AP111" i="6" a="1"/>
  <c r="AP111" i="6" s="1"/>
  <c r="AP110" i="6" a="1"/>
  <c r="AP110" i="6" s="1"/>
  <c r="AP128" i="6" a="1"/>
  <c r="AP128" i="6" s="1"/>
  <c r="AP133" i="6" a="1"/>
  <c r="AP133" i="6" s="1"/>
  <c r="AP124" i="6" a="1"/>
  <c r="AP124" i="6" s="1"/>
  <c r="AP118" i="6" a="1"/>
  <c r="AP118" i="6" s="1"/>
  <c r="AP106" i="6" a="1"/>
  <c r="AP106" i="6" s="1"/>
  <c r="AP113" i="6" a="1"/>
  <c r="AP113" i="6" s="1"/>
  <c r="AP119" i="6" a="1"/>
  <c r="AP119" i="6" s="1"/>
  <c r="AP115" i="6" a="1"/>
  <c r="AP115" i="6" s="1"/>
  <c r="AP99" i="6" a="1"/>
  <c r="AP99" i="6" s="1"/>
  <c r="AP100" i="6" a="1"/>
  <c r="AP100" i="6" s="1"/>
  <c r="AP125" i="6" a="1"/>
  <c r="AP125" i="6" s="1"/>
  <c r="AP122" i="6" a="1"/>
  <c r="AP122" i="6" s="1"/>
  <c r="AP101" i="6" a="1"/>
  <c r="AP101" i="6" s="1"/>
  <c r="AP114" i="6" a="1"/>
  <c r="AP114" i="6" s="1"/>
  <c r="AP102" i="6" a="1"/>
  <c r="AP102" i="6" s="1"/>
  <c r="AP105" i="6" a="1"/>
  <c r="AP105" i="6" s="1"/>
  <c r="AP103" i="6" a="1"/>
  <c r="AP103" i="6" s="1"/>
  <c r="AP139" i="6" a="1"/>
  <c r="AP139" i="6" s="1"/>
  <c r="AP121" i="6" a="1"/>
  <c r="AP121" i="6" s="1"/>
  <c r="AP116" i="6" a="1"/>
  <c r="AP116" i="6" s="1"/>
  <c r="AP117" i="6" a="1"/>
  <c r="AP117" i="6" s="1"/>
  <c r="AP90" i="6" a="1"/>
  <c r="AP90" i="6" s="1"/>
  <c r="AP96" i="6" a="1"/>
  <c r="AP96" i="6" s="1"/>
  <c r="AP91" i="6" a="1"/>
  <c r="AP91" i="6" s="1"/>
  <c r="AP95" i="6" a="1"/>
  <c r="AP95" i="6" s="1"/>
  <c r="AP92" i="6" a="1"/>
  <c r="AP92" i="6" s="1"/>
  <c r="AP84" i="6" a="1"/>
  <c r="AP84" i="6" s="1"/>
  <c r="AP97" i="6" a="1"/>
  <c r="AP97" i="6" s="1"/>
  <c r="AP82" i="6" a="1"/>
  <c r="AP82" i="6" s="1"/>
  <c r="AP98" i="6" a="1"/>
  <c r="AP98" i="6" s="1"/>
  <c r="AP93" i="6" a="1"/>
  <c r="AP93" i="6" s="1"/>
  <c r="AP88" i="6" a="1"/>
  <c r="AP88" i="6" s="1"/>
  <c r="AP83" i="6" a="1"/>
  <c r="AP83" i="6" s="1"/>
  <c r="AP120" i="6" a="1"/>
  <c r="AP120" i="6" s="1"/>
  <c r="AP80" i="6" a="1"/>
  <c r="AP80" i="6" s="1"/>
  <c r="AP94" i="6" a="1"/>
  <c r="AP94" i="6" s="1"/>
  <c r="AP112" i="6" a="1"/>
  <c r="AP112" i="6" s="1"/>
  <c r="AP107" i="6" a="1"/>
  <c r="AP107" i="6" s="1"/>
  <c r="AP79" i="6" a="1"/>
  <c r="AP79" i="6" s="1"/>
  <c r="AP66" i="6" a="1"/>
  <c r="AP66" i="6" s="1"/>
  <c r="AP78" i="6" a="1"/>
  <c r="AP78" i="6" s="1"/>
  <c r="AP67" i="6" a="1"/>
  <c r="AP67" i="6" s="1"/>
  <c r="AP68" i="6" a="1"/>
  <c r="AP68" i="6" s="1"/>
  <c r="AP69" i="6" a="1"/>
  <c r="AP69" i="6" s="1"/>
  <c r="AP89" i="6" a="1"/>
  <c r="AP89" i="6" s="1"/>
  <c r="AP75" i="6" a="1"/>
  <c r="AP75" i="6" s="1"/>
  <c r="AP71" i="6" a="1"/>
  <c r="AP71" i="6" s="1"/>
  <c r="AP86" i="6" a="1"/>
  <c r="AP86" i="6" s="1"/>
  <c r="AP87" i="6" a="1"/>
  <c r="AP87" i="6" s="1"/>
  <c r="AP72" i="6" a="1"/>
  <c r="AP72" i="6" s="1"/>
  <c r="AP64" i="6" a="1"/>
  <c r="AP64" i="6" s="1"/>
  <c r="AP85" i="6" a="1"/>
  <c r="AP85" i="6" s="1"/>
  <c r="AP104" i="6" a="1"/>
  <c r="AP104" i="6" s="1"/>
  <c r="AP81" i="6" a="1"/>
  <c r="AP81" i="6" s="1"/>
  <c r="AP74" i="6" a="1"/>
  <c r="AP74" i="6" s="1"/>
  <c r="AP53" i="6" a="1"/>
  <c r="AP53" i="6" s="1"/>
  <c r="AP59" i="6" a="1"/>
  <c r="AP59" i="6" s="1"/>
  <c r="AP51" i="6" a="1"/>
  <c r="AP51" i="6" s="1"/>
  <c r="AP61" i="6" a="1"/>
  <c r="AP61" i="6" s="1"/>
  <c r="AP62" i="6" a="1"/>
  <c r="AP62" i="6" s="1"/>
  <c r="AP70" i="6" a="1"/>
  <c r="AP70" i="6" s="1"/>
  <c r="AP73" i="6" a="1"/>
  <c r="AP73" i="6" s="1"/>
  <c r="AP65" i="6" a="1"/>
  <c r="AP65" i="6" s="1"/>
  <c r="AP48" i="6" a="1"/>
  <c r="AP48" i="6" s="1"/>
  <c r="AP33" i="6" a="1"/>
  <c r="AP33" i="6" s="1"/>
  <c r="AP52" i="6" a="1"/>
  <c r="AP52" i="6" s="1"/>
  <c r="AP37" i="6" a="1"/>
  <c r="AP37" i="6" s="1"/>
  <c r="AP32" i="6" a="1"/>
  <c r="AP32" i="6" s="1"/>
  <c r="AP54" i="6" a="1"/>
  <c r="AP54" i="6" s="1"/>
  <c r="AP31" i="6" a="1"/>
  <c r="AP31" i="6" s="1"/>
  <c r="AP63" i="6" a="1"/>
  <c r="AP63" i="6" s="1"/>
  <c r="AP60" i="6" a="1"/>
  <c r="AP60" i="6" s="1"/>
  <c r="AP44" i="6" a="1"/>
  <c r="AP44" i="6" s="1"/>
  <c r="AP57" i="6" a="1"/>
  <c r="AP57" i="6" s="1"/>
  <c r="AP49" i="6" a="1"/>
  <c r="AP49" i="6" s="1"/>
  <c r="AP39" i="6" a="1"/>
  <c r="AP39" i="6" s="1"/>
  <c r="AP58" i="6" a="1"/>
  <c r="AP58" i="6" s="1"/>
  <c r="AP43" i="6" a="1"/>
  <c r="AP43" i="6" s="1"/>
  <c r="AP41" i="6" s="1"/>
  <c r="AP40" i="6" s="1"/>
  <c r="AP55" i="6" a="1"/>
  <c r="AP55" i="6" s="1"/>
  <c r="AP35" i="6" a="1"/>
  <c r="AP35" i="6" s="1"/>
  <c r="AP56" i="6" a="1"/>
  <c r="AP56" i="6" s="1"/>
  <c r="AP50" i="6" a="1"/>
  <c r="AP50" i="6" s="1"/>
  <c r="AP28" i="6" a="1"/>
  <c r="AP28" i="6" s="1"/>
  <c r="AP27" i="6" s="1"/>
  <c r="AP26" i="6" s="1"/>
  <c r="AP23" i="6" a="1"/>
  <c r="AP23" i="6" s="1"/>
  <c r="AP22" i="6" s="1"/>
  <c r="AP34" i="6" a="1"/>
  <c r="AP34" i="6" s="1"/>
  <c r="AP15" i="6" a="1"/>
  <c r="AP15" i="6" s="1"/>
  <c r="AP14" i="6" s="1"/>
  <c r="AP13" i="6" s="1"/>
  <c r="AP12" i="6" s="1"/>
  <c r="AP16" i="6" a="1"/>
  <c r="AP16" i="6" s="1"/>
  <c r="AP17" i="6" a="1"/>
  <c r="AP17" i="6" s="1"/>
  <c r="AP29" i="6" a="1"/>
  <c r="AP29" i="6" s="1"/>
  <c r="AP25" i="6" a="1"/>
  <c r="AP25" i="6" s="1"/>
  <c r="AP24" i="6" s="1"/>
  <c r="BB156" i="6" a="1"/>
  <c r="BB156" i="6" s="1"/>
  <c r="BB155" i="6" a="1"/>
  <c r="BB155" i="6" s="1"/>
  <c r="BB154" i="6" s="1"/>
  <c r="BB153" i="6" s="1"/>
  <c r="BB138" i="6" a="1"/>
  <c r="BB138" i="6" s="1"/>
  <c r="BB152" i="6" a="1"/>
  <c r="BB152" i="6" s="1"/>
  <c r="BB151" i="6" s="1"/>
  <c r="BB150" i="6" s="1"/>
  <c r="BB137" i="6" a="1"/>
  <c r="BB137" i="6" s="1"/>
  <c r="BB143" i="6" a="1"/>
  <c r="BB143" i="6" s="1"/>
  <c r="BB149" i="6" a="1"/>
  <c r="BB149" i="6" s="1"/>
  <c r="BB139" i="6" a="1"/>
  <c r="BB139" i="6" s="1"/>
  <c r="BB132" i="6" a="1"/>
  <c r="BB132" i="6" s="1"/>
  <c r="BB147" i="6" a="1"/>
  <c r="BB147" i="6" s="1"/>
  <c r="BB133" i="6" a="1"/>
  <c r="BB133" i="6" s="1"/>
  <c r="BB144" i="6" a="1"/>
  <c r="BB144" i="6" s="1"/>
  <c r="BB127" i="6" a="1"/>
  <c r="BB127" i="6" s="1"/>
  <c r="BB148" i="6" a="1"/>
  <c r="BB148" i="6" s="1"/>
  <c r="BB134" i="6" a="1"/>
  <c r="BB134" i="6" s="1"/>
  <c r="BB128" i="6" a="1"/>
  <c r="BB128" i="6" s="1"/>
  <c r="BB130" i="6" a="1"/>
  <c r="BB130" i="6" s="1"/>
  <c r="BB135" i="6" a="1"/>
  <c r="BB135" i="6" s="1"/>
  <c r="BB129" i="6" a="1"/>
  <c r="BB129" i="6" s="1"/>
  <c r="BB118" i="6" a="1"/>
  <c r="BB118" i="6" s="1"/>
  <c r="BB131" i="6" a="1"/>
  <c r="BB131" i="6" s="1"/>
  <c r="BB125" i="6" a="1"/>
  <c r="BB125" i="6" s="1"/>
  <c r="BB123" i="6" a="1"/>
  <c r="BB123" i="6" s="1"/>
  <c r="BB111" i="6" a="1"/>
  <c r="BB111" i="6" s="1"/>
  <c r="BB110" i="6" a="1"/>
  <c r="BB110" i="6" s="1"/>
  <c r="BB126" i="6" a="1"/>
  <c r="BB126" i="6" s="1"/>
  <c r="BB121" i="6" a="1"/>
  <c r="BB121" i="6" s="1"/>
  <c r="BB124" i="6" a="1"/>
  <c r="BB124" i="6" s="1"/>
  <c r="BB120" i="6" a="1"/>
  <c r="BB120" i="6" s="1"/>
  <c r="BB106" i="6" a="1"/>
  <c r="BB106" i="6" s="1"/>
  <c r="BB113" i="6" a="1"/>
  <c r="BB113" i="6" s="1"/>
  <c r="BB116" i="6" a="1"/>
  <c r="BB116" i="6" s="1"/>
  <c r="BB99" i="6" a="1"/>
  <c r="BB99" i="6" s="1"/>
  <c r="BB100" i="6" a="1"/>
  <c r="BB100" i="6" s="1"/>
  <c r="BB115" i="6" a="1"/>
  <c r="BB115" i="6" s="1"/>
  <c r="BB101" i="6" a="1"/>
  <c r="BB101" i="6" s="1"/>
  <c r="BB102" i="6" a="1"/>
  <c r="BB102" i="6" s="1"/>
  <c r="BB103" i="6" a="1"/>
  <c r="BB103" i="6" s="1"/>
  <c r="BB90" i="6" a="1"/>
  <c r="BB90" i="6" s="1"/>
  <c r="BB114" i="6" a="1"/>
  <c r="BB114" i="6" s="1"/>
  <c r="BB98" i="6" a="1"/>
  <c r="BB98" i="6" s="1"/>
  <c r="BB91" i="6" a="1"/>
  <c r="BB91" i="6" s="1"/>
  <c r="BB136" i="6" a="1"/>
  <c r="BB136" i="6" s="1"/>
  <c r="BB112" i="6" a="1"/>
  <c r="BB112" i="6" s="1"/>
  <c r="BB92" i="6" a="1"/>
  <c r="BB92" i="6" s="1"/>
  <c r="BB119" i="6" a="1"/>
  <c r="BB119" i="6" s="1"/>
  <c r="BB87" i="6" a="1"/>
  <c r="BB87" i="6" s="1"/>
  <c r="BB84" i="6" a="1"/>
  <c r="BB84" i="6" s="1"/>
  <c r="BB117" i="6" a="1"/>
  <c r="BB117" i="6" s="1"/>
  <c r="BB94" i="6" a="1"/>
  <c r="BB94" i="6" s="1"/>
  <c r="BB88" i="6" a="1"/>
  <c r="BB88" i="6" s="1"/>
  <c r="BB97" i="6" a="1"/>
  <c r="BB97" i="6" s="1"/>
  <c r="BB82" i="6" a="1"/>
  <c r="BB82" i="6" s="1"/>
  <c r="BB107" i="6" a="1"/>
  <c r="BB107" i="6" s="1"/>
  <c r="BB95" i="6" a="1"/>
  <c r="BB95" i="6" s="1"/>
  <c r="BB93" i="6" a="1"/>
  <c r="BB93" i="6" s="1"/>
  <c r="BB122" i="6" a="1"/>
  <c r="BB122" i="6" s="1"/>
  <c r="BB105" i="6" a="1"/>
  <c r="BB105" i="6" s="1"/>
  <c r="BB104" i="6" a="1"/>
  <c r="BB104" i="6" s="1"/>
  <c r="BB86" i="6" a="1"/>
  <c r="BB86" i="6" s="1"/>
  <c r="BB85" i="6" a="1"/>
  <c r="BB85" i="6" s="1"/>
  <c r="BB96" i="6" a="1"/>
  <c r="BB96" i="6" s="1"/>
  <c r="BB72" i="6" a="1"/>
  <c r="BB72" i="6" s="1"/>
  <c r="BB66" i="6" a="1"/>
  <c r="BB66" i="6" s="1"/>
  <c r="BB67" i="6" a="1"/>
  <c r="BB67" i="6" s="1"/>
  <c r="BB74" i="6" a="1"/>
  <c r="BB74" i="6" s="1"/>
  <c r="BB68" i="6" a="1"/>
  <c r="BB68" i="6" s="1"/>
  <c r="BB69" i="6" a="1"/>
  <c r="BB69" i="6" s="1"/>
  <c r="BB81" i="6" a="1"/>
  <c r="BB81" i="6" s="1"/>
  <c r="BB71" i="6" a="1"/>
  <c r="BB71" i="6" s="1"/>
  <c r="BB89" i="6" a="1"/>
  <c r="BB89" i="6" s="1"/>
  <c r="BB79" i="6" a="1"/>
  <c r="BB79" i="6" s="1"/>
  <c r="BB83" i="6" a="1"/>
  <c r="BB83" i="6" s="1"/>
  <c r="BB78" i="6" a="1"/>
  <c r="BB78" i="6" s="1"/>
  <c r="BB80" i="6" a="1"/>
  <c r="BB80" i="6" s="1"/>
  <c r="BB75" i="6" a="1"/>
  <c r="BB75" i="6" s="1"/>
  <c r="BB73" i="6" a="1"/>
  <c r="BB73" i="6" s="1"/>
  <c r="BB64" i="6" a="1"/>
  <c r="BB64" i="6" s="1"/>
  <c r="BB62" i="6" a="1"/>
  <c r="BB62" i="6" s="1"/>
  <c r="BB53" i="6" a="1"/>
  <c r="BB53" i="6" s="1"/>
  <c r="BB70" i="6" a="1"/>
  <c r="BB70" i="6" s="1"/>
  <c r="BB60" i="6" a="1"/>
  <c r="BB60" i="6" s="1"/>
  <c r="BB51" i="6" a="1"/>
  <c r="BB51" i="6" s="1"/>
  <c r="BB59" i="6" a="1"/>
  <c r="BB59" i="6" s="1"/>
  <c r="BB63" i="6" a="1"/>
  <c r="BB63" i="6" s="1"/>
  <c r="BB65" i="6" a="1"/>
  <c r="BB65" i="6" s="1"/>
  <c r="BB48" i="6" a="1"/>
  <c r="BB48" i="6" s="1"/>
  <c r="BB33" i="6" a="1"/>
  <c r="BB33" i="6" s="1"/>
  <c r="BB54" i="6" a="1"/>
  <c r="BB54" i="6" s="1"/>
  <c r="BB50" i="6" a="1"/>
  <c r="BB50" i="6" s="1"/>
  <c r="BB37" i="6" a="1"/>
  <c r="BB37" i="6" s="1"/>
  <c r="BB32" i="6" a="1"/>
  <c r="BB32" i="6" s="1"/>
  <c r="BB58" i="6" a="1"/>
  <c r="BB58" i="6" s="1"/>
  <c r="BB31" i="6" a="1"/>
  <c r="BB31" i="6" s="1"/>
  <c r="BB61" i="6" a="1"/>
  <c r="BB61" i="6" s="1"/>
  <c r="BB44" i="6" a="1"/>
  <c r="BB44" i="6" s="1"/>
  <c r="BB39" i="6" a="1"/>
  <c r="BB39" i="6" s="1"/>
  <c r="BB43" i="6" a="1"/>
  <c r="BB43" i="6" s="1"/>
  <c r="BB55" i="6" a="1"/>
  <c r="BB55" i="6" s="1"/>
  <c r="BB52" i="6" a="1"/>
  <c r="BB52" i="6" s="1"/>
  <c r="BB35" i="6" a="1"/>
  <c r="BB35" i="6" s="1"/>
  <c r="BB29" i="6" a="1"/>
  <c r="BB29" i="6" s="1"/>
  <c r="BB30" i="6" a="1"/>
  <c r="BB30" i="6" s="1"/>
  <c r="BB23" i="6" a="1"/>
  <c r="BB23" i="6" s="1"/>
  <c r="BB22" i="6" s="1"/>
  <c r="BB19" i="6" s="1"/>
  <c r="BB15" i="6" a="1"/>
  <c r="BB15" i="6" s="1"/>
  <c r="BB16" i="6" a="1"/>
  <c r="BB16" i="6" s="1"/>
  <c r="BB42" i="6" a="1"/>
  <c r="BB42" i="6" s="1"/>
  <c r="BB34" i="6" a="1"/>
  <c r="BB34" i="6" s="1"/>
  <c r="BB17" i="6" a="1"/>
  <c r="BB17" i="6" s="1"/>
  <c r="BB28" i="6" a="1"/>
  <c r="BB28" i="6" s="1"/>
  <c r="BB57" i="6" a="1"/>
  <c r="BB57" i="6" s="1"/>
  <c r="BB49" i="6" a="1"/>
  <c r="BB49" i="6" s="1"/>
  <c r="BB25" i="6" a="1"/>
  <c r="BB25" i="6" s="1"/>
  <c r="BB24" i="6" s="1"/>
  <c r="BN156" i="6" a="1"/>
  <c r="BN156" i="6" s="1"/>
  <c r="BN155" i="6" a="1"/>
  <c r="BN155" i="6" s="1"/>
  <c r="BN154" i="6" s="1"/>
  <c r="BN153" i="6" s="1"/>
  <c r="BN152" i="6" a="1"/>
  <c r="BN152" i="6" s="1"/>
  <c r="BN151" i="6" s="1"/>
  <c r="BN150" i="6" s="1"/>
  <c r="BN148" i="6" a="1"/>
  <c r="BN148" i="6" s="1"/>
  <c r="BN138" i="6" a="1"/>
  <c r="BN138" i="6" s="1"/>
  <c r="BN149" i="6" a="1"/>
  <c r="BN149" i="6" s="1"/>
  <c r="BN143" i="6" a="1"/>
  <c r="BN143" i="6" s="1"/>
  <c r="BN142" i="6" s="1"/>
  <c r="BN141" i="6" s="1"/>
  <c r="BN137" i="6" a="1"/>
  <c r="BN137" i="6" s="1"/>
  <c r="BN136" i="6" a="1"/>
  <c r="BN136" i="6" s="1"/>
  <c r="BN132" i="6" a="1"/>
  <c r="BN132" i="6" s="1"/>
  <c r="BN134" i="6" a="1"/>
  <c r="BN134" i="6" s="1"/>
  <c r="BN139" i="6" a="1"/>
  <c r="BN139" i="6" s="1"/>
  <c r="BN135" i="6" a="1"/>
  <c r="BN135" i="6" s="1"/>
  <c r="BN127" i="6" a="1"/>
  <c r="BN127" i="6" s="1"/>
  <c r="BN133" i="6" a="1"/>
  <c r="BN133" i="6" s="1"/>
  <c r="BN128" i="6" a="1"/>
  <c r="BN128" i="6" s="1"/>
  <c r="BN131" i="6" a="1"/>
  <c r="BN131" i="6" s="1"/>
  <c r="BN144" i="6" a="1"/>
  <c r="BN144" i="6" s="1"/>
  <c r="BN129" i="6" a="1"/>
  <c r="BN129" i="6" s="1"/>
  <c r="BN126" i="6" a="1"/>
  <c r="BN126" i="6" s="1"/>
  <c r="BN118" i="6" a="1"/>
  <c r="BN118" i="6" s="1"/>
  <c r="BN125" i="6" a="1"/>
  <c r="BN125" i="6" s="1"/>
  <c r="BN123" i="6" a="1"/>
  <c r="BN123" i="6" s="1"/>
  <c r="BN111" i="6" a="1"/>
  <c r="BN111" i="6" s="1"/>
  <c r="BN121" i="6" a="1"/>
  <c r="BN121" i="6" s="1"/>
  <c r="BN120" i="6" a="1"/>
  <c r="BN120" i="6" s="1"/>
  <c r="BN110" i="6" a="1"/>
  <c r="BN110" i="6" s="1"/>
  <c r="BN147" i="6" a="1"/>
  <c r="BN147" i="6" s="1"/>
  <c r="BN146" i="6" s="1"/>
  <c r="BN145" i="6" s="1"/>
  <c r="BN124" i="6" a="1"/>
  <c r="BN124" i="6" s="1"/>
  <c r="BN130" i="6" a="1"/>
  <c r="BN130" i="6" s="1"/>
  <c r="BN119" i="6" a="1"/>
  <c r="BN119" i="6" s="1"/>
  <c r="BN106" i="6" a="1"/>
  <c r="BN106" i="6" s="1"/>
  <c r="BN113" i="6" a="1"/>
  <c r="BN113" i="6" s="1"/>
  <c r="BN99" i="6" a="1"/>
  <c r="BN99" i="6" s="1"/>
  <c r="BN107" i="6" a="1"/>
  <c r="BN107" i="6" s="1"/>
  <c r="BN100" i="6" a="1"/>
  <c r="BN100" i="6" s="1"/>
  <c r="BN122" i="6" a="1"/>
  <c r="BN122" i="6" s="1"/>
  <c r="BN116" i="6" a="1"/>
  <c r="BN116" i="6" s="1"/>
  <c r="BN101" i="6" a="1"/>
  <c r="BN101" i="6" s="1"/>
  <c r="BN102" i="6" a="1"/>
  <c r="BN102" i="6" s="1"/>
  <c r="BN115" i="6" a="1"/>
  <c r="BN115" i="6" s="1"/>
  <c r="BN103" i="6" a="1"/>
  <c r="BN103" i="6" s="1"/>
  <c r="BN90" i="6" a="1"/>
  <c r="BN90" i="6" s="1"/>
  <c r="BN91" i="6" a="1"/>
  <c r="BN91" i="6" s="1"/>
  <c r="BN97" i="6" a="1"/>
  <c r="BN97" i="6" s="1"/>
  <c r="BN92" i="6" a="1"/>
  <c r="BN92" i="6" s="1"/>
  <c r="BN117" i="6" a="1"/>
  <c r="BN117" i="6" s="1"/>
  <c r="BN114" i="6" a="1"/>
  <c r="BN114" i="6" s="1"/>
  <c r="BN104" i="6" a="1"/>
  <c r="BN104" i="6" s="1"/>
  <c r="BN84" i="6" a="1"/>
  <c r="BN84" i="6" s="1"/>
  <c r="BN112" i="6" a="1"/>
  <c r="BN112" i="6" s="1"/>
  <c r="BN82" i="6" a="1"/>
  <c r="BN82" i="6" s="1"/>
  <c r="BN94" i="6" a="1"/>
  <c r="BN94" i="6" s="1"/>
  <c r="BN93" i="6" a="1"/>
  <c r="BN93" i="6" s="1"/>
  <c r="BN78" i="6" a="1"/>
  <c r="BN78" i="6" s="1"/>
  <c r="BN75" i="6" a="1"/>
  <c r="BN75" i="6" s="1"/>
  <c r="BN87" i="6" a="1"/>
  <c r="BN87" i="6" s="1"/>
  <c r="BN95" i="6" a="1"/>
  <c r="BN95" i="6" s="1"/>
  <c r="BN105" i="6" a="1"/>
  <c r="BN105" i="6" s="1"/>
  <c r="BN88" i="6" a="1"/>
  <c r="BN88" i="6" s="1"/>
  <c r="BN79" i="6" a="1"/>
  <c r="BN79" i="6" s="1"/>
  <c r="BN73" i="6" a="1"/>
  <c r="BN73" i="6" s="1"/>
  <c r="BN66" i="6" a="1"/>
  <c r="BN66" i="6" s="1"/>
  <c r="BN96" i="6" a="1"/>
  <c r="BN96" i="6" s="1"/>
  <c r="BN86" i="6" a="1"/>
  <c r="BN86" i="6" s="1"/>
  <c r="BN67" i="6" a="1"/>
  <c r="BN67" i="6" s="1"/>
  <c r="BN72" i="6" a="1"/>
  <c r="BN72" i="6" s="1"/>
  <c r="BN68" i="6" a="1"/>
  <c r="BN68" i="6" s="1"/>
  <c r="BN69" i="6" a="1"/>
  <c r="BN69" i="6" s="1"/>
  <c r="BN83" i="6" a="1"/>
  <c r="BN83" i="6" s="1"/>
  <c r="BN80" i="6" a="1"/>
  <c r="BN80" i="6" s="1"/>
  <c r="BN71" i="6" a="1"/>
  <c r="BN71" i="6" s="1"/>
  <c r="BN98" i="6" a="1"/>
  <c r="BN98" i="6" s="1"/>
  <c r="BN85" i="6" a="1"/>
  <c r="BN85" i="6" s="1"/>
  <c r="BN81" i="6" a="1"/>
  <c r="BN81" i="6" s="1"/>
  <c r="BN74" i="6" a="1"/>
  <c r="BN74" i="6" s="1"/>
  <c r="BN61" i="6" a="1"/>
  <c r="BN61" i="6" s="1"/>
  <c r="BN60" i="6" a="1"/>
  <c r="BN60" i="6" s="1"/>
  <c r="BN70" i="6" a="1"/>
  <c r="BN70" i="6" s="1"/>
  <c r="BN65" i="6" a="1"/>
  <c r="BN65" i="6" s="1"/>
  <c r="BN64" i="6" a="1"/>
  <c r="BN64" i="6" s="1"/>
  <c r="BN53" i="6" a="1"/>
  <c r="BN53" i="6" s="1"/>
  <c r="BN51" i="6" a="1"/>
  <c r="BN51" i="6" s="1"/>
  <c r="BN89" i="6" a="1"/>
  <c r="BN89" i="6" s="1"/>
  <c r="BN63" i="6" a="1"/>
  <c r="BN63" i="6" s="1"/>
  <c r="BN59" i="6" a="1"/>
  <c r="BN59" i="6" s="1"/>
  <c r="BN62" i="6" a="1"/>
  <c r="BN62" i="6" s="1"/>
  <c r="BN58" i="6" a="1"/>
  <c r="BN58" i="6" s="1"/>
  <c r="BN54" i="6" a="1"/>
  <c r="BN54" i="6" s="1"/>
  <c r="BN48" i="6" a="1"/>
  <c r="BN48" i="6" s="1"/>
  <c r="BN33" i="6" a="1"/>
  <c r="BN33" i="6" s="1"/>
  <c r="BN37" i="6" a="1"/>
  <c r="BN37" i="6" s="1"/>
  <c r="BN32" i="6" a="1"/>
  <c r="BN32" i="6" s="1"/>
  <c r="BN57" i="6" a="1"/>
  <c r="BN57" i="6" s="1"/>
  <c r="BN49" i="6" a="1"/>
  <c r="BN49" i="6" s="1"/>
  <c r="BN31" i="6" a="1"/>
  <c r="BN31" i="6" s="1"/>
  <c r="BN52" i="6" a="1"/>
  <c r="BN52" i="6" s="1"/>
  <c r="BN50" i="6" a="1"/>
  <c r="BN50" i="6" s="1"/>
  <c r="BN44" i="6" a="1"/>
  <c r="BN44" i="6" s="1"/>
  <c r="BN39" i="6" a="1"/>
  <c r="BN39" i="6" s="1"/>
  <c r="BN43" i="6" a="1"/>
  <c r="BN43" i="6" s="1"/>
  <c r="BN55" i="6" a="1"/>
  <c r="BN55" i="6" s="1"/>
  <c r="BN35" i="6" a="1"/>
  <c r="BN35" i="6" s="1"/>
  <c r="BN28" i="6" a="1"/>
  <c r="BN28" i="6" s="1"/>
  <c r="BN42" i="6" a="1"/>
  <c r="BN42" i="6" s="1"/>
  <c r="BN41" i="6" s="1"/>
  <c r="BN40" i="6" s="1"/>
  <c r="BN29" i="6" a="1"/>
  <c r="BN29" i="6" s="1"/>
  <c r="BN23" i="6" a="1"/>
  <c r="BN23" i="6" s="1"/>
  <c r="BN22" i="6" s="1"/>
  <c r="BN15" i="6" a="1"/>
  <c r="BN15" i="6" s="1"/>
  <c r="BN14" i="6" s="1"/>
  <c r="BN13" i="6" s="1"/>
  <c r="BN12" i="6" s="1"/>
  <c r="BN16" i="6" a="1"/>
  <c r="BN16" i="6" s="1"/>
  <c r="BN30" i="6" a="1"/>
  <c r="BN30" i="6" s="1"/>
  <c r="BN17" i="6" a="1"/>
  <c r="BN17" i="6" s="1"/>
  <c r="BN56" i="6" a="1"/>
  <c r="BN56" i="6" s="1"/>
  <c r="BN25" i="6" a="1"/>
  <c r="BN25" i="6" s="1"/>
  <c r="BN24" i="6" s="1"/>
  <c r="BN34" i="6" a="1"/>
  <c r="BN34" i="6" s="1"/>
  <c r="AC15" i="6" a="1"/>
  <c r="AC15" i="6" s="1"/>
  <c r="AC14" i="6" s="1"/>
  <c r="AC13" i="6" s="1"/>
  <c r="AC12" i="6" s="1"/>
  <c r="AC17" i="6" a="1"/>
  <c r="AC17" i="6" s="1"/>
  <c r="BL17" i="6" a="1"/>
  <c r="BL17" i="6" s="1"/>
  <c r="Y21" i="6" a="1"/>
  <c r="Y21" i="6" s="1"/>
  <c r="Y20" i="6" s="1"/>
  <c r="Y19" i="6" s="1"/>
  <c r="X28" i="6" a="1"/>
  <c r="X28" i="6" s="1"/>
  <c r="X27" i="6" s="1"/>
  <c r="AI30" i="6" a="1"/>
  <c r="AI30" i="6" s="1"/>
  <c r="BJ32" i="6" a="1"/>
  <c r="BJ32" i="6" s="1"/>
  <c r="S155" i="6" a="1"/>
  <c r="S155" i="6" s="1"/>
  <c r="S154" i="6" s="1"/>
  <c r="S153" i="6" s="1"/>
  <c r="S147" i="6" a="1"/>
  <c r="S147" i="6" s="1"/>
  <c r="S146" i="6" s="1"/>
  <c r="S145" i="6" s="1"/>
  <c r="S152" i="6" a="1"/>
  <c r="S152" i="6" s="1"/>
  <c r="S151" i="6" s="1"/>
  <c r="S150" i="6" s="1"/>
  <c r="S149" i="6" a="1"/>
  <c r="S149" i="6" s="1"/>
  <c r="S138" i="6" a="1"/>
  <c r="S138" i="6" s="1"/>
  <c r="S156" i="6" a="1"/>
  <c r="S156" i="6" s="1"/>
  <c r="S137" i="6" a="1"/>
  <c r="S137" i="6" s="1"/>
  <c r="S134" i="6" a="1"/>
  <c r="S134" i="6" s="1"/>
  <c r="S135" i="6" a="1"/>
  <c r="S135" i="6" s="1"/>
  <c r="S143" i="6" a="1"/>
  <c r="S143" i="6" s="1"/>
  <c r="S142" i="6" s="1"/>
  <c r="S141" i="6" s="1"/>
  <c r="S140" i="6" s="1"/>
  <c r="S129" i="6" a="1"/>
  <c r="S129" i="6" s="1"/>
  <c r="S144" i="6" a="1"/>
  <c r="S144" i="6" s="1"/>
  <c r="S139" i="6" a="1"/>
  <c r="S139" i="6" s="1"/>
  <c r="S130" i="6" a="1"/>
  <c r="S130" i="6" s="1"/>
  <c r="S127" i="6" a="1"/>
  <c r="S127" i="6" s="1"/>
  <c r="S120" i="6" a="1"/>
  <c r="S120" i="6" s="1"/>
  <c r="S121" i="6" a="1"/>
  <c r="S121" i="6" s="1"/>
  <c r="S128" i="6" a="1"/>
  <c r="S128" i="6" s="1"/>
  <c r="S122" i="6" a="1"/>
  <c r="S122" i="6" s="1"/>
  <c r="S124" i="6" a="1"/>
  <c r="S124" i="6" s="1"/>
  <c r="S136" i="6" a="1"/>
  <c r="S136" i="6" s="1"/>
  <c r="S126" i="6" a="1"/>
  <c r="S126" i="6" s="1"/>
  <c r="S118" i="6" a="1"/>
  <c r="S118" i="6" s="1"/>
  <c r="S117" i="6" a="1"/>
  <c r="S117" i="6" s="1"/>
  <c r="S148" i="6" a="1"/>
  <c r="S148" i="6" s="1"/>
  <c r="S116" i="6" a="1"/>
  <c r="S116" i="6" s="1"/>
  <c r="S133" i="6" a="1"/>
  <c r="S133" i="6" s="1"/>
  <c r="S123" i="6" a="1"/>
  <c r="S123" i="6" s="1"/>
  <c r="S119" i="6" a="1"/>
  <c r="S119" i="6" s="1"/>
  <c r="S111" i="6" a="1"/>
  <c r="S111" i="6" s="1"/>
  <c r="S110" i="6" a="1"/>
  <c r="S110" i="6" s="1"/>
  <c r="S101" i="6" a="1"/>
  <c r="S101" i="6" s="1"/>
  <c r="S102" i="6" a="1"/>
  <c r="S102" i="6" s="1"/>
  <c r="S103" i="6" a="1"/>
  <c r="S103" i="6" s="1"/>
  <c r="S104" i="6" a="1"/>
  <c r="S104" i="6" s="1"/>
  <c r="S107" i="6" a="1"/>
  <c r="S107" i="6" s="1"/>
  <c r="S125" i="6" a="1"/>
  <c r="S125" i="6" s="1"/>
  <c r="S113" i="6" a="1"/>
  <c r="S113" i="6" s="1"/>
  <c r="S99" i="6" a="1"/>
  <c r="S99" i="6" s="1"/>
  <c r="S92" i="6" a="1"/>
  <c r="S92" i="6" s="1"/>
  <c r="S93" i="6" a="1"/>
  <c r="S93" i="6" s="1"/>
  <c r="S94" i="6" a="1"/>
  <c r="S94" i="6" s="1"/>
  <c r="S132" i="6" a="1"/>
  <c r="S132" i="6" s="1"/>
  <c r="S106" i="6" a="1"/>
  <c r="S106" i="6" s="1"/>
  <c r="S91" i="6" a="1"/>
  <c r="S91" i="6" s="1"/>
  <c r="S82" i="6" a="1"/>
  <c r="S82" i="6" s="1"/>
  <c r="S112" i="6" a="1"/>
  <c r="S112" i="6" s="1"/>
  <c r="S105" i="6" a="1"/>
  <c r="S105" i="6" s="1"/>
  <c r="S80" i="6" a="1"/>
  <c r="S80" i="6" s="1"/>
  <c r="S114" i="6" a="1"/>
  <c r="S114" i="6" s="1"/>
  <c r="S97" i="6" a="1"/>
  <c r="S97" i="6" s="1"/>
  <c r="S95" i="6" a="1"/>
  <c r="S95" i="6" s="1"/>
  <c r="S89" i="6" a="1"/>
  <c r="S89" i="6" s="1"/>
  <c r="S87" i="6" a="1"/>
  <c r="S87" i="6" s="1"/>
  <c r="S85" i="6" a="1"/>
  <c r="S85" i="6" s="1"/>
  <c r="S98" i="6" a="1"/>
  <c r="S98" i="6" s="1"/>
  <c r="S88" i="6" a="1"/>
  <c r="S88" i="6" s="1"/>
  <c r="S115" i="6" a="1"/>
  <c r="S115" i="6" s="1"/>
  <c r="S100" i="6" a="1"/>
  <c r="S100" i="6" s="1"/>
  <c r="S78" i="6" a="1"/>
  <c r="S78" i="6" s="1"/>
  <c r="S131" i="6" a="1"/>
  <c r="S131" i="6" s="1"/>
  <c r="S79" i="6" a="1"/>
  <c r="S79" i="6" s="1"/>
  <c r="S74" i="6" a="1"/>
  <c r="S74" i="6" s="1"/>
  <c r="S68" i="6" a="1"/>
  <c r="S68" i="6" s="1"/>
  <c r="S69" i="6" a="1"/>
  <c r="S69" i="6" s="1"/>
  <c r="S73" i="6" a="1"/>
  <c r="S73" i="6" s="1"/>
  <c r="S70" i="6" a="1"/>
  <c r="S70" i="6" s="1"/>
  <c r="S83" i="6" a="1"/>
  <c r="S83" i="6" s="1"/>
  <c r="S71" i="6" a="1"/>
  <c r="S71" i="6" s="1"/>
  <c r="S96" i="6" a="1"/>
  <c r="S96" i="6" s="1"/>
  <c r="S84" i="6" a="1"/>
  <c r="S84" i="6" s="1"/>
  <c r="S81" i="6" a="1"/>
  <c r="S81" i="6" s="1"/>
  <c r="S75" i="6" a="1"/>
  <c r="S75" i="6" s="1"/>
  <c r="S90" i="6" a="1"/>
  <c r="S90" i="6" s="1"/>
  <c r="S61" i="6" a="1"/>
  <c r="S61" i="6" s="1"/>
  <c r="S51" i="6" a="1"/>
  <c r="S51" i="6" s="1"/>
  <c r="S86" i="6" a="1"/>
  <c r="S86" i="6" s="1"/>
  <c r="S72" i="6" a="1"/>
  <c r="S72" i="6" s="1"/>
  <c r="S66" i="6" a="1"/>
  <c r="S66" i="6" s="1"/>
  <c r="S49" i="6" a="1"/>
  <c r="S49" i="6" s="1"/>
  <c r="S65" i="6" a="1"/>
  <c r="S65" i="6" s="1"/>
  <c r="S60" i="6" a="1"/>
  <c r="S60" i="6" s="1"/>
  <c r="S62" i="6" a="1"/>
  <c r="S62" i="6" s="1"/>
  <c r="S64" i="6" a="1"/>
  <c r="S64" i="6" s="1"/>
  <c r="S56" i="6" a="1"/>
  <c r="S56" i="6" s="1"/>
  <c r="S63" i="6" a="1"/>
  <c r="S63" i="6" s="1"/>
  <c r="S37" i="6" a="1"/>
  <c r="S37" i="6" s="1"/>
  <c r="S57" i="6" a="1"/>
  <c r="S57" i="6" s="1"/>
  <c r="S50" i="6" a="1"/>
  <c r="S50" i="6" s="1"/>
  <c r="S59" i="6" a="1"/>
  <c r="S59" i="6" s="1"/>
  <c r="S36" i="6" a="1"/>
  <c r="S36" i="6" s="1"/>
  <c r="S44" i="6" a="1"/>
  <c r="S44" i="6" s="1"/>
  <c r="S53" i="6" a="1"/>
  <c r="S53" i="6" s="1"/>
  <c r="S39" i="6" a="1"/>
  <c r="S39" i="6" s="1"/>
  <c r="S58" i="6" a="1"/>
  <c r="S58" i="6" s="1"/>
  <c r="S54" i="6" a="1"/>
  <c r="S54" i="6" s="1"/>
  <c r="S43" i="6" a="1"/>
  <c r="S43" i="6" s="1"/>
  <c r="S38" i="6" a="1"/>
  <c r="S38" i="6" s="1"/>
  <c r="S67" i="6" a="1"/>
  <c r="S67" i="6" s="1"/>
  <c r="S42" i="6" a="1"/>
  <c r="S42" i="6" s="1"/>
  <c r="S34" i="6" a="1"/>
  <c r="S34" i="6" s="1"/>
  <c r="S30" i="6" a="1"/>
  <c r="S30" i="6" s="1"/>
  <c r="S23" i="6" a="1"/>
  <c r="S23" i="6" s="1"/>
  <c r="S22" i="6" s="1"/>
  <c r="S19" i="6" s="1"/>
  <c r="S15" i="6" a="1"/>
  <c r="S15" i="6" s="1"/>
  <c r="S32" i="6" a="1"/>
  <c r="S32" i="6" s="1"/>
  <c r="S31" i="6" a="1"/>
  <c r="S31" i="6" s="1"/>
  <c r="S16" i="6" a="1"/>
  <c r="S16" i="6" s="1"/>
  <c r="S48" i="6" a="1"/>
  <c r="S48" i="6" s="1"/>
  <c r="S17" i="6" a="1"/>
  <c r="S17" i="6" s="1"/>
  <c r="S33" i="6" a="1"/>
  <c r="S33" i="6" s="1"/>
  <c r="S25" i="6" a="1"/>
  <c r="S25" i="6" s="1"/>
  <c r="S24" i="6" s="1"/>
  <c r="S52" i="6" a="1"/>
  <c r="S52" i="6" s="1"/>
  <c r="S28" i="6" a="1"/>
  <c r="S28" i="6" s="1"/>
  <c r="S35" i="6" a="1"/>
  <c r="S35" i="6" s="1"/>
  <c r="S55" i="6" a="1"/>
  <c r="S55" i="6" s="1"/>
  <c r="S29" i="6" a="1"/>
  <c r="S29" i="6" s="1"/>
  <c r="AE155" i="6" a="1"/>
  <c r="AE155" i="6" s="1"/>
  <c r="AE154" i="6" s="1"/>
  <c r="AE153" i="6" s="1"/>
  <c r="AE156" i="6" a="1"/>
  <c r="AE156" i="6" s="1"/>
  <c r="AE152" i="6" a="1"/>
  <c r="AE152" i="6" s="1"/>
  <c r="AE151" i="6" s="1"/>
  <c r="AE150" i="6" s="1"/>
  <c r="AE148" i="6" a="1"/>
  <c r="AE148" i="6" s="1"/>
  <c r="AE139" i="6" a="1"/>
  <c r="AE139" i="6" s="1"/>
  <c r="AE147" i="6" a="1"/>
  <c r="AE147" i="6" s="1"/>
  <c r="AE144" i="6" a="1"/>
  <c r="AE144" i="6" s="1"/>
  <c r="AE134" i="6" a="1"/>
  <c r="AE134" i="6" s="1"/>
  <c r="AE143" i="6" a="1"/>
  <c r="AE143" i="6" s="1"/>
  <c r="AE137" i="6" a="1"/>
  <c r="AE137" i="6" s="1"/>
  <c r="AE136" i="6" a="1"/>
  <c r="AE136" i="6" s="1"/>
  <c r="AE138" i="6" a="1"/>
  <c r="AE138" i="6" s="1"/>
  <c r="AE149" i="6" a="1"/>
  <c r="AE149" i="6" s="1"/>
  <c r="AE132" i="6" a="1"/>
  <c r="AE132" i="6" s="1"/>
  <c r="AE135" i="6" a="1"/>
  <c r="AE135" i="6" s="1"/>
  <c r="AE130" i="6" a="1"/>
  <c r="AE130" i="6" s="1"/>
  <c r="AE129" i="6" a="1"/>
  <c r="AE129" i="6" s="1"/>
  <c r="AE133" i="6" a="1"/>
  <c r="AE133" i="6" s="1"/>
  <c r="AE131" i="6" a="1"/>
  <c r="AE131" i="6" s="1"/>
  <c r="AE120" i="6" a="1"/>
  <c r="AE120" i="6" s="1"/>
  <c r="AE121" i="6" a="1"/>
  <c r="AE121" i="6" s="1"/>
  <c r="AE122" i="6" a="1"/>
  <c r="AE122" i="6" s="1"/>
  <c r="AE124" i="6" a="1"/>
  <c r="AE124" i="6" s="1"/>
  <c r="AE119" i="6" a="1"/>
  <c r="AE119" i="6" s="1"/>
  <c r="AE118" i="6" a="1"/>
  <c r="AE118" i="6" s="1"/>
  <c r="AE117" i="6" a="1"/>
  <c r="AE117" i="6" s="1"/>
  <c r="AE116" i="6" a="1"/>
  <c r="AE116" i="6" s="1"/>
  <c r="AE123" i="6" a="1"/>
  <c r="AE123" i="6" s="1"/>
  <c r="AE113" i="6" a="1"/>
  <c r="AE113" i="6" s="1"/>
  <c r="AE107" i="6" a="1"/>
  <c r="AE107" i="6" s="1"/>
  <c r="AE101" i="6" a="1"/>
  <c r="AE101" i="6" s="1"/>
  <c r="AE106" i="6" a="1"/>
  <c r="AE106" i="6" s="1"/>
  <c r="AE102" i="6" a="1"/>
  <c r="AE102" i="6" s="1"/>
  <c r="AE128" i="6" a="1"/>
  <c r="AE128" i="6" s="1"/>
  <c r="AE103" i="6" a="1"/>
  <c r="AE103" i="6" s="1"/>
  <c r="AE104" i="6" a="1"/>
  <c r="AE104" i="6" s="1"/>
  <c r="AE111" i="6" a="1"/>
  <c r="AE111" i="6" s="1"/>
  <c r="AE105" i="6" a="1"/>
  <c r="AE105" i="6" s="1"/>
  <c r="AE114" i="6" a="1"/>
  <c r="AE114" i="6" s="1"/>
  <c r="AE92" i="6" a="1"/>
  <c r="AE92" i="6" s="1"/>
  <c r="AE112" i="6" a="1"/>
  <c r="AE112" i="6" s="1"/>
  <c r="AE93" i="6" a="1"/>
  <c r="AE93" i="6" s="1"/>
  <c r="AE127" i="6" a="1"/>
  <c r="AE127" i="6" s="1"/>
  <c r="AE94" i="6" a="1"/>
  <c r="AE94" i="6" s="1"/>
  <c r="AE115" i="6" a="1"/>
  <c r="AE115" i="6" s="1"/>
  <c r="AE126" i="6" a="1"/>
  <c r="AE126" i="6" s="1"/>
  <c r="AE86" i="6" a="1"/>
  <c r="AE86" i="6" s="1"/>
  <c r="AE82" i="6" a="1"/>
  <c r="AE82" i="6" s="1"/>
  <c r="AE110" i="6" a="1"/>
  <c r="AE110" i="6" s="1"/>
  <c r="AE89" i="6" a="1"/>
  <c r="AE89" i="6" s="1"/>
  <c r="AE87" i="6" a="1"/>
  <c r="AE87" i="6" s="1"/>
  <c r="AE80" i="6" a="1"/>
  <c r="AE80" i="6" s="1"/>
  <c r="AE81" i="6" a="1"/>
  <c r="AE81" i="6" s="1"/>
  <c r="AE88" i="6" a="1"/>
  <c r="AE88" i="6" s="1"/>
  <c r="AE91" i="6" a="1"/>
  <c r="AE91" i="6" s="1"/>
  <c r="AE125" i="6" a="1"/>
  <c r="AE125" i="6" s="1"/>
  <c r="AE98" i="6" a="1"/>
  <c r="AE98" i="6" s="1"/>
  <c r="AE97" i="6" a="1"/>
  <c r="AE97" i="6" s="1"/>
  <c r="AE95" i="6" a="1"/>
  <c r="AE95" i="6" s="1"/>
  <c r="AE90" i="6" a="1"/>
  <c r="AE90" i="6" s="1"/>
  <c r="AE68" i="6" a="1"/>
  <c r="AE68" i="6" s="1"/>
  <c r="AE83" i="6" a="1"/>
  <c r="AE83" i="6" s="1"/>
  <c r="AE69" i="6" a="1"/>
  <c r="AE69" i="6" s="1"/>
  <c r="AE70" i="6" a="1"/>
  <c r="AE70" i="6" s="1"/>
  <c r="AE84" i="6" a="1"/>
  <c r="AE84" i="6" s="1"/>
  <c r="AE71" i="6" a="1"/>
  <c r="AE71" i="6" s="1"/>
  <c r="AE78" i="6" a="1"/>
  <c r="AE78" i="6" s="1"/>
  <c r="AE99" i="6" a="1"/>
  <c r="AE99" i="6" s="1"/>
  <c r="AE96" i="6" a="1"/>
  <c r="AE96" i="6" s="1"/>
  <c r="AE67" i="6" a="1"/>
  <c r="AE67" i="6" s="1"/>
  <c r="AE65" i="6" a="1"/>
  <c r="AE65" i="6" s="1"/>
  <c r="AE100" i="6" a="1"/>
  <c r="AE100" i="6" s="1"/>
  <c r="AE85" i="6" a="1"/>
  <c r="AE85" i="6" s="1"/>
  <c r="AE51" i="6" a="1"/>
  <c r="AE51" i="6" s="1"/>
  <c r="AE73" i="6" a="1"/>
  <c r="AE73" i="6" s="1"/>
  <c r="AE66" i="6" a="1"/>
  <c r="AE66" i="6" s="1"/>
  <c r="AE49" i="6" a="1"/>
  <c r="AE49" i="6" s="1"/>
  <c r="AE63" i="6" a="1"/>
  <c r="AE63" i="6" s="1"/>
  <c r="AE79" i="6" a="1"/>
  <c r="AE79" i="6" s="1"/>
  <c r="AE64" i="6" a="1"/>
  <c r="AE64" i="6" s="1"/>
  <c r="AE60" i="6" a="1"/>
  <c r="AE60" i="6" s="1"/>
  <c r="AE56" i="6" a="1"/>
  <c r="AE56" i="6" s="1"/>
  <c r="AE75" i="6" a="1"/>
  <c r="AE75" i="6" s="1"/>
  <c r="AE74" i="6" a="1"/>
  <c r="AE74" i="6" s="1"/>
  <c r="AE72" i="6" a="1"/>
  <c r="AE72" i="6" s="1"/>
  <c r="AE61" i="6" a="1"/>
  <c r="AE61" i="6" s="1"/>
  <c r="AE58" i="6" a="1"/>
  <c r="AE58" i="6" s="1"/>
  <c r="AE37" i="6" a="1"/>
  <c r="AE37" i="6" s="1"/>
  <c r="AE53" i="6" a="1"/>
  <c r="AE53" i="6" s="1"/>
  <c r="AE62" i="6" a="1"/>
  <c r="AE62" i="6" s="1"/>
  <c r="AE36" i="6" a="1"/>
  <c r="AE36" i="6" s="1"/>
  <c r="AE57" i="6" a="1"/>
  <c r="AE57" i="6" s="1"/>
  <c r="AE54" i="6" a="1"/>
  <c r="AE54" i="6" s="1"/>
  <c r="AE52" i="6" a="1"/>
  <c r="AE52" i="6" s="1"/>
  <c r="AE44" i="6" a="1"/>
  <c r="AE44" i="6" s="1"/>
  <c r="AE50" i="6" a="1"/>
  <c r="AE50" i="6" s="1"/>
  <c r="AE39" i="6" a="1"/>
  <c r="AE39" i="6" s="1"/>
  <c r="AE43" i="6" a="1"/>
  <c r="AE43" i="6" s="1"/>
  <c r="AE38" i="6" a="1"/>
  <c r="AE38" i="6" s="1"/>
  <c r="AE42" i="6" a="1"/>
  <c r="AE42" i="6" s="1"/>
  <c r="AE55" i="6" a="1"/>
  <c r="AE55" i="6" s="1"/>
  <c r="AE32" i="6" a="1"/>
  <c r="AE32" i="6" s="1"/>
  <c r="AE59" i="6" a="1"/>
  <c r="AE59" i="6" s="1"/>
  <c r="AE48" i="6" a="1"/>
  <c r="AE48" i="6" s="1"/>
  <c r="AE35" i="6" a="1"/>
  <c r="AE35" i="6" s="1"/>
  <c r="AE34" i="6" a="1"/>
  <c r="AE34" i="6" s="1"/>
  <c r="AE29" i="6" a="1"/>
  <c r="AE29" i="6" s="1"/>
  <c r="AE23" i="6" a="1"/>
  <c r="AE23" i="6" s="1"/>
  <c r="AE22" i="6" s="1"/>
  <c r="AE15" i="6" a="1"/>
  <c r="AE15" i="6" s="1"/>
  <c r="AE33" i="6" a="1"/>
  <c r="AE33" i="6" s="1"/>
  <c r="AE16" i="6" a="1"/>
  <c r="AE16" i="6" s="1"/>
  <c r="AE30" i="6" a="1"/>
  <c r="AE30" i="6" s="1"/>
  <c r="AE17" i="6" a="1"/>
  <c r="AE17" i="6" s="1"/>
  <c r="AE25" i="6" a="1"/>
  <c r="AE25" i="6" s="1"/>
  <c r="AE24" i="6" s="1"/>
  <c r="AE31" i="6" a="1"/>
  <c r="AE31" i="6" s="1"/>
  <c r="AE28" i="6" a="1"/>
  <c r="AE28" i="6" s="1"/>
  <c r="AQ155" i="6" a="1"/>
  <c r="AQ155" i="6" s="1"/>
  <c r="AQ148" i="6" a="1"/>
  <c r="AQ148" i="6" s="1"/>
  <c r="AQ156" i="6" a="1"/>
  <c r="AQ156" i="6" s="1"/>
  <c r="AQ144" i="6" a="1"/>
  <c r="AQ144" i="6" s="1"/>
  <c r="AQ147" i="6" a="1"/>
  <c r="AQ147" i="6" s="1"/>
  <c r="AQ146" i="6" s="1"/>
  <c r="AQ145" i="6" s="1"/>
  <c r="AQ134" i="6" a="1"/>
  <c r="AQ134" i="6" s="1"/>
  <c r="AQ135" i="6" a="1"/>
  <c r="AQ135" i="6" s="1"/>
  <c r="AQ149" i="6" a="1"/>
  <c r="AQ149" i="6" s="1"/>
  <c r="AQ137" i="6" a="1"/>
  <c r="AQ137" i="6" s="1"/>
  <c r="AQ139" i="6" a="1"/>
  <c r="AQ139" i="6" s="1"/>
  <c r="AQ138" i="6" a="1"/>
  <c r="AQ138" i="6" s="1"/>
  <c r="AQ152" i="6" a="1"/>
  <c r="AQ152" i="6" s="1"/>
  <c r="AQ151" i="6" s="1"/>
  <c r="AQ150" i="6" s="1"/>
  <c r="AQ136" i="6" a="1"/>
  <c r="AQ136" i="6" s="1"/>
  <c r="AQ133" i="6" a="1"/>
  <c r="AQ133" i="6" s="1"/>
  <c r="AQ143" i="6" a="1"/>
  <c r="AQ143" i="6" s="1"/>
  <c r="AQ130" i="6" a="1"/>
  <c r="AQ130" i="6" s="1"/>
  <c r="AQ131" i="6" a="1"/>
  <c r="AQ131" i="6" s="1"/>
  <c r="AQ127" i="6" a="1"/>
  <c r="AQ127" i="6" s="1"/>
  <c r="AQ126" i="6" a="1"/>
  <c r="AQ126" i="6" s="1"/>
  <c r="AQ120" i="6" a="1"/>
  <c r="AQ120" i="6" s="1"/>
  <c r="AQ121" i="6" a="1"/>
  <c r="AQ121" i="6" s="1"/>
  <c r="AQ128" i="6" a="1"/>
  <c r="AQ128" i="6" s="1"/>
  <c r="AQ122" i="6" a="1"/>
  <c r="AQ122" i="6" s="1"/>
  <c r="AQ129" i="6" a="1"/>
  <c r="AQ129" i="6" s="1"/>
  <c r="AQ132" i="6" a="1"/>
  <c r="AQ132" i="6" s="1"/>
  <c r="AQ124" i="6" a="1"/>
  <c r="AQ124" i="6" s="1"/>
  <c r="AQ118" i="6" a="1"/>
  <c r="AQ118" i="6" s="1"/>
  <c r="AQ117" i="6" a="1"/>
  <c r="AQ117" i="6" s="1"/>
  <c r="AQ116" i="6" a="1"/>
  <c r="AQ116" i="6" s="1"/>
  <c r="AQ123" i="6" a="1"/>
  <c r="AQ123" i="6" s="1"/>
  <c r="AQ125" i="6" a="1"/>
  <c r="AQ125" i="6" s="1"/>
  <c r="AQ101" i="6" a="1"/>
  <c r="AQ101" i="6" s="1"/>
  <c r="AQ114" i="6" a="1"/>
  <c r="AQ114" i="6" s="1"/>
  <c r="AQ102" i="6" a="1"/>
  <c r="AQ102" i="6" s="1"/>
  <c r="AQ113" i="6" a="1"/>
  <c r="AQ113" i="6" s="1"/>
  <c r="AQ105" i="6" a="1"/>
  <c r="AQ105" i="6" s="1"/>
  <c r="AQ103" i="6" a="1"/>
  <c r="AQ103" i="6" s="1"/>
  <c r="AQ104" i="6" a="1"/>
  <c r="AQ104" i="6" s="1"/>
  <c r="AQ110" i="6" a="1"/>
  <c r="AQ110" i="6" s="1"/>
  <c r="AQ115" i="6" a="1"/>
  <c r="AQ115" i="6" s="1"/>
  <c r="AQ95" i="6" a="1"/>
  <c r="AQ95" i="6" s="1"/>
  <c r="AQ92" i="6" a="1"/>
  <c r="AQ92" i="6" s="1"/>
  <c r="AQ98" i="6" a="1"/>
  <c r="AQ98" i="6" s="1"/>
  <c r="AQ93" i="6" a="1"/>
  <c r="AQ93" i="6" s="1"/>
  <c r="AQ119" i="6" a="1"/>
  <c r="AQ119" i="6" s="1"/>
  <c r="AQ91" i="6" a="1"/>
  <c r="AQ91" i="6" s="1"/>
  <c r="AQ82" i="6" a="1"/>
  <c r="AQ82" i="6" s="1"/>
  <c r="AQ106" i="6" a="1"/>
  <c r="AQ106" i="6" s="1"/>
  <c r="AQ86" i="6" a="1"/>
  <c r="AQ86" i="6" s="1"/>
  <c r="AQ80" i="6" a="1"/>
  <c r="AQ80" i="6" s="1"/>
  <c r="AQ99" i="6" a="1"/>
  <c r="AQ99" i="6" s="1"/>
  <c r="AQ100" i="6" a="1"/>
  <c r="AQ100" i="6" s="1"/>
  <c r="AQ83" i="6" a="1"/>
  <c r="AQ83" i="6" s="1"/>
  <c r="AQ96" i="6" a="1"/>
  <c r="AQ96" i="6" s="1"/>
  <c r="AQ94" i="6" a="1"/>
  <c r="AQ94" i="6" s="1"/>
  <c r="AQ111" i="6" a="1"/>
  <c r="AQ111" i="6" s="1"/>
  <c r="AQ89" i="6" a="1"/>
  <c r="AQ89" i="6" s="1"/>
  <c r="AQ68" i="6" a="1"/>
  <c r="AQ68" i="6" s="1"/>
  <c r="AQ107" i="6" a="1"/>
  <c r="AQ107" i="6" s="1"/>
  <c r="AQ69" i="6" a="1"/>
  <c r="AQ69" i="6" s="1"/>
  <c r="AQ70" i="6" a="1"/>
  <c r="AQ70" i="6" s="1"/>
  <c r="AQ75" i="6" a="1"/>
  <c r="AQ75" i="6" s="1"/>
  <c r="AQ71" i="6" a="1"/>
  <c r="AQ71" i="6" s="1"/>
  <c r="AQ90" i="6" a="1"/>
  <c r="AQ90" i="6" s="1"/>
  <c r="AQ87" i="6" a="1"/>
  <c r="AQ87" i="6" s="1"/>
  <c r="AQ81" i="6" a="1"/>
  <c r="AQ81" i="6" s="1"/>
  <c r="AQ112" i="6" a="1"/>
  <c r="AQ112" i="6" s="1"/>
  <c r="AQ97" i="6" a="1"/>
  <c r="AQ97" i="6" s="1"/>
  <c r="AQ72" i="6" a="1"/>
  <c r="AQ72" i="6" s="1"/>
  <c r="AQ64" i="6" a="1"/>
  <c r="AQ64" i="6" s="1"/>
  <c r="AQ79" i="6" a="1"/>
  <c r="AQ79" i="6" s="1"/>
  <c r="AQ78" i="6" a="1"/>
  <c r="AQ78" i="6" s="1"/>
  <c r="AQ63" i="6" a="1"/>
  <c r="AQ63" i="6" s="1"/>
  <c r="AQ84" i="6" a="1"/>
  <c r="AQ84" i="6" s="1"/>
  <c r="AQ88" i="6" a="1"/>
  <c r="AQ88" i="6" s="1"/>
  <c r="AQ73" i="6" a="1"/>
  <c r="AQ73" i="6" s="1"/>
  <c r="AQ51" i="6" a="1"/>
  <c r="AQ51" i="6" s="1"/>
  <c r="AQ49" i="6" a="1"/>
  <c r="AQ49" i="6" s="1"/>
  <c r="AQ85" i="6" a="1"/>
  <c r="AQ85" i="6" s="1"/>
  <c r="AQ74" i="6" a="1"/>
  <c r="AQ74" i="6" s="1"/>
  <c r="AQ61" i="6" a="1"/>
  <c r="AQ61" i="6" s="1"/>
  <c r="AQ62" i="6" a="1"/>
  <c r="AQ62" i="6" s="1"/>
  <c r="AQ67" i="6" a="1"/>
  <c r="AQ67" i="6" s="1"/>
  <c r="AQ66" i="6" a="1"/>
  <c r="AQ66" i="6" s="1"/>
  <c r="AQ65" i="6" a="1"/>
  <c r="AQ65" i="6" s="1"/>
  <c r="AQ56" i="6" a="1"/>
  <c r="AQ56" i="6" s="1"/>
  <c r="AQ60" i="6" a="1"/>
  <c r="AQ60" i="6" s="1"/>
  <c r="AQ57" i="6" a="1"/>
  <c r="AQ57" i="6" s="1"/>
  <c r="AQ58" i="6" a="1"/>
  <c r="AQ58" i="6" s="1"/>
  <c r="AQ52" i="6" a="1"/>
  <c r="AQ52" i="6" s="1"/>
  <c r="AQ37" i="6" a="1"/>
  <c r="AQ37" i="6" s="1"/>
  <c r="AQ32" i="6" a="1"/>
  <c r="AQ32" i="6" s="1"/>
  <c r="AQ54" i="6" a="1"/>
  <c r="AQ54" i="6" s="1"/>
  <c r="AQ36" i="6" a="1"/>
  <c r="AQ36" i="6" s="1"/>
  <c r="AQ44" i="6" a="1"/>
  <c r="AQ44" i="6" s="1"/>
  <c r="AQ39" i="6" a="1"/>
  <c r="AQ39" i="6" s="1"/>
  <c r="AQ43" i="6" a="1"/>
  <c r="AQ43" i="6" s="1"/>
  <c r="AQ59" i="6" a="1"/>
  <c r="AQ59" i="6" s="1"/>
  <c r="AQ55" i="6" a="1"/>
  <c r="AQ55" i="6" s="1"/>
  <c r="AQ38" i="6" a="1"/>
  <c r="AQ38" i="6" s="1"/>
  <c r="AQ42" i="6" a="1"/>
  <c r="AQ42" i="6" s="1"/>
  <c r="AQ41" i="6" s="1"/>
  <c r="AQ40" i="6" s="1"/>
  <c r="AQ53" i="6" a="1"/>
  <c r="AQ53" i="6" s="1"/>
  <c r="AQ50" i="6" a="1"/>
  <c r="AQ50" i="6" s="1"/>
  <c r="AQ33" i="6" a="1"/>
  <c r="AQ33" i="6" s="1"/>
  <c r="AQ28" i="6" a="1"/>
  <c r="AQ28" i="6" s="1"/>
  <c r="AQ23" i="6" a="1"/>
  <c r="AQ23" i="6" s="1"/>
  <c r="AQ22" i="6" s="1"/>
  <c r="AQ19" i="6" s="1"/>
  <c r="AQ15" i="6" a="1"/>
  <c r="AQ15" i="6" s="1"/>
  <c r="AQ34" i="6" a="1"/>
  <c r="AQ34" i="6" s="1"/>
  <c r="AQ31" i="6" a="1"/>
  <c r="AQ31" i="6" s="1"/>
  <c r="AQ16" i="6" a="1"/>
  <c r="AQ16" i="6" s="1"/>
  <c r="AQ35" i="6" a="1"/>
  <c r="AQ35" i="6" s="1"/>
  <c r="AQ17" i="6" a="1"/>
  <c r="AQ17" i="6" s="1"/>
  <c r="AQ29" i="6" a="1"/>
  <c r="AQ29" i="6" s="1"/>
  <c r="AQ25" i="6" a="1"/>
  <c r="AQ25" i="6" s="1"/>
  <c r="AQ24" i="6" s="1"/>
  <c r="AQ48" i="6" a="1"/>
  <c r="AQ48" i="6" s="1"/>
  <c r="AQ30" i="6" a="1"/>
  <c r="AQ30" i="6" s="1"/>
  <c r="BC155" i="6" a="1"/>
  <c r="BC155" i="6" s="1"/>
  <c r="BC154" i="6" s="1"/>
  <c r="BC153" i="6" s="1"/>
  <c r="BC147" i="6" a="1"/>
  <c r="BC147" i="6" s="1"/>
  <c r="BC146" i="6" s="1"/>
  <c r="BC145" i="6" s="1"/>
  <c r="BC152" i="6" a="1"/>
  <c r="BC152" i="6" s="1"/>
  <c r="BC151" i="6" s="1"/>
  <c r="BC150" i="6" s="1"/>
  <c r="BC143" i="6" a="1"/>
  <c r="BC143" i="6" s="1"/>
  <c r="BC148" i="6" a="1"/>
  <c r="BC148" i="6" s="1"/>
  <c r="BC156" i="6" a="1"/>
  <c r="BC156" i="6" s="1"/>
  <c r="BC149" i="6" a="1"/>
  <c r="BC149" i="6" s="1"/>
  <c r="BC139" i="6" a="1"/>
  <c r="BC139" i="6" s="1"/>
  <c r="BC137" i="6" a="1"/>
  <c r="BC137" i="6" s="1"/>
  <c r="BC132" i="6" a="1"/>
  <c r="BC132" i="6" s="1"/>
  <c r="BC134" i="6" a="1"/>
  <c r="BC134" i="6" s="1"/>
  <c r="BC128" i="6" a="1"/>
  <c r="BC128" i="6" s="1"/>
  <c r="BC130" i="6" a="1"/>
  <c r="BC130" i="6" s="1"/>
  <c r="BC135" i="6" a="1"/>
  <c r="BC135" i="6" s="1"/>
  <c r="BC133" i="6" a="1"/>
  <c r="BC133" i="6" s="1"/>
  <c r="BC118" i="6" a="1"/>
  <c r="BC118" i="6" s="1"/>
  <c r="BC131" i="6" a="1"/>
  <c r="BC131" i="6" s="1"/>
  <c r="BC120" i="6" a="1"/>
  <c r="BC120" i="6" s="1"/>
  <c r="BC138" i="6" a="1"/>
  <c r="BC138" i="6" s="1"/>
  <c r="BC121" i="6" a="1"/>
  <c r="BC121" i="6" s="1"/>
  <c r="BC144" i="6" a="1"/>
  <c r="BC144" i="6" s="1"/>
  <c r="BC136" i="6" a="1"/>
  <c r="BC136" i="6" s="1"/>
  <c r="BC122" i="6" a="1"/>
  <c r="BC122" i="6" s="1"/>
  <c r="BC129" i="6" a="1"/>
  <c r="BC129" i="6" s="1"/>
  <c r="BC126" i="6" a="1"/>
  <c r="BC126" i="6" s="1"/>
  <c r="BC124" i="6" a="1"/>
  <c r="BC124" i="6" s="1"/>
  <c r="BC105" i="6" a="1"/>
  <c r="BC105" i="6" s="1"/>
  <c r="BC117" i="6" a="1"/>
  <c r="BC117" i="6" s="1"/>
  <c r="BC116" i="6" a="1"/>
  <c r="BC116" i="6" s="1"/>
  <c r="BC123" i="6" a="1"/>
  <c r="BC123" i="6" s="1"/>
  <c r="BC119" i="6" a="1"/>
  <c r="BC119" i="6" s="1"/>
  <c r="BC115" i="6" a="1"/>
  <c r="BC115" i="6" s="1"/>
  <c r="BC101" i="6" a="1"/>
  <c r="BC101" i="6" s="1"/>
  <c r="BC127" i="6" a="1"/>
  <c r="BC127" i="6" s="1"/>
  <c r="BC110" i="6" a="1"/>
  <c r="BC110" i="6" s="1"/>
  <c r="BC109" i="6" s="1"/>
  <c r="BC108" i="6" s="1"/>
  <c r="BC102" i="6" a="1"/>
  <c r="BC102" i="6" s="1"/>
  <c r="BC103" i="6" a="1"/>
  <c r="BC103" i="6" s="1"/>
  <c r="BC114" i="6" a="1"/>
  <c r="BC114" i="6" s="1"/>
  <c r="BC104" i="6" a="1"/>
  <c r="BC104" i="6" s="1"/>
  <c r="BC113" i="6" a="1"/>
  <c r="BC113" i="6" s="1"/>
  <c r="BC107" i="6" a="1"/>
  <c r="BC107" i="6" s="1"/>
  <c r="BC111" i="6" a="1"/>
  <c r="BC111" i="6" s="1"/>
  <c r="BC92" i="6" a="1"/>
  <c r="BC92" i="6" s="1"/>
  <c r="BC112" i="6" a="1"/>
  <c r="BC112" i="6" s="1"/>
  <c r="BC93" i="6" a="1"/>
  <c r="BC93" i="6" s="1"/>
  <c r="BC100" i="6" a="1"/>
  <c r="BC100" i="6" s="1"/>
  <c r="BC97" i="6" a="1"/>
  <c r="BC97" i="6" s="1"/>
  <c r="BC82" i="6" a="1"/>
  <c r="BC82" i="6" s="1"/>
  <c r="BC98" i="6" a="1"/>
  <c r="BC98" i="6" s="1"/>
  <c r="BC89" i="6" a="1"/>
  <c r="BC89" i="6" s="1"/>
  <c r="BC80" i="6" a="1"/>
  <c r="BC80" i="6" s="1"/>
  <c r="BC125" i="6" a="1"/>
  <c r="BC125" i="6" s="1"/>
  <c r="BC106" i="6" a="1"/>
  <c r="BC106" i="6" s="1"/>
  <c r="BC86" i="6" a="1"/>
  <c r="BC86" i="6" s="1"/>
  <c r="BC85" i="6" a="1"/>
  <c r="BC85" i="6" s="1"/>
  <c r="BC90" i="6" a="1"/>
  <c r="BC90" i="6" s="1"/>
  <c r="BC88" i="6" a="1"/>
  <c r="BC88" i="6" s="1"/>
  <c r="BC74" i="6" a="1"/>
  <c r="BC74" i="6" s="1"/>
  <c r="BC68" i="6" a="1"/>
  <c r="BC68" i="6" s="1"/>
  <c r="BC69" i="6" a="1"/>
  <c r="BC69" i="6" s="1"/>
  <c r="BC96" i="6" a="1"/>
  <c r="BC96" i="6" s="1"/>
  <c r="BC70" i="6" a="1"/>
  <c r="BC70" i="6" s="1"/>
  <c r="BC81" i="6" a="1"/>
  <c r="BC81" i="6" s="1"/>
  <c r="BC71" i="6" a="1"/>
  <c r="BC71" i="6" s="1"/>
  <c r="BC79" i="6" a="1"/>
  <c r="BC79" i="6" s="1"/>
  <c r="BC95" i="6" a="1"/>
  <c r="BC95" i="6" s="1"/>
  <c r="BC78" i="6" a="1"/>
  <c r="BC78" i="6" s="1"/>
  <c r="BC83" i="6" a="1"/>
  <c r="BC83" i="6" s="1"/>
  <c r="BC91" i="6" a="1"/>
  <c r="BC91" i="6" s="1"/>
  <c r="BC84" i="6" a="1"/>
  <c r="BC84" i="6" s="1"/>
  <c r="BC99" i="6" a="1"/>
  <c r="BC99" i="6" s="1"/>
  <c r="BC72" i="6" a="1"/>
  <c r="BC72" i="6" s="1"/>
  <c r="BC65" i="6" a="1"/>
  <c r="BC65" i="6" s="1"/>
  <c r="BC64" i="6" a="1"/>
  <c r="BC64" i="6" s="1"/>
  <c r="BC94" i="6" a="1"/>
  <c r="BC94" i="6" s="1"/>
  <c r="BC87" i="6" a="1"/>
  <c r="BC87" i="6" s="1"/>
  <c r="BC51" i="6" a="1"/>
  <c r="BC51" i="6" s="1"/>
  <c r="BC59" i="6" a="1"/>
  <c r="BC59" i="6" s="1"/>
  <c r="BC49" i="6" a="1"/>
  <c r="BC49" i="6" s="1"/>
  <c r="BC73" i="6" a="1"/>
  <c r="BC73" i="6" s="1"/>
  <c r="BC63" i="6" a="1"/>
  <c r="BC63" i="6" s="1"/>
  <c r="BC66" i="6" a="1"/>
  <c r="BC66" i="6" s="1"/>
  <c r="BC67" i="6" a="1"/>
  <c r="BC67" i="6" s="1"/>
  <c r="BC56" i="6" a="1"/>
  <c r="BC56" i="6" s="1"/>
  <c r="BC57" i="6" a="1"/>
  <c r="BC57" i="6" s="1"/>
  <c r="BC61" i="6" a="1"/>
  <c r="BC61" i="6" s="1"/>
  <c r="BC58" i="6" a="1"/>
  <c r="BC58" i="6" s="1"/>
  <c r="BC54" i="6" a="1"/>
  <c r="BC54" i="6" s="1"/>
  <c r="BC37" i="6" a="1"/>
  <c r="BC37" i="6" s="1"/>
  <c r="BC32" i="6" a="1"/>
  <c r="BC32" i="6" s="1"/>
  <c r="BC50" i="6" a="1"/>
  <c r="BC50" i="6" s="1"/>
  <c r="BC36" i="6" a="1"/>
  <c r="BC36" i="6" s="1"/>
  <c r="BC60" i="6" a="1"/>
  <c r="BC60" i="6" s="1"/>
  <c r="BC75" i="6" a="1"/>
  <c r="BC75" i="6" s="1"/>
  <c r="BC44" i="6" a="1"/>
  <c r="BC44" i="6" s="1"/>
  <c r="BC39" i="6" a="1"/>
  <c r="BC39" i="6" s="1"/>
  <c r="BC53" i="6" a="1"/>
  <c r="BC53" i="6" s="1"/>
  <c r="BC43" i="6" a="1"/>
  <c r="BC43" i="6" s="1"/>
  <c r="BC62" i="6" a="1"/>
  <c r="BC62" i="6" s="1"/>
  <c r="BC55" i="6" a="1"/>
  <c r="BC55" i="6" s="1"/>
  <c r="BC38" i="6" a="1"/>
  <c r="BC38" i="6" s="1"/>
  <c r="BC52" i="6" a="1"/>
  <c r="BC52" i="6" s="1"/>
  <c r="BC42" i="6" a="1"/>
  <c r="BC42" i="6" s="1"/>
  <c r="BC33" i="6" a="1"/>
  <c r="BC33" i="6" s="1"/>
  <c r="BC30" i="6" a="1"/>
  <c r="BC30" i="6" s="1"/>
  <c r="BC23" i="6" a="1"/>
  <c r="BC23" i="6" s="1"/>
  <c r="BC22" i="6" s="1"/>
  <c r="BC15" i="6" a="1"/>
  <c r="BC15" i="6" s="1"/>
  <c r="BC14" i="6" s="1"/>
  <c r="BC13" i="6" s="1"/>
  <c r="BC12" i="6" s="1"/>
  <c r="BC16" i="6" a="1"/>
  <c r="BC16" i="6" s="1"/>
  <c r="BC48" i="6" a="1"/>
  <c r="BC48" i="6" s="1"/>
  <c r="BC17" i="6" a="1"/>
  <c r="BC17" i="6" s="1"/>
  <c r="BC34" i="6" a="1"/>
  <c r="BC34" i="6" s="1"/>
  <c r="BC28" i="6" a="1"/>
  <c r="BC28" i="6" s="1"/>
  <c r="BC25" i="6" a="1"/>
  <c r="BC25" i="6" s="1"/>
  <c r="BC24" i="6" s="1"/>
  <c r="BC35" i="6" a="1"/>
  <c r="BC35" i="6" s="1"/>
  <c r="BC31" i="6" a="1"/>
  <c r="BC31" i="6" s="1"/>
  <c r="BC29" i="6" a="1"/>
  <c r="BC29" i="6" s="1"/>
  <c r="R14" i="6"/>
  <c r="R13" i="6" s="1"/>
  <c r="R12" i="6" s="1"/>
  <c r="AT15" i="6" a="1"/>
  <c r="AT15" i="6" s="1"/>
  <c r="AT14" i="6" s="1"/>
  <c r="AT13" i="6" s="1"/>
  <c r="AT12" i="6" s="1"/>
  <c r="AD17" i="6" a="1"/>
  <c r="AD17" i="6" s="1"/>
  <c r="BM17" i="6" a="1"/>
  <c r="BM17" i="6" s="1"/>
  <c r="AD21" i="6" a="1"/>
  <c r="AD21" i="6" s="1"/>
  <c r="AD20" i="6" s="1"/>
  <c r="BN21" i="6" a="1"/>
  <c r="BN21" i="6" s="1"/>
  <c r="BN20" i="6" s="1"/>
  <c r="BN19" i="6" s="1"/>
  <c r="AP30" i="6" a="1"/>
  <c r="AP30" i="6" s="1"/>
  <c r="AW34" i="6" a="1"/>
  <c r="AW34" i="6" s="1"/>
  <c r="T156" i="6" a="1"/>
  <c r="T156" i="6" s="1"/>
  <c r="T147" i="6" a="1"/>
  <c r="T147" i="6" s="1"/>
  <c r="T155" i="6" a="1"/>
  <c r="T155" i="6" s="1"/>
  <c r="T154" i="6" s="1"/>
  <c r="T153" i="6" s="1"/>
  <c r="T149" i="6" a="1"/>
  <c r="T149" i="6" s="1"/>
  <c r="T152" i="6" a="1"/>
  <c r="T152" i="6" s="1"/>
  <c r="T151" i="6" s="1"/>
  <c r="T150" i="6" s="1"/>
  <c r="T148" i="6" a="1"/>
  <c r="T148" i="6" s="1"/>
  <c r="T143" i="6" a="1"/>
  <c r="T143" i="6" s="1"/>
  <c r="T142" i="6" s="1"/>
  <c r="T141" i="6" s="1"/>
  <c r="T134" i="6" a="1"/>
  <c r="T134" i="6" s="1"/>
  <c r="T144" i="6" a="1"/>
  <c r="T144" i="6" s="1"/>
  <c r="T135" i="6" a="1"/>
  <c r="T135" i="6" s="1"/>
  <c r="T133" i="6" a="1"/>
  <c r="T133" i="6" s="1"/>
  <c r="T136" i="6" a="1"/>
  <c r="T136" i="6" s="1"/>
  <c r="T131" i="6" a="1"/>
  <c r="T131" i="6" s="1"/>
  <c r="T139" i="6" a="1"/>
  <c r="T139" i="6" s="1"/>
  <c r="T137" i="6" a="1"/>
  <c r="T137" i="6" s="1"/>
  <c r="T132" i="6" a="1"/>
  <c r="T132" i="6" s="1"/>
  <c r="T127" i="6" a="1"/>
  <c r="T127" i="6" s="1"/>
  <c r="T129" i="6" a="1"/>
  <c r="T129" i="6" s="1"/>
  <c r="T120" i="6" a="1"/>
  <c r="T120" i="6" s="1"/>
  <c r="T128" i="6" a="1"/>
  <c r="T128" i="6" s="1"/>
  <c r="T122" i="6" a="1"/>
  <c r="T122" i="6" s="1"/>
  <c r="T138" i="6" a="1"/>
  <c r="T138" i="6" s="1"/>
  <c r="T123" i="6" a="1"/>
  <c r="T123" i="6" s="1"/>
  <c r="T124" i="6" a="1"/>
  <c r="T124" i="6" s="1"/>
  <c r="T130" i="6" a="1"/>
  <c r="T130" i="6" s="1"/>
  <c r="T126" i="6" a="1"/>
  <c r="T126" i="6" s="1"/>
  <c r="T121" i="6" a="1"/>
  <c r="T121" i="6" s="1"/>
  <c r="T118" i="6" a="1"/>
  <c r="T118" i="6" s="1"/>
  <c r="T106" i="6" a="1"/>
  <c r="T106" i="6" s="1"/>
  <c r="T117" i="6" a="1"/>
  <c r="T117" i="6" s="1"/>
  <c r="T107" i="6" a="1"/>
  <c r="T107" i="6" s="1"/>
  <c r="T116" i="6" a="1"/>
  <c r="T116" i="6" s="1"/>
  <c r="T125" i="6" a="1"/>
  <c r="T125" i="6" s="1"/>
  <c r="T115" i="6" a="1"/>
  <c r="T115" i="6" s="1"/>
  <c r="T114" i="6" a="1"/>
  <c r="T114" i="6" s="1"/>
  <c r="T103" i="6" a="1"/>
  <c r="T103" i="6" s="1"/>
  <c r="T104" i="6" a="1"/>
  <c r="T104" i="6" s="1"/>
  <c r="T95" i="6" a="1"/>
  <c r="T95" i="6" s="1"/>
  <c r="T111" i="6" a="1"/>
  <c r="T111" i="6" s="1"/>
  <c r="T110" i="6" a="1"/>
  <c r="T110" i="6" s="1"/>
  <c r="T94" i="6" a="1"/>
  <c r="T94" i="6" s="1"/>
  <c r="T101" i="6" a="1"/>
  <c r="T101" i="6" s="1"/>
  <c r="T119" i="6" a="1"/>
  <c r="T119" i="6" s="1"/>
  <c r="T113" i="6" a="1"/>
  <c r="T113" i="6" s="1"/>
  <c r="T112" i="6" a="1"/>
  <c r="T112" i="6" s="1"/>
  <c r="T102" i="6" a="1"/>
  <c r="T102" i="6" s="1"/>
  <c r="T92" i="6" a="1"/>
  <c r="T92" i="6" s="1"/>
  <c r="T80" i="6" a="1"/>
  <c r="T80" i="6" s="1"/>
  <c r="T105" i="6" a="1"/>
  <c r="T105" i="6" s="1"/>
  <c r="T93" i="6" a="1"/>
  <c r="T93" i="6" s="1"/>
  <c r="T78" i="6" a="1"/>
  <c r="T78" i="6" s="1"/>
  <c r="T100" i="6" a="1"/>
  <c r="T100" i="6" s="1"/>
  <c r="T99" i="6" a="1"/>
  <c r="T99" i="6" s="1"/>
  <c r="T97" i="6" a="1"/>
  <c r="T97" i="6" s="1"/>
  <c r="T83" i="6" a="1"/>
  <c r="T83" i="6" s="1"/>
  <c r="T72" i="6" a="1"/>
  <c r="T72" i="6" s="1"/>
  <c r="T91" i="6" a="1"/>
  <c r="T91" i="6" s="1"/>
  <c r="T73" i="6" a="1"/>
  <c r="T73" i="6" s="1"/>
  <c r="T70" i="6" a="1"/>
  <c r="T70" i="6" s="1"/>
  <c r="T88" i="6" a="1"/>
  <c r="T88" i="6" s="1"/>
  <c r="T71" i="6" a="1"/>
  <c r="T71" i="6" s="1"/>
  <c r="T87" i="6" a="1"/>
  <c r="T87" i="6" s="1"/>
  <c r="T60" i="6" a="1"/>
  <c r="T60" i="6" s="1"/>
  <c r="T96" i="6" a="1"/>
  <c r="T96" i="6" s="1"/>
  <c r="T84" i="6" a="1"/>
  <c r="T84" i="6" s="1"/>
  <c r="T81" i="6" a="1"/>
  <c r="T81" i="6" s="1"/>
  <c r="T75" i="6" a="1"/>
  <c r="T75" i="6" s="1"/>
  <c r="T86" i="6" a="1"/>
  <c r="T86" i="6" s="1"/>
  <c r="T89" i="6" a="1"/>
  <c r="T89" i="6" s="1"/>
  <c r="T90" i="6" a="1"/>
  <c r="T90" i="6" s="1"/>
  <c r="T85" i="6" a="1"/>
  <c r="T85" i="6" s="1"/>
  <c r="T68" i="6" a="1"/>
  <c r="T68" i="6" s="1"/>
  <c r="T82" i="6" a="1"/>
  <c r="T82" i="6" s="1"/>
  <c r="T67" i="6" a="1"/>
  <c r="T67" i="6" s="1"/>
  <c r="T74" i="6" a="1"/>
  <c r="T74" i="6" s="1"/>
  <c r="T98" i="6" a="1"/>
  <c r="T98" i="6" s="1"/>
  <c r="T79" i="6" a="1"/>
  <c r="T79" i="6" s="1"/>
  <c r="T65" i="6" a="1"/>
  <c r="T65" i="6" s="1"/>
  <c r="T66" i="6" a="1"/>
  <c r="T66" i="6" s="1"/>
  <c r="T49" i="6" a="1"/>
  <c r="T49" i="6" s="1"/>
  <c r="T69" i="6" a="1"/>
  <c r="T69" i="6" s="1"/>
  <c r="T62" i="6" a="1"/>
  <c r="T62" i="6" s="1"/>
  <c r="T61" i="6" a="1"/>
  <c r="T61" i="6" s="1"/>
  <c r="T64" i="6" a="1"/>
  <c r="T64" i="6" s="1"/>
  <c r="T56" i="6" a="1"/>
  <c r="T56" i="6" s="1"/>
  <c r="T63" i="6" a="1"/>
  <c r="T63" i="6" s="1"/>
  <c r="T57" i="6" a="1"/>
  <c r="T57" i="6" s="1"/>
  <c r="T58" i="6" a="1"/>
  <c r="T58" i="6" s="1"/>
  <c r="T54" i="6" a="1"/>
  <c r="T54" i="6" s="1"/>
  <c r="T59" i="6" a="1"/>
  <c r="T59" i="6" s="1"/>
  <c r="T50" i="6" a="1"/>
  <c r="T50" i="6" s="1"/>
  <c r="T36" i="6" a="1"/>
  <c r="T36" i="6" s="1"/>
  <c r="T44" i="6" a="1"/>
  <c r="T44" i="6" s="1"/>
  <c r="T53" i="6" a="1"/>
  <c r="T53" i="6" s="1"/>
  <c r="T51" i="6" a="1"/>
  <c r="T51" i="6" s="1"/>
  <c r="T39" i="6" a="1"/>
  <c r="T39" i="6" s="1"/>
  <c r="T43" i="6" a="1"/>
  <c r="T43" i="6" s="1"/>
  <c r="T38" i="6" a="1"/>
  <c r="T38" i="6" s="1"/>
  <c r="T35" i="6" a="1"/>
  <c r="T35" i="6" s="1"/>
  <c r="T42" i="6" a="1"/>
  <c r="T42" i="6" s="1"/>
  <c r="T41" i="6" s="1"/>
  <c r="T40" i="6" s="1"/>
  <c r="T52" i="6" a="1"/>
  <c r="T52" i="6" s="1"/>
  <c r="T48" i="6" a="1"/>
  <c r="T48" i="6" s="1"/>
  <c r="T30" i="6" a="1"/>
  <c r="T30" i="6" s="1"/>
  <c r="T23" i="6" a="1"/>
  <c r="T23" i="6" s="1"/>
  <c r="T22" i="6" s="1"/>
  <c r="T15" i="6" a="1"/>
  <c r="T15" i="6" s="1"/>
  <c r="T14" i="6" s="1"/>
  <c r="T13" i="6" s="1"/>
  <c r="T12" i="6" s="1"/>
  <c r="T32" i="6" a="1"/>
  <c r="T32" i="6" s="1"/>
  <c r="T16" i="6" a="1"/>
  <c r="T16" i="6" s="1"/>
  <c r="T37" i="6" a="1"/>
  <c r="T37" i="6" s="1"/>
  <c r="T31" i="6" a="1"/>
  <c r="T31" i="6" s="1"/>
  <c r="T17" i="6" a="1"/>
  <c r="T17" i="6" s="1"/>
  <c r="T33" i="6" a="1"/>
  <c r="T33" i="6" s="1"/>
  <c r="T25" i="6" a="1"/>
  <c r="T25" i="6" s="1"/>
  <c r="T24" i="6" s="1"/>
  <c r="T28" i="6" a="1"/>
  <c r="T28" i="6" s="1"/>
  <c r="T21" i="6" a="1"/>
  <c r="T21" i="6" s="1"/>
  <c r="T20" i="6" s="1"/>
  <c r="T29" i="6" a="1"/>
  <c r="T29" i="6" s="1"/>
  <c r="T55" i="6" a="1"/>
  <c r="T55" i="6" s="1"/>
  <c r="AF156" i="6" a="1"/>
  <c r="AF156" i="6" s="1"/>
  <c r="AF149" i="6" a="1"/>
  <c r="AF149" i="6" s="1"/>
  <c r="AF152" i="6" a="1"/>
  <c r="AF152" i="6" s="1"/>
  <c r="AF151" i="6" s="1"/>
  <c r="AF150" i="6" s="1"/>
  <c r="AF138" i="6" a="1"/>
  <c r="AF138" i="6" s="1"/>
  <c r="AF155" i="6" a="1"/>
  <c r="AF155" i="6" s="1"/>
  <c r="AF139" i="6" a="1"/>
  <c r="AF139" i="6" s="1"/>
  <c r="AF134" i="6" a="1"/>
  <c r="AF134" i="6" s="1"/>
  <c r="AF135" i="6" a="1"/>
  <c r="AF135" i="6" s="1"/>
  <c r="AF137" i="6" a="1"/>
  <c r="AF137" i="6" s="1"/>
  <c r="AF136" i="6" a="1"/>
  <c r="AF136" i="6" s="1"/>
  <c r="AF148" i="6" a="1"/>
  <c r="AF148" i="6" s="1"/>
  <c r="AF143" i="6" a="1"/>
  <c r="AF143" i="6" s="1"/>
  <c r="AF131" i="6" a="1"/>
  <c r="AF131" i="6" s="1"/>
  <c r="AF132" i="6" a="1"/>
  <c r="AF132" i="6" s="1"/>
  <c r="AF130" i="6" a="1"/>
  <c r="AF130" i="6" s="1"/>
  <c r="AF129" i="6" a="1"/>
  <c r="AF129" i="6" s="1"/>
  <c r="AF133" i="6" a="1"/>
  <c r="AF133" i="6" s="1"/>
  <c r="AF147" i="6" a="1"/>
  <c r="AF147" i="6" s="1"/>
  <c r="AF144" i="6" a="1"/>
  <c r="AF144" i="6" s="1"/>
  <c r="AF120" i="6" a="1"/>
  <c r="AF120" i="6" s="1"/>
  <c r="AF122" i="6" a="1"/>
  <c r="AF122" i="6" s="1"/>
  <c r="AF123" i="6" a="1"/>
  <c r="AF123" i="6" s="1"/>
  <c r="AF124" i="6" a="1"/>
  <c r="AF124" i="6" s="1"/>
  <c r="AF119" i="6" a="1"/>
  <c r="AF119" i="6" s="1"/>
  <c r="AF118" i="6" a="1"/>
  <c r="AF118" i="6" s="1"/>
  <c r="AF106" i="6" a="1"/>
  <c r="AF106" i="6" s="1"/>
  <c r="AF117" i="6" a="1"/>
  <c r="AF117" i="6" s="1"/>
  <c r="AF107" i="6" a="1"/>
  <c r="AF107" i="6" s="1"/>
  <c r="AF116" i="6" a="1"/>
  <c r="AF116" i="6" s="1"/>
  <c r="AF125" i="6" a="1"/>
  <c r="AF125" i="6" s="1"/>
  <c r="AF115" i="6" a="1"/>
  <c r="AF115" i="6" s="1"/>
  <c r="AF126" i="6" a="1"/>
  <c r="AF126" i="6" s="1"/>
  <c r="AF114" i="6" a="1"/>
  <c r="AF114" i="6" s="1"/>
  <c r="AF128" i="6" a="1"/>
  <c r="AF128" i="6" s="1"/>
  <c r="AF103" i="6" a="1"/>
  <c r="AF103" i="6" s="1"/>
  <c r="AF104" i="6" a="1"/>
  <c r="AF104" i="6" s="1"/>
  <c r="AF95" i="6" a="1"/>
  <c r="AF95" i="6" s="1"/>
  <c r="AF113" i="6" a="1"/>
  <c r="AF113" i="6" s="1"/>
  <c r="AF105" i="6" a="1"/>
  <c r="AF105" i="6" s="1"/>
  <c r="AF94" i="6" a="1"/>
  <c r="AF94" i="6" s="1"/>
  <c r="AF127" i="6" a="1"/>
  <c r="AF127" i="6" s="1"/>
  <c r="AF121" i="6" a="1"/>
  <c r="AF121" i="6" s="1"/>
  <c r="AF98" i="6" a="1"/>
  <c r="AF98" i="6" s="1"/>
  <c r="AF111" i="6" a="1"/>
  <c r="AF111" i="6" s="1"/>
  <c r="AF96" i="6" a="1"/>
  <c r="AF96" i="6" s="1"/>
  <c r="AF110" i="6" a="1"/>
  <c r="AF110" i="6" s="1"/>
  <c r="AF89" i="6" a="1"/>
  <c r="AF89" i="6" s="1"/>
  <c r="AF87" i="6" a="1"/>
  <c r="AF87" i="6" s="1"/>
  <c r="AF80" i="6" a="1"/>
  <c r="AF80" i="6" s="1"/>
  <c r="AF102" i="6" a="1"/>
  <c r="AF102" i="6" s="1"/>
  <c r="AF90" i="6" a="1"/>
  <c r="AF90" i="6" s="1"/>
  <c r="AF78" i="6" a="1"/>
  <c r="AF78" i="6" s="1"/>
  <c r="AF91" i="6" a="1"/>
  <c r="AF91" i="6" s="1"/>
  <c r="AF93" i="6" a="1"/>
  <c r="AF93" i="6" s="1"/>
  <c r="AF85" i="6" a="1"/>
  <c r="AF85" i="6" s="1"/>
  <c r="AF82" i="6" a="1"/>
  <c r="AF82" i="6" s="1"/>
  <c r="AF72" i="6" a="1"/>
  <c r="AF72" i="6" s="1"/>
  <c r="AF86" i="6" a="1"/>
  <c r="AF86" i="6" s="1"/>
  <c r="AF97" i="6" a="1"/>
  <c r="AF97" i="6" s="1"/>
  <c r="AF81" i="6" a="1"/>
  <c r="AF81" i="6" s="1"/>
  <c r="AF70" i="6" a="1"/>
  <c r="AF70" i="6" s="1"/>
  <c r="AF101" i="6" a="1"/>
  <c r="AF101" i="6" s="1"/>
  <c r="AF84" i="6" a="1"/>
  <c r="AF84" i="6" s="1"/>
  <c r="AF71" i="6" a="1"/>
  <c r="AF71" i="6" s="1"/>
  <c r="AF74" i="6" a="1"/>
  <c r="AF74" i="6" s="1"/>
  <c r="AF73" i="6" a="1"/>
  <c r="AF73" i="6" s="1"/>
  <c r="AF60" i="6" a="1"/>
  <c r="AF60" i="6" s="1"/>
  <c r="AF92" i="6" a="1"/>
  <c r="AF92" i="6" s="1"/>
  <c r="AF88" i="6" a="1"/>
  <c r="AF88" i="6" s="1"/>
  <c r="AF79" i="6" a="1"/>
  <c r="AF79" i="6" s="1"/>
  <c r="AF99" i="6" a="1"/>
  <c r="AF99" i="6" s="1"/>
  <c r="AF100" i="6" a="1"/>
  <c r="AF100" i="6" s="1"/>
  <c r="AF83" i="6" a="1"/>
  <c r="AF83" i="6" s="1"/>
  <c r="AF65" i="6" a="1"/>
  <c r="AF65" i="6" s="1"/>
  <c r="AF66" i="6" a="1"/>
  <c r="AF66" i="6" s="1"/>
  <c r="AF61" i="6" a="1"/>
  <c r="AF61" i="6" s="1"/>
  <c r="AF112" i="6" a="1"/>
  <c r="AF112" i="6" s="1"/>
  <c r="AF69" i="6" a="1"/>
  <c r="AF69" i="6" s="1"/>
  <c r="AF49" i="6" a="1"/>
  <c r="AF49" i="6" s="1"/>
  <c r="AF67" i="6" a="1"/>
  <c r="AF67" i="6" s="1"/>
  <c r="AF63" i="6" a="1"/>
  <c r="AF63" i="6" s="1"/>
  <c r="AF68" i="6" a="1"/>
  <c r="AF68" i="6" s="1"/>
  <c r="AF64" i="6" a="1"/>
  <c r="AF64" i="6" s="1"/>
  <c r="AF56" i="6" a="1"/>
  <c r="AF56" i="6" s="1"/>
  <c r="AF57" i="6" a="1"/>
  <c r="AF57" i="6" s="1"/>
  <c r="AF75" i="6" a="1"/>
  <c r="AF75" i="6" s="1"/>
  <c r="AF58" i="6" a="1"/>
  <c r="AF58" i="6" s="1"/>
  <c r="AF54" i="6" a="1"/>
  <c r="AF54" i="6" s="1"/>
  <c r="AF59" i="6" a="1"/>
  <c r="AF59" i="6" s="1"/>
  <c r="AF36" i="6" a="1"/>
  <c r="AF36" i="6" s="1"/>
  <c r="AF62" i="6" a="1"/>
  <c r="AF62" i="6" s="1"/>
  <c r="AF52" i="6" a="1"/>
  <c r="AF52" i="6" s="1"/>
  <c r="AF44" i="6" a="1"/>
  <c r="AF44" i="6" s="1"/>
  <c r="AF39" i="6" a="1"/>
  <c r="AF39" i="6" s="1"/>
  <c r="AF50" i="6" a="1"/>
  <c r="AF50" i="6" s="1"/>
  <c r="AF43" i="6" a="1"/>
  <c r="AF43" i="6" s="1"/>
  <c r="AF35" i="6" a="1"/>
  <c r="AF35" i="6" s="1"/>
  <c r="AF42" i="6" a="1"/>
  <c r="AF42" i="6" s="1"/>
  <c r="AF51" i="6" a="1"/>
  <c r="AF51" i="6" s="1"/>
  <c r="AF55" i="6" a="1"/>
  <c r="AF55" i="6" s="1"/>
  <c r="AF48" i="6" a="1"/>
  <c r="AF48" i="6" s="1"/>
  <c r="AF34" i="6" a="1"/>
  <c r="AF34" i="6" s="1"/>
  <c r="AF29" i="6" a="1"/>
  <c r="AF29" i="6" s="1"/>
  <c r="AF23" i="6" a="1"/>
  <c r="AF23" i="6" s="1"/>
  <c r="AF22" i="6" s="1"/>
  <c r="AF15" i="6" a="1"/>
  <c r="AF15" i="6" s="1"/>
  <c r="AF33" i="6" a="1"/>
  <c r="AF33" i="6" s="1"/>
  <c r="AF16" i="6" a="1"/>
  <c r="AF16" i="6" s="1"/>
  <c r="AF17" i="6" a="1"/>
  <c r="AF17" i="6" s="1"/>
  <c r="AF30" i="6" a="1"/>
  <c r="AF30" i="6" s="1"/>
  <c r="AF25" i="6" a="1"/>
  <c r="AF25" i="6" s="1"/>
  <c r="AF24" i="6" s="1"/>
  <c r="AF21" i="6" a="1"/>
  <c r="AF21" i="6" s="1"/>
  <c r="AF20" i="6" s="1"/>
  <c r="AF28" i="6" a="1"/>
  <c r="AF28" i="6" s="1"/>
  <c r="AF37" i="6" a="1"/>
  <c r="AF37" i="6" s="1"/>
  <c r="AF31" i="6" a="1"/>
  <c r="AF31" i="6" s="1"/>
  <c r="AF53" i="6" a="1"/>
  <c r="AF53" i="6" s="1"/>
  <c r="AF32" i="6" a="1"/>
  <c r="AF32" i="6" s="1"/>
  <c r="AR155" i="6" a="1"/>
  <c r="AR155" i="6" s="1"/>
  <c r="AR154" i="6" s="1"/>
  <c r="AR153" i="6" s="1"/>
  <c r="AR152" i="6" a="1"/>
  <c r="AR152" i="6" s="1"/>
  <c r="AR151" i="6" s="1"/>
  <c r="AR150" i="6" s="1"/>
  <c r="AR148" i="6" a="1"/>
  <c r="AR148" i="6" s="1"/>
  <c r="AR149" i="6" a="1"/>
  <c r="AR149" i="6" s="1"/>
  <c r="AR139" i="6" a="1"/>
  <c r="AR139" i="6" s="1"/>
  <c r="AR156" i="6" a="1"/>
  <c r="AR156" i="6" s="1"/>
  <c r="AR134" i="6" a="1"/>
  <c r="AR134" i="6" s="1"/>
  <c r="AR147" i="6" a="1"/>
  <c r="AR147" i="6" s="1"/>
  <c r="AR136" i="6" a="1"/>
  <c r="AR136" i="6" s="1"/>
  <c r="AR135" i="6" a="1"/>
  <c r="AR135" i="6" s="1"/>
  <c r="AR137" i="6" a="1"/>
  <c r="AR137" i="6" s="1"/>
  <c r="AR144" i="6" a="1"/>
  <c r="AR144" i="6" s="1"/>
  <c r="AR143" i="6" a="1"/>
  <c r="AR143" i="6" s="1"/>
  <c r="AR142" i="6" s="1"/>
  <c r="AR141" i="6" s="1"/>
  <c r="AR131" i="6" a="1"/>
  <c r="AR131" i="6" s="1"/>
  <c r="AR138" i="6" a="1"/>
  <c r="AR138" i="6" s="1"/>
  <c r="AR129" i="6" a="1"/>
  <c r="AR129" i="6" s="1"/>
  <c r="AR133" i="6" a="1"/>
  <c r="AR133" i="6" s="1"/>
  <c r="AR130" i="6" a="1"/>
  <c r="AR130" i="6" s="1"/>
  <c r="AR127" i="6" a="1"/>
  <c r="AR127" i="6" s="1"/>
  <c r="AR126" i="6" a="1"/>
  <c r="AR126" i="6" s="1"/>
  <c r="AR120" i="6" a="1"/>
  <c r="AR120" i="6" s="1"/>
  <c r="AR128" i="6" a="1"/>
  <c r="AR128" i="6" s="1"/>
  <c r="AR122" i="6" a="1"/>
  <c r="AR122" i="6" s="1"/>
  <c r="AR123" i="6" a="1"/>
  <c r="AR123" i="6" s="1"/>
  <c r="AR124" i="6" a="1"/>
  <c r="AR124" i="6" s="1"/>
  <c r="AR132" i="6" a="1"/>
  <c r="AR132" i="6" s="1"/>
  <c r="AR118" i="6" a="1"/>
  <c r="AR118" i="6" s="1"/>
  <c r="AR106" i="6" a="1"/>
  <c r="AR106" i="6" s="1"/>
  <c r="AR117" i="6" a="1"/>
  <c r="AR117" i="6" s="1"/>
  <c r="AR107" i="6" a="1"/>
  <c r="AR107" i="6" s="1"/>
  <c r="AR116" i="6" a="1"/>
  <c r="AR116" i="6" s="1"/>
  <c r="AR125" i="6" a="1"/>
  <c r="AR125" i="6" s="1"/>
  <c r="AR115" i="6" a="1"/>
  <c r="AR115" i="6" s="1"/>
  <c r="AR121" i="6" a="1"/>
  <c r="AR121" i="6" s="1"/>
  <c r="AR119" i="6" a="1"/>
  <c r="AR119" i="6" s="1"/>
  <c r="AR114" i="6" a="1"/>
  <c r="AR114" i="6" s="1"/>
  <c r="AR113" i="6" a="1"/>
  <c r="AR113" i="6" s="1"/>
  <c r="AR103" i="6" a="1"/>
  <c r="AR103" i="6" s="1"/>
  <c r="AR105" i="6" a="1"/>
  <c r="AR105" i="6" s="1"/>
  <c r="AR104" i="6" a="1"/>
  <c r="AR104" i="6" s="1"/>
  <c r="AR110" i="6" a="1"/>
  <c r="AR110" i="6" s="1"/>
  <c r="AR95" i="6" a="1"/>
  <c r="AR95" i="6" s="1"/>
  <c r="AR100" i="6" a="1"/>
  <c r="AR100" i="6" s="1"/>
  <c r="AR97" i="6" a="1"/>
  <c r="AR97" i="6" s="1"/>
  <c r="AR94" i="6" a="1"/>
  <c r="AR94" i="6" s="1"/>
  <c r="AR92" i="6" a="1"/>
  <c r="AR92" i="6" s="1"/>
  <c r="AR86" i="6" a="1"/>
  <c r="AR86" i="6" s="1"/>
  <c r="AR80" i="6" a="1"/>
  <c r="AR80" i="6" s="1"/>
  <c r="AR102" i="6" a="1"/>
  <c r="AR102" i="6" s="1"/>
  <c r="AR93" i="6" a="1"/>
  <c r="AR93" i="6" s="1"/>
  <c r="AR78" i="6" a="1"/>
  <c r="AR78" i="6" s="1"/>
  <c r="AR101" i="6" a="1"/>
  <c r="AR101" i="6" s="1"/>
  <c r="AR91" i="6" a="1"/>
  <c r="AR91" i="6" s="1"/>
  <c r="AR79" i="6" a="1"/>
  <c r="AR79" i="6" s="1"/>
  <c r="AR84" i="6" a="1"/>
  <c r="AR84" i="6" s="1"/>
  <c r="AR111" i="6" a="1"/>
  <c r="AR111" i="6" s="1"/>
  <c r="AR90" i="6" a="1"/>
  <c r="AR90" i="6" s="1"/>
  <c r="AR72" i="6" a="1"/>
  <c r="AR72" i="6" s="1"/>
  <c r="AR70" i="6" a="1"/>
  <c r="AR70" i="6" s="1"/>
  <c r="AR89" i="6" a="1"/>
  <c r="AR89" i="6" s="1"/>
  <c r="AR75" i="6" a="1"/>
  <c r="AR75" i="6" s="1"/>
  <c r="AR71" i="6" a="1"/>
  <c r="AR71" i="6" s="1"/>
  <c r="AR98" i="6" a="1"/>
  <c r="AR98" i="6" s="1"/>
  <c r="AR60" i="6" a="1"/>
  <c r="AR60" i="6" s="1"/>
  <c r="AR99" i="6" a="1"/>
  <c r="AR99" i="6" s="1"/>
  <c r="AR87" i="6" a="1"/>
  <c r="AR87" i="6" s="1"/>
  <c r="AR81" i="6" a="1"/>
  <c r="AR81" i="6" s="1"/>
  <c r="AR96" i="6" a="1"/>
  <c r="AR96" i="6" s="1"/>
  <c r="AR88" i="6" a="1"/>
  <c r="AR88" i="6" s="1"/>
  <c r="AR82" i="6" a="1"/>
  <c r="AR82" i="6" s="1"/>
  <c r="AR69" i="6" a="1"/>
  <c r="AR69" i="6" s="1"/>
  <c r="AR85" i="6" a="1"/>
  <c r="AR85" i="6" s="1"/>
  <c r="AR83" i="6" a="1"/>
  <c r="AR83" i="6" s="1"/>
  <c r="AR74" i="6" a="1"/>
  <c r="AR74" i="6" s="1"/>
  <c r="AR67" i="6" a="1"/>
  <c r="AR67" i="6" s="1"/>
  <c r="AR65" i="6" a="1"/>
  <c r="AR65" i="6" s="1"/>
  <c r="AR49" i="6" a="1"/>
  <c r="AR49" i="6" s="1"/>
  <c r="AR64" i="6" a="1"/>
  <c r="AR64" i="6" s="1"/>
  <c r="AR61" i="6" a="1"/>
  <c r="AR61" i="6" s="1"/>
  <c r="AR66" i="6" a="1"/>
  <c r="AR66" i="6" s="1"/>
  <c r="AR62" i="6" a="1"/>
  <c r="AR62" i="6" s="1"/>
  <c r="AR68" i="6" a="1"/>
  <c r="AR68" i="6" s="1"/>
  <c r="AR56" i="6" a="1"/>
  <c r="AR56" i="6" s="1"/>
  <c r="AR57" i="6" a="1"/>
  <c r="AR57" i="6" s="1"/>
  <c r="AR58" i="6" a="1"/>
  <c r="AR58" i="6" s="1"/>
  <c r="AR54" i="6" a="1"/>
  <c r="AR54" i="6" s="1"/>
  <c r="AR112" i="6" a="1"/>
  <c r="AR112" i="6" s="1"/>
  <c r="AR73" i="6" a="1"/>
  <c r="AR73" i="6" s="1"/>
  <c r="AR36" i="6" a="1"/>
  <c r="AR36" i="6" s="1"/>
  <c r="AR44" i="6" a="1"/>
  <c r="AR44" i="6" s="1"/>
  <c r="AR39" i="6" a="1"/>
  <c r="AR39" i="6" s="1"/>
  <c r="AR43" i="6" a="1"/>
  <c r="AR43" i="6" s="1"/>
  <c r="AR63" i="6" a="1"/>
  <c r="AR63" i="6" s="1"/>
  <c r="AR35" i="6" a="1"/>
  <c r="AR35" i="6" s="1"/>
  <c r="AR59" i="6" a="1"/>
  <c r="AR59" i="6" s="1"/>
  <c r="AR55" i="6" a="1"/>
  <c r="AR55" i="6" s="1"/>
  <c r="AR42" i="6" a="1"/>
  <c r="AR42" i="6" s="1"/>
  <c r="AR41" i="6" s="1"/>
  <c r="AR40" i="6" s="1"/>
  <c r="AR53" i="6" a="1"/>
  <c r="AR53" i="6" s="1"/>
  <c r="AR50" i="6" a="1"/>
  <c r="AR50" i="6" s="1"/>
  <c r="AR48" i="6" a="1"/>
  <c r="AR48" i="6" s="1"/>
  <c r="AR33" i="6" a="1"/>
  <c r="AR33" i="6" s="1"/>
  <c r="AR28" i="6" a="1"/>
  <c r="AR28" i="6" s="1"/>
  <c r="AR23" i="6" a="1"/>
  <c r="AR23" i="6" s="1"/>
  <c r="AR22" i="6" s="1"/>
  <c r="AR51" i="6" a="1"/>
  <c r="AR51" i="6" s="1"/>
  <c r="AR15" i="6" a="1"/>
  <c r="AR15" i="6" s="1"/>
  <c r="AR52" i="6" a="1"/>
  <c r="AR52" i="6" s="1"/>
  <c r="AR34" i="6" a="1"/>
  <c r="AR34" i="6" s="1"/>
  <c r="AR16" i="6" a="1"/>
  <c r="AR16" i="6" s="1"/>
  <c r="AR37" i="6" a="1"/>
  <c r="AR37" i="6" s="1"/>
  <c r="AR31" i="6" a="1"/>
  <c r="AR31" i="6" s="1"/>
  <c r="AR17" i="6" a="1"/>
  <c r="AR17" i="6" s="1"/>
  <c r="AR29" i="6" a="1"/>
  <c r="AR29" i="6" s="1"/>
  <c r="AR25" i="6" a="1"/>
  <c r="AR25" i="6" s="1"/>
  <c r="AR24" i="6" s="1"/>
  <c r="AR21" i="6" a="1"/>
  <c r="AR21" i="6" s="1"/>
  <c r="AR20" i="6" s="1"/>
  <c r="AR19" i="6" s="1"/>
  <c r="AR32" i="6" a="1"/>
  <c r="AR32" i="6" s="1"/>
  <c r="AR30" i="6" a="1"/>
  <c r="AR30" i="6" s="1"/>
  <c r="BD156" i="6" a="1"/>
  <c r="BD156" i="6" s="1"/>
  <c r="BD147" i="6" a="1"/>
  <c r="BD147" i="6" s="1"/>
  <c r="BD155" i="6" a="1"/>
  <c r="BD155" i="6" s="1"/>
  <c r="BD154" i="6" s="1"/>
  <c r="BD153" i="6" s="1"/>
  <c r="BD148" i="6" a="1"/>
  <c r="BD148" i="6" s="1"/>
  <c r="BD152" i="6" a="1"/>
  <c r="BD152" i="6" s="1"/>
  <c r="BD151" i="6" s="1"/>
  <c r="BD150" i="6" s="1"/>
  <c r="BD149" i="6" a="1"/>
  <c r="BD149" i="6" s="1"/>
  <c r="BD144" i="6" a="1"/>
  <c r="BD144" i="6" s="1"/>
  <c r="BD134" i="6" a="1"/>
  <c r="BD134" i="6" s="1"/>
  <c r="BD135" i="6" a="1"/>
  <c r="BD135" i="6" s="1"/>
  <c r="BD143" i="6" a="1"/>
  <c r="BD143" i="6" s="1"/>
  <c r="BD133" i="6" a="1"/>
  <c r="BD133" i="6" s="1"/>
  <c r="BD139" i="6" a="1"/>
  <c r="BD139" i="6" s="1"/>
  <c r="BD131" i="6" a="1"/>
  <c r="BD131" i="6" s="1"/>
  <c r="BD137" i="6" a="1"/>
  <c r="BD137" i="6" s="1"/>
  <c r="BD130" i="6" a="1"/>
  <c r="BD130" i="6" s="1"/>
  <c r="BD138" i="6" a="1"/>
  <c r="BD138" i="6" s="1"/>
  <c r="BD136" i="6" a="1"/>
  <c r="BD136" i="6" s="1"/>
  <c r="BD128" i="6" a="1"/>
  <c r="BD128" i="6" s="1"/>
  <c r="BD119" i="6" a="1"/>
  <c r="BD119" i="6" s="1"/>
  <c r="BD120" i="6" a="1"/>
  <c r="BD120" i="6" s="1"/>
  <c r="BD122" i="6" a="1"/>
  <c r="BD122" i="6" s="1"/>
  <c r="BD123" i="6" a="1"/>
  <c r="BD123" i="6" s="1"/>
  <c r="BD126" i="6" a="1"/>
  <c r="BD126" i="6" s="1"/>
  <c r="BD124" i="6" a="1"/>
  <c r="BD124" i="6" s="1"/>
  <c r="BD105" i="6" a="1"/>
  <c r="BD105" i="6" s="1"/>
  <c r="BD129" i="6" a="1"/>
  <c r="BD129" i="6" s="1"/>
  <c r="BD106" i="6" a="1"/>
  <c r="BD106" i="6" s="1"/>
  <c r="BD121" i="6" a="1"/>
  <c r="BD121" i="6" s="1"/>
  <c r="BD117" i="6" a="1"/>
  <c r="BD117" i="6" s="1"/>
  <c r="BD107" i="6" a="1"/>
  <c r="BD107" i="6" s="1"/>
  <c r="BD118" i="6" a="1"/>
  <c r="BD118" i="6" s="1"/>
  <c r="BD116" i="6" a="1"/>
  <c r="BD116" i="6" s="1"/>
  <c r="BD115" i="6" a="1"/>
  <c r="BD115" i="6" s="1"/>
  <c r="BD114" i="6" a="1"/>
  <c r="BD114" i="6" s="1"/>
  <c r="BD132" i="6" a="1"/>
  <c r="BD132" i="6" s="1"/>
  <c r="BD103" i="6" a="1"/>
  <c r="BD103" i="6" s="1"/>
  <c r="BD104" i="6" a="1"/>
  <c r="BD104" i="6" s="1"/>
  <c r="BD113" i="6" a="1"/>
  <c r="BD113" i="6" s="1"/>
  <c r="BD111" i="6" a="1"/>
  <c r="BD111" i="6" s="1"/>
  <c r="BD95" i="6" a="1"/>
  <c r="BD95" i="6" s="1"/>
  <c r="BD100" i="6" a="1"/>
  <c r="BD100" i="6" s="1"/>
  <c r="BD97" i="6" a="1"/>
  <c r="BD97" i="6" s="1"/>
  <c r="BD110" i="6" a="1"/>
  <c r="BD110" i="6" s="1"/>
  <c r="BD109" i="6" s="1"/>
  <c r="BD108" i="6" s="1"/>
  <c r="BD102" i="6" a="1"/>
  <c r="BD102" i="6" s="1"/>
  <c r="BD125" i="6" a="1"/>
  <c r="BD125" i="6" s="1"/>
  <c r="BD89" i="6" a="1"/>
  <c r="BD89" i="6" s="1"/>
  <c r="BD80" i="6" a="1"/>
  <c r="BD80" i="6" s="1"/>
  <c r="BD90" i="6" a="1"/>
  <c r="BD90" i="6" s="1"/>
  <c r="BD86" i="6" a="1"/>
  <c r="BD86" i="6" s="1"/>
  <c r="BD78" i="6" a="1"/>
  <c r="BD78" i="6" s="1"/>
  <c r="BD112" i="6" a="1"/>
  <c r="BD112" i="6" s="1"/>
  <c r="BD127" i="6" a="1"/>
  <c r="BD127" i="6" s="1"/>
  <c r="BD93" i="6" a="1"/>
  <c r="BD93" i="6" s="1"/>
  <c r="BD87" i="6" a="1"/>
  <c r="BD87" i="6" s="1"/>
  <c r="BD96" i="6" a="1"/>
  <c r="BD96" i="6" s="1"/>
  <c r="BD83" i="6" a="1"/>
  <c r="BD83" i="6" s="1"/>
  <c r="BD79" i="6" a="1"/>
  <c r="BD79" i="6" s="1"/>
  <c r="BD72" i="6" a="1"/>
  <c r="BD72" i="6" s="1"/>
  <c r="BD99" i="6" a="1"/>
  <c r="BD99" i="6" s="1"/>
  <c r="BD94" i="6" a="1"/>
  <c r="BD94" i="6" s="1"/>
  <c r="BD91" i="6" a="1"/>
  <c r="BD91" i="6" s="1"/>
  <c r="BD70" i="6" a="1"/>
  <c r="BD70" i="6" s="1"/>
  <c r="BD71" i="6" a="1"/>
  <c r="BD71" i="6" s="1"/>
  <c r="BD81" i="6" a="1"/>
  <c r="BD81" i="6" s="1"/>
  <c r="BD60" i="6" a="1"/>
  <c r="BD60" i="6" s="1"/>
  <c r="BD92" i="6" a="1"/>
  <c r="BD92" i="6" s="1"/>
  <c r="BD101" i="6" a="1"/>
  <c r="BD101" i="6" s="1"/>
  <c r="BD85" i="6" a="1"/>
  <c r="BD85" i="6" s="1"/>
  <c r="BD82" i="6" a="1"/>
  <c r="BD82" i="6" s="1"/>
  <c r="BD98" i="6" a="1"/>
  <c r="BD98" i="6" s="1"/>
  <c r="BD84" i="6" a="1"/>
  <c r="BD84" i="6" s="1"/>
  <c r="BD68" i="6" a="1"/>
  <c r="BD68" i="6" s="1"/>
  <c r="BD65" i="6" a="1"/>
  <c r="BD65" i="6" s="1"/>
  <c r="BD64" i="6" a="1"/>
  <c r="BD64" i="6" s="1"/>
  <c r="BD69" i="6" a="1"/>
  <c r="BD69" i="6" s="1"/>
  <c r="BD67" i="6" a="1"/>
  <c r="BD67" i="6" s="1"/>
  <c r="BD63" i="6" a="1"/>
  <c r="BD63" i="6" s="1"/>
  <c r="BD66" i="6" a="1"/>
  <c r="BD66" i="6" s="1"/>
  <c r="BD75" i="6" a="1"/>
  <c r="BD75" i="6" s="1"/>
  <c r="BD74" i="6" a="1"/>
  <c r="BD74" i="6" s="1"/>
  <c r="BD73" i="6" a="1"/>
  <c r="BD73" i="6" s="1"/>
  <c r="BD59" i="6" a="1"/>
  <c r="BD59" i="6" s="1"/>
  <c r="BD49" i="6" a="1"/>
  <c r="BD49" i="6" s="1"/>
  <c r="BD88" i="6" a="1"/>
  <c r="BD88" i="6" s="1"/>
  <c r="BD56" i="6" a="1"/>
  <c r="BD56" i="6" s="1"/>
  <c r="BD57" i="6" a="1"/>
  <c r="BD57" i="6" s="1"/>
  <c r="BD61" i="6" a="1"/>
  <c r="BD61" i="6" s="1"/>
  <c r="BD58" i="6" a="1"/>
  <c r="BD58" i="6" s="1"/>
  <c r="BD54" i="6" a="1"/>
  <c r="BD54" i="6" s="1"/>
  <c r="BD62" i="6" a="1"/>
  <c r="BD62" i="6" s="1"/>
  <c r="BD50" i="6" a="1"/>
  <c r="BD50" i="6" s="1"/>
  <c r="BD36" i="6" a="1"/>
  <c r="BD36" i="6" s="1"/>
  <c r="BD44" i="6" a="1"/>
  <c r="BD44" i="6" s="1"/>
  <c r="BD51" i="6" a="1"/>
  <c r="BD51" i="6" s="1"/>
  <c r="BD39" i="6" a="1"/>
  <c r="BD39" i="6" s="1"/>
  <c r="BD53" i="6" a="1"/>
  <c r="BD53" i="6" s="1"/>
  <c r="BD43" i="6" a="1"/>
  <c r="BD43" i="6" s="1"/>
  <c r="BD35" i="6" a="1"/>
  <c r="BD35" i="6" s="1"/>
  <c r="BD55" i="6" a="1"/>
  <c r="BD55" i="6" s="1"/>
  <c r="BD52" i="6" a="1"/>
  <c r="BD52" i="6" s="1"/>
  <c r="BD42" i="6" a="1"/>
  <c r="BD42" i="6" s="1"/>
  <c r="BD41" i="6" s="1"/>
  <c r="BD40" i="6" s="1"/>
  <c r="BD48" i="6" a="1"/>
  <c r="BD48" i="6" s="1"/>
  <c r="BD30" i="6" a="1"/>
  <c r="BD30" i="6" s="1"/>
  <c r="BD23" i="6" a="1"/>
  <c r="BD23" i="6" s="1"/>
  <c r="BD22" i="6" s="1"/>
  <c r="BD15" i="6" a="1"/>
  <c r="BD15" i="6" s="1"/>
  <c r="BD16" i="6" a="1"/>
  <c r="BD16" i="6" s="1"/>
  <c r="BD17" i="6" a="1"/>
  <c r="BD17" i="6" s="1"/>
  <c r="BD34" i="6" a="1"/>
  <c r="BD34" i="6" s="1"/>
  <c r="BD28" i="6" a="1"/>
  <c r="BD28" i="6" s="1"/>
  <c r="BD25" i="6" a="1"/>
  <c r="BD25" i="6" s="1"/>
  <c r="BD24" i="6" s="1"/>
  <c r="BD32" i="6" a="1"/>
  <c r="BD32" i="6" s="1"/>
  <c r="BD21" i="6" a="1"/>
  <c r="BD21" i="6" s="1"/>
  <c r="BD20" i="6" s="1"/>
  <c r="BD19" i="6" s="1"/>
  <c r="BD29" i="6" a="1"/>
  <c r="BD29" i="6" s="1"/>
  <c r="BD37" i="6" a="1"/>
  <c r="BD37" i="6" s="1"/>
  <c r="BD31" i="6" a="1"/>
  <c r="BD31" i="6" s="1"/>
  <c r="BD33" i="6" a="1"/>
  <c r="BD33" i="6" s="1"/>
  <c r="BK15" i="6" a="1"/>
  <c r="BK15" i="6" s="1"/>
  <c r="AH16" i="6" a="1"/>
  <c r="AH16" i="6" s="1"/>
  <c r="AH14" i="6" s="1"/>
  <c r="AH13" i="6" s="1"/>
  <c r="AH12" i="6" s="1"/>
  <c r="AZ16" i="6" a="1"/>
  <c r="AZ16" i="6" s="1"/>
  <c r="AH17" i="6" a="1"/>
  <c r="AH17" i="6" s="1"/>
  <c r="AE21" i="6" a="1"/>
  <c r="AE21" i="6" s="1"/>
  <c r="AE20" i="6" s="1"/>
  <c r="AW30" i="6" a="1"/>
  <c r="AW30" i="6" s="1"/>
  <c r="BE23" i="6" a="1"/>
  <c r="BE23" i="6" s="1"/>
  <c r="BE22" i="6" s="1"/>
  <c r="BE19" i="6" s="1"/>
  <c r="BL38" i="6" a="1"/>
  <c r="BL38" i="6" s="1"/>
  <c r="BF30" i="6" a="1"/>
  <c r="BF30" i="6" s="1"/>
  <c r="BE50" i="6" a="1"/>
  <c r="BE50" i="6" s="1"/>
  <c r="BF51" i="6" a="1"/>
  <c r="BF51" i="6" s="1"/>
  <c r="BG16" i="6" a="1"/>
  <c r="BG16" i="6" s="1"/>
  <c r="BG14" i="6" s="1"/>
  <c r="BG13" i="6" s="1"/>
  <c r="BG12" i="6" s="1"/>
  <c r="N19" i="6" a="1"/>
  <c r="N19" i="6" s="1"/>
  <c r="O19" i="6" s="1" a="1"/>
  <c r="O19" i="6" s="1"/>
  <c r="BF23" i="6" a="1"/>
  <c r="BF23" i="6" s="1"/>
  <c r="BF22" i="6" s="1"/>
  <c r="BI28" i="6" a="1"/>
  <c r="BI28" i="6" s="1"/>
  <c r="BE33" i="6" a="1"/>
  <c r="BE33" i="6" s="1"/>
  <c r="BG35" i="6" a="1"/>
  <c r="BG35" i="6" s="1"/>
  <c r="BE37" i="6" a="1"/>
  <c r="BE37" i="6" s="1"/>
  <c r="BI25" i="6" a="1"/>
  <c r="BI25" i="6" s="1"/>
  <c r="BI24" i="6" s="1"/>
  <c r="BE29" i="6" a="1"/>
  <c r="BE29" i="6" s="1"/>
  <c r="BG30" i="6" a="1"/>
  <c r="BG30" i="6" s="1"/>
  <c r="BE31" i="6" a="1"/>
  <c r="BE31" i="6" s="1"/>
  <c r="BN36" i="6" a="1"/>
  <c r="BN36" i="6" s="1"/>
  <c r="R47" i="6"/>
  <c r="R46" i="6" s="1"/>
  <c r="BG23" i="6" a="1"/>
  <c r="BG23" i="6" s="1"/>
  <c r="BG22" i="6" s="1"/>
  <c r="BF29" i="6" a="1"/>
  <c r="BF29" i="6" s="1"/>
  <c r="BE36" i="6" a="1"/>
  <c r="BE36" i="6" s="1"/>
  <c r="R41" i="6" a="1"/>
  <c r="R41" i="6" s="1"/>
  <c r="R40" i="6" s="1"/>
  <c r="Q41" i="6" a="1"/>
  <c r="Q41" i="6" s="1"/>
  <c r="Q40" i="6" s="1"/>
  <c r="I40" i="6"/>
  <c r="I18" i="6" s="1"/>
  <c r="I11" i="6" s="1"/>
  <c r="BI17" i="6" a="1"/>
  <c r="BI17" i="6" s="1"/>
  <c r="BF31" i="6" a="1"/>
  <c r="BF31" i="6" s="1"/>
  <c r="BI33" i="6" a="1"/>
  <c r="BI33" i="6" s="1"/>
  <c r="BI35" i="6" a="1"/>
  <c r="BI35" i="6" s="1"/>
  <c r="BE156" i="6" a="1"/>
  <c r="BE156" i="6" s="1"/>
  <c r="BE152" i="6" a="1"/>
  <c r="BE152" i="6" s="1"/>
  <c r="BE151" i="6" s="1"/>
  <c r="BE150" i="6" s="1"/>
  <c r="BE149" i="6" a="1"/>
  <c r="BE149" i="6" s="1"/>
  <c r="BE144" i="6" a="1"/>
  <c r="BE144" i="6" s="1"/>
  <c r="BE139" i="6" a="1"/>
  <c r="BE139" i="6" s="1"/>
  <c r="BE143" i="6" a="1"/>
  <c r="BE143" i="6" s="1"/>
  <c r="BE142" i="6" s="1"/>
  <c r="BE141" i="6" s="1"/>
  <c r="BE148" i="6" a="1"/>
  <c r="BE148" i="6" s="1"/>
  <c r="BE147" i="6" a="1"/>
  <c r="BE147" i="6" s="1"/>
  <c r="BE146" i="6" s="1"/>
  <c r="BE145" i="6" s="1"/>
  <c r="BE129" i="6" a="1"/>
  <c r="BE129" i="6" s="1"/>
  <c r="BE155" i="6" a="1"/>
  <c r="BE155" i="6" s="1"/>
  <c r="BE154" i="6" s="1"/>
  <c r="BE153" i="6" s="1"/>
  <c r="BE130" i="6" a="1"/>
  <c r="BE130" i="6" s="1"/>
  <c r="BE138" i="6" a="1"/>
  <c r="BE138" i="6" s="1"/>
  <c r="BE134" i="6" a="1"/>
  <c r="BE134" i="6" s="1"/>
  <c r="BE135" i="6" a="1"/>
  <c r="BE135" i="6" s="1"/>
  <c r="BE133" i="6" a="1"/>
  <c r="BE133" i="6" s="1"/>
  <c r="BE136" i="6" a="1"/>
  <c r="BE136" i="6" s="1"/>
  <c r="BE132" i="6" a="1"/>
  <c r="BE132" i="6" s="1"/>
  <c r="BE131" i="6" a="1"/>
  <c r="BE131" i="6" s="1"/>
  <c r="BE121" i="6" a="1"/>
  <c r="BE121" i="6" s="1"/>
  <c r="BE122" i="6" a="1"/>
  <c r="BE122" i="6" s="1"/>
  <c r="BE123" i="6" a="1"/>
  <c r="BE123" i="6" s="1"/>
  <c r="BE126" i="6" a="1"/>
  <c r="BE126" i="6" s="1"/>
  <c r="BE124" i="6" a="1"/>
  <c r="BE124" i="6" s="1"/>
  <c r="BE127" i="6" a="1"/>
  <c r="BE127" i="6" s="1"/>
  <c r="BE125" i="6" a="1"/>
  <c r="BE125" i="6" s="1"/>
  <c r="BE137" i="6" a="1"/>
  <c r="BE137" i="6" s="1"/>
  <c r="BE128" i="6" a="1"/>
  <c r="BE128" i="6" s="1"/>
  <c r="BE117" i="6" a="1"/>
  <c r="BE117" i="6" s="1"/>
  <c r="BE107" i="6" a="1"/>
  <c r="BE107" i="6" s="1"/>
  <c r="BE118" i="6" a="1"/>
  <c r="BE118" i="6" s="1"/>
  <c r="BE116" i="6" a="1"/>
  <c r="BE116" i="6" s="1"/>
  <c r="BE115" i="6" a="1"/>
  <c r="BE115" i="6" s="1"/>
  <c r="BE120" i="6" a="1"/>
  <c r="BE120" i="6" s="1"/>
  <c r="BE114" i="6" a="1"/>
  <c r="BE114" i="6" s="1"/>
  <c r="BE113" i="6" a="1"/>
  <c r="BE113" i="6" s="1"/>
  <c r="BE112" i="6" a="1"/>
  <c r="BE112" i="6" s="1"/>
  <c r="BE111" i="6" a="1"/>
  <c r="BE111" i="6" s="1"/>
  <c r="BE119" i="6" a="1"/>
  <c r="BE119" i="6" s="1"/>
  <c r="BE96" i="6" a="1"/>
  <c r="BE96" i="6" s="1"/>
  <c r="BE106" i="6" a="1"/>
  <c r="BE106" i="6" s="1"/>
  <c r="BE97" i="6" a="1"/>
  <c r="BE97" i="6" s="1"/>
  <c r="BE103" i="6" a="1"/>
  <c r="BE103" i="6" s="1"/>
  <c r="BE102" i="6" a="1"/>
  <c r="BE102" i="6" s="1"/>
  <c r="BE95" i="6" a="1"/>
  <c r="BE95" i="6" s="1"/>
  <c r="BE110" i="6" a="1"/>
  <c r="BE110" i="6" s="1"/>
  <c r="BE99" i="6" a="1"/>
  <c r="BE99" i="6" s="1"/>
  <c r="BE94" i="6" a="1"/>
  <c r="BE94" i="6" s="1"/>
  <c r="BE86" i="6" a="1"/>
  <c r="BE86" i="6" s="1"/>
  <c r="BE105" i="6" a="1"/>
  <c r="BE105" i="6" s="1"/>
  <c r="BE91" i="6" a="1"/>
  <c r="BE91" i="6" s="1"/>
  <c r="BE98" i="6" a="1"/>
  <c r="BE98" i="6" s="1"/>
  <c r="BE90" i="6" a="1"/>
  <c r="BE90" i="6" s="1"/>
  <c r="BE83" i="6" a="1"/>
  <c r="BE83" i="6" s="1"/>
  <c r="BE79" i="6" a="1"/>
  <c r="BE79" i="6" s="1"/>
  <c r="BE104" i="6" a="1"/>
  <c r="BE104" i="6" s="1"/>
  <c r="BE80" i="6" a="1"/>
  <c r="BE80" i="6" s="1"/>
  <c r="BE74" i="6" a="1"/>
  <c r="BE74" i="6" s="1"/>
  <c r="BE101" i="6" a="1"/>
  <c r="BE101" i="6" s="1"/>
  <c r="BE81" i="6" a="1"/>
  <c r="BE81" i="6" s="1"/>
  <c r="BE100" i="6" a="1"/>
  <c r="BE100" i="6" s="1"/>
  <c r="BE78" i="6" a="1"/>
  <c r="BE78" i="6" s="1"/>
  <c r="BE62" i="6" a="1"/>
  <c r="BE62" i="6" s="1"/>
  <c r="BE89" i="6" a="1"/>
  <c r="BE89" i="6" s="1"/>
  <c r="BE92" i="6" a="1"/>
  <c r="BE92" i="6" s="1"/>
  <c r="BE82" i="6" a="1"/>
  <c r="BE82" i="6" s="1"/>
  <c r="BE73" i="6" a="1"/>
  <c r="BE73" i="6" s="1"/>
  <c r="BE93" i="6" a="1"/>
  <c r="BE93" i="6" s="1"/>
  <c r="BE85" i="6" a="1"/>
  <c r="BE85" i="6" s="1"/>
  <c r="BE87" i="6" a="1"/>
  <c r="BE87" i="6" s="1"/>
  <c r="BE84" i="6" a="1"/>
  <c r="BE84" i="6" s="1"/>
  <c r="BE72" i="6" a="1"/>
  <c r="BE72" i="6" s="1"/>
  <c r="BE88" i="6" a="1"/>
  <c r="BE88" i="6" s="1"/>
  <c r="BE67" i="6" a="1"/>
  <c r="BE67" i="6" s="1"/>
  <c r="BE63" i="6" a="1"/>
  <c r="BE63" i="6" s="1"/>
  <c r="BE66" i="6" a="1"/>
  <c r="BE66" i="6" s="1"/>
  <c r="BE71" i="6" a="1"/>
  <c r="BE71" i="6" s="1"/>
  <c r="BE70" i="6" a="1"/>
  <c r="BE70" i="6" s="1"/>
  <c r="BE69" i="6" a="1"/>
  <c r="BE69" i="6" s="1"/>
  <c r="BE56" i="6" a="1"/>
  <c r="BE56" i="6" s="1"/>
  <c r="BE57" i="6" a="1"/>
  <c r="BE57" i="6" s="1"/>
  <c r="BE55" i="6" a="1"/>
  <c r="BE55" i="6" s="1"/>
  <c r="BE58" i="6" a="1"/>
  <c r="BE58" i="6" s="1"/>
  <c r="BE54" i="6" a="1"/>
  <c r="BE54" i="6" s="1"/>
  <c r="BE61" i="6" a="1"/>
  <c r="BE61" i="6" s="1"/>
  <c r="BE65" i="6" a="1"/>
  <c r="BE65" i="6" s="1"/>
  <c r="BE68" i="6" a="1"/>
  <c r="BE68" i="6" s="1"/>
  <c r="BE60" i="6" a="1"/>
  <c r="BE60" i="6" s="1"/>
  <c r="BE75" i="6" a="1"/>
  <c r="BE75" i="6" s="1"/>
  <c r="BE44" i="6" a="1"/>
  <c r="BE44" i="6" s="1"/>
  <c r="BE51" i="6" a="1"/>
  <c r="BE51" i="6" s="1"/>
  <c r="BE39" i="6" a="1"/>
  <c r="BE39" i="6" s="1"/>
  <c r="BE59" i="6" a="1"/>
  <c r="BE59" i="6" s="1"/>
  <c r="BE43" i="6" a="1"/>
  <c r="BE43" i="6" s="1"/>
  <c r="BE53" i="6" a="1"/>
  <c r="BE53" i="6" s="1"/>
  <c r="BE35" i="6" a="1"/>
  <c r="BE35" i="6" s="1"/>
  <c r="BE52" i="6" a="1"/>
  <c r="BE52" i="6" s="1"/>
  <c r="BE42" i="6" a="1"/>
  <c r="BE42" i="6" s="1"/>
  <c r="BE34" i="6" a="1"/>
  <c r="BE34" i="6" s="1"/>
  <c r="BE48" i="6" a="1"/>
  <c r="BE48" i="6" s="1"/>
  <c r="BE49" i="6" a="1"/>
  <c r="BE49" i="6" s="1"/>
  <c r="BE64" i="6" a="1"/>
  <c r="BE64" i="6" s="1"/>
  <c r="BI16" i="6" a="1"/>
  <c r="BI16" i="6" s="1"/>
  <c r="BG29" i="6" a="1"/>
  <c r="BG29" i="6" s="1"/>
  <c r="BE32" i="6" a="1"/>
  <c r="BE32" i="6" s="1"/>
  <c r="BG43" i="6" a="1"/>
  <c r="BG43" i="6" s="1"/>
  <c r="K45" i="6"/>
  <c r="N45" i="6" s="1" a="1"/>
  <c r="N45" i="6" s="1"/>
  <c r="O45" i="6" s="1" a="1"/>
  <c r="O45" i="6" s="1"/>
  <c r="N46" i="6" a="1"/>
  <c r="N46" i="6" s="1"/>
  <c r="O46" i="6" s="1" a="1"/>
  <c r="O46" i="6" s="1"/>
  <c r="BI53" i="6" a="1"/>
  <c r="BI53" i="6" s="1"/>
  <c r="BF152" i="6" a="1"/>
  <c r="BF152" i="6" s="1"/>
  <c r="BF151" i="6" s="1"/>
  <c r="BF150" i="6" s="1"/>
  <c r="BF156" i="6" a="1"/>
  <c r="BF156" i="6" s="1"/>
  <c r="BF148" i="6" a="1"/>
  <c r="BF148" i="6" s="1"/>
  <c r="BF149" i="6" a="1"/>
  <c r="BF149" i="6" s="1"/>
  <c r="BF144" i="6" a="1"/>
  <c r="BF144" i="6" s="1"/>
  <c r="BF143" i="6" a="1"/>
  <c r="BF143" i="6" s="1"/>
  <c r="BF142" i="6" s="1"/>
  <c r="BF141" i="6" s="1"/>
  <c r="BF138" i="6" a="1"/>
  <c r="BF138" i="6" s="1"/>
  <c r="BF147" i="6" a="1"/>
  <c r="BF147" i="6" s="1"/>
  <c r="BF146" i="6" s="1"/>
  <c r="BF145" i="6" s="1"/>
  <c r="BF155" i="6" a="1"/>
  <c r="BF155" i="6" s="1"/>
  <c r="BF154" i="6" s="1"/>
  <c r="BF153" i="6" s="1"/>
  <c r="BF136" i="6" a="1"/>
  <c r="BF136" i="6" s="1"/>
  <c r="BF139" i="6" a="1"/>
  <c r="BF139" i="6" s="1"/>
  <c r="BF131" i="6" a="1"/>
  <c r="BF131" i="6" s="1"/>
  <c r="BF135" i="6" a="1"/>
  <c r="BF135" i="6" s="1"/>
  <c r="BF132" i="6" a="1"/>
  <c r="BF132" i="6" s="1"/>
  <c r="BF133" i="6" a="1"/>
  <c r="BF133" i="6" s="1"/>
  <c r="BF129" i="6" a="1"/>
  <c r="BF129" i="6" s="1"/>
  <c r="BF126" i="6" a="1"/>
  <c r="BF126" i="6" s="1"/>
  <c r="BF123" i="6" a="1"/>
  <c r="BF123" i="6" s="1"/>
  <c r="BF124" i="6" a="1"/>
  <c r="BF124" i="6" s="1"/>
  <c r="BF130" i="6" a="1"/>
  <c r="BF130" i="6" s="1"/>
  <c r="BF127" i="6" a="1"/>
  <c r="BF127" i="6" s="1"/>
  <c r="BF125" i="6" a="1"/>
  <c r="BF125" i="6" s="1"/>
  <c r="BF137" i="6" a="1"/>
  <c r="BF137" i="6" s="1"/>
  <c r="BF134" i="6" a="1"/>
  <c r="BF134" i="6" s="1"/>
  <c r="BF121" i="6" a="1"/>
  <c r="BF121" i="6" s="1"/>
  <c r="BF115" i="6" a="1"/>
  <c r="BF115" i="6" s="1"/>
  <c r="BF120" i="6" a="1"/>
  <c r="BF120" i="6" s="1"/>
  <c r="BF114" i="6" a="1"/>
  <c r="BF114" i="6" s="1"/>
  <c r="BF113" i="6" a="1"/>
  <c r="BF113" i="6" s="1"/>
  <c r="BF112" i="6" a="1"/>
  <c r="BF112" i="6" s="1"/>
  <c r="BF110" i="6" a="1"/>
  <c r="BF110" i="6" s="1"/>
  <c r="BF117" i="6" a="1"/>
  <c r="BF117" i="6" s="1"/>
  <c r="BF95" i="6" a="1"/>
  <c r="BF95" i="6" s="1"/>
  <c r="BF119" i="6" a="1"/>
  <c r="BF119" i="6" s="1"/>
  <c r="BF111" i="6" a="1"/>
  <c r="BF111" i="6" s="1"/>
  <c r="BF107" i="6" a="1"/>
  <c r="BF107" i="6" s="1"/>
  <c r="BF96" i="6" a="1"/>
  <c r="BF96" i="6" s="1"/>
  <c r="BF106" i="6" a="1"/>
  <c r="BF106" i="6" s="1"/>
  <c r="BF97" i="6" a="1"/>
  <c r="BF97" i="6" s="1"/>
  <c r="BF98" i="6" a="1"/>
  <c r="BF98" i="6" s="1"/>
  <c r="BF105" i="6" a="1"/>
  <c r="BF105" i="6" s="1"/>
  <c r="BF99" i="6" a="1"/>
  <c r="BF99" i="6" s="1"/>
  <c r="BF116" i="6" a="1"/>
  <c r="BF116" i="6" s="1"/>
  <c r="BF103" i="6" a="1"/>
  <c r="BF103" i="6" s="1"/>
  <c r="BF94" i="6" a="1"/>
  <c r="BF94" i="6" s="1"/>
  <c r="BF118" i="6" a="1"/>
  <c r="BF118" i="6" s="1"/>
  <c r="BF88" i="6" a="1"/>
  <c r="BF88" i="6" s="1"/>
  <c r="BF91" i="6" a="1"/>
  <c r="BF91" i="6" s="1"/>
  <c r="BF102" i="6" a="1"/>
  <c r="BF102" i="6" s="1"/>
  <c r="BF101" i="6" a="1"/>
  <c r="BF101" i="6" s="1"/>
  <c r="BF92" i="6" a="1"/>
  <c r="BF92" i="6" s="1"/>
  <c r="BF122" i="6" a="1"/>
  <c r="BF122" i="6" s="1"/>
  <c r="BF104" i="6" a="1"/>
  <c r="BF104" i="6" s="1"/>
  <c r="BF80" i="6" a="1"/>
  <c r="BF80" i="6" s="1"/>
  <c r="BF74" i="6" a="1"/>
  <c r="BF74" i="6" s="1"/>
  <c r="BF84" i="6" a="1"/>
  <c r="BF84" i="6" s="1"/>
  <c r="BF100" i="6" a="1"/>
  <c r="BF100" i="6" s="1"/>
  <c r="BF75" i="6" a="1"/>
  <c r="BF75" i="6" s="1"/>
  <c r="BF93" i="6" a="1"/>
  <c r="BF93" i="6" s="1"/>
  <c r="BF78" i="6" a="1"/>
  <c r="BF78" i="6" s="1"/>
  <c r="BF89" i="6" a="1"/>
  <c r="BF89" i="6" s="1"/>
  <c r="BF79" i="6" a="1"/>
  <c r="BF79" i="6" s="1"/>
  <c r="BF64" i="6" a="1"/>
  <c r="BF64" i="6" s="1"/>
  <c r="BF83" i="6" a="1"/>
  <c r="BF83" i="6" s="1"/>
  <c r="BF82" i="6" a="1"/>
  <c r="BF82" i="6" s="1"/>
  <c r="BF73" i="6" a="1"/>
  <c r="BF73" i="6" s="1"/>
  <c r="BF128" i="6" a="1"/>
  <c r="BF128" i="6" s="1"/>
  <c r="BF85" i="6" a="1"/>
  <c r="BF85" i="6" s="1"/>
  <c r="BF72" i="6" a="1"/>
  <c r="BF72" i="6" s="1"/>
  <c r="BF87" i="6" a="1"/>
  <c r="BF87" i="6" s="1"/>
  <c r="BF69" i="6" a="1"/>
  <c r="BF69" i="6" s="1"/>
  <c r="BF62" i="6" a="1"/>
  <c r="BF62" i="6" s="1"/>
  <c r="BF86" i="6" a="1"/>
  <c r="BF86" i="6" s="1"/>
  <c r="BF81" i="6" a="1"/>
  <c r="BF81" i="6" s="1"/>
  <c r="BF71" i="6" a="1"/>
  <c r="BF71" i="6" s="1"/>
  <c r="BF57" i="6" a="1"/>
  <c r="BF57" i="6" s="1"/>
  <c r="BF55" i="6" a="1"/>
  <c r="BF55" i="6" s="1"/>
  <c r="BF58" i="6" a="1"/>
  <c r="BF58" i="6" s="1"/>
  <c r="BF90" i="6" a="1"/>
  <c r="BF90" i="6" s="1"/>
  <c r="BF66" i="6" a="1"/>
  <c r="BF66" i="6" s="1"/>
  <c r="BF63" i="6" a="1"/>
  <c r="BF63" i="6" s="1"/>
  <c r="BF61" i="6" a="1"/>
  <c r="BF61" i="6" s="1"/>
  <c r="BF53" i="6" a="1"/>
  <c r="BF53" i="6" s="1"/>
  <c r="BF67" i="6" a="1"/>
  <c r="BF67" i="6" s="1"/>
  <c r="BF65" i="6" a="1"/>
  <c r="BF65" i="6" s="1"/>
  <c r="BF52" i="6" a="1"/>
  <c r="BF52" i="6" s="1"/>
  <c r="BF68" i="6" a="1"/>
  <c r="BF68" i="6" s="1"/>
  <c r="BF60" i="6" a="1"/>
  <c r="BF60" i="6" s="1"/>
  <c r="BF59" i="6" a="1"/>
  <c r="BF59" i="6" s="1"/>
  <c r="BF70" i="6" a="1"/>
  <c r="BF70" i="6" s="1"/>
  <c r="BF43" i="6" a="1"/>
  <c r="BF43" i="6" s="1"/>
  <c r="BF35" i="6" a="1"/>
  <c r="BF35" i="6" s="1"/>
  <c r="BF42" i="6" a="1"/>
  <c r="BF42" i="6" s="1"/>
  <c r="BF41" i="6" s="1"/>
  <c r="BF40" i="6" s="1"/>
  <c r="BF34" i="6" a="1"/>
  <c r="BF34" i="6" s="1"/>
  <c r="BF48" i="6" a="1"/>
  <c r="BF48" i="6" s="1"/>
  <c r="BF47" i="6" s="1"/>
  <c r="BF46" i="6" s="1"/>
  <c r="BF33" i="6" a="1"/>
  <c r="BF33" i="6" s="1"/>
  <c r="BF49" i="6" a="1"/>
  <c r="BF49" i="6" s="1"/>
  <c r="BF37" i="6" a="1"/>
  <c r="BF37" i="6" s="1"/>
  <c r="BF56" i="6" a="1"/>
  <c r="BF56" i="6" s="1"/>
  <c r="BF50" i="6" a="1"/>
  <c r="BF50" i="6" s="1"/>
  <c r="BF54" i="6" a="1"/>
  <c r="BF54" i="6" s="1"/>
  <c r="BI15" i="6" a="1"/>
  <c r="BI15" i="6" s="1"/>
  <c r="BF21" i="6" a="1"/>
  <c r="BF21" i="6" s="1"/>
  <c r="BF20" i="6" s="1"/>
  <c r="BE25" i="6" a="1"/>
  <c r="BE25" i="6" s="1"/>
  <c r="BE24" i="6" s="1"/>
  <c r="BI30" i="6" a="1"/>
  <c r="BI30" i="6" s="1"/>
  <c r="N41" i="6" a="1"/>
  <c r="N41" i="6" s="1"/>
  <c r="O41" i="6" s="1" a="1"/>
  <c r="O41" i="6" s="1"/>
  <c r="BI48" i="6" a="1"/>
  <c r="BI48" i="6" s="1"/>
  <c r="BG152" i="6" a="1"/>
  <c r="BG152" i="6" s="1"/>
  <c r="BG151" i="6" s="1"/>
  <c r="BG150" i="6" s="1"/>
  <c r="BG156" i="6" a="1"/>
  <c r="BG156" i="6" s="1"/>
  <c r="BG155" i="6" a="1"/>
  <c r="BG155" i="6" s="1"/>
  <c r="BG154" i="6" s="1"/>
  <c r="BG153" i="6" s="1"/>
  <c r="BG148" i="6" a="1"/>
  <c r="BG148" i="6" s="1"/>
  <c r="BG135" i="6" a="1"/>
  <c r="BG135" i="6" s="1"/>
  <c r="BG136" i="6" a="1"/>
  <c r="BG136" i="6" s="1"/>
  <c r="BG149" i="6" a="1"/>
  <c r="BG149" i="6" s="1"/>
  <c r="BG147" i="6" a="1"/>
  <c r="BG147" i="6" s="1"/>
  <c r="BG146" i="6" s="1"/>
  <c r="BG145" i="6" s="1"/>
  <c r="BG143" i="6" a="1"/>
  <c r="BG143" i="6" s="1"/>
  <c r="BG144" i="6" a="1"/>
  <c r="BG144" i="6" s="1"/>
  <c r="BG134" i="6" a="1"/>
  <c r="BG134" i="6" s="1"/>
  <c r="BG138" i="6" a="1"/>
  <c r="BG138" i="6" s="1"/>
  <c r="BG132" i="6" a="1"/>
  <c r="BG132" i="6" s="1"/>
  <c r="BG137" i="6" a="1"/>
  <c r="BG137" i="6" s="1"/>
  <c r="BG129" i="6" a="1"/>
  <c r="BG129" i="6" s="1"/>
  <c r="BG131" i="6" a="1"/>
  <c r="BG131" i="6" s="1"/>
  <c r="BG127" i="6" a="1"/>
  <c r="BG127" i="6" s="1"/>
  <c r="BG128" i="6" a="1"/>
  <c r="BG128" i="6" s="1"/>
  <c r="BG133" i="6" a="1"/>
  <c r="BG133" i="6" s="1"/>
  <c r="BG130" i="6" a="1"/>
  <c r="BG130" i="6" s="1"/>
  <c r="BG125" i="6" a="1"/>
  <c r="BG125" i="6" s="1"/>
  <c r="BG126" i="6" a="1"/>
  <c r="BG126" i="6" s="1"/>
  <c r="BG139" i="6" a="1"/>
  <c r="BG139" i="6" s="1"/>
  <c r="BG124" i="6" a="1"/>
  <c r="BG124" i="6" s="1"/>
  <c r="BG113" i="6" a="1"/>
  <c r="BG113" i="6" s="1"/>
  <c r="BG112" i="6" a="1"/>
  <c r="BG112" i="6" s="1"/>
  <c r="BG111" i="6" a="1"/>
  <c r="BG111" i="6" s="1"/>
  <c r="BG110" i="6" a="1"/>
  <c r="BG110" i="6" s="1"/>
  <c r="BG122" i="6" a="1"/>
  <c r="BG122" i="6" s="1"/>
  <c r="BG119" i="6" a="1"/>
  <c r="BG119" i="6" s="1"/>
  <c r="BG121" i="6" a="1"/>
  <c r="BG121" i="6" s="1"/>
  <c r="BG115" i="6" a="1"/>
  <c r="BG115" i="6" s="1"/>
  <c r="BG106" i="6" a="1"/>
  <c r="BG106" i="6" s="1"/>
  <c r="BG97" i="6" a="1"/>
  <c r="BG97" i="6" s="1"/>
  <c r="BG123" i="6" a="1"/>
  <c r="BG123" i="6" s="1"/>
  <c r="BG114" i="6" a="1"/>
  <c r="BG114" i="6" s="1"/>
  <c r="BG98" i="6" a="1"/>
  <c r="BG98" i="6" s="1"/>
  <c r="BG120" i="6" a="1"/>
  <c r="BG120" i="6" s="1"/>
  <c r="BG105" i="6" a="1"/>
  <c r="BG105" i="6" s="1"/>
  <c r="BG99" i="6" a="1"/>
  <c r="BG99" i="6" s="1"/>
  <c r="BG100" i="6" a="1"/>
  <c r="BG100" i="6" s="1"/>
  <c r="BG101" i="6" a="1"/>
  <c r="BG101" i="6" s="1"/>
  <c r="BG118" i="6" a="1"/>
  <c r="BG118" i="6" s="1"/>
  <c r="BG116" i="6" a="1"/>
  <c r="BG116" i="6" s="1"/>
  <c r="BG88" i="6" a="1"/>
  <c r="BG88" i="6" s="1"/>
  <c r="BG89" i="6" a="1"/>
  <c r="BG89" i="6" s="1"/>
  <c r="BG104" i="6" a="1"/>
  <c r="BG104" i="6" s="1"/>
  <c r="BG90" i="6" a="1"/>
  <c r="BG90" i="6" s="1"/>
  <c r="BG102" i="6" a="1"/>
  <c r="BG102" i="6" s="1"/>
  <c r="BG92" i="6" a="1"/>
  <c r="BG92" i="6" s="1"/>
  <c r="BG96" i="6" a="1"/>
  <c r="BG96" i="6" s="1"/>
  <c r="BG93" i="6" a="1"/>
  <c r="BG93" i="6" s="1"/>
  <c r="BG85" i="6" a="1"/>
  <c r="BG85" i="6" s="1"/>
  <c r="BG84" i="6" a="1"/>
  <c r="BG84" i="6" s="1"/>
  <c r="BG94" i="6" a="1"/>
  <c r="BG94" i="6" s="1"/>
  <c r="BG117" i="6" a="1"/>
  <c r="BG117" i="6" s="1"/>
  <c r="BG103" i="6" a="1"/>
  <c r="BG103" i="6" s="1"/>
  <c r="BG87" i="6" a="1"/>
  <c r="BG87" i="6" s="1"/>
  <c r="BG83" i="6" a="1"/>
  <c r="BG83" i="6" s="1"/>
  <c r="BG82" i="6" a="1"/>
  <c r="BG82" i="6" s="1"/>
  <c r="BG73" i="6" a="1"/>
  <c r="BG73" i="6" s="1"/>
  <c r="BG65" i="6" a="1"/>
  <c r="BG65" i="6" s="1"/>
  <c r="BG75" i="6" a="1"/>
  <c r="BG75" i="6" s="1"/>
  <c r="BG66" i="6" a="1"/>
  <c r="BG66" i="6" s="1"/>
  <c r="BG95" i="6" a="1"/>
  <c r="BG95" i="6" s="1"/>
  <c r="BG91" i="6" a="1"/>
  <c r="BG91" i="6" s="1"/>
  <c r="BG80" i="6" a="1"/>
  <c r="BG80" i="6" s="1"/>
  <c r="BG72" i="6" a="1"/>
  <c r="BG72" i="6" s="1"/>
  <c r="BG67" i="6" a="1"/>
  <c r="BG67" i="6" s="1"/>
  <c r="BG86" i="6" a="1"/>
  <c r="BG86" i="6" s="1"/>
  <c r="BG71" i="6" a="1"/>
  <c r="BG71" i="6" s="1"/>
  <c r="BG81" i="6" a="1"/>
  <c r="BG81" i="6" s="1"/>
  <c r="BG70" i="6" a="1"/>
  <c r="BG70" i="6" s="1"/>
  <c r="BG107" i="6" a="1"/>
  <c r="BG107" i="6" s="1"/>
  <c r="BG78" i="6" a="1"/>
  <c r="BG78" i="6" s="1"/>
  <c r="BG79" i="6" a="1"/>
  <c r="BG79" i="6" s="1"/>
  <c r="BG74" i="6" a="1"/>
  <c r="BG74" i="6" s="1"/>
  <c r="BG68" i="6" a="1"/>
  <c r="BG68" i="6" s="1"/>
  <c r="BG57" i="6" a="1"/>
  <c r="BG57" i="6" s="1"/>
  <c r="BG55" i="6" a="1"/>
  <c r="BG55" i="6" s="1"/>
  <c r="BG58" i="6" a="1"/>
  <c r="BG58" i="6" s="1"/>
  <c r="BG63" i="6" a="1"/>
  <c r="BG63" i="6" s="1"/>
  <c r="BG53" i="6" a="1"/>
  <c r="BG53" i="6" s="1"/>
  <c r="BG61" i="6" a="1"/>
  <c r="BG61" i="6" s="1"/>
  <c r="BG60" i="6" a="1"/>
  <c r="BG60" i="6" s="1"/>
  <c r="BG62" i="6" a="1"/>
  <c r="BG62" i="6" s="1"/>
  <c r="BG59" i="6" a="1"/>
  <c r="BG59" i="6" s="1"/>
  <c r="BG64" i="6" a="1"/>
  <c r="BG64" i="6" s="1"/>
  <c r="BG69" i="6" a="1"/>
  <c r="BG69" i="6" s="1"/>
  <c r="BG42" i="6" a="1"/>
  <c r="BG42" i="6" s="1"/>
  <c r="BG34" i="6" a="1"/>
  <c r="BG34" i="6" s="1"/>
  <c r="BG52" i="6" a="1"/>
  <c r="BG52" i="6" s="1"/>
  <c r="BG48" i="6" a="1"/>
  <c r="BG48" i="6" s="1"/>
  <c r="BG33" i="6" a="1"/>
  <c r="BG33" i="6" s="1"/>
  <c r="BG49" i="6" a="1"/>
  <c r="BG49" i="6" s="1"/>
  <c r="BG37" i="6" a="1"/>
  <c r="BG37" i="6" s="1"/>
  <c r="BG32" i="6" a="1"/>
  <c r="BG32" i="6" s="1"/>
  <c r="BG50" i="6" a="1"/>
  <c r="BG50" i="6" s="1"/>
  <c r="BG36" i="6" a="1"/>
  <c r="BG36" i="6" s="1"/>
  <c r="BG56" i="6" a="1"/>
  <c r="BG56" i="6" s="1"/>
  <c r="BG54" i="6" a="1"/>
  <c r="BG54" i="6" s="1"/>
  <c r="BG44" i="6" a="1"/>
  <c r="BG44" i="6" s="1"/>
  <c r="BG51" i="6" a="1"/>
  <c r="BG51" i="6" s="1"/>
  <c r="BG39" i="6" a="1"/>
  <c r="BG39" i="6" s="1"/>
  <c r="BI23" i="6" a="1"/>
  <c r="BI23" i="6" s="1"/>
  <c r="BI22" i="6" s="1"/>
  <c r="BI19" i="6" s="1"/>
  <c r="BE28" i="6" a="1"/>
  <c r="BE28" i="6" s="1"/>
  <c r="BF32" i="6" a="1"/>
  <c r="BF32" i="6" s="1"/>
  <c r="L40" i="6"/>
  <c r="N40" i="6" s="1" a="1"/>
  <c r="N40" i="6" s="1"/>
  <c r="O40" i="6" s="1" a="1"/>
  <c r="O40" i="6" s="1"/>
  <c r="BE17" i="6" a="1"/>
  <c r="BE17" i="6" s="1"/>
  <c r="BG21" i="6" a="1"/>
  <c r="BG21" i="6" s="1"/>
  <c r="BG20" i="6" s="1"/>
  <c r="BG19" i="6" s="1"/>
  <c r="BF25" i="6" a="1"/>
  <c r="BF25" i="6" s="1"/>
  <c r="BF24" i="6" s="1"/>
  <c r="BF28" i="6" a="1"/>
  <c r="BF28" i="6" s="1"/>
  <c r="BI31" i="6" a="1"/>
  <c r="BI31" i="6" s="1"/>
  <c r="BI155" i="6" a="1"/>
  <c r="BI155" i="6" s="1"/>
  <c r="BI156" i="6" a="1"/>
  <c r="BI156" i="6" s="1"/>
  <c r="BI152" i="6" a="1"/>
  <c r="BI152" i="6" s="1"/>
  <c r="BI151" i="6" s="1"/>
  <c r="BI150" i="6" s="1"/>
  <c r="BI148" i="6" a="1"/>
  <c r="BI148" i="6" s="1"/>
  <c r="BI149" i="6" a="1"/>
  <c r="BI149" i="6" s="1"/>
  <c r="BI144" i="6" a="1"/>
  <c r="BI144" i="6" s="1"/>
  <c r="BI147" i="6" a="1"/>
  <c r="BI147" i="6" s="1"/>
  <c r="BI146" i="6" s="1"/>
  <c r="BI145" i="6" s="1"/>
  <c r="BI132" i="6" a="1"/>
  <c r="BI132" i="6" s="1"/>
  <c r="BI138" i="6" a="1"/>
  <c r="BI138" i="6" s="1"/>
  <c r="BI137" i="6" a="1"/>
  <c r="BI137" i="6" s="1"/>
  <c r="BI134" i="6" a="1"/>
  <c r="BI134" i="6" s="1"/>
  <c r="BI143" i="6" a="1"/>
  <c r="BI143" i="6" s="1"/>
  <c r="BI136" i="6" a="1"/>
  <c r="BI136" i="6" s="1"/>
  <c r="BI133" i="6" a="1"/>
  <c r="BI133" i="6" s="1"/>
  <c r="BI128" i="6" a="1"/>
  <c r="BI128" i="6" s="1"/>
  <c r="BI131" i="6" a="1"/>
  <c r="BI131" i="6" s="1"/>
  <c r="BI118" i="6" a="1"/>
  <c r="BI118" i="6" s="1"/>
  <c r="BI139" i="6" a="1"/>
  <c r="BI139" i="6" s="1"/>
  <c r="BI120" i="6" a="1"/>
  <c r="BI120" i="6" s="1"/>
  <c r="BI129" i="6" a="1"/>
  <c r="BI129" i="6" s="1"/>
  <c r="BI121" i="6" a="1"/>
  <c r="BI121" i="6" s="1"/>
  <c r="BI122" i="6" a="1"/>
  <c r="BI122" i="6" s="1"/>
  <c r="BI126" i="6" a="1"/>
  <c r="BI126" i="6" s="1"/>
  <c r="BI119" i="6" a="1"/>
  <c r="BI119" i="6" s="1"/>
  <c r="BI135" i="6" a="1"/>
  <c r="BI135" i="6" s="1"/>
  <c r="BI105" i="6" a="1"/>
  <c r="BI105" i="6" s="1"/>
  <c r="BI125" i="6" a="1"/>
  <c r="BI125" i="6" s="1"/>
  <c r="BI123" i="6" a="1"/>
  <c r="BI123" i="6" s="1"/>
  <c r="BI117" i="6" a="1"/>
  <c r="BI117" i="6" s="1"/>
  <c r="BI127" i="6" a="1"/>
  <c r="BI127" i="6" s="1"/>
  <c r="BI116" i="6" a="1"/>
  <c r="BI116" i="6" s="1"/>
  <c r="BI101" i="6" a="1"/>
  <c r="BI101" i="6" s="1"/>
  <c r="BI112" i="6" a="1"/>
  <c r="BI112" i="6" s="1"/>
  <c r="BI102" i="6" a="1"/>
  <c r="BI102" i="6" s="1"/>
  <c r="BI103" i="6" a="1"/>
  <c r="BI103" i="6" s="1"/>
  <c r="BI104" i="6" a="1"/>
  <c r="BI104" i="6" s="1"/>
  <c r="BI124" i="6" a="1"/>
  <c r="BI124" i="6" s="1"/>
  <c r="BI114" i="6" a="1"/>
  <c r="BI114" i="6" s="1"/>
  <c r="BI96" i="6" a="1"/>
  <c r="BI96" i="6" s="1"/>
  <c r="BI92" i="6" a="1"/>
  <c r="BI92" i="6" s="1"/>
  <c r="BI93" i="6" a="1"/>
  <c r="BI93" i="6" s="1"/>
  <c r="BI95" i="6" a="1"/>
  <c r="BI95" i="6" s="1"/>
  <c r="BI87" i="6" a="1"/>
  <c r="BI87" i="6" s="1"/>
  <c r="BI82" i="6" a="1"/>
  <c r="BI82" i="6" s="1"/>
  <c r="BI88" i="6" a="1"/>
  <c r="BI88" i="6" s="1"/>
  <c r="BI80" i="6" a="1"/>
  <c r="BI80" i="6" s="1"/>
  <c r="BI107" i="6" a="1"/>
  <c r="BI107" i="6" s="1"/>
  <c r="BI115" i="6" a="1"/>
  <c r="BI115" i="6" s="1"/>
  <c r="BI106" i="6" a="1"/>
  <c r="BI106" i="6" s="1"/>
  <c r="BI98" i="6" a="1"/>
  <c r="BI98" i="6" s="1"/>
  <c r="BI89" i="6" a="1"/>
  <c r="BI89" i="6" s="1"/>
  <c r="BI130" i="6" a="1"/>
  <c r="BI130" i="6" s="1"/>
  <c r="BI100" i="6" a="1"/>
  <c r="BI100" i="6" s="1"/>
  <c r="BI99" i="6" a="1"/>
  <c r="BI99" i="6" s="1"/>
  <c r="BI97" i="6" a="1"/>
  <c r="BI97" i="6" s="1"/>
  <c r="BI113" i="6" a="1"/>
  <c r="BI113" i="6" s="1"/>
  <c r="BI94" i="6" a="1"/>
  <c r="BI94" i="6" s="1"/>
  <c r="BI84" i="6" a="1"/>
  <c r="BI84" i="6" s="1"/>
  <c r="BI68" i="6" a="1"/>
  <c r="BI68" i="6" s="1"/>
  <c r="BI85" i="6" a="1"/>
  <c r="BI85" i="6" s="1"/>
  <c r="BI69" i="6" a="1"/>
  <c r="BI69" i="6" s="1"/>
  <c r="BI91" i="6" a="1"/>
  <c r="BI91" i="6" s="1"/>
  <c r="BI74" i="6" a="1"/>
  <c r="BI74" i="6" s="1"/>
  <c r="BI70" i="6" a="1"/>
  <c r="BI70" i="6" s="1"/>
  <c r="BI86" i="6" a="1"/>
  <c r="BI86" i="6" s="1"/>
  <c r="BI71" i="6" a="1"/>
  <c r="BI71" i="6" s="1"/>
  <c r="BI90" i="6" a="1"/>
  <c r="BI90" i="6" s="1"/>
  <c r="BI81" i="6" a="1"/>
  <c r="BI81" i="6" s="1"/>
  <c r="BI79" i="6" a="1"/>
  <c r="BI79" i="6" s="1"/>
  <c r="BI83" i="6" a="1"/>
  <c r="BI83" i="6" s="1"/>
  <c r="BI78" i="6" a="1"/>
  <c r="BI78" i="6" s="1"/>
  <c r="BI64" i="6" a="1"/>
  <c r="BI64" i="6" s="1"/>
  <c r="BI110" i="6" a="1"/>
  <c r="BI110" i="6" s="1"/>
  <c r="BI72" i="6" a="1"/>
  <c r="BI72" i="6" s="1"/>
  <c r="BI73" i="6" a="1"/>
  <c r="BI73" i="6" s="1"/>
  <c r="BI61" i="6" a="1"/>
  <c r="BI61" i="6" s="1"/>
  <c r="BI51" i="6" a="1"/>
  <c r="BI51" i="6" s="1"/>
  <c r="BI62" i="6" a="1"/>
  <c r="BI62" i="6" s="1"/>
  <c r="BI60" i="6" a="1"/>
  <c r="BI60" i="6" s="1"/>
  <c r="BI66" i="6" a="1"/>
  <c r="BI66" i="6" s="1"/>
  <c r="BI59" i="6" a="1"/>
  <c r="BI59" i="6" s="1"/>
  <c r="BI49" i="6" a="1"/>
  <c r="BI49" i="6" s="1"/>
  <c r="BI67" i="6" a="1"/>
  <c r="BI67" i="6" s="1"/>
  <c r="BI65" i="6" a="1"/>
  <c r="BI65" i="6" s="1"/>
  <c r="BI56" i="6" a="1"/>
  <c r="BI56" i="6" s="1"/>
  <c r="BI111" i="6" a="1"/>
  <c r="BI111" i="6" s="1"/>
  <c r="BI75" i="6" a="1"/>
  <c r="BI75" i="6" s="1"/>
  <c r="BI57" i="6" a="1"/>
  <c r="BI57" i="6" s="1"/>
  <c r="BI58" i="6" a="1"/>
  <c r="BI58" i="6" s="1"/>
  <c r="BI52" i="6" a="1"/>
  <c r="BI52" i="6" s="1"/>
  <c r="BI37" i="6" a="1"/>
  <c r="BI37" i="6" s="1"/>
  <c r="BI32" i="6" a="1"/>
  <c r="BI32" i="6" s="1"/>
  <c r="BI63" i="6" a="1"/>
  <c r="BI63" i="6" s="1"/>
  <c r="BI55" i="6" a="1"/>
  <c r="BI55" i="6" s="1"/>
  <c r="BI36" i="6" a="1"/>
  <c r="BI36" i="6" s="1"/>
  <c r="BI50" i="6" a="1"/>
  <c r="BI50" i="6" s="1"/>
  <c r="BI44" i="6" a="1"/>
  <c r="BI44" i="6" s="1"/>
  <c r="BI54" i="6" a="1"/>
  <c r="BI54" i="6" s="1"/>
  <c r="BI39" i="6" a="1"/>
  <c r="BI39" i="6" s="1"/>
  <c r="BI43" i="6" a="1"/>
  <c r="BI43" i="6" s="1"/>
  <c r="BI38" i="6" a="1"/>
  <c r="BI38" i="6" s="1"/>
  <c r="BI42" i="6" a="1"/>
  <c r="BI42" i="6" s="1"/>
  <c r="BI41" i="6" s="1"/>
  <c r="BI40" i="6" s="1"/>
  <c r="BE16" i="6" a="1"/>
  <c r="BE16" i="6" s="1"/>
  <c r="BE14" i="6" s="1"/>
  <c r="BE13" i="6" s="1"/>
  <c r="BE12" i="6" s="1"/>
  <c r="BG28" i="6" a="1"/>
  <c r="BG28" i="6" s="1"/>
  <c r="BI29" i="6" a="1"/>
  <c r="BI29" i="6" s="1"/>
  <c r="BF39" i="6" a="1"/>
  <c r="BF39" i="6" s="1"/>
  <c r="BF44" i="6" a="1"/>
  <c r="BF44" i="6" s="1"/>
  <c r="N47" i="6" a="1"/>
  <c r="N47" i="6" s="1"/>
  <c r="O47" i="6" s="1" a="1"/>
  <c r="O47" i="6" s="1"/>
  <c r="X38" i="6" a="1"/>
  <c r="X38" i="6" s="1"/>
  <c r="AD38" i="6" a="1"/>
  <c r="AD38" i="6" s="1"/>
  <c r="AJ38" i="6" a="1"/>
  <c r="AJ38" i="6" s="1"/>
  <c r="AP38" i="6" a="1"/>
  <c r="AP38" i="6" s="1"/>
  <c r="AV38" i="6" a="1"/>
  <c r="AV38" i="6" s="1"/>
  <c r="BB38" i="6" a="1"/>
  <c r="BB38" i="6" s="1"/>
  <c r="BH38" i="6" a="1"/>
  <c r="BH38" i="6" s="1"/>
  <c r="BN38" i="6" a="1"/>
  <c r="BN38" i="6" s="1"/>
  <c r="AF38" i="6" a="1"/>
  <c r="AF38" i="6" s="1"/>
  <c r="AL38" i="6" a="1"/>
  <c r="AL38" i="6" s="1"/>
  <c r="AR38" i="6" a="1"/>
  <c r="AR38" i="6" s="1"/>
  <c r="AX38" i="6" a="1"/>
  <c r="AX38" i="6" s="1"/>
  <c r="BD38" i="6" a="1"/>
  <c r="BD38" i="6" s="1"/>
  <c r="BJ38" i="6" a="1"/>
  <c r="BJ38" i="6" s="1"/>
  <c r="X36" i="6" a="1"/>
  <c r="X36" i="6" s="1"/>
  <c r="AD36" i="6" a="1"/>
  <c r="AD36" i="6" s="1"/>
  <c r="AJ36" i="6" a="1"/>
  <c r="AJ36" i="6" s="1"/>
  <c r="AP36" i="6" a="1"/>
  <c r="AP36" i="6" s="1"/>
  <c r="AV36" i="6" a="1"/>
  <c r="AV36" i="6" s="1"/>
  <c r="BB36" i="6" a="1"/>
  <c r="BB36" i="6" s="1"/>
  <c r="BH36" i="6" a="1"/>
  <c r="BH36" i="6" s="1"/>
  <c r="U38" i="6" a="1"/>
  <c r="U38" i="6" s="1"/>
  <c r="AA38" i="6" a="1"/>
  <c r="AA38" i="6" s="1"/>
  <c r="AG38" i="6" a="1"/>
  <c r="AG38" i="6" s="1"/>
  <c r="AM38" i="6" a="1"/>
  <c r="AM38" i="6" s="1"/>
  <c r="AS38" i="6" a="1"/>
  <c r="AS38" i="6" s="1"/>
  <c r="AY38" i="6" a="1"/>
  <c r="AY38" i="6" s="1"/>
  <c r="BE38" i="6" a="1"/>
  <c r="BE38" i="6" s="1"/>
  <c r="BK38" i="6" a="1"/>
  <c r="BK38" i="6" s="1"/>
  <c r="V38" i="6" a="1"/>
  <c r="V38" i="6" s="1"/>
  <c r="AB38" i="6" a="1"/>
  <c r="AB38" i="6" s="1"/>
  <c r="AH38" i="6" a="1"/>
  <c r="AH38" i="6" s="1"/>
  <c r="AN38" i="6" a="1"/>
  <c r="AN38" i="6" s="1"/>
  <c r="AT38" i="6" a="1"/>
  <c r="AT38" i="6" s="1"/>
  <c r="AZ38" i="6" a="1"/>
  <c r="AZ38" i="6" s="1"/>
  <c r="BF38" i="6" a="1"/>
  <c r="BF38" i="6" s="1"/>
  <c r="N77" i="6" a="1"/>
  <c r="N77" i="6" s="1"/>
  <c r="O77" i="6" s="1" a="1"/>
  <c r="O77" i="6" s="1"/>
  <c r="R77" i="6"/>
  <c r="R76" i="6" s="1"/>
  <c r="Q77" i="6"/>
  <c r="Q76" i="6" s="1"/>
  <c r="Q45" i="6" s="1"/>
  <c r="Q109" i="6"/>
  <c r="Q108" i="6" s="1"/>
  <c r="J11" i="7"/>
  <c r="I11" i="7" s="1"/>
  <c r="I12" i="7"/>
  <c r="R109" i="6"/>
  <c r="R108" i="6" s="1"/>
  <c r="N141" i="6" a="1"/>
  <c r="N141" i="6" s="1"/>
  <c r="O141" i="6" s="1" a="1"/>
  <c r="O141" i="6" s="1"/>
  <c r="K140" i="6"/>
  <c r="K11" i="6" s="1"/>
  <c r="R142" i="6"/>
  <c r="R141" i="6" s="1"/>
  <c r="R140" i="6" s="1"/>
  <c r="Q146" i="6"/>
  <c r="Q145" i="6" s="1"/>
  <c r="Q140" i="6" s="1"/>
  <c r="L153" i="6"/>
  <c r="N153" i="6" s="1" a="1"/>
  <c r="N153" i="6" s="1"/>
  <c r="O153" i="6" s="1" a="1"/>
  <c r="O153" i="6" s="1"/>
  <c r="N154" i="6" a="1"/>
  <c r="N154" i="6" s="1"/>
  <c r="O154" i="6" s="1" a="1"/>
  <c r="O154" i="6" s="1"/>
  <c r="H24" i="8"/>
  <c r="G24" i="8" s="1"/>
  <c r="H28" i="8"/>
  <c r="G28" i="8" s="1"/>
  <c r="G13" i="8"/>
  <c r="I12" i="8"/>
  <c r="H21" i="8"/>
  <c r="G21" i="8" s="1"/>
  <c r="H25" i="8"/>
  <c r="G25" i="8" s="1"/>
  <c r="H35" i="8"/>
  <c r="G35" i="8" s="1"/>
  <c r="H16" i="8"/>
  <c r="G19" i="8"/>
  <c r="AA142" i="1" l="1"/>
  <c r="AA141" i="1" s="1"/>
  <c r="AP14" i="1"/>
  <c r="AP13" i="1" s="1"/>
  <c r="AP12" i="1" s="1"/>
  <c r="AX19" i="1"/>
  <c r="BJ19" i="1"/>
  <c r="AM41" i="1"/>
  <c r="AM40" i="1" s="1"/>
  <c r="BC41" i="1"/>
  <c r="BC40" i="1" s="1"/>
  <c r="AI41" i="1"/>
  <c r="AI40" i="1" s="1"/>
  <c r="AW14" i="1"/>
  <c r="AW13" i="1" s="1"/>
  <c r="AW12" i="1" s="1"/>
  <c r="AR154" i="1"/>
  <c r="AR153" i="1" s="1"/>
  <c r="Z154" i="1"/>
  <c r="Z153" i="1" s="1"/>
  <c r="V154" i="1"/>
  <c r="V153" i="1" s="1"/>
  <c r="BK154" i="1"/>
  <c r="BK153" i="1" s="1"/>
  <c r="Y14" i="1"/>
  <c r="Y13" i="1" s="1"/>
  <c r="Y12" i="1" s="1"/>
  <c r="AQ14" i="1"/>
  <c r="AQ13" i="1" s="1"/>
  <c r="AQ12" i="1" s="1"/>
  <c r="AB41" i="1"/>
  <c r="AB40" i="1" s="1"/>
  <c r="AM19" i="1"/>
  <c r="AL19" i="1"/>
  <c r="V41" i="1"/>
  <c r="V40" i="1" s="1"/>
  <c r="AE14" i="1"/>
  <c r="AE13" i="1" s="1"/>
  <c r="AE12" i="1" s="1"/>
  <c r="AY19" i="1"/>
  <c r="BM41" i="1"/>
  <c r="BM40" i="1" s="1"/>
  <c r="BB14" i="1"/>
  <c r="BB13" i="1" s="1"/>
  <c r="BB12" i="1" s="1"/>
  <c r="BE41" i="1"/>
  <c r="BE40" i="1" s="1"/>
  <c r="AS41" i="1"/>
  <c r="AS40" i="1" s="1"/>
  <c r="BH41" i="1"/>
  <c r="BH40" i="1" s="1"/>
  <c r="AK41" i="1"/>
  <c r="AK40" i="1" s="1"/>
  <c r="W14" i="1"/>
  <c r="W13" i="1" s="1"/>
  <c r="W12" i="1" s="1"/>
  <c r="AN14" i="1"/>
  <c r="AN13" i="1" s="1"/>
  <c r="AN12" i="1" s="1"/>
  <c r="BE142" i="1"/>
  <c r="BE141" i="1" s="1"/>
  <c r="U154" i="1"/>
  <c r="U153" i="1" s="1"/>
  <c r="AF154" i="1"/>
  <c r="AF153" i="1" s="1"/>
  <c r="BM14" i="1"/>
  <c r="BM13" i="1" s="1"/>
  <c r="BM12" i="1" s="1"/>
  <c r="AC14" i="1"/>
  <c r="AC13" i="1" s="1"/>
  <c r="AC12" i="1" s="1"/>
  <c r="AZ41" i="1"/>
  <c r="AZ40" i="1" s="1"/>
  <c r="BB41" i="1"/>
  <c r="BB40" i="1" s="1"/>
  <c r="AR19" i="1"/>
  <c r="BC14" i="1"/>
  <c r="BC13" i="1" s="1"/>
  <c r="BC12" i="1" s="1"/>
  <c r="BC146" i="1"/>
  <c r="BC145" i="1" s="1"/>
  <c r="BJ146" i="1"/>
  <c r="BJ145" i="1" s="1"/>
  <c r="AU14" i="1"/>
  <c r="AU13" i="1" s="1"/>
  <c r="AU12" i="1" s="1"/>
  <c r="BM142" i="1"/>
  <c r="BM141" i="1" s="1"/>
  <c r="BA142" i="1"/>
  <c r="BA141" i="1" s="1"/>
  <c r="AO142" i="1"/>
  <c r="AO141" i="1" s="1"/>
  <c r="AZ19" i="1"/>
  <c r="AX14" i="1"/>
  <c r="AX13" i="1" s="1"/>
  <c r="AX12" i="1" s="1"/>
  <c r="AK14" i="1"/>
  <c r="AK13" i="1" s="1"/>
  <c r="AK12" i="1" s="1"/>
  <c r="AS154" i="1"/>
  <c r="AS153" i="1" s="1"/>
  <c r="S142" i="1"/>
  <c r="S141" i="1" s="1"/>
  <c r="BB154" i="1"/>
  <c r="BB153" i="1" s="1"/>
  <c r="AP154" i="1"/>
  <c r="AP153" i="1" s="1"/>
  <c r="AO14" i="1"/>
  <c r="AO13" i="1" s="1"/>
  <c r="AO12" i="1" s="1"/>
  <c r="BN154" i="1"/>
  <c r="BN153" i="1" s="1"/>
  <c r="AC154" i="1"/>
  <c r="AC153" i="1" s="1"/>
  <c r="AX154" i="1"/>
  <c r="AX153" i="1" s="1"/>
  <c r="BI142" i="1"/>
  <c r="BI141" i="1" s="1"/>
  <c r="BF14" i="1"/>
  <c r="BF13" i="1" s="1"/>
  <c r="BF12" i="1" s="1"/>
  <c r="AM154" i="1"/>
  <c r="AM153" i="1" s="1"/>
  <c r="AR14" i="1"/>
  <c r="AR13" i="1" s="1"/>
  <c r="AR12" i="1" s="1"/>
  <c r="AV154" i="1"/>
  <c r="AV153" i="1" s="1"/>
  <c r="AJ154" i="1"/>
  <c r="AJ153" i="1" s="1"/>
  <c r="AU154" i="1"/>
  <c r="AU153" i="1" s="1"/>
  <c r="Z19" i="1"/>
  <c r="AI14" i="1"/>
  <c r="AI13" i="1" s="1"/>
  <c r="AI12" i="1" s="1"/>
  <c r="AZ14" i="1"/>
  <c r="AZ13" i="1" s="1"/>
  <c r="AZ12" i="1" s="1"/>
  <c r="T19" i="1"/>
  <c r="BI41" i="1"/>
  <c r="BI40" i="1" s="1"/>
  <c r="AT14" i="1"/>
  <c r="AT13" i="1" s="1"/>
  <c r="AT12" i="1" s="1"/>
  <c r="AF14" i="1"/>
  <c r="AF13" i="1" s="1"/>
  <c r="AF12" i="1" s="1"/>
  <c r="BJ27" i="1"/>
  <c r="BJ26" i="1" s="1"/>
  <c r="AG41" i="1"/>
  <c r="AG40" i="1" s="1"/>
  <c r="AR142" i="1"/>
  <c r="AR141" i="1" s="1"/>
  <c r="BJ41" i="1"/>
  <c r="BJ40" i="1" s="1"/>
  <c r="AY14" i="1"/>
  <c r="AY13" i="1" s="1"/>
  <c r="AY12" i="1" s="1"/>
  <c r="AH142" i="1"/>
  <c r="AH141" i="1" s="1"/>
  <c r="AN41" i="1"/>
  <c r="AN40" i="1" s="1"/>
  <c r="S14" i="1"/>
  <c r="S13" i="1" s="1"/>
  <c r="S12" i="1" s="1"/>
  <c r="AI146" i="1"/>
  <c r="AI145" i="1" s="1"/>
  <c r="BK146" i="1"/>
  <c r="BK145" i="1" s="1"/>
  <c r="AJ41" i="1"/>
  <c r="AJ40" i="1" s="1"/>
  <c r="Q142" i="1"/>
  <c r="Q141" i="1" s="1"/>
  <c r="AD14" i="1"/>
  <c r="AD13" i="1" s="1"/>
  <c r="AD12" i="1" s="1"/>
  <c r="AT41" i="1"/>
  <c r="AT40" i="1" s="1"/>
  <c r="AN19" i="1"/>
  <c r="AG19" i="1"/>
  <c r="AL14" i="1"/>
  <c r="AL13" i="1" s="1"/>
  <c r="AL12" i="1" s="1"/>
  <c r="BD154" i="1"/>
  <c r="BD153" i="1" s="1"/>
  <c r="AL142" i="1"/>
  <c r="AL141" i="1" s="1"/>
  <c r="AB19" i="1"/>
  <c r="BK77" i="1"/>
  <c r="BK76" i="1" s="1"/>
  <c r="BE14" i="1"/>
  <c r="BE13" i="1" s="1"/>
  <c r="BE12" i="1" s="1"/>
  <c r="V47" i="1"/>
  <c r="V46" i="1" s="1"/>
  <c r="Z14" i="1"/>
  <c r="Z13" i="1" s="1"/>
  <c r="Z12" i="1" s="1"/>
  <c r="BK19" i="1"/>
  <c r="AH14" i="1"/>
  <c r="AH13" i="1" s="1"/>
  <c r="AH12" i="1" s="1"/>
  <c r="W146" i="1"/>
  <c r="W145" i="1" s="1"/>
  <c r="X19" i="1"/>
  <c r="AT77" i="1"/>
  <c r="AT76" i="1" s="1"/>
  <c r="BD27" i="1"/>
  <c r="BD26" i="1" s="1"/>
  <c r="AG27" i="1"/>
  <c r="AG26" i="1" s="1"/>
  <c r="AW41" i="1"/>
  <c r="AW40" i="1" s="1"/>
  <c r="BM19" i="1"/>
  <c r="T14" i="1"/>
  <c r="T13" i="1" s="1"/>
  <c r="T12" i="1" s="1"/>
  <c r="AN27" i="1"/>
  <c r="AN26" i="1" s="1"/>
  <c r="BI27" i="1"/>
  <c r="BI26" i="1" s="1"/>
  <c r="AG142" i="1"/>
  <c r="AG141" i="1" s="1"/>
  <c r="U47" i="1"/>
  <c r="U46" i="1" s="1"/>
  <c r="AF77" i="1"/>
  <c r="AF76" i="1" s="1"/>
  <c r="AA41" i="1"/>
  <c r="AA40" i="1" s="1"/>
  <c r="AS19" i="1"/>
  <c r="BN14" i="1"/>
  <c r="BN13" i="1" s="1"/>
  <c r="BN12" i="1" s="1"/>
  <c r="T77" i="1"/>
  <c r="T76" i="1" s="1"/>
  <c r="X77" i="1"/>
  <c r="X76" i="1" s="1"/>
  <c r="BG47" i="1"/>
  <c r="BG46" i="1" s="1"/>
  <c r="BH27" i="1"/>
  <c r="BH26" i="1" s="1"/>
  <c r="AE77" i="1"/>
  <c r="AE76" i="1" s="1"/>
  <c r="BF142" i="1"/>
  <c r="BF141" i="1" s="1"/>
  <c r="BN41" i="1"/>
  <c r="BN40" i="1" s="1"/>
  <c r="AY142" i="1"/>
  <c r="AY141" i="1" s="1"/>
  <c r="BG77" i="1"/>
  <c r="BG76" i="1" s="1"/>
  <c r="BM109" i="1"/>
  <c r="BM108" i="1" s="1"/>
  <c r="AO77" i="1"/>
  <c r="AO76" i="1" s="1"/>
  <c r="V14" i="1"/>
  <c r="V13" i="1" s="1"/>
  <c r="V12" i="1" s="1"/>
  <c r="AN154" i="1"/>
  <c r="AN153" i="1" s="1"/>
  <c r="W142" i="1"/>
  <c r="W141" i="1" s="1"/>
  <c r="AM14" i="1"/>
  <c r="AM13" i="1" s="1"/>
  <c r="AM12" i="1" s="1"/>
  <c r="AR27" i="1"/>
  <c r="AR26" i="1" s="1"/>
  <c r="AB14" i="1"/>
  <c r="AB13" i="1" s="1"/>
  <c r="AB12" i="1" s="1"/>
  <c r="AK109" i="1"/>
  <c r="AK108" i="1" s="1"/>
  <c r="BC27" i="1"/>
  <c r="BC26" i="1" s="1"/>
  <c r="BH14" i="1"/>
  <c r="BH13" i="1" s="1"/>
  <c r="BH12" i="1" s="1"/>
  <c r="T142" i="1"/>
  <c r="T141" i="1" s="1"/>
  <c r="BB146" i="1"/>
  <c r="BB145" i="1" s="1"/>
  <c r="AP146" i="1"/>
  <c r="AP145" i="1" s="1"/>
  <c r="AY77" i="1"/>
  <c r="AY76" i="1" s="1"/>
  <c r="AC146" i="1"/>
  <c r="AC145" i="1" s="1"/>
  <c r="AA154" i="1"/>
  <c r="AA153" i="1" s="1"/>
  <c r="AI142" i="1"/>
  <c r="AI141" i="1" s="1"/>
  <c r="AG14" i="1"/>
  <c r="AG13" i="1" s="1"/>
  <c r="AG12" i="1" s="1"/>
  <c r="AL27" i="1"/>
  <c r="AL26" i="1" s="1"/>
  <c r="AX27" i="1"/>
  <c r="AX26" i="1" s="1"/>
  <c r="AA19" i="1"/>
  <c r="AE154" i="1"/>
  <c r="AE153" i="1" s="1"/>
  <c r="BD19" i="1"/>
  <c r="V142" i="1"/>
  <c r="V141" i="1" s="1"/>
  <c r="AC47" i="1"/>
  <c r="AC46" i="1" s="1"/>
  <c r="BL142" i="1"/>
  <c r="BL141" i="1" s="1"/>
  <c r="AK146" i="1"/>
  <c r="AK145" i="1" s="1"/>
  <c r="AA14" i="1"/>
  <c r="AA13" i="1" s="1"/>
  <c r="AA12" i="1" s="1"/>
  <c r="AF27" i="1"/>
  <c r="AF26" i="1" s="1"/>
  <c r="AU41" i="1"/>
  <c r="AU40" i="1" s="1"/>
  <c r="U146" i="1"/>
  <c r="U145" i="1" s="1"/>
  <c r="AV14" i="1"/>
  <c r="AV13" i="1" s="1"/>
  <c r="AV12" i="1" s="1"/>
  <c r="BD142" i="1"/>
  <c r="BD141" i="1" s="1"/>
  <c r="AF146" i="1"/>
  <c r="AF145" i="1" s="1"/>
  <c r="Y142" i="1"/>
  <c r="Y141" i="1" s="1"/>
  <c r="AQ142" i="1"/>
  <c r="AQ141" i="1" s="1"/>
  <c r="BB142" i="1"/>
  <c r="BB141" i="1" s="1"/>
  <c r="AP41" i="1"/>
  <c r="AP40" i="1" s="1"/>
  <c r="AP142" i="1"/>
  <c r="AP141" i="1" s="1"/>
  <c r="BF154" i="1"/>
  <c r="BF153" i="1" s="1"/>
  <c r="BN142" i="1"/>
  <c r="BN141" i="1" s="1"/>
  <c r="AY146" i="1"/>
  <c r="AY145" i="1" s="1"/>
  <c r="BM47" i="1"/>
  <c r="BM46" i="1" s="1"/>
  <c r="BM146" i="1"/>
  <c r="BM145" i="1" s="1"/>
  <c r="BA146" i="1"/>
  <c r="BA145" i="1" s="1"/>
  <c r="AO146" i="1"/>
  <c r="AO145" i="1" s="1"/>
  <c r="AC142" i="1"/>
  <c r="AC141" i="1" s="1"/>
  <c r="AZ154" i="1"/>
  <c r="AZ153" i="1" s="1"/>
  <c r="AB146" i="1"/>
  <c r="AB145" i="1" s="1"/>
  <c r="AW142" i="1"/>
  <c r="AW141" i="1" s="1"/>
  <c r="BL19" i="1"/>
  <c r="W154" i="1"/>
  <c r="W153" i="1" s="1"/>
  <c r="AX41" i="1"/>
  <c r="AX40" i="1" s="1"/>
  <c r="U14" i="1"/>
  <c r="U13" i="1" s="1"/>
  <c r="U12" i="1" s="1"/>
  <c r="Z27" i="1"/>
  <c r="Z26" i="1" s="1"/>
  <c r="BE19" i="1"/>
  <c r="BJ14" i="1"/>
  <c r="BJ13" i="1" s="1"/>
  <c r="BJ12" i="1" s="1"/>
  <c r="AV142" i="1"/>
  <c r="AV141" i="1" s="1"/>
  <c r="AJ142" i="1"/>
  <c r="AJ141" i="1" s="1"/>
  <c r="AU142" i="1"/>
  <c r="AU141" i="1" s="1"/>
  <c r="BI14" i="1"/>
  <c r="BI13" i="1" s="1"/>
  <c r="BI12" i="1" s="1"/>
  <c r="AG154" i="1"/>
  <c r="AG153" i="1" s="1"/>
  <c r="AL154" i="1"/>
  <c r="AL153" i="1" s="1"/>
  <c r="S146" i="1"/>
  <c r="S145" i="1" s="1"/>
  <c r="AD154" i="1"/>
  <c r="AD153" i="1" s="1"/>
  <c r="BA14" i="1"/>
  <c r="BA13" i="1" s="1"/>
  <c r="BA12" i="1" s="1"/>
  <c r="AO41" i="1"/>
  <c r="AO40" i="1" s="1"/>
  <c r="AA146" i="1"/>
  <c r="AA145" i="1" s="1"/>
  <c r="BI146" i="1"/>
  <c r="BI145" i="1" s="1"/>
  <c r="AM142" i="1"/>
  <c r="AM141" i="1" s="1"/>
  <c r="AI154" i="1"/>
  <c r="AI153" i="1" s="1"/>
  <c r="AK142" i="1"/>
  <c r="AK141" i="1" s="1"/>
  <c r="T27" i="1"/>
  <c r="T26" i="1" s="1"/>
  <c r="BD14" i="1"/>
  <c r="BD13" i="1" s="1"/>
  <c r="BD12" i="1" s="1"/>
  <c r="BH142" i="1"/>
  <c r="BH141" i="1" s="1"/>
  <c r="R154" i="1"/>
  <c r="R153" i="1" s="1"/>
  <c r="Q14" i="1"/>
  <c r="Q13" i="1" s="1"/>
  <c r="Q12" i="1" s="1"/>
  <c r="R146" i="1"/>
  <c r="R145" i="1" s="1"/>
  <c r="Q77" i="1"/>
  <c r="Q76" i="1" s="1"/>
  <c r="Q146" i="1"/>
  <c r="Q145" i="1" s="1"/>
  <c r="BD47" i="6"/>
  <c r="BD46" i="6" s="1"/>
  <c r="AF109" i="6"/>
  <c r="AF108" i="6" s="1"/>
  <c r="T19" i="6"/>
  <c r="T47" i="6"/>
  <c r="T46" i="6" s="1"/>
  <c r="T45" i="6" s="1"/>
  <c r="X26" i="6"/>
  <c r="AD14" i="6"/>
  <c r="AD13" i="6" s="1"/>
  <c r="AD12" i="6" s="1"/>
  <c r="AD77" i="6"/>
  <c r="AD76" i="6" s="1"/>
  <c r="BA47" i="6"/>
  <c r="BA46" i="6" s="1"/>
  <c r="AN146" i="6"/>
  <c r="AN145" i="6" s="1"/>
  <c r="AY47" i="6"/>
  <c r="AY46" i="6" s="1"/>
  <c r="AY45" i="6" s="1"/>
  <c r="BJ47" i="6"/>
  <c r="BJ46" i="6" s="1"/>
  <c r="BJ45" i="6" s="1"/>
  <c r="AL27" i="6"/>
  <c r="AL26" i="6" s="1"/>
  <c r="Z47" i="6"/>
  <c r="Z46" i="6" s="1"/>
  <c r="Y27" i="6"/>
  <c r="Y26" i="6" s="1"/>
  <c r="Y18" i="6" s="1"/>
  <c r="BH26" i="6"/>
  <c r="BH18" i="6" s="1"/>
  <c r="AJ77" i="6"/>
  <c r="AJ76" i="6" s="1"/>
  <c r="X142" i="6"/>
  <c r="X141" i="6" s="1"/>
  <c r="X140" i="6" s="1"/>
  <c r="AP19" i="6"/>
  <c r="AP18" i="6" s="1"/>
  <c r="AI27" i="6"/>
  <c r="AI26" i="6" s="1"/>
  <c r="AI77" i="6"/>
  <c r="AI76" i="6" s="1"/>
  <c r="BL14" i="6"/>
  <c r="BL13" i="6" s="1"/>
  <c r="BL12" i="6" s="1"/>
  <c r="V47" i="6"/>
  <c r="V46" i="6" s="1"/>
  <c r="AG14" i="6"/>
  <c r="AG13" i="6" s="1"/>
  <c r="AG12" i="6" s="1"/>
  <c r="U27" i="6"/>
  <c r="U26" i="6" s="1"/>
  <c r="U140" i="6"/>
  <c r="BD146" i="1"/>
  <c r="BD145" i="1" s="1"/>
  <c r="AR47" i="1"/>
  <c r="AR46" i="1" s="1"/>
  <c r="AF109" i="1"/>
  <c r="AF108" i="1" s="1"/>
  <c r="Y109" i="1"/>
  <c r="Y108" i="1" s="1"/>
  <c r="Y146" i="1"/>
  <c r="Y145" i="1" s="1"/>
  <c r="AO47" i="1"/>
  <c r="AO46" i="1" s="1"/>
  <c r="BB27" i="1"/>
  <c r="BB26" i="1" s="1"/>
  <c r="AQ47" i="1"/>
  <c r="AQ46" i="1" s="1"/>
  <c r="AQ146" i="1"/>
  <c r="AQ145" i="1" s="1"/>
  <c r="AD47" i="1"/>
  <c r="AD46" i="1" s="1"/>
  <c r="AD142" i="1"/>
  <c r="AD141" i="1" s="1"/>
  <c r="BJ154" i="1"/>
  <c r="BJ153" i="1" s="1"/>
  <c r="X142" i="1"/>
  <c r="X141" i="1" s="1"/>
  <c r="BN146" i="1"/>
  <c r="BN145" i="1" s="1"/>
  <c r="Z77" i="1"/>
  <c r="Z76" i="1" s="1"/>
  <c r="AO27" i="1"/>
  <c r="AO26" i="1" s="1"/>
  <c r="BM77" i="1"/>
  <c r="BM76" i="1" s="1"/>
  <c r="AA77" i="1"/>
  <c r="AA76" i="1" s="1"/>
  <c r="AX47" i="1"/>
  <c r="AX46" i="1" s="1"/>
  <c r="AZ77" i="1"/>
  <c r="AZ76" i="1" s="1"/>
  <c r="AZ142" i="1"/>
  <c r="AZ141" i="1" s="1"/>
  <c r="AW47" i="1"/>
  <c r="AW46" i="1" s="1"/>
  <c r="AR41" i="1"/>
  <c r="AR40" i="1" s="1"/>
  <c r="AH27" i="1"/>
  <c r="AH26" i="1" s="1"/>
  <c r="AK47" i="1"/>
  <c r="AK46" i="1" s="1"/>
  <c r="R19" i="1"/>
  <c r="R18" i="1" s="1"/>
  <c r="AS14" i="1"/>
  <c r="AS13" i="1" s="1"/>
  <c r="AS12" i="1" s="1"/>
  <c r="AA27" i="1"/>
  <c r="AA26" i="1" s="1"/>
  <c r="BG19" i="1"/>
  <c r="L11" i="1"/>
  <c r="N11" i="1" s="1" a="1"/>
  <c r="N11" i="1" s="1"/>
  <c r="O11" i="1" s="1" a="1"/>
  <c r="O11" i="1" s="1"/>
  <c r="AJ77" i="1"/>
  <c r="AJ76" i="1" s="1"/>
  <c r="AU77" i="1"/>
  <c r="AU76" i="1" s="1"/>
  <c r="W45" i="6"/>
  <c r="BE109" i="6"/>
  <c r="BE108" i="6" s="1"/>
  <c r="AZ47" i="6"/>
  <c r="AZ46" i="6" s="1"/>
  <c r="AY142" i="6"/>
  <c r="AY141" i="6" s="1"/>
  <c r="AY140" i="6" s="1"/>
  <c r="AY154" i="6"/>
  <c r="AY153" i="6" s="1"/>
  <c r="AM77" i="6"/>
  <c r="AM76" i="6" s="1"/>
  <c r="BJ26" i="6"/>
  <c r="BJ18" i="6" s="1"/>
  <c r="BJ11" i="6" s="1"/>
  <c r="BJ140" i="6"/>
  <c r="AL18" i="6"/>
  <c r="Y140" i="6"/>
  <c r="AT27" i="6"/>
  <c r="AT26" i="6" s="1"/>
  <c r="AS109" i="6"/>
  <c r="AS108" i="6" s="1"/>
  <c r="AW27" i="1"/>
  <c r="AW26" i="1" s="1"/>
  <c r="BE146" i="1"/>
  <c r="BE145" i="1" s="1"/>
  <c r="AG47" i="1"/>
  <c r="AG46" i="1" s="1"/>
  <c r="U109" i="1"/>
  <c r="U108" i="1" s="1"/>
  <c r="AR77" i="1"/>
  <c r="AR76" i="1" s="1"/>
  <c r="W47" i="1"/>
  <c r="W46" i="1" s="1"/>
  <c r="AV27" i="1"/>
  <c r="AV26" i="1" s="1"/>
  <c r="BB77" i="1"/>
  <c r="BB76" i="1" s="1"/>
  <c r="AP77" i="1"/>
  <c r="AP76" i="1" s="1"/>
  <c r="BG41" i="1"/>
  <c r="BG40" i="1" s="1"/>
  <c r="AY109" i="1"/>
  <c r="AY108" i="1" s="1"/>
  <c r="Z47" i="1"/>
  <c r="Z46" i="1" s="1"/>
  <c r="V77" i="1"/>
  <c r="V76" i="1" s="1"/>
  <c r="AI27" i="1"/>
  <c r="AI26" i="1" s="1"/>
  <c r="AN77" i="1"/>
  <c r="AN76" i="1" s="1"/>
  <c r="AW146" i="1"/>
  <c r="AW145" i="1" s="1"/>
  <c r="AE41" i="1"/>
  <c r="AE40" i="1" s="1"/>
  <c r="AB27" i="1"/>
  <c r="AB26" i="1" s="1"/>
  <c r="U27" i="1"/>
  <c r="U26" i="1" s="1"/>
  <c r="AC41" i="1"/>
  <c r="AC40" i="1" s="1"/>
  <c r="BA19" i="1"/>
  <c r="BH109" i="1"/>
  <c r="BH108" i="1" s="1"/>
  <c r="BG142" i="6"/>
  <c r="BG141" i="6" s="1"/>
  <c r="BG140" i="6" s="1"/>
  <c r="T109" i="6"/>
  <c r="T108" i="6" s="1"/>
  <c r="S14" i="6"/>
  <c r="S13" i="6" s="1"/>
  <c r="S12" i="6" s="1"/>
  <c r="BB27" i="6"/>
  <c r="BB26" i="6" s="1"/>
  <c r="BB18" i="6" s="1"/>
  <c r="BB77" i="6"/>
  <c r="BB76" i="6" s="1"/>
  <c r="AP142" i="6"/>
  <c r="AP141" i="6" s="1"/>
  <c r="AK47" i="6"/>
  <c r="AK46" i="6" s="1"/>
  <c r="AC47" i="6"/>
  <c r="AC46" i="6" s="1"/>
  <c r="AC45" i="6" s="1"/>
  <c r="AC109" i="6"/>
  <c r="AC108" i="6" s="1"/>
  <c r="BL18" i="6"/>
  <c r="BL109" i="6"/>
  <c r="BL108" i="6" s="1"/>
  <c r="AB109" i="6"/>
  <c r="AB108" i="6" s="1"/>
  <c r="AA27" i="6"/>
  <c r="AA26" i="6" s="1"/>
  <c r="AA18" i="6" s="1"/>
  <c r="AA77" i="6"/>
  <c r="AA76" i="6" s="1"/>
  <c r="AA45" i="6" s="1"/>
  <c r="BJ77" i="6"/>
  <c r="BJ76" i="6" s="1"/>
  <c r="BJ109" i="6"/>
  <c r="BJ108" i="6" s="1"/>
  <c r="AW146" i="6"/>
  <c r="AW145" i="6" s="1"/>
  <c r="AK14" i="6"/>
  <c r="AK13" i="6" s="1"/>
  <c r="AK12" i="6" s="1"/>
  <c r="BH47" i="6"/>
  <c r="BH46" i="6" s="1"/>
  <c r="AV109" i="6"/>
  <c r="AV108" i="6" s="1"/>
  <c r="AJ47" i="6"/>
  <c r="AJ46" i="6" s="1"/>
  <c r="X77" i="6"/>
  <c r="X76" i="6" s="1"/>
  <c r="AU19" i="6"/>
  <c r="AU47" i="6"/>
  <c r="AU46" i="6" s="1"/>
  <c r="U77" i="6"/>
  <c r="U76" i="6" s="1"/>
  <c r="N12" i="6" a="1"/>
  <c r="N12" i="6" s="1"/>
  <c r="O12" i="6" s="1" a="1"/>
  <c r="O12" i="6" s="1"/>
  <c r="AQ27" i="1"/>
  <c r="AQ26" i="1" s="1"/>
  <c r="BE77" i="1"/>
  <c r="BE76" i="1" s="1"/>
  <c r="U19" i="1"/>
  <c r="AR109" i="1"/>
  <c r="AR108" i="1" s="1"/>
  <c r="Y47" i="1"/>
  <c r="Y46" i="1" s="1"/>
  <c r="AP27" i="1"/>
  <c r="AP26" i="1" s="1"/>
  <c r="S77" i="1"/>
  <c r="S76" i="1" s="1"/>
  <c r="BB109" i="1"/>
  <c r="BB108" i="1" s="1"/>
  <c r="BJ77" i="1"/>
  <c r="BJ76" i="1" s="1"/>
  <c r="BJ109" i="1"/>
  <c r="BJ108" i="1" s="1"/>
  <c r="BG14" i="1"/>
  <c r="BG13" i="1" s="1"/>
  <c r="BG12" i="1" s="1"/>
  <c r="AC27" i="1"/>
  <c r="AC26" i="1" s="1"/>
  <c r="BI47" i="1"/>
  <c r="BI46" i="1" s="1"/>
  <c r="BI109" i="1"/>
  <c r="BI108" i="1" s="1"/>
  <c r="BI19" i="1"/>
  <c r="BL77" i="1"/>
  <c r="BL76" i="1" s="1"/>
  <c r="V27" i="1"/>
  <c r="V26" i="1" s="1"/>
  <c r="W77" i="1"/>
  <c r="W76" i="1" s="1"/>
  <c r="W109" i="1"/>
  <c r="W108" i="1" s="1"/>
  <c r="BL41" i="1"/>
  <c r="BL40" i="1" s="1"/>
  <c r="AU19" i="1"/>
  <c r="N40" i="1" a="1"/>
  <c r="N40" i="1" s="1"/>
  <c r="O40" i="1" s="1" a="1"/>
  <c r="O40" i="1" s="1"/>
  <c r="AL47" i="1"/>
  <c r="AL46" i="1" s="1"/>
  <c r="AR140" i="6"/>
  <c r="AE14" i="6"/>
  <c r="AE13" i="6" s="1"/>
  <c r="AE12" i="6" s="1"/>
  <c r="BG47" i="6"/>
  <c r="BG46" i="6" s="1"/>
  <c r="BF19" i="6"/>
  <c r="BF109" i="6"/>
  <c r="BF108" i="6" s="1"/>
  <c r="T77" i="6"/>
  <c r="T76" i="6" s="1"/>
  <c r="BC41" i="6"/>
  <c r="BC40" i="6" s="1"/>
  <c r="BC77" i="6"/>
  <c r="BC76" i="6" s="1"/>
  <c r="AQ109" i="6"/>
  <c r="AQ108" i="6" s="1"/>
  <c r="AQ142" i="6"/>
  <c r="AQ141" i="6" s="1"/>
  <c r="S109" i="6"/>
  <c r="S108" i="6" s="1"/>
  <c r="BN27" i="6"/>
  <c r="BN26" i="6" s="1"/>
  <c r="BN18" i="6" s="1"/>
  <c r="BB109" i="6"/>
  <c r="BB108" i="6" s="1"/>
  <c r="BL27" i="6"/>
  <c r="BL26" i="6" s="1"/>
  <c r="AZ19" i="6"/>
  <c r="BK77" i="6"/>
  <c r="BK76" i="6" s="1"/>
  <c r="AY41" i="6"/>
  <c r="AY40" i="6" s="1"/>
  <c r="AA109" i="6"/>
  <c r="AA108" i="6" s="1"/>
  <c r="AA154" i="6"/>
  <c r="AA153" i="6" s="1"/>
  <c r="BJ146" i="6"/>
  <c r="BJ145" i="6" s="1"/>
  <c r="AX27" i="6"/>
  <c r="AX26" i="6" s="1"/>
  <c r="Z109" i="6"/>
  <c r="Z108" i="6" s="1"/>
  <c r="Z146" i="6"/>
  <c r="Z145" i="6" s="1"/>
  <c r="AW47" i="6"/>
  <c r="AW46" i="6" s="1"/>
  <c r="Y109" i="6"/>
  <c r="Y108" i="6" s="1"/>
  <c r="AV77" i="6"/>
  <c r="AV76" i="6" s="1"/>
  <c r="V14" i="6"/>
  <c r="V13" i="6" s="1"/>
  <c r="V12" i="6" s="1"/>
  <c r="AT146" i="6"/>
  <c r="AT145" i="6" s="1"/>
  <c r="V19" i="6"/>
  <c r="V77" i="6"/>
  <c r="V76" i="6" s="1"/>
  <c r="AS14" i="6"/>
  <c r="AS13" i="6" s="1"/>
  <c r="AS12" i="6" s="1"/>
  <c r="AS77" i="6"/>
  <c r="AS76" i="6" s="1"/>
  <c r="AG47" i="6"/>
  <c r="AG46" i="6" s="1"/>
  <c r="AH41" i="1"/>
  <c r="AH40" i="1" s="1"/>
  <c r="AK27" i="1"/>
  <c r="AK26" i="1" s="1"/>
  <c r="T47" i="1"/>
  <c r="T46" i="1" s="1"/>
  <c r="AJ27" i="1"/>
  <c r="AJ26" i="1" s="1"/>
  <c r="BC47" i="1"/>
  <c r="BC46" i="1" s="1"/>
  <c r="AE109" i="1"/>
  <c r="AE108" i="1" s="1"/>
  <c r="AP47" i="1"/>
  <c r="AP46" i="1" s="1"/>
  <c r="R77" i="1"/>
  <c r="R76" i="1" s="1"/>
  <c r="X154" i="1"/>
  <c r="X153" i="1" s="1"/>
  <c r="BN47" i="1"/>
  <c r="BN46" i="1" s="1"/>
  <c r="BN77" i="1"/>
  <c r="BN76" i="1" s="1"/>
  <c r="AF41" i="1"/>
  <c r="AF40" i="1" s="1"/>
  <c r="W27" i="1"/>
  <c r="W26" i="1" s="1"/>
  <c r="BA77" i="1"/>
  <c r="BA76" i="1" s="1"/>
  <c r="BA109" i="1"/>
  <c r="BA108" i="1" s="1"/>
  <c r="AA109" i="1"/>
  <c r="AA108" i="1" s="1"/>
  <c r="BF41" i="1"/>
  <c r="BF40" i="1" s="1"/>
  <c r="BC19" i="1"/>
  <c r="AT146" i="1"/>
  <c r="AT145" i="1" s="1"/>
  <c r="AZ47" i="1"/>
  <c r="AZ46" i="1" s="1"/>
  <c r="AO19" i="1"/>
  <c r="AV146" i="1"/>
  <c r="AV145" i="1" s="1"/>
  <c r="AJ146" i="1"/>
  <c r="AJ145" i="1" s="1"/>
  <c r="AU146" i="1"/>
  <c r="AU145" i="1" s="1"/>
  <c r="AH154" i="1"/>
  <c r="AH153" i="1" s="1"/>
  <c r="AF14" i="6"/>
  <c r="AF13" i="6" s="1"/>
  <c r="AF12" i="6" s="1"/>
  <c r="T27" i="6"/>
  <c r="T26" i="6" s="1"/>
  <c r="BE140" i="6"/>
  <c r="BD77" i="6"/>
  <c r="BD76" i="6" s="1"/>
  <c r="BD146" i="6"/>
  <c r="BD145" i="6" s="1"/>
  <c r="AF146" i="6"/>
  <c r="AF145" i="6" s="1"/>
  <c r="T146" i="6"/>
  <c r="T145" i="6" s="1"/>
  <c r="T140" i="6" s="1"/>
  <c r="BN77" i="6"/>
  <c r="BN76" i="6" s="1"/>
  <c r="BN140" i="6"/>
  <c r="AD41" i="6"/>
  <c r="AD40" i="6" s="1"/>
  <c r="BA27" i="6"/>
  <c r="BA26" i="6" s="1"/>
  <c r="BA41" i="6"/>
  <c r="BA40" i="6" s="1"/>
  <c r="BA77" i="6"/>
  <c r="BA76" i="6" s="1"/>
  <c r="AO27" i="6"/>
  <c r="AO26" i="6" s="1"/>
  <c r="AN140" i="6"/>
  <c r="AB77" i="6"/>
  <c r="AB76" i="6" s="1"/>
  <c r="AB146" i="6"/>
  <c r="AB145" i="6" s="1"/>
  <c r="AM27" i="6"/>
  <c r="AM26" i="6" s="1"/>
  <c r="AM47" i="6"/>
  <c r="AM46" i="6" s="1"/>
  <c r="AM109" i="6"/>
  <c r="AM108" i="6" s="1"/>
  <c r="AM154" i="6"/>
  <c r="AM153" i="6" s="1"/>
  <c r="AW18" i="6"/>
  <c r="BJ154" i="6"/>
  <c r="BJ153" i="6" s="1"/>
  <c r="AX14" i="6"/>
  <c r="AX13" i="6" s="1"/>
  <c r="AX12" i="6" s="1"/>
  <c r="AL47" i="6"/>
  <c r="AL46" i="6" s="1"/>
  <c r="AL109" i="6"/>
  <c r="AL108" i="6" s="1"/>
  <c r="Z77" i="6"/>
  <c r="Z76" i="6" s="1"/>
  <c r="Z154" i="6"/>
  <c r="Z153" i="6" s="1"/>
  <c r="AW154" i="6"/>
  <c r="AW153" i="6" s="1"/>
  <c r="BH14" i="6"/>
  <c r="BH13" i="6" s="1"/>
  <c r="BH12" i="6" s="1"/>
  <c r="BH77" i="6"/>
  <c r="BH76" i="6" s="1"/>
  <c r="AJ142" i="6"/>
  <c r="AJ141" i="6" s="1"/>
  <c r="AI19" i="6"/>
  <c r="AI18" i="6" s="1"/>
  <c r="AI47" i="6"/>
  <c r="AI46" i="6" s="1"/>
  <c r="AI45" i="6" s="1"/>
  <c r="W41" i="6"/>
  <c r="W40" i="6" s="1"/>
  <c r="AT47" i="6"/>
  <c r="AT46" i="6" s="1"/>
  <c r="AH109" i="6"/>
  <c r="AH108" i="6" s="1"/>
  <c r="V27" i="6"/>
  <c r="V26" i="6" s="1"/>
  <c r="V109" i="6"/>
  <c r="V108" i="6" s="1"/>
  <c r="AS142" i="6"/>
  <c r="AS141" i="6" s="1"/>
  <c r="AS140" i="6" s="1"/>
  <c r="AG77" i="6"/>
  <c r="AG76" i="6" s="1"/>
  <c r="U41" i="1"/>
  <c r="U40" i="1" s="1"/>
  <c r="AE27" i="1"/>
  <c r="AE26" i="1" s="1"/>
  <c r="AG77" i="1"/>
  <c r="AG76" i="1" s="1"/>
  <c r="AJ14" i="1"/>
  <c r="AJ13" i="1" s="1"/>
  <c r="AJ12" i="1" s="1"/>
  <c r="BD47" i="1"/>
  <c r="BD46" i="1" s="1"/>
  <c r="BD109" i="1"/>
  <c r="BD108" i="1" s="1"/>
  <c r="AF142" i="1"/>
  <c r="AF141" i="1" s="1"/>
  <c r="T109" i="1"/>
  <c r="T108" i="1" s="1"/>
  <c r="Y77" i="1"/>
  <c r="Y76" i="1" s="1"/>
  <c r="AD27" i="1"/>
  <c r="AD26" i="1" s="1"/>
  <c r="S47" i="1"/>
  <c r="S46" i="1" s="1"/>
  <c r="S109" i="1"/>
  <c r="S108" i="1" s="1"/>
  <c r="BB47" i="1"/>
  <c r="BB46" i="1" s="1"/>
  <c r="AP109" i="1"/>
  <c r="AP108" i="1" s="1"/>
  <c r="AD77" i="1"/>
  <c r="AD76" i="1" s="1"/>
  <c r="Z41" i="1"/>
  <c r="Z40" i="1" s="1"/>
  <c r="S41" i="1"/>
  <c r="S40" i="1" s="1"/>
  <c r="Q27" i="1"/>
  <c r="Q26" i="1" s="1"/>
  <c r="AX77" i="1"/>
  <c r="AX76" i="1" s="1"/>
  <c r="AY41" i="1"/>
  <c r="AY40" i="1" s="1"/>
  <c r="AW19" i="1"/>
  <c r="AB109" i="1"/>
  <c r="AB108" i="1" s="1"/>
  <c r="AM77" i="1"/>
  <c r="AM76" i="1" s="1"/>
  <c r="AW109" i="1"/>
  <c r="AW108" i="1" s="1"/>
  <c r="BN19" i="1"/>
  <c r="AT109" i="1"/>
  <c r="AT108" i="1" s="1"/>
  <c r="AH47" i="1"/>
  <c r="AH46" i="1" s="1"/>
  <c r="AI19" i="1"/>
  <c r="BH146" i="1"/>
  <c r="BH145" i="1" s="1"/>
  <c r="AQ47" i="6"/>
  <c r="AQ46" i="6" s="1"/>
  <c r="AV26" i="6"/>
  <c r="AV18" i="6" s="1"/>
  <c r="BE109" i="1"/>
  <c r="BE108" i="1" s="1"/>
  <c r="BI109" i="6"/>
  <c r="BI108" i="6" s="1"/>
  <c r="BI154" i="6"/>
  <c r="BI153" i="6" s="1"/>
  <c r="BG41" i="6"/>
  <c r="BG40" i="6" s="1"/>
  <c r="AE19" i="6"/>
  <c r="BD27" i="6"/>
  <c r="BD26" i="6" s="1"/>
  <c r="BD18" i="6" s="1"/>
  <c r="AR14" i="6"/>
  <c r="AR13" i="6" s="1"/>
  <c r="AR12" i="6" s="1"/>
  <c r="AF47" i="6"/>
  <c r="AF46" i="6" s="1"/>
  <c r="AF154" i="6"/>
  <c r="AF153" i="6" s="1"/>
  <c r="AQ154" i="6"/>
  <c r="AQ153" i="6" s="1"/>
  <c r="AE142" i="6"/>
  <c r="AE141" i="6" s="1"/>
  <c r="AE140" i="6" s="1"/>
  <c r="S27" i="6"/>
  <c r="S26" i="6" s="1"/>
  <c r="S18" i="6" s="1"/>
  <c r="BN47" i="6"/>
  <c r="BN46" i="6" s="1"/>
  <c r="BB41" i="6"/>
  <c r="BB40" i="6" s="1"/>
  <c r="AP77" i="6"/>
  <c r="AP76" i="6" s="1"/>
  <c r="AP146" i="6"/>
  <c r="AP145" i="6" s="1"/>
  <c r="BM77" i="6"/>
  <c r="BM76" i="6" s="1"/>
  <c r="BM146" i="6"/>
  <c r="BM145" i="6" s="1"/>
  <c r="BM140" i="6" s="1"/>
  <c r="AO47" i="6"/>
  <c r="AO46" i="6" s="1"/>
  <c r="AO109" i="6"/>
  <c r="AO108" i="6" s="1"/>
  <c r="AC41" i="6"/>
  <c r="AC40" i="6" s="1"/>
  <c r="AB14" i="6"/>
  <c r="AB13" i="6" s="1"/>
  <c r="AB12" i="6" s="1"/>
  <c r="BL77" i="6"/>
  <c r="BL76" i="6" s="1"/>
  <c r="BL146" i="6"/>
  <c r="BL145" i="6" s="1"/>
  <c r="BL140" i="6" s="1"/>
  <c r="AN27" i="6"/>
  <c r="AN26" i="6" s="1"/>
  <c r="AB142" i="6"/>
  <c r="AB141" i="6" s="1"/>
  <c r="AM19" i="6"/>
  <c r="Q18" i="6"/>
  <c r="Q11" i="6" s="1"/>
  <c r="AL41" i="6"/>
  <c r="AL40" i="6" s="1"/>
  <c r="AK27" i="6"/>
  <c r="AK26" i="6" s="1"/>
  <c r="BH109" i="6"/>
  <c r="BH108" i="6" s="1"/>
  <c r="AU41" i="6"/>
  <c r="AU40" i="6" s="1"/>
  <c r="AH142" i="6"/>
  <c r="AH141" i="6" s="1"/>
  <c r="AS27" i="6"/>
  <c r="AS26" i="6" s="1"/>
  <c r="AG27" i="6"/>
  <c r="AG26" i="6" s="1"/>
  <c r="AG109" i="6"/>
  <c r="AG108" i="6" s="1"/>
  <c r="AG146" i="6"/>
  <c r="AG145" i="6" s="1"/>
  <c r="Y27" i="1"/>
  <c r="Y26" i="1" s="1"/>
  <c r="AS47" i="1"/>
  <c r="AS46" i="1" s="1"/>
  <c r="AG109" i="1"/>
  <c r="AG108" i="1" s="1"/>
  <c r="U142" i="1"/>
  <c r="U141" i="1" s="1"/>
  <c r="BF19" i="1"/>
  <c r="Y154" i="1"/>
  <c r="Y153" i="1" s="1"/>
  <c r="X27" i="1"/>
  <c r="X26" i="1" s="1"/>
  <c r="BC109" i="1"/>
  <c r="BC108" i="1" s="1"/>
  <c r="AQ154" i="1"/>
  <c r="AQ153" i="1" s="1"/>
  <c r="R109" i="1"/>
  <c r="R108" i="1" s="1"/>
  <c r="X47" i="1"/>
  <c r="X46" i="1" s="1"/>
  <c r="AF19" i="1"/>
  <c r="Z109" i="1"/>
  <c r="Z108" i="1" s="1"/>
  <c r="BG146" i="1"/>
  <c r="BG145" i="1" s="1"/>
  <c r="AC77" i="1"/>
  <c r="AC76" i="1" s="1"/>
  <c r="AX109" i="1"/>
  <c r="AX108" i="1" s="1"/>
  <c r="BI77" i="1"/>
  <c r="BI76" i="1" s="1"/>
  <c r="AQ19" i="1"/>
  <c r="BL14" i="1"/>
  <c r="BL13" i="1" s="1"/>
  <c r="BL12" i="1" s="1"/>
  <c r="BL154" i="1"/>
  <c r="BL153" i="1" s="1"/>
  <c r="AN146" i="1"/>
  <c r="AN145" i="1" s="1"/>
  <c r="AK77" i="1"/>
  <c r="AK76" i="1" s="1"/>
  <c r="X41" i="1"/>
  <c r="X40" i="1" s="1"/>
  <c r="BH19" i="1"/>
  <c r="AC19" i="1"/>
  <c r="AH77" i="1"/>
  <c r="AH76" i="1" s="1"/>
  <c r="BM109" i="6"/>
  <c r="BM108" i="6" s="1"/>
  <c r="AK18" i="6"/>
  <c r="BE27" i="6"/>
  <c r="BE26" i="6" s="1"/>
  <c r="BE18" i="6" s="1"/>
  <c r="BE11" i="6" s="1"/>
  <c r="AE109" i="6"/>
  <c r="AE108" i="6" s="1"/>
  <c r="BB47" i="6"/>
  <c r="BB46" i="6" s="1"/>
  <c r="BI14" i="6"/>
  <c r="BI13" i="6" s="1"/>
  <c r="BI12" i="6" s="1"/>
  <c r="BF140" i="6"/>
  <c r="H12" i="8"/>
  <c r="H11" i="8" s="1"/>
  <c r="G16" i="8"/>
  <c r="BI142" i="6"/>
  <c r="BI141" i="6" s="1"/>
  <c r="BI140" i="6" s="1"/>
  <c r="BI27" i="6"/>
  <c r="BI26" i="6" s="1"/>
  <c r="BI18" i="6" s="1"/>
  <c r="BI11" i="6" s="1"/>
  <c r="AR146" i="6"/>
  <c r="AR145" i="6" s="1"/>
  <c r="AF27" i="6"/>
  <c r="AF26" i="6" s="1"/>
  <c r="AF77" i="6"/>
  <c r="AF76" i="6" s="1"/>
  <c r="BC27" i="6"/>
  <c r="BC26" i="6" s="1"/>
  <c r="BC18" i="6" s="1"/>
  <c r="BC11" i="6" s="1"/>
  <c r="BC142" i="6"/>
  <c r="BC141" i="6" s="1"/>
  <c r="BC140" i="6" s="1"/>
  <c r="AQ77" i="6"/>
  <c r="AQ76" i="6" s="1"/>
  <c r="AE27" i="6"/>
  <c r="AE26" i="6" s="1"/>
  <c r="AE47" i="6"/>
  <c r="AE46" i="6" s="1"/>
  <c r="S41" i="6"/>
  <c r="S40" i="6" s="1"/>
  <c r="BB146" i="6"/>
  <c r="BB145" i="6" s="1"/>
  <c r="AP47" i="6"/>
  <c r="AP46" i="6" s="1"/>
  <c r="AD27" i="6"/>
  <c r="AD26" i="6" s="1"/>
  <c r="BM27" i="6"/>
  <c r="BM26" i="6" s="1"/>
  <c r="BM47" i="6"/>
  <c r="BM46" i="6" s="1"/>
  <c r="BM45" i="6" s="1"/>
  <c r="BA109" i="6"/>
  <c r="BA108" i="6" s="1"/>
  <c r="BA146" i="6"/>
  <c r="BA145" i="6" s="1"/>
  <c r="BA140" i="6" s="1"/>
  <c r="AO19" i="6"/>
  <c r="AC77" i="6"/>
  <c r="AC76" i="6" s="1"/>
  <c r="AZ41" i="6"/>
  <c r="AZ40" i="6" s="1"/>
  <c r="BK142" i="6"/>
  <c r="BK141" i="6" s="1"/>
  <c r="BK140" i="6" s="1"/>
  <c r="AM41" i="6"/>
  <c r="AM40" i="6" s="1"/>
  <c r="AX109" i="6"/>
  <c r="AX108" i="6" s="1"/>
  <c r="AX154" i="6"/>
  <c r="AX153" i="6" s="1"/>
  <c r="AW27" i="6"/>
  <c r="AW26" i="6" s="1"/>
  <c r="AK109" i="6"/>
  <c r="AK108" i="6" s="1"/>
  <c r="AK142" i="6"/>
  <c r="AK141" i="6" s="1"/>
  <c r="AK140" i="6" s="1"/>
  <c r="Y77" i="6"/>
  <c r="Y76" i="6" s="1"/>
  <c r="Y45" i="6" s="1"/>
  <c r="BH41" i="6"/>
  <c r="BH40" i="6" s="1"/>
  <c r="BH140" i="6"/>
  <c r="AV142" i="6"/>
  <c r="AV141" i="6" s="1"/>
  <c r="AJ14" i="6"/>
  <c r="AJ13" i="6" s="1"/>
  <c r="AJ12" i="6" s="1"/>
  <c r="X47" i="6"/>
  <c r="X46" i="6" s="1"/>
  <c r="AU109" i="6"/>
  <c r="AU108" i="6" s="1"/>
  <c r="W109" i="6"/>
  <c r="W108" i="6" s="1"/>
  <c r="AH77" i="6"/>
  <c r="AH76" i="6" s="1"/>
  <c r="V154" i="6"/>
  <c r="V153" i="6" s="1"/>
  <c r="AG41" i="6"/>
  <c r="AG40" i="6" s="1"/>
  <c r="AG154" i="6"/>
  <c r="AG153" i="6" s="1"/>
  <c r="S27" i="1"/>
  <c r="S26" i="1" s="1"/>
  <c r="AS142" i="1"/>
  <c r="AS141" i="1" s="1"/>
  <c r="AG146" i="1"/>
  <c r="AG145" i="1" s="1"/>
  <c r="V19" i="1"/>
  <c r="X14" i="1"/>
  <c r="X13" i="1" s="1"/>
  <c r="X12" i="1" s="1"/>
  <c r="AL146" i="1"/>
  <c r="AL145" i="1" s="1"/>
  <c r="BC142" i="1"/>
  <c r="BC141" i="1" s="1"/>
  <c r="Q109" i="1"/>
  <c r="Q108" i="1" s="1"/>
  <c r="R142" i="1"/>
  <c r="R141" i="1" s="1"/>
  <c r="BJ142" i="1"/>
  <c r="BJ141" i="1" s="1"/>
  <c r="Y41" i="1"/>
  <c r="Y40" i="1" s="1"/>
  <c r="AK19" i="1"/>
  <c r="AN109" i="1"/>
  <c r="AN108" i="1" s="1"/>
  <c r="AM47" i="1"/>
  <c r="AM46" i="1" s="1"/>
  <c r="AW77" i="1"/>
  <c r="AW76" i="1" s="1"/>
  <c r="AW154" i="1"/>
  <c r="AW153" i="1" s="1"/>
  <c r="BA47" i="1"/>
  <c r="BA46" i="1" s="1"/>
  <c r="BB19" i="1"/>
  <c r="BK27" i="1"/>
  <c r="BK26" i="1" s="1"/>
  <c r="W19" i="1"/>
  <c r="BH77" i="1"/>
  <c r="BH76" i="1" s="1"/>
  <c r="AV77" i="1"/>
  <c r="AV76" i="1" s="1"/>
  <c r="N18" i="1" a="1"/>
  <c r="N18" i="1" s="1"/>
  <c r="O18" i="1" s="1" a="1"/>
  <c r="O18" i="1" s="1"/>
  <c r="AR77" i="6"/>
  <c r="AR76" i="6" s="1"/>
  <c r="L140" i="6"/>
  <c r="N140" i="6" s="1" a="1"/>
  <c r="N140" i="6" s="1"/>
  <c r="O140" i="6" s="1" a="1"/>
  <c r="O140" i="6" s="1"/>
  <c r="BI77" i="6"/>
  <c r="BI76" i="6" s="1"/>
  <c r="BF27" i="6"/>
  <c r="BF26" i="6" s="1"/>
  <c r="BG109" i="6"/>
  <c r="BG108" i="6" s="1"/>
  <c r="BE47" i="6"/>
  <c r="BE46" i="6" s="1"/>
  <c r="BE45" i="6" s="1"/>
  <c r="AF19" i="6"/>
  <c r="AF18" i="6" s="1"/>
  <c r="AQ14" i="6"/>
  <c r="AQ13" i="6" s="1"/>
  <c r="AQ12" i="6" s="1"/>
  <c r="AE77" i="6"/>
  <c r="AE76" i="6" s="1"/>
  <c r="BB14" i="6"/>
  <c r="BB13" i="6" s="1"/>
  <c r="BB12" i="6" s="1"/>
  <c r="X18" i="6"/>
  <c r="BA154" i="6"/>
  <c r="BA153" i="6" s="1"/>
  <c r="AO77" i="6"/>
  <c r="AO76" i="6" s="1"/>
  <c r="BL154" i="6"/>
  <c r="BL153" i="6" s="1"/>
  <c r="AZ77" i="6"/>
  <c r="AZ76" i="6" s="1"/>
  <c r="AN47" i="6"/>
  <c r="AN46" i="6" s="1"/>
  <c r="AN45" i="6" s="1"/>
  <c r="AB154" i="6"/>
  <c r="AB153" i="6" s="1"/>
  <c r="BK19" i="6"/>
  <c r="AX19" i="6"/>
  <c r="AX18" i="6" s="1"/>
  <c r="AL77" i="6"/>
  <c r="AL76" i="6" s="1"/>
  <c r="Z140" i="6"/>
  <c r="AW14" i="6"/>
  <c r="AW13" i="6" s="1"/>
  <c r="AW12" i="6" s="1"/>
  <c r="AW77" i="6"/>
  <c r="AW76" i="6" s="1"/>
  <c r="AK77" i="6"/>
  <c r="AK76" i="6" s="1"/>
  <c r="AU27" i="6"/>
  <c r="AU26" i="6" s="1"/>
  <c r="AU77" i="6"/>
  <c r="AU76" i="6" s="1"/>
  <c r="AI154" i="6"/>
  <c r="AI153" i="6" s="1"/>
  <c r="W77" i="6"/>
  <c r="W76" i="6" s="1"/>
  <c r="AT19" i="6"/>
  <c r="AT18" i="6" s="1"/>
  <c r="AT41" i="6"/>
  <c r="AT40" i="6" s="1"/>
  <c r="AH146" i="6"/>
  <c r="AH145" i="6" s="1"/>
  <c r="AH154" i="6"/>
  <c r="AH153" i="6" s="1"/>
  <c r="V146" i="6"/>
  <c r="V145" i="6" s="1"/>
  <c r="V140" i="6" s="1"/>
  <c r="AS47" i="6"/>
  <c r="AS46" i="6" s="1"/>
  <c r="AS45" i="6" s="1"/>
  <c r="AG19" i="6"/>
  <c r="AG18" i="6" s="1"/>
  <c r="U109" i="6"/>
  <c r="U108" i="6" s="1"/>
  <c r="BE154" i="1"/>
  <c r="BE153" i="1" s="1"/>
  <c r="AS77" i="1"/>
  <c r="AS76" i="1" s="1"/>
  <c r="U77" i="1"/>
  <c r="U76" i="1" s="1"/>
  <c r="R14" i="1"/>
  <c r="R13" i="1" s="1"/>
  <c r="R12" i="1" s="1"/>
  <c r="AR146" i="1"/>
  <c r="AR145" i="1" s="1"/>
  <c r="AF47" i="1"/>
  <c r="AF46" i="1" s="1"/>
  <c r="T154" i="1"/>
  <c r="T153" i="1" s="1"/>
  <c r="AQ77" i="1"/>
  <c r="AQ76" i="1" s="1"/>
  <c r="BF146" i="1"/>
  <c r="BF145" i="1" s="1"/>
  <c r="Z146" i="1"/>
  <c r="Z145" i="1" s="1"/>
  <c r="BG109" i="1"/>
  <c r="BG108" i="1" s="1"/>
  <c r="BG142" i="1"/>
  <c r="BG141" i="1" s="1"/>
  <c r="BM154" i="1"/>
  <c r="BM153" i="1" s="1"/>
  <c r="BA154" i="1"/>
  <c r="BA153" i="1" s="1"/>
  <c r="AO109" i="1"/>
  <c r="AO108" i="1" s="1"/>
  <c r="AO154" i="1"/>
  <c r="AO153" i="1" s="1"/>
  <c r="AE19" i="1"/>
  <c r="AB142" i="1"/>
  <c r="AB141" i="1" s="1"/>
  <c r="AU47" i="1"/>
  <c r="AU46" i="1" s="1"/>
  <c r="AI109" i="1"/>
  <c r="AI108" i="1" s="1"/>
  <c r="AI47" i="1"/>
  <c r="AI46" i="1" s="1"/>
  <c r="BL27" i="1"/>
  <c r="BL26" i="1" s="1"/>
  <c r="BK47" i="1"/>
  <c r="BK46" i="1" s="1"/>
  <c r="AK154" i="1"/>
  <c r="AK153" i="1" s="1"/>
  <c r="AV19" i="1"/>
  <c r="AT142" i="1"/>
  <c r="AT141" i="1" s="1"/>
  <c r="BE27" i="1"/>
  <c r="BE26" i="1" s="1"/>
  <c r="Q19" i="1"/>
  <c r="BH47" i="1"/>
  <c r="BH46" i="1" s="1"/>
  <c r="N26" i="1" a="1"/>
  <c r="N26" i="1" s="1"/>
  <c r="O26" i="1" s="1" a="1"/>
  <c r="O26" i="1" s="1"/>
  <c r="BI47" i="6"/>
  <c r="BI46" i="6" s="1"/>
  <c r="BI45" i="6" s="1"/>
  <c r="R11" i="6"/>
  <c r="AA140" i="6"/>
  <c r="U18" i="6"/>
  <c r="BD142" i="6"/>
  <c r="BD141" i="6" s="1"/>
  <c r="BD140" i="6" s="1"/>
  <c r="AR27" i="6"/>
  <c r="AR26" i="6" s="1"/>
  <c r="AR18" i="6" s="1"/>
  <c r="AR11" i="6" s="1"/>
  <c r="AF41" i="6"/>
  <c r="AF40" i="6" s="1"/>
  <c r="AE146" i="6"/>
  <c r="AE145" i="6" s="1"/>
  <c r="BN109" i="6"/>
  <c r="BN108" i="6" s="1"/>
  <c r="L18" i="6"/>
  <c r="N18" i="6" s="1" a="1"/>
  <c r="N18" i="6" s="1"/>
  <c r="O18" i="6" s="1" a="1"/>
  <c r="O18" i="6" s="1"/>
  <c r="BM19" i="6"/>
  <c r="BM18" i="6" s="1"/>
  <c r="BK47" i="6"/>
  <c r="BK46" i="6" s="1"/>
  <c r="BK45" i="6" s="1"/>
  <c r="AM140" i="6"/>
  <c r="BA14" i="6"/>
  <c r="BA13" i="6" s="1"/>
  <c r="BA12" i="6" s="1"/>
  <c r="AX140" i="6"/>
  <c r="AW142" i="6"/>
  <c r="AW141" i="6" s="1"/>
  <c r="AW140" i="6" s="1"/>
  <c r="AK41" i="6"/>
  <c r="AK40" i="6" s="1"/>
  <c r="AV47" i="6"/>
  <c r="AV46" i="6" s="1"/>
  <c r="AV45" i="6" s="1"/>
  <c r="AJ27" i="6"/>
  <c r="AJ26" i="6" s="1"/>
  <c r="AJ18" i="6" s="1"/>
  <c r="AJ109" i="6"/>
  <c r="AJ108" i="6" s="1"/>
  <c r="AI109" i="6"/>
  <c r="AI108" i="6" s="1"/>
  <c r="W146" i="6"/>
  <c r="W145" i="6" s="1"/>
  <c r="W140" i="6" s="1"/>
  <c r="AT109" i="6"/>
  <c r="AT108" i="6" s="1"/>
  <c r="AH27" i="6"/>
  <c r="AH26" i="6" s="1"/>
  <c r="AH18" i="6" s="1"/>
  <c r="AH47" i="6"/>
  <c r="AH46" i="6" s="1"/>
  <c r="AG142" i="6"/>
  <c r="AG141" i="6" s="1"/>
  <c r="BL47" i="1"/>
  <c r="BL46" i="1" s="1"/>
  <c r="AL109" i="1"/>
  <c r="AL108" i="1" s="1"/>
  <c r="T41" i="1"/>
  <c r="T40" i="1" s="1"/>
  <c r="BC77" i="1"/>
  <c r="BC76" i="1" s="1"/>
  <c r="AQ109" i="1"/>
  <c r="AQ108" i="1" s="1"/>
  <c r="AE146" i="1"/>
  <c r="AE145" i="1" s="1"/>
  <c r="S154" i="1"/>
  <c r="S153" i="1" s="1"/>
  <c r="AD109" i="1"/>
  <c r="AD108" i="1" s="1"/>
  <c r="BF77" i="1"/>
  <c r="BF76" i="1" s="1"/>
  <c r="BF109" i="1"/>
  <c r="BF108" i="1" s="1"/>
  <c r="BM27" i="1"/>
  <c r="BM26" i="1" s="1"/>
  <c r="AX146" i="1"/>
  <c r="AX145" i="1" s="1"/>
  <c r="BI154" i="1"/>
  <c r="BI153" i="1" s="1"/>
  <c r="Y19" i="1"/>
  <c r="AZ146" i="1"/>
  <c r="AZ145" i="1" s="1"/>
  <c r="Q47" i="1"/>
  <c r="Q46" i="1" s="1"/>
  <c r="BF27" i="1"/>
  <c r="BF26" i="1" s="1"/>
  <c r="BK109" i="1"/>
  <c r="BK108" i="1" s="1"/>
  <c r="AP19" i="1"/>
  <c r="AQ41" i="1"/>
  <c r="AQ40" i="1" s="1"/>
  <c r="AY27" i="1"/>
  <c r="AY26" i="1" s="1"/>
  <c r="AV47" i="1"/>
  <c r="AV46" i="1" s="1"/>
  <c r="AV41" i="1"/>
  <c r="AV40" i="1" s="1"/>
  <c r="AV109" i="1"/>
  <c r="AV108" i="1" s="1"/>
  <c r="AJ47" i="1"/>
  <c r="AJ46" i="1" s="1"/>
  <c r="AU109" i="1"/>
  <c r="AU108" i="1" s="1"/>
  <c r="AH146" i="1"/>
  <c r="AH145" i="1" s="1"/>
  <c r="BA18" i="6"/>
  <c r="AB26" i="6"/>
  <c r="AB18" i="6" s="1"/>
  <c r="AU27" i="1"/>
  <c r="AU26" i="1" s="1"/>
  <c r="BG77" i="6"/>
  <c r="BG76" i="6" s="1"/>
  <c r="BG18" i="6"/>
  <c r="BE41" i="6"/>
  <c r="BE40" i="6" s="1"/>
  <c r="BE77" i="6"/>
  <c r="BE76" i="6" s="1"/>
  <c r="R45" i="6"/>
  <c r="BK14" i="6"/>
  <c r="BK13" i="6" s="1"/>
  <c r="BK12" i="6" s="1"/>
  <c r="BD14" i="6"/>
  <c r="BD13" i="6" s="1"/>
  <c r="BD12" i="6" s="1"/>
  <c r="AR109" i="6"/>
  <c r="AR108" i="6" s="1"/>
  <c r="AD19" i="6"/>
  <c r="BC47" i="6"/>
  <c r="BC46" i="6" s="1"/>
  <c r="BC45" i="6" s="1"/>
  <c r="AQ27" i="6"/>
  <c r="AQ26" i="6" s="1"/>
  <c r="AQ18" i="6" s="1"/>
  <c r="AD47" i="6"/>
  <c r="AD46" i="6" s="1"/>
  <c r="AD45" i="6" s="1"/>
  <c r="BL47" i="6"/>
  <c r="BL46" i="6" s="1"/>
  <c r="AZ109" i="6"/>
  <c r="AZ108" i="6" s="1"/>
  <c r="AN19" i="6"/>
  <c r="AN41" i="6"/>
  <c r="AN40" i="6" s="1"/>
  <c r="AB47" i="6"/>
  <c r="AB46" i="6" s="1"/>
  <c r="BK27" i="6"/>
  <c r="BK26" i="6" s="1"/>
  <c r="AX47" i="6"/>
  <c r="AX46" i="6" s="1"/>
  <c r="AL142" i="6"/>
  <c r="AL141" i="6" s="1"/>
  <c r="AL140" i="6" s="1"/>
  <c r="AJ146" i="6"/>
  <c r="AJ145" i="6" s="1"/>
  <c r="X14" i="6"/>
  <c r="X13" i="6" s="1"/>
  <c r="X12" i="6" s="1"/>
  <c r="AI142" i="6"/>
  <c r="AI141" i="6" s="1"/>
  <c r="AI140" i="6" s="1"/>
  <c r="AT140" i="6"/>
  <c r="AS19" i="6"/>
  <c r="AS18" i="6" s="1"/>
  <c r="AS11" i="6" s="1"/>
  <c r="AT47" i="1"/>
  <c r="AT46" i="1" s="1"/>
  <c r="BE47" i="1"/>
  <c r="BE46" i="1" s="1"/>
  <c r="AS109" i="1"/>
  <c r="AS108" i="1" s="1"/>
  <c r="AS146" i="1"/>
  <c r="AS145" i="1" s="1"/>
  <c r="BA41" i="1"/>
  <c r="BA40" i="1" s="1"/>
  <c r="AL77" i="1"/>
  <c r="AL76" i="1" s="1"/>
  <c r="BC154" i="1"/>
  <c r="BC153" i="1" s="1"/>
  <c r="AE47" i="1"/>
  <c r="AE46" i="1" s="1"/>
  <c r="R47" i="1"/>
  <c r="R46" i="1" s="1"/>
  <c r="Q154" i="1"/>
  <c r="Q153" i="1" s="1"/>
  <c r="BJ47" i="1"/>
  <c r="BJ46" i="1" s="1"/>
  <c r="AY154" i="1"/>
  <c r="AY153" i="1" s="1"/>
  <c r="Z142" i="1"/>
  <c r="Z141" i="1" s="1"/>
  <c r="V146" i="1"/>
  <c r="V145" i="1" s="1"/>
  <c r="BF47" i="1"/>
  <c r="BF46" i="1" s="1"/>
  <c r="BG27" i="1"/>
  <c r="BG26" i="1" s="1"/>
  <c r="S19" i="1"/>
  <c r="AZ109" i="1"/>
  <c r="AZ108" i="1" s="1"/>
  <c r="AN142" i="1"/>
  <c r="AN141" i="1" s="1"/>
  <c r="AI77" i="1"/>
  <c r="AI76" i="1" s="1"/>
  <c r="AZ27" i="1"/>
  <c r="AZ26" i="1" s="1"/>
  <c r="AJ19" i="1"/>
  <c r="BK14" i="1"/>
  <c r="BK13" i="1" s="1"/>
  <c r="BK12" i="1" s="1"/>
  <c r="AD41" i="1"/>
  <c r="AD40" i="1" s="1"/>
  <c r="AS27" i="1"/>
  <c r="AS26" i="1" s="1"/>
  <c r="BK41" i="1"/>
  <c r="BK40" i="1" s="1"/>
  <c r="BH154" i="1"/>
  <c r="BH153" i="1" s="1"/>
  <c r="AJ109" i="1"/>
  <c r="AJ108" i="1" s="1"/>
  <c r="AH109" i="1"/>
  <c r="AH108" i="1" s="1"/>
  <c r="G12" i="8"/>
  <c r="I11" i="8"/>
  <c r="G11" i="8" s="1"/>
  <c r="BG27" i="6"/>
  <c r="BG26" i="6" s="1"/>
  <c r="BF77" i="6"/>
  <c r="BF76" i="6" s="1"/>
  <c r="BF45" i="6" s="1"/>
  <c r="AR47" i="6"/>
  <c r="AR46" i="6" s="1"/>
  <c r="AR45" i="6" s="1"/>
  <c r="AF142" i="6"/>
  <c r="AF141" i="6" s="1"/>
  <c r="AE41" i="6"/>
  <c r="AE40" i="6" s="1"/>
  <c r="S47" i="6"/>
  <c r="S46" i="6" s="1"/>
  <c r="S77" i="6"/>
  <c r="S76" i="6" s="1"/>
  <c r="BB142" i="6"/>
  <c r="BB141" i="6" s="1"/>
  <c r="BB140" i="6" s="1"/>
  <c r="AP109" i="6"/>
  <c r="AP108" i="6" s="1"/>
  <c r="AD109" i="6"/>
  <c r="AD108" i="6" s="1"/>
  <c r="AD142" i="6"/>
  <c r="AD141" i="6" s="1"/>
  <c r="AD140" i="6" s="1"/>
  <c r="BM41" i="6"/>
  <c r="BM40" i="6" s="1"/>
  <c r="AO41" i="6"/>
  <c r="AO40" i="6" s="1"/>
  <c r="AC27" i="6"/>
  <c r="AC26" i="6" s="1"/>
  <c r="AC18" i="6" s="1"/>
  <c r="AC11" i="6" s="1"/>
  <c r="AZ146" i="6"/>
  <c r="AZ145" i="6" s="1"/>
  <c r="AZ140" i="6" s="1"/>
  <c r="BK41" i="6"/>
  <c r="BK40" i="6" s="1"/>
  <c r="BK109" i="6"/>
  <c r="BK108" i="6" s="1"/>
  <c r="AY27" i="6"/>
  <c r="AY26" i="6" s="1"/>
  <c r="AY18" i="6" s="1"/>
  <c r="AY11" i="6" s="1"/>
  <c r="AX41" i="6"/>
  <c r="AX40" i="6" s="1"/>
  <c r="AX77" i="6"/>
  <c r="AX76" i="6" s="1"/>
  <c r="Z19" i="6"/>
  <c r="Z18" i="6" s="1"/>
  <c r="W14" i="6"/>
  <c r="W13" i="6" s="1"/>
  <c r="W12" i="6" s="1"/>
  <c r="AW109" i="6"/>
  <c r="AW108" i="6" s="1"/>
  <c r="AV154" i="6"/>
  <c r="AV153" i="6" s="1"/>
  <c r="AJ41" i="6"/>
  <c r="AJ40" i="6" s="1"/>
  <c r="W27" i="6"/>
  <c r="W26" i="6" s="1"/>
  <c r="W18" i="6" s="1"/>
  <c r="AZ27" i="6"/>
  <c r="AZ26" i="6" s="1"/>
  <c r="AT77" i="6"/>
  <c r="AT76" i="6" s="1"/>
  <c r="U47" i="6"/>
  <c r="U46" i="6" s="1"/>
  <c r="AB47" i="1"/>
  <c r="AB46" i="1" s="1"/>
  <c r="BD77" i="1"/>
  <c r="BD76" i="1" s="1"/>
  <c r="T146" i="1"/>
  <c r="T145" i="1" s="1"/>
  <c r="AH19" i="1"/>
  <c r="BN27" i="1"/>
  <c r="BN26" i="1" s="1"/>
  <c r="AE142" i="1"/>
  <c r="AE141" i="1" s="1"/>
  <c r="AD146" i="1"/>
  <c r="AD145" i="1" s="1"/>
  <c r="X109" i="1"/>
  <c r="X108" i="1" s="1"/>
  <c r="X146" i="1"/>
  <c r="X145" i="1" s="1"/>
  <c r="BN109" i="1"/>
  <c r="BN108" i="1" s="1"/>
  <c r="AY47" i="1"/>
  <c r="AY46" i="1" s="1"/>
  <c r="BG154" i="1"/>
  <c r="BG153" i="1" s="1"/>
  <c r="V109" i="1"/>
  <c r="V108" i="1" s="1"/>
  <c r="AN47" i="1"/>
  <c r="AN46" i="1" s="1"/>
  <c r="BA27" i="1"/>
  <c r="BA26" i="1" s="1"/>
  <c r="AC109" i="1"/>
  <c r="AC108" i="1" s="1"/>
  <c r="AA47" i="1"/>
  <c r="AA46" i="1" s="1"/>
  <c r="AX142" i="1"/>
  <c r="AX141" i="1" s="1"/>
  <c r="AT19" i="1"/>
  <c r="BL109" i="1"/>
  <c r="BL108" i="1" s="1"/>
  <c r="BL146" i="1"/>
  <c r="BL145" i="1" s="1"/>
  <c r="AB77" i="1"/>
  <c r="AB76" i="1" s="1"/>
  <c r="AB154" i="1"/>
  <c r="AB153" i="1" s="1"/>
  <c r="AM109" i="1"/>
  <c r="AM108" i="1" s="1"/>
  <c r="AM146" i="1"/>
  <c r="AM145" i="1" s="1"/>
  <c r="AT27" i="1"/>
  <c r="AT26" i="1" s="1"/>
  <c r="BK142" i="1"/>
  <c r="BK141" i="1" s="1"/>
  <c r="AD19" i="1"/>
  <c r="AT154" i="1"/>
  <c r="AT153" i="1" s="1"/>
  <c r="W41" i="1"/>
  <c r="W40" i="1" s="1"/>
  <c r="AM27" i="1"/>
  <c r="AM26" i="1" s="1"/>
  <c r="BD41" i="1"/>
  <c r="BD40" i="1" s="1"/>
  <c r="AM18" i="1" l="1"/>
  <c r="AL18" i="1"/>
  <c r="V140" i="1"/>
  <c r="AY140" i="1"/>
  <c r="AE45" i="1"/>
  <c r="AH140" i="1"/>
  <c r="BH18" i="1"/>
  <c r="AP140" i="1"/>
  <c r="AX140" i="1"/>
  <c r="AL140" i="1"/>
  <c r="BN140" i="1"/>
  <c r="AS18" i="1"/>
  <c r="U45" i="1"/>
  <c r="BL140" i="1"/>
  <c r="AR140" i="1"/>
  <c r="V18" i="1"/>
  <c r="AV140" i="1"/>
  <c r="AP18" i="1"/>
  <c r="AX18" i="1"/>
  <c r="BE140" i="1"/>
  <c r="AI140" i="1"/>
  <c r="S140" i="1"/>
  <c r="AT18" i="1"/>
  <c r="AF140" i="1"/>
  <c r="AU140" i="1"/>
  <c r="BB140" i="1"/>
  <c r="AH18" i="1"/>
  <c r="BK140" i="1"/>
  <c r="AA45" i="1"/>
  <c r="W140" i="1"/>
  <c r="AQ140" i="1"/>
  <c r="AO140" i="1"/>
  <c r="AD18" i="1"/>
  <c r="AJ18" i="1"/>
  <c r="BK18" i="1"/>
  <c r="BJ18" i="1"/>
  <c r="BM45" i="1"/>
  <c r="BB18" i="1"/>
  <c r="AR18" i="1"/>
  <c r="BI140" i="1"/>
  <c r="AM140" i="1"/>
  <c r="AF45" i="1"/>
  <c r="BH140" i="1"/>
  <c r="BD45" i="1"/>
  <c r="AJ140" i="1"/>
  <c r="BG45" i="1"/>
  <c r="AA140" i="1"/>
  <c r="AG140" i="1"/>
  <c r="AC140" i="1"/>
  <c r="BE18" i="1"/>
  <c r="AS140" i="1"/>
  <c r="AA18" i="1"/>
  <c r="Y140" i="1"/>
  <c r="BD140" i="1"/>
  <c r="BA140" i="1"/>
  <c r="AB18" i="1"/>
  <c r="T18" i="1"/>
  <c r="BD18" i="1"/>
  <c r="AZ18" i="1"/>
  <c r="BM140" i="1"/>
  <c r="BC18" i="1"/>
  <c r="AE140" i="1"/>
  <c r="BJ140" i="1"/>
  <c r="AW18" i="1"/>
  <c r="AK140" i="1"/>
  <c r="AK18" i="1"/>
  <c r="X18" i="1"/>
  <c r="W45" i="1"/>
  <c r="BL18" i="1"/>
  <c r="Z18" i="1"/>
  <c r="BN45" i="1"/>
  <c r="AW140" i="1"/>
  <c r="AK45" i="1"/>
  <c r="T45" i="1"/>
  <c r="BM18" i="1"/>
  <c r="AC45" i="1"/>
  <c r="U140" i="1"/>
  <c r="AO18" i="1"/>
  <c r="AG18" i="1"/>
  <c r="T140" i="1"/>
  <c r="BF140" i="1"/>
  <c r="AN18" i="1"/>
  <c r="AB45" i="1"/>
  <c r="AY18" i="1"/>
  <c r="AU45" i="1"/>
  <c r="V45" i="1"/>
  <c r="AY45" i="1"/>
  <c r="AB140" i="1"/>
  <c r="BI18" i="1"/>
  <c r="R140" i="1"/>
  <c r="Q140" i="1"/>
  <c r="Q18" i="1"/>
  <c r="W11" i="6"/>
  <c r="BN11" i="6"/>
  <c r="BH11" i="6"/>
  <c r="Y11" i="6"/>
  <c r="AH11" i="6"/>
  <c r="AA11" i="6"/>
  <c r="AW45" i="1"/>
  <c r="AD140" i="1"/>
  <c r="AI11" i="6"/>
  <c r="AW45" i="6"/>
  <c r="AL45" i="1"/>
  <c r="AZ140" i="1"/>
  <c r="AD45" i="1"/>
  <c r="U11" i="6"/>
  <c r="AK11" i="6"/>
  <c r="AJ140" i="6"/>
  <c r="BI45" i="1"/>
  <c r="AU45" i="6"/>
  <c r="Z45" i="6"/>
  <c r="T18" i="6"/>
  <c r="T11" i="6" s="1"/>
  <c r="AN140" i="1"/>
  <c r="AQ18" i="1"/>
  <c r="AH140" i="6"/>
  <c r="AM45" i="6"/>
  <c r="AQ140" i="6"/>
  <c r="AU18" i="6"/>
  <c r="AU11" i="6" s="1"/>
  <c r="AX45" i="1"/>
  <c r="AQ45" i="1"/>
  <c r="BL45" i="6"/>
  <c r="AI45" i="1"/>
  <c r="AF45" i="6"/>
  <c r="AF11" i="6" s="1"/>
  <c r="BB45" i="1"/>
  <c r="AG45" i="6"/>
  <c r="AG11" i="6" s="1"/>
  <c r="BL11" i="6"/>
  <c r="BD45" i="6"/>
  <c r="BD11" i="6" s="1"/>
  <c r="S18" i="1"/>
  <c r="AD18" i="6"/>
  <c r="AD11" i="6" s="1"/>
  <c r="Q45" i="1"/>
  <c r="BH45" i="1"/>
  <c r="AE18" i="1"/>
  <c r="BK18" i="6"/>
  <c r="BK11" i="6" s="1"/>
  <c r="W18" i="1"/>
  <c r="AO45" i="6"/>
  <c r="AQ45" i="6"/>
  <c r="AQ11" i="6" s="1"/>
  <c r="AZ45" i="1"/>
  <c r="AU18" i="1"/>
  <c r="Y45" i="1"/>
  <c r="AJ45" i="6"/>
  <c r="AJ11" i="6" s="1"/>
  <c r="BG18" i="1"/>
  <c r="AO45" i="1"/>
  <c r="V45" i="6"/>
  <c r="AT11" i="6"/>
  <c r="S45" i="1"/>
  <c r="AG45" i="1"/>
  <c r="BM11" i="6"/>
  <c r="BF18" i="1"/>
  <c r="AX45" i="6"/>
  <c r="AX11" i="6" s="1"/>
  <c r="Y18" i="1"/>
  <c r="BC140" i="1"/>
  <c r="AE18" i="6"/>
  <c r="AE11" i="6" s="1"/>
  <c r="AI18" i="1"/>
  <c r="BH45" i="6"/>
  <c r="BA18" i="1"/>
  <c r="Z45" i="1"/>
  <c r="Z11" i="6"/>
  <c r="AP45" i="6"/>
  <c r="AP11" i="6" s="1"/>
  <c r="AJ45" i="1"/>
  <c r="AT140" i="1"/>
  <c r="BA45" i="1"/>
  <c r="X45" i="6"/>
  <c r="X11" i="6" s="1"/>
  <c r="AC18" i="1"/>
  <c r="AH45" i="1"/>
  <c r="V18" i="6"/>
  <c r="U18" i="1"/>
  <c r="AB45" i="6"/>
  <c r="AB11" i="6" s="1"/>
  <c r="AE45" i="6"/>
  <c r="AS45" i="1"/>
  <c r="AM18" i="6"/>
  <c r="AL45" i="6"/>
  <c r="AL11" i="6" s="1"/>
  <c r="AP45" i="1"/>
  <c r="BF18" i="6"/>
  <c r="BF11" i="6" s="1"/>
  <c r="AK45" i="6"/>
  <c r="AZ45" i="6"/>
  <c r="BA45" i="6"/>
  <c r="BA11" i="6" s="1"/>
  <c r="AW11" i="6"/>
  <c r="R45" i="1"/>
  <c r="BF45" i="1"/>
  <c r="S45" i="6"/>
  <c r="S11" i="6" s="1"/>
  <c r="AV18" i="1"/>
  <c r="U45" i="6"/>
  <c r="BG140" i="1"/>
  <c r="AV140" i="6"/>
  <c r="AV11" i="6" s="1"/>
  <c r="AF18" i="1"/>
  <c r="AB140" i="6"/>
  <c r="BN18" i="1"/>
  <c r="AT45" i="6"/>
  <c r="AZ18" i="6"/>
  <c r="AZ11" i="6" s="1"/>
  <c r="BG45" i="6"/>
  <c r="BG11" i="6" s="1"/>
  <c r="AP140" i="6"/>
  <c r="X140" i="1"/>
  <c r="AR45" i="1"/>
  <c r="AN45" i="1"/>
  <c r="Z140" i="1"/>
  <c r="BL45" i="1"/>
  <c r="BE45" i="1"/>
  <c r="AG140" i="6"/>
  <c r="AF140" i="6"/>
  <c r="BJ45" i="1"/>
  <c r="AT45" i="1"/>
  <c r="AN18" i="6"/>
  <c r="AN11" i="6" s="1"/>
  <c r="AV45" i="1"/>
  <c r="AH45" i="6"/>
  <c r="BK45" i="1"/>
  <c r="AM45" i="1"/>
  <c r="AO18" i="6"/>
  <c r="AO11" i="6" s="1"/>
  <c r="BB45" i="6"/>
  <c r="BB11" i="6" s="1"/>
  <c r="X45" i="1"/>
  <c r="BN45" i="6"/>
  <c r="BC45" i="1"/>
  <c r="L11" i="6"/>
  <c r="N11" i="6" s="1" a="1"/>
  <c r="N11" i="6" s="1"/>
  <c r="O11" i="6" s="1" a="1"/>
  <c r="O11" i="6" s="1"/>
  <c r="AH11" i="1" l="1"/>
  <c r="AR11" i="1"/>
  <c r="AS11" i="1"/>
  <c r="AL11" i="1"/>
  <c r="BH11" i="1"/>
  <c r="AX11" i="1"/>
  <c r="AB11" i="1"/>
  <c r="AA11" i="1"/>
  <c r="V11" i="1"/>
  <c r="BB11" i="1"/>
  <c r="BD11" i="1"/>
  <c r="AD11" i="1"/>
  <c r="AP11" i="1"/>
  <c r="AM11" i="1"/>
  <c r="BJ11" i="1"/>
  <c r="AE11" i="1"/>
  <c r="BE11" i="1"/>
  <c r="S11" i="1"/>
  <c r="AJ11" i="1"/>
  <c r="BK11" i="1"/>
  <c r="BM11" i="1"/>
  <c r="AT11" i="1"/>
  <c r="BI11" i="1"/>
  <c r="T11" i="1"/>
  <c r="Y11" i="1"/>
  <c r="AZ11" i="1"/>
  <c r="AG11" i="1"/>
  <c r="AC11" i="1"/>
  <c r="AO11" i="1"/>
  <c r="AK11" i="1"/>
  <c r="U11" i="1"/>
  <c r="BC11" i="1"/>
  <c r="AF11" i="1"/>
  <c r="AY11" i="1"/>
  <c r="AU11" i="1"/>
  <c r="BN11" i="1"/>
  <c r="Z11" i="1"/>
  <c r="X11" i="1"/>
  <c r="W11" i="1"/>
  <c r="BL11" i="1"/>
  <c r="AI11" i="1"/>
  <c r="AW11" i="1"/>
  <c r="BG11" i="1"/>
  <c r="R11" i="1"/>
  <c r="Q11" i="1"/>
  <c r="AM11" i="6"/>
  <c r="V11" i="6"/>
  <c r="AQ11" i="1"/>
  <c r="BF11" i="1"/>
  <c r="BA11" i="1"/>
  <c r="AN11" i="1"/>
  <c r="AV11" i="1"/>
  <c r="D3" i="4" l="1"/>
  <c r="E3" i="4"/>
  <c r="B3" i="4"/>
  <c r="C3" i="4"/>
  <c r="C2" i="4"/>
  <c r="B2" i="4"/>
  <c r="D2" i="4"/>
  <c r="E2" i="4"/>
  <c r="B4" i="4"/>
  <c r="C4" i="4"/>
  <c r="D4" i="4"/>
  <c r="E4" i="4"/>
  <c r="AK88" i="10"/>
  <c r="AA88" i="10"/>
  <c r="U88" i="10"/>
  <c r="U87" i="10" s="1"/>
  <c r="U68" i="10"/>
  <c r="U67" i="10" s="1"/>
  <c r="AS88" i="10"/>
  <c r="AS87" i="10" s="1"/>
  <c r="AS68" i="10"/>
  <c r="AS67" i="10" s="1"/>
  <c r="AS33" i="10"/>
  <c r="AS32" i="10" s="1"/>
  <c r="U48" i="10"/>
  <c r="U47" i="10" s="1"/>
  <c r="U14" i="10"/>
  <c r="U13" i="10" s="1"/>
  <c r="U12" i="10" s="1"/>
  <c r="U33" i="10"/>
  <c r="U32" i="10" s="1"/>
  <c r="U63" i="10"/>
  <c r="U62" i="10" s="1"/>
  <c r="U98" i="10"/>
  <c r="U97" i="10" s="1"/>
  <c r="U28" i="10" s="1"/>
  <c r="U27" i="10" s="1"/>
  <c r="U113" i="10"/>
  <c r="U112" i="10" s="1"/>
  <c r="U118" i="10" s="1"/>
  <c r="U117" i="10" s="1"/>
  <c r="U26" i="10" l="1"/>
  <c r="U11" i="10" s="1"/>
  <c r="AS26" i="10"/>
  <c r="AS11" i="10" s="1"/>
  <c r="AA68" i="10"/>
  <c r="AA87" i="10"/>
  <c r="AK68" i="10"/>
  <c r="AK87" i="10"/>
  <c r="AO88" i="10"/>
  <c r="AO68" i="10" l="1"/>
  <c r="AO87" i="10"/>
  <c r="AA33" i="10"/>
  <c r="AA32" i="10" s="1"/>
  <c r="AA67" i="10"/>
  <c r="AK33" i="10"/>
  <c r="AK32" i="10" s="1"/>
  <c r="AK67" i="10"/>
  <c r="AK26" i="10" l="1"/>
  <c r="AK11" i="10" s="1"/>
  <c r="AA26" i="10"/>
  <c r="AA11" i="10" s="1"/>
  <c r="AO33" i="10"/>
  <c r="AO32" i="10" s="1"/>
  <c r="AO67" i="10"/>
  <c r="AC33" i="10"/>
  <c r="AC32" i="10" s="1"/>
  <c r="AC68" i="10"/>
  <c r="AC67" i="10" s="1"/>
  <c r="AC88" i="10"/>
  <c r="AC87" i="10" s="1"/>
  <c r="BE33" i="10"/>
  <c r="BE32" i="10" s="1"/>
  <c r="BE68" i="10"/>
  <c r="BE67" i="10" s="1"/>
  <c r="BE88" i="10"/>
  <c r="BE87" i="10" s="1"/>
  <c r="X28" i="10"/>
  <c r="X27" i="10" s="1"/>
  <c r="X33" i="10"/>
  <c r="X32" i="10" s="1"/>
  <c r="X48" i="10"/>
  <c r="X47" i="10" s="1"/>
  <c r="X63" i="10"/>
  <c r="X62" i="10" s="1"/>
  <c r="X68" i="10"/>
  <c r="X67" i="10" s="1"/>
  <c r="X88" i="10"/>
  <c r="X87" i="10" s="1"/>
  <c r="X98" i="10"/>
  <c r="X97" i="10" s="1"/>
  <c r="X113" i="10"/>
  <c r="X112" i="10" s="1"/>
  <c r="X118" i="10"/>
  <c r="X117" i="10" s="1"/>
  <c r="AC26" i="10" l="1"/>
  <c r="AC11" i="10" s="1"/>
  <c r="BE26" i="10"/>
  <c r="BE11" i="10" s="1"/>
  <c r="X26" i="10"/>
  <c r="X11" i="10" s="1"/>
  <c r="AO26" i="10"/>
  <c r="AO11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Souza, Bernardo</author>
  </authors>
  <commentList>
    <comment ref="B2" authorId="0" shapeId="0" xr:uid="{40CC47C1-E30A-464D-B999-0D6089C286C4}">
      <text>
        <r>
          <rPr>
            <b/>
            <sz val="9"/>
            <color indexed="81"/>
            <rFont val="Segoe UI"/>
            <family val="2"/>
          </rPr>
          <t>Souza, Bernardo:</t>
        </r>
        <r>
          <rPr>
            <sz val="9"/>
            <color indexed="81"/>
            <rFont val="Segoe UI"/>
            <family val="2"/>
          </rPr>
          <t xml:space="preserve">
=SES(L23&lt;$M$3;"Concluído";E(K23&gt;$M$3;I23&lt;$M$3;L23&gt;$M$3);"Em andamento";E(L23&gt;=$M$3;J23&lt;$M$3);"Atrasado";E(L23&gt;=$M$3;J23&gt;=$M$3;I23&gt;$M$3;K23&lt;=$M$3);"Em andamento";E(L23&gt;=$M$3;J23&gt;=$M$3;I23&lt;=$M$3;K23&lt;=$M$3);"Em andamento";E(K23&gt;$M$3;I23&gt;$M$3);"Não iniciado";E(L23&gt;=$M$3;J23&gt;=$M$3;K23&gt;=$M$3;I23&lt;$M$3);"Atrasado";E(L23&gt;=$M$3;J23&gt;=$M$3;K23&gt;=$M$3;I23&gt;$M$3);"Não iniciado";E($I23&lt;=$M$3;$K23&gt;$M$3);"Atrasado")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<sst xmlns="http://schemas.openxmlformats.org/spreadsheetml/2006/main" count="2859" uniqueCount="845">
  <si>
    <t>Alvarez &amp; Marsal Infrastructure &amp; Capital Projects</t>
  </si>
  <si>
    <t>Plano de Trabalho</t>
  </si>
  <si>
    <t>Data de Atualização:</t>
  </si>
  <si>
    <t>Cliente: Gerdau</t>
  </si>
  <si>
    <t>Projeto: Diagnóstico de PAEBM &amp; Implantação GISTM</t>
  </si>
  <si>
    <t>Data: 22 de Janeiro, de 2024</t>
  </si>
  <si>
    <t>Setor: Mineração</t>
  </si>
  <si>
    <t>Revisão: 00</t>
  </si>
  <si>
    <t>Nível</t>
  </si>
  <si>
    <t>EAP</t>
  </si>
  <si>
    <t>Nível 1</t>
  </si>
  <si>
    <t>Nível 2</t>
  </si>
  <si>
    <t>Nível 3</t>
  </si>
  <si>
    <t>Nível 4</t>
  </si>
  <si>
    <t>Plano de Trabalho - A&amp;M</t>
  </si>
  <si>
    <t>Data Início
Previsto</t>
  </si>
  <si>
    <t>Data Término
Prevista</t>
  </si>
  <si>
    <t>Data Início
Real/Projetado</t>
  </si>
  <si>
    <t>Data Término
Real/Projetado</t>
  </si>
  <si>
    <t>Responsável</t>
  </si>
  <si>
    <t>Status</t>
  </si>
  <si>
    <t>F</t>
  </si>
  <si>
    <t>Restrições</t>
  </si>
  <si>
    <t>Avanço Previsto</t>
  </si>
  <si>
    <t>Avanço Realizado</t>
  </si>
  <si>
    <t>01/02/2025</t>
  </si>
  <si>
    <t>08/02/2025</t>
  </si>
  <si>
    <t>15/02/2025</t>
  </si>
  <si>
    <t>22/02/2025</t>
  </si>
  <si>
    <t>01/03/2025</t>
  </si>
  <si>
    <t>08/03/2025</t>
  </si>
  <si>
    <t>15/03/2025</t>
  </si>
  <si>
    <t>22/03/2025</t>
  </si>
  <si>
    <t>29/03/2025</t>
  </si>
  <si>
    <t>05/04/2025</t>
  </si>
  <si>
    <t>12/04/2025</t>
  </si>
  <si>
    <t>19/04/2025</t>
  </si>
  <si>
    <t>26/04/2025</t>
  </si>
  <si>
    <t>03/05/2025</t>
  </si>
  <si>
    <t>10/05/2025</t>
  </si>
  <si>
    <t>17/05/2025</t>
  </si>
  <si>
    <t>24/05/2025</t>
  </si>
  <si>
    <t>31/05/2025</t>
  </si>
  <si>
    <t>07/06/2025</t>
  </si>
  <si>
    <t>14/06/2025</t>
  </si>
  <si>
    <t>21/06/2025</t>
  </si>
  <si>
    <t>28/06/2025</t>
  </si>
  <si>
    <t>05/07/2025</t>
  </si>
  <si>
    <t>12/07/2025</t>
  </si>
  <si>
    <t>19/07/2025</t>
  </si>
  <si>
    <t>26/07/2025</t>
  </si>
  <si>
    <t>02/08/2025</t>
  </si>
  <si>
    <t>09/08/2025</t>
  </si>
  <si>
    <t>16/08/2025</t>
  </si>
  <si>
    <t>23/08/2025</t>
  </si>
  <si>
    <t>30/08/2025</t>
  </si>
  <si>
    <t>06/09/2025</t>
  </si>
  <si>
    <t>13/09/2025</t>
  </si>
  <si>
    <t>20/09/2025</t>
  </si>
  <si>
    <t>27/09/2025</t>
  </si>
  <si>
    <t>04/10/2025</t>
  </si>
  <si>
    <t>11/10/2025</t>
  </si>
  <si>
    <t>18/10/2025</t>
  </si>
  <si>
    <t>25/10/2025</t>
  </si>
  <si>
    <t>01/11/2025</t>
  </si>
  <si>
    <t>08/11/2025</t>
  </si>
  <si>
    <t>15/11/2025</t>
  </si>
  <si>
    <t>22/11/2025</t>
  </si>
  <si>
    <t>29/11/2025</t>
  </si>
  <si>
    <t>06/12/2025</t>
  </si>
  <si>
    <t>13/12/2025</t>
  </si>
  <si>
    <t>20/12/2025</t>
  </si>
  <si>
    <t>27/12/2025</t>
  </si>
  <si>
    <t>1</t>
  </si>
  <si>
    <t>-</t>
  </si>
  <si>
    <t>Arquitetura de projetos GERDAU</t>
  </si>
  <si>
    <t>1.1</t>
  </si>
  <si>
    <t>Atividades Preliminares do Projeto</t>
  </si>
  <si>
    <t>1.1.1</t>
  </si>
  <si>
    <t>1.1.1.1</t>
  </si>
  <si>
    <t>1.1.1.1.1</t>
  </si>
  <si>
    <t>Elaboração do Material de KickOff do projeto</t>
  </si>
  <si>
    <t>1.1.1.2.2</t>
  </si>
  <si>
    <t>Realizar Kick-Off do projeto com Sponsor</t>
  </si>
  <si>
    <t>1.1.1.2.3</t>
  </si>
  <si>
    <t>Realização do PIM para mobilização</t>
  </si>
  <si>
    <t>1.2</t>
  </si>
  <si>
    <t>Definição da Estratégia para Transformação dos Processos</t>
  </si>
  <si>
    <t>1.2.1</t>
  </si>
  <si>
    <t>Revisão dos Objetivos Estratégicos e Cadeia de Valor</t>
  </si>
  <si>
    <t>1.2.1.1</t>
  </si>
  <si>
    <t>Revisão dos objetivos estratégicos da Gerência</t>
  </si>
  <si>
    <t>1.2.1.1.1</t>
  </si>
  <si>
    <t>1.2.1.2</t>
  </si>
  <si>
    <t>Atividades Preliminares da Frente</t>
  </si>
  <si>
    <t>Revisão da cadeia de valor dos processos</t>
  </si>
  <si>
    <t>1.2.1.2.1</t>
  </si>
  <si>
    <t>1.2.1.3</t>
  </si>
  <si>
    <t>Definição dos principais direcionadores estratégicos para transformação de processos</t>
  </si>
  <si>
    <t>1.2.1.3.1</t>
  </si>
  <si>
    <t>1.2.2</t>
  </si>
  <si>
    <t>Entendimento Inicial dos Processos</t>
  </si>
  <si>
    <t>1.2.2.1</t>
  </si>
  <si>
    <t>Levantamento e categorização dos processos existentes</t>
  </si>
  <si>
    <t>1.2.2.1.1</t>
  </si>
  <si>
    <t xml:space="preserve">Realizar entrevista | Pilhas de rejeitos </t>
  </si>
  <si>
    <t>1.2.2.1.2</t>
  </si>
  <si>
    <t>Realizar entrevista | Hidrogeologia</t>
  </si>
  <si>
    <t>1.2.2.1.3</t>
  </si>
  <si>
    <t>Realizar entrevista | CMG</t>
  </si>
  <si>
    <t>1.2.2.1.4</t>
  </si>
  <si>
    <t>Realizar entrevista | Regulatório, Governança e Controle</t>
  </si>
  <si>
    <t>1.2.2.1.5</t>
  </si>
  <si>
    <t>Realizar entrevista | Barragens</t>
  </si>
  <si>
    <t>1.2.2.1.6</t>
  </si>
  <si>
    <t>Realizar entrevista | Financeiro</t>
  </si>
  <si>
    <t>1.2.2.1.7</t>
  </si>
  <si>
    <t>Realizar entrevista | Pilhas de estéril</t>
  </si>
  <si>
    <t>1.2.2.1.8</t>
  </si>
  <si>
    <t>Realizar entrevista | Cavas</t>
  </si>
  <si>
    <t>1.2.2.2</t>
  </si>
  <si>
    <t>Estruturação do Questionário para Diagnóstico de PAEBM</t>
  </si>
  <si>
    <t>Identificação de Ferramentas e Sistemas</t>
  </si>
  <si>
    <t>1.2.2.2.1</t>
  </si>
  <si>
    <t>1.2.2.3</t>
  </si>
  <si>
    <t>Análise de Stakeholders</t>
  </si>
  <si>
    <t>1.2.2.3.1</t>
  </si>
  <si>
    <t>Identificar as partes interessadas, seus papéis e influência nos processos.</t>
  </si>
  <si>
    <t>1.2.3</t>
  </si>
  <si>
    <t>Priorização do Portfólio de Transformação</t>
  </si>
  <si>
    <t>1.2.3.1</t>
  </si>
  <si>
    <t>Elaboração do Roadmap de Transformação de Processos</t>
  </si>
  <si>
    <t>1.2.3.1.1</t>
  </si>
  <si>
    <t>Definição de critérios de priorização dos processos a serem transformados</t>
  </si>
  <si>
    <t>1.2.3.1.2</t>
  </si>
  <si>
    <t>Elaboração da Matriz de Priorização dos processos com base em impacto, complexidade e maturidade</t>
  </si>
  <si>
    <t>1.2.3.1.3</t>
  </si>
  <si>
    <t>Elaboração do roadmap de transformação de processos</t>
  </si>
  <si>
    <t>1.3</t>
  </si>
  <si>
    <t>Desenvolvimento da Transformação dos Processos</t>
  </si>
  <si>
    <t>1.3.1</t>
  </si>
  <si>
    <t>Diagnóstico de Maturidade do Processo</t>
  </si>
  <si>
    <t>1.3.1.1</t>
  </si>
  <si>
    <t>1.3.1.1.1</t>
  </si>
  <si>
    <t>Diagnóstico do processo de Definição e verificação do sequenciamento da pilha</t>
  </si>
  <si>
    <t>1.3.1.1.2</t>
  </si>
  <si>
    <t>Diagnóstico do processo de Elaboração e atualização de PAEs e PAEBMs</t>
  </si>
  <si>
    <t>1.3.1.1.3</t>
  </si>
  <si>
    <t>Diagnóstico do processo de Controle de qualidade da Compactação</t>
  </si>
  <si>
    <t>1.3.1.1.4</t>
  </si>
  <si>
    <t>Diagnóstico do processo de Garantia de Operacionalidade de PAEs e PAEBMs</t>
  </si>
  <si>
    <t>1.3.1.1.5</t>
  </si>
  <si>
    <t>Diagnóstico do processo de Aferição dos Parâmetros do Rejeito na Planta de Filtragem</t>
  </si>
  <si>
    <t>1.3.1.1.6</t>
  </si>
  <si>
    <t>Diagnóstico do processo de Elaboração e atualização do balanço hídrico na mineração</t>
  </si>
  <si>
    <t>1.3.1.1.7</t>
  </si>
  <si>
    <t>Diagnóstico do processo de Análise de Performance Mensal das Estruturas</t>
  </si>
  <si>
    <t>1.3.1.1.8</t>
  </si>
  <si>
    <t>Diagnóstico do processo de Tratativa de Anomalias</t>
  </si>
  <si>
    <t>1.3.1.1.9</t>
  </si>
  <si>
    <t>Diagnóstico do processo de Monitoramento do Acesso de Colaboradores às Areas Críticas</t>
  </si>
  <si>
    <t>Nível 5</t>
  </si>
  <si>
    <t>1.3.1.1.10</t>
  </si>
  <si>
    <t>Diagnóstico do processo de Acompanhamento a fiscalizações e resposta a ofícios</t>
  </si>
  <si>
    <t>1.3.1.1.11</t>
  </si>
  <si>
    <t>Diagnóstico do processo de Condução de auditorias</t>
  </si>
  <si>
    <t>1.3.1.1.12</t>
  </si>
  <si>
    <t>Diagnóstico do processo de Gestão de EoR</t>
  </si>
  <si>
    <t>1.3.1.1.13</t>
  </si>
  <si>
    <t>Diagnóstico do processo de Gestão e Elaboração de estudos relacionados às Barragens e Pilhas</t>
  </si>
  <si>
    <t>1.3.1.1.14</t>
  </si>
  <si>
    <t>Diagnóstico do processo de Avaliação e garantia da adesão dos mapas à legislação</t>
  </si>
  <si>
    <t>1.3.1.1.15</t>
  </si>
  <si>
    <t>Diagnóstico do processo de Planejamento e Gestão de Simulados e Treinamentos</t>
  </si>
  <si>
    <t>1.3.1.1.16</t>
  </si>
  <si>
    <t>Diagnóstico do processo Gestão de ACO/DCO</t>
  </si>
  <si>
    <t>1.3.1.1.17</t>
  </si>
  <si>
    <t>Diagnóstico do processo de Elaboração de Projetos Geotécnicos (FEL01)</t>
  </si>
  <si>
    <t>1.3.1.1.18</t>
  </si>
  <si>
    <t>Diagnóstico do processo de Gestão de Contratadas para Manutenção e Monitoramento das Estruturas</t>
  </si>
  <si>
    <t>1.3.1.1.19</t>
  </si>
  <si>
    <t>Diagnóstico do processo de Avaliação e Garantia da Adesão aos requisitos PNSB, PESB, CEDEC e demais regulamentações vigentes</t>
  </si>
  <si>
    <t>1.3.1.1.20</t>
  </si>
  <si>
    <t>Diagnóstico do processo de gestão do monitoramento hídrico ambiental</t>
  </si>
  <si>
    <t>1.3.1.1.21</t>
  </si>
  <si>
    <t>Diagnóstico do processo de Elaboração/Atualização dos Mapas de Risco Geotécnicos</t>
  </si>
  <si>
    <t>1.3.1.1.22</t>
  </si>
  <si>
    <t>Diagnóstico do processo de Gestão dos Dados Fincanceiros da Gerência</t>
  </si>
  <si>
    <t>1.3.1.1.23</t>
  </si>
  <si>
    <t>Diagnóstico do processo de Atualização de Dados de Instrumentação Geotécnica</t>
  </si>
  <si>
    <t>1.3.1.1.24</t>
  </si>
  <si>
    <t>Diagnóstico do processo de Conformidade às Diretrizes Nacionais e Internacionais (IRMA, GISTM, TSM)</t>
  </si>
  <si>
    <t>1.3.1.1.25</t>
  </si>
  <si>
    <t>Diagnóstico do processo de Elaboração de Modelos Hidrogeológicos</t>
  </si>
  <si>
    <t>1.3.1.1.26</t>
  </si>
  <si>
    <t>Diagnóstico do processo de Validação, Acompanhamento e Verificação da Geometria de Cavas</t>
  </si>
  <si>
    <t>1.3.1.1.27</t>
  </si>
  <si>
    <t>Diagnóstico do processo de Gestão de Riscos</t>
  </si>
  <si>
    <t>1.3.1.1.28</t>
  </si>
  <si>
    <t xml:space="preserve">Diagnóstico do processo de Planejamento e execução da manutenção das estruturas </t>
  </si>
  <si>
    <t>1.3.2</t>
  </si>
  <si>
    <t>Modelagem To Be</t>
  </si>
  <si>
    <t>1.3.2.1</t>
  </si>
  <si>
    <t>1.3.2.1.1</t>
  </si>
  <si>
    <t>Modelagem (To Be) do processo de definição e verificação do sequenciamento da pilha</t>
  </si>
  <si>
    <t>1.3.2.1.2</t>
  </si>
  <si>
    <t>Modelagem (To Be) do processo de Elaboração e atualização dos PAEs e PAEBMs</t>
  </si>
  <si>
    <t>1.3.2.1.3</t>
  </si>
  <si>
    <t>Modelagem (To Be) do processo de Controle de Qualidade da compactação</t>
  </si>
  <si>
    <t>1.3.2.1.4</t>
  </si>
  <si>
    <t>Modelagem (To Be) do processo de Garantia de Operacionalidade de PAEs e PAEBMs</t>
  </si>
  <si>
    <t>1.3.2.1.5</t>
  </si>
  <si>
    <t>Modelagem (To Be) do processo de Aferição dos Parâmetros do Rejeito na Planta de Filtragem</t>
  </si>
  <si>
    <t>1.3.2.1.6</t>
  </si>
  <si>
    <t>Modelagem (To Be) do processo de Elaboração e atualização do balanço hídrico na mineração</t>
  </si>
  <si>
    <t>1.3.2.1.7</t>
  </si>
  <si>
    <t>Modelagem (To Be) do processo de Análise de Performance Mensal das Estruturas</t>
  </si>
  <si>
    <t>1.3.2.1.8</t>
  </si>
  <si>
    <t>Modelagem (To Be) do Processo de Apoio Técnico às demais áreas</t>
  </si>
  <si>
    <t>1.3.2.1.9</t>
  </si>
  <si>
    <t>Modelagem (To Be) do Proceso de Apoio Técnico à Engenharia</t>
  </si>
  <si>
    <t>1.3.2.1.10</t>
  </si>
  <si>
    <t>Modelagem (To Be) do processo de Tratativa de Anomalias</t>
  </si>
  <si>
    <t>1.3.2.1.11</t>
  </si>
  <si>
    <t xml:space="preserve"> Modelagem (To Be) do processo de Monitoramento do Acesso de Colaboradores às Areas Críticas</t>
  </si>
  <si>
    <t>1.3.2.1.12</t>
  </si>
  <si>
    <t>Modelagem (To Be) do processo de Acompanhamento a fiscalizações e resposta a ofícios</t>
  </si>
  <si>
    <t>1.3.2.1.13</t>
  </si>
  <si>
    <t>Modelagem (To Be) do processo de Condução de auditorias</t>
  </si>
  <si>
    <t>1.3.2.1.14</t>
  </si>
  <si>
    <t>Modelagem (To Be) do processo de Gestão de EoR</t>
  </si>
  <si>
    <t>1.3.2.1.15</t>
  </si>
  <si>
    <t>Modelagem (To Be) do processo de Gestão e Elaboração de estudos relacionados às Barragens e Pilhas</t>
  </si>
  <si>
    <t>1.3.2.1.16</t>
  </si>
  <si>
    <t>Modelagem (To Be) do processo de Avaliação e garantia da adesão dos mapas à legislação</t>
  </si>
  <si>
    <t>1.3.2.1.17</t>
  </si>
  <si>
    <t>Modelagem (To Be) do processo de Planejamento e Gestão de Simulados e Treinamentos</t>
  </si>
  <si>
    <t>1.3.2.1.18</t>
  </si>
  <si>
    <t>Modelagem (To Be) do processo de Gestão de ACO/DCO</t>
  </si>
  <si>
    <t>1.3.2.1.19</t>
  </si>
  <si>
    <t>Modelagem (To Be) do processo de Elaboração de Projetos Geotécnicos (FEL01)</t>
  </si>
  <si>
    <t>1.3.2.1.20</t>
  </si>
  <si>
    <t>Modelagem (To Be) do processo de Gestão de Contratadas para Manutenção e Monitoramento das Estruturas</t>
  </si>
  <si>
    <t>1.3.2.1.21</t>
  </si>
  <si>
    <t>Modelagem (To Be) do processo de Avaliação e Garantia da Adesão aos requisitos PNSB, PESB, CEDEC e demais regulamentações vigentes</t>
  </si>
  <si>
    <t>1.3.2.1.22</t>
  </si>
  <si>
    <t>Modelagem (To Be) do processo de gestão do monitoramento hídrico ambiental</t>
  </si>
  <si>
    <t>1.3.2.1.23</t>
  </si>
  <si>
    <t>Modelagem (To Be) do processo de Elaboração/Atualização dos Mapas de Risco Geotécnicos</t>
  </si>
  <si>
    <t>1.3.2.1.24</t>
  </si>
  <si>
    <t>Modelagem (To Be) do processo de Gestão dos Dados Fincanceiros da Gerência</t>
  </si>
  <si>
    <t>1.3.2.1.25</t>
  </si>
  <si>
    <t>Modelagem (To Be) do processo de Atualização de Dados de Instrumentação Geotécnica</t>
  </si>
  <si>
    <t>1.3.2.1.26</t>
  </si>
  <si>
    <t>Modelagem (To Be) do processo de Conformidade às Diretrizes Nacionais e Internacionais (IRMA, GISTM, TSM)</t>
  </si>
  <si>
    <t>1.3.2.1.27</t>
  </si>
  <si>
    <t>Modelagem (To Be) do processo de Elaboração de Modelos Hidrogeológicos</t>
  </si>
  <si>
    <t>1.3.2.1.28</t>
  </si>
  <si>
    <t>Modelagem (To Be) do processo de Validação, Acompanhamento e Verificação da Geometria de Cavas</t>
  </si>
  <si>
    <t>1.3.2.1.29</t>
  </si>
  <si>
    <t>Modelagem (To Be) do processo de Gestão de Riscos</t>
  </si>
  <si>
    <t>1.3.2.1.30</t>
  </si>
  <si>
    <t xml:space="preserve">Modelagem (To Be) do processo de Planejamento e execução da manutenção das estruturas </t>
  </si>
  <si>
    <t>1.3.3</t>
  </si>
  <si>
    <t>Transformação do Processo</t>
  </si>
  <si>
    <t>1.3.3.1</t>
  </si>
  <si>
    <t>1.3.3.1.1</t>
  </si>
  <si>
    <t>Transformação do processo de definição e verificação do sequenciamento da pilha</t>
  </si>
  <si>
    <t>1.3.3.1.2</t>
  </si>
  <si>
    <t>Transformação do processo de Elaboração e atualização dos PAEs e PAEBMs</t>
  </si>
  <si>
    <t>1.3.3.1.3</t>
  </si>
  <si>
    <t>Transformação do processo de Controle de Qualidade da compactação</t>
  </si>
  <si>
    <t>1.3.3.1.4</t>
  </si>
  <si>
    <t>Transformação do processo de Garantia de Operacionalidade de PAEs e PAEBMs</t>
  </si>
  <si>
    <t>1.3.3.1.5</t>
  </si>
  <si>
    <t>Transformação do processo de Aferição dos Parâmetros do Rejeito na Planta de Filtragem</t>
  </si>
  <si>
    <t>1.3.3.1.6</t>
  </si>
  <si>
    <t>Transformação do processo de Elaboração e atualização do balanço hídrico na mineração</t>
  </si>
  <si>
    <t>1.3.3.1.7</t>
  </si>
  <si>
    <t>Transformação do processo de Análise de Performance Mensal das Estruturas</t>
  </si>
  <si>
    <t>1.3.3.1.8</t>
  </si>
  <si>
    <t>Transformação do Processo de Apoio Técnico às demais áreas</t>
  </si>
  <si>
    <t>1.3.3.1.9</t>
  </si>
  <si>
    <t>Transformação do Proceso de Apoio Técnico à Engenharia</t>
  </si>
  <si>
    <t>1.3.3.1.10</t>
  </si>
  <si>
    <t>Transformação do processo de Tratativa de Anomalias</t>
  </si>
  <si>
    <t>1.3.3.1.11</t>
  </si>
  <si>
    <t xml:space="preserve"> Transformação do processo de Monitoramento do Acesso de Colaboradores às Areas Críticas</t>
  </si>
  <si>
    <t>1.3.3.1.12</t>
  </si>
  <si>
    <t>Transformação do processo de Acompanhamento a fiscalizações e resposta a ofícios</t>
  </si>
  <si>
    <t>1.3.3.1.13</t>
  </si>
  <si>
    <t>Transformação do processo de Condução de auditorias</t>
  </si>
  <si>
    <t>1.3.3.1.14</t>
  </si>
  <si>
    <t>Transformação do processo de Gestão de EoR</t>
  </si>
  <si>
    <t>1.3.3.1.15</t>
  </si>
  <si>
    <t>Trasnformação do processo de Gestão e Elaboração de estudos relacionados às Barragens e Pilhas</t>
  </si>
  <si>
    <t>1.3.3.1.16</t>
  </si>
  <si>
    <t>Transformação do processo de Avaliação e garantia da adesão dos mapas à legislação</t>
  </si>
  <si>
    <t>1.3.3.1.17</t>
  </si>
  <si>
    <t>Transformação do processo de Planejamento e Gestão de Simulados e Treinamentos</t>
  </si>
  <si>
    <t>1.3.3.1.18</t>
  </si>
  <si>
    <t>Transformação do processo Gestão de ACO/DCO</t>
  </si>
  <si>
    <t>1.3.3.1.19</t>
  </si>
  <si>
    <t>Transformação do processo de Elaboração de Projetos Geotécnicos (FEL01)</t>
  </si>
  <si>
    <t>1.3.3.1.20</t>
  </si>
  <si>
    <t>Transformação do processo de Gestão de Contratadas para Manutenção e Monitoramento das Estruturas</t>
  </si>
  <si>
    <t>1.3.3.1.21</t>
  </si>
  <si>
    <t>Transformação do processo de Avaliação e Garantia da Adesão aos requisitos PNSB, PESB, CEDEC e demais regulamentações vigentes</t>
  </si>
  <si>
    <t>1.3.3.1.22</t>
  </si>
  <si>
    <t>Transformação do processo de gestão do monitoramento hídrico ambiental</t>
  </si>
  <si>
    <t>1.3.3.1.23</t>
  </si>
  <si>
    <t>Transformação do processo de Elaboração/Atualização dos Mapas de Risco Geotécnicos</t>
  </si>
  <si>
    <t>1.3.3.1.24</t>
  </si>
  <si>
    <t>Transformação do processo de Gestão dos Dados Fincanceiros da Gerência</t>
  </si>
  <si>
    <t>1.3.3.1.25</t>
  </si>
  <si>
    <t>Transformação do processo de Atualização de Dados de Instrumentação Geotécnica</t>
  </si>
  <si>
    <t>1.3.3.1.26</t>
  </si>
  <si>
    <t>Transformação do processo de Conformidade às Diretrizes Nacionais e Internacionais (IRMA, GISTM, TSM)</t>
  </si>
  <si>
    <t>1.3.3.1.27</t>
  </si>
  <si>
    <t>Transformação do processo de Elaboração de Modelos Hidrogeológicos</t>
  </si>
  <si>
    <t>1.3.3.1.28</t>
  </si>
  <si>
    <t>Transformação do processo de Validação, Acompanhamento e Verificação da Geometria de Cavas</t>
  </si>
  <si>
    <t>1.3.3.1.29</t>
  </si>
  <si>
    <t>Transformação do processo de Gestão de Riscos</t>
  </si>
  <si>
    <t>1.3.3.1.30</t>
  </si>
  <si>
    <t xml:space="preserve">Transformação do processo de Planejamento e execução da manutenção das estruturas </t>
  </si>
  <si>
    <t>1.4</t>
  </si>
  <si>
    <t>Dimensionamento de Headcount</t>
  </si>
  <si>
    <t>1.4.1</t>
  </si>
  <si>
    <t>Acompanhamento e Medição de Produtividade dos Processos</t>
  </si>
  <si>
    <t>1.4.1.1</t>
  </si>
  <si>
    <t>1.4.1.1.1</t>
  </si>
  <si>
    <t>Definição dos indicadores de produtividade para cada processo</t>
  </si>
  <si>
    <t>1.4.1.1.2</t>
  </si>
  <si>
    <t>Coleta de dados de desempenho e análise de tendências</t>
  </si>
  <si>
    <t>1.4.2</t>
  </si>
  <si>
    <t>Revisão e Consolidação das Produtividades</t>
  </si>
  <si>
    <t>1.4.2.1</t>
  </si>
  <si>
    <t>1.4.2.1.1</t>
  </si>
  <si>
    <t>Consolidação das métricas de produtividade por área e processo</t>
  </si>
  <si>
    <t>1.4.2.1.2</t>
  </si>
  <si>
    <t>Identificação de oportunidades de otimização de recursos</t>
  </si>
  <si>
    <t>1.4.2.1.3</t>
  </si>
  <si>
    <t>Validação dos resultados com gestores e equipes</t>
  </si>
  <si>
    <t>1.4.3</t>
  </si>
  <si>
    <t>Alocação Anual dos Recursos</t>
  </si>
  <si>
    <t>1.4.3.1</t>
  </si>
  <si>
    <t>1.4.3.1.1</t>
  </si>
  <si>
    <t>Elaboração de plano de alocação baseado em carga de trabalho e necessidades operacionais</t>
  </si>
  <si>
    <t>1.4.4</t>
  </si>
  <si>
    <t>Diagnóstico e Auto-avaliação</t>
  </si>
  <si>
    <t>Nivelamento de Recursos e Proposta de Redimensionamento</t>
  </si>
  <si>
    <t>1.4.4.1</t>
  </si>
  <si>
    <t>1.4.4.1.1</t>
  </si>
  <si>
    <t>Avaliação de gaps e dimensionamento de equipes</t>
  </si>
  <si>
    <t>1.4.4.1.2</t>
  </si>
  <si>
    <t>Apresentação da proposta de redimensionamento</t>
  </si>
  <si>
    <t>Projeto: Elaboração do Manual de Operação do CMG</t>
  </si>
  <si>
    <t>23/03/2026</t>
  </si>
  <si>
    <t>30/03/2026</t>
  </si>
  <si>
    <t>06/04/2026</t>
  </si>
  <si>
    <t>13/04/2026</t>
  </si>
  <si>
    <t>20/04/2026</t>
  </si>
  <si>
    <t>27/04/2026</t>
  </si>
  <si>
    <t>04/05/2026</t>
  </si>
  <si>
    <t>11/05/2026</t>
  </si>
  <si>
    <t>18/05/2026</t>
  </si>
  <si>
    <t>25/05/2026</t>
  </si>
  <si>
    <t>01/06/2026</t>
  </si>
  <si>
    <t>08/06/2026</t>
  </si>
  <si>
    <t>15/06/2026</t>
  </si>
  <si>
    <t>22/06/2026</t>
  </si>
  <si>
    <t>29/06/2026</t>
  </si>
  <si>
    <t>06/07/2026</t>
  </si>
  <si>
    <t>13/07/2026</t>
  </si>
  <si>
    <t>20/07/2026</t>
  </si>
  <si>
    <t>27/07/2026</t>
  </si>
  <si>
    <t>03/08/2026</t>
  </si>
  <si>
    <t>10/08/2026</t>
  </si>
  <si>
    <t>17/08/2026</t>
  </si>
  <si>
    <t>24/08/2026</t>
  </si>
  <si>
    <t>31/08/2026</t>
  </si>
  <si>
    <t>07/09/2026</t>
  </si>
  <si>
    <t>14/09/2026</t>
  </si>
  <si>
    <t>21/09/2026</t>
  </si>
  <si>
    <t>28/09/2026</t>
  </si>
  <si>
    <t>05/10/2026</t>
  </si>
  <si>
    <t>12/10/2026</t>
  </si>
  <si>
    <t>19/10/2026</t>
  </si>
  <si>
    <t>26/10/2026</t>
  </si>
  <si>
    <t>02/11/2026</t>
  </si>
  <si>
    <t>09/11/2026</t>
  </si>
  <si>
    <t>16/11/2026</t>
  </si>
  <si>
    <t>23/11/2026</t>
  </si>
  <si>
    <t>30/11/2026</t>
  </si>
  <si>
    <t>07/12/2026</t>
  </si>
  <si>
    <t>14/12/2026</t>
  </si>
  <si>
    <t>21/12/2026</t>
  </si>
  <si>
    <t>28/12/2026</t>
  </si>
  <si>
    <t>Elaboração do Manual de Operação do CMG</t>
  </si>
  <si>
    <t>A&amp;M / GERDAU</t>
  </si>
  <si>
    <t>Em andamento</t>
  </si>
  <si>
    <t>Fase A – Atividades Preliminares</t>
  </si>
  <si>
    <t>Atividades Preliminares</t>
  </si>
  <si>
    <t>Diagnóstico de Maturidade do CMG</t>
  </si>
  <si>
    <t>Concluído</t>
  </si>
  <si>
    <t>1.1.1.1.2</t>
  </si>
  <si>
    <t>Elaboração da EAP do Manual CMG</t>
  </si>
  <si>
    <t>1.1.1.1.3</t>
  </si>
  <si>
    <t>Distribuição dos responsáveis por capítulo</t>
  </si>
  <si>
    <t>1.1.1.1.4</t>
  </si>
  <si>
    <t>Definição do Diário de Bordo</t>
  </si>
  <si>
    <t>Fase B – Elaboração dos Módulos Introdutórios</t>
  </si>
  <si>
    <t>Não iniciado</t>
  </si>
  <si>
    <t>Módulos Introdutórios do Manual</t>
  </si>
  <si>
    <t>Elaborar módulo: Objetivos do Manual</t>
  </si>
  <si>
    <t>1.2.1.1.2</t>
  </si>
  <si>
    <t>Elaborar módulo: Aplicação e Abrangência</t>
  </si>
  <si>
    <t>1.2.1.1.3</t>
  </si>
  <si>
    <t>Elaborar módulo: Referências Normativas</t>
  </si>
  <si>
    <t>1.2.1.1.4</t>
  </si>
  <si>
    <t>Elaborar módulo: Equipe Técnica do CMG</t>
  </si>
  <si>
    <t>Fase C – Elaboração dos Capítulos (Sistemas/Controles 1–20)</t>
  </si>
  <si>
    <t>Cap. 01 – SHMS</t>
  </si>
  <si>
    <t>Bruno Duarte</t>
  </si>
  <si>
    <t>Entendimento inicial – SHMS</t>
  </si>
  <si>
    <t>Redação do capítulo – SHMS</t>
  </si>
  <si>
    <t>Cap. 02 – Geoinspector</t>
  </si>
  <si>
    <t>Euler Dias</t>
  </si>
  <si>
    <t>Entendimento inicial – Geoinspector</t>
  </si>
  <si>
    <t>Redação do capítulo – Geoinspector</t>
  </si>
  <si>
    <t>Cap. 03 – ETRs</t>
  </si>
  <si>
    <t>Vitor Leonel</t>
  </si>
  <si>
    <t>Entendimento inicial – ETRs</t>
  </si>
  <si>
    <t>Redação do capítulo – ETRs</t>
  </si>
  <si>
    <t>1.3.4</t>
  </si>
  <si>
    <t>Cap. 04 – PAE/PAEBM</t>
  </si>
  <si>
    <t>Piter Cristian</t>
  </si>
  <si>
    <t>1.3.4.1</t>
  </si>
  <si>
    <t>1.3.4.1.1</t>
  </si>
  <si>
    <t>Entendimento inicial – PAE/PAEBM</t>
  </si>
  <si>
    <t>1.3.4.1.2</t>
  </si>
  <si>
    <t>Redação do capítulo – PAE/PAEBM</t>
  </si>
  <si>
    <t>1.3.4.1.3</t>
  </si>
  <si>
    <t>1.3.5</t>
  </si>
  <si>
    <t>Cap. 05 – Plataforma Ntopus</t>
  </si>
  <si>
    <t>1.3.5.1</t>
  </si>
  <si>
    <t>1.3.5.1.1</t>
  </si>
  <si>
    <t>Entendimento inicial – Plataforma Ntopus</t>
  </si>
  <si>
    <t>1.3.5.1.2</t>
  </si>
  <si>
    <t>Redação do capítulo – Plataforma Ntopus</t>
  </si>
  <si>
    <t>1.3.5.1.3</t>
  </si>
  <si>
    <t>1.3.6</t>
  </si>
  <si>
    <t>Cap. 06 – Radares (Análises)</t>
  </si>
  <si>
    <t>Luciana Machado</t>
  </si>
  <si>
    <t>1.3.6.1</t>
  </si>
  <si>
    <t>1.3.6.1.1</t>
  </si>
  <si>
    <t>Entendimento inicial – Radares (Análises)</t>
  </si>
  <si>
    <t>1.3.6.1.2</t>
  </si>
  <si>
    <t>Redação do capítulo – Radares (Análises)</t>
  </si>
  <si>
    <t>1.3.6.1.3</t>
  </si>
  <si>
    <t>1.3.7</t>
  </si>
  <si>
    <t>Cap. 07 – Câmeras CFTV</t>
  </si>
  <si>
    <t>Valter Lourenço</t>
  </si>
  <si>
    <t>1.3.7.1</t>
  </si>
  <si>
    <t>1.3.7.1.1</t>
  </si>
  <si>
    <t>Entendimento inicial – Câmeras CFTV</t>
  </si>
  <si>
    <t>1.3.7.1.2</t>
  </si>
  <si>
    <t>Redação do capítulo – Câmeras CFTV</t>
  </si>
  <si>
    <t>1.3.7.1.3</t>
  </si>
  <si>
    <t>1.3.8</t>
  </si>
  <si>
    <t>Cap. 08 – Software Geocode</t>
  </si>
  <si>
    <t>1.3.8.1</t>
  </si>
  <si>
    <t>1.3.8.1.1</t>
  </si>
  <si>
    <t>Entendimento inicial – Software Geocode</t>
  </si>
  <si>
    <t>1.3.8.1.2</t>
  </si>
  <si>
    <t>Redação do capítulo – Software Geocode</t>
  </si>
  <si>
    <t>1.3.8.1.3</t>
  </si>
  <si>
    <t>1.3.9</t>
  </si>
  <si>
    <t>Cap. 09 – Talos (sirenes)</t>
  </si>
  <si>
    <t>1.3.9.1</t>
  </si>
  <si>
    <t>1.3.9.1.1</t>
  </si>
  <si>
    <t>Entendimento inicial – Talos (sirenes)</t>
  </si>
  <si>
    <t>1.3.9.1.2</t>
  </si>
  <si>
    <t>Redação do capítulo – Talos (sirenes)</t>
  </si>
  <si>
    <t>1.3.9.1.3</t>
  </si>
  <si>
    <t>1.3.10</t>
  </si>
  <si>
    <t>Cap. 10 – Reports Diários</t>
  </si>
  <si>
    <t>Regino Ferreiro</t>
  </si>
  <si>
    <t>1.3.10.1</t>
  </si>
  <si>
    <t>1.3.10.1.1</t>
  </si>
  <si>
    <t>Entendimento inicial – Reports Diários</t>
  </si>
  <si>
    <t>1.3.10.1.2</t>
  </si>
  <si>
    <t>Redação do capítulo – Reports Diários</t>
  </si>
  <si>
    <t>1.3.11</t>
  </si>
  <si>
    <t>Cap. 11 – Arquitetura de Rede</t>
  </si>
  <si>
    <t>1.3.11.1</t>
  </si>
  <si>
    <t>1.3.11.1.1</t>
  </si>
  <si>
    <t>Entendimento inicial – Arquitetura de Rede</t>
  </si>
  <si>
    <t>1.3.11.1.2</t>
  </si>
  <si>
    <t>Redação do capítulo – Arquitetura de Rede</t>
  </si>
  <si>
    <t>1.3.12</t>
  </si>
  <si>
    <t>Cap. 12 – Arquitetura Elétrica</t>
  </si>
  <si>
    <t>Pedro Dias</t>
  </si>
  <si>
    <t>1.3.12.1</t>
  </si>
  <si>
    <t>1.3.12.1.1</t>
  </si>
  <si>
    <t>Entendimento inicial – Arquitetura Elétrica</t>
  </si>
  <si>
    <t>1.3.12.1.2</t>
  </si>
  <si>
    <t>Redação do capítulo – Arquitetura Elétrica</t>
  </si>
  <si>
    <t>1.3.12.1.3</t>
  </si>
  <si>
    <t>1.3.13</t>
  </si>
  <si>
    <t>Cap. 13 – Ground Probe</t>
  </si>
  <si>
    <t>1.3.13.1</t>
  </si>
  <si>
    <t>1.3.13.1.1</t>
  </si>
  <si>
    <t>Entendimento inicial – Ground Probe</t>
  </si>
  <si>
    <t>1.3.13.1.2</t>
  </si>
  <si>
    <t>Redação do capítulo – Ground Probe</t>
  </si>
  <si>
    <t>1.3.13.1.3</t>
  </si>
  <si>
    <t>1.3.14</t>
  </si>
  <si>
    <t>Cap. 14 – SMAC</t>
  </si>
  <si>
    <t>1.3.14.1</t>
  </si>
  <si>
    <t>1.3.14.1.1</t>
  </si>
  <si>
    <t>Entendimento inicial – SMAC</t>
  </si>
  <si>
    <t>1.3.14.1.2</t>
  </si>
  <si>
    <t>Redação do capítulo – SMAC</t>
  </si>
  <si>
    <t>1.3.14.1.3</t>
  </si>
  <si>
    <t>1.3.15</t>
  </si>
  <si>
    <t>Cap. 15 – Programação de Veículos</t>
  </si>
  <si>
    <t>1.3.15.1</t>
  </si>
  <si>
    <t>1.3.15.1.1</t>
  </si>
  <si>
    <t>Entendimento inicial – Programação de Veículos</t>
  </si>
  <si>
    <t>1.3.15.1.2</t>
  </si>
  <si>
    <t>Redação do capítulo – Programação de Veículos</t>
  </si>
  <si>
    <t>1.3.15.1.3</t>
  </si>
  <si>
    <t>1.3.16</t>
  </si>
  <si>
    <t>Cap. 16 – Troca de Turno</t>
  </si>
  <si>
    <t>1.3.16.1</t>
  </si>
  <si>
    <t>1.3.16.1.1</t>
  </si>
  <si>
    <t>Entendimento inicial – Troca de Turno</t>
  </si>
  <si>
    <t>1.3.16.1.2</t>
  </si>
  <si>
    <t>Redação do capítulo – Troca de Turno</t>
  </si>
  <si>
    <t>1.3.17</t>
  </si>
  <si>
    <t>Cap. 17 – Estações Meteorológicas</t>
  </si>
  <si>
    <t>1.3.17.1</t>
  </si>
  <si>
    <t>1.3.17.1.1</t>
  </si>
  <si>
    <t>Entendimento inicial – Estações Meteorológicas</t>
  </si>
  <si>
    <t>1.3.17.1.2</t>
  </si>
  <si>
    <t>Redação do capítulo – Estações Meteorológicas</t>
  </si>
  <si>
    <t>1.3.17.1.3</t>
  </si>
  <si>
    <t>1.3.18</t>
  </si>
  <si>
    <t>Cap. 18 – Análise INA e PZ</t>
  </si>
  <si>
    <t>1.3.18.1</t>
  </si>
  <si>
    <t>1.3.18.1.1</t>
  </si>
  <si>
    <t>Entendimento inicial – Análise INA e PZ</t>
  </si>
  <si>
    <t>1.3.18.1.2</t>
  </si>
  <si>
    <t>Redação do capítulo – Análise INA e PZ</t>
  </si>
  <si>
    <t>1.3.18.1.3</t>
  </si>
  <si>
    <t>1.3.19</t>
  </si>
  <si>
    <t>Cap. 19 – Análise Vetorial</t>
  </si>
  <si>
    <t>1.3.19.1</t>
  </si>
  <si>
    <t>1.3.19.1.1</t>
  </si>
  <si>
    <t>Entendimento inicial – Análise Vetorial</t>
  </si>
  <si>
    <t>1.3.19.1.2</t>
  </si>
  <si>
    <t>Redação do capítulo – Análise Vetorial</t>
  </si>
  <si>
    <t>1.3.19.1.3</t>
  </si>
  <si>
    <t>1.3.20</t>
  </si>
  <si>
    <t>Cap. 20 – Ativos CMG</t>
  </si>
  <si>
    <t>1.3.20.1</t>
  </si>
  <si>
    <t>1.3.20.1.1</t>
  </si>
  <si>
    <t>Entendimento inicial – Ativos CMG</t>
  </si>
  <si>
    <t>1.3.20.1.2</t>
  </si>
  <si>
    <t>Redação do capítulo – Ativos CMG</t>
  </si>
  <si>
    <t>1.3.20.1.3</t>
  </si>
  <si>
    <t>Fase D – Greendocs</t>
  </si>
  <si>
    <t>Consolidação e Publicação do Manual</t>
  </si>
  <si>
    <t>Validar manual consolidado (revisão final integrada)</t>
  </si>
  <si>
    <t>1.4.1.1.3</t>
  </si>
  <si>
    <t>Cadastrar material no Greendocs Gerdau</t>
  </si>
  <si>
    <t>1.4.1.1.4</t>
  </si>
  <si>
    <t>Divulgar material para a Gerência</t>
  </si>
  <si>
    <t>1.5</t>
  </si>
  <si>
    <t>Fase E – Treinamento da Equipe do CMG</t>
  </si>
  <si>
    <t>1.5.1</t>
  </si>
  <si>
    <t>1.5.1.1</t>
  </si>
  <si>
    <t>1.5.1.1.1</t>
  </si>
  <si>
    <t>1.5.1.1.2</t>
  </si>
  <si>
    <t>1.5.1.1.3</t>
  </si>
  <si>
    <t>Vitor Leonel / Valter Lourenço</t>
  </si>
  <si>
    <t>Bruno Duarte / Regino Ferreiro</t>
  </si>
  <si>
    <t>Luciana Machado / Piter Cristian</t>
  </si>
  <si>
    <t>Euler Dias / Pedro Dias</t>
  </si>
  <si>
    <t>Atrasado</t>
  </si>
  <si>
    <t>Diagnóstico</t>
  </si>
  <si>
    <t>Modelagem (To Be)</t>
  </si>
  <si>
    <t>Transformação</t>
  </si>
  <si>
    <t>Calendário</t>
  </si>
  <si>
    <t>08/01/2024</t>
  </si>
  <si>
    <t>15/01/2024</t>
  </si>
  <si>
    <t>22/01/2024</t>
  </si>
  <si>
    <t>29/01/2024</t>
  </si>
  <si>
    <t>05/02/2024</t>
  </si>
  <si>
    <t>12/02/2024</t>
  </si>
  <si>
    <t>19/02/2024</t>
  </si>
  <si>
    <t>26/02/2024</t>
  </si>
  <si>
    <t>04/03/2024</t>
  </si>
  <si>
    <t>11/03/2024</t>
  </si>
  <si>
    <t>18/03/2024</t>
  </si>
  <si>
    <t>25/03/2024</t>
  </si>
  <si>
    <t>01/04/2024</t>
  </si>
  <si>
    <t>08/04/2024</t>
  </si>
  <si>
    <t>15/04/2024</t>
  </si>
  <si>
    <t>22/04/2024</t>
  </si>
  <si>
    <t>29/04/2024</t>
  </si>
  <si>
    <t>06/05/2024</t>
  </si>
  <si>
    <t>13/05/2024</t>
  </si>
  <si>
    <t>20/05/2024</t>
  </si>
  <si>
    <t>27/05/2024</t>
  </si>
  <si>
    <t>03/06/2024</t>
  </si>
  <si>
    <t>10/06/2024</t>
  </si>
  <si>
    <t>17/06/2024</t>
  </si>
  <si>
    <t>Projeto: PMO Geotecnia</t>
  </si>
  <si>
    <t>Data: 19/02/2025</t>
  </si>
  <si>
    <t>Valor a Faturar</t>
  </si>
  <si>
    <t>Valor Faturado</t>
  </si>
  <si>
    <t>Duração</t>
  </si>
  <si>
    <t>Data Início</t>
  </si>
  <si>
    <t>Data Término</t>
  </si>
  <si>
    <t>Data Rep.</t>
  </si>
  <si>
    <t>Data de Conclusão</t>
  </si>
  <si>
    <t>Observações</t>
  </si>
  <si>
    <t>Diagnóstico PAEBM</t>
  </si>
  <si>
    <t>Entrega Parcial do Diagnóstico PAEBM</t>
  </si>
  <si>
    <t>Marcus Camargo</t>
  </si>
  <si>
    <t>Em Andamento</t>
  </si>
  <si>
    <t>Entrega Final do Diagnóstico PAEBM</t>
  </si>
  <si>
    <t>Pendente</t>
  </si>
  <si>
    <t>Implantação GISTM</t>
  </si>
  <si>
    <t>1º Relatório de Acompanhamento ao Projeto de Implantação GISTM</t>
  </si>
  <si>
    <t>2º Relatório de Acompanhamento ao Projeto de Implantação GISTM</t>
  </si>
  <si>
    <t>3º Relatório de Acompanhamento ao Projeto de Implantação GISTM</t>
  </si>
  <si>
    <t>4º Relatório de Acompanhamento ao Projeto de Implantação GISTM</t>
  </si>
  <si>
    <t>5º Relatório de Acompanhamento ao Projeto de Implantação GISTM</t>
  </si>
  <si>
    <t>Cliente: VALE</t>
  </si>
  <si>
    <t>Projeto: Estratégias de Atuação da Diretoria de Assuntos Regulatórios</t>
  </si>
  <si>
    <t>Data: 23 de Março, 2022</t>
  </si>
  <si>
    <t>Revisão: 06</t>
  </si>
  <si>
    <t xml:space="preserve">Estratégia </t>
  </si>
  <si>
    <t>Etapa 1 – Entendimento do Regulatório</t>
  </si>
  <si>
    <t>Levantamento de Dados</t>
  </si>
  <si>
    <t>Elaboração / Atualização de lista de documentos p/ solicitação junto a VALE</t>
  </si>
  <si>
    <t>Julia Drumond</t>
  </si>
  <si>
    <t>Envio de controles / normativos / apresentações entre outros para análise</t>
  </si>
  <si>
    <t>VALE</t>
  </si>
  <si>
    <t>Análise a partir das informações recebidas</t>
  </si>
  <si>
    <t>Análise de Legislações Aplicáveis</t>
  </si>
  <si>
    <t>Análise de Input recebidos (Diagnóstico de conformidade, material do workshop, normativos, entre outro)</t>
  </si>
  <si>
    <t>Mapeamento de stakeholders internos e externos (gerências responsáveis por atendimentos legais)</t>
  </si>
  <si>
    <t>A&amp;M / VALE</t>
  </si>
  <si>
    <t>em conjunto com equipe VALE</t>
  </si>
  <si>
    <t>Mapeamento de exigências / requisitos legais existentes</t>
  </si>
  <si>
    <t xml:space="preserve">Diagnóstico </t>
  </si>
  <si>
    <t>Levantamento e entendimento de restrições e oportunidades regulatórias</t>
  </si>
  <si>
    <t>Desenvolvimento de diagnóstico regulatório</t>
  </si>
  <si>
    <t>Etapa 2 – Definição de Frentes Estratégicas Prioritárias</t>
  </si>
  <si>
    <t>Fóruns de Discussão</t>
  </si>
  <si>
    <t>Promover discussões REGULATÓRIO VALE - mapeamento de oportunidades e restrições regulatórias</t>
  </si>
  <si>
    <t>à definir se mantem esta estrategia em função da antecipação do benchmark do sequenciamento verde</t>
  </si>
  <si>
    <t>Promover discussões ÁREAS DE INTERFACE VALE - mapeamento de oportunidades e restrições regulatórias</t>
  </si>
  <si>
    <t>Promover discussões internas A&amp;M - mapeamento de oportunidades e restrições regulatórias</t>
  </si>
  <si>
    <t>Consolidação da carteira de pautas regulatórias</t>
  </si>
  <si>
    <t>Definição da metodologia para priorização (definir critérios / ranges , separar por barragem, usina, mina etc)</t>
  </si>
  <si>
    <t>A&amp;M</t>
  </si>
  <si>
    <t>Workshop - Análise qualitativa dos Riscos (categorizar dentro da matriz de risco) - à definir</t>
  </si>
  <si>
    <t>Definição de target / critérios prioritários</t>
  </si>
  <si>
    <t>quais serão os critérios que irão definir as prioritárias?</t>
  </si>
  <si>
    <t>Definição de Pautas Prioritárias</t>
  </si>
  <si>
    <t>Elaboração de Plano de Ataque</t>
  </si>
  <si>
    <t>Etapa 3 – Discussões Técnicas e Interlocução com a Agência</t>
  </si>
  <si>
    <t>Estabelecer Governança de Fóruns de discussões internas para as pautas prioritárias</t>
  </si>
  <si>
    <t>Proposição de Kpis p/ acompanhamento</t>
  </si>
  <si>
    <t>Elaboração de Reports p/ acompanhamento dos avanços</t>
  </si>
  <si>
    <t>Estrutração e implantação da pauta prioritária 1</t>
  </si>
  <si>
    <t>Estrutração e implantação da pauta prioritária 2</t>
  </si>
  <si>
    <t>Estrutração e implantação da pauta prioritária 3</t>
  </si>
  <si>
    <t>Sequenciamento Verde</t>
  </si>
  <si>
    <t>Reunião de kick off com todos os stakeholders envolvidos para alinhamento de expectativas</t>
  </si>
  <si>
    <t>Realização de Benchmarking do contexto regulatório local e global</t>
  </si>
  <si>
    <t>à definir</t>
  </si>
  <si>
    <t>incluir avaliação da resolução 94 / Entender conceitos de reserva, recurso etc</t>
  </si>
  <si>
    <t>Análise SWOT para enxergar os problemas, riscos, impactos, oportunidades e ganhos  para viabilização do projeto</t>
  </si>
  <si>
    <t>faltando input do juridico</t>
  </si>
  <si>
    <t>GATE - Validção da Contuidade da Frente</t>
  </si>
  <si>
    <t>Elaboração de Plano de Trabalho Interno VALE</t>
  </si>
  <si>
    <t>ver estrategia p/ conduzir definição da solução e plano de trabalho interno (a partir da swot)  - avaliar rever estrategia d</t>
  </si>
  <si>
    <t>Elaboração de Análise de Impacto Regulatório</t>
  </si>
  <si>
    <t xml:space="preserve"> junto com uma minuta (proposição) de como endereçar o assunto </t>
  </si>
  <si>
    <t>Apresentação para ANM</t>
  </si>
  <si>
    <t>Apresentação para ANM em nov/23 para inclusão na Agenda de 24/25.</t>
  </si>
  <si>
    <t>Estruturação de Processos e PMO - Mineração</t>
  </si>
  <si>
    <t>Processo - Diagnóstico de Conformidade</t>
  </si>
  <si>
    <t>anna</t>
  </si>
  <si>
    <t>Etapa 01 - Diagnóstico</t>
  </si>
  <si>
    <t>Entrevistas</t>
  </si>
  <si>
    <t>Reprogramação das reuniões devido a feriado e visita a campos</t>
  </si>
  <si>
    <t xml:space="preserve">Leitura e análise dos normativos (SWOT) </t>
  </si>
  <si>
    <t>Análise de maturidade do processo</t>
  </si>
  <si>
    <t>Análise de maturidade das ferramentas (estrutura de dados, funcionalidades aderentes à cadeia de valor, conteúdo estratégico, exepriência do usuário, storytelling de dados)</t>
  </si>
  <si>
    <t>Relatório do diagnóstico + plano de ação para o desenvolvimento</t>
  </si>
  <si>
    <t>Validação do Relatório do diagnóstico + plano de ação para o desenvolvimento</t>
  </si>
  <si>
    <t>Etapa 02 - Desenvolvimento</t>
  </si>
  <si>
    <t>Agenda recorrente A&amp;M + Equipe Vale</t>
  </si>
  <si>
    <t>Elaboração/revisão dos processos de Mineração (RASCI, SIPOC, Fluxograma)</t>
  </si>
  <si>
    <t>Definição dos Indicadores de Mineração</t>
  </si>
  <si>
    <t>Desenvolvimento dos Reports/ferramentas/templates conforme diagnóstico realizado</t>
  </si>
  <si>
    <t>Etapa 03 - Implantação e acompanhamento</t>
  </si>
  <si>
    <t>Implantação e acompanhamento dos indicadores definidos para a área</t>
  </si>
  <si>
    <t>Implantação e acompanhamento das rotinas</t>
  </si>
  <si>
    <t>Melhoria contínua</t>
  </si>
  <si>
    <t>Etapa 04 - Handover</t>
  </si>
  <si>
    <t>Elaborar manual dos processos</t>
  </si>
  <si>
    <t>Realizar treinamentos necessários</t>
  </si>
  <si>
    <t>Divulgação para garantir a correta implantação do fluxo</t>
  </si>
  <si>
    <t>Agendas de handover e suporte à equipe</t>
  </si>
  <si>
    <t>Processo - Continuidade Operacional</t>
  </si>
  <si>
    <t>Processo - Atendimento às Exigências ANM</t>
  </si>
  <si>
    <t>Processo - Agenda Regulatória</t>
  </si>
  <si>
    <t>Processo - Capacitação em Fiscalizações</t>
  </si>
  <si>
    <t>Processo - Resolução ANM</t>
  </si>
  <si>
    <t>Estruturação de Processos e PMO - Gestão (cronograma ainda sem quebra por processo)</t>
  </si>
  <si>
    <t>Definição dos processos e do cadeia de valor da área de Gestão</t>
  </si>
  <si>
    <t>Definição do As Is da Área de Gestão</t>
  </si>
  <si>
    <t>Desenvolvimento</t>
  </si>
  <si>
    <t>Desenho dos processos da Área de Gestão (RASCI, SIPOC, Fluxograma)</t>
  </si>
  <si>
    <t>Definição dos Indicadores da Área de Gestão</t>
  </si>
  <si>
    <t>Definição e desenho das ferramentas de gestão à vista para integrarem o Painel de Gestão</t>
  </si>
  <si>
    <t>Prioridade 1: Matriz de Risco</t>
  </si>
  <si>
    <t>Prioridade 2: Ferramenta de Report de Projetos</t>
  </si>
  <si>
    <t>Prioridade 3: Informe Semanal e Mensal</t>
  </si>
  <si>
    <t>Prioridade 4: Mapa com pendências regulatória e visão geral do Negócio Regulatório</t>
  </si>
  <si>
    <t>Demais ferramentas que serão priorizadas através do mapeamento no diagnóstico</t>
  </si>
  <si>
    <t>Construção da Árvore de Indicadores da Diretoria</t>
  </si>
  <si>
    <t>Implantação e Acompanhamento</t>
  </si>
  <si>
    <t>Handover</t>
  </si>
  <si>
    <t>Corredor</t>
  </si>
  <si>
    <t>Norte</t>
  </si>
  <si>
    <t>Bernardo Souza</t>
  </si>
  <si>
    <t>Sul</t>
  </si>
  <si>
    <t>Cristiano Moreira</t>
  </si>
  <si>
    <t>Sudeste</t>
  </si>
  <si>
    <t>Layra Freitas</t>
  </si>
  <si>
    <t>GERDAU</t>
  </si>
  <si>
    <t>Gerência</t>
  </si>
  <si>
    <t>Carajás</t>
  </si>
  <si>
    <t>Metais Básicos</t>
  </si>
  <si>
    <t>Karoline Lanna</t>
  </si>
  <si>
    <t>Itabira</t>
  </si>
  <si>
    <t>Mariana</t>
  </si>
  <si>
    <t>Paraopeba</t>
  </si>
  <si>
    <t>Vargem Grande</t>
  </si>
  <si>
    <t>Etapa</t>
  </si>
  <si>
    <t>Diagnóstico Preliminar</t>
  </si>
  <si>
    <t>Implantação</t>
  </si>
  <si>
    <t>Acompanhamento</t>
  </si>
  <si>
    <t>Geral</t>
  </si>
  <si>
    <t>x3</t>
  </si>
  <si>
    <t>Rotinas de Trabalho</t>
  </si>
  <si>
    <t>Elaboração de DCO</t>
  </si>
  <si>
    <t>Categoria</t>
  </si>
  <si>
    <t>Sistema de Alerta</t>
  </si>
  <si>
    <t>Cancelado</t>
  </si>
  <si>
    <t>Simulados e Treinamentos</t>
  </si>
  <si>
    <t>Padronização de Rotinas de Trabalho</t>
  </si>
  <si>
    <t>Sinalização de Emergência</t>
  </si>
  <si>
    <t>Atualização de PAEBM</t>
  </si>
  <si>
    <t>Gestão de Recomendações</t>
  </si>
  <si>
    <t>On Hold</t>
  </si>
  <si>
    <t>Gestão de Emergência</t>
  </si>
  <si>
    <t>Tipo de Demanda</t>
  </si>
  <si>
    <t>Assistência à Comunidade</t>
  </si>
  <si>
    <t>Desenvolver</t>
  </si>
  <si>
    <t>Acompanhar</t>
  </si>
  <si>
    <t>Atualizar</t>
  </si>
  <si>
    <t>Aprovar</t>
  </si>
  <si>
    <t>Apresentar</t>
  </si>
  <si>
    <t>Enviar</t>
  </si>
  <si>
    <t>Receber</t>
  </si>
  <si>
    <t>Solicitar</t>
  </si>
  <si>
    <t>Participar</t>
  </si>
  <si>
    <t>Agendar</t>
  </si>
  <si>
    <t>Treinamento – Turno C Dupla 3</t>
  </si>
  <si>
    <t>Treinamento – Turno D Dupla 4</t>
  </si>
  <si>
    <t>Treinamento – Turno B Dupla 2</t>
  </si>
  <si>
    <t xml:space="preserve">Treinamento – Turno A Dupla 1 </t>
  </si>
  <si>
    <t>Elaborar cronograma dos treinamentos</t>
  </si>
  <si>
    <t>Treinamento da Equipe do CMG</t>
  </si>
  <si>
    <t>Validação do capítulo – SHMS</t>
  </si>
  <si>
    <t>Validação do capítulo – Geoinspector</t>
  </si>
  <si>
    <t>Validação do capítulo – PAE/PAEBM</t>
  </si>
  <si>
    <t>Validação do capítulo – Plataforma Ntopus</t>
  </si>
  <si>
    <t>Validação do capítulo – Radares (Análises)</t>
  </si>
  <si>
    <t>Validação do capítulo – Câmeras CFTV</t>
  </si>
  <si>
    <t>Validação do capítulo – Software Geocode</t>
  </si>
  <si>
    <t>Validação do capítulo – Talos (sirenes)</t>
  </si>
  <si>
    <t>Validação do capítulo – Reports Diários</t>
  </si>
  <si>
    <t>Validação do capítulo – Arquitetura de Rede</t>
  </si>
  <si>
    <t>Validação do capítulo – Arquitetura Elétrica</t>
  </si>
  <si>
    <t>Validação do capítulo – Ground Probe</t>
  </si>
  <si>
    <t>Validação do capítulo – SMAC</t>
  </si>
  <si>
    <t>Validação do capítulo – Programação de Veículos</t>
  </si>
  <si>
    <t>Validação do capítulo – Troca de Turno</t>
  </si>
  <si>
    <t>Validação do capítulo – Estações Meteorológicas</t>
  </si>
  <si>
    <t>Validação do capítulo – Análise INA e PZ</t>
  </si>
  <si>
    <t>Validação do capítulo – Análise Vetorial</t>
  </si>
  <si>
    <t>Validação do capítulo – Ativos CMG</t>
  </si>
  <si>
    <t>Elaborar material do treinamento</t>
  </si>
  <si>
    <t>Validação do capítulo – ETRs</t>
  </si>
  <si>
    <t>28/12/2027</t>
  </si>
  <si>
    <t>Cap. 01 – SHMS (17 dias)</t>
  </si>
  <si>
    <t>Cap. 02 – Geoinspector (17 dias)</t>
  </si>
  <si>
    <t>Cap. 03 – ETRs (17 dias)</t>
  </si>
  <si>
    <t>Cap. 04 – PAE/PAEBM (17 dias)</t>
  </si>
  <si>
    <t>Cap. 05 – Plataforma Ntopus (17 dias)</t>
  </si>
  <si>
    <t>Cap. 06 – Radares (Análises) (17 dias)</t>
  </si>
  <si>
    <t>Cap. 07 – Câmeras CFTV (17 dias)</t>
  </si>
  <si>
    <t>Cap. 09 – Talos (sirenes) (17 dias)</t>
  </si>
  <si>
    <t>Cap. 10 – Reports Diários (17 dias)</t>
  </si>
  <si>
    <t>Cap. 11 – Arquitetura de Rede (17 dias)</t>
  </si>
  <si>
    <t>Cap. 13 – Ground Probe (17 dias)</t>
  </si>
  <si>
    <t>Cap. 14 – SMAC (17 dias)</t>
  </si>
  <si>
    <t>Cap. 16 – Troca de Turno (10 dias)</t>
  </si>
  <si>
    <t>Cap. 17 – Estações Meteorológicas  (10 dias)</t>
  </si>
  <si>
    <t>Cap. 18 – Análise INA e PZ (10 dias)</t>
  </si>
  <si>
    <t>Cap. 19 – Análise Vetorial (10 dias)</t>
  </si>
  <si>
    <t>Cap. 20 – Ativos CMG (10 dias)</t>
  </si>
  <si>
    <t>1.3.16.1.3</t>
  </si>
  <si>
    <t>1.3.11.1.3</t>
  </si>
  <si>
    <t>1.3.10.1.3</t>
  </si>
  <si>
    <t>1.5.1.1.5</t>
  </si>
  <si>
    <t>1.5.1.1.4</t>
  </si>
  <si>
    <t>1.5.1.1.6</t>
  </si>
  <si>
    <t>Cap. 15 – Arquitetura Elétrica</t>
  </si>
  <si>
    <t>Cap. 12 – Programação de Veículos</t>
  </si>
  <si>
    <t xml:space="preserve">Cap. 08 – Software Geocode </t>
  </si>
  <si>
    <t>19./06</t>
  </si>
  <si>
    <t>Data: 22/05/2026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</si>
</sst>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rgb="FF222B35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404040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40404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244A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1F3864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1F3864"/>
      <name val="Arial"/>
      <family val="2"/>
    </font>
    <font>
      <b/>
      <sz val="10"/>
      <color rgb="FF002060"/>
      <name val="Calibri"/>
      <family val="2"/>
      <scheme val="minor"/>
    </font>
    <font>
      <sz val="9"/>
      <name val="Arial"/>
      <family val="2"/>
    </font>
    <font>
      <sz val="9"/>
      <color rgb="FF000000"/>
      <name val="Arial"/>
      <family val="2"/>
    </font>
    <font>
      <sz val="9"/>
      <color rgb="FF1F3864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00244A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556A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rgb="FF00244A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dotted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tted">
        <color theme="0" tint="-0.34998626667073579"/>
      </bottom>
      <diagonal/>
    </border>
    <border>
      <left/>
      <right/>
      <top style="thin">
        <color theme="0" tint="-0.34998626667073579"/>
      </top>
      <bottom style="dotted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/>
      <top style="dotted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rgb="FFA6A6A6"/>
      </left>
      <right/>
      <top style="thin">
        <color rgb="FFA6A6A6"/>
      </top>
      <bottom style="dotted">
        <color theme="0" tint="-0.34998626667073579"/>
      </bottom>
      <diagonal/>
    </border>
    <border>
      <left/>
      <right/>
      <top style="thin">
        <color rgb="FFA6A6A6"/>
      </top>
      <bottom style="dotted">
        <color theme="0" tint="-0.34998626667073579"/>
      </bottom>
      <diagonal/>
    </border>
    <border>
      <left/>
      <right style="thin">
        <color rgb="FFA6A6A6"/>
      </right>
      <top style="thin">
        <color rgb="FFA6A6A6"/>
      </top>
      <bottom style="dotted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4">
    <xf numFmtId="0" fontId="0" fillId="0" borderId="0"/>
    <xf numFmtId="9" fontId="1" fillId="0" borderId="0"/>
    <xf numFmtId="0" fontId="2" fillId="4" borderId="0"/>
    <xf numFmtId="44" fontId="1" fillId="0" borderId="0"/>
  </cellStyleXfs>
  <cellXfs count="275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9" fontId="2" fillId="0" borderId="0" xfId="0" applyNumberFormat="1" applyFon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0" fontId="2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4" fillId="0" borderId="0" xfId="0" applyFont="1"/>
    <xf numFmtId="9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7" fillId="3" borderId="6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vertical="center"/>
    </xf>
    <xf numFmtId="14" fontId="7" fillId="5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 wrapText="1"/>
    </xf>
    <xf numFmtId="9" fontId="9" fillId="0" borderId="0" xfId="1" applyFont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9" fillId="0" borderId="0" xfId="1" applyNumberFormat="1" applyFont="1" applyAlignment="1">
      <alignment horizontal="center" vertical="center"/>
    </xf>
    <xf numFmtId="16" fontId="10" fillId="0" borderId="0" xfId="0" applyNumberFormat="1" applyFont="1" applyAlignment="1">
      <alignment horizontal="center" vertical="center" wrapText="1"/>
    </xf>
    <xf numFmtId="0" fontId="11" fillId="2" borderId="8" xfId="0" applyFont="1" applyFill="1" applyBorder="1" applyAlignment="1">
      <alignment horizontal="right" vertical="center" wrapText="1" indent="2"/>
    </xf>
    <xf numFmtId="0" fontId="4" fillId="0" borderId="0" xfId="0" applyFont="1" applyAlignment="1">
      <alignment horizontal="center"/>
    </xf>
    <xf numFmtId="0" fontId="7" fillId="5" borderId="3" xfId="0" applyFont="1" applyFill="1" applyBorder="1" applyAlignment="1">
      <alignment horizontal="left" vertical="center" indent="2"/>
    </xf>
    <xf numFmtId="0" fontId="9" fillId="0" borderId="2" xfId="0" applyFont="1" applyBorder="1" applyAlignment="1">
      <alignment horizontal="left" vertical="center" indent="2"/>
    </xf>
    <xf numFmtId="0" fontId="2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6" fillId="0" borderId="1" xfId="0" applyFont="1" applyBorder="1" applyAlignment="1">
      <alignment horizontal="left" indent="2"/>
    </xf>
    <xf numFmtId="0" fontId="6" fillId="0" borderId="0" xfId="0" applyFont="1" applyAlignment="1">
      <alignment horizontal="left" indent="2"/>
    </xf>
    <xf numFmtId="16" fontId="7" fillId="5" borderId="4" xfId="0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0" fontId="12" fillId="0" borderId="0" xfId="0" applyFont="1"/>
    <xf numFmtId="0" fontId="4" fillId="0" borderId="0" xfId="0" applyFont="1" applyAlignment="1">
      <alignment horizontal="left" vertical="center"/>
    </xf>
    <xf numFmtId="0" fontId="7" fillId="3" borderId="3" xfId="0" applyFont="1" applyFill="1" applyBorder="1" applyAlignment="1">
      <alignment horizontal="left" vertical="center" indent="2"/>
    </xf>
    <xf numFmtId="0" fontId="7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14" fontId="7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left" vertical="center" wrapText="1"/>
    </xf>
    <xf numFmtId="16" fontId="7" fillId="3" borderId="4" xfId="0" applyNumberFormat="1" applyFont="1" applyFill="1" applyBorder="1" applyAlignment="1">
      <alignment horizontal="center" vertical="center"/>
    </xf>
    <xf numFmtId="16" fontId="7" fillId="6" borderId="4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indent="2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16" fontId="7" fillId="3" borderId="13" xfId="0" applyNumberFormat="1" applyFont="1" applyFill="1" applyBorder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6" borderId="14" xfId="0" applyFont="1" applyFill="1" applyBorder="1" applyAlignment="1">
      <alignment horizontal="left" vertical="center" indent="2"/>
    </xf>
    <xf numFmtId="0" fontId="7" fillId="6" borderId="15" xfId="0" applyFont="1" applyFill="1" applyBorder="1" applyAlignment="1">
      <alignment horizontal="left" vertical="center"/>
    </xf>
    <xf numFmtId="0" fontId="7" fillId="6" borderId="15" xfId="0" applyFont="1" applyFill="1" applyBorder="1" applyAlignment="1">
      <alignment vertical="center"/>
    </xf>
    <xf numFmtId="16" fontId="7" fillId="6" borderId="15" xfId="0" applyNumberFormat="1" applyFont="1" applyFill="1" applyBorder="1" applyAlignment="1">
      <alignment horizontal="center" vertical="center"/>
    </xf>
    <xf numFmtId="14" fontId="7" fillId="6" borderId="15" xfId="0" applyNumberFormat="1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indent="2"/>
    </xf>
    <xf numFmtId="0" fontId="7" fillId="6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vertical="center"/>
    </xf>
    <xf numFmtId="14" fontId="7" fillId="6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17" xfId="0" applyFont="1" applyBorder="1" applyAlignment="1">
      <alignment horizontal="left" vertical="center" indent="2"/>
    </xf>
    <xf numFmtId="0" fontId="2" fillId="0" borderId="2" xfId="0" applyFont="1" applyBorder="1" applyAlignment="1">
      <alignment horizontal="left" indent="2"/>
    </xf>
    <xf numFmtId="0" fontId="2" fillId="0" borderId="10" xfId="0" applyFont="1" applyBorder="1" applyAlignment="1">
      <alignment horizontal="left" indent="2"/>
    </xf>
    <xf numFmtId="0" fontId="2" fillId="0" borderId="11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16" fontId="10" fillId="0" borderId="11" xfId="0" applyNumberFormat="1" applyFont="1" applyBorder="1" applyAlignment="1">
      <alignment horizontal="center" vertical="center" wrapText="1"/>
    </xf>
    <xf numFmtId="9" fontId="9" fillId="0" borderId="11" xfId="1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14" fontId="1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 indent="3"/>
    </xf>
    <xf numFmtId="0" fontId="13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0" fontId="2" fillId="0" borderId="1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9" fontId="8" fillId="0" borderId="0" xfId="0" applyNumberFormat="1" applyFont="1" applyAlignment="1">
      <alignment horizontal="center"/>
    </xf>
    <xf numFmtId="16" fontId="16" fillId="0" borderId="0" xfId="0" applyNumberFormat="1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16" fontId="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1" fillId="2" borderId="18" xfId="0" applyFont="1" applyFill="1" applyBorder="1" applyAlignment="1">
      <alignment horizontal="center" vertical="center" wrapText="1"/>
    </xf>
    <xf numFmtId="9" fontId="9" fillId="0" borderId="19" xfId="1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right" vertical="center" wrapText="1" indent="2"/>
    </xf>
    <xf numFmtId="0" fontId="7" fillId="6" borderId="24" xfId="0" applyFont="1" applyFill="1" applyBorder="1" applyAlignment="1">
      <alignment horizontal="left" vertical="center" indent="2"/>
    </xf>
    <xf numFmtId="0" fontId="7" fillId="6" borderId="25" xfId="0" applyFont="1" applyFill="1" applyBorder="1" applyAlignment="1">
      <alignment horizontal="left" vertical="center"/>
    </xf>
    <xf numFmtId="0" fontId="7" fillId="6" borderId="25" xfId="0" applyFont="1" applyFill="1" applyBorder="1" applyAlignment="1">
      <alignment horizontal="center" vertical="center"/>
    </xf>
    <xf numFmtId="2" fontId="9" fillId="0" borderId="19" xfId="1" applyNumberFormat="1" applyFont="1" applyBorder="1" applyAlignment="1">
      <alignment horizontal="center" vertical="center"/>
    </xf>
    <xf numFmtId="0" fontId="7" fillId="6" borderId="26" xfId="0" applyFont="1" applyFill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2" borderId="18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6" fillId="6" borderId="25" xfId="0" applyFont="1" applyFill="1" applyBorder="1" applyAlignment="1">
      <alignment horizontal="center" vertical="center"/>
    </xf>
    <xf numFmtId="16" fontId="16" fillId="6" borderId="25" xfId="0" applyNumberFormat="1" applyFont="1" applyFill="1" applyBorder="1" applyAlignment="1">
      <alignment horizontal="center" vertical="center"/>
    </xf>
    <xf numFmtId="14" fontId="16" fillId="6" borderId="2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20" xfId="0" applyFont="1" applyBorder="1" applyAlignment="1">
      <alignment horizontal="left" vertical="center" indent="5"/>
    </xf>
    <xf numFmtId="0" fontId="11" fillId="6" borderId="24" xfId="0" applyFont="1" applyFill="1" applyBorder="1" applyAlignment="1">
      <alignment horizontal="left" vertical="center" indent="2"/>
    </xf>
    <xf numFmtId="0" fontId="11" fillId="6" borderId="25" xfId="0" applyFont="1" applyFill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 indent="2"/>
    </xf>
    <xf numFmtId="0" fontId="7" fillId="6" borderId="25" xfId="0" applyFont="1" applyFill="1" applyBorder="1" applyAlignment="1">
      <alignment horizontal="left" vertical="center" indent="2"/>
    </xf>
    <xf numFmtId="44" fontId="16" fillId="0" borderId="0" xfId="3" applyFont="1" applyAlignment="1">
      <alignment horizontal="left" vertical="center"/>
    </xf>
    <xf numFmtId="44" fontId="11" fillId="6" borderId="25" xfId="0" applyNumberFormat="1" applyFont="1" applyFill="1" applyBorder="1" applyAlignment="1">
      <alignment horizontal="left" vertical="center" indent="2"/>
    </xf>
    <xf numFmtId="9" fontId="0" fillId="0" borderId="0" xfId="1" applyFont="1"/>
    <xf numFmtId="9" fontId="0" fillId="0" borderId="0" xfId="1" applyFont="1" applyAlignment="1">
      <alignment horizontal="center"/>
    </xf>
    <xf numFmtId="9" fontId="5" fillId="0" borderId="0" xfId="1" applyFont="1" applyAlignment="1">
      <alignment horizontal="center"/>
    </xf>
    <xf numFmtId="9" fontId="6" fillId="0" borderId="0" xfId="1" applyFont="1" applyAlignment="1">
      <alignment horizontal="center"/>
    </xf>
    <xf numFmtId="9" fontId="6" fillId="0" borderId="1" xfId="1" applyFont="1" applyBorder="1" applyAlignment="1">
      <alignment horizontal="center"/>
    </xf>
    <xf numFmtId="9" fontId="11" fillId="2" borderId="22" xfId="1" applyFont="1" applyFill="1" applyBorder="1" applyAlignment="1">
      <alignment horizontal="center" vertical="center" wrapText="1"/>
    </xf>
    <xf numFmtId="9" fontId="10" fillId="0" borderId="0" xfId="1" applyFont="1" applyAlignment="1">
      <alignment horizontal="center" vertical="center" wrapText="1"/>
    </xf>
    <xf numFmtId="9" fontId="2" fillId="0" borderId="0" xfId="1" applyFont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9" fontId="11" fillId="2" borderId="0" xfId="1" applyFont="1" applyFill="1" applyAlignment="1">
      <alignment horizontal="center" vertical="center" wrapText="1"/>
    </xf>
    <xf numFmtId="9" fontId="19" fillId="7" borderId="0" xfId="1" applyFont="1" applyFill="1" applyAlignment="1">
      <alignment horizontal="center" vertical="center" wrapText="1"/>
    </xf>
    <xf numFmtId="0" fontId="18" fillId="8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 wrapText="1"/>
    </xf>
    <xf numFmtId="0" fontId="20" fillId="0" borderId="0" xfId="0" applyFont="1"/>
    <xf numFmtId="0" fontId="11" fillId="2" borderId="22" xfId="0" applyFont="1" applyFill="1" applyBorder="1" applyAlignment="1">
      <alignment horizontal="center" vertical="center"/>
    </xf>
    <xf numFmtId="16" fontId="11" fillId="2" borderId="25" xfId="0" applyNumberFormat="1" applyFont="1" applyFill="1" applyBorder="1" applyAlignment="1">
      <alignment horizontal="center" vertical="center"/>
    </xf>
    <xf numFmtId="1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 indent="2"/>
    </xf>
    <xf numFmtId="16" fontId="19" fillId="3" borderId="13" xfId="0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21" xfId="0" applyFont="1" applyFill="1" applyBorder="1" applyAlignment="1">
      <alignment horizontal="left" vertical="center" wrapText="1"/>
    </xf>
    <xf numFmtId="9" fontId="19" fillId="3" borderId="0" xfId="1" applyFont="1" applyFill="1" applyAlignment="1">
      <alignment horizontal="center" vertical="center"/>
    </xf>
    <xf numFmtId="16" fontId="19" fillId="7" borderId="0" xfId="0" applyNumberFormat="1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21" xfId="0" applyFont="1" applyFill="1" applyBorder="1" applyAlignment="1">
      <alignment horizontal="left" vertical="center" wrapText="1"/>
    </xf>
    <xf numFmtId="16" fontId="11" fillId="6" borderId="25" xfId="0" applyNumberFormat="1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0" fontId="11" fillId="6" borderId="26" xfId="0" applyFont="1" applyFill="1" applyBorder="1" applyAlignment="1">
      <alignment horizontal="left" vertical="center" wrapText="1"/>
    </xf>
    <xf numFmtId="9" fontId="11" fillId="6" borderId="25" xfId="1" applyFont="1" applyFill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23" fillId="2" borderId="22" xfId="0" applyFont="1" applyFill="1" applyBorder="1" applyAlignment="1">
      <alignment horizontal="center" vertical="center"/>
    </xf>
    <xf numFmtId="0" fontId="0" fillId="0" borderId="0" xfId="0" applyAlignment="1">
      <alignment horizontal="left" wrapText="1" indent="2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left" wrapText="1" indent="2"/>
    </xf>
    <xf numFmtId="0" fontId="6" fillId="0" borderId="0" xfId="0" applyFont="1" applyAlignment="1">
      <alignment horizontal="left" wrapText="1" indent="16"/>
    </xf>
    <xf numFmtId="0" fontId="4" fillId="0" borderId="0" xfId="0" applyFont="1" applyAlignment="1">
      <alignment horizontal="left" vertical="center" wrapText="1" indent="16"/>
    </xf>
    <xf numFmtId="0" fontId="4" fillId="0" borderId="0" xfId="0" applyFont="1" applyAlignment="1">
      <alignment horizontal="left" wrapText="1" indent="16"/>
    </xf>
    <xf numFmtId="0" fontId="6" fillId="0" borderId="0" xfId="0" applyFont="1" applyAlignment="1">
      <alignment horizontal="left" wrapText="1" indent="2"/>
    </xf>
    <xf numFmtId="0" fontId="11" fillId="2" borderId="22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 indent="1"/>
    </xf>
    <xf numFmtId="0" fontId="11" fillId="6" borderId="24" xfId="0" applyFont="1" applyFill="1" applyBorder="1" applyAlignment="1">
      <alignment horizontal="left" vertical="center" wrapText="1" indent="2"/>
    </xf>
    <xf numFmtId="0" fontId="19" fillId="3" borderId="20" xfId="0" applyFont="1" applyFill="1" applyBorder="1" applyAlignment="1">
      <alignment horizontal="left" vertical="center" wrapText="1" indent="5"/>
    </xf>
    <xf numFmtId="0" fontId="19" fillId="7" borderId="20" xfId="0" applyFont="1" applyFill="1" applyBorder="1" applyAlignment="1">
      <alignment horizontal="left" vertical="center" wrapText="1" indent="7"/>
    </xf>
    <xf numFmtId="0" fontId="10" fillId="0" borderId="0" xfId="0" applyFont="1" applyAlignment="1">
      <alignment horizontal="left" vertical="center" wrapText="1" indent="9"/>
    </xf>
    <xf numFmtId="0" fontId="10" fillId="0" borderId="20" xfId="0" applyFont="1" applyBorder="1" applyAlignment="1">
      <alignment horizontal="left" vertical="center" wrapText="1" indent="9"/>
    </xf>
    <xf numFmtId="0" fontId="10" fillId="0" borderId="20" xfId="0" applyFont="1" applyBorder="1" applyAlignment="1">
      <alignment horizontal="left" vertical="center" wrapText="1" indent="8"/>
    </xf>
    <xf numFmtId="0" fontId="2" fillId="0" borderId="0" xfId="0" applyFont="1" applyAlignment="1">
      <alignment horizontal="left" wrapText="1" indent="2"/>
    </xf>
    <xf numFmtId="2" fontId="0" fillId="0" borderId="0" xfId="1" applyNumberFormat="1" applyFont="1"/>
    <xf numFmtId="9" fontId="0" fillId="0" borderId="0" xfId="1" applyFon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9" fontId="0" fillId="6" borderId="25" xfId="1" applyFont="1" applyFill="1" applyBorder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0" fillId="7" borderId="0" xfId="1" applyFont="1" applyFill="1" applyAlignment="1">
      <alignment horizontal="center" vertical="center" wrapText="1"/>
    </xf>
    <xf numFmtId="9" fontId="12" fillId="2" borderId="22" xfId="1" applyFont="1" applyFill="1" applyBorder="1" applyAlignment="1">
      <alignment horizontal="center" vertical="center" wrapText="1"/>
    </xf>
    <xf numFmtId="2" fontId="12" fillId="0" borderId="0" xfId="1" applyNumberFormat="1" applyFont="1" applyAlignment="1">
      <alignment horizontal="center" vertical="center"/>
    </xf>
    <xf numFmtId="14" fontId="0" fillId="0" borderId="0" xfId="0" applyNumberFormat="1"/>
    <xf numFmtId="2" fontId="25" fillId="0" borderId="0" xfId="1" applyNumberFormat="1" applyFont="1" applyAlignment="1">
      <alignment horizontal="center" vertical="center"/>
    </xf>
    <xf numFmtId="49" fontId="7" fillId="7" borderId="0" xfId="0" applyNumberFormat="1" applyFont="1" applyFill="1" applyAlignment="1">
      <alignment horizontal="left" vertical="center"/>
    </xf>
    <xf numFmtId="49" fontId="24" fillId="7" borderId="25" xfId="0" applyNumberFormat="1" applyFont="1" applyFill="1" applyBorder="1" applyAlignment="1">
      <alignment horizontal="left" vertical="center"/>
    </xf>
    <xf numFmtId="0" fontId="26" fillId="9" borderId="0" xfId="0" applyFont="1" applyFill="1" applyAlignment="1">
      <alignment vertical="center"/>
    </xf>
    <xf numFmtId="0" fontId="26" fillId="9" borderId="0" xfId="0" applyFont="1" applyFill="1" applyAlignment="1">
      <alignment vertical="center" wrapText="1"/>
    </xf>
    <xf numFmtId="0" fontId="26" fillId="10" borderId="0" xfId="0" applyFont="1" applyFill="1" applyAlignment="1">
      <alignment vertical="center"/>
    </xf>
    <xf numFmtId="0" fontId="26" fillId="10" borderId="0" xfId="0" applyFont="1" applyFill="1" applyAlignment="1">
      <alignment vertical="center" wrapText="1"/>
    </xf>
    <xf numFmtId="0" fontId="27" fillId="11" borderId="0" xfId="0" applyFont="1" applyFill="1" applyAlignment="1">
      <alignment vertical="center"/>
    </xf>
    <xf numFmtId="0" fontId="27" fillId="11" borderId="0" xfId="0" applyFont="1" applyFill="1" applyAlignment="1">
      <alignment vertical="center" wrapText="1"/>
    </xf>
    <xf numFmtId="0" fontId="27" fillId="12" borderId="0" xfId="0" applyFont="1" applyFill="1" applyAlignment="1">
      <alignment vertical="center"/>
    </xf>
    <xf numFmtId="0" fontId="27" fillId="12" borderId="0" xfId="0" applyFont="1" applyFill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9" fontId="26" fillId="9" borderId="0" xfId="0" applyNumberFormat="1" applyFont="1" applyFill="1" applyAlignment="1">
      <alignment horizontal="center" vertical="center"/>
    </xf>
    <xf numFmtId="9" fontId="26" fillId="10" borderId="0" xfId="0" applyNumberFormat="1" applyFont="1" applyFill="1" applyAlignment="1">
      <alignment horizontal="center" vertical="center"/>
    </xf>
    <xf numFmtId="9" fontId="27" fillId="11" borderId="0" xfId="0" applyNumberFormat="1" applyFont="1" applyFill="1" applyAlignment="1">
      <alignment horizontal="center" vertical="center"/>
    </xf>
    <xf numFmtId="9" fontId="27" fillId="12" borderId="0" xfId="0" applyNumberFormat="1" applyFont="1" applyFill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7" fillId="11" borderId="0" xfId="0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13" borderId="0" xfId="0" applyFill="1"/>
    <xf numFmtId="0" fontId="12" fillId="13" borderId="0" xfId="0" applyFont="1" applyFill="1"/>
    <xf numFmtId="0" fontId="22" fillId="13" borderId="0" xfId="0" applyFont="1" applyFill="1" applyAlignment="1">
      <alignment horizontal="left"/>
    </xf>
    <xf numFmtId="0" fontId="0" fillId="13" borderId="0" xfId="0" applyFill="1" applyAlignment="1">
      <alignment horizontal="left" wrapText="1" indent="2"/>
    </xf>
    <xf numFmtId="0" fontId="8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0" fontId="0" fillId="13" borderId="0" xfId="0" applyFill="1" applyAlignment="1">
      <alignment horizontal="left" vertical="center" wrapText="1"/>
    </xf>
    <xf numFmtId="9" fontId="0" fillId="13" borderId="0" xfId="1" applyFont="1" applyFill="1" applyAlignment="1">
      <alignment horizontal="center"/>
    </xf>
    <xf numFmtId="9" fontId="0" fillId="13" borderId="0" xfId="1" applyFont="1" applyFill="1" applyAlignment="1">
      <alignment horizontal="center" vertical="center"/>
    </xf>
    <xf numFmtId="9" fontId="0" fillId="13" borderId="0" xfId="1" applyFont="1" applyFill="1"/>
    <xf numFmtId="0" fontId="20" fillId="13" borderId="0" xfId="0" applyFont="1" applyFill="1"/>
    <xf numFmtId="0" fontId="20" fillId="13" borderId="0" xfId="0" applyFont="1" applyFill="1" applyAlignment="1">
      <alignment horizontal="center"/>
    </xf>
    <xf numFmtId="0" fontId="29" fillId="0" borderId="0" xfId="0" applyFont="1" applyAlignment="1">
      <alignment vertical="center" wrapText="1"/>
    </xf>
    <xf numFmtId="0" fontId="30" fillId="9" borderId="0" xfId="0" applyFont="1" applyFill="1" applyAlignment="1">
      <alignment vertical="center"/>
    </xf>
    <xf numFmtId="0" fontId="30" fillId="10" borderId="0" xfId="0" applyFont="1" applyFill="1" applyAlignment="1">
      <alignment vertical="center"/>
    </xf>
    <xf numFmtId="0" fontId="31" fillId="11" borderId="0" xfId="0" applyFont="1" applyFill="1" applyAlignment="1">
      <alignment vertical="center"/>
    </xf>
    <xf numFmtId="0" fontId="31" fillId="12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0" fontId="31" fillId="11" borderId="0" xfId="0" applyFont="1" applyFill="1" applyAlignment="1">
      <alignment vertical="center" wrapText="1"/>
    </xf>
    <xf numFmtId="0" fontId="31" fillId="12" borderId="0" xfId="0" applyFont="1" applyFill="1" applyAlignment="1">
      <alignment vertical="center" wrapText="1"/>
    </xf>
    <xf numFmtId="0" fontId="29" fillId="13" borderId="0" xfId="0" applyFont="1" applyFill="1" applyAlignment="1">
      <alignment vertical="center"/>
    </xf>
    <xf numFmtId="14" fontId="26" fillId="9" borderId="0" xfId="0" applyNumberFormat="1" applyFont="1" applyFill="1" applyAlignment="1">
      <alignment horizontal="center" vertical="center"/>
    </xf>
    <xf numFmtId="14" fontId="26" fillId="10" borderId="0" xfId="0" applyNumberFormat="1" applyFont="1" applyFill="1" applyAlignment="1">
      <alignment horizontal="center" vertical="center"/>
    </xf>
    <xf numFmtId="14" fontId="27" fillId="11" borderId="0" xfId="0" applyNumberFormat="1" applyFont="1" applyFill="1" applyAlignment="1">
      <alignment horizontal="center" vertical="center"/>
    </xf>
    <xf numFmtId="14" fontId="27" fillId="12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14" fontId="29" fillId="0" borderId="0" xfId="0" applyNumberFormat="1" applyFont="1" applyAlignment="1">
      <alignment horizontal="center" vertical="center"/>
    </xf>
    <xf numFmtId="1" fontId="0" fillId="13" borderId="0" xfId="0" applyNumberFormat="1" applyFill="1" applyAlignment="1">
      <alignment horizontal="center" vertical="center"/>
    </xf>
    <xf numFmtId="0" fontId="32" fillId="2" borderId="27" xfId="0" applyFont="1" applyFill="1" applyBorder="1" applyAlignment="1">
      <alignment horizontal="center" vertical="center" wrapText="1"/>
    </xf>
    <xf numFmtId="14" fontId="20" fillId="13" borderId="0" xfId="0" applyNumberFormat="1" applyFont="1" applyFill="1"/>
    <xf numFmtId="14" fontId="0" fillId="13" borderId="0" xfId="0" applyNumberFormat="1" applyFill="1" applyAlignment="1">
      <alignment horizontal="center" vertical="center"/>
    </xf>
    <xf numFmtId="0" fontId="8" fillId="13" borderId="0" xfId="0" applyFont="1" applyFill="1" applyAlignment="1">
      <alignment horizontal="center" wrapText="1"/>
    </xf>
    <xf numFmtId="14" fontId="33" fillId="0" borderId="0" xfId="0" applyNumberFormat="1" applyFont="1" applyAlignment="1">
      <alignment horizontal="center" vertical="center"/>
    </xf>
    <xf numFmtId="0" fontId="27" fillId="13" borderId="0" xfId="0" applyFont="1" applyFill="1" applyAlignment="1">
      <alignment horizontal="center"/>
    </xf>
    <xf numFmtId="0" fontId="34" fillId="0" borderId="0" xfId="0" applyFont="1" applyAlignment="1">
      <alignment vertical="center" wrapText="1"/>
    </xf>
    <xf numFmtId="0" fontId="35" fillId="11" borderId="0" xfId="0" applyFont="1" applyFill="1" applyAlignment="1">
      <alignment vertical="center" wrapText="1"/>
    </xf>
    <xf numFmtId="2" fontId="29" fillId="0" borderId="0" xfId="0" applyNumberFormat="1" applyFont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</cellXfs>
  <cellStyles count="4">
    <cellStyle name="Moeda" xfId="3" builtinId="4"/>
    <cellStyle name="Normal" xfId="0" builtinId="0"/>
    <cellStyle name="Normal 2" xfId="2" xr:uid="{00000000-0005-0000-0000-000002000000}"/>
    <cellStyle name="Porcentagem" xfId="1" builtinId="5"/>
  </cellStyles>
  <dxfs count="186">
    <dxf>
      <font>
        <color rgb="FF808080"/>
      </font>
      <fill>
        <patternFill>
          <bgColor rgb="FF808080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808080"/>
      </font>
      <fill>
        <patternFill>
          <bgColor rgb="FF808080"/>
        </patternFill>
      </fill>
    </dxf>
    <dxf>
      <font>
        <color theme="0"/>
      </font>
      <fill>
        <patternFill>
          <bgColor theme="0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theme="1" tint="0.249977111117893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wrapText="1"/>
    </dxf>
    <dxf>
      <numFmt numFmtId="0" formatCode="General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theme="1" tint="0.249977111117893"/>
        <name val="Calibri"/>
        <family val="2"/>
        <scheme val="minor"/>
      </font>
      <numFmt numFmtId="21" formatCode="dd/mmm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theme="1" tint="0.249977111117893"/>
        <name val="Calibri"/>
        <family val="2"/>
        <scheme val="minor"/>
      </font>
      <numFmt numFmtId="21" formatCode="dd/mmm"/>
      <alignment horizontal="center" vertical="center"/>
    </dxf>
    <dxf>
      <alignment horizontal="left" wrapText="1"/>
    </dxf>
    <dxf>
      <font>
        <b/>
        <strike val="0"/>
        <condense val="0"/>
        <extend val="0"/>
        <outline val="0"/>
        <shadow val="0"/>
        <vertAlign val="baseline"/>
        <sz val="9"/>
        <color theme="1" tint="0.249977111117893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 tint="0.249977111117893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 tint="0.249977111117893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 tint="0.249977111117893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/>
    </dxf>
    <dxf>
      <font>
        <b/>
        <strike val="0"/>
        <condense val="0"/>
        <extend val="0"/>
        <outline val="0"/>
        <shadow val="0"/>
        <vertAlign val="baseline"/>
        <sz val="9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/>
      <border outline="0">
        <left style="thin">
          <color rgb="FFA6A6A6"/>
        </left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44A"/>
        </patternFill>
      </fill>
      <alignment horizontal="center" vertical="center" wrapText="1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44A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theme="1" tint="0.249977111117893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wrapText="1"/>
    </dxf>
    <dxf>
      <numFmt numFmtId="0" formatCode="General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theme="1" tint="0.249977111117893"/>
        <name val="Calibri"/>
        <family val="2"/>
        <scheme val="minor"/>
      </font>
      <numFmt numFmtId="21" formatCode="dd/mmm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theme="1" tint="0.249977111117893"/>
        <name val="Calibri"/>
        <family val="2"/>
        <scheme val="minor"/>
      </font>
      <numFmt numFmtId="21" formatCode="dd/mmm"/>
      <alignment horizontal="center" vertical="center"/>
    </dxf>
    <dxf>
      <alignment horizontal="left" wrapText="1"/>
    </dxf>
    <dxf>
      <font>
        <b/>
        <strike val="0"/>
        <condense val="0"/>
        <extend val="0"/>
        <outline val="0"/>
        <shadow val="0"/>
        <vertAlign val="baseline"/>
        <sz val="9"/>
        <color theme="1" tint="0.249977111117893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 tint="0.249977111117893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 tint="0.249977111117893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 tint="0.249977111117893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/>
    </dxf>
    <dxf>
      <font>
        <b/>
        <strike val="0"/>
        <condense val="0"/>
        <extend val="0"/>
        <outline val="0"/>
        <shadow val="0"/>
        <vertAlign val="baseline"/>
        <sz val="9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/>
      <border outline="0">
        <left style="thin">
          <color rgb="FFA6A6A6"/>
        </left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theme="1" tint="0.249977111117893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wrapText="1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theme="1" tint="0.249977111117893"/>
        <name val="Calibri"/>
        <family val="2"/>
        <scheme val="minor"/>
      </font>
      <numFmt numFmtId="165" formatCode="d/m;@"/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 tint="0.249977111117893"/>
        <name val="Calibri"/>
        <family val="2"/>
        <scheme val="minor"/>
      </font>
      <numFmt numFmtId="165" formatCode="d/m;@"/>
      <alignment horizontal="center" vertical="center"/>
    </dxf>
    <dxf>
      <numFmt numFmtId="165" formatCode="d/m;@"/>
    </dxf>
    <dxf>
      <numFmt numFmtId="165" formatCode="d/m;@"/>
    </dxf>
    <dxf>
      <alignment horizontal="left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9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none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2068285</xdr:colOff>
      <xdr:row>1</xdr:row>
      <xdr:rowOff>55176</xdr:rowOff>
    </xdr:from>
    <xdr:to>
      <xdr:col>18</xdr:col>
      <xdr:colOff>359168</xdr:colOff>
      <xdr:row>2</xdr:row>
      <xdr:rowOff>121064</xdr:rowOff>
    </xdr:to>
    <xdr:pic>
      <xdr:nvPicPr>
        <xdr:cNvPr id="2" name="Imagem 1" descr="Resultado de imagem para alvarez and mars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l="11840" t="80784" r="12182" b="2650"/>
        <a:stretch>
          <a:fillRect/>
        </a:stretch>
      </xdr:blipFill>
      <xdr:spPr bwMode="auto">
        <a:xfrm>
          <a:off x="16195765" y="108516"/>
          <a:ext cx="1417026" cy="24876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7</xdr:col>
      <xdr:colOff>158347</xdr:colOff>
      <xdr:row>4</xdr:row>
      <xdr:rowOff>18585</xdr:rowOff>
    </xdr:from>
    <xdr:to>
      <xdr:col>7</xdr:col>
      <xdr:colOff>1145779</xdr:colOff>
      <xdr:row>7</xdr:row>
      <xdr:rowOff>52294</xdr:rowOff>
    </xdr:to>
    <xdr:pic>
      <xdr:nvPicPr>
        <xdr:cNvPr id="3" name="Imagem 2" descr="Gerdau lança campanha de comunicação para celebrar seus 120 anos em  parceria com a 1.2.3.5.8 - Portal Aberj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t="12452" b="19259"/>
        <a:stretch>
          <a:fillRect/>
        </a:stretch>
      </xdr:blipFill>
      <xdr:spPr bwMode="auto">
        <a:xfrm>
          <a:off x="330171" y="526585"/>
          <a:ext cx="987432" cy="594003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710836</xdr:colOff>
      <xdr:row>0</xdr:row>
      <xdr:rowOff>11634</xdr:rowOff>
    </xdr:from>
    <xdr:to>
      <xdr:col>17</xdr:col>
      <xdr:colOff>114333</xdr:colOff>
      <xdr:row>2</xdr:row>
      <xdr:rowOff>23093</xdr:rowOff>
    </xdr:to>
    <xdr:pic>
      <xdr:nvPicPr>
        <xdr:cNvPr id="2" name="Imagem 1" descr="Resultado de imagem para alvarez and marsal">
          <a:extLst>
            <a:ext uri="{FF2B5EF4-FFF2-40B4-BE49-F238E27FC236}">
              <a16:creationId xmlns:a16="http://schemas.microsoft.com/office/drawing/2014/main" id="{241B169C-C36C-4221-AD36-6001E9D4AF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l="11840" t="80784" r="12182" b="2650"/>
        <a:stretch>
          <a:fillRect/>
        </a:stretch>
      </xdr:blipFill>
      <xdr:spPr bwMode="auto">
        <a:xfrm>
          <a:off x="16834756" y="11634"/>
          <a:ext cx="1415177" cy="247679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7</xdr:col>
      <xdr:colOff>77665</xdr:colOff>
      <xdr:row>4</xdr:row>
      <xdr:rowOff>45479</xdr:rowOff>
    </xdr:from>
    <xdr:to>
      <xdr:col>7</xdr:col>
      <xdr:colOff>1065097</xdr:colOff>
      <xdr:row>7</xdr:row>
      <xdr:rowOff>16933</xdr:rowOff>
    </xdr:to>
    <xdr:pic>
      <xdr:nvPicPr>
        <xdr:cNvPr id="3" name="Imagem 2" descr="Gerdau lança campanha de comunicação para celebrar seus 120 anos em  parceria com a 1.2.3.5.8 - Portal Aberje">
          <a:extLst>
            <a:ext uri="{FF2B5EF4-FFF2-40B4-BE49-F238E27FC236}">
              <a16:creationId xmlns:a16="http://schemas.microsoft.com/office/drawing/2014/main" id="{6B11B38A-16C3-47AE-A4D8-ABBDC25D72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t="12452" b="19259"/>
        <a:stretch>
          <a:fillRect/>
        </a:stretch>
      </xdr:blipFill>
      <xdr:spPr bwMode="auto">
        <a:xfrm>
          <a:off x="1754065" y="533159"/>
          <a:ext cx="987432" cy="70297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2068285</xdr:colOff>
      <xdr:row>1</xdr:row>
      <xdr:rowOff>55176</xdr:rowOff>
    </xdr:from>
    <xdr:to>
      <xdr:col>18</xdr:col>
      <xdr:colOff>51197</xdr:colOff>
      <xdr:row>2</xdr:row>
      <xdr:rowOff>121064</xdr:rowOff>
    </xdr:to>
    <xdr:pic>
      <xdr:nvPicPr>
        <xdr:cNvPr id="2" name="Imagem 1" descr="Resultado de imagem para alvarez and marsal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l="11840" t="80784" r="12182" b="2650"/>
        <a:stretch>
          <a:fillRect/>
        </a:stretch>
      </xdr:blipFill>
      <xdr:spPr bwMode="auto">
        <a:xfrm>
          <a:off x="16744405" y="108516"/>
          <a:ext cx="1411912" cy="24876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7</xdr:col>
      <xdr:colOff>158347</xdr:colOff>
      <xdr:row>4</xdr:row>
      <xdr:rowOff>18585</xdr:rowOff>
    </xdr:from>
    <xdr:to>
      <xdr:col>7</xdr:col>
      <xdr:colOff>1145779</xdr:colOff>
      <xdr:row>6</xdr:row>
      <xdr:rowOff>169333</xdr:rowOff>
    </xdr:to>
    <xdr:pic>
      <xdr:nvPicPr>
        <xdr:cNvPr id="3" name="Imagem 2" descr="Gerdau lança campanha de comunicação para celebrar seus 120 anos em  parceria com a 1.2.3.5.8 - Portal Aberj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t="12452" b="19259"/>
        <a:stretch>
          <a:fillRect/>
        </a:stretch>
      </xdr:blipFill>
      <xdr:spPr bwMode="auto">
        <a:xfrm>
          <a:off x="4768447" y="506265"/>
          <a:ext cx="987432" cy="69938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815340</xdr:colOff>
      <xdr:row>1</xdr:row>
      <xdr:rowOff>17076</xdr:rowOff>
    </xdr:from>
    <xdr:to>
      <xdr:col>15</xdr:col>
      <xdr:colOff>259156</xdr:colOff>
      <xdr:row>2</xdr:row>
      <xdr:rowOff>82964</xdr:rowOff>
    </xdr:to>
    <xdr:pic>
      <xdr:nvPicPr>
        <xdr:cNvPr id="2" name="Imagem 1" descr="Resultado de imagem para alvarez and marsal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l="11840" t="80784" r="12182" b="2650"/>
        <a:stretch>
          <a:fillRect/>
        </a:stretch>
      </xdr:blipFill>
      <xdr:spPr bwMode="auto">
        <a:xfrm>
          <a:off x="12923520" y="70416"/>
          <a:ext cx="1402156" cy="24876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158347</xdr:colOff>
      <xdr:row>4</xdr:row>
      <xdr:rowOff>18585</xdr:rowOff>
    </xdr:from>
    <xdr:to>
      <xdr:col>4</xdr:col>
      <xdr:colOff>132767</xdr:colOff>
      <xdr:row>6</xdr:row>
      <xdr:rowOff>320412</xdr:rowOff>
    </xdr:to>
    <xdr:pic>
      <xdr:nvPicPr>
        <xdr:cNvPr id="3" name="Imagem 2" descr="Gerdau lança campanha de comunicação para celebrar seus 120 anos em  parceria com a 1.2.3.5.8 - Portal Aberj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t="12452" b="19259"/>
        <a:stretch>
          <a:fillRect/>
        </a:stretch>
      </xdr:blipFill>
      <xdr:spPr bwMode="auto">
        <a:xfrm>
          <a:off x="386947" y="506265"/>
          <a:ext cx="987880" cy="66758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1958655</xdr:colOff>
      <xdr:row>1</xdr:row>
      <xdr:rowOff>55177</xdr:rowOff>
    </xdr:from>
    <xdr:to>
      <xdr:col>15</xdr:col>
      <xdr:colOff>4750</xdr:colOff>
      <xdr:row>2</xdr:row>
      <xdr:rowOff>121065</xdr:rowOff>
    </xdr:to>
    <xdr:pic>
      <xdr:nvPicPr>
        <xdr:cNvPr id="2" name="Imagem 1" descr="Resultado de imagem para alvarez and marsal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l="11840" t="80784" r="12182" b="2650"/>
        <a:stretch>
          <a:fillRect/>
        </a:stretch>
      </xdr:blipFill>
      <xdr:spPr bwMode="auto">
        <a:xfrm>
          <a:off x="13969226" y="109606"/>
          <a:ext cx="1568092" cy="2473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.baseline" displayName="Tab.baseline" ref="B10:BN156" totalsRowShown="0" headerRowDxfId="127" dataDxfId="126">
  <autoFilter ref="B10:BN156" xr:uid="{00000000-0009-0000-0100-000001000000}"/>
  <tableColumns count="65">
    <tableColumn id="43" xr3:uid="{00000000-0010-0000-0000-00002B000000}" name="Nível" dataDxfId="125">
      <calculatedColumnFormula array="1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calculatedColumnFormula>
    </tableColumn>
    <tableColumn id="39" xr3:uid="{00000000-0010-0000-0000-000027000000}" name="EAP" dataDxfId="124"/>
    <tableColumn id="15" xr3:uid="{00000000-0010-0000-0000-00000F000000}" name="Nível 1" dataDxfId="123"/>
    <tableColumn id="14" xr3:uid="{00000000-0010-0000-0000-00000E000000}" name="Nível 2" dataDxfId="122"/>
    <tableColumn id="13" xr3:uid="{00000000-0010-0000-0000-00000D000000}" name="Nível 3" dataDxfId="121"/>
    <tableColumn id="12" xr3:uid="{00000000-0010-0000-0000-00000C000000}" name="Nível 4" dataDxfId="120"/>
    <tableColumn id="1" xr3:uid="{00000000-0010-0000-0000-000001000000}" name="Plano de Trabalho - A&amp;M" dataDxfId="119"/>
    <tableColumn id="2" xr3:uid="{00000000-0010-0000-0000-000002000000}" name="Data Início_x000a_Previsto"/>
    <tableColumn id="3" xr3:uid="{00000000-0010-0000-0000-000003000000}" name="Data Término_x000a_Prevista"/>
    <tableColumn id="4" xr3:uid="{00000000-0010-0000-0000-000004000000}" name="Data Início_x000a_Real/Projetado" dataDxfId="118"/>
    <tableColumn id="5" xr3:uid="{00000000-0010-0000-0000-000005000000}" name="Data Término_x000a_Real/Projetado" dataDxfId="117"/>
    <tableColumn id="6" xr3:uid="{00000000-0010-0000-0000-000006000000}" name="Responsável"/>
    <tableColumn id="7" xr3:uid="{00000000-0010-0000-0000-000007000000}" name="Status" dataDxfId="116">
      <calculatedColumnFormula array="1">_xlfn.IFS(L11&lt;$M$3,"Concluído",AND(K11&gt;=$M$3,I11&lt;$M$3,L11&gt;$M$3),"Em andamento",AND(L11&gt;=$M$3,J11&lt;$M$3),"Atrasado",AND(L11&gt;=$M$3,J11&gt;=$M$3,I11&gt;$M$3,K11&lt;=$M$3),"Em andamento",AND(L11&gt;=$M$3,J11&gt;=$M$3,I11&lt;=$M$3,K11&lt;=$M$3),"Em andamento",AND(K11&gt;$M$3,I11&gt;$M$3),"Não iniciado",AND(L11&gt;=$M$3,J11&gt;=$M$3,K11&gt;=$M$3,I11&lt;$M$3),"Atrasado",AND(L11&gt;=$M$3,J11&gt;=$M$3,K11&gt;=$M$3,I11&gt;$M$3),"Não iniciado",AND($I11&lt;=$M$3,$K11&gt;$M$3),"Atrasado")</calculatedColumnFormula>
    </tableColumn>
    <tableColumn id="8" xr3:uid="{00000000-0010-0000-0000-000008000000}" name="F">
      <calculatedColumnFormula array="1">_xlfn.IFS(N11="Não iniciado",0,N11="Em andamento",1,N11="Concluído",2,N11="Atrasado",3)</calculatedColumnFormula>
    </tableColumn>
    <tableColumn id="9" xr3:uid="{00000000-0010-0000-0000-000009000000}" name="Restrições"/>
    <tableColumn id="11" xr3:uid="{00000000-0010-0000-0000-00000B000000}" name="Avanço Previsto">
      <calculatedColumnFormula array="1">_xlfn.IFS(AND($I11&lt;$M$3,$J11&lt;$M$3),1,AND($I11&lt;$M$3,$J11&gt;=$M$3),0.5,AND($I11&gt;=$M$3,$J11&gt;=$M$3),0)</calculatedColumnFormula>
    </tableColumn>
    <tableColumn id="49" xr3:uid="{00000000-0010-0000-0000-000031000000}" name="Avanço Realizado" dataDxfId="115"/>
    <tableColumn id="10" xr3:uid="{00000000-0010-0000-0000-00000A000000}" name="01/02/2025" dataDxfId="114"/>
    <tableColumn id="16" xr3:uid="{00000000-0010-0000-0000-000010000000}" name="08/02/2025" dataDxfId="113"/>
    <tableColumn id="17" xr3:uid="{00000000-0010-0000-0000-000011000000}" name="15/02/2025" dataDxfId="112"/>
    <tableColumn id="18" xr3:uid="{00000000-0010-0000-0000-000012000000}" name="22/02/2025" dataDxfId="111"/>
    <tableColumn id="19" xr3:uid="{00000000-0010-0000-0000-000013000000}" name="01/03/2025" dataDxfId="110"/>
    <tableColumn id="20" xr3:uid="{00000000-0010-0000-0000-000014000000}" name="08/03/2025" dataDxfId="109"/>
    <tableColumn id="21" xr3:uid="{00000000-0010-0000-0000-000015000000}" name="15/03/2025" dataDxfId="108"/>
    <tableColumn id="22" xr3:uid="{00000000-0010-0000-0000-000016000000}" name="22/03/2025" dataDxfId="107"/>
    <tableColumn id="23" xr3:uid="{00000000-0010-0000-0000-000017000000}" name="29/03/2025" dataDxfId="106"/>
    <tableColumn id="24" xr3:uid="{00000000-0010-0000-0000-000018000000}" name="05/04/2025" dataDxfId="105"/>
    <tableColumn id="25" xr3:uid="{00000000-0010-0000-0000-000019000000}" name="12/04/2025" dataDxfId="104"/>
    <tableColumn id="26" xr3:uid="{00000000-0010-0000-0000-00001A000000}" name="19/04/2025" dataDxfId="103"/>
    <tableColumn id="27" xr3:uid="{00000000-0010-0000-0000-00001B000000}" name="26/04/2025" dataDxfId="102"/>
    <tableColumn id="28" xr3:uid="{00000000-0010-0000-0000-00001C000000}" name="03/05/2025" dataDxfId="101"/>
    <tableColumn id="29" xr3:uid="{00000000-0010-0000-0000-00001D000000}" name="10/05/2025" dataDxfId="100"/>
    <tableColumn id="30" xr3:uid="{00000000-0010-0000-0000-00001E000000}" name="17/05/2025" dataDxfId="99"/>
    <tableColumn id="31" xr3:uid="{00000000-0010-0000-0000-00001F000000}" name="24/05/2025" dataDxfId="98"/>
    <tableColumn id="32" xr3:uid="{00000000-0010-0000-0000-000020000000}" name="31/05/2025" dataDxfId="97"/>
    <tableColumn id="33" xr3:uid="{00000000-0010-0000-0000-000021000000}" name="07/06/2025" dataDxfId="96"/>
    <tableColumn id="34" xr3:uid="{00000000-0010-0000-0000-000022000000}" name="14/06/2025" dataDxfId="95"/>
    <tableColumn id="35" xr3:uid="{00000000-0010-0000-0000-000023000000}" name="21/06/2025" dataDxfId="94"/>
    <tableColumn id="36" xr3:uid="{00000000-0010-0000-0000-000024000000}" name="28/06/2025" dataDxfId="93"/>
    <tableColumn id="37" xr3:uid="{00000000-0010-0000-0000-000025000000}" name="05/07/2025" dataDxfId="92"/>
    <tableColumn id="38" xr3:uid="{00000000-0010-0000-0000-000026000000}" name="12/07/2025" dataDxfId="91"/>
    <tableColumn id="42" xr3:uid="{00000000-0010-0000-0000-00002A000000}" name="19/07/2025" dataDxfId="90"/>
    <tableColumn id="44" xr3:uid="{00000000-0010-0000-0000-00002C000000}" name="26/07/2025" dataDxfId="89"/>
    <tableColumn id="45" xr3:uid="{00000000-0010-0000-0000-00002D000000}" name="02/08/2025" dataDxfId="88"/>
    <tableColumn id="46" xr3:uid="{00000000-0010-0000-0000-00002E000000}" name="09/08/2025" dataDxfId="87"/>
    <tableColumn id="47" xr3:uid="{00000000-0010-0000-0000-00002F000000}" name="16/08/2025" dataDxfId="86"/>
    <tableColumn id="48" xr3:uid="{00000000-0010-0000-0000-000030000000}" name="23/08/2025" dataDxfId="85"/>
    <tableColumn id="50" xr3:uid="{00000000-0010-0000-0000-000032000000}" name="30/08/2025" dataDxfId="84"/>
    <tableColumn id="51" xr3:uid="{00000000-0010-0000-0000-000033000000}" name="06/09/2025" dataDxfId="83"/>
    <tableColumn id="52" xr3:uid="{00000000-0010-0000-0000-000034000000}" name="13/09/2025" dataDxfId="82"/>
    <tableColumn id="53" xr3:uid="{00000000-0010-0000-0000-000035000000}" name="20/09/2025" dataDxfId="81"/>
    <tableColumn id="54" xr3:uid="{00000000-0010-0000-0000-000036000000}" name="27/09/2025" dataDxfId="80"/>
    <tableColumn id="55" xr3:uid="{00000000-0010-0000-0000-000037000000}" name="04/10/2025" dataDxfId="79"/>
    <tableColumn id="56" xr3:uid="{00000000-0010-0000-0000-000038000000}" name="11/10/2025" dataDxfId="78"/>
    <tableColumn id="57" xr3:uid="{00000000-0010-0000-0000-000039000000}" name="18/10/2025" dataDxfId="77"/>
    <tableColumn id="58" xr3:uid="{00000000-0010-0000-0000-00003A000000}" name="25/10/2025" dataDxfId="76"/>
    <tableColumn id="59" xr3:uid="{00000000-0010-0000-0000-00003B000000}" name="01/11/2025" dataDxfId="75"/>
    <tableColumn id="60" xr3:uid="{00000000-0010-0000-0000-00003C000000}" name="08/11/2025" dataDxfId="74"/>
    <tableColumn id="61" xr3:uid="{00000000-0010-0000-0000-00003D000000}" name="15/11/2025" dataDxfId="73"/>
    <tableColumn id="62" xr3:uid="{00000000-0010-0000-0000-00003E000000}" name="22/11/2025" dataDxfId="72"/>
    <tableColumn id="63" xr3:uid="{00000000-0010-0000-0000-00003F000000}" name="29/11/2025" dataDxfId="71"/>
    <tableColumn id="64" xr3:uid="{00000000-0010-0000-0000-000040000000}" name="06/12/2025" dataDxfId="70"/>
    <tableColumn id="65" xr3:uid="{00000000-0010-0000-0000-000041000000}" name="13/12/2025" dataDxfId="69"/>
    <tableColumn id="66" xr3:uid="{00000000-0010-0000-0000-000042000000}" name="20/12/2025" dataDxfId="68"/>
    <tableColumn id="67" xr3:uid="{00000000-0010-0000-0000-000043000000}" name="27/12/2025" dataDxfId="6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5C4142-9E53-4648-BDE7-18BE1B8B5938}" name="Tab.plano6" displayName="Tab.plano6" ref="B10:BH141" totalsRowShown="0" headerRowDxfId="185" dataDxfId="184">
  <autoFilter ref="B10:BH141" xr:uid="{335C4142-9E53-4648-BDE7-18BE1B8B5938}">
    <filterColumn colId="11">
      <filters>
        <filter val="Luciana Machado"/>
      </filters>
    </filterColumn>
  </autoFilter>
  <tableColumns count="59">
    <tableColumn id="43" xr3:uid="{5EF271FF-1338-4817-B0DB-2196A4168628}" name="Nível" dataDxfId="183">
      <calculatedColumnFormula array="1">_xlfn.IFS(LEN(Tab.plano6[[#This Row],[EAP]])=1,"Nível 1",LEN(Tab.plano6[[#This Row],[EAP]])=3,"Nível 2",LEN(Tab.plano6[[#This Row],[EAP]])=5,"Nível 3",LEN(Tab.plano6[[#This Row],[EAP]])=7,"Nível 4",LEN(Tab.plano6[[#This Row],[EAP]])=9,"Nível 5",LEN(Tab.plano6[[#This Row],[EAP]])=11,"Nível 6",LEN(Tab.plano6[[#This Row],[EAP]])=11,"Nível 7")</calculatedColumnFormula>
    </tableColumn>
    <tableColumn id="39" xr3:uid="{87A48EF2-A0F4-4F42-A7A2-6F7B53EA71AF}" name="EAP" dataDxfId="182"/>
    <tableColumn id="40" xr3:uid="{71D7DC2B-FC94-4457-8A0B-4F281209EF02}" name="Nível 1" dataDxfId="181"/>
    <tableColumn id="15" xr3:uid="{A875BD4A-FB29-440A-8D6B-C92BA8E2E589}" name="Nível 2" dataDxfId="180"/>
    <tableColumn id="14" xr3:uid="{AE9FB847-1A47-485F-9447-7E24D495DC31}" name="Nível 3" dataDxfId="179"/>
    <tableColumn id="13" xr3:uid="{D9F36831-8F5B-44A6-A550-610B4750195E}" name="Nível 4" dataDxfId="178"/>
    <tableColumn id="1" xr3:uid="{826D9C21-EB4A-4F83-A511-C8CAF4341BBF}" name="Plano de Trabalho - A&amp;M" dataDxfId="177"/>
    <tableColumn id="2" xr3:uid="{EA574A2A-045F-447F-8844-9FF566E8D670}" name="Data Início_x000a_Previsto" dataDxfId="176"/>
    <tableColumn id="3" xr3:uid="{8AC64550-DE35-4257-BFE3-8E8A1ACFF558}" name="Data Término_x000a_Prevista" dataDxfId="175"/>
    <tableColumn id="4" xr3:uid="{72D82793-FD71-4F5B-9C78-AE13C2C22941}" name="Data Início_x000a_Real/Projetado" dataDxfId="174"/>
    <tableColumn id="5" xr3:uid="{8475749A-2D4B-4B32-AF3F-77E85C18A79F}" name="Data Término_x000a_Real/Projetado" dataDxfId="173"/>
    <tableColumn id="6" xr3:uid="{4591DCF0-3691-4CA4-AC4E-7A73E5EAAC7D}" name="Responsável"/>
    <tableColumn id="7" xr3:uid="{D5DDA8D1-7F80-4A39-891E-D8C8EDF29EE6}" name="Status" dataDxfId="172">
      <calculatedColumnFormula array="1">_xlfn.IFS(L11&lt;$M$3,"Concluído",AND(K11&lt;=$M$3,L11&gt;=$M$3,L11&lt;=J11),"Em andamento",AND(K11&lt;=$M$3,L11&gt;=$M$3,L11&gt;J11),"Atrasado",AND(K11&gt;$M$3,I11&gt;$M$3),"Não iniciado",AND(K11&gt;$M$3,I11&lt;=$M$3),"Atrasado",TRUE,"Não iniciado")</calculatedColumnFormula>
    </tableColumn>
    <tableColumn id="8" xr3:uid="{2EDD803C-DBA3-4C78-BC58-49D5CF7BFBC1}" name="F" dataDxfId="171">
      <calculatedColumnFormula array="1">_xlfn.IFS(N11="Não iniciado",0,N11="Em andamento",1,N11="Concluído",2,N11="Atrasado",3)</calculatedColumnFormula>
    </tableColumn>
    <tableColumn id="9" xr3:uid="{2B41C4FB-76A0-40C5-A1B3-51F9C5C577AF}" name="Restrições"/>
    <tableColumn id="11" xr3:uid="{72F08450-99D4-487F-8D11-6BEAD82D329B}" name="Avanço Previsto">
      <calculatedColumnFormula array="1">_xlfn.IFS(AND($I11&lt;$M$3,$J11&lt;$M$3),1,AND($I11&lt;$M$3,$J11&gt;=$M$3),0.5,AND($I11&gt;=$M$3,$J11&gt;=$M$3),0)</calculatedColumnFormula>
    </tableColumn>
    <tableColumn id="49" xr3:uid="{CAB70941-1486-461F-B3EA-7DB0FD3FC85E}" name="Avanço Realizado" dataDxfId="170"/>
    <tableColumn id="19" xr3:uid="{06D705AC-062C-47B7-80EA-5D1A35A334C1}" name="23/03/2026" dataDxfId="169"/>
    <tableColumn id="20" xr3:uid="{63F3C148-89B5-46CE-AC35-D348A2F72D38}" name="30/03/2026" dataDxfId="168"/>
    <tableColumn id="21" xr3:uid="{41D357E0-5F9B-4C5D-B69E-D8249E3300F1}" name="06/04/2026" dataDxfId="167"/>
    <tableColumn id="22" xr3:uid="{64B92B68-4685-439A-B421-6DB23F043270}" name="13/04/2026" dataDxfId="166"/>
    <tableColumn id="23" xr3:uid="{23503979-510A-43AF-A646-14D42AE8529C}" name="20/04/2026" dataDxfId="165"/>
    <tableColumn id="24" xr3:uid="{72FEB32D-3A85-4EF9-947F-DC58BB9284F5}" name="27/04/2026" dataDxfId="164"/>
    <tableColumn id="25" xr3:uid="{0B20CE1D-8BC0-4DA0-9BDD-C91D72DD00C2}" name="04/05/2026" dataDxfId="163"/>
    <tableColumn id="26" xr3:uid="{11CFE1A0-9A26-4E31-93EA-3164978F665A}" name="11/05/2026" dataDxfId="162"/>
    <tableColumn id="27" xr3:uid="{10570368-B5C4-4940-B669-B3CC99B2D3FF}" name="18/05/2026" dataDxfId="161"/>
    <tableColumn id="28" xr3:uid="{0C870CEB-3F14-4D6E-A8C9-BD1CDCD7023D}" name="25/05/2026" dataDxfId="160"/>
    <tableColumn id="29" xr3:uid="{D4278C87-9DD4-47F9-97B5-2DBF2C4758CB}" name="01/06/2026" dataDxfId="159"/>
    <tableColumn id="30" xr3:uid="{C44F9D86-C1D1-4DB2-AEDD-D901984C7561}" name="08/06/2026" dataDxfId="158"/>
    <tableColumn id="31" xr3:uid="{80B4527D-885F-403A-B01A-4E43D008B659}" name="15/06/2026" dataDxfId="157"/>
    <tableColumn id="32" xr3:uid="{8D3850F7-9EBA-4406-8A64-7458495D3422}" name="22/06/2026" dataDxfId="156"/>
    <tableColumn id="33" xr3:uid="{9E45A25C-D578-4589-BD3A-EA96A90013D7}" name="29/06/2026" dataDxfId="155"/>
    <tableColumn id="34" xr3:uid="{8AD4679C-C6D5-43B7-94B3-F9375ACEB3FE}" name="06/07/2026" dataDxfId="154"/>
    <tableColumn id="35" xr3:uid="{13EC9F9D-4C7D-44A6-B053-2FFC8FCC1EC7}" name="13/07/2026" dataDxfId="153"/>
    <tableColumn id="36" xr3:uid="{4F1321BF-7B83-44F1-ADCF-08E660E15431}" name="20/07/2026" dataDxfId="152"/>
    <tableColumn id="37" xr3:uid="{9D6DC46B-4A70-4376-8275-2A39AC09CD5E}" name="27/07/2026" dataDxfId="151"/>
    <tableColumn id="38" xr3:uid="{A52647A3-DFF4-4C21-A3E3-EA8634D4612F}" name="03/08/2026" dataDxfId="150"/>
    <tableColumn id="42" xr3:uid="{7414D742-792A-454B-B256-0D85AB516433}" name="10/08/2026" dataDxfId="149"/>
    <tableColumn id="44" xr3:uid="{BB7D9431-E57B-43CF-A7D8-58AD21F8276E}" name="17/08/2026" dataDxfId="148"/>
    <tableColumn id="45" xr3:uid="{0B2CC196-658D-4E9C-BC18-D6D937D03210}" name="24/08/2026" dataDxfId="147"/>
    <tableColumn id="46" xr3:uid="{C274C201-658F-4332-86DE-AACF668ECECC}" name="31/08/2026" dataDxfId="146"/>
    <tableColumn id="47" xr3:uid="{67F30D7C-7F55-49DE-A910-51B6D7CBA4F7}" name="07/09/2026" dataDxfId="145"/>
    <tableColumn id="48" xr3:uid="{11A9C943-5B03-4424-ADBD-0F06B0CB681C}" name="14/09/2026" dataDxfId="144"/>
    <tableColumn id="50" xr3:uid="{4CC4033D-3A9A-4728-BB15-B5BF4492C061}" name="21/09/2026" dataDxfId="143"/>
    <tableColumn id="51" xr3:uid="{CF4A5B76-97C0-4E09-B460-E801E5B0F7BB}" name="28/09/2026" dataDxfId="142"/>
    <tableColumn id="52" xr3:uid="{CE7CE569-61F4-48FF-8658-131796458CD5}" name="05/10/2026" dataDxfId="141"/>
    <tableColumn id="53" xr3:uid="{E10B9910-D6E4-4014-AC2A-8729DDB46BCC}" name="12/10/2026" dataDxfId="140"/>
    <tableColumn id="54" xr3:uid="{4C1BE435-E9F9-4586-B426-877D68B52228}" name="19/10/2026" dataDxfId="139"/>
    <tableColumn id="55" xr3:uid="{CEE6E9AB-99CF-4639-9A90-242D6137E772}" name="26/10/2026" dataDxfId="138"/>
    <tableColumn id="56" xr3:uid="{4B4197A2-982E-4EA1-AD5A-395EED811314}" name="02/11/2026" dataDxfId="137"/>
    <tableColumn id="57" xr3:uid="{EF56DCB0-9DD9-41C9-B621-D66DFDD33451}" name="09/11/2026" dataDxfId="136"/>
    <tableColumn id="58" xr3:uid="{307E1D4E-0822-43C2-B511-9B6C2F4F6A5C}" name="16/11/2026" dataDxfId="135"/>
    <tableColumn id="59" xr3:uid="{60D48FD9-6133-4EAA-835F-24B28AE77DE2}" name="23/11/2026" dataDxfId="134"/>
    <tableColumn id="60" xr3:uid="{A3B4401E-86CC-4402-AAF6-CA80CD9766F9}" name="30/11/2026" dataDxfId="133"/>
    <tableColumn id="61" xr3:uid="{3E988FEA-2C61-4152-99B6-AB33021293BF}" name="07/12/2026" dataDxfId="132"/>
    <tableColumn id="62" xr3:uid="{1865E413-6011-4BC4-BBEF-AC7EBB9FD715}" name="14/12/2026" dataDxfId="131"/>
    <tableColumn id="63" xr3:uid="{FFF0CF79-C8DF-441D-B842-A116AA5E430D}" name="21/12/2026" dataDxfId="130"/>
    <tableColumn id="64" xr3:uid="{8056F93B-20FF-44A9-8022-E7A3FE72F8D0}" name="28/12/2026" dataDxfId="129"/>
    <tableColumn id="41" xr3:uid="{E79BC1C5-F22C-4F21-BC86-D7405787423A}" name="28/12/2027" dataDxfId="128">
      <calculatedColumnFormula>Tab.plano6[[#This Row],[Data Término
Prevista]]-Tab.plano6[[#This Row],[Data Início
Previsto]]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.calendar" displayName="Tab.calendar" ref="B1:B25" totalsRowShown="0" dataDxfId="66">
  <autoFilter ref="B1:B25" xr:uid="{00000000-0009-0000-0100-000003000000}"/>
  <tableColumns count="1">
    <tableColumn id="1" xr3:uid="{00000000-0010-0000-0200-000001000000}" name="Calendário" dataDxfId="6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.plano5" displayName="Tab.plano5" ref="B10:BN156" totalsRowShown="0" headerRowDxfId="64" dataDxfId="63">
  <autoFilter ref="B10:BN156" xr:uid="{00000000-0009-0000-0100-000004000000}"/>
  <tableColumns count="65">
    <tableColumn id="43" xr3:uid="{00000000-0010-0000-0300-00002B000000}" name="Nível" dataDxfId="62">
      <calculatedColumnFormula array="1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calculatedColumnFormula>
    </tableColumn>
    <tableColumn id="39" xr3:uid="{00000000-0010-0000-0300-000027000000}" name="EAP" dataDxfId="61"/>
    <tableColumn id="15" xr3:uid="{00000000-0010-0000-0300-00000F000000}" name="Nível 1" dataDxfId="60"/>
    <tableColumn id="14" xr3:uid="{00000000-0010-0000-0300-00000E000000}" name="Nível 2" dataDxfId="59"/>
    <tableColumn id="13" xr3:uid="{00000000-0010-0000-0300-00000D000000}" name="Nível 3" dataDxfId="58"/>
    <tableColumn id="12" xr3:uid="{00000000-0010-0000-0300-00000C000000}" name="Nível 4" dataDxfId="57"/>
    <tableColumn id="1" xr3:uid="{00000000-0010-0000-0300-000001000000}" name="Plano de Trabalho - A&amp;M" dataDxfId="56"/>
    <tableColumn id="2" xr3:uid="{00000000-0010-0000-0300-000002000000}" name="Data Início_x000a_Previsto"/>
    <tableColumn id="3" xr3:uid="{00000000-0010-0000-0300-000003000000}" name="Data Término_x000a_Prevista"/>
    <tableColumn id="4" xr3:uid="{00000000-0010-0000-0300-000004000000}" name="Data Início_x000a_Real/Projetado" dataDxfId="55"/>
    <tableColumn id="5" xr3:uid="{00000000-0010-0000-0300-000005000000}" name="Data Término_x000a_Real/Projetado" dataDxfId="54"/>
    <tableColumn id="6" xr3:uid="{00000000-0010-0000-0300-000006000000}" name="Responsável"/>
    <tableColumn id="7" xr3:uid="{00000000-0010-0000-0300-000007000000}" name="Status" dataDxfId="53">
      <calculatedColumnFormula array="1">_xlfn.IFS(L11&lt;$M$3,"Concluído",AND(K11&gt;=$M$3,I11&lt;$M$3,L11&gt;$M$3),"Em andamento",AND(L11&gt;=$M$3,J11&lt;$M$3),"Atrasado",AND(L11&gt;=$M$3,J11&gt;=$M$3,I11&gt;$M$3,K11&lt;=$M$3),"Em andamento",AND(L11&gt;=$M$3,J11&gt;=$M$3,I11&lt;=$M$3,K11&lt;=$M$3),"Em andamento",AND(K11&gt;$M$3,I11&gt;$M$3),"Não iniciado",AND(L11&gt;=$M$3,J11&gt;=$M$3,K11&gt;=$M$3,I11&lt;$M$3),"Atrasado",AND(L11&gt;=$M$3,J11&gt;=$M$3,K11&gt;=$M$3,I11&gt;$M$3),"Não iniciado",AND($I11&lt;=$M$3,$K11&gt;$M$3),"Atrasado")</calculatedColumnFormula>
    </tableColumn>
    <tableColumn id="8" xr3:uid="{00000000-0010-0000-0300-000008000000}" name="F">
      <calculatedColumnFormula array="1">_xlfn.IFS(N11="Não iniciado",0,N11="Em andamento",1,N11="Concluído",2,N11="Atrasado",3)</calculatedColumnFormula>
    </tableColumn>
    <tableColumn id="9" xr3:uid="{00000000-0010-0000-0300-000009000000}" name="Restrições"/>
    <tableColumn id="11" xr3:uid="{00000000-0010-0000-0300-00000B000000}" name="Avanço Previsto">
      <calculatedColumnFormula array="1">_xlfn.IFS(AND($I11&lt;$M$3,$J11&lt;$M$3),1,AND($I11&lt;$M$3,$J11&gt;=$M$3),0.5,AND($I11&gt;=$M$3,$J11&gt;=$M$3),0)</calculatedColumnFormula>
    </tableColumn>
    <tableColumn id="49" xr3:uid="{00000000-0010-0000-0300-000031000000}" name="Avanço Realizado" dataDxfId="52"/>
    <tableColumn id="10" xr3:uid="{00000000-0010-0000-0300-00000A000000}" name="01/02/2025" dataDxfId="51"/>
    <tableColumn id="16" xr3:uid="{00000000-0010-0000-0300-000010000000}" name="08/02/2025" dataDxfId="50"/>
    <tableColumn id="17" xr3:uid="{00000000-0010-0000-0300-000011000000}" name="15/02/2025" dataDxfId="49"/>
    <tableColumn id="18" xr3:uid="{00000000-0010-0000-0300-000012000000}" name="22/02/2025" dataDxfId="48"/>
    <tableColumn id="19" xr3:uid="{00000000-0010-0000-0300-000013000000}" name="01/03/2025" dataDxfId="47"/>
    <tableColumn id="20" xr3:uid="{00000000-0010-0000-0300-000014000000}" name="08/03/2025" dataDxfId="46"/>
    <tableColumn id="21" xr3:uid="{00000000-0010-0000-0300-000015000000}" name="15/03/2025" dataDxfId="45"/>
    <tableColumn id="22" xr3:uid="{00000000-0010-0000-0300-000016000000}" name="22/03/2025" dataDxfId="44"/>
    <tableColumn id="23" xr3:uid="{00000000-0010-0000-0300-000017000000}" name="29/03/2025" dataDxfId="43"/>
    <tableColumn id="24" xr3:uid="{00000000-0010-0000-0300-000018000000}" name="05/04/2025" dataDxfId="42"/>
    <tableColumn id="25" xr3:uid="{00000000-0010-0000-0300-000019000000}" name="12/04/2025" dataDxfId="41"/>
    <tableColumn id="26" xr3:uid="{00000000-0010-0000-0300-00001A000000}" name="19/04/2025" dataDxfId="40"/>
    <tableColumn id="27" xr3:uid="{00000000-0010-0000-0300-00001B000000}" name="26/04/2025" dataDxfId="39"/>
    <tableColumn id="28" xr3:uid="{00000000-0010-0000-0300-00001C000000}" name="03/05/2025" dataDxfId="38"/>
    <tableColumn id="29" xr3:uid="{00000000-0010-0000-0300-00001D000000}" name="10/05/2025" dataDxfId="37"/>
    <tableColumn id="30" xr3:uid="{00000000-0010-0000-0300-00001E000000}" name="17/05/2025" dataDxfId="36"/>
    <tableColumn id="31" xr3:uid="{00000000-0010-0000-0300-00001F000000}" name="24/05/2025" dataDxfId="35"/>
    <tableColumn id="32" xr3:uid="{00000000-0010-0000-0300-000020000000}" name="31/05/2025" dataDxfId="34"/>
    <tableColumn id="33" xr3:uid="{00000000-0010-0000-0300-000021000000}" name="07/06/2025" dataDxfId="33"/>
    <tableColumn id="34" xr3:uid="{00000000-0010-0000-0300-000022000000}" name="14/06/2025" dataDxfId="32"/>
    <tableColumn id="35" xr3:uid="{00000000-0010-0000-0300-000023000000}" name="21/06/2025" dataDxfId="31"/>
    <tableColumn id="36" xr3:uid="{00000000-0010-0000-0300-000024000000}" name="28/06/2025" dataDxfId="30"/>
    <tableColumn id="37" xr3:uid="{00000000-0010-0000-0300-000025000000}" name="05/07/2025" dataDxfId="29"/>
    <tableColumn id="38" xr3:uid="{00000000-0010-0000-0300-000026000000}" name="12/07/2025" dataDxfId="28"/>
    <tableColumn id="42" xr3:uid="{00000000-0010-0000-0300-00002A000000}" name="19/07/2025" dataDxfId="27"/>
    <tableColumn id="44" xr3:uid="{00000000-0010-0000-0300-00002C000000}" name="26/07/2025" dataDxfId="26"/>
    <tableColumn id="45" xr3:uid="{00000000-0010-0000-0300-00002D000000}" name="02/08/2025" dataDxfId="25"/>
    <tableColumn id="46" xr3:uid="{00000000-0010-0000-0300-00002E000000}" name="09/08/2025" dataDxfId="24"/>
    <tableColumn id="47" xr3:uid="{00000000-0010-0000-0300-00002F000000}" name="16/08/2025" dataDxfId="23"/>
    <tableColumn id="48" xr3:uid="{00000000-0010-0000-0300-000030000000}" name="23/08/2025" dataDxfId="22"/>
    <tableColumn id="50" xr3:uid="{00000000-0010-0000-0300-000032000000}" name="30/08/2025" dataDxfId="21"/>
    <tableColumn id="51" xr3:uid="{00000000-0010-0000-0300-000033000000}" name="06/09/2025" dataDxfId="20"/>
    <tableColumn id="52" xr3:uid="{00000000-0010-0000-0300-000034000000}" name="13/09/2025" dataDxfId="19"/>
    <tableColumn id="53" xr3:uid="{00000000-0010-0000-0300-000035000000}" name="20/09/2025" dataDxfId="18"/>
    <tableColumn id="54" xr3:uid="{00000000-0010-0000-0300-000036000000}" name="27/09/2025" dataDxfId="17"/>
    <tableColumn id="55" xr3:uid="{00000000-0010-0000-0300-000037000000}" name="04/10/2025" dataDxfId="16"/>
    <tableColumn id="56" xr3:uid="{00000000-0010-0000-0300-000038000000}" name="11/10/2025" dataDxfId="15"/>
    <tableColumn id="57" xr3:uid="{00000000-0010-0000-0300-000039000000}" name="18/10/2025" dataDxfId="14"/>
    <tableColumn id="58" xr3:uid="{00000000-0010-0000-0300-00003A000000}" name="25/10/2025" dataDxfId="13"/>
    <tableColumn id="59" xr3:uid="{00000000-0010-0000-0300-00003B000000}" name="01/11/2025" dataDxfId="12"/>
    <tableColumn id="60" xr3:uid="{00000000-0010-0000-0300-00003C000000}" name="08/11/2025" dataDxfId="11"/>
    <tableColumn id="61" xr3:uid="{00000000-0010-0000-0300-00003D000000}" name="15/11/2025" dataDxfId="10"/>
    <tableColumn id="62" xr3:uid="{00000000-0010-0000-0300-00003E000000}" name="22/11/2025" dataDxfId="9"/>
    <tableColumn id="63" xr3:uid="{00000000-0010-0000-0300-00003F000000}" name="29/11/2025" dataDxfId="8"/>
    <tableColumn id="64" xr3:uid="{00000000-0010-0000-0300-000040000000}" name="06/12/2025" dataDxfId="7"/>
    <tableColumn id="65" xr3:uid="{00000000-0010-0000-0300-000041000000}" name="13/12/2025" dataDxfId="6"/>
    <tableColumn id="66" xr3:uid="{00000000-0010-0000-0300-000042000000}" name="20/12/2025" dataDxfId="5"/>
    <tableColumn id="67" xr3:uid="{00000000-0010-0000-0300-000043000000}" name="27/12/2025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C5A0BA-F206-4AC5-BA87-62CB26BCB4F1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01a79d38-1463-4cc0-ad99-ccb883199cc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44A"/>
    <pageSetUpPr fitToPage="1"/>
  </sheetPr>
  <dimension ref="B1:BN405"/>
  <sheetViews>
    <sheetView showGridLines="0" zoomScale="55" zoomScaleNormal="55" workbookViewId="0">
      <selection activeCell="R109" sqref="R109"/>
    </sheetView>
  </sheetViews>
  <sheetFormatPr defaultRowHeight="14.4" outlineLevelCol="1" x14ac:dyDescent="0.3"/>
  <cols>
    <col min="1" max="1" width="2.44140625" customWidth="1"/>
    <col min="2" max="2" width="9.77734375" style="53" customWidth="1" outlineLevel="1"/>
    <col min="3" max="5" width="7.44140625" style="181" customWidth="1" outlineLevel="1"/>
    <col min="6" max="6" width="7.21875" style="181" customWidth="1" outlineLevel="1"/>
    <col min="7" max="7" width="7.44140625" style="181" customWidth="1" outlineLevel="1"/>
    <col min="8" max="8" width="90" style="183" bestFit="1" customWidth="1"/>
    <col min="9" max="9" width="13.5546875" style="106" customWidth="1" outlineLevel="1"/>
    <col min="10" max="10" width="15.77734375" style="106" customWidth="1" outlineLevel="1"/>
    <col min="11" max="11" width="13.44140625" style="106" customWidth="1"/>
    <col min="12" max="12" width="12.5546875" style="106" customWidth="1"/>
    <col min="13" max="13" width="18.44140625" style="4" bestFit="1" customWidth="1"/>
    <col min="14" max="14" width="12.77734375" style="158" bestFit="1" customWidth="1"/>
    <col min="15" max="15" width="3.5546875" style="158" customWidth="1"/>
    <col min="16" max="16" width="26.44140625" style="8" customWidth="1" outlineLevel="1"/>
    <col min="17" max="17" width="27.44140625" style="8" customWidth="1" outlineLevel="1"/>
    <col min="18" max="18" width="15.44140625" style="147" customWidth="1"/>
    <col min="19" max="21" width="11.44140625" style="201" customWidth="1" outlineLevel="1"/>
    <col min="22" max="22" width="10.5546875" style="201" customWidth="1" outlineLevel="1"/>
    <col min="23" max="35" width="8.77734375" style="201" customWidth="1" outlineLevel="1"/>
    <col min="36" max="37" width="7.44140625" style="201" customWidth="1" outlineLevel="1"/>
    <col min="38" max="38" width="11.5546875" style="201" customWidth="1" outlineLevel="1"/>
    <col min="39" max="39" width="7.44140625" style="201" customWidth="1" outlineLevel="1"/>
    <col min="40" max="41" width="6.77734375" style="201" customWidth="1" outlineLevel="1"/>
    <col min="42" max="42" width="11.5546875" style="201" customWidth="1" outlineLevel="1"/>
    <col min="43" max="43" width="12.44140625" style="146" bestFit="1" customWidth="1"/>
    <col min="44" max="44" width="14.44140625" bestFit="1" customWidth="1"/>
    <col min="45" max="45" width="12" bestFit="1" customWidth="1"/>
  </cols>
  <sheetData>
    <row r="1" spans="2:66" ht="4.5" customHeight="1" x14ac:dyDescent="0.3"/>
    <row r="2" spans="2:66" x14ac:dyDescent="0.3">
      <c r="H2" s="184" t="s">
        <v>0</v>
      </c>
      <c r="M2" s="12"/>
      <c r="N2" s="159"/>
      <c r="O2" s="159"/>
      <c r="P2" s="13"/>
      <c r="Q2" s="13"/>
      <c r="R2" s="148"/>
    </row>
    <row r="3" spans="2:66" ht="15" customHeight="1" thickBot="1" x14ac:dyDescent="0.35">
      <c r="H3" s="185" t="s">
        <v>1</v>
      </c>
      <c r="M3" s="21" t="s">
        <v>2</v>
      </c>
      <c r="N3" s="160">
        <f ca="1">TODAY()</f>
        <v>46164</v>
      </c>
      <c r="O3" s="160"/>
      <c r="P3" s="16"/>
      <c r="Q3" s="16"/>
      <c r="R3" s="149"/>
    </row>
    <row r="4" spans="2:66" ht="5.25" customHeight="1" x14ac:dyDescent="0.3">
      <c r="H4" s="186"/>
      <c r="I4" s="107"/>
      <c r="J4" s="107"/>
      <c r="K4" s="107"/>
      <c r="L4" s="107"/>
      <c r="M4" s="18"/>
      <c r="N4" s="161"/>
      <c r="O4" s="161"/>
      <c r="P4" s="20"/>
      <c r="Q4" s="20"/>
      <c r="R4" s="150"/>
    </row>
    <row r="5" spans="2:66" ht="14.55" customHeight="1" x14ac:dyDescent="0.3">
      <c r="H5" s="187" t="s">
        <v>3</v>
      </c>
      <c r="M5" s="15"/>
      <c r="N5" s="131"/>
      <c r="O5" s="131"/>
      <c r="P5" s="16"/>
      <c r="Q5" s="16"/>
      <c r="R5" s="149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02"/>
      <c r="AP5" s="202"/>
      <c r="AQ5" s="200"/>
      <c r="AR5" s="200"/>
    </row>
    <row r="6" spans="2:66" x14ac:dyDescent="0.3">
      <c r="H6" s="188" t="s">
        <v>4</v>
      </c>
      <c r="I6" s="132"/>
      <c r="J6" s="108"/>
      <c r="K6" s="132"/>
      <c r="L6" s="108"/>
      <c r="M6" s="15"/>
      <c r="N6" s="103"/>
      <c r="O6" s="103"/>
      <c r="P6" s="38" t="s">
        <v>5</v>
      </c>
      <c r="Q6" s="38"/>
      <c r="R6" s="149"/>
    </row>
    <row r="7" spans="2:66" x14ac:dyDescent="0.3">
      <c r="H7" s="189" t="s">
        <v>6</v>
      </c>
      <c r="J7" s="108"/>
      <c r="L7" s="108"/>
      <c r="M7" s="15"/>
      <c r="N7" s="131"/>
      <c r="O7" s="131"/>
      <c r="P7" s="23" t="s">
        <v>7</v>
      </c>
      <c r="Q7" s="23"/>
      <c r="R7" s="209" t="e">
        <f>DATEVALUE(#REF!)</f>
        <v>#REF!</v>
      </c>
      <c r="S7" s="209" t="e">
        <f>DATEVALUE(#REF!)</f>
        <v>#REF!</v>
      </c>
      <c r="T7" s="209" t="e">
        <f>DATEVALUE(#REF!)</f>
        <v>#REF!</v>
      </c>
      <c r="U7" s="209" t="e">
        <f>DATEVALUE(#REF!)</f>
        <v>#REF!</v>
      </c>
      <c r="V7" s="209" t="e">
        <f>DATEVALUE(#REF!)</f>
        <v>#REF!</v>
      </c>
      <c r="W7" s="209" t="e">
        <f>DATEVALUE(#REF!)</f>
        <v>#REF!</v>
      </c>
      <c r="X7" s="209" t="e">
        <f>DATEVALUE(#REF!)</f>
        <v>#REF!</v>
      </c>
      <c r="Y7" s="209" t="e">
        <f>DATEVALUE(#REF!)</f>
        <v>#REF!</v>
      </c>
      <c r="Z7" s="209" t="e">
        <f>DATEVALUE(#REF!)</f>
        <v>#REF!</v>
      </c>
      <c r="AA7" s="209" t="e">
        <f>DATEVALUE(#REF!)</f>
        <v>#REF!</v>
      </c>
      <c r="AB7" s="209" t="e">
        <f>DATEVALUE(#REF!)</f>
        <v>#REF!</v>
      </c>
      <c r="AC7" s="209" t="e">
        <f>DATEVALUE(#REF!)</f>
        <v>#REF!</v>
      </c>
      <c r="AD7" s="209" t="e">
        <f>DATEVALUE(#REF!)</f>
        <v>#REF!</v>
      </c>
      <c r="AE7" s="209" t="e">
        <f>DATEVALUE(#REF!)</f>
        <v>#REF!</v>
      </c>
      <c r="AF7" s="209" t="e">
        <f>DATEVALUE(#REF!)</f>
        <v>#REF!</v>
      </c>
      <c r="AG7" s="209" t="e">
        <f>DATEVALUE(#REF!)</f>
        <v>#REF!</v>
      </c>
      <c r="AH7" s="209" t="e">
        <f>DATEVALUE(#REF!)</f>
        <v>#REF!</v>
      </c>
      <c r="AI7" s="209" t="e">
        <f>DATEVALUE(#REF!)</f>
        <v>#REF!</v>
      </c>
      <c r="AJ7" s="209" t="e">
        <f>DATEVALUE(#REF!)</f>
        <v>#REF!</v>
      </c>
      <c r="AK7" s="209" t="e">
        <f>DATEVALUE(#REF!)</f>
        <v>#REF!</v>
      </c>
      <c r="AL7" s="209" t="e">
        <f>DATEVALUE(#REF!)</f>
        <v>#REF!</v>
      </c>
      <c r="AM7" s="209" t="e">
        <f>DATEVALUE(#REF!)</f>
        <v>#REF!</v>
      </c>
      <c r="AN7" s="209" t="e">
        <f>DATEVALUE(#REF!)</f>
        <v>#REF!</v>
      </c>
      <c r="AO7" s="209" t="e">
        <f>DATEVALUE(#REF!)</f>
        <v>#REF!</v>
      </c>
      <c r="AP7" s="209" t="e">
        <f>DATEVALUE(#REF!)</f>
        <v>#REF!</v>
      </c>
      <c r="AQ7" s="209" t="e">
        <f>DATEVALUE(#REF!)</f>
        <v>#REF!</v>
      </c>
      <c r="AR7" s="209" t="e">
        <f>DATEVALUE(#REF!)</f>
        <v>#REF!</v>
      </c>
      <c r="AS7" s="209" t="e">
        <f>DATEVALUE(#REF!)</f>
        <v>#REF!</v>
      </c>
      <c r="AT7" s="209" t="e">
        <f>DATEVALUE(#REF!)</f>
        <v>#REF!</v>
      </c>
      <c r="AU7" s="209" t="e">
        <f>DATEVALUE(#REF!)</f>
        <v>#REF!</v>
      </c>
      <c r="AV7" s="209" t="e">
        <f>DATEVALUE(#REF!)</f>
        <v>#REF!</v>
      </c>
      <c r="AW7" s="209" t="e">
        <f>DATEVALUE(#REF!)</f>
        <v>#REF!</v>
      </c>
      <c r="AX7" s="209" t="e">
        <f>DATEVALUE(#REF!)</f>
        <v>#REF!</v>
      </c>
      <c r="AY7" s="209" t="e">
        <f>DATEVALUE(#REF!)</f>
        <v>#REF!</v>
      </c>
      <c r="AZ7" s="209" t="e">
        <f>DATEVALUE(#REF!)</f>
        <v>#REF!</v>
      </c>
      <c r="BA7" s="209" t="e">
        <f>DATEVALUE(#REF!)</f>
        <v>#REF!</v>
      </c>
      <c r="BB7" s="209" t="e">
        <f>DATEVALUE(#REF!)</f>
        <v>#REF!</v>
      </c>
      <c r="BC7" s="209" t="e">
        <f>DATEVALUE(#REF!)</f>
        <v>#REF!</v>
      </c>
      <c r="BD7" s="209" t="e">
        <f>DATEVALUE(#REF!)</f>
        <v>#REF!</v>
      </c>
      <c r="BE7" s="209" t="e">
        <f>DATEVALUE(#REF!)</f>
        <v>#REF!</v>
      </c>
      <c r="BF7" s="209" t="e">
        <f>DATEVALUE(#REF!)</f>
        <v>#REF!</v>
      </c>
      <c r="BG7" s="209" t="e">
        <f>DATEVALUE(#REF!)</f>
        <v>#REF!</v>
      </c>
      <c r="BH7" s="209" t="e">
        <f>DATEVALUE(#REF!)</f>
        <v>#REF!</v>
      </c>
      <c r="BI7" s="209" t="e">
        <f>DATEVALUE(#REF!)</f>
        <v>#REF!</v>
      </c>
      <c r="BJ7" s="209" t="e">
        <f>DATEVALUE(#REF!)</f>
        <v>#REF!</v>
      </c>
      <c r="BK7" s="209" t="e">
        <f>DATEVALUE(#REF!)</f>
        <v>#REF!</v>
      </c>
      <c r="BL7" s="209" t="e">
        <f>DATEVALUE(#REF!)</f>
        <v>#REF!</v>
      </c>
      <c r="BM7" s="209" t="e">
        <f>DATEVALUE(#REF!)</f>
        <v>#REF!</v>
      </c>
    </row>
    <row r="8" spans="2:66" x14ac:dyDescent="0.3">
      <c r="H8" s="190"/>
      <c r="J8" s="108"/>
      <c r="L8" s="108"/>
      <c r="M8" s="15"/>
      <c r="N8" s="131"/>
      <c r="O8" s="131"/>
      <c r="P8" s="16"/>
      <c r="Q8" s="16"/>
      <c r="R8" s="149"/>
    </row>
    <row r="9" spans="2:66" ht="4.5" customHeight="1" x14ac:dyDescent="0.3"/>
    <row r="10" spans="2:66" ht="30" customHeight="1" x14ac:dyDescent="0.3">
      <c r="B10" s="164" t="s">
        <v>8</v>
      </c>
      <c r="C10" s="182" t="s">
        <v>9</v>
      </c>
      <c r="D10" s="182" t="s">
        <v>10</v>
      </c>
      <c r="E10" s="182" t="s">
        <v>11</v>
      </c>
      <c r="F10" s="182" t="s">
        <v>12</v>
      </c>
      <c r="G10" s="182" t="s">
        <v>13</v>
      </c>
      <c r="H10" s="191" t="s">
        <v>14</v>
      </c>
      <c r="I10" s="157" t="s">
        <v>15</v>
      </c>
      <c r="J10" s="157" t="s">
        <v>16</v>
      </c>
      <c r="K10" s="122" t="s">
        <v>17</v>
      </c>
      <c r="L10" s="122" t="s">
        <v>18</v>
      </c>
      <c r="M10" s="122" t="s">
        <v>19</v>
      </c>
      <c r="N10" s="123" t="s">
        <v>20</v>
      </c>
      <c r="O10" s="162" t="s">
        <v>21</v>
      </c>
      <c r="P10" s="122" t="s">
        <v>22</v>
      </c>
      <c r="Q10" s="151" t="s">
        <v>23</v>
      </c>
      <c r="R10" s="151" t="s">
        <v>24</v>
      </c>
      <c r="S10" s="208" t="s">
        <v>25</v>
      </c>
      <c r="T10" s="208" t="s">
        <v>26</v>
      </c>
      <c r="U10" s="208" t="s">
        <v>27</v>
      </c>
      <c r="V10" s="208" t="s">
        <v>28</v>
      </c>
      <c r="W10" s="208" t="s">
        <v>29</v>
      </c>
      <c r="X10" s="208" t="s">
        <v>30</v>
      </c>
      <c r="Y10" s="208" t="s">
        <v>31</v>
      </c>
      <c r="Z10" s="208" t="s">
        <v>32</v>
      </c>
      <c r="AA10" s="208" t="s">
        <v>33</v>
      </c>
      <c r="AB10" s="208" t="s">
        <v>34</v>
      </c>
      <c r="AC10" s="208" t="s">
        <v>35</v>
      </c>
      <c r="AD10" s="208" t="s">
        <v>36</v>
      </c>
      <c r="AE10" s="208" t="s">
        <v>37</v>
      </c>
      <c r="AF10" s="208" t="s">
        <v>38</v>
      </c>
      <c r="AG10" s="208" t="s">
        <v>39</v>
      </c>
      <c r="AH10" s="208" t="s">
        <v>40</v>
      </c>
      <c r="AI10" s="208" t="s">
        <v>41</v>
      </c>
      <c r="AJ10" s="208" t="s">
        <v>42</v>
      </c>
      <c r="AK10" s="208" t="s">
        <v>43</v>
      </c>
      <c r="AL10" s="208" t="s">
        <v>44</v>
      </c>
      <c r="AM10" s="208" t="s">
        <v>45</v>
      </c>
      <c r="AN10" s="208" t="s">
        <v>46</v>
      </c>
      <c r="AO10" s="208" t="s">
        <v>47</v>
      </c>
      <c r="AP10" s="208" t="s">
        <v>48</v>
      </c>
      <c r="AQ10" s="208" t="s">
        <v>49</v>
      </c>
      <c r="AR10" s="208" t="s">
        <v>50</v>
      </c>
      <c r="AS10" s="208" t="s">
        <v>51</v>
      </c>
      <c r="AT10" s="208" t="s">
        <v>52</v>
      </c>
      <c r="AU10" s="208" t="s">
        <v>53</v>
      </c>
      <c r="AV10" s="208" t="s">
        <v>54</v>
      </c>
      <c r="AW10" s="208" t="s">
        <v>55</v>
      </c>
      <c r="AX10" s="208" t="s">
        <v>56</v>
      </c>
      <c r="AY10" s="208" t="s">
        <v>57</v>
      </c>
      <c r="AZ10" s="208" t="s">
        <v>58</v>
      </c>
      <c r="BA10" s="208" t="s">
        <v>59</v>
      </c>
      <c r="BB10" s="208" t="s">
        <v>60</v>
      </c>
      <c r="BC10" s="208" t="s">
        <v>61</v>
      </c>
      <c r="BD10" s="208" t="s">
        <v>62</v>
      </c>
      <c r="BE10" s="208" t="s">
        <v>63</v>
      </c>
      <c r="BF10" s="208" t="s">
        <v>64</v>
      </c>
      <c r="BG10" s="208" t="s">
        <v>65</v>
      </c>
      <c r="BH10" s="208" t="s">
        <v>66</v>
      </c>
      <c r="BI10" s="208" t="s">
        <v>67</v>
      </c>
      <c r="BJ10" s="208" t="s">
        <v>68</v>
      </c>
      <c r="BK10" s="208" t="s">
        <v>69</v>
      </c>
      <c r="BL10" s="208" t="s">
        <v>70</v>
      </c>
      <c r="BM10" s="208" t="s">
        <v>71</v>
      </c>
      <c r="BN10" s="208" t="s">
        <v>72</v>
      </c>
    </row>
    <row r="11" spans="2:66" ht="21.6" customHeight="1" x14ac:dyDescent="0.3">
      <c r="B11" s="165" t="str">
        <f t="array" ref="B11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1</v>
      </c>
      <c r="C11" s="165" t="s">
        <v>73</v>
      </c>
      <c r="D11" s="165" t="s">
        <v>74</v>
      </c>
      <c r="E11" s="165" t="s">
        <v>74</v>
      </c>
      <c r="F11" s="165" t="s">
        <v>74</v>
      </c>
      <c r="G11" s="165" t="s">
        <v>74</v>
      </c>
      <c r="H11" s="192" t="s">
        <v>75</v>
      </c>
      <c r="I11" s="165">
        <f>MIN(I12,I18,I140,I45)</f>
        <v>45689</v>
      </c>
      <c r="J11" s="165">
        <f>MAX(J12,J18,J140,J45)</f>
        <v>46014</v>
      </c>
      <c r="K11" s="165">
        <f>MIN(K12,K18,K140,K45)</f>
        <v>45689</v>
      </c>
      <c r="L11" s="165">
        <f>MAX(L12,L18,L140,L45)</f>
        <v>46014</v>
      </c>
      <c r="M11" s="154"/>
      <c r="N11" s="154" t="str">
        <f t="array" ref="N11">_xlfn.IFS(L11&lt;$M$3,"Concluído",AND(K11&gt;=$M$3,I11&lt;$M$3,L11&gt;$M$3),"Em andamento",AND(L11&gt;=$M$3,J11&lt;$M$3),"Atrasado",AND(L11&gt;=$M$3,J11&gt;=$M$3,I11&gt;$M$3,K11&lt;=$M$3),"Em andamento",AND(L11&gt;=$M$3,J11&gt;=$M$3,I11&lt;=$M$3,K11&lt;=$M$3),"Em andamento",AND(K11&gt;$M$3,I11&gt;$M$3),"Não iniciado",AND(L11&gt;=$M$3,J11&gt;=$M$3,K11&gt;=$M$3,I11&lt;$M$3),"Atrasado",AND(L11&gt;=$M$3,J11&gt;=$M$3,K11&gt;=$M$3,I11&gt;$M$3),"Não iniciado",AND($I11&lt;=$M$3,$K11&gt;$M$3),"Atrasado")</f>
        <v>Concluído</v>
      </c>
      <c r="O11" s="154">
        <f t="array" ref="O11">_xlfn.IFS(N11="Não iniciado",0,N11="Em andamento",1,N11="Concluído",2,N11="Atrasado",3)</f>
        <v>2</v>
      </c>
      <c r="P11" s="154"/>
      <c r="Q11" s="155">
        <f t="shared" ref="Q11:AV11" ca="1" si="0">0.1*Q18+0.75*Q45+0.15*Q140</f>
        <v>1</v>
      </c>
      <c r="R11" s="155">
        <f t="shared" ca="1" si="0"/>
        <v>1</v>
      </c>
      <c r="S11" s="155" t="e">
        <f t="shared" si="0"/>
        <v>#REF!</v>
      </c>
      <c r="T11" s="155" t="e">
        <f t="shared" si="0"/>
        <v>#REF!</v>
      </c>
      <c r="U11" s="155" t="e">
        <f t="shared" si="0"/>
        <v>#REF!</v>
      </c>
      <c r="V11" s="155" t="e">
        <f t="shared" si="0"/>
        <v>#REF!</v>
      </c>
      <c r="W11" s="155" t="e">
        <f t="shared" si="0"/>
        <v>#REF!</v>
      </c>
      <c r="X11" s="155" t="e">
        <f t="shared" si="0"/>
        <v>#REF!</v>
      </c>
      <c r="Y11" s="155" t="e">
        <f t="shared" si="0"/>
        <v>#REF!</v>
      </c>
      <c r="Z11" s="155" t="e">
        <f t="shared" si="0"/>
        <v>#REF!</v>
      </c>
      <c r="AA11" s="155" t="e">
        <f t="shared" si="0"/>
        <v>#REF!</v>
      </c>
      <c r="AB11" s="155" t="e">
        <f t="shared" si="0"/>
        <v>#REF!</v>
      </c>
      <c r="AC11" s="155" t="e">
        <f t="shared" si="0"/>
        <v>#REF!</v>
      </c>
      <c r="AD11" s="155" t="e">
        <f t="shared" si="0"/>
        <v>#REF!</v>
      </c>
      <c r="AE11" s="155" t="e">
        <f t="shared" si="0"/>
        <v>#REF!</v>
      </c>
      <c r="AF11" s="155" t="e">
        <f t="shared" si="0"/>
        <v>#REF!</v>
      </c>
      <c r="AG11" s="155" t="e">
        <f t="shared" si="0"/>
        <v>#REF!</v>
      </c>
      <c r="AH11" s="155" t="e">
        <f t="shared" si="0"/>
        <v>#REF!</v>
      </c>
      <c r="AI11" s="155" t="e">
        <f t="shared" si="0"/>
        <v>#REF!</v>
      </c>
      <c r="AJ11" s="155" t="e">
        <f t="shared" si="0"/>
        <v>#REF!</v>
      </c>
      <c r="AK11" s="155" t="e">
        <f t="shared" si="0"/>
        <v>#REF!</v>
      </c>
      <c r="AL11" s="155" t="e">
        <f t="shared" si="0"/>
        <v>#REF!</v>
      </c>
      <c r="AM11" s="155" t="e">
        <f t="shared" si="0"/>
        <v>#REF!</v>
      </c>
      <c r="AN11" s="155" t="e">
        <f t="shared" si="0"/>
        <v>#REF!</v>
      </c>
      <c r="AO11" s="155" t="e">
        <f t="shared" si="0"/>
        <v>#REF!</v>
      </c>
      <c r="AP11" s="155" t="e">
        <f t="shared" si="0"/>
        <v>#REF!</v>
      </c>
      <c r="AQ11" s="155" t="e">
        <f t="shared" si="0"/>
        <v>#REF!</v>
      </c>
      <c r="AR11" s="155" t="e">
        <f t="shared" si="0"/>
        <v>#REF!</v>
      </c>
      <c r="AS11" s="155" t="e">
        <f t="shared" si="0"/>
        <v>#REF!</v>
      </c>
      <c r="AT11" s="155" t="e">
        <f t="shared" si="0"/>
        <v>#REF!</v>
      </c>
      <c r="AU11" s="155" t="e">
        <f t="shared" si="0"/>
        <v>#REF!</v>
      </c>
      <c r="AV11" s="155" t="e">
        <f t="shared" si="0"/>
        <v>#REF!</v>
      </c>
      <c r="AW11" s="155" t="e">
        <f t="shared" ref="AW11:BN11" si="1">0.1*AW18+0.75*AW45+0.15*AW140</f>
        <v>#REF!</v>
      </c>
      <c r="AX11" s="155" t="e">
        <f t="shared" si="1"/>
        <v>#REF!</v>
      </c>
      <c r="AY11" s="155" t="e">
        <f t="shared" si="1"/>
        <v>#REF!</v>
      </c>
      <c r="AZ11" s="155" t="e">
        <f t="shared" si="1"/>
        <v>#REF!</v>
      </c>
      <c r="BA11" s="155" t="e">
        <f t="shared" si="1"/>
        <v>#REF!</v>
      </c>
      <c r="BB11" s="155" t="e">
        <f t="shared" si="1"/>
        <v>#REF!</v>
      </c>
      <c r="BC11" s="155" t="e">
        <f t="shared" si="1"/>
        <v>#REF!</v>
      </c>
      <c r="BD11" s="155" t="e">
        <f t="shared" si="1"/>
        <v>#REF!</v>
      </c>
      <c r="BE11" s="155" t="e">
        <f t="shared" si="1"/>
        <v>#REF!</v>
      </c>
      <c r="BF11" s="155" t="e">
        <f t="shared" si="1"/>
        <v>#REF!</v>
      </c>
      <c r="BG11" s="155" t="e">
        <f t="shared" si="1"/>
        <v>#REF!</v>
      </c>
      <c r="BH11" s="155" t="e">
        <f t="shared" si="1"/>
        <v>#REF!</v>
      </c>
      <c r="BI11" s="155" t="e">
        <f t="shared" si="1"/>
        <v>#REF!</v>
      </c>
      <c r="BJ11" s="155" t="e">
        <f t="shared" si="1"/>
        <v>#REF!</v>
      </c>
      <c r="BK11" s="155" t="e">
        <f t="shared" si="1"/>
        <v>#REF!</v>
      </c>
      <c r="BL11" s="155" t="e">
        <f t="shared" si="1"/>
        <v>#REF!</v>
      </c>
      <c r="BM11" s="155" t="e">
        <f t="shared" si="1"/>
        <v>#REF!</v>
      </c>
      <c r="BN11" s="155" t="e">
        <f t="shared" si="1"/>
        <v>#REF!</v>
      </c>
    </row>
    <row r="12" spans="2:66" x14ac:dyDescent="0.3">
      <c r="B12" s="177" t="str">
        <f t="array" ref="B12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2</v>
      </c>
      <c r="C12" s="177" t="s">
        <v>76</v>
      </c>
      <c r="D12" s="177" t="str">
        <f t="shared" ref="D12:D34" si="2">$H$11</f>
        <v>Arquitetura de projetos GERDAU</v>
      </c>
      <c r="E12" s="177" t="s">
        <v>74</v>
      </c>
      <c r="F12" s="177" t="s">
        <v>74</v>
      </c>
      <c r="G12" s="177" t="s">
        <v>74</v>
      </c>
      <c r="H12" s="193" t="s">
        <v>77</v>
      </c>
      <c r="I12" s="177">
        <f>MIN(I13)</f>
        <v>45689</v>
      </c>
      <c r="J12" s="177">
        <f>MAX(J13)</f>
        <v>45694</v>
      </c>
      <c r="K12" s="177">
        <f>MIN(K13)</f>
        <v>45689</v>
      </c>
      <c r="L12" s="177">
        <f>MAX(L13)</f>
        <v>45694</v>
      </c>
      <c r="M12" s="178"/>
      <c r="N12" s="178" t="str">
        <f t="array" ref="N12">_xlfn.IFS(L12&lt;$M$3,"Concluído",AND(K12&gt;=$M$3,I12&lt;$M$3,L12&gt;$M$3),"Em andamento",AND(L12&gt;=$M$3,J12&lt;$M$3),"Atrasado",AND(L12&gt;=$M$3,J12&gt;=$M$3,I12&gt;$M$3,K12&lt;=$M$3),"Em andamento",AND(L12&gt;=$M$3,J12&gt;=$M$3,I12&lt;=$M$3,K12&lt;=$M$3),"Em andamento",AND(K12&gt;$M$3,I12&gt;$M$3),"Não iniciado",AND(L12&gt;=$M$3,J12&gt;=$M$3,K12&gt;=$M$3,I12&lt;$M$3),"Atrasado",AND(L12&gt;=$M$3,J12&gt;=$M$3,K12&gt;=$M$3,I12&gt;$M$3),"Não iniciado",AND($I12&lt;=$M$3,$K12&gt;$M$3),"Atrasado")</f>
        <v>Concluído</v>
      </c>
      <c r="O12" s="178">
        <f t="array" ref="O12">_xlfn.IFS(N12="Não iniciado",0,N12="Em andamento",1,N12="Concluído",2,N12="Atrasado",3)</f>
        <v>2</v>
      </c>
      <c r="P12" s="179"/>
      <c r="Q12" s="180">
        <f t="shared" ref="Q12:Z13" ca="1" si="3">Q13</f>
        <v>1</v>
      </c>
      <c r="R12" s="180">
        <f t="shared" ca="1" si="3"/>
        <v>1</v>
      </c>
      <c r="S12" s="203" t="e">
        <f t="shared" si="3"/>
        <v>#REF!</v>
      </c>
      <c r="T12" s="203" t="e">
        <f t="shared" si="3"/>
        <v>#REF!</v>
      </c>
      <c r="U12" s="203" t="e">
        <f t="shared" si="3"/>
        <v>#REF!</v>
      </c>
      <c r="V12" s="203" t="e">
        <f t="shared" si="3"/>
        <v>#REF!</v>
      </c>
      <c r="W12" s="203" t="e">
        <f t="shared" si="3"/>
        <v>#REF!</v>
      </c>
      <c r="X12" s="203" t="e">
        <f t="shared" si="3"/>
        <v>#REF!</v>
      </c>
      <c r="Y12" s="203" t="e">
        <f t="shared" si="3"/>
        <v>#REF!</v>
      </c>
      <c r="Z12" s="203" t="e">
        <f t="shared" si="3"/>
        <v>#REF!</v>
      </c>
      <c r="AA12" s="203" t="e">
        <f t="shared" ref="AA12:AJ13" si="4">AA13</f>
        <v>#REF!</v>
      </c>
      <c r="AB12" s="203" t="e">
        <f t="shared" si="4"/>
        <v>#REF!</v>
      </c>
      <c r="AC12" s="203" t="e">
        <f t="shared" si="4"/>
        <v>#REF!</v>
      </c>
      <c r="AD12" s="203" t="e">
        <f t="shared" si="4"/>
        <v>#REF!</v>
      </c>
      <c r="AE12" s="203" t="e">
        <f t="shared" si="4"/>
        <v>#REF!</v>
      </c>
      <c r="AF12" s="203" t="e">
        <f t="shared" si="4"/>
        <v>#REF!</v>
      </c>
      <c r="AG12" s="203" t="e">
        <f t="shared" si="4"/>
        <v>#REF!</v>
      </c>
      <c r="AH12" s="203" t="e">
        <f t="shared" si="4"/>
        <v>#REF!</v>
      </c>
      <c r="AI12" s="203" t="e">
        <f t="shared" si="4"/>
        <v>#REF!</v>
      </c>
      <c r="AJ12" s="203" t="e">
        <f t="shared" si="4"/>
        <v>#REF!</v>
      </c>
      <c r="AK12" s="203" t="e">
        <f t="shared" ref="AK12:AT13" si="5">AK13</f>
        <v>#REF!</v>
      </c>
      <c r="AL12" s="203" t="e">
        <f t="shared" si="5"/>
        <v>#REF!</v>
      </c>
      <c r="AM12" s="203" t="e">
        <f t="shared" si="5"/>
        <v>#REF!</v>
      </c>
      <c r="AN12" s="203" t="e">
        <f t="shared" si="5"/>
        <v>#REF!</v>
      </c>
      <c r="AO12" s="203" t="e">
        <f t="shared" si="5"/>
        <v>#REF!</v>
      </c>
      <c r="AP12" s="203" t="e">
        <f t="shared" si="5"/>
        <v>#REF!</v>
      </c>
      <c r="AQ12" s="203" t="e">
        <f t="shared" si="5"/>
        <v>#REF!</v>
      </c>
      <c r="AR12" s="203" t="e">
        <f t="shared" si="5"/>
        <v>#REF!</v>
      </c>
      <c r="AS12" s="203" t="e">
        <f t="shared" si="5"/>
        <v>#REF!</v>
      </c>
      <c r="AT12" s="203" t="e">
        <f t="shared" si="5"/>
        <v>#REF!</v>
      </c>
      <c r="AU12" s="203" t="e">
        <f t="shared" ref="AU12:BD13" si="6">AU13</f>
        <v>#REF!</v>
      </c>
      <c r="AV12" s="203" t="e">
        <f t="shared" si="6"/>
        <v>#REF!</v>
      </c>
      <c r="AW12" s="203" t="e">
        <f t="shared" si="6"/>
        <v>#REF!</v>
      </c>
      <c r="AX12" s="203" t="e">
        <f t="shared" si="6"/>
        <v>#REF!</v>
      </c>
      <c r="AY12" s="203" t="e">
        <f t="shared" si="6"/>
        <v>#REF!</v>
      </c>
      <c r="AZ12" s="203" t="e">
        <f t="shared" si="6"/>
        <v>#REF!</v>
      </c>
      <c r="BA12" s="203" t="e">
        <f t="shared" si="6"/>
        <v>#REF!</v>
      </c>
      <c r="BB12" s="203" t="e">
        <f t="shared" si="6"/>
        <v>#REF!</v>
      </c>
      <c r="BC12" s="203" t="e">
        <f t="shared" si="6"/>
        <v>#REF!</v>
      </c>
      <c r="BD12" s="203" t="e">
        <f t="shared" si="6"/>
        <v>#REF!</v>
      </c>
      <c r="BE12" s="203" t="e">
        <f t="shared" ref="BE12:BN13" si="7">BE13</f>
        <v>#REF!</v>
      </c>
      <c r="BF12" s="203" t="e">
        <f t="shared" si="7"/>
        <v>#REF!</v>
      </c>
      <c r="BG12" s="203" t="e">
        <f t="shared" si="7"/>
        <v>#REF!</v>
      </c>
      <c r="BH12" s="203" t="e">
        <f t="shared" si="7"/>
        <v>#REF!</v>
      </c>
      <c r="BI12" s="203" t="e">
        <f t="shared" si="7"/>
        <v>#REF!</v>
      </c>
      <c r="BJ12" s="203" t="e">
        <f t="shared" si="7"/>
        <v>#REF!</v>
      </c>
      <c r="BK12" s="203" t="e">
        <f t="shared" si="7"/>
        <v>#REF!</v>
      </c>
      <c r="BL12" s="203" t="e">
        <f t="shared" si="7"/>
        <v>#REF!</v>
      </c>
      <c r="BM12" s="203" t="e">
        <f t="shared" si="7"/>
        <v>#REF!</v>
      </c>
      <c r="BN12" s="203" t="e">
        <f t="shared" si="7"/>
        <v>#REF!</v>
      </c>
    </row>
    <row r="13" spans="2:66" ht="15" customHeight="1" x14ac:dyDescent="0.3">
      <c r="B13" s="170" t="str">
        <f t="array" ref="B13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3</v>
      </c>
      <c r="C13" s="170" t="s">
        <v>78</v>
      </c>
      <c r="D13" s="177" t="str">
        <f t="shared" si="2"/>
        <v>Arquitetura de projetos GERDAU</v>
      </c>
      <c r="E13" s="170" t="s">
        <v>77</v>
      </c>
      <c r="F13" s="170" t="s">
        <v>74</v>
      </c>
      <c r="G13" s="170" t="s">
        <v>74</v>
      </c>
      <c r="H13" s="194" t="s">
        <v>77</v>
      </c>
      <c r="I13" s="170">
        <f>MIN(I14)</f>
        <v>45689</v>
      </c>
      <c r="J13" s="170">
        <f>MAX(J14)</f>
        <v>45694</v>
      </c>
      <c r="K13" s="170">
        <f>MIN(K14)</f>
        <v>45689</v>
      </c>
      <c r="L13" s="170">
        <f>MAX(L14)</f>
        <v>45694</v>
      </c>
      <c r="M13" s="171"/>
      <c r="N13" s="171" t="str">
        <f t="array" ref="N13">_xlfn.IFS(L13&lt;$M$3,"Concluído",AND(K13&gt;=$M$3,I13&lt;$M$3,L13&gt;$M$3),"Em andamento",AND(L13&gt;=$M$3,J13&lt;$M$3),"Atrasado",AND(L13&gt;=$M$3,J13&gt;=$M$3,I13&gt;$M$3,K13&lt;=$M$3),"Em andamento",AND(L13&gt;=$M$3,J13&gt;=$M$3,I13&lt;=$M$3,K13&lt;=$M$3),"Em andamento",AND(K13&gt;$M$3,I13&gt;$M$3),"Não iniciado",AND(L13&gt;=$M$3,J13&gt;=$M$3,K13&gt;=$M$3,I13&lt;$M$3),"Atrasado",AND(L13&gt;=$M$3,J13&gt;=$M$3,K13&gt;=$M$3,I13&gt;$M$3),"Não iniciado",AND($I13&lt;=$M$3,$K13&gt;$M$3),"Atrasado")</f>
        <v>Concluído</v>
      </c>
      <c r="O13" s="171">
        <f t="array" ref="O13">_xlfn.IFS(N13="Não iniciado",0,N13="Em andamento",1,N13="Concluído",2,N13="Atrasado",3)</f>
        <v>2</v>
      </c>
      <c r="P13" s="172"/>
      <c r="Q13" s="173">
        <f t="shared" ca="1" si="3"/>
        <v>1</v>
      </c>
      <c r="R13" s="173">
        <f t="shared" ca="1" si="3"/>
        <v>1</v>
      </c>
      <c r="S13" s="204" t="e">
        <f t="shared" si="3"/>
        <v>#REF!</v>
      </c>
      <c r="T13" s="204" t="e">
        <f t="shared" si="3"/>
        <v>#REF!</v>
      </c>
      <c r="U13" s="204" t="e">
        <f t="shared" si="3"/>
        <v>#REF!</v>
      </c>
      <c r="V13" s="204" t="e">
        <f t="shared" si="3"/>
        <v>#REF!</v>
      </c>
      <c r="W13" s="204" t="e">
        <f t="shared" si="3"/>
        <v>#REF!</v>
      </c>
      <c r="X13" s="204" t="e">
        <f t="shared" si="3"/>
        <v>#REF!</v>
      </c>
      <c r="Y13" s="204" t="e">
        <f t="shared" si="3"/>
        <v>#REF!</v>
      </c>
      <c r="Z13" s="204" t="e">
        <f t="shared" si="3"/>
        <v>#REF!</v>
      </c>
      <c r="AA13" s="204" t="e">
        <f t="shared" si="4"/>
        <v>#REF!</v>
      </c>
      <c r="AB13" s="204" t="e">
        <f t="shared" si="4"/>
        <v>#REF!</v>
      </c>
      <c r="AC13" s="204" t="e">
        <f t="shared" si="4"/>
        <v>#REF!</v>
      </c>
      <c r="AD13" s="204" t="e">
        <f t="shared" si="4"/>
        <v>#REF!</v>
      </c>
      <c r="AE13" s="204" t="e">
        <f t="shared" si="4"/>
        <v>#REF!</v>
      </c>
      <c r="AF13" s="204" t="e">
        <f t="shared" si="4"/>
        <v>#REF!</v>
      </c>
      <c r="AG13" s="204" t="e">
        <f t="shared" si="4"/>
        <v>#REF!</v>
      </c>
      <c r="AH13" s="204" t="e">
        <f t="shared" si="4"/>
        <v>#REF!</v>
      </c>
      <c r="AI13" s="204" t="e">
        <f t="shared" si="4"/>
        <v>#REF!</v>
      </c>
      <c r="AJ13" s="204" t="e">
        <f t="shared" si="4"/>
        <v>#REF!</v>
      </c>
      <c r="AK13" s="204" t="e">
        <f t="shared" si="5"/>
        <v>#REF!</v>
      </c>
      <c r="AL13" s="204" t="e">
        <f t="shared" si="5"/>
        <v>#REF!</v>
      </c>
      <c r="AM13" s="204" t="e">
        <f t="shared" si="5"/>
        <v>#REF!</v>
      </c>
      <c r="AN13" s="204" t="e">
        <f t="shared" si="5"/>
        <v>#REF!</v>
      </c>
      <c r="AO13" s="204" t="e">
        <f t="shared" si="5"/>
        <v>#REF!</v>
      </c>
      <c r="AP13" s="204" t="e">
        <f t="shared" si="5"/>
        <v>#REF!</v>
      </c>
      <c r="AQ13" s="204" t="e">
        <f t="shared" si="5"/>
        <v>#REF!</v>
      </c>
      <c r="AR13" s="204" t="e">
        <f t="shared" si="5"/>
        <v>#REF!</v>
      </c>
      <c r="AS13" s="204" t="e">
        <f t="shared" si="5"/>
        <v>#REF!</v>
      </c>
      <c r="AT13" s="204" t="e">
        <f t="shared" si="5"/>
        <v>#REF!</v>
      </c>
      <c r="AU13" s="204" t="e">
        <f t="shared" si="6"/>
        <v>#REF!</v>
      </c>
      <c r="AV13" s="204" t="e">
        <f t="shared" si="6"/>
        <v>#REF!</v>
      </c>
      <c r="AW13" s="204" t="e">
        <f t="shared" si="6"/>
        <v>#REF!</v>
      </c>
      <c r="AX13" s="204" t="e">
        <f t="shared" si="6"/>
        <v>#REF!</v>
      </c>
      <c r="AY13" s="204" t="e">
        <f t="shared" si="6"/>
        <v>#REF!</v>
      </c>
      <c r="AZ13" s="204" t="e">
        <f t="shared" si="6"/>
        <v>#REF!</v>
      </c>
      <c r="BA13" s="204" t="e">
        <f t="shared" si="6"/>
        <v>#REF!</v>
      </c>
      <c r="BB13" s="204" t="e">
        <f t="shared" si="6"/>
        <v>#REF!</v>
      </c>
      <c r="BC13" s="204" t="e">
        <f t="shared" si="6"/>
        <v>#REF!</v>
      </c>
      <c r="BD13" s="204" t="e">
        <f t="shared" si="6"/>
        <v>#REF!</v>
      </c>
      <c r="BE13" s="204" t="e">
        <f t="shared" si="7"/>
        <v>#REF!</v>
      </c>
      <c r="BF13" s="204" t="e">
        <f t="shared" si="7"/>
        <v>#REF!</v>
      </c>
      <c r="BG13" s="204" t="e">
        <f t="shared" si="7"/>
        <v>#REF!</v>
      </c>
      <c r="BH13" s="204" t="e">
        <f t="shared" si="7"/>
        <v>#REF!</v>
      </c>
      <c r="BI13" s="204" t="e">
        <f t="shared" si="7"/>
        <v>#REF!</v>
      </c>
      <c r="BJ13" s="204" t="e">
        <f t="shared" si="7"/>
        <v>#REF!</v>
      </c>
      <c r="BK13" s="204" t="e">
        <f t="shared" si="7"/>
        <v>#REF!</v>
      </c>
      <c r="BL13" s="204" t="e">
        <f t="shared" si="7"/>
        <v>#REF!</v>
      </c>
      <c r="BM13" s="204" t="e">
        <f t="shared" si="7"/>
        <v>#REF!</v>
      </c>
      <c r="BN13" s="204" t="e">
        <f t="shared" si="7"/>
        <v>#REF!</v>
      </c>
    </row>
    <row r="14" spans="2:66" ht="15" customHeight="1" x14ac:dyDescent="0.3">
      <c r="B14" s="174" t="str">
        <f t="array" ref="B14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14" s="174" t="s">
        <v>79</v>
      </c>
      <c r="D14" s="177" t="str">
        <f t="shared" si="2"/>
        <v>Arquitetura de projetos GERDAU</v>
      </c>
      <c r="E14" s="174" t="s">
        <v>77</v>
      </c>
      <c r="F14" s="174" t="s">
        <v>77</v>
      </c>
      <c r="G14" s="174" t="s">
        <v>74</v>
      </c>
      <c r="H14" s="195" t="s">
        <v>77</v>
      </c>
      <c r="I14" s="174">
        <f>MIN(I15:I16)</f>
        <v>45689</v>
      </c>
      <c r="J14" s="174">
        <f>MAX(J15:J16)</f>
        <v>45694</v>
      </c>
      <c r="K14" s="174">
        <f>MIN(K15:K16)</f>
        <v>45689</v>
      </c>
      <c r="L14" s="174">
        <f>MAX(L15:L16)</f>
        <v>45694</v>
      </c>
      <c r="M14" s="175"/>
      <c r="N14" s="175" t="str">
        <f t="array" ref="N14">_xlfn.IFS(L14&lt;$M$3,"Concluído",AND(K14&gt;=$M$3,I14&lt;$M$3,L14&gt;$M$3),"Em andamento",AND(L14&gt;=$M$3,J14&lt;$M$3),"Atrasado",AND(L14&gt;=$M$3,J14&gt;=$M$3,I14&gt;$M$3,K14&lt;=$M$3),"Em andamento",AND(L14&gt;=$M$3,J14&gt;=$M$3,I14&lt;=$M$3,K14&lt;=$M$3),"Em andamento",AND(K14&gt;$M$3,I14&gt;$M$3),"Não iniciado",AND(L14&gt;=$M$3,J14&gt;=$M$3,K14&gt;=$M$3,I14&lt;$M$3),"Atrasado",AND(L14&gt;=$M$3,J14&gt;=$M$3,K14&gt;=$M$3,I14&gt;$M$3),"Não iniciado",AND($I14&lt;=$M$3,$K14&gt;$M$3),"Atrasado")</f>
        <v>Concluído</v>
      </c>
      <c r="O14" s="175">
        <f t="array" ref="O14">_xlfn.IFS(N14="Não iniciado",0,N14="Em andamento",1,N14="Concluído",2,N14="Atrasado",3)</f>
        <v>2</v>
      </c>
      <c r="P14" s="176"/>
      <c r="Q14" s="156">
        <f t="shared" ref="Q14:AV14" ca="1" si="8">AVERAGE(Q15:Q17)</f>
        <v>1</v>
      </c>
      <c r="R14" s="156">
        <f t="shared" ca="1" si="8"/>
        <v>1</v>
      </c>
      <c r="S14" s="205" t="e">
        <f t="shared" si="8"/>
        <v>#REF!</v>
      </c>
      <c r="T14" s="205" t="e">
        <f t="shared" si="8"/>
        <v>#REF!</v>
      </c>
      <c r="U14" s="205" t="e">
        <f t="shared" si="8"/>
        <v>#REF!</v>
      </c>
      <c r="V14" s="205" t="e">
        <f t="shared" si="8"/>
        <v>#REF!</v>
      </c>
      <c r="W14" s="205" t="e">
        <f t="shared" si="8"/>
        <v>#REF!</v>
      </c>
      <c r="X14" s="205" t="e">
        <f t="shared" si="8"/>
        <v>#REF!</v>
      </c>
      <c r="Y14" s="205" t="e">
        <f t="shared" si="8"/>
        <v>#REF!</v>
      </c>
      <c r="Z14" s="205" t="e">
        <f t="shared" si="8"/>
        <v>#REF!</v>
      </c>
      <c r="AA14" s="205" t="e">
        <f t="shared" si="8"/>
        <v>#REF!</v>
      </c>
      <c r="AB14" s="205" t="e">
        <f t="shared" si="8"/>
        <v>#REF!</v>
      </c>
      <c r="AC14" s="205" t="e">
        <f t="shared" si="8"/>
        <v>#REF!</v>
      </c>
      <c r="AD14" s="205" t="e">
        <f t="shared" si="8"/>
        <v>#REF!</v>
      </c>
      <c r="AE14" s="205" t="e">
        <f t="shared" si="8"/>
        <v>#REF!</v>
      </c>
      <c r="AF14" s="205" t="e">
        <f t="shared" si="8"/>
        <v>#REF!</v>
      </c>
      <c r="AG14" s="205" t="e">
        <f t="shared" si="8"/>
        <v>#REF!</v>
      </c>
      <c r="AH14" s="205" t="e">
        <f t="shared" si="8"/>
        <v>#REF!</v>
      </c>
      <c r="AI14" s="205" t="e">
        <f t="shared" si="8"/>
        <v>#REF!</v>
      </c>
      <c r="AJ14" s="205" t="e">
        <f t="shared" si="8"/>
        <v>#REF!</v>
      </c>
      <c r="AK14" s="205" t="e">
        <f t="shared" si="8"/>
        <v>#REF!</v>
      </c>
      <c r="AL14" s="205" t="e">
        <f t="shared" si="8"/>
        <v>#REF!</v>
      </c>
      <c r="AM14" s="205" t="e">
        <f t="shared" si="8"/>
        <v>#REF!</v>
      </c>
      <c r="AN14" s="205" t="e">
        <f t="shared" si="8"/>
        <v>#REF!</v>
      </c>
      <c r="AO14" s="205" t="e">
        <f t="shared" si="8"/>
        <v>#REF!</v>
      </c>
      <c r="AP14" s="205" t="e">
        <f t="shared" si="8"/>
        <v>#REF!</v>
      </c>
      <c r="AQ14" s="205" t="e">
        <f t="shared" si="8"/>
        <v>#REF!</v>
      </c>
      <c r="AR14" s="205" t="e">
        <f t="shared" si="8"/>
        <v>#REF!</v>
      </c>
      <c r="AS14" s="205" t="e">
        <f t="shared" si="8"/>
        <v>#REF!</v>
      </c>
      <c r="AT14" s="205" t="e">
        <f t="shared" si="8"/>
        <v>#REF!</v>
      </c>
      <c r="AU14" s="205" t="e">
        <f t="shared" si="8"/>
        <v>#REF!</v>
      </c>
      <c r="AV14" s="205" t="e">
        <f t="shared" si="8"/>
        <v>#REF!</v>
      </c>
      <c r="AW14" s="205" t="e">
        <f t="shared" ref="AW14:BN14" si="9">AVERAGE(AW15:AW17)</f>
        <v>#REF!</v>
      </c>
      <c r="AX14" s="205" t="e">
        <f t="shared" si="9"/>
        <v>#REF!</v>
      </c>
      <c r="AY14" s="205" t="e">
        <f t="shared" si="9"/>
        <v>#REF!</v>
      </c>
      <c r="AZ14" s="205" t="e">
        <f t="shared" si="9"/>
        <v>#REF!</v>
      </c>
      <c r="BA14" s="205" t="e">
        <f t="shared" si="9"/>
        <v>#REF!</v>
      </c>
      <c r="BB14" s="205" t="e">
        <f t="shared" si="9"/>
        <v>#REF!</v>
      </c>
      <c r="BC14" s="205" t="e">
        <f t="shared" si="9"/>
        <v>#REF!</v>
      </c>
      <c r="BD14" s="205" t="e">
        <f t="shared" si="9"/>
        <v>#REF!</v>
      </c>
      <c r="BE14" s="205" t="e">
        <f t="shared" si="9"/>
        <v>#REF!</v>
      </c>
      <c r="BF14" s="205" t="e">
        <f t="shared" si="9"/>
        <v>#REF!</v>
      </c>
      <c r="BG14" s="205" t="e">
        <f t="shared" si="9"/>
        <v>#REF!</v>
      </c>
      <c r="BH14" s="205" t="e">
        <f t="shared" si="9"/>
        <v>#REF!</v>
      </c>
      <c r="BI14" s="205" t="e">
        <f t="shared" si="9"/>
        <v>#REF!</v>
      </c>
      <c r="BJ14" s="205" t="e">
        <f t="shared" si="9"/>
        <v>#REF!</v>
      </c>
      <c r="BK14" s="205" t="e">
        <f t="shared" si="9"/>
        <v>#REF!</v>
      </c>
      <c r="BL14" s="205" t="e">
        <f t="shared" si="9"/>
        <v>#REF!</v>
      </c>
      <c r="BM14" s="205" t="e">
        <f t="shared" si="9"/>
        <v>#REF!</v>
      </c>
      <c r="BN14" s="205" t="e">
        <f t="shared" si="9"/>
        <v>#REF!</v>
      </c>
    </row>
    <row r="15" spans="2:66" ht="15" customHeight="1" x14ac:dyDescent="0.3">
      <c r="B15" s="166" t="str">
        <f t="array" ref="B15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5" s="166" t="s">
        <v>80</v>
      </c>
      <c r="D15" s="177" t="str">
        <f t="shared" si="2"/>
        <v>Arquitetura de projetos GERDAU</v>
      </c>
      <c r="E15" s="166" t="s">
        <v>77</v>
      </c>
      <c r="F15" s="166" t="s">
        <v>77</v>
      </c>
      <c r="G15" s="166" t="s">
        <v>77</v>
      </c>
      <c r="H15" s="196" t="s">
        <v>81</v>
      </c>
      <c r="I15" s="166">
        <v>45689</v>
      </c>
      <c r="J15" s="166">
        <v>45694</v>
      </c>
      <c r="K15" s="166">
        <v>45689</v>
      </c>
      <c r="L15" s="166">
        <v>45694</v>
      </c>
      <c r="M15" s="167"/>
      <c r="N15" s="167" t="str">
        <f t="array" ref="N15">_xlfn.IFS(L15&lt;$M$3,"Concluído",AND(K15&gt;=$M$3,I15&lt;$M$3,L15&gt;$M$3),"Em andamento",AND(L15&gt;=$M$3,J15&lt;$M$3),"Atrasado",AND(L15&gt;=$M$3,J15&gt;=$M$3,I15&gt;$M$3,K15&lt;=$M$3),"Em andamento",AND(L15&gt;=$M$3,J15&gt;=$M$3,I15&lt;=$M$3,K15&lt;=$M$3),"Em andamento",AND(K15&gt;$M$3,I15&gt;$M$3),"Não iniciado",AND(L15&gt;=$M$3,J15&gt;=$M$3,K15&gt;=$M$3,I15&lt;$M$3),"Atrasado",AND(L15&gt;=$M$3,J15&gt;=$M$3,K15&gt;=$M$3,I15&gt;$M$3),"Não iniciado",AND($I15&lt;=$M$3,$K15&gt;$M$3),"Atrasado")</f>
        <v>Concluído</v>
      </c>
      <c r="O15" s="167">
        <f t="array" ref="O15">_xlfn.IFS(N15="Não iniciado",0,N15="Em andamento",1,N15="Concluído",2,N15="Atrasado",3)</f>
        <v>2</v>
      </c>
      <c r="P15" s="168"/>
      <c r="Q15" s="152">
        <f t="array" aca="1" ref="Q15" ca="1">_xlfn.IFS(AND($I15&lt;$N$3,$J15&lt;$N$3),1,AND($I15&lt;=$N$3,$J15&gt;=$N$3),0.5,AND($I15&gt;=$N$3,$J15&gt;=$N$3),0)</f>
        <v>1</v>
      </c>
      <c r="R15" s="152">
        <f t="array" aca="1" ref="R15" ca="1">_xlfn.IFS(AND($K15&lt;$N$3,$L15&lt;$N$3),1,AND($K15&lt;=$N$3,$L15&gt;=$N$3),0.5,AND($K15&gt;=$N$3,$L15&gt;=$N$3),0)</f>
        <v>1</v>
      </c>
      <c r="S15" s="201" t="e">
        <f t="array" ref="S15">_xlfn.IFS(AND($K15&gt;R$7,$L15&gt;R$7),0,AND($K15&lt;=R$7,$L15&lt;=R$7),1,AND($K15&lt;=R$7,$L15&gt;R$7),((R$7-$K15)/($L15-$K15)))</f>
        <v>#REF!</v>
      </c>
      <c r="T15" s="201" t="e">
        <f t="array" ref="T15">_xlfn.IFS(AND($K15&gt;S$7,$L15&gt;S$7),0,AND($K15&lt;=S$7,$L15&lt;=S$7),1,AND($K15&lt;=S$7,$L15&gt;S$7),((S$7-$K15)/($L15-$K15)))</f>
        <v>#REF!</v>
      </c>
      <c r="U15" s="201" t="e">
        <f t="array" ref="U15">_xlfn.IFS(AND($K15&gt;T$7,$L15&gt;T$7),0,AND($K15&lt;=T$7,$L15&lt;=T$7),1,AND($K15&lt;=T$7,$L15&gt;T$7),((T$7-$K15)/($L15-$K15)))</f>
        <v>#REF!</v>
      </c>
      <c r="V15" s="201" t="e">
        <f t="array" ref="V15">_xlfn.IFS(AND($K15&gt;U$7,$L15&gt;U$7),0,AND($K15&lt;=U$7,$L15&lt;=U$7),1,AND($K15&lt;=U$7,$L15&gt;U$7),((U$7-$K15)/($L15-$K15)))</f>
        <v>#REF!</v>
      </c>
      <c r="W15" s="201" t="e">
        <f t="array" ref="W15">_xlfn.IFS(AND($K15&gt;V$7,$L15&gt;V$7),0,AND($K15&lt;=V$7,$L15&lt;=V$7),1,AND($K15&lt;=V$7,$L15&gt;V$7),((V$7-$K15)/($L15-$K15)))</f>
        <v>#REF!</v>
      </c>
      <c r="X15" s="201" t="e">
        <f t="array" ref="X15">_xlfn.IFS(AND($K15&gt;W$7,$L15&gt;W$7),0,AND($K15&lt;=W$7,$L15&lt;=W$7),1,AND($K15&lt;=W$7,$L15&gt;W$7),((W$7-$K15)/($L15-$K15)))</f>
        <v>#REF!</v>
      </c>
      <c r="Y15" s="201" t="e">
        <f t="array" ref="Y15">_xlfn.IFS(AND($K15&gt;X$7,$L15&gt;X$7),0,AND($K15&lt;=X$7,$L15&lt;=X$7),1,AND($K15&lt;=X$7,$L15&gt;X$7),((X$7-$K15)/($L15-$K15)))</f>
        <v>#REF!</v>
      </c>
      <c r="Z15" s="201" t="e">
        <f t="array" ref="Z15">_xlfn.IFS(AND($K15&gt;Y$7,$L15&gt;Y$7),0,AND($K15&lt;=Y$7,$L15&lt;=Y$7),1,AND($K15&lt;=Y$7,$L15&gt;Y$7),((Y$7-$K15)/($L15-$K15)))</f>
        <v>#REF!</v>
      </c>
      <c r="AA15" s="201" t="e">
        <f t="array" ref="AA15">_xlfn.IFS(AND($K15&gt;Z$7,$L15&gt;Z$7),0,AND($K15&lt;=Z$7,$L15&lt;=Z$7),1,AND($K15&lt;=Z$7,$L15&gt;Z$7),((Z$7-$K15)/($L15-$K15)))</f>
        <v>#REF!</v>
      </c>
      <c r="AB15" s="201" t="e">
        <f t="array" ref="AB15">_xlfn.IFS(AND($K15&gt;AA$7,$L15&gt;AA$7),0,AND($K15&lt;=AA$7,$L15&lt;=AA$7),1,AND($K15&lt;=AA$7,$L15&gt;AA$7),((AA$7-$K15)/($L15-$K15)))</f>
        <v>#REF!</v>
      </c>
      <c r="AC15" s="201" t="e">
        <f t="array" ref="AC15">_xlfn.IFS(AND($K15&gt;AB$7,$L15&gt;AB$7),0,AND($K15&lt;=AB$7,$L15&lt;=AB$7),1,AND($K15&lt;=AB$7,$L15&gt;AB$7),((AB$7-$K15)/($L15-$K15)))</f>
        <v>#REF!</v>
      </c>
      <c r="AD15" s="201" t="e">
        <f t="array" ref="AD15">_xlfn.IFS(AND($K15&gt;AC$7,$L15&gt;AC$7),0,AND($K15&lt;=AC$7,$L15&lt;=AC$7),1,AND($K15&lt;=AC$7,$L15&gt;AC$7),((AC$7-$K15)/($L15-$K15)))</f>
        <v>#REF!</v>
      </c>
      <c r="AE15" s="201" t="e">
        <f t="array" ref="AE15">_xlfn.IFS(AND($K15&gt;AD$7,$L15&gt;AD$7),0,AND($K15&lt;=AD$7,$L15&lt;=AD$7),1,AND($K15&lt;=AD$7,$L15&gt;AD$7),((AD$7-$K15)/($L15-$K15)))</f>
        <v>#REF!</v>
      </c>
      <c r="AF15" s="201" t="e">
        <f t="array" ref="AF15">_xlfn.IFS(AND($K15&gt;AE$7,$L15&gt;AE$7),0,AND($K15&lt;=AE$7,$L15&lt;=AE$7),1,AND($K15&lt;=AE$7,$L15&gt;AE$7),((AE$7-$K15)/($L15-$K15)))</f>
        <v>#REF!</v>
      </c>
      <c r="AG15" s="201" t="e">
        <f t="array" ref="AG15">_xlfn.IFS(AND($K15&gt;AF$7,$L15&gt;AF$7),0,AND($K15&lt;=AF$7,$L15&lt;=AF$7),1,AND($K15&lt;=AF$7,$L15&gt;AF$7),((AF$7-$K15)/($L15-$K15)))</f>
        <v>#REF!</v>
      </c>
      <c r="AH15" s="201" t="e">
        <f t="array" ref="AH15">_xlfn.IFS(AND($K15&gt;AG$7,$L15&gt;AG$7),0,AND($K15&lt;=AG$7,$L15&lt;=AG$7),1,AND($K15&lt;=AG$7,$L15&gt;AG$7),((AG$7-$K15)/($L15-$K15)))</f>
        <v>#REF!</v>
      </c>
      <c r="AI15" s="201" t="e">
        <f t="array" ref="AI15">_xlfn.IFS(AND($K15&gt;AH$7,$L15&gt;AH$7),0,AND($K15&lt;=AH$7,$L15&lt;=AH$7),1,AND($K15&lt;=AH$7,$L15&gt;AH$7),((AH$7-$K15)/($L15-$K15)))</f>
        <v>#REF!</v>
      </c>
      <c r="AJ15" s="201" t="e">
        <f t="array" ref="AJ15">_xlfn.IFS(AND($K15&gt;AI$7,$L15&gt;AI$7),0,AND($K15&lt;=AI$7,$L15&lt;=AI$7),1,AND($K15&lt;=AI$7,$L15&gt;AI$7),((AI$7-$K15)/($L15-$K15)))</f>
        <v>#REF!</v>
      </c>
      <c r="AK15" s="201" t="e">
        <f t="array" ref="AK15">_xlfn.IFS(AND($K15&gt;AJ$7,$L15&gt;AJ$7),0,AND($K15&lt;=AJ$7,$L15&lt;=AJ$7),1,AND($K15&lt;=AJ$7,$L15&gt;AJ$7),((AJ$7-$K15)/($L15-$K15)))</f>
        <v>#REF!</v>
      </c>
      <c r="AL15" s="201" t="e">
        <f t="array" ref="AL15">_xlfn.IFS(AND($K15&gt;AK$7,$L15&gt;AK$7),0,AND($K15&lt;=AK$7,$L15&lt;=AK$7),1,AND($K15&lt;=AK$7,$L15&gt;AK$7),((AK$7-$K15)/($L15-$K15)))</f>
        <v>#REF!</v>
      </c>
      <c r="AM15" s="201" t="e">
        <f t="array" ref="AM15">_xlfn.IFS(AND($K15&gt;AL$7,$L15&gt;AL$7),0,AND($K15&lt;=AL$7,$L15&lt;=AL$7),1,AND($K15&lt;=AL$7,$L15&gt;AL$7),((AL$7-$K15)/($L15-$K15)))</f>
        <v>#REF!</v>
      </c>
      <c r="AN15" s="201" t="e">
        <f t="array" ref="AN15">_xlfn.IFS(AND($K15&gt;AM$7,$L15&gt;AM$7),0,AND($K15&lt;=AM$7,$L15&lt;=AM$7),1,AND($K15&lt;=AM$7,$L15&gt;AM$7),((AM$7-$K15)/($L15-$K15)))</f>
        <v>#REF!</v>
      </c>
      <c r="AO15" s="201" t="e">
        <f t="array" ref="AO15">_xlfn.IFS(AND($K15&gt;AN$7,$L15&gt;AN$7),0,AND($K15&lt;=AN$7,$L15&lt;=AN$7),1,AND($K15&lt;=AN$7,$L15&gt;AN$7),((AN$7-$K15)/($L15-$K15)))</f>
        <v>#REF!</v>
      </c>
      <c r="AP15" s="201" t="e">
        <f t="array" ref="AP15">_xlfn.IFS(AND($K15&gt;AO$7,$L15&gt;AO$7),0,AND($K15&lt;=AO$7,$L15&lt;=AO$7),1,AND($K15&lt;=AO$7,$L15&gt;AO$7),((AO$7-$K15)/($L15-$K15)))</f>
        <v>#REF!</v>
      </c>
      <c r="AQ15" s="201" t="e">
        <f t="array" ref="AQ15">_xlfn.IFS(AND($K15&gt;AP$7,$L15&gt;AP$7),0,AND($K15&lt;=AP$7,$L15&lt;=AP$7),1,AND($K15&lt;=AP$7,$L15&gt;AP$7),((AP$7-$K15)/($L15-$K15)))</f>
        <v>#REF!</v>
      </c>
      <c r="AR15" s="201" t="e">
        <f t="array" ref="AR15">_xlfn.IFS(AND($K15&gt;AQ$7,$L15&gt;AQ$7),0,AND($K15&lt;=AQ$7,$L15&lt;=AQ$7),1,AND($K15&lt;=AQ$7,$L15&gt;AQ$7),((AQ$7-$K15)/($L15-$K15)))</f>
        <v>#REF!</v>
      </c>
      <c r="AS15" s="201" t="e">
        <f t="array" ref="AS15">_xlfn.IFS(AND($K15&gt;AR$7,$L15&gt;AR$7),0,AND($K15&lt;=AR$7,$L15&lt;=AR$7),1,AND($K15&lt;=AR$7,$L15&gt;AR$7),((AR$7-$K15)/($L15-$K15)))</f>
        <v>#REF!</v>
      </c>
      <c r="AT15" s="201" t="e">
        <f t="array" ref="AT15">_xlfn.IFS(AND($K15&gt;AS$7,$L15&gt;AS$7),0,AND($K15&lt;=AS$7,$L15&lt;=AS$7),1,AND($K15&lt;=AS$7,$L15&gt;AS$7),((AS$7-$K15)/($L15-$K15)))</f>
        <v>#REF!</v>
      </c>
      <c r="AU15" s="201" t="e">
        <f t="array" ref="AU15">_xlfn.IFS(AND($K15&gt;AT$7,$L15&gt;AT$7),0,AND($K15&lt;=AT$7,$L15&lt;=AT$7),1,AND($K15&lt;=AT$7,$L15&gt;AT$7),((AT$7-$K15)/($L15-$K15)))</f>
        <v>#REF!</v>
      </c>
      <c r="AV15" s="201" t="e">
        <f t="array" ref="AV15">_xlfn.IFS(AND($K15&gt;AU$7,$L15&gt;AU$7),0,AND($K15&lt;=AU$7,$L15&lt;=AU$7),1,AND($K15&lt;=AU$7,$L15&gt;AU$7),((AU$7-$K15)/($L15-$K15)))</f>
        <v>#REF!</v>
      </c>
      <c r="AW15" s="201" t="e">
        <f t="array" ref="AW15">_xlfn.IFS(AND($K15&gt;AV$7,$L15&gt;AV$7),0,AND($K15&lt;=AV$7,$L15&lt;=AV$7),1,AND($K15&lt;=AV$7,$L15&gt;AV$7),((AV$7-$K15)/($L15-$K15)))</f>
        <v>#REF!</v>
      </c>
      <c r="AX15" s="201" t="e">
        <f t="array" ref="AX15">_xlfn.IFS(AND($K15&gt;AW$7,$L15&gt;AW$7),0,AND($K15&lt;=AW$7,$L15&lt;=AW$7),1,AND($K15&lt;=AW$7,$L15&gt;AW$7),((AW$7-$K15)/($L15-$K15)))</f>
        <v>#REF!</v>
      </c>
      <c r="AY15" s="201" t="e">
        <f t="array" ref="AY15">_xlfn.IFS(AND($K15&gt;AX$7,$L15&gt;AX$7),0,AND($K15&lt;=AX$7,$L15&lt;=AX$7),1,AND($K15&lt;=AX$7,$L15&gt;AX$7),((AX$7-$K15)/($L15-$K15)))</f>
        <v>#REF!</v>
      </c>
      <c r="AZ15" s="201" t="e">
        <f t="array" ref="AZ15">_xlfn.IFS(AND($K15&gt;AY$7,$L15&gt;AY$7),0,AND($K15&lt;=AY$7,$L15&lt;=AY$7),1,AND($K15&lt;=AY$7,$L15&gt;AY$7),((AY$7-$K15)/($L15-$K15)))</f>
        <v>#REF!</v>
      </c>
      <c r="BA15" s="201" t="e">
        <f t="array" ref="BA15">_xlfn.IFS(AND($K15&gt;AZ$7,$L15&gt;AZ$7),0,AND($K15&lt;=AZ$7,$L15&lt;=AZ$7),1,AND($K15&lt;=AZ$7,$L15&gt;AZ$7),((AZ$7-$K15)/($L15-$K15)))</f>
        <v>#REF!</v>
      </c>
      <c r="BB15" s="201" t="e">
        <f t="array" ref="BB15">_xlfn.IFS(AND($K15&gt;BA$7,$L15&gt;BA$7),0,AND($K15&lt;=BA$7,$L15&lt;=BA$7),1,AND($K15&lt;=BA$7,$L15&gt;BA$7),((BA$7-$K15)/($L15-$K15)))</f>
        <v>#REF!</v>
      </c>
      <c r="BC15" s="201" t="e">
        <f t="array" ref="BC15">_xlfn.IFS(AND($K15&gt;BB$7,$L15&gt;BB$7),0,AND($K15&lt;=BB$7,$L15&lt;=BB$7),1,AND($K15&lt;=BB$7,$L15&gt;BB$7),((BB$7-$K15)/($L15-$K15)))</f>
        <v>#REF!</v>
      </c>
      <c r="BD15" s="201" t="e">
        <f t="array" ref="BD15">_xlfn.IFS(AND($K15&gt;BC$7,$L15&gt;BC$7),0,AND($K15&lt;=BC$7,$L15&lt;=BC$7),1,AND($K15&lt;=BC$7,$L15&gt;BC$7),((BC$7-$K15)/($L15-$K15)))</f>
        <v>#REF!</v>
      </c>
      <c r="BE15" s="201" t="e">
        <f t="array" ref="BE15">_xlfn.IFS(AND($K15&gt;BD$7,$L15&gt;BD$7),0,AND($K15&lt;=BD$7,$L15&lt;=BD$7),1,AND($K15&lt;=BD$7,$L15&gt;BD$7),((BD$7-$K15)/($L15-$K15)))</f>
        <v>#REF!</v>
      </c>
      <c r="BF15" s="201" t="e">
        <f t="array" ref="BF15">_xlfn.IFS(AND($K15&gt;BE$7,$L15&gt;BE$7),0,AND($K15&lt;=BE$7,$L15&lt;=BE$7),1,AND($K15&lt;=BE$7,$L15&gt;BE$7),((BE$7-$K15)/($L15-$K15)))</f>
        <v>#REF!</v>
      </c>
      <c r="BG15" s="201" t="e">
        <f t="array" ref="BG15">_xlfn.IFS(AND($K15&gt;BF$7,$L15&gt;BF$7),0,AND($K15&lt;=BF$7,$L15&lt;=BF$7),1,AND($K15&lt;=BF$7,$L15&gt;BF$7),((BF$7-$K15)/($L15-$K15)))</f>
        <v>#REF!</v>
      </c>
      <c r="BH15" s="201" t="e">
        <f t="array" ref="BH15">_xlfn.IFS(AND($K15&gt;BG$7,$L15&gt;BG$7),0,AND($K15&lt;=BG$7,$L15&lt;=BG$7),1,AND($K15&lt;=BG$7,$L15&gt;BG$7),((BG$7-$K15)/($L15-$K15)))</f>
        <v>#REF!</v>
      </c>
      <c r="BI15" s="201" t="e">
        <f t="array" ref="BI15">_xlfn.IFS(AND($K15&gt;BH$7,$L15&gt;BH$7),0,AND($K15&lt;=BH$7,$L15&lt;=BH$7),1,AND($K15&lt;=BH$7,$L15&gt;BH$7),((BH$7-$K15)/($L15-$K15)))</f>
        <v>#REF!</v>
      </c>
      <c r="BJ15" s="201" t="e">
        <f t="array" ref="BJ15">_xlfn.IFS(AND($K15&gt;BI$7,$L15&gt;BI$7),0,AND($K15&lt;=BI$7,$L15&lt;=BI$7),1,AND($K15&lt;=BI$7,$L15&gt;BI$7),((BI$7-$K15)/($L15-$K15)))</f>
        <v>#REF!</v>
      </c>
      <c r="BK15" s="201" t="e">
        <f t="array" ref="BK15">_xlfn.IFS(AND($K15&gt;BJ$7,$L15&gt;BJ$7),0,AND($K15&lt;=BJ$7,$L15&lt;=BJ$7),1,AND($K15&lt;=BJ$7,$L15&gt;BJ$7),((BJ$7-$K15)/($L15-$K15)))</f>
        <v>#REF!</v>
      </c>
      <c r="BL15" s="201" t="e">
        <f t="array" ref="BL15">_xlfn.IFS(AND($K15&gt;BK$7,$L15&gt;BK$7),0,AND($K15&lt;=BK$7,$L15&lt;=BK$7),1,AND($K15&lt;=BK$7,$L15&gt;BK$7),((BK$7-$K15)/($L15-$K15)))</f>
        <v>#REF!</v>
      </c>
      <c r="BM15" s="201" t="e">
        <f t="array" ref="BM15">_xlfn.IFS(AND($K15&gt;BL$7,$L15&gt;BL$7),0,AND($K15&lt;=BL$7,$L15&lt;=BL$7),1,AND($K15&lt;=BL$7,$L15&gt;BL$7),((BL$7-$K15)/($L15-$K15)))</f>
        <v>#REF!</v>
      </c>
      <c r="BN15" s="201" t="e">
        <f t="array" ref="BN15">_xlfn.IFS(AND($K15&gt;BM$7,$L15&gt;BM$7),0,AND($K15&lt;=BM$7,$L15&lt;=BM$7),1,AND($K15&lt;=BM$7,$L15&gt;BM$7),((BM$7-$K15)/($L15-$K15)))</f>
        <v>#REF!</v>
      </c>
    </row>
    <row r="16" spans="2:66" ht="15" customHeight="1" x14ac:dyDescent="0.3">
      <c r="B16" s="166" t="str">
        <f t="array" ref="B16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6" s="166" t="s">
        <v>82</v>
      </c>
      <c r="D16" s="177" t="str">
        <f t="shared" si="2"/>
        <v>Arquitetura de projetos GERDAU</v>
      </c>
      <c r="E16" s="166" t="s">
        <v>77</v>
      </c>
      <c r="F16" s="166" t="s">
        <v>77</v>
      </c>
      <c r="G16" s="166" t="s">
        <v>77</v>
      </c>
      <c r="H16" s="196" t="s">
        <v>83</v>
      </c>
      <c r="I16" s="166">
        <v>45694</v>
      </c>
      <c r="J16" s="166">
        <v>45694</v>
      </c>
      <c r="K16" s="166">
        <v>45694</v>
      </c>
      <c r="L16" s="166">
        <v>45694</v>
      </c>
      <c r="M16" s="167"/>
      <c r="N16" s="167" t="str">
        <f t="array" ref="N16">_xlfn.IFS(L16&lt;$M$3,"Concluído",AND(K16&gt;=$M$3,I16&lt;$M$3,L16&gt;$M$3),"Em andamento",AND(L16&gt;=$M$3,J16&lt;$M$3),"Atrasado",AND(L16&gt;=$M$3,J16&gt;=$M$3,I16&gt;$M$3,K16&lt;=$M$3),"Em andamento",AND(L16&gt;=$M$3,J16&gt;=$M$3,I16&lt;=$M$3,K16&lt;=$M$3),"Em andamento",AND(K16&gt;$M$3,I16&gt;$M$3),"Não iniciado",AND(L16&gt;=$M$3,J16&gt;=$M$3,K16&gt;=$M$3,I16&lt;$M$3),"Atrasado",AND(L16&gt;=$M$3,J16&gt;=$M$3,K16&gt;=$M$3,I16&gt;$M$3),"Não iniciado",AND($I16&lt;=$M$3,$K16&gt;$M$3),"Atrasado")</f>
        <v>Concluído</v>
      </c>
      <c r="O16" s="167">
        <f t="array" ref="O16">_xlfn.IFS(N16="Não iniciado",0,N16="Em andamento",1,N16="Concluído",2,N16="Atrasado",3)</f>
        <v>2</v>
      </c>
      <c r="P16" s="168"/>
      <c r="Q16" s="152">
        <f t="array" aca="1" ref="Q16" ca="1">_xlfn.IFS(AND($I16&lt;$N$3,$J16&lt;$N$3),1,AND($I16&lt;=$N$3,$J16&gt;=$N$3),0.5,AND($I16&gt;=$N$3,$J16&gt;=$N$3),0)</f>
        <v>1</v>
      </c>
      <c r="R16" s="152">
        <f t="array" aca="1" ref="R16" ca="1">_xlfn.IFS(AND($K16&lt;$N$3,$L16&lt;$N$3),1,AND($K16&lt;=$N$3,$L16&gt;=$N$3),0.5,AND($K16&gt;=$N$3,$L16&gt;=$N$3),0)</f>
        <v>1</v>
      </c>
      <c r="S16" s="201" t="e">
        <f t="array" ref="S16">_xlfn.IFS(AND($K16&gt;R$7,$L16&gt;R$7),0,AND($K16&lt;=R$7,$L16&lt;=R$7),1,AND($K16&lt;=R$7,$L16&gt;R$7),((R$7-$K16)/($L16-$K16)))</f>
        <v>#REF!</v>
      </c>
      <c r="T16" s="201" t="e">
        <f t="array" ref="T16">_xlfn.IFS(AND($K16&gt;S$7,$L16&gt;S$7),0,AND($K16&lt;=S$7,$L16&lt;=S$7),1,AND($K16&lt;=S$7,$L16&gt;S$7),((S$7-$K16)/($L16-$K16)))</f>
        <v>#REF!</v>
      </c>
      <c r="U16" s="201" t="e">
        <f t="array" ref="U16">_xlfn.IFS(AND($K16&gt;T$7,$L16&gt;T$7),0,AND($K16&lt;=T$7,$L16&lt;=T$7),1,AND($K16&lt;=T$7,$L16&gt;T$7),((T$7-$K16)/($L16-$K16)))</f>
        <v>#REF!</v>
      </c>
      <c r="V16" s="201" t="e">
        <f t="array" ref="V16">_xlfn.IFS(AND($K16&gt;U$7,$L16&gt;U$7),0,AND($K16&lt;=U$7,$L16&lt;=U$7),1,AND($K16&lt;=U$7,$L16&gt;U$7),((U$7-$K16)/($L16-$K16)))</f>
        <v>#REF!</v>
      </c>
      <c r="W16" s="201" t="e">
        <f t="array" ref="W16">_xlfn.IFS(AND($K16&gt;V$7,$L16&gt;V$7),0,AND($K16&lt;=V$7,$L16&lt;=V$7),1,AND($K16&lt;=V$7,$L16&gt;V$7),((V$7-$K16)/($L16-$K16)))</f>
        <v>#REF!</v>
      </c>
      <c r="X16" s="201" t="e">
        <f t="array" ref="X16">_xlfn.IFS(AND($K16&gt;W$7,$L16&gt;W$7),0,AND($K16&lt;=W$7,$L16&lt;=W$7),1,AND($K16&lt;=W$7,$L16&gt;W$7),((W$7-$K16)/($L16-$K16)))</f>
        <v>#REF!</v>
      </c>
      <c r="Y16" s="201" t="e">
        <f t="array" ref="Y16">_xlfn.IFS(AND($K16&gt;X$7,$L16&gt;X$7),0,AND($K16&lt;=X$7,$L16&lt;=X$7),1,AND($K16&lt;=X$7,$L16&gt;X$7),((X$7-$K16)/($L16-$K16)))</f>
        <v>#REF!</v>
      </c>
      <c r="Z16" s="201" t="e">
        <f t="array" ref="Z16">_xlfn.IFS(AND($K16&gt;Y$7,$L16&gt;Y$7),0,AND($K16&lt;=Y$7,$L16&lt;=Y$7),1,AND($K16&lt;=Y$7,$L16&gt;Y$7),((Y$7-$K16)/($L16-$K16)))</f>
        <v>#REF!</v>
      </c>
      <c r="AA16" s="201" t="e">
        <f t="array" ref="AA16">_xlfn.IFS(AND($K16&gt;Z$7,$L16&gt;Z$7),0,AND($K16&lt;=Z$7,$L16&lt;=Z$7),1,AND($K16&lt;=Z$7,$L16&gt;Z$7),((Z$7-$K16)/($L16-$K16)))</f>
        <v>#REF!</v>
      </c>
      <c r="AB16" s="201" t="e">
        <f t="array" ref="AB16">_xlfn.IFS(AND($K16&gt;AA$7,$L16&gt;AA$7),0,AND($K16&lt;=AA$7,$L16&lt;=AA$7),1,AND($K16&lt;=AA$7,$L16&gt;AA$7),((AA$7-$K16)/($L16-$K16)))</f>
        <v>#REF!</v>
      </c>
      <c r="AC16" s="201" t="e">
        <f t="array" ref="AC16">_xlfn.IFS(AND($K16&gt;AB$7,$L16&gt;AB$7),0,AND($K16&lt;=AB$7,$L16&lt;=AB$7),1,AND($K16&lt;=AB$7,$L16&gt;AB$7),((AB$7-$K16)/($L16-$K16)))</f>
        <v>#REF!</v>
      </c>
      <c r="AD16" s="201" t="e">
        <f t="array" ref="AD16">_xlfn.IFS(AND($K16&gt;AC$7,$L16&gt;AC$7),0,AND($K16&lt;=AC$7,$L16&lt;=AC$7),1,AND($K16&lt;=AC$7,$L16&gt;AC$7),((AC$7-$K16)/($L16-$K16)))</f>
        <v>#REF!</v>
      </c>
      <c r="AE16" s="201" t="e">
        <f t="array" ref="AE16">_xlfn.IFS(AND($K16&gt;AD$7,$L16&gt;AD$7),0,AND($K16&lt;=AD$7,$L16&lt;=AD$7),1,AND($K16&lt;=AD$7,$L16&gt;AD$7),((AD$7-$K16)/($L16-$K16)))</f>
        <v>#REF!</v>
      </c>
      <c r="AF16" s="201" t="e">
        <f t="array" ref="AF16">_xlfn.IFS(AND($K16&gt;AE$7,$L16&gt;AE$7),0,AND($K16&lt;=AE$7,$L16&lt;=AE$7),1,AND($K16&lt;=AE$7,$L16&gt;AE$7),((AE$7-$K16)/($L16-$K16)))</f>
        <v>#REF!</v>
      </c>
      <c r="AG16" s="201" t="e">
        <f t="array" ref="AG16">_xlfn.IFS(AND($K16&gt;AF$7,$L16&gt;AF$7),0,AND($K16&lt;=AF$7,$L16&lt;=AF$7),1,AND($K16&lt;=AF$7,$L16&gt;AF$7),((AF$7-$K16)/($L16-$K16)))</f>
        <v>#REF!</v>
      </c>
      <c r="AH16" s="201" t="e">
        <f t="array" ref="AH16">_xlfn.IFS(AND($K16&gt;AG$7,$L16&gt;AG$7),0,AND($K16&lt;=AG$7,$L16&lt;=AG$7),1,AND($K16&lt;=AG$7,$L16&gt;AG$7),((AG$7-$K16)/($L16-$K16)))</f>
        <v>#REF!</v>
      </c>
      <c r="AI16" s="201" t="e">
        <f t="array" ref="AI16">_xlfn.IFS(AND($K16&gt;AH$7,$L16&gt;AH$7),0,AND($K16&lt;=AH$7,$L16&lt;=AH$7),1,AND($K16&lt;=AH$7,$L16&gt;AH$7),((AH$7-$K16)/($L16-$K16)))</f>
        <v>#REF!</v>
      </c>
      <c r="AJ16" s="201" t="e">
        <f t="array" ref="AJ16">_xlfn.IFS(AND($K16&gt;AI$7,$L16&gt;AI$7),0,AND($K16&lt;=AI$7,$L16&lt;=AI$7),1,AND($K16&lt;=AI$7,$L16&gt;AI$7),((AI$7-$K16)/($L16-$K16)))</f>
        <v>#REF!</v>
      </c>
      <c r="AK16" s="201" t="e">
        <f t="array" ref="AK16">_xlfn.IFS(AND($K16&gt;AJ$7,$L16&gt;AJ$7),0,AND($K16&lt;=AJ$7,$L16&lt;=AJ$7),1,AND($K16&lt;=AJ$7,$L16&gt;AJ$7),((AJ$7-$K16)/($L16-$K16)))</f>
        <v>#REF!</v>
      </c>
      <c r="AL16" s="201" t="e">
        <f t="array" ref="AL16">_xlfn.IFS(AND($K16&gt;AK$7,$L16&gt;AK$7),0,AND($K16&lt;=AK$7,$L16&lt;=AK$7),1,AND($K16&lt;=AK$7,$L16&gt;AK$7),((AK$7-$K16)/($L16-$K16)))</f>
        <v>#REF!</v>
      </c>
      <c r="AM16" s="201" t="e">
        <f t="array" ref="AM16">_xlfn.IFS(AND($K16&gt;AL$7,$L16&gt;AL$7),0,AND($K16&lt;=AL$7,$L16&lt;=AL$7),1,AND($K16&lt;=AL$7,$L16&gt;AL$7),((AL$7-$K16)/($L16-$K16)))</f>
        <v>#REF!</v>
      </c>
      <c r="AN16" s="201" t="e">
        <f t="array" ref="AN16">_xlfn.IFS(AND($K16&gt;AM$7,$L16&gt;AM$7),0,AND($K16&lt;=AM$7,$L16&lt;=AM$7),1,AND($K16&lt;=AM$7,$L16&gt;AM$7),((AM$7-$K16)/($L16-$K16)))</f>
        <v>#REF!</v>
      </c>
      <c r="AO16" s="201" t="e">
        <f t="array" ref="AO16">_xlfn.IFS(AND($K16&gt;AN$7,$L16&gt;AN$7),0,AND($K16&lt;=AN$7,$L16&lt;=AN$7),1,AND($K16&lt;=AN$7,$L16&gt;AN$7),((AN$7-$K16)/($L16-$K16)))</f>
        <v>#REF!</v>
      </c>
      <c r="AP16" s="201" t="e">
        <f t="array" ref="AP16">_xlfn.IFS(AND($K16&gt;AO$7,$L16&gt;AO$7),0,AND($K16&lt;=AO$7,$L16&lt;=AO$7),1,AND($K16&lt;=AO$7,$L16&gt;AO$7),((AO$7-$K16)/($L16-$K16)))</f>
        <v>#REF!</v>
      </c>
      <c r="AQ16" s="201" t="e">
        <f t="array" ref="AQ16">_xlfn.IFS(AND($K16&gt;AP$7,$L16&gt;AP$7),0,AND($K16&lt;=AP$7,$L16&lt;=AP$7),1,AND($K16&lt;=AP$7,$L16&gt;AP$7),((AP$7-$K16)/($L16-$K16)))</f>
        <v>#REF!</v>
      </c>
      <c r="AR16" s="201" t="e">
        <f t="array" ref="AR16">_xlfn.IFS(AND($K16&gt;AQ$7,$L16&gt;AQ$7),0,AND($K16&lt;=AQ$7,$L16&lt;=AQ$7),1,AND($K16&lt;=AQ$7,$L16&gt;AQ$7),((AQ$7-$K16)/($L16-$K16)))</f>
        <v>#REF!</v>
      </c>
      <c r="AS16" s="201" t="e">
        <f t="array" ref="AS16">_xlfn.IFS(AND($K16&gt;AR$7,$L16&gt;AR$7),0,AND($K16&lt;=AR$7,$L16&lt;=AR$7),1,AND($K16&lt;=AR$7,$L16&gt;AR$7),((AR$7-$K16)/($L16-$K16)))</f>
        <v>#REF!</v>
      </c>
      <c r="AT16" s="201" t="e">
        <f t="array" ref="AT16">_xlfn.IFS(AND($K16&gt;AS$7,$L16&gt;AS$7),0,AND($K16&lt;=AS$7,$L16&lt;=AS$7),1,AND($K16&lt;=AS$7,$L16&gt;AS$7),((AS$7-$K16)/($L16-$K16)))</f>
        <v>#REF!</v>
      </c>
      <c r="AU16" s="201" t="e">
        <f t="array" ref="AU16">_xlfn.IFS(AND($K16&gt;AT$7,$L16&gt;AT$7),0,AND($K16&lt;=AT$7,$L16&lt;=AT$7),1,AND($K16&lt;=AT$7,$L16&gt;AT$7),((AT$7-$K16)/($L16-$K16)))</f>
        <v>#REF!</v>
      </c>
      <c r="AV16" s="201" t="e">
        <f t="array" ref="AV16">_xlfn.IFS(AND($K16&gt;AU$7,$L16&gt;AU$7),0,AND($K16&lt;=AU$7,$L16&lt;=AU$7),1,AND($K16&lt;=AU$7,$L16&gt;AU$7),((AU$7-$K16)/($L16-$K16)))</f>
        <v>#REF!</v>
      </c>
      <c r="AW16" s="201" t="e">
        <f t="array" ref="AW16">_xlfn.IFS(AND($K16&gt;AV$7,$L16&gt;AV$7),0,AND($K16&lt;=AV$7,$L16&lt;=AV$7),1,AND($K16&lt;=AV$7,$L16&gt;AV$7),((AV$7-$K16)/($L16-$K16)))</f>
        <v>#REF!</v>
      </c>
      <c r="AX16" s="201" t="e">
        <f t="array" ref="AX16">_xlfn.IFS(AND($K16&gt;AW$7,$L16&gt;AW$7),0,AND($K16&lt;=AW$7,$L16&lt;=AW$7),1,AND($K16&lt;=AW$7,$L16&gt;AW$7),((AW$7-$K16)/($L16-$K16)))</f>
        <v>#REF!</v>
      </c>
      <c r="AY16" s="201" t="e">
        <f t="array" ref="AY16">_xlfn.IFS(AND($K16&gt;AX$7,$L16&gt;AX$7),0,AND($K16&lt;=AX$7,$L16&lt;=AX$7),1,AND($K16&lt;=AX$7,$L16&gt;AX$7),((AX$7-$K16)/($L16-$K16)))</f>
        <v>#REF!</v>
      </c>
      <c r="AZ16" s="201" t="e">
        <f t="array" ref="AZ16">_xlfn.IFS(AND($K16&gt;AY$7,$L16&gt;AY$7),0,AND($K16&lt;=AY$7,$L16&lt;=AY$7),1,AND($K16&lt;=AY$7,$L16&gt;AY$7),((AY$7-$K16)/($L16-$K16)))</f>
        <v>#REF!</v>
      </c>
      <c r="BA16" s="201" t="e">
        <f t="array" ref="BA16">_xlfn.IFS(AND($K16&gt;AZ$7,$L16&gt;AZ$7),0,AND($K16&lt;=AZ$7,$L16&lt;=AZ$7),1,AND($K16&lt;=AZ$7,$L16&gt;AZ$7),((AZ$7-$K16)/($L16-$K16)))</f>
        <v>#REF!</v>
      </c>
      <c r="BB16" s="201" t="e">
        <f t="array" ref="BB16">_xlfn.IFS(AND($K16&gt;BA$7,$L16&gt;BA$7),0,AND($K16&lt;=BA$7,$L16&lt;=BA$7),1,AND($K16&lt;=BA$7,$L16&gt;BA$7),((BA$7-$K16)/($L16-$K16)))</f>
        <v>#REF!</v>
      </c>
      <c r="BC16" s="201" t="e">
        <f t="array" ref="BC16">_xlfn.IFS(AND($K16&gt;BB$7,$L16&gt;BB$7),0,AND($K16&lt;=BB$7,$L16&lt;=BB$7),1,AND($K16&lt;=BB$7,$L16&gt;BB$7),((BB$7-$K16)/($L16-$K16)))</f>
        <v>#REF!</v>
      </c>
      <c r="BD16" s="201" t="e">
        <f t="array" ref="BD16">_xlfn.IFS(AND($K16&gt;BC$7,$L16&gt;BC$7),0,AND($K16&lt;=BC$7,$L16&lt;=BC$7),1,AND($K16&lt;=BC$7,$L16&gt;BC$7),((BC$7-$K16)/($L16-$K16)))</f>
        <v>#REF!</v>
      </c>
      <c r="BE16" s="201" t="e">
        <f t="array" ref="BE16">_xlfn.IFS(AND($K16&gt;BD$7,$L16&gt;BD$7),0,AND($K16&lt;=BD$7,$L16&lt;=BD$7),1,AND($K16&lt;=BD$7,$L16&gt;BD$7),((BD$7-$K16)/($L16-$K16)))</f>
        <v>#REF!</v>
      </c>
      <c r="BF16" s="201" t="e">
        <f t="array" ref="BF16">_xlfn.IFS(AND($K16&gt;BE$7,$L16&gt;BE$7),0,AND($K16&lt;=BE$7,$L16&lt;=BE$7),1,AND($K16&lt;=BE$7,$L16&gt;BE$7),((BE$7-$K16)/($L16-$K16)))</f>
        <v>#REF!</v>
      </c>
      <c r="BG16" s="201" t="e">
        <f t="array" ref="BG16">_xlfn.IFS(AND($K16&gt;BF$7,$L16&gt;BF$7),0,AND($K16&lt;=BF$7,$L16&lt;=BF$7),1,AND($K16&lt;=BF$7,$L16&gt;BF$7),((BF$7-$K16)/($L16-$K16)))</f>
        <v>#REF!</v>
      </c>
      <c r="BH16" s="201" t="e">
        <f t="array" ref="BH16">_xlfn.IFS(AND($K16&gt;BG$7,$L16&gt;BG$7),0,AND($K16&lt;=BG$7,$L16&lt;=BG$7),1,AND($K16&lt;=BG$7,$L16&gt;BG$7),((BG$7-$K16)/($L16-$K16)))</f>
        <v>#REF!</v>
      </c>
      <c r="BI16" s="201" t="e">
        <f t="array" ref="BI16">_xlfn.IFS(AND($K16&gt;BH$7,$L16&gt;BH$7),0,AND($K16&lt;=BH$7,$L16&lt;=BH$7),1,AND($K16&lt;=BH$7,$L16&gt;BH$7),((BH$7-$K16)/($L16-$K16)))</f>
        <v>#REF!</v>
      </c>
      <c r="BJ16" s="201" t="e">
        <f t="array" ref="BJ16">_xlfn.IFS(AND($K16&gt;BI$7,$L16&gt;BI$7),0,AND($K16&lt;=BI$7,$L16&lt;=BI$7),1,AND($K16&lt;=BI$7,$L16&gt;BI$7),((BI$7-$K16)/($L16-$K16)))</f>
        <v>#REF!</v>
      </c>
      <c r="BK16" s="201" t="e">
        <f t="array" ref="BK16">_xlfn.IFS(AND($K16&gt;BJ$7,$L16&gt;BJ$7),0,AND($K16&lt;=BJ$7,$L16&lt;=BJ$7),1,AND($K16&lt;=BJ$7,$L16&gt;BJ$7),((BJ$7-$K16)/($L16-$K16)))</f>
        <v>#REF!</v>
      </c>
      <c r="BL16" s="201" t="e">
        <f t="array" ref="BL16">_xlfn.IFS(AND($K16&gt;BK$7,$L16&gt;BK$7),0,AND($K16&lt;=BK$7,$L16&lt;=BK$7),1,AND($K16&lt;=BK$7,$L16&gt;BK$7),((BK$7-$K16)/($L16-$K16)))</f>
        <v>#REF!</v>
      </c>
      <c r="BM16" s="201" t="e">
        <f t="array" ref="BM16">_xlfn.IFS(AND($K16&gt;BL$7,$L16&gt;BL$7),0,AND($K16&lt;=BL$7,$L16&lt;=BL$7),1,AND($K16&lt;=BL$7,$L16&gt;BL$7),((BL$7-$K16)/($L16-$K16)))</f>
        <v>#REF!</v>
      </c>
      <c r="BN16" s="201" t="e">
        <f t="array" ref="BN16">_xlfn.IFS(AND($K16&gt;BM$7,$L16&gt;BM$7),0,AND($K16&lt;=BM$7,$L16&lt;=BM$7),1,AND($K16&lt;=BM$7,$L16&gt;BM$7),((BM$7-$K16)/($L16-$K16)))</f>
        <v>#REF!</v>
      </c>
    </row>
    <row r="17" spans="2:66" ht="15" customHeight="1" x14ac:dyDescent="0.3">
      <c r="B17" s="166" t="str">
        <f t="array" ref="B17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7" s="166" t="s">
        <v>84</v>
      </c>
      <c r="D17" s="177" t="str">
        <f t="shared" si="2"/>
        <v>Arquitetura de projetos GERDAU</v>
      </c>
      <c r="E17" s="166" t="s">
        <v>77</v>
      </c>
      <c r="F17" s="166" t="s">
        <v>77</v>
      </c>
      <c r="G17" s="166" t="s">
        <v>77</v>
      </c>
      <c r="H17" s="196" t="s">
        <v>85</v>
      </c>
      <c r="I17" s="166">
        <v>45700</v>
      </c>
      <c r="J17" s="166">
        <v>45702</v>
      </c>
      <c r="K17" s="166">
        <v>45700</v>
      </c>
      <c r="L17" s="166">
        <v>45702</v>
      </c>
      <c r="M17" s="167"/>
      <c r="N17" s="167" t="str">
        <f t="array" ref="N17">_xlfn.IFS(L17&lt;$M$3,"Concluído",AND(K17&gt;=$M$3,I17&lt;$M$3,L17&gt;$M$3),"Em andamento",AND(L17&gt;=$M$3,J17&lt;$M$3),"Atrasado",AND(L17&gt;=$M$3,J17&gt;=$M$3,I17&gt;$M$3,K17&lt;=$M$3),"Em andamento",AND(L17&gt;=$M$3,J17&gt;=$M$3,I17&lt;=$M$3,K17&lt;=$M$3),"Em andamento",AND(K17&gt;$M$3,I17&gt;$M$3),"Não iniciado",AND(L17&gt;=$M$3,J17&gt;=$M$3,K17&gt;=$M$3,I17&lt;$M$3),"Atrasado",AND(L17&gt;=$M$3,J17&gt;=$M$3,K17&gt;=$M$3,I17&gt;$M$3),"Não iniciado",AND($I17&lt;=$M$3,$K17&gt;$M$3),"Atrasado")</f>
        <v>Concluído</v>
      </c>
      <c r="O17" s="167">
        <f t="array" ref="O17">_xlfn.IFS(N17="Não iniciado",0,N17="Em andamento",1,N17="Concluído",2,N17="Atrasado",3)</f>
        <v>2</v>
      </c>
      <c r="P17" s="168"/>
      <c r="Q17" s="152">
        <f t="array" aca="1" ref="Q17" ca="1">_xlfn.IFS(AND($I17&lt;$N$3,$J17&lt;$N$3),1,AND($I17&lt;=$N$3,$J17&gt;=$N$3),0.5,AND($I17&gt;=$N$3,$J17&gt;=$N$3),0)</f>
        <v>1</v>
      </c>
      <c r="R17" s="152">
        <f t="array" aca="1" ref="R17" ca="1">_xlfn.IFS(AND($K17&lt;$N$3,$L17&lt;$N$3),1,AND($K17&lt;=$N$3,$L17&gt;=$N$3),0.5,AND($K17&gt;=$N$3,$L17&gt;=$N$3),0)</f>
        <v>1</v>
      </c>
      <c r="S17" s="201" t="e">
        <f t="array" ref="S17">_xlfn.IFS(AND($K17&gt;R$7,$L17&gt;R$7),0,AND($K17&lt;=R$7,$L17&lt;=R$7),1,AND($K17&lt;=R$7,$L17&gt;R$7),((R$7-$K17)/($L17-$K17)))</f>
        <v>#REF!</v>
      </c>
      <c r="T17" s="201" t="e">
        <f t="array" ref="T17">_xlfn.IFS(AND($K17&gt;S$7,$L17&gt;S$7),0,AND($K17&lt;=S$7,$L17&lt;=S$7),1,AND($K17&lt;=S$7,$L17&gt;S$7),((S$7-$K17)/($L17-$K17)))</f>
        <v>#REF!</v>
      </c>
      <c r="U17" s="201" t="e">
        <f t="array" ref="U17">_xlfn.IFS(AND($K17&gt;T$7,$L17&gt;T$7),0,AND($K17&lt;=T$7,$L17&lt;=T$7),1,AND($K17&lt;=T$7,$L17&gt;T$7),((T$7-$K17)/($L17-$K17)))</f>
        <v>#REF!</v>
      </c>
      <c r="V17" s="201" t="e">
        <f t="array" ref="V17">_xlfn.IFS(AND($K17&gt;U$7,$L17&gt;U$7),0,AND($K17&lt;=U$7,$L17&lt;=U$7),1,AND($K17&lt;=U$7,$L17&gt;U$7),((U$7-$K17)/($L17-$K17)))</f>
        <v>#REF!</v>
      </c>
      <c r="W17" s="201" t="e">
        <f t="array" ref="W17">_xlfn.IFS(AND($K17&gt;V$7,$L17&gt;V$7),0,AND($K17&lt;=V$7,$L17&lt;=V$7),1,AND($K17&lt;=V$7,$L17&gt;V$7),((V$7-$K17)/($L17-$K17)))</f>
        <v>#REF!</v>
      </c>
      <c r="X17" s="201" t="e">
        <f t="array" ref="X17">_xlfn.IFS(AND($K17&gt;W$7,$L17&gt;W$7),0,AND($K17&lt;=W$7,$L17&lt;=W$7),1,AND($K17&lt;=W$7,$L17&gt;W$7),((W$7-$K17)/($L17-$K17)))</f>
        <v>#REF!</v>
      </c>
      <c r="Y17" s="201" t="e">
        <f t="array" ref="Y17">_xlfn.IFS(AND($K17&gt;X$7,$L17&gt;X$7),0,AND($K17&lt;=X$7,$L17&lt;=X$7),1,AND($K17&lt;=X$7,$L17&gt;X$7),((X$7-$K17)/($L17-$K17)))</f>
        <v>#REF!</v>
      </c>
      <c r="Z17" s="201" t="e">
        <f t="array" ref="Z17">_xlfn.IFS(AND($K17&gt;Y$7,$L17&gt;Y$7),0,AND($K17&lt;=Y$7,$L17&lt;=Y$7),1,AND($K17&lt;=Y$7,$L17&gt;Y$7),((Y$7-$K17)/($L17-$K17)))</f>
        <v>#REF!</v>
      </c>
      <c r="AA17" s="201" t="e">
        <f t="array" ref="AA17">_xlfn.IFS(AND($K17&gt;Z$7,$L17&gt;Z$7),0,AND($K17&lt;=Z$7,$L17&lt;=Z$7),1,AND($K17&lt;=Z$7,$L17&gt;Z$7),((Z$7-$K17)/($L17-$K17)))</f>
        <v>#REF!</v>
      </c>
      <c r="AB17" s="201" t="e">
        <f t="array" ref="AB17">_xlfn.IFS(AND($K17&gt;AA$7,$L17&gt;AA$7),0,AND($K17&lt;=AA$7,$L17&lt;=AA$7),1,AND($K17&lt;=AA$7,$L17&gt;AA$7),((AA$7-$K17)/($L17-$K17)))</f>
        <v>#REF!</v>
      </c>
      <c r="AC17" s="201" t="e">
        <f t="array" ref="AC17">_xlfn.IFS(AND($K17&gt;AB$7,$L17&gt;AB$7),0,AND($K17&lt;=AB$7,$L17&lt;=AB$7),1,AND($K17&lt;=AB$7,$L17&gt;AB$7),((AB$7-$K17)/($L17-$K17)))</f>
        <v>#REF!</v>
      </c>
      <c r="AD17" s="201" t="e">
        <f t="array" ref="AD17">_xlfn.IFS(AND($K17&gt;AC$7,$L17&gt;AC$7),0,AND($K17&lt;=AC$7,$L17&lt;=AC$7),1,AND($K17&lt;=AC$7,$L17&gt;AC$7),((AC$7-$K17)/($L17-$K17)))</f>
        <v>#REF!</v>
      </c>
      <c r="AE17" s="201" t="e">
        <f t="array" ref="AE17">_xlfn.IFS(AND($K17&gt;AD$7,$L17&gt;AD$7),0,AND($K17&lt;=AD$7,$L17&lt;=AD$7),1,AND($K17&lt;=AD$7,$L17&gt;AD$7),((AD$7-$K17)/($L17-$K17)))</f>
        <v>#REF!</v>
      </c>
      <c r="AF17" s="201" t="e">
        <f t="array" ref="AF17">_xlfn.IFS(AND($K17&gt;AE$7,$L17&gt;AE$7),0,AND($K17&lt;=AE$7,$L17&lt;=AE$7),1,AND($K17&lt;=AE$7,$L17&gt;AE$7),((AE$7-$K17)/($L17-$K17)))</f>
        <v>#REF!</v>
      </c>
      <c r="AG17" s="201" t="e">
        <f t="array" ref="AG17">_xlfn.IFS(AND($K17&gt;AF$7,$L17&gt;AF$7),0,AND($K17&lt;=AF$7,$L17&lt;=AF$7),1,AND($K17&lt;=AF$7,$L17&gt;AF$7),((AF$7-$K17)/($L17-$K17)))</f>
        <v>#REF!</v>
      </c>
      <c r="AH17" s="201" t="e">
        <f t="array" ref="AH17">_xlfn.IFS(AND($K17&gt;AG$7,$L17&gt;AG$7),0,AND($K17&lt;=AG$7,$L17&lt;=AG$7),1,AND($K17&lt;=AG$7,$L17&gt;AG$7),((AG$7-$K17)/($L17-$K17)))</f>
        <v>#REF!</v>
      </c>
      <c r="AI17" s="201" t="e">
        <f t="array" ref="AI17">_xlfn.IFS(AND($K17&gt;AH$7,$L17&gt;AH$7),0,AND($K17&lt;=AH$7,$L17&lt;=AH$7),1,AND($K17&lt;=AH$7,$L17&gt;AH$7),((AH$7-$K17)/($L17-$K17)))</f>
        <v>#REF!</v>
      </c>
      <c r="AJ17" s="201" t="e">
        <f t="array" ref="AJ17">_xlfn.IFS(AND($K17&gt;AI$7,$L17&gt;AI$7),0,AND($K17&lt;=AI$7,$L17&lt;=AI$7),1,AND($K17&lt;=AI$7,$L17&gt;AI$7),((AI$7-$K17)/($L17-$K17)))</f>
        <v>#REF!</v>
      </c>
      <c r="AK17" s="201" t="e">
        <f t="array" ref="AK17">_xlfn.IFS(AND($K17&gt;AJ$7,$L17&gt;AJ$7),0,AND($K17&lt;=AJ$7,$L17&lt;=AJ$7),1,AND($K17&lt;=AJ$7,$L17&gt;AJ$7),((AJ$7-$K17)/($L17-$K17)))</f>
        <v>#REF!</v>
      </c>
      <c r="AL17" s="201" t="e">
        <f t="array" ref="AL17">_xlfn.IFS(AND($K17&gt;AK$7,$L17&gt;AK$7),0,AND($K17&lt;=AK$7,$L17&lt;=AK$7),1,AND($K17&lt;=AK$7,$L17&gt;AK$7),((AK$7-$K17)/($L17-$K17)))</f>
        <v>#REF!</v>
      </c>
      <c r="AM17" s="201" t="e">
        <f t="array" ref="AM17">_xlfn.IFS(AND($K17&gt;AL$7,$L17&gt;AL$7),0,AND($K17&lt;=AL$7,$L17&lt;=AL$7),1,AND($K17&lt;=AL$7,$L17&gt;AL$7),((AL$7-$K17)/($L17-$K17)))</f>
        <v>#REF!</v>
      </c>
      <c r="AN17" s="201" t="e">
        <f t="array" ref="AN17">_xlfn.IFS(AND($K17&gt;AM$7,$L17&gt;AM$7),0,AND($K17&lt;=AM$7,$L17&lt;=AM$7),1,AND($K17&lt;=AM$7,$L17&gt;AM$7),((AM$7-$K17)/($L17-$K17)))</f>
        <v>#REF!</v>
      </c>
      <c r="AO17" s="201" t="e">
        <f t="array" ref="AO17">_xlfn.IFS(AND($K17&gt;AN$7,$L17&gt;AN$7),0,AND($K17&lt;=AN$7,$L17&lt;=AN$7),1,AND($K17&lt;=AN$7,$L17&gt;AN$7),((AN$7-$K17)/($L17-$K17)))</f>
        <v>#REF!</v>
      </c>
      <c r="AP17" s="201" t="e">
        <f t="array" ref="AP17">_xlfn.IFS(AND($K17&gt;AO$7,$L17&gt;AO$7),0,AND($K17&lt;=AO$7,$L17&lt;=AO$7),1,AND($K17&lt;=AO$7,$L17&gt;AO$7),((AO$7-$K17)/($L17-$K17)))</f>
        <v>#REF!</v>
      </c>
      <c r="AQ17" s="201" t="e">
        <f t="array" ref="AQ17">_xlfn.IFS(AND($K17&gt;AP$7,$L17&gt;AP$7),0,AND($K17&lt;=AP$7,$L17&lt;=AP$7),1,AND($K17&lt;=AP$7,$L17&gt;AP$7),((AP$7-$K17)/($L17-$K17)))</f>
        <v>#REF!</v>
      </c>
      <c r="AR17" s="201" t="e">
        <f t="array" ref="AR17">_xlfn.IFS(AND($K17&gt;AQ$7,$L17&gt;AQ$7),0,AND($K17&lt;=AQ$7,$L17&lt;=AQ$7),1,AND($K17&lt;=AQ$7,$L17&gt;AQ$7),((AQ$7-$K17)/($L17-$K17)))</f>
        <v>#REF!</v>
      </c>
      <c r="AS17" s="201" t="e">
        <f t="array" ref="AS17">_xlfn.IFS(AND($K17&gt;AR$7,$L17&gt;AR$7),0,AND($K17&lt;=AR$7,$L17&lt;=AR$7),1,AND($K17&lt;=AR$7,$L17&gt;AR$7),((AR$7-$K17)/($L17-$K17)))</f>
        <v>#REF!</v>
      </c>
      <c r="AT17" s="201" t="e">
        <f t="array" ref="AT17">_xlfn.IFS(AND($K17&gt;AS$7,$L17&gt;AS$7),0,AND($K17&lt;=AS$7,$L17&lt;=AS$7),1,AND($K17&lt;=AS$7,$L17&gt;AS$7),((AS$7-$K17)/($L17-$K17)))</f>
        <v>#REF!</v>
      </c>
      <c r="AU17" s="201" t="e">
        <f t="array" ref="AU17">_xlfn.IFS(AND($K17&gt;AT$7,$L17&gt;AT$7),0,AND($K17&lt;=AT$7,$L17&lt;=AT$7),1,AND($K17&lt;=AT$7,$L17&gt;AT$7),((AT$7-$K17)/($L17-$K17)))</f>
        <v>#REF!</v>
      </c>
      <c r="AV17" s="201" t="e">
        <f t="array" ref="AV17">_xlfn.IFS(AND($K17&gt;AU$7,$L17&gt;AU$7),0,AND($K17&lt;=AU$7,$L17&lt;=AU$7),1,AND($K17&lt;=AU$7,$L17&gt;AU$7),((AU$7-$K17)/($L17-$K17)))</f>
        <v>#REF!</v>
      </c>
      <c r="AW17" s="201" t="e">
        <f t="array" ref="AW17">_xlfn.IFS(AND($K17&gt;AV$7,$L17&gt;AV$7),0,AND($K17&lt;=AV$7,$L17&lt;=AV$7),1,AND($K17&lt;=AV$7,$L17&gt;AV$7),((AV$7-$K17)/($L17-$K17)))</f>
        <v>#REF!</v>
      </c>
      <c r="AX17" s="201" t="e">
        <f t="array" ref="AX17">_xlfn.IFS(AND($K17&gt;AW$7,$L17&gt;AW$7),0,AND($K17&lt;=AW$7,$L17&lt;=AW$7),1,AND($K17&lt;=AW$7,$L17&gt;AW$7),((AW$7-$K17)/($L17-$K17)))</f>
        <v>#REF!</v>
      </c>
      <c r="AY17" s="201" t="e">
        <f t="array" ref="AY17">_xlfn.IFS(AND($K17&gt;AX$7,$L17&gt;AX$7),0,AND($K17&lt;=AX$7,$L17&lt;=AX$7),1,AND($K17&lt;=AX$7,$L17&gt;AX$7),((AX$7-$K17)/($L17-$K17)))</f>
        <v>#REF!</v>
      </c>
      <c r="AZ17" s="201" t="e">
        <f t="array" ref="AZ17">_xlfn.IFS(AND($K17&gt;AY$7,$L17&gt;AY$7),0,AND($K17&lt;=AY$7,$L17&lt;=AY$7),1,AND($K17&lt;=AY$7,$L17&gt;AY$7),((AY$7-$K17)/($L17-$K17)))</f>
        <v>#REF!</v>
      </c>
      <c r="BA17" s="201" t="e">
        <f t="array" ref="BA17">_xlfn.IFS(AND($K17&gt;AZ$7,$L17&gt;AZ$7),0,AND($K17&lt;=AZ$7,$L17&lt;=AZ$7),1,AND($K17&lt;=AZ$7,$L17&gt;AZ$7),((AZ$7-$K17)/($L17-$K17)))</f>
        <v>#REF!</v>
      </c>
      <c r="BB17" s="201" t="e">
        <f t="array" ref="BB17">_xlfn.IFS(AND($K17&gt;BA$7,$L17&gt;BA$7),0,AND($K17&lt;=BA$7,$L17&lt;=BA$7),1,AND($K17&lt;=BA$7,$L17&gt;BA$7),((BA$7-$K17)/($L17-$K17)))</f>
        <v>#REF!</v>
      </c>
      <c r="BC17" s="201" t="e">
        <f t="array" ref="BC17">_xlfn.IFS(AND($K17&gt;BB$7,$L17&gt;BB$7),0,AND($K17&lt;=BB$7,$L17&lt;=BB$7),1,AND($K17&lt;=BB$7,$L17&gt;BB$7),((BB$7-$K17)/($L17-$K17)))</f>
        <v>#REF!</v>
      </c>
      <c r="BD17" s="201" t="e">
        <f t="array" ref="BD17">_xlfn.IFS(AND($K17&gt;BC$7,$L17&gt;BC$7),0,AND($K17&lt;=BC$7,$L17&lt;=BC$7),1,AND($K17&lt;=BC$7,$L17&gt;BC$7),((BC$7-$K17)/($L17-$K17)))</f>
        <v>#REF!</v>
      </c>
      <c r="BE17" s="201" t="e">
        <f t="array" ref="BE17">_xlfn.IFS(AND($K17&gt;BD$7,$L17&gt;BD$7),0,AND($K17&lt;=BD$7,$L17&lt;=BD$7),1,AND($K17&lt;=BD$7,$L17&gt;BD$7),((BD$7-$K17)/($L17-$K17)))</f>
        <v>#REF!</v>
      </c>
      <c r="BF17" s="201" t="e">
        <f t="array" ref="BF17">_xlfn.IFS(AND($K17&gt;BE$7,$L17&gt;BE$7),0,AND($K17&lt;=BE$7,$L17&lt;=BE$7),1,AND($K17&lt;=BE$7,$L17&gt;BE$7),((BE$7-$K17)/($L17-$K17)))</f>
        <v>#REF!</v>
      </c>
      <c r="BG17" s="201" t="e">
        <f t="array" ref="BG17">_xlfn.IFS(AND($K17&gt;BF$7,$L17&gt;BF$7),0,AND($K17&lt;=BF$7,$L17&lt;=BF$7),1,AND($K17&lt;=BF$7,$L17&gt;BF$7),((BF$7-$K17)/($L17-$K17)))</f>
        <v>#REF!</v>
      </c>
      <c r="BH17" s="201" t="e">
        <f t="array" ref="BH17">_xlfn.IFS(AND($K17&gt;BG$7,$L17&gt;BG$7),0,AND($K17&lt;=BG$7,$L17&lt;=BG$7),1,AND($K17&lt;=BG$7,$L17&gt;BG$7),((BG$7-$K17)/($L17-$K17)))</f>
        <v>#REF!</v>
      </c>
      <c r="BI17" s="201" t="e">
        <f t="array" ref="BI17">_xlfn.IFS(AND($K17&gt;BH$7,$L17&gt;BH$7),0,AND($K17&lt;=BH$7,$L17&lt;=BH$7),1,AND($K17&lt;=BH$7,$L17&gt;BH$7),((BH$7-$K17)/($L17-$K17)))</f>
        <v>#REF!</v>
      </c>
      <c r="BJ17" s="201" t="e">
        <f t="array" ref="BJ17">_xlfn.IFS(AND($K17&gt;BI$7,$L17&gt;BI$7),0,AND($K17&lt;=BI$7,$L17&lt;=BI$7),1,AND($K17&lt;=BI$7,$L17&gt;BI$7),((BI$7-$K17)/($L17-$K17)))</f>
        <v>#REF!</v>
      </c>
      <c r="BK17" s="201" t="e">
        <f t="array" ref="BK17">_xlfn.IFS(AND($K17&gt;BJ$7,$L17&gt;BJ$7),0,AND($K17&lt;=BJ$7,$L17&lt;=BJ$7),1,AND($K17&lt;=BJ$7,$L17&gt;BJ$7),((BJ$7-$K17)/($L17-$K17)))</f>
        <v>#REF!</v>
      </c>
      <c r="BL17" s="201" t="e">
        <f t="array" ref="BL17">_xlfn.IFS(AND($K17&gt;BK$7,$L17&gt;BK$7),0,AND($K17&lt;=BK$7,$L17&lt;=BK$7),1,AND($K17&lt;=BK$7,$L17&gt;BK$7),((BK$7-$K17)/($L17-$K17)))</f>
        <v>#REF!</v>
      </c>
      <c r="BM17" s="201" t="e">
        <f t="array" ref="BM17">_xlfn.IFS(AND($K17&gt;BL$7,$L17&gt;BL$7),0,AND($K17&lt;=BL$7,$L17&lt;=BL$7),1,AND($K17&lt;=BL$7,$L17&gt;BL$7),((BL$7-$K17)/($L17-$K17)))</f>
        <v>#REF!</v>
      </c>
      <c r="BN17" s="201" t="e">
        <f t="array" ref="BN17">_xlfn.IFS(AND($K17&gt;BM$7,$L17&gt;BM$7),0,AND($K17&lt;=BM$7,$L17&lt;=BM$7),1,AND($K17&lt;=BM$7,$L17&gt;BM$7),((BM$7-$K17)/($L17-$K17)))</f>
        <v>#REF!</v>
      </c>
    </row>
    <row r="18" spans="2:66" ht="15" customHeight="1" x14ac:dyDescent="0.3">
      <c r="B18" s="177" t="str">
        <f t="array" ref="B18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2</v>
      </c>
      <c r="C18" s="177" t="s">
        <v>86</v>
      </c>
      <c r="D18" s="177" t="str">
        <f t="shared" si="2"/>
        <v>Arquitetura de projetos GERDAU</v>
      </c>
      <c r="E18" s="177" t="s">
        <v>74</v>
      </c>
      <c r="F18" s="177" t="s">
        <v>74</v>
      </c>
      <c r="G18" s="177" t="s">
        <v>74</v>
      </c>
      <c r="H18" s="193" t="s">
        <v>87</v>
      </c>
      <c r="I18" s="177">
        <f>MIN(I19,I26,I40)</f>
        <v>45705</v>
      </c>
      <c r="J18" s="177">
        <f>MIN(J19,J26,J40)</f>
        <v>45715</v>
      </c>
      <c r="K18" s="177">
        <f>MIN(K19,K26,K40)</f>
        <v>45705</v>
      </c>
      <c r="L18" s="177">
        <f>MIN(L19,L26,L40)</f>
        <v>45715</v>
      </c>
      <c r="M18" s="178"/>
      <c r="N18" s="178" t="str">
        <f t="array" ref="N18">_xlfn.IFS(L18&lt;$M$3,"Concluído",AND(K18&gt;=$M$3,I18&lt;$M$3,L18&gt;$M$3),"Em andamento",AND(L18&gt;=$M$3,J18&lt;$M$3),"Atrasado",AND(L18&gt;=$M$3,J18&gt;=$M$3,I18&gt;$M$3,K18&lt;=$M$3),"Em andamento",AND(L18&gt;=$M$3,J18&gt;=$M$3,I18&lt;=$M$3,K18&lt;=$M$3),"Em andamento",AND(K18&gt;$M$3,I18&gt;$M$3),"Não iniciado",AND(L18&gt;=$M$3,J18&gt;=$M$3,K18&gt;=$M$3,I18&lt;$M$3),"Atrasado",AND(L18&gt;=$M$3,J18&gt;=$M$3,K18&gt;=$M$3,I18&gt;$M$3),"Não iniciado",AND($I18&lt;=$M$3,$K18&gt;$M$3),"Atrasado")</f>
        <v>Concluído</v>
      </c>
      <c r="O18" s="178">
        <f t="array" ref="O18">_xlfn.IFS(N18="Não iniciado",0,N18="Em andamento",1,N18="Concluído",2,N18="Atrasado",3)</f>
        <v>2</v>
      </c>
      <c r="P18" s="179"/>
      <c r="Q18" s="180">
        <f t="shared" ref="Q18:AV18" ca="1" si="10">AVERAGE(Q19,Q26,Q40)</f>
        <v>1</v>
      </c>
      <c r="R18" s="180">
        <f t="shared" ca="1" si="10"/>
        <v>1</v>
      </c>
      <c r="S18" s="180" t="e">
        <f t="shared" si="10"/>
        <v>#REF!</v>
      </c>
      <c r="T18" s="180" t="e">
        <f t="shared" si="10"/>
        <v>#REF!</v>
      </c>
      <c r="U18" s="180" t="e">
        <f t="shared" si="10"/>
        <v>#REF!</v>
      </c>
      <c r="V18" s="180" t="e">
        <f t="shared" si="10"/>
        <v>#REF!</v>
      </c>
      <c r="W18" s="180" t="e">
        <f t="shared" si="10"/>
        <v>#REF!</v>
      </c>
      <c r="X18" s="180" t="e">
        <f t="shared" si="10"/>
        <v>#REF!</v>
      </c>
      <c r="Y18" s="180" t="e">
        <f t="shared" si="10"/>
        <v>#REF!</v>
      </c>
      <c r="Z18" s="180" t="e">
        <f t="shared" si="10"/>
        <v>#REF!</v>
      </c>
      <c r="AA18" s="180" t="e">
        <f t="shared" si="10"/>
        <v>#REF!</v>
      </c>
      <c r="AB18" s="180" t="e">
        <f t="shared" si="10"/>
        <v>#REF!</v>
      </c>
      <c r="AC18" s="180" t="e">
        <f t="shared" si="10"/>
        <v>#REF!</v>
      </c>
      <c r="AD18" s="180" t="e">
        <f t="shared" si="10"/>
        <v>#REF!</v>
      </c>
      <c r="AE18" s="180" t="e">
        <f t="shared" si="10"/>
        <v>#REF!</v>
      </c>
      <c r="AF18" s="180" t="e">
        <f t="shared" si="10"/>
        <v>#REF!</v>
      </c>
      <c r="AG18" s="180" t="e">
        <f t="shared" si="10"/>
        <v>#REF!</v>
      </c>
      <c r="AH18" s="180" t="e">
        <f t="shared" si="10"/>
        <v>#REF!</v>
      </c>
      <c r="AI18" s="180" t="e">
        <f t="shared" si="10"/>
        <v>#REF!</v>
      </c>
      <c r="AJ18" s="180" t="e">
        <f t="shared" si="10"/>
        <v>#REF!</v>
      </c>
      <c r="AK18" s="180" t="e">
        <f t="shared" si="10"/>
        <v>#REF!</v>
      </c>
      <c r="AL18" s="180" t="e">
        <f t="shared" si="10"/>
        <v>#REF!</v>
      </c>
      <c r="AM18" s="180" t="e">
        <f t="shared" si="10"/>
        <v>#REF!</v>
      </c>
      <c r="AN18" s="180" t="e">
        <f t="shared" si="10"/>
        <v>#REF!</v>
      </c>
      <c r="AO18" s="180" t="e">
        <f t="shared" si="10"/>
        <v>#REF!</v>
      </c>
      <c r="AP18" s="180" t="e">
        <f t="shared" si="10"/>
        <v>#REF!</v>
      </c>
      <c r="AQ18" s="180" t="e">
        <f t="shared" si="10"/>
        <v>#REF!</v>
      </c>
      <c r="AR18" s="180" t="e">
        <f t="shared" si="10"/>
        <v>#REF!</v>
      </c>
      <c r="AS18" s="180" t="e">
        <f t="shared" si="10"/>
        <v>#REF!</v>
      </c>
      <c r="AT18" s="180" t="e">
        <f t="shared" si="10"/>
        <v>#REF!</v>
      </c>
      <c r="AU18" s="180" t="e">
        <f t="shared" si="10"/>
        <v>#REF!</v>
      </c>
      <c r="AV18" s="180" t="e">
        <f t="shared" si="10"/>
        <v>#REF!</v>
      </c>
      <c r="AW18" s="180" t="e">
        <f t="shared" ref="AW18:BN18" si="11">AVERAGE(AW19,AW26,AW40)</f>
        <v>#REF!</v>
      </c>
      <c r="AX18" s="180" t="e">
        <f t="shared" si="11"/>
        <v>#REF!</v>
      </c>
      <c r="AY18" s="180" t="e">
        <f t="shared" si="11"/>
        <v>#REF!</v>
      </c>
      <c r="AZ18" s="180" t="e">
        <f t="shared" si="11"/>
        <v>#REF!</v>
      </c>
      <c r="BA18" s="180" t="e">
        <f t="shared" si="11"/>
        <v>#REF!</v>
      </c>
      <c r="BB18" s="180" t="e">
        <f t="shared" si="11"/>
        <v>#REF!</v>
      </c>
      <c r="BC18" s="180" t="e">
        <f t="shared" si="11"/>
        <v>#REF!</v>
      </c>
      <c r="BD18" s="180" t="e">
        <f t="shared" si="11"/>
        <v>#REF!</v>
      </c>
      <c r="BE18" s="180" t="e">
        <f t="shared" si="11"/>
        <v>#REF!</v>
      </c>
      <c r="BF18" s="180" t="e">
        <f t="shared" si="11"/>
        <v>#REF!</v>
      </c>
      <c r="BG18" s="180" t="e">
        <f t="shared" si="11"/>
        <v>#REF!</v>
      </c>
      <c r="BH18" s="180" t="e">
        <f t="shared" si="11"/>
        <v>#REF!</v>
      </c>
      <c r="BI18" s="180" t="e">
        <f t="shared" si="11"/>
        <v>#REF!</v>
      </c>
      <c r="BJ18" s="180" t="e">
        <f t="shared" si="11"/>
        <v>#REF!</v>
      </c>
      <c r="BK18" s="180" t="e">
        <f t="shared" si="11"/>
        <v>#REF!</v>
      </c>
      <c r="BL18" s="180" t="e">
        <f t="shared" si="11"/>
        <v>#REF!</v>
      </c>
      <c r="BM18" s="180" t="e">
        <f t="shared" si="11"/>
        <v>#REF!</v>
      </c>
      <c r="BN18" s="180" t="e">
        <f t="shared" si="11"/>
        <v>#REF!</v>
      </c>
    </row>
    <row r="19" spans="2:66" ht="15" customHeight="1" x14ac:dyDescent="0.3">
      <c r="B19" s="170" t="str">
        <f t="array" ref="B19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3</v>
      </c>
      <c r="C19" s="170" t="s">
        <v>88</v>
      </c>
      <c r="D19" s="177" t="str">
        <f t="shared" si="2"/>
        <v>Arquitetura de projetos GERDAU</v>
      </c>
      <c r="E19" s="170" t="str">
        <f t="shared" ref="E19:E44" si="12">$H$18</f>
        <v>Definição da Estratégia para Transformação dos Processos</v>
      </c>
      <c r="F19" s="170" t="s">
        <v>74</v>
      </c>
      <c r="G19" s="170" t="s">
        <v>74</v>
      </c>
      <c r="H19" s="194" t="s">
        <v>89</v>
      </c>
      <c r="I19" s="170">
        <f>MIN(I21:I21)</f>
        <v>45705</v>
      </c>
      <c r="J19" s="170">
        <f>MAX(J21:J21)</f>
        <v>45715</v>
      </c>
      <c r="K19" s="170">
        <f>MIN(K21:K21)</f>
        <v>45705</v>
      </c>
      <c r="L19" s="170">
        <f>MAX(L21:L21)</f>
        <v>45715</v>
      </c>
      <c r="M19" s="171"/>
      <c r="N19" s="171" t="str">
        <f t="array" ref="N19">_xlfn.IFS(L19&lt;$M$3,"Concluído",AND(K19&gt;=$M$3,I19&lt;$M$3,L19&gt;$M$3),"Em andamento",AND(L19&gt;=$M$3,J19&lt;$M$3),"Atrasado",AND(L19&gt;=$M$3,J19&gt;=$M$3,I19&gt;$M$3,K19&lt;=$M$3),"Em andamento",AND(L19&gt;=$M$3,J19&gt;=$M$3,I19&lt;=$M$3,K19&lt;=$M$3),"Em andamento",AND(K19&gt;$M$3,I19&gt;$M$3),"Não iniciado",AND(L19&gt;=$M$3,J19&gt;=$M$3,K19&gt;=$M$3,I19&lt;$M$3),"Atrasado",AND(L19&gt;=$M$3,J19&gt;=$M$3,K19&gt;=$M$3,I19&gt;$M$3),"Não iniciado",AND($I19&lt;=$M$3,$K19&gt;$M$3),"Atrasado")</f>
        <v>Concluído</v>
      </c>
      <c r="O19" s="171">
        <f t="array" ref="O19">_xlfn.IFS(N19="Não iniciado",0,N19="Em andamento",1,N19="Concluído",2,N19="Atrasado",3)</f>
        <v>2</v>
      </c>
      <c r="P19" s="172"/>
      <c r="Q19" s="173">
        <f t="shared" ref="Q19:AV19" ca="1" si="13">AVERAGE(Q20,Q22,Q24)</f>
        <v>1</v>
      </c>
      <c r="R19" s="173">
        <f t="shared" ca="1" si="13"/>
        <v>1</v>
      </c>
      <c r="S19" s="204" t="e">
        <f t="shared" si="13"/>
        <v>#REF!</v>
      </c>
      <c r="T19" s="204" t="e">
        <f t="shared" si="13"/>
        <v>#REF!</v>
      </c>
      <c r="U19" s="204" t="e">
        <f t="shared" si="13"/>
        <v>#REF!</v>
      </c>
      <c r="V19" s="204" t="e">
        <f t="shared" si="13"/>
        <v>#REF!</v>
      </c>
      <c r="W19" s="204" t="e">
        <f t="shared" si="13"/>
        <v>#REF!</v>
      </c>
      <c r="X19" s="204" t="e">
        <f t="shared" si="13"/>
        <v>#REF!</v>
      </c>
      <c r="Y19" s="204" t="e">
        <f t="shared" si="13"/>
        <v>#REF!</v>
      </c>
      <c r="Z19" s="204" t="e">
        <f t="shared" si="13"/>
        <v>#REF!</v>
      </c>
      <c r="AA19" s="204" t="e">
        <f t="shared" si="13"/>
        <v>#REF!</v>
      </c>
      <c r="AB19" s="204" t="e">
        <f t="shared" si="13"/>
        <v>#REF!</v>
      </c>
      <c r="AC19" s="204" t="e">
        <f t="shared" si="13"/>
        <v>#REF!</v>
      </c>
      <c r="AD19" s="204" t="e">
        <f t="shared" si="13"/>
        <v>#REF!</v>
      </c>
      <c r="AE19" s="204" t="e">
        <f t="shared" si="13"/>
        <v>#REF!</v>
      </c>
      <c r="AF19" s="204" t="e">
        <f t="shared" si="13"/>
        <v>#REF!</v>
      </c>
      <c r="AG19" s="204" t="e">
        <f t="shared" si="13"/>
        <v>#REF!</v>
      </c>
      <c r="AH19" s="204" t="e">
        <f t="shared" si="13"/>
        <v>#REF!</v>
      </c>
      <c r="AI19" s="204" t="e">
        <f t="shared" si="13"/>
        <v>#REF!</v>
      </c>
      <c r="AJ19" s="204" t="e">
        <f t="shared" si="13"/>
        <v>#REF!</v>
      </c>
      <c r="AK19" s="204" t="e">
        <f t="shared" si="13"/>
        <v>#REF!</v>
      </c>
      <c r="AL19" s="204" t="e">
        <f t="shared" si="13"/>
        <v>#REF!</v>
      </c>
      <c r="AM19" s="204" t="e">
        <f t="shared" si="13"/>
        <v>#REF!</v>
      </c>
      <c r="AN19" s="204" t="e">
        <f t="shared" si="13"/>
        <v>#REF!</v>
      </c>
      <c r="AO19" s="204" t="e">
        <f t="shared" si="13"/>
        <v>#REF!</v>
      </c>
      <c r="AP19" s="204" t="e">
        <f t="shared" si="13"/>
        <v>#REF!</v>
      </c>
      <c r="AQ19" s="204" t="e">
        <f t="shared" si="13"/>
        <v>#REF!</v>
      </c>
      <c r="AR19" s="204" t="e">
        <f t="shared" si="13"/>
        <v>#REF!</v>
      </c>
      <c r="AS19" s="204" t="e">
        <f t="shared" si="13"/>
        <v>#REF!</v>
      </c>
      <c r="AT19" s="204" t="e">
        <f t="shared" si="13"/>
        <v>#REF!</v>
      </c>
      <c r="AU19" s="204" t="e">
        <f t="shared" si="13"/>
        <v>#REF!</v>
      </c>
      <c r="AV19" s="204" t="e">
        <f t="shared" si="13"/>
        <v>#REF!</v>
      </c>
      <c r="AW19" s="204" t="e">
        <f t="shared" ref="AW19:BN19" si="14">AVERAGE(AW20,AW22,AW24)</f>
        <v>#REF!</v>
      </c>
      <c r="AX19" s="204" t="e">
        <f t="shared" si="14"/>
        <v>#REF!</v>
      </c>
      <c r="AY19" s="204" t="e">
        <f t="shared" si="14"/>
        <v>#REF!</v>
      </c>
      <c r="AZ19" s="204" t="e">
        <f t="shared" si="14"/>
        <v>#REF!</v>
      </c>
      <c r="BA19" s="204" t="e">
        <f t="shared" si="14"/>
        <v>#REF!</v>
      </c>
      <c r="BB19" s="204" t="e">
        <f t="shared" si="14"/>
        <v>#REF!</v>
      </c>
      <c r="BC19" s="204" t="e">
        <f t="shared" si="14"/>
        <v>#REF!</v>
      </c>
      <c r="BD19" s="204" t="e">
        <f t="shared" si="14"/>
        <v>#REF!</v>
      </c>
      <c r="BE19" s="204" t="e">
        <f t="shared" si="14"/>
        <v>#REF!</v>
      </c>
      <c r="BF19" s="204" t="e">
        <f t="shared" si="14"/>
        <v>#REF!</v>
      </c>
      <c r="BG19" s="204" t="e">
        <f t="shared" si="14"/>
        <v>#REF!</v>
      </c>
      <c r="BH19" s="204" t="e">
        <f t="shared" si="14"/>
        <v>#REF!</v>
      </c>
      <c r="BI19" s="204" t="e">
        <f t="shared" si="14"/>
        <v>#REF!</v>
      </c>
      <c r="BJ19" s="204" t="e">
        <f t="shared" si="14"/>
        <v>#REF!</v>
      </c>
      <c r="BK19" s="204" t="e">
        <f t="shared" si="14"/>
        <v>#REF!</v>
      </c>
      <c r="BL19" s="204" t="e">
        <f t="shared" si="14"/>
        <v>#REF!</v>
      </c>
      <c r="BM19" s="204" t="e">
        <f t="shared" si="14"/>
        <v>#REF!</v>
      </c>
      <c r="BN19" s="204" t="e">
        <f t="shared" si="14"/>
        <v>#REF!</v>
      </c>
    </row>
    <row r="20" spans="2:66" ht="15" customHeight="1" x14ac:dyDescent="0.3">
      <c r="B20" s="174" t="str">
        <f t="array" ref="B20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20" s="174" t="s">
        <v>90</v>
      </c>
      <c r="D20" s="177" t="str">
        <f t="shared" si="2"/>
        <v>Arquitetura de projetos GERDAU</v>
      </c>
      <c r="E20" s="170" t="str">
        <f t="shared" si="12"/>
        <v>Definição da Estratégia para Transformação dos Processos</v>
      </c>
      <c r="F20" s="174" t="str">
        <f t="shared" ref="F20:F25" si="15">$H$19</f>
        <v>Revisão dos Objetivos Estratégicos e Cadeia de Valor</v>
      </c>
      <c r="G20" s="174" t="s">
        <v>74</v>
      </c>
      <c r="H20" s="195" t="s">
        <v>91</v>
      </c>
      <c r="I20" s="174">
        <f>MIN(I21:I21)</f>
        <v>45705</v>
      </c>
      <c r="J20" s="174">
        <f>MAX(J21:J21)</f>
        <v>45715</v>
      </c>
      <c r="K20" s="174">
        <f>MIN(K21:K21)</f>
        <v>45705</v>
      </c>
      <c r="L20" s="174">
        <f>MAX(L21:L21)</f>
        <v>45715</v>
      </c>
      <c r="M20" s="175"/>
      <c r="N20" s="175" t="str">
        <f t="array" ref="N20">_xlfn.IFS(L20&lt;$M$3,"Concluído",AND(K20&gt;=$M$3,I20&lt;$M$3,L20&gt;$M$3),"Em andamento",AND(L20&gt;=$M$3,J20&lt;$M$3),"Atrasado",AND(L20&gt;=$M$3,J20&gt;=$M$3,I20&gt;$M$3,K20&lt;=$M$3),"Em andamento",AND(L20&gt;=$M$3,J20&gt;=$M$3,I20&lt;=$M$3,K20&lt;=$M$3),"Em andamento",AND(K20&gt;$M$3,I20&gt;$M$3),"Não iniciado",AND(L20&gt;=$M$3,J20&gt;=$M$3,K20&gt;=$M$3,I20&lt;$M$3),"Atrasado",AND(L20&gt;=$M$3,J20&gt;=$M$3,K20&gt;=$M$3,I20&gt;$M$3),"Não iniciado",AND($I20&lt;=$M$3,$K20&gt;$M$3),"Atrasado")</f>
        <v>Concluído</v>
      </c>
      <c r="O20" s="175">
        <f t="array" ref="O20">_xlfn.IFS(N20="Não iniciado",0,N20="Em andamento",1,N20="Concluído",2,N20="Atrasado",3)</f>
        <v>2</v>
      </c>
      <c r="P20" s="176"/>
      <c r="Q20" s="156">
        <f ca="1">AVERAGE(Q21:Q21)</f>
        <v>1</v>
      </c>
      <c r="R20" s="156">
        <f ca="1">AVERAGE(R21:R21)</f>
        <v>1</v>
      </c>
      <c r="S20" s="205" t="e">
        <f t="shared" ref="S20:BN20" si="16">S21</f>
        <v>#REF!</v>
      </c>
      <c r="T20" s="205" t="e">
        <f t="shared" si="16"/>
        <v>#REF!</v>
      </c>
      <c r="U20" s="205" t="e">
        <f t="shared" si="16"/>
        <v>#REF!</v>
      </c>
      <c r="V20" s="205" t="e">
        <f t="shared" si="16"/>
        <v>#REF!</v>
      </c>
      <c r="W20" s="205" t="e">
        <f t="shared" si="16"/>
        <v>#REF!</v>
      </c>
      <c r="X20" s="205" t="e">
        <f t="shared" si="16"/>
        <v>#REF!</v>
      </c>
      <c r="Y20" s="205" t="e">
        <f t="shared" si="16"/>
        <v>#REF!</v>
      </c>
      <c r="Z20" s="205" t="e">
        <f t="shared" si="16"/>
        <v>#REF!</v>
      </c>
      <c r="AA20" s="205" t="e">
        <f t="shared" si="16"/>
        <v>#REF!</v>
      </c>
      <c r="AB20" s="205" t="e">
        <f t="shared" si="16"/>
        <v>#REF!</v>
      </c>
      <c r="AC20" s="205" t="e">
        <f t="shared" si="16"/>
        <v>#REF!</v>
      </c>
      <c r="AD20" s="205" t="e">
        <f t="shared" si="16"/>
        <v>#REF!</v>
      </c>
      <c r="AE20" s="205" t="e">
        <f t="shared" si="16"/>
        <v>#REF!</v>
      </c>
      <c r="AF20" s="205" t="e">
        <f t="shared" si="16"/>
        <v>#REF!</v>
      </c>
      <c r="AG20" s="205" t="e">
        <f t="shared" si="16"/>
        <v>#REF!</v>
      </c>
      <c r="AH20" s="205" t="e">
        <f t="shared" si="16"/>
        <v>#REF!</v>
      </c>
      <c r="AI20" s="205" t="e">
        <f t="shared" si="16"/>
        <v>#REF!</v>
      </c>
      <c r="AJ20" s="205" t="e">
        <f t="shared" si="16"/>
        <v>#REF!</v>
      </c>
      <c r="AK20" s="205" t="e">
        <f t="shared" si="16"/>
        <v>#REF!</v>
      </c>
      <c r="AL20" s="205" t="e">
        <f t="shared" si="16"/>
        <v>#REF!</v>
      </c>
      <c r="AM20" s="205" t="e">
        <f t="shared" si="16"/>
        <v>#REF!</v>
      </c>
      <c r="AN20" s="205" t="e">
        <f t="shared" si="16"/>
        <v>#REF!</v>
      </c>
      <c r="AO20" s="205" t="e">
        <f t="shared" si="16"/>
        <v>#REF!</v>
      </c>
      <c r="AP20" s="205" t="e">
        <f t="shared" si="16"/>
        <v>#REF!</v>
      </c>
      <c r="AQ20" s="205" t="e">
        <f t="shared" si="16"/>
        <v>#REF!</v>
      </c>
      <c r="AR20" s="205" t="e">
        <f t="shared" si="16"/>
        <v>#REF!</v>
      </c>
      <c r="AS20" s="205" t="e">
        <f t="shared" si="16"/>
        <v>#REF!</v>
      </c>
      <c r="AT20" s="205" t="e">
        <f t="shared" si="16"/>
        <v>#REF!</v>
      </c>
      <c r="AU20" s="205" t="e">
        <f t="shared" si="16"/>
        <v>#REF!</v>
      </c>
      <c r="AV20" s="205" t="e">
        <f t="shared" si="16"/>
        <v>#REF!</v>
      </c>
      <c r="AW20" s="205" t="e">
        <f t="shared" si="16"/>
        <v>#REF!</v>
      </c>
      <c r="AX20" s="205" t="e">
        <f t="shared" si="16"/>
        <v>#REF!</v>
      </c>
      <c r="AY20" s="205" t="e">
        <f t="shared" si="16"/>
        <v>#REF!</v>
      </c>
      <c r="AZ20" s="205" t="e">
        <f t="shared" si="16"/>
        <v>#REF!</v>
      </c>
      <c r="BA20" s="205" t="e">
        <f t="shared" si="16"/>
        <v>#REF!</v>
      </c>
      <c r="BB20" s="205" t="e">
        <f t="shared" si="16"/>
        <v>#REF!</v>
      </c>
      <c r="BC20" s="205" t="e">
        <f t="shared" si="16"/>
        <v>#REF!</v>
      </c>
      <c r="BD20" s="205" t="e">
        <f t="shared" si="16"/>
        <v>#REF!</v>
      </c>
      <c r="BE20" s="205" t="e">
        <f t="shared" si="16"/>
        <v>#REF!</v>
      </c>
      <c r="BF20" s="205" t="e">
        <f t="shared" si="16"/>
        <v>#REF!</v>
      </c>
      <c r="BG20" s="205" t="e">
        <f t="shared" si="16"/>
        <v>#REF!</v>
      </c>
      <c r="BH20" s="205" t="e">
        <f t="shared" si="16"/>
        <v>#REF!</v>
      </c>
      <c r="BI20" s="205" t="e">
        <f t="shared" si="16"/>
        <v>#REF!</v>
      </c>
      <c r="BJ20" s="205" t="e">
        <f t="shared" si="16"/>
        <v>#REF!</v>
      </c>
      <c r="BK20" s="205" t="e">
        <f t="shared" si="16"/>
        <v>#REF!</v>
      </c>
      <c r="BL20" s="205" t="e">
        <f t="shared" si="16"/>
        <v>#REF!</v>
      </c>
      <c r="BM20" s="205" t="e">
        <f t="shared" si="16"/>
        <v>#REF!</v>
      </c>
      <c r="BN20" s="205" t="e">
        <f t="shared" si="16"/>
        <v>#REF!</v>
      </c>
    </row>
    <row r="21" spans="2:66" ht="15" customHeight="1" x14ac:dyDescent="0.3">
      <c r="B21" s="166" t="str">
        <f t="array" ref="B21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21" s="166" t="s">
        <v>92</v>
      </c>
      <c r="D21" s="177" t="str">
        <f t="shared" si="2"/>
        <v>Arquitetura de projetos GERDAU</v>
      </c>
      <c r="E21" s="170" t="str">
        <f t="shared" si="12"/>
        <v>Definição da Estratégia para Transformação dos Processos</v>
      </c>
      <c r="F21" s="174" t="str">
        <f t="shared" si="15"/>
        <v>Revisão dos Objetivos Estratégicos e Cadeia de Valor</v>
      </c>
      <c r="G21" s="166" t="str">
        <f>H20</f>
        <v>Revisão dos objetivos estratégicos da Gerência</v>
      </c>
      <c r="H21" s="197" t="s">
        <v>91</v>
      </c>
      <c r="I21" s="166">
        <v>45705</v>
      </c>
      <c r="J21" s="40">
        <v>45715</v>
      </c>
      <c r="K21" s="166">
        <v>45705</v>
      </c>
      <c r="L21" s="40">
        <v>45715</v>
      </c>
      <c r="M21" s="167"/>
      <c r="N21" s="167" t="str">
        <f t="array" ref="N21">_xlfn.IFS(L21&lt;$M$3,"Concluído",AND(K21&gt;=$M$3,I21&lt;$M$3,L21&gt;$M$3),"Em andamento",AND(L21&gt;=$M$3,J21&lt;$M$3),"Atrasado",AND(L21&gt;=$M$3,J21&gt;=$M$3,I21&gt;$M$3,K21&lt;=$M$3),"Em andamento",AND(L21&gt;=$M$3,J21&gt;=$M$3,I21&lt;=$M$3,K21&lt;=$M$3),"Em andamento",AND(K21&gt;$M$3,I21&gt;$M$3),"Não iniciado",AND(L21&gt;=$M$3,J21&gt;=$M$3,K21&gt;=$M$3,I21&lt;$M$3),"Atrasado",AND(L21&gt;=$M$3,J21&gt;=$M$3,K21&gt;=$M$3,I21&gt;$M$3),"Não iniciado",AND($I21&lt;=$M$3,$K21&gt;$M$3),"Atrasado")</f>
        <v>Concluído</v>
      </c>
      <c r="O21" s="167">
        <f t="array" ref="O21">_xlfn.IFS(N21="Não iniciado",0,N21="Em andamento",1,N21="Concluído",2,N21="Atrasado",3)</f>
        <v>2</v>
      </c>
      <c r="P21" s="168"/>
      <c r="Q21" s="152">
        <f t="array" aca="1" ref="Q21" ca="1">_xlfn.IFS(AND($I21&lt;$N$3,$J21&lt;$N$3),1,AND($I21&lt;=$N$3,$J21&gt;=$N$3),0.5,AND($I21&gt;=$N$3,$J21&gt;=$N$3),0)</f>
        <v>1</v>
      </c>
      <c r="R21" s="152">
        <f t="array" aca="1" ref="R21" ca="1">_xlfn.IFS(AND($K21&lt;$N$3,$L21&lt;$N$3),1,AND($K21&lt;=$N$3,$L21&gt;=$N$3),0.5,AND($K21&gt;=$N$3,$L21&gt;=$N$3),0)</f>
        <v>1</v>
      </c>
      <c r="S21" s="201" t="e">
        <f t="array" ref="S21">_xlfn.IFS(AND($K21&gt;R$7,$L21&gt;R$7),0,AND($K21&lt;=R$7,$L21&lt;=R$7),1,AND($K21&lt;=R$7,$L21&gt;R$7),((R$7-$K21)/($L21-$K21)))</f>
        <v>#REF!</v>
      </c>
      <c r="T21" s="201" t="e">
        <f t="array" ref="T21">_xlfn.IFS(AND($K21&gt;S$7,$L21&gt;S$7),0,AND($K21&lt;=S$7,$L21&lt;=S$7),1,AND($K21&lt;=S$7,$L21&gt;S$7),((S$7-$K21)/($L21-$K21)))</f>
        <v>#REF!</v>
      </c>
      <c r="U21" s="201" t="e">
        <f t="array" ref="U21">_xlfn.IFS(AND($K21&gt;T$7,$L21&gt;T$7),0,AND($K21&lt;=T$7,$L21&lt;=T$7),1,AND($K21&lt;=T$7,$L21&gt;T$7),((T$7-$K21)/($L21-$K21)))</f>
        <v>#REF!</v>
      </c>
      <c r="V21" s="201" t="e">
        <f t="array" ref="V21">_xlfn.IFS(AND($K21&gt;U$7,$L21&gt;U$7),0,AND($K21&lt;=U$7,$L21&lt;=U$7),1,AND($K21&lt;=U$7,$L21&gt;U$7),((U$7-$K21)/($L21-$K21)))</f>
        <v>#REF!</v>
      </c>
      <c r="W21" s="201" t="e">
        <f t="array" ref="W21">_xlfn.IFS(AND($K21&gt;V$7,$L21&gt;V$7),0,AND($K21&lt;=V$7,$L21&lt;=V$7),1,AND($K21&lt;=V$7,$L21&gt;V$7),((V$7-$K21)/($L21-$K21)))</f>
        <v>#REF!</v>
      </c>
      <c r="X21" s="201" t="e">
        <f t="array" ref="X21">_xlfn.IFS(AND($K21&gt;W$7,$L21&gt;W$7),0,AND($K21&lt;=W$7,$L21&lt;=W$7),1,AND($K21&lt;=W$7,$L21&gt;W$7),((W$7-$K21)/($L21-$K21)))</f>
        <v>#REF!</v>
      </c>
      <c r="Y21" s="201" t="e">
        <f t="array" ref="Y21">_xlfn.IFS(AND($K21&gt;X$7,$L21&gt;X$7),0,AND($K21&lt;=X$7,$L21&lt;=X$7),1,AND($K21&lt;=X$7,$L21&gt;X$7),((X$7-$K21)/($L21-$K21)))</f>
        <v>#REF!</v>
      </c>
      <c r="Z21" s="201" t="e">
        <f t="array" ref="Z21">_xlfn.IFS(AND($K21&gt;Y$7,$L21&gt;Y$7),0,AND($K21&lt;=Y$7,$L21&lt;=Y$7),1,AND($K21&lt;=Y$7,$L21&gt;Y$7),((Y$7-$K21)/($L21-$K21)))</f>
        <v>#REF!</v>
      </c>
      <c r="AA21" s="201" t="e">
        <f t="array" ref="AA21">_xlfn.IFS(AND($K21&gt;Z$7,$L21&gt;Z$7),0,AND($K21&lt;=Z$7,$L21&lt;=Z$7),1,AND($K21&lt;=Z$7,$L21&gt;Z$7),((Z$7-$K21)/($L21-$K21)))</f>
        <v>#REF!</v>
      </c>
      <c r="AB21" s="201" t="e">
        <f t="array" ref="AB21">_xlfn.IFS(AND($K21&gt;AA$7,$L21&gt;AA$7),0,AND($K21&lt;=AA$7,$L21&lt;=AA$7),1,AND($K21&lt;=AA$7,$L21&gt;AA$7),((AA$7-$K21)/($L21-$K21)))</f>
        <v>#REF!</v>
      </c>
      <c r="AC21" s="201" t="e">
        <f t="array" ref="AC21">_xlfn.IFS(AND($K21&gt;AB$7,$L21&gt;AB$7),0,AND($K21&lt;=AB$7,$L21&lt;=AB$7),1,AND($K21&lt;=AB$7,$L21&gt;AB$7),((AB$7-$K21)/($L21-$K21)))</f>
        <v>#REF!</v>
      </c>
      <c r="AD21" s="201" t="e">
        <f t="array" ref="AD21">_xlfn.IFS(AND($K21&gt;AC$7,$L21&gt;AC$7),0,AND($K21&lt;=AC$7,$L21&lt;=AC$7),1,AND($K21&lt;=AC$7,$L21&gt;AC$7),((AC$7-$K21)/($L21-$K21)))</f>
        <v>#REF!</v>
      </c>
      <c r="AE21" s="201" t="e">
        <f t="array" ref="AE21">_xlfn.IFS(AND($K21&gt;AD$7,$L21&gt;AD$7),0,AND($K21&lt;=AD$7,$L21&lt;=AD$7),1,AND($K21&lt;=AD$7,$L21&gt;AD$7),((AD$7-$K21)/($L21-$K21)))</f>
        <v>#REF!</v>
      </c>
      <c r="AF21" s="201" t="e">
        <f t="array" ref="AF21">_xlfn.IFS(AND($K21&gt;AE$7,$L21&gt;AE$7),0,AND($K21&lt;=AE$7,$L21&lt;=AE$7),1,AND($K21&lt;=AE$7,$L21&gt;AE$7),((AE$7-$K21)/($L21-$K21)))</f>
        <v>#REF!</v>
      </c>
      <c r="AG21" s="201" t="e">
        <f t="array" ref="AG21">_xlfn.IFS(AND($K21&gt;AF$7,$L21&gt;AF$7),0,AND($K21&lt;=AF$7,$L21&lt;=AF$7),1,AND($K21&lt;=AF$7,$L21&gt;AF$7),((AF$7-$K21)/($L21-$K21)))</f>
        <v>#REF!</v>
      </c>
      <c r="AH21" s="201" t="e">
        <f t="array" ref="AH21">_xlfn.IFS(AND($K21&gt;AG$7,$L21&gt;AG$7),0,AND($K21&lt;=AG$7,$L21&lt;=AG$7),1,AND($K21&lt;=AG$7,$L21&gt;AG$7),((AG$7-$K21)/($L21-$K21)))</f>
        <v>#REF!</v>
      </c>
      <c r="AI21" s="201" t="e">
        <f t="array" ref="AI21">_xlfn.IFS(AND($K21&gt;AH$7,$L21&gt;AH$7),0,AND($K21&lt;=AH$7,$L21&lt;=AH$7),1,AND($K21&lt;=AH$7,$L21&gt;AH$7),((AH$7-$K21)/($L21-$K21)))</f>
        <v>#REF!</v>
      </c>
      <c r="AJ21" s="201" t="e">
        <f t="array" ref="AJ21">_xlfn.IFS(AND($K21&gt;AI$7,$L21&gt;AI$7),0,AND($K21&lt;=AI$7,$L21&lt;=AI$7),1,AND($K21&lt;=AI$7,$L21&gt;AI$7),((AI$7-$K21)/($L21-$K21)))</f>
        <v>#REF!</v>
      </c>
      <c r="AK21" s="201" t="e">
        <f t="array" ref="AK21">_xlfn.IFS(AND($K21&gt;AJ$7,$L21&gt;AJ$7),0,AND($K21&lt;=AJ$7,$L21&lt;=AJ$7),1,AND($K21&lt;=AJ$7,$L21&gt;AJ$7),((AJ$7-$K21)/($L21-$K21)))</f>
        <v>#REF!</v>
      </c>
      <c r="AL21" s="201" t="e">
        <f t="array" ref="AL21">_xlfn.IFS(AND($K21&gt;AK$7,$L21&gt;AK$7),0,AND($K21&lt;=AK$7,$L21&lt;=AK$7),1,AND($K21&lt;=AK$7,$L21&gt;AK$7),((AK$7-$K21)/($L21-$K21)))</f>
        <v>#REF!</v>
      </c>
      <c r="AM21" s="201" t="e">
        <f t="array" ref="AM21">_xlfn.IFS(AND($K21&gt;AL$7,$L21&gt;AL$7),0,AND($K21&lt;=AL$7,$L21&lt;=AL$7),1,AND($K21&lt;=AL$7,$L21&gt;AL$7),((AL$7-$K21)/($L21-$K21)))</f>
        <v>#REF!</v>
      </c>
      <c r="AN21" s="201" t="e">
        <f t="array" ref="AN21">_xlfn.IFS(AND($K21&gt;AM$7,$L21&gt;AM$7),0,AND($K21&lt;=AM$7,$L21&lt;=AM$7),1,AND($K21&lt;=AM$7,$L21&gt;AM$7),((AM$7-$K21)/($L21-$K21)))</f>
        <v>#REF!</v>
      </c>
      <c r="AO21" s="201" t="e">
        <f t="array" ref="AO21">_xlfn.IFS(AND($K21&gt;AN$7,$L21&gt;AN$7),0,AND($K21&lt;=AN$7,$L21&lt;=AN$7),1,AND($K21&lt;=AN$7,$L21&gt;AN$7),((AN$7-$K21)/($L21-$K21)))</f>
        <v>#REF!</v>
      </c>
      <c r="AP21" s="201" t="e">
        <f t="array" ref="AP21">_xlfn.IFS(AND($K21&gt;AO$7,$L21&gt;AO$7),0,AND($K21&lt;=AO$7,$L21&lt;=AO$7),1,AND($K21&lt;=AO$7,$L21&gt;AO$7),((AO$7-$K21)/($L21-$K21)))</f>
        <v>#REF!</v>
      </c>
      <c r="AQ21" s="201" t="e">
        <f t="array" ref="AQ21">_xlfn.IFS(AND($K21&gt;AP$7,$L21&gt;AP$7),0,AND($K21&lt;=AP$7,$L21&lt;=AP$7),1,AND($K21&lt;=AP$7,$L21&gt;AP$7),((AP$7-$K21)/($L21-$K21)))</f>
        <v>#REF!</v>
      </c>
      <c r="AR21" s="201" t="e">
        <f t="array" ref="AR21">_xlfn.IFS(AND($K21&gt;AQ$7,$L21&gt;AQ$7),0,AND($K21&lt;=AQ$7,$L21&lt;=AQ$7),1,AND($K21&lt;=AQ$7,$L21&gt;AQ$7),((AQ$7-$K21)/($L21-$K21)))</f>
        <v>#REF!</v>
      </c>
      <c r="AS21" s="201" t="e">
        <f t="array" ref="AS21">_xlfn.IFS(AND($K21&gt;AR$7,$L21&gt;AR$7),0,AND($K21&lt;=AR$7,$L21&lt;=AR$7),1,AND($K21&lt;=AR$7,$L21&gt;AR$7),((AR$7-$K21)/($L21-$K21)))</f>
        <v>#REF!</v>
      </c>
      <c r="AT21" s="201" t="e">
        <f t="array" ref="AT21">_xlfn.IFS(AND($K21&gt;AS$7,$L21&gt;AS$7),0,AND($K21&lt;=AS$7,$L21&lt;=AS$7),1,AND($K21&lt;=AS$7,$L21&gt;AS$7),((AS$7-$K21)/($L21-$K21)))</f>
        <v>#REF!</v>
      </c>
      <c r="AU21" s="201" t="e">
        <f t="array" ref="AU21">_xlfn.IFS(AND($K21&gt;AT$7,$L21&gt;AT$7),0,AND($K21&lt;=AT$7,$L21&lt;=AT$7),1,AND($K21&lt;=AT$7,$L21&gt;AT$7),((AT$7-$K21)/($L21-$K21)))</f>
        <v>#REF!</v>
      </c>
      <c r="AV21" s="201" t="e">
        <f t="array" ref="AV21">_xlfn.IFS(AND($K21&gt;AU$7,$L21&gt;AU$7),0,AND($K21&lt;=AU$7,$L21&lt;=AU$7),1,AND($K21&lt;=AU$7,$L21&gt;AU$7),((AU$7-$K21)/($L21-$K21)))</f>
        <v>#REF!</v>
      </c>
      <c r="AW21" s="201" t="e">
        <f t="array" ref="AW21">_xlfn.IFS(AND($K21&gt;AV$7,$L21&gt;AV$7),0,AND($K21&lt;=AV$7,$L21&lt;=AV$7),1,AND($K21&lt;=AV$7,$L21&gt;AV$7),((AV$7-$K21)/($L21-$K21)))</f>
        <v>#REF!</v>
      </c>
      <c r="AX21" s="201" t="e">
        <f t="array" ref="AX21">_xlfn.IFS(AND($K21&gt;AW$7,$L21&gt;AW$7),0,AND($K21&lt;=AW$7,$L21&lt;=AW$7),1,AND($K21&lt;=AW$7,$L21&gt;AW$7),((AW$7-$K21)/($L21-$K21)))</f>
        <v>#REF!</v>
      </c>
      <c r="AY21" s="201" t="e">
        <f t="array" ref="AY21">_xlfn.IFS(AND($K21&gt;AX$7,$L21&gt;AX$7),0,AND($K21&lt;=AX$7,$L21&lt;=AX$7),1,AND($K21&lt;=AX$7,$L21&gt;AX$7),((AX$7-$K21)/($L21-$K21)))</f>
        <v>#REF!</v>
      </c>
      <c r="AZ21" s="201" t="e">
        <f t="array" ref="AZ21">_xlfn.IFS(AND($K21&gt;AY$7,$L21&gt;AY$7),0,AND($K21&lt;=AY$7,$L21&lt;=AY$7),1,AND($K21&lt;=AY$7,$L21&gt;AY$7),((AY$7-$K21)/($L21-$K21)))</f>
        <v>#REF!</v>
      </c>
      <c r="BA21" s="201" t="e">
        <f t="array" ref="BA21">_xlfn.IFS(AND($K21&gt;AZ$7,$L21&gt;AZ$7),0,AND($K21&lt;=AZ$7,$L21&lt;=AZ$7),1,AND($K21&lt;=AZ$7,$L21&gt;AZ$7),((AZ$7-$K21)/($L21-$K21)))</f>
        <v>#REF!</v>
      </c>
      <c r="BB21" s="201" t="e">
        <f t="array" ref="BB21">_xlfn.IFS(AND($K21&gt;BA$7,$L21&gt;BA$7),0,AND($K21&lt;=BA$7,$L21&lt;=BA$7),1,AND($K21&lt;=BA$7,$L21&gt;BA$7),((BA$7-$K21)/($L21-$K21)))</f>
        <v>#REF!</v>
      </c>
      <c r="BC21" s="201" t="e">
        <f t="array" ref="BC21">_xlfn.IFS(AND($K21&gt;BB$7,$L21&gt;BB$7),0,AND($K21&lt;=BB$7,$L21&lt;=BB$7),1,AND($K21&lt;=BB$7,$L21&gt;BB$7),((BB$7-$K21)/($L21-$K21)))</f>
        <v>#REF!</v>
      </c>
      <c r="BD21" s="201" t="e">
        <f t="array" ref="BD21">_xlfn.IFS(AND($K21&gt;BC$7,$L21&gt;BC$7),0,AND($K21&lt;=BC$7,$L21&lt;=BC$7),1,AND($K21&lt;=BC$7,$L21&gt;BC$7),((BC$7-$K21)/($L21-$K21)))</f>
        <v>#REF!</v>
      </c>
      <c r="BE21" s="201" t="e">
        <f t="array" ref="BE21">_xlfn.IFS(AND($K21&gt;BD$7,$L21&gt;BD$7),0,AND($K21&lt;=BD$7,$L21&lt;=BD$7),1,AND($K21&lt;=BD$7,$L21&gt;BD$7),((BD$7-$K21)/($L21-$K21)))</f>
        <v>#REF!</v>
      </c>
      <c r="BF21" s="201" t="e">
        <f t="array" ref="BF21">_xlfn.IFS(AND($K21&gt;BE$7,$L21&gt;BE$7),0,AND($K21&lt;=BE$7,$L21&lt;=BE$7),1,AND($K21&lt;=BE$7,$L21&gt;BE$7),((BE$7-$K21)/($L21-$K21)))</f>
        <v>#REF!</v>
      </c>
      <c r="BG21" s="201" t="e">
        <f t="array" ref="BG21">_xlfn.IFS(AND($K21&gt;BF$7,$L21&gt;BF$7),0,AND($K21&lt;=BF$7,$L21&lt;=BF$7),1,AND($K21&lt;=BF$7,$L21&gt;BF$7),((BF$7-$K21)/($L21-$K21)))</f>
        <v>#REF!</v>
      </c>
      <c r="BH21" s="201" t="e">
        <f t="array" ref="BH21">_xlfn.IFS(AND($K21&gt;BG$7,$L21&gt;BG$7),0,AND($K21&lt;=BG$7,$L21&lt;=BG$7),1,AND($K21&lt;=BG$7,$L21&gt;BG$7),((BG$7-$K21)/($L21-$K21)))</f>
        <v>#REF!</v>
      </c>
      <c r="BI21" s="201" t="e">
        <f t="array" ref="BI21">_xlfn.IFS(AND($K21&gt;BH$7,$L21&gt;BH$7),0,AND($K21&lt;=BH$7,$L21&lt;=BH$7),1,AND($K21&lt;=BH$7,$L21&gt;BH$7),((BH$7-$K21)/($L21-$K21)))</f>
        <v>#REF!</v>
      </c>
      <c r="BJ21" s="201" t="e">
        <f t="array" ref="BJ21">_xlfn.IFS(AND($K21&gt;BI$7,$L21&gt;BI$7),0,AND($K21&lt;=BI$7,$L21&lt;=BI$7),1,AND($K21&lt;=BI$7,$L21&gt;BI$7),((BI$7-$K21)/($L21-$K21)))</f>
        <v>#REF!</v>
      </c>
      <c r="BK21" s="201" t="e">
        <f t="array" ref="BK21">_xlfn.IFS(AND($K21&gt;BJ$7,$L21&gt;BJ$7),0,AND($K21&lt;=BJ$7,$L21&lt;=BJ$7),1,AND($K21&lt;=BJ$7,$L21&gt;BJ$7),((BJ$7-$K21)/($L21-$K21)))</f>
        <v>#REF!</v>
      </c>
      <c r="BL21" s="201" t="e">
        <f t="array" ref="BL21">_xlfn.IFS(AND($K21&gt;BK$7,$L21&gt;BK$7),0,AND($K21&lt;=BK$7,$L21&lt;=BK$7),1,AND($K21&lt;=BK$7,$L21&gt;BK$7),((BK$7-$K21)/($L21-$K21)))</f>
        <v>#REF!</v>
      </c>
      <c r="BM21" s="201" t="e">
        <f t="array" ref="BM21">_xlfn.IFS(AND($K21&gt;BL$7,$L21&gt;BL$7),0,AND($K21&lt;=BL$7,$L21&lt;=BL$7),1,AND($K21&lt;=BL$7,$L21&gt;BL$7),((BL$7-$K21)/($L21-$K21)))</f>
        <v>#REF!</v>
      </c>
      <c r="BN21" s="201" t="e">
        <f t="array" ref="BN21">_xlfn.IFS(AND($K21&gt;BM$7,$L21&gt;BM$7),0,AND($K21&lt;=BM$7,$L21&lt;=BM$7),1,AND($K21&lt;=BM$7,$L21&gt;BM$7),((BM$7-$K21)/($L21-$K21)))</f>
        <v>#REF!</v>
      </c>
    </row>
    <row r="22" spans="2:66" ht="15" customHeight="1" x14ac:dyDescent="0.3">
      <c r="B22" s="174" t="str">
        <f t="array" ref="B22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22" s="174" t="s">
        <v>93</v>
      </c>
      <c r="D22" s="177" t="str">
        <f t="shared" si="2"/>
        <v>Arquitetura de projetos GERDAU</v>
      </c>
      <c r="E22" s="170" t="str">
        <f t="shared" si="12"/>
        <v>Definição da Estratégia para Transformação dos Processos</v>
      </c>
      <c r="F22" s="174" t="str">
        <f t="shared" si="15"/>
        <v>Revisão dos Objetivos Estratégicos e Cadeia de Valor</v>
      </c>
      <c r="G22" s="174" t="s">
        <v>94</v>
      </c>
      <c r="H22" s="195" t="s">
        <v>95</v>
      </c>
      <c r="I22" s="174">
        <f>MIN(I23:I23)</f>
        <v>45705</v>
      </c>
      <c r="J22" s="174">
        <f>MAX(J23:J23)</f>
        <v>45715</v>
      </c>
      <c r="K22" s="174">
        <f>MIN(K23:K23)</f>
        <v>45705</v>
      </c>
      <c r="L22" s="174">
        <f>MAX(L23:L23)</f>
        <v>45715</v>
      </c>
      <c r="M22" s="175"/>
      <c r="N22" s="175" t="str">
        <f t="array" ref="N22">_xlfn.IFS(L22&lt;$M$3,"Concluído",AND(K22&gt;=$M$3,I22&lt;$M$3,L22&gt;$M$3),"Em andamento",AND(L22&gt;=$M$3,J22&lt;$M$3),"Atrasado",AND(L22&gt;=$M$3,J22&gt;=$M$3,I22&gt;$M$3,K22&lt;=$M$3),"Em andamento",AND(L22&gt;=$M$3,J22&gt;=$M$3,I22&lt;=$M$3,K22&lt;=$M$3),"Em andamento",AND(K22&gt;$M$3,I22&gt;$M$3),"Não iniciado",AND(L22&gt;=$M$3,J22&gt;=$M$3,K22&gt;=$M$3,I22&lt;$M$3),"Atrasado",AND(L22&gt;=$M$3,J22&gt;=$M$3,K22&gt;=$M$3,I22&gt;$M$3),"Não iniciado",AND($I22&lt;=$M$3,$K22&gt;$M$3),"Atrasado")</f>
        <v>Concluído</v>
      </c>
      <c r="O22" s="175">
        <f t="array" ref="O22">_xlfn.IFS(N22="Não iniciado",0,N22="Em andamento",1,N22="Concluído",2,N22="Atrasado",3)</f>
        <v>2</v>
      </c>
      <c r="P22" s="176"/>
      <c r="Q22" s="156">
        <f t="shared" ref="Q22:AV22" ca="1" si="17">Q23</f>
        <v>1</v>
      </c>
      <c r="R22" s="156">
        <f t="shared" ca="1" si="17"/>
        <v>1</v>
      </c>
      <c r="S22" s="205" t="e">
        <f t="shared" si="17"/>
        <v>#REF!</v>
      </c>
      <c r="T22" s="205" t="e">
        <f t="shared" si="17"/>
        <v>#REF!</v>
      </c>
      <c r="U22" s="205" t="e">
        <f t="shared" si="17"/>
        <v>#REF!</v>
      </c>
      <c r="V22" s="205" t="e">
        <f t="shared" si="17"/>
        <v>#REF!</v>
      </c>
      <c r="W22" s="205" t="e">
        <f t="shared" si="17"/>
        <v>#REF!</v>
      </c>
      <c r="X22" s="205" t="e">
        <f t="shared" si="17"/>
        <v>#REF!</v>
      </c>
      <c r="Y22" s="205" t="e">
        <f t="shared" si="17"/>
        <v>#REF!</v>
      </c>
      <c r="Z22" s="205" t="e">
        <f t="shared" si="17"/>
        <v>#REF!</v>
      </c>
      <c r="AA22" s="205" t="e">
        <f t="shared" si="17"/>
        <v>#REF!</v>
      </c>
      <c r="AB22" s="205" t="e">
        <f t="shared" si="17"/>
        <v>#REF!</v>
      </c>
      <c r="AC22" s="205" t="e">
        <f t="shared" si="17"/>
        <v>#REF!</v>
      </c>
      <c r="AD22" s="205" t="e">
        <f t="shared" si="17"/>
        <v>#REF!</v>
      </c>
      <c r="AE22" s="205" t="e">
        <f t="shared" si="17"/>
        <v>#REF!</v>
      </c>
      <c r="AF22" s="205" t="e">
        <f t="shared" si="17"/>
        <v>#REF!</v>
      </c>
      <c r="AG22" s="205" t="e">
        <f t="shared" si="17"/>
        <v>#REF!</v>
      </c>
      <c r="AH22" s="205" t="e">
        <f t="shared" si="17"/>
        <v>#REF!</v>
      </c>
      <c r="AI22" s="205" t="e">
        <f t="shared" si="17"/>
        <v>#REF!</v>
      </c>
      <c r="AJ22" s="205" t="e">
        <f t="shared" si="17"/>
        <v>#REF!</v>
      </c>
      <c r="AK22" s="205" t="e">
        <f t="shared" si="17"/>
        <v>#REF!</v>
      </c>
      <c r="AL22" s="205" t="e">
        <f t="shared" si="17"/>
        <v>#REF!</v>
      </c>
      <c r="AM22" s="205" t="e">
        <f t="shared" si="17"/>
        <v>#REF!</v>
      </c>
      <c r="AN22" s="205" t="e">
        <f t="shared" si="17"/>
        <v>#REF!</v>
      </c>
      <c r="AO22" s="205" t="e">
        <f t="shared" si="17"/>
        <v>#REF!</v>
      </c>
      <c r="AP22" s="205" t="e">
        <f t="shared" si="17"/>
        <v>#REF!</v>
      </c>
      <c r="AQ22" s="205" t="e">
        <f t="shared" si="17"/>
        <v>#REF!</v>
      </c>
      <c r="AR22" s="205" t="e">
        <f t="shared" si="17"/>
        <v>#REF!</v>
      </c>
      <c r="AS22" s="205" t="e">
        <f t="shared" si="17"/>
        <v>#REF!</v>
      </c>
      <c r="AT22" s="205" t="e">
        <f t="shared" si="17"/>
        <v>#REF!</v>
      </c>
      <c r="AU22" s="205" t="e">
        <f t="shared" si="17"/>
        <v>#REF!</v>
      </c>
      <c r="AV22" s="205" t="e">
        <f t="shared" si="17"/>
        <v>#REF!</v>
      </c>
      <c r="AW22" s="205" t="e">
        <f t="shared" ref="AW22:BN22" si="18">AW23</f>
        <v>#REF!</v>
      </c>
      <c r="AX22" s="205" t="e">
        <f t="shared" si="18"/>
        <v>#REF!</v>
      </c>
      <c r="AY22" s="205" t="e">
        <f t="shared" si="18"/>
        <v>#REF!</v>
      </c>
      <c r="AZ22" s="205" t="e">
        <f t="shared" si="18"/>
        <v>#REF!</v>
      </c>
      <c r="BA22" s="205" t="e">
        <f t="shared" si="18"/>
        <v>#REF!</v>
      </c>
      <c r="BB22" s="205" t="e">
        <f t="shared" si="18"/>
        <v>#REF!</v>
      </c>
      <c r="BC22" s="205" t="e">
        <f t="shared" si="18"/>
        <v>#REF!</v>
      </c>
      <c r="BD22" s="205" t="e">
        <f t="shared" si="18"/>
        <v>#REF!</v>
      </c>
      <c r="BE22" s="205" t="e">
        <f t="shared" si="18"/>
        <v>#REF!</v>
      </c>
      <c r="BF22" s="205" t="e">
        <f t="shared" si="18"/>
        <v>#REF!</v>
      </c>
      <c r="BG22" s="205" t="e">
        <f t="shared" si="18"/>
        <v>#REF!</v>
      </c>
      <c r="BH22" s="205" t="e">
        <f t="shared" si="18"/>
        <v>#REF!</v>
      </c>
      <c r="BI22" s="205" t="e">
        <f t="shared" si="18"/>
        <v>#REF!</v>
      </c>
      <c r="BJ22" s="205" t="e">
        <f t="shared" si="18"/>
        <v>#REF!</v>
      </c>
      <c r="BK22" s="205" t="e">
        <f t="shared" si="18"/>
        <v>#REF!</v>
      </c>
      <c r="BL22" s="205" t="e">
        <f t="shared" si="18"/>
        <v>#REF!</v>
      </c>
      <c r="BM22" s="205" t="e">
        <f t="shared" si="18"/>
        <v>#REF!</v>
      </c>
      <c r="BN22" s="205" t="e">
        <f t="shared" si="18"/>
        <v>#REF!</v>
      </c>
    </row>
    <row r="23" spans="2:66" s="163" customFormat="1" ht="15" customHeight="1" x14ac:dyDescent="0.3">
      <c r="B23" s="166" t="str">
        <f t="array" ref="B23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23" s="166" t="s">
        <v>96</v>
      </c>
      <c r="D23" s="177" t="str">
        <f t="shared" si="2"/>
        <v>Arquitetura de projetos GERDAU</v>
      </c>
      <c r="E23" s="170" t="str">
        <f t="shared" si="12"/>
        <v>Definição da Estratégia para Transformação dos Processos</v>
      </c>
      <c r="F23" s="174" t="str">
        <f t="shared" si="15"/>
        <v>Revisão dos Objetivos Estratégicos e Cadeia de Valor</v>
      </c>
      <c r="G23" s="166" t="str">
        <f>H22</f>
        <v>Revisão da cadeia de valor dos processos</v>
      </c>
      <c r="H23" s="197" t="s">
        <v>95</v>
      </c>
      <c r="I23" s="166">
        <v>45705</v>
      </c>
      <c r="J23" s="40">
        <v>45715</v>
      </c>
      <c r="K23" s="166">
        <v>45705</v>
      </c>
      <c r="L23" s="40">
        <v>45715</v>
      </c>
      <c r="M23" s="167"/>
      <c r="N23" s="167" t="str">
        <f t="array" ref="N23">_xlfn.IFS(L23&lt;$M$3,"Concluído",AND(K23&gt;=$M$3,I23&lt;$M$3,L23&gt;$M$3),"Em andamento",AND(L23&gt;=$M$3,J23&lt;$M$3),"Atrasado",AND(L23&gt;=$M$3,J23&gt;=$M$3,I23&gt;$M$3,K23&lt;=$M$3),"Em andamento",AND(L23&gt;=$M$3,J23&gt;=$M$3,I23&lt;=$M$3,K23&lt;=$M$3),"Em andamento",AND(K23&gt;$M$3,I23&gt;$M$3),"Não iniciado",AND(L23&gt;=$M$3,J23&gt;=$M$3,K23&gt;=$M$3,I23&lt;$M$3),"Atrasado",AND(L23&gt;=$M$3,J23&gt;=$M$3,K23&gt;=$M$3,I23&gt;$M$3),"Não iniciado",AND($I23&lt;=$M$3,$K23&gt;$M$3),"Atrasado")</f>
        <v>Concluído</v>
      </c>
      <c r="O23" s="167">
        <f t="array" ref="O23">_xlfn.IFS(N23="Não iniciado",0,N23="Em andamento",1,N23="Concluído",2,N23="Atrasado",3)</f>
        <v>2</v>
      </c>
      <c r="P23" s="168"/>
      <c r="Q23" s="152">
        <f t="array" aca="1" ref="Q23" ca="1">_xlfn.IFS(AND($I23&lt;$N$3,$J23&lt;$N$3),1,AND($I23&lt;=$N$3,$J23&gt;=$N$3),0.5,AND($I23&gt;=$N$3,$J23&gt;=$N$3),0)</f>
        <v>1</v>
      </c>
      <c r="R23" s="152">
        <f t="array" aca="1" ref="R23" ca="1">_xlfn.IFS(AND($K23&lt;$N$3,$L23&lt;$N$3),1,AND($K23&lt;=$N$3,$L23&gt;=$N$3),0.5,AND($K23&gt;=$N$3,$L23&gt;=$N$3),0)</f>
        <v>1</v>
      </c>
      <c r="S23" s="201" t="e">
        <f t="array" ref="S23">_xlfn.IFS(AND($K23&gt;R$7,$L23&gt;R$7),0,AND($K23&lt;=R$7,$L23&lt;=R$7),1,AND($K23&lt;=R$7,$L23&gt;R$7),((R$7-$K23)/($L23-$K23)))</f>
        <v>#REF!</v>
      </c>
      <c r="T23" s="201" t="e">
        <f t="array" ref="T23">_xlfn.IFS(AND($K23&gt;S$7,$L23&gt;S$7),0,AND($K23&lt;=S$7,$L23&lt;=S$7),1,AND($K23&lt;=S$7,$L23&gt;S$7),((S$7-$K23)/($L23-$K23)))</f>
        <v>#REF!</v>
      </c>
      <c r="U23" s="201" t="e">
        <f t="array" ref="U23">_xlfn.IFS(AND($K23&gt;T$7,$L23&gt;T$7),0,AND($K23&lt;=T$7,$L23&lt;=T$7),1,AND($K23&lt;=T$7,$L23&gt;T$7),((T$7-$K23)/($L23-$K23)))</f>
        <v>#REF!</v>
      </c>
      <c r="V23" s="201" t="e">
        <f t="array" ref="V23">_xlfn.IFS(AND($K23&gt;U$7,$L23&gt;U$7),0,AND($K23&lt;=U$7,$L23&lt;=U$7),1,AND($K23&lt;=U$7,$L23&gt;U$7),((U$7-$K23)/($L23-$K23)))</f>
        <v>#REF!</v>
      </c>
      <c r="W23" s="201" t="e">
        <f t="array" ref="W23">_xlfn.IFS(AND($K23&gt;V$7,$L23&gt;V$7),0,AND($K23&lt;=V$7,$L23&lt;=V$7),1,AND($K23&lt;=V$7,$L23&gt;V$7),((V$7-$K23)/($L23-$K23)))</f>
        <v>#REF!</v>
      </c>
      <c r="X23" s="201" t="e">
        <f t="array" ref="X23">_xlfn.IFS(AND($K23&gt;W$7,$L23&gt;W$7),0,AND($K23&lt;=W$7,$L23&lt;=W$7),1,AND($K23&lt;=W$7,$L23&gt;W$7),((W$7-$K23)/($L23-$K23)))</f>
        <v>#REF!</v>
      </c>
      <c r="Y23" s="201" t="e">
        <f t="array" ref="Y23">_xlfn.IFS(AND($K23&gt;X$7,$L23&gt;X$7),0,AND($K23&lt;=X$7,$L23&lt;=X$7),1,AND($K23&lt;=X$7,$L23&gt;X$7),((X$7-$K23)/($L23-$K23)))</f>
        <v>#REF!</v>
      </c>
      <c r="Z23" s="201" t="e">
        <f t="array" ref="Z23">_xlfn.IFS(AND($K23&gt;Y$7,$L23&gt;Y$7),0,AND($K23&lt;=Y$7,$L23&lt;=Y$7),1,AND($K23&lt;=Y$7,$L23&gt;Y$7),((Y$7-$K23)/($L23-$K23)))</f>
        <v>#REF!</v>
      </c>
      <c r="AA23" s="201" t="e">
        <f t="array" ref="AA23">_xlfn.IFS(AND($K23&gt;Z$7,$L23&gt;Z$7),0,AND($K23&lt;=Z$7,$L23&lt;=Z$7),1,AND($K23&lt;=Z$7,$L23&gt;Z$7),((Z$7-$K23)/($L23-$K23)))</f>
        <v>#REF!</v>
      </c>
      <c r="AB23" s="201" t="e">
        <f t="array" ref="AB23">_xlfn.IFS(AND($K23&gt;AA$7,$L23&gt;AA$7),0,AND($K23&lt;=AA$7,$L23&lt;=AA$7),1,AND($K23&lt;=AA$7,$L23&gt;AA$7),((AA$7-$K23)/($L23-$K23)))</f>
        <v>#REF!</v>
      </c>
      <c r="AC23" s="201" t="e">
        <f t="array" ref="AC23">_xlfn.IFS(AND($K23&gt;AB$7,$L23&gt;AB$7),0,AND($K23&lt;=AB$7,$L23&lt;=AB$7),1,AND($K23&lt;=AB$7,$L23&gt;AB$7),((AB$7-$K23)/($L23-$K23)))</f>
        <v>#REF!</v>
      </c>
      <c r="AD23" s="201" t="e">
        <f t="array" ref="AD23">_xlfn.IFS(AND($K23&gt;AC$7,$L23&gt;AC$7),0,AND($K23&lt;=AC$7,$L23&lt;=AC$7),1,AND($K23&lt;=AC$7,$L23&gt;AC$7),((AC$7-$K23)/($L23-$K23)))</f>
        <v>#REF!</v>
      </c>
      <c r="AE23" s="201" t="e">
        <f t="array" ref="AE23">_xlfn.IFS(AND($K23&gt;AD$7,$L23&gt;AD$7),0,AND($K23&lt;=AD$7,$L23&lt;=AD$7),1,AND($K23&lt;=AD$7,$L23&gt;AD$7),((AD$7-$K23)/($L23-$K23)))</f>
        <v>#REF!</v>
      </c>
      <c r="AF23" s="201" t="e">
        <f t="array" ref="AF23">_xlfn.IFS(AND($K23&gt;AE$7,$L23&gt;AE$7),0,AND($K23&lt;=AE$7,$L23&lt;=AE$7),1,AND($K23&lt;=AE$7,$L23&gt;AE$7),((AE$7-$K23)/($L23-$K23)))</f>
        <v>#REF!</v>
      </c>
      <c r="AG23" s="201" t="e">
        <f t="array" ref="AG23">_xlfn.IFS(AND($K23&gt;AF$7,$L23&gt;AF$7),0,AND($K23&lt;=AF$7,$L23&lt;=AF$7),1,AND($K23&lt;=AF$7,$L23&gt;AF$7),((AF$7-$K23)/($L23-$K23)))</f>
        <v>#REF!</v>
      </c>
      <c r="AH23" s="201" t="e">
        <f t="array" ref="AH23">_xlfn.IFS(AND($K23&gt;AG$7,$L23&gt;AG$7),0,AND($K23&lt;=AG$7,$L23&lt;=AG$7),1,AND($K23&lt;=AG$7,$L23&gt;AG$7),((AG$7-$K23)/($L23-$K23)))</f>
        <v>#REF!</v>
      </c>
      <c r="AI23" s="201" t="e">
        <f t="array" ref="AI23">_xlfn.IFS(AND($K23&gt;AH$7,$L23&gt;AH$7),0,AND($K23&lt;=AH$7,$L23&lt;=AH$7),1,AND($K23&lt;=AH$7,$L23&gt;AH$7),((AH$7-$K23)/($L23-$K23)))</f>
        <v>#REF!</v>
      </c>
      <c r="AJ23" s="201" t="e">
        <f t="array" ref="AJ23">_xlfn.IFS(AND($K23&gt;AI$7,$L23&gt;AI$7),0,AND($K23&lt;=AI$7,$L23&lt;=AI$7),1,AND($K23&lt;=AI$7,$L23&gt;AI$7),((AI$7-$K23)/($L23-$K23)))</f>
        <v>#REF!</v>
      </c>
      <c r="AK23" s="201" t="e">
        <f t="array" ref="AK23">_xlfn.IFS(AND($K23&gt;AJ$7,$L23&gt;AJ$7),0,AND($K23&lt;=AJ$7,$L23&lt;=AJ$7),1,AND($K23&lt;=AJ$7,$L23&gt;AJ$7),((AJ$7-$K23)/($L23-$K23)))</f>
        <v>#REF!</v>
      </c>
      <c r="AL23" s="201" t="e">
        <f t="array" ref="AL23">_xlfn.IFS(AND($K23&gt;AK$7,$L23&gt;AK$7),0,AND($K23&lt;=AK$7,$L23&lt;=AK$7),1,AND($K23&lt;=AK$7,$L23&gt;AK$7),((AK$7-$K23)/($L23-$K23)))</f>
        <v>#REF!</v>
      </c>
      <c r="AM23" s="201" t="e">
        <f t="array" ref="AM23">_xlfn.IFS(AND($K23&gt;AL$7,$L23&gt;AL$7),0,AND($K23&lt;=AL$7,$L23&lt;=AL$7),1,AND($K23&lt;=AL$7,$L23&gt;AL$7),((AL$7-$K23)/($L23-$K23)))</f>
        <v>#REF!</v>
      </c>
      <c r="AN23" s="201" t="e">
        <f t="array" ref="AN23">_xlfn.IFS(AND($K23&gt;AM$7,$L23&gt;AM$7),0,AND($K23&lt;=AM$7,$L23&lt;=AM$7),1,AND($K23&lt;=AM$7,$L23&gt;AM$7),((AM$7-$K23)/($L23-$K23)))</f>
        <v>#REF!</v>
      </c>
      <c r="AO23" s="201" t="e">
        <f t="array" ref="AO23">_xlfn.IFS(AND($K23&gt;AN$7,$L23&gt;AN$7),0,AND($K23&lt;=AN$7,$L23&lt;=AN$7),1,AND($K23&lt;=AN$7,$L23&gt;AN$7),((AN$7-$K23)/($L23-$K23)))</f>
        <v>#REF!</v>
      </c>
      <c r="AP23" s="201" t="e">
        <f t="array" ref="AP23">_xlfn.IFS(AND($K23&gt;AO$7,$L23&gt;AO$7),0,AND($K23&lt;=AO$7,$L23&lt;=AO$7),1,AND($K23&lt;=AO$7,$L23&gt;AO$7),((AO$7-$K23)/($L23-$K23)))</f>
        <v>#REF!</v>
      </c>
      <c r="AQ23" s="201" t="e">
        <f t="array" ref="AQ23">_xlfn.IFS(AND($K23&gt;AP$7,$L23&gt;AP$7),0,AND($K23&lt;=AP$7,$L23&lt;=AP$7),1,AND($K23&lt;=AP$7,$L23&gt;AP$7),((AP$7-$K23)/($L23-$K23)))</f>
        <v>#REF!</v>
      </c>
      <c r="AR23" s="201" t="e">
        <f t="array" ref="AR23">_xlfn.IFS(AND($K23&gt;AQ$7,$L23&gt;AQ$7),0,AND($K23&lt;=AQ$7,$L23&lt;=AQ$7),1,AND($K23&lt;=AQ$7,$L23&gt;AQ$7),((AQ$7-$K23)/($L23-$K23)))</f>
        <v>#REF!</v>
      </c>
      <c r="AS23" s="201" t="e">
        <f t="array" ref="AS23">_xlfn.IFS(AND($K23&gt;AR$7,$L23&gt;AR$7),0,AND($K23&lt;=AR$7,$L23&lt;=AR$7),1,AND($K23&lt;=AR$7,$L23&gt;AR$7),((AR$7-$K23)/($L23-$K23)))</f>
        <v>#REF!</v>
      </c>
      <c r="AT23" s="201" t="e">
        <f t="array" ref="AT23">_xlfn.IFS(AND($K23&gt;AS$7,$L23&gt;AS$7),0,AND($K23&lt;=AS$7,$L23&lt;=AS$7),1,AND($K23&lt;=AS$7,$L23&gt;AS$7),((AS$7-$K23)/($L23-$K23)))</f>
        <v>#REF!</v>
      </c>
      <c r="AU23" s="201" t="e">
        <f t="array" ref="AU23">_xlfn.IFS(AND($K23&gt;AT$7,$L23&gt;AT$7),0,AND($K23&lt;=AT$7,$L23&lt;=AT$7),1,AND($K23&lt;=AT$7,$L23&gt;AT$7),((AT$7-$K23)/($L23-$K23)))</f>
        <v>#REF!</v>
      </c>
      <c r="AV23" s="201" t="e">
        <f t="array" ref="AV23">_xlfn.IFS(AND($K23&gt;AU$7,$L23&gt;AU$7),0,AND($K23&lt;=AU$7,$L23&lt;=AU$7),1,AND($K23&lt;=AU$7,$L23&gt;AU$7),((AU$7-$K23)/($L23-$K23)))</f>
        <v>#REF!</v>
      </c>
      <c r="AW23" s="201" t="e">
        <f t="array" ref="AW23">_xlfn.IFS(AND($K23&gt;AV$7,$L23&gt;AV$7),0,AND($K23&lt;=AV$7,$L23&lt;=AV$7),1,AND($K23&lt;=AV$7,$L23&gt;AV$7),((AV$7-$K23)/($L23-$K23)))</f>
        <v>#REF!</v>
      </c>
      <c r="AX23" s="201" t="e">
        <f t="array" ref="AX23">_xlfn.IFS(AND($K23&gt;AW$7,$L23&gt;AW$7),0,AND($K23&lt;=AW$7,$L23&lt;=AW$7),1,AND($K23&lt;=AW$7,$L23&gt;AW$7),((AW$7-$K23)/($L23-$K23)))</f>
        <v>#REF!</v>
      </c>
      <c r="AY23" s="201" t="e">
        <f t="array" ref="AY23">_xlfn.IFS(AND($K23&gt;AX$7,$L23&gt;AX$7),0,AND($K23&lt;=AX$7,$L23&lt;=AX$7),1,AND($K23&lt;=AX$7,$L23&gt;AX$7),((AX$7-$K23)/($L23-$K23)))</f>
        <v>#REF!</v>
      </c>
      <c r="AZ23" s="201" t="e">
        <f t="array" ref="AZ23">_xlfn.IFS(AND($K23&gt;AY$7,$L23&gt;AY$7),0,AND($K23&lt;=AY$7,$L23&lt;=AY$7),1,AND($K23&lt;=AY$7,$L23&gt;AY$7),((AY$7-$K23)/($L23-$K23)))</f>
        <v>#REF!</v>
      </c>
      <c r="BA23" s="201" t="e">
        <f t="array" ref="BA23">_xlfn.IFS(AND($K23&gt;AZ$7,$L23&gt;AZ$7),0,AND($K23&lt;=AZ$7,$L23&lt;=AZ$7),1,AND($K23&lt;=AZ$7,$L23&gt;AZ$7),((AZ$7-$K23)/($L23-$K23)))</f>
        <v>#REF!</v>
      </c>
      <c r="BB23" s="201" t="e">
        <f t="array" ref="BB23">_xlfn.IFS(AND($K23&gt;BA$7,$L23&gt;BA$7),0,AND($K23&lt;=BA$7,$L23&lt;=BA$7),1,AND($K23&lt;=BA$7,$L23&gt;BA$7),((BA$7-$K23)/($L23-$K23)))</f>
        <v>#REF!</v>
      </c>
      <c r="BC23" s="201" t="e">
        <f t="array" ref="BC23">_xlfn.IFS(AND($K23&gt;BB$7,$L23&gt;BB$7),0,AND($K23&lt;=BB$7,$L23&lt;=BB$7),1,AND($K23&lt;=BB$7,$L23&gt;BB$7),((BB$7-$K23)/($L23-$K23)))</f>
        <v>#REF!</v>
      </c>
      <c r="BD23" s="201" t="e">
        <f t="array" ref="BD23">_xlfn.IFS(AND($K23&gt;BC$7,$L23&gt;BC$7),0,AND($K23&lt;=BC$7,$L23&lt;=BC$7),1,AND($K23&lt;=BC$7,$L23&gt;BC$7),((BC$7-$K23)/($L23-$K23)))</f>
        <v>#REF!</v>
      </c>
      <c r="BE23" s="201" t="e">
        <f t="array" ref="BE23">_xlfn.IFS(AND($K23&gt;BD$7,$L23&gt;BD$7),0,AND($K23&lt;=BD$7,$L23&lt;=BD$7),1,AND($K23&lt;=BD$7,$L23&gt;BD$7),((BD$7-$K23)/($L23-$K23)))</f>
        <v>#REF!</v>
      </c>
      <c r="BF23" s="201" t="e">
        <f t="array" ref="BF23">_xlfn.IFS(AND($K23&gt;BE$7,$L23&gt;BE$7),0,AND($K23&lt;=BE$7,$L23&lt;=BE$7),1,AND($K23&lt;=BE$7,$L23&gt;BE$7),((BE$7-$K23)/($L23-$K23)))</f>
        <v>#REF!</v>
      </c>
      <c r="BG23" s="201" t="e">
        <f t="array" ref="BG23">_xlfn.IFS(AND($K23&gt;BF$7,$L23&gt;BF$7),0,AND($K23&lt;=BF$7,$L23&lt;=BF$7),1,AND($K23&lt;=BF$7,$L23&gt;BF$7),((BF$7-$K23)/($L23-$K23)))</f>
        <v>#REF!</v>
      </c>
      <c r="BH23" s="201" t="e">
        <f t="array" ref="BH23">_xlfn.IFS(AND($K23&gt;BG$7,$L23&gt;BG$7),0,AND($K23&lt;=BG$7,$L23&lt;=BG$7),1,AND($K23&lt;=BG$7,$L23&gt;BG$7),((BG$7-$K23)/($L23-$K23)))</f>
        <v>#REF!</v>
      </c>
      <c r="BI23" s="201" t="e">
        <f t="array" ref="BI23">_xlfn.IFS(AND($K23&gt;BH$7,$L23&gt;BH$7),0,AND($K23&lt;=BH$7,$L23&lt;=BH$7),1,AND($K23&lt;=BH$7,$L23&gt;BH$7),((BH$7-$K23)/($L23-$K23)))</f>
        <v>#REF!</v>
      </c>
      <c r="BJ23" s="201" t="e">
        <f t="array" ref="BJ23">_xlfn.IFS(AND($K23&gt;BI$7,$L23&gt;BI$7),0,AND($K23&lt;=BI$7,$L23&lt;=BI$7),1,AND($K23&lt;=BI$7,$L23&gt;BI$7),((BI$7-$K23)/($L23-$K23)))</f>
        <v>#REF!</v>
      </c>
      <c r="BK23" s="201" t="e">
        <f t="array" ref="BK23">_xlfn.IFS(AND($K23&gt;BJ$7,$L23&gt;BJ$7),0,AND($K23&lt;=BJ$7,$L23&lt;=BJ$7),1,AND($K23&lt;=BJ$7,$L23&gt;BJ$7),((BJ$7-$K23)/($L23-$K23)))</f>
        <v>#REF!</v>
      </c>
      <c r="BL23" s="201" t="e">
        <f t="array" ref="BL23">_xlfn.IFS(AND($K23&gt;BK$7,$L23&gt;BK$7),0,AND($K23&lt;=BK$7,$L23&lt;=BK$7),1,AND($K23&lt;=BK$7,$L23&gt;BK$7),((BK$7-$K23)/($L23-$K23)))</f>
        <v>#REF!</v>
      </c>
      <c r="BM23" s="201" t="e">
        <f t="array" ref="BM23">_xlfn.IFS(AND($K23&gt;BL$7,$L23&gt;BL$7),0,AND($K23&lt;=BL$7,$L23&lt;=BL$7),1,AND($K23&lt;=BL$7,$L23&gt;BL$7),((BL$7-$K23)/($L23-$K23)))</f>
        <v>#REF!</v>
      </c>
      <c r="BN23" s="201" t="e">
        <f t="array" ref="BN23">_xlfn.IFS(AND($K23&gt;BM$7,$L23&gt;BM$7),0,AND($K23&lt;=BM$7,$L23&lt;=BM$7),1,AND($K23&lt;=BM$7,$L23&gt;BM$7),((BM$7-$K23)/($L23-$K23)))</f>
        <v>#REF!</v>
      </c>
    </row>
    <row r="24" spans="2:66" s="163" customFormat="1" ht="15" customHeight="1" x14ac:dyDescent="0.3">
      <c r="B24" s="174" t="str">
        <f t="array" ref="B24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24" s="174" t="s">
        <v>97</v>
      </c>
      <c r="D24" s="177" t="str">
        <f t="shared" si="2"/>
        <v>Arquitetura de projetos GERDAU</v>
      </c>
      <c r="E24" s="170" t="str">
        <f t="shared" si="12"/>
        <v>Definição da Estratégia para Transformação dos Processos</v>
      </c>
      <c r="F24" s="174" t="str">
        <f t="shared" si="15"/>
        <v>Revisão dos Objetivos Estratégicos e Cadeia de Valor</v>
      </c>
      <c r="G24" s="174" t="s">
        <v>94</v>
      </c>
      <c r="H24" s="195" t="s">
        <v>98</v>
      </c>
      <c r="I24" s="174">
        <f>MIN(I25:I25)</f>
        <v>45705</v>
      </c>
      <c r="J24" s="174">
        <f>MAX(J25:J25)</f>
        <v>45708</v>
      </c>
      <c r="K24" s="174">
        <f>MIN(K25:K25)</f>
        <v>45705</v>
      </c>
      <c r="L24" s="174">
        <f>MAX(L25:L25)</f>
        <v>45708</v>
      </c>
      <c r="M24" s="175"/>
      <c r="N24" s="175" t="str">
        <f t="array" ref="N24">_xlfn.IFS(L24&lt;$M$3,"Concluído",AND(K24&gt;=$M$3,I24&lt;$M$3,L24&gt;$M$3),"Em andamento",AND(L24&gt;=$M$3,J24&lt;$M$3),"Atrasado",AND(L24&gt;=$M$3,J24&gt;=$M$3,I24&gt;$M$3,K24&lt;=$M$3),"Em andamento",AND(L24&gt;=$M$3,J24&gt;=$M$3,I24&lt;=$M$3,K24&lt;=$M$3),"Em andamento",AND(K24&gt;$M$3,I24&gt;$M$3),"Não iniciado",AND(L24&gt;=$M$3,J24&gt;=$M$3,K24&gt;=$M$3,I24&lt;$M$3),"Atrasado",AND(L24&gt;=$M$3,J24&gt;=$M$3,K24&gt;=$M$3,I24&gt;$M$3),"Não iniciado",AND($I24&lt;=$M$3,$K24&gt;$M$3),"Atrasado")</f>
        <v>Concluído</v>
      </c>
      <c r="O24" s="175">
        <f t="array" ref="O24">_xlfn.IFS(N24="Não iniciado",0,N24="Em andamento",1,N24="Concluído",2,N24="Atrasado",3)</f>
        <v>2</v>
      </c>
      <c r="P24" s="176"/>
      <c r="Q24" s="156">
        <f t="shared" ref="Q24:AV24" ca="1" si="19">Q25</f>
        <v>1</v>
      </c>
      <c r="R24" s="156">
        <f t="shared" ca="1" si="19"/>
        <v>1</v>
      </c>
      <c r="S24" s="205" t="e">
        <f t="shared" si="19"/>
        <v>#REF!</v>
      </c>
      <c r="T24" s="205" t="e">
        <f t="shared" si="19"/>
        <v>#REF!</v>
      </c>
      <c r="U24" s="205" t="e">
        <f t="shared" si="19"/>
        <v>#REF!</v>
      </c>
      <c r="V24" s="205" t="e">
        <f t="shared" si="19"/>
        <v>#REF!</v>
      </c>
      <c r="W24" s="205" t="e">
        <f t="shared" si="19"/>
        <v>#REF!</v>
      </c>
      <c r="X24" s="205" t="e">
        <f t="shared" si="19"/>
        <v>#REF!</v>
      </c>
      <c r="Y24" s="205" t="e">
        <f t="shared" si="19"/>
        <v>#REF!</v>
      </c>
      <c r="Z24" s="205" t="e">
        <f t="shared" si="19"/>
        <v>#REF!</v>
      </c>
      <c r="AA24" s="205" t="e">
        <f t="shared" si="19"/>
        <v>#REF!</v>
      </c>
      <c r="AB24" s="205" t="e">
        <f t="shared" si="19"/>
        <v>#REF!</v>
      </c>
      <c r="AC24" s="205" t="e">
        <f t="shared" si="19"/>
        <v>#REF!</v>
      </c>
      <c r="AD24" s="205" t="e">
        <f t="shared" si="19"/>
        <v>#REF!</v>
      </c>
      <c r="AE24" s="205" t="e">
        <f t="shared" si="19"/>
        <v>#REF!</v>
      </c>
      <c r="AF24" s="205" t="e">
        <f t="shared" si="19"/>
        <v>#REF!</v>
      </c>
      <c r="AG24" s="205" t="e">
        <f t="shared" si="19"/>
        <v>#REF!</v>
      </c>
      <c r="AH24" s="205" t="e">
        <f t="shared" si="19"/>
        <v>#REF!</v>
      </c>
      <c r="AI24" s="205" t="e">
        <f t="shared" si="19"/>
        <v>#REF!</v>
      </c>
      <c r="AJ24" s="205" t="e">
        <f t="shared" si="19"/>
        <v>#REF!</v>
      </c>
      <c r="AK24" s="205" t="e">
        <f t="shared" si="19"/>
        <v>#REF!</v>
      </c>
      <c r="AL24" s="205" t="e">
        <f t="shared" si="19"/>
        <v>#REF!</v>
      </c>
      <c r="AM24" s="205" t="e">
        <f t="shared" si="19"/>
        <v>#REF!</v>
      </c>
      <c r="AN24" s="205" t="e">
        <f t="shared" si="19"/>
        <v>#REF!</v>
      </c>
      <c r="AO24" s="205" t="e">
        <f t="shared" si="19"/>
        <v>#REF!</v>
      </c>
      <c r="AP24" s="205" t="e">
        <f t="shared" si="19"/>
        <v>#REF!</v>
      </c>
      <c r="AQ24" s="205" t="e">
        <f t="shared" si="19"/>
        <v>#REF!</v>
      </c>
      <c r="AR24" s="205" t="e">
        <f t="shared" si="19"/>
        <v>#REF!</v>
      </c>
      <c r="AS24" s="205" t="e">
        <f t="shared" si="19"/>
        <v>#REF!</v>
      </c>
      <c r="AT24" s="205" t="e">
        <f t="shared" si="19"/>
        <v>#REF!</v>
      </c>
      <c r="AU24" s="205" t="e">
        <f t="shared" si="19"/>
        <v>#REF!</v>
      </c>
      <c r="AV24" s="205" t="e">
        <f t="shared" si="19"/>
        <v>#REF!</v>
      </c>
      <c r="AW24" s="205" t="e">
        <f t="shared" ref="AW24:BN24" si="20">AW25</f>
        <v>#REF!</v>
      </c>
      <c r="AX24" s="205" t="e">
        <f t="shared" si="20"/>
        <v>#REF!</v>
      </c>
      <c r="AY24" s="205" t="e">
        <f t="shared" si="20"/>
        <v>#REF!</v>
      </c>
      <c r="AZ24" s="205" t="e">
        <f t="shared" si="20"/>
        <v>#REF!</v>
      </c>
      <c r="BA24" s="205" t="e">
        <f t="shared" si="20"/>
        <v>#REF!</v>
      </c>
      <c r="BB24" s="205" t="e">
        <f t="shared" si="20"/>
        <v>#REF!</v>
      </c>
      <c r="BC24" s="205" t="e">
        <f t="shared" si="20"/>
        <v>#REF!</v>
      </c>
      <c r="BD24" s="205" t="e">
        <f t="shared" si="20"/>
        <v>#REF!</v>
      </c>
      <c r="BE24" s="205" t="e">
        <f t="shared" si="20"/>
        <v>#REF!</v>
      </c>
      <c r="BF24" s="205" t="e">
        <f t="shared" si="20"/>
        <v>#REF!</v>
      </c>
      <c r="BG24" s="205" t="e">
        <f t="shared" si="20"/>
        <v>#REF!</v>
      </c>
      <c r="BH24" s="205" t="e">
        <f t="shared" si="20"/>
        <v>#REF!</v>
      </c>
      <c r="BI24" s="205" t="e">
        <f t="shared" si="20"/>
        <v>#REF!</v>
      </c>
      <c r="BJ24" s="205" t="e">
        <f t="shared" si="20"/>
        <v>#REF!</v>
      </c>
      <c r="BK24" s="205" t="e">
        <f t="shared" si="20"/>
        <v>#REF!</v>
      </c>
      <c r="BL24" s="205" t="e">
        <f t="shared" si="20"/>
        <v>#REF!</v>
      </c>
      <c r="BM24" s="205" t="e">
        <f t="shared" si="20"/>
        <v>#REF!</v>
      </c>
      <c r="BN24" s="205" t="e">
        <f t="shared" si="20"/>
        <v>#REF!</v>
      </c>
    </row>
    <row r="25" spans="2:66" s="46" customFormat="1" ht="15" customHeight="1" x14ac:dyDescent="0.3">
      <c r="B25" s="166" t="str">
        <f t="array" ref="B25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25" s="166" t="s">
        <v>99</v>
      </c>
      <c r="D25" s="177" t="str">
        <f t="shared" si="2"/>
        <v>Arquitetura de projetos GERDAU</v>
      </c>
      <c r="E25" s="170" t="str">
        <f t="shared" si="12"/>
        <v>Definição da Estratégia para Transformação dos Processos</v>
      </c>
      <c r="F25" s="174" t="str">
        <f t="shared" si="15"/>
        <v>Revisão dos Objetivos Estratégicos e Cadeia de Valor</v>
      </c>
      <c r="G25" s="166" t="str">
        <f>H24</f>
        <v>Definição dos principais direcionadores estratégicos para transformação de processos</v>
      </c>
      <c r="H25" s="197" t="s">
        <v>98</v>
      </c>
      <c r="I25" s="166">
        <v>45705</v>
      </c>
      <c r="J25" s="40">
        <v>45708</v>
      </c>
      <c r="K25" s="166">
        <v>45705</v>
      </c>
      <c r="L25" s="40">
        <v>45708</v>
      </c>
      <c r="M25" s="167"/>
      <c r="N25" s="167" t="str">
        <f t="array" ref="N25">_xlfn.IFS(L25&lt;$M$3,"Concluído",AND(K25&gt;=$M$3,I25&lt;$M$3,L25&gt;$M$3),"Em andamento",AND(L25&gt;=$M$3,J25&lt;$M$3),"Atrasado",AND(L25&gt;=$M$3,J25&gt;=$M$3,I25&gt;$M$3,K25&lt;=$M$3),"Em andamento",AND(L25&gt;=$M$3,J25&gt;=$M$3,I25&lt;=$M$3,K25&lt;=$M$3),"Em andamento",AND(K25&gt;$M$3,I25&gt;$M$3),"Não iniciado",AND(L25&gt;=$M$3,J25&gt;=$M$3,K25&gt;=$M$3,I25&lt;$M$3),"Atrasado",AND(L25&gt;=$M$3,J25&gt;=$M$3,K25&gt;=$M$3,I25&gt;$M$3),"Não iniciado",AND($I25&lt;=$M$3,$K25&gt;$M$3),"Atrasado")</f>
        <v>Concluído</v>
      </c>
      <c r="O25" s="167">
        <f t="array" ref="O25">_xlfn.IFS(N25="Não iniciado",0,N25="Em andamento",1,N25="Concluído",2,N25="Atrasado",3)</f>
        <v>2</v>
      </c>
      <c r="P25" s="168"/>
      <c r="Q25" s="152">
        <f t="array" aca="1" ref="Q25" ca="1">_xlfn.IFS(AND($I25&lt;$N$3,$J25&lt;$N$3),1,AND($I25&lt;=$N$3,$J25&gt;=$N$3),0.5,AND($I25&gt;=$N$3,$J25&gt;=$N$3),0)</f>
        <v>1</v>
      </c>
      <c r="R25" s="152">
        <f t="array" aca="1" ref="R25" ca="1">_xlfn.IFS(AND($K25&lt;$N$3,$L25&lt;$N$3),1,AND($K25&lt;=$N$3,$L25&gt;=$N$3),0.5,AND($K25&gt;=$N$3,$L25&gt;=$N$3),0)</f>
        <v>1</v>
      </c>
      <c r="S25" s="201" t="e">
        <f t="array" ref="S25">_xlfn.IFS(AND($K25&gt;R$7,$L25&gt;R$7),0,AND($K25&lt;=R$7,$L25&lt;=R$7),1,AND($K25&lt;=R$7,$L25&gt;R$7),((R$7-$K25)/($L25-$K25)))</f>
        <v>#REF!</v>
      </c>
      <c r="T25" s="201" t="e">
        <f t="array" ref="T25">_xlfn.IFS(AND($K25&gt;S$7,$L25&gt;S$7),0,AND($K25&lt;=S$7,$L25&lt;=S$7),1,AND($K25&lt;=S$7,$L25&gt;S$7),((S$7-$K25)/($L25-$K25)))</f>
        <v>#REF!</v>
      </c>
      <c r="U25" s="201" t="e">
        <f t="array" ref="U25">_xlfn.IFS(AND($K25&gt;T$7,$L25&gt;T$7),0,AND($K25&lt;=T$7,$L25&lt;=T$7),1,AND($K25&lt;=T$7,$L25&gt;T$7),((T$7-$K25)/($L25-$K25)))</f>
        <v>#REF!</v>
      </c>
      <c r="V25" s="201" t="e">
        <f t="array" ref="V25">_xlfn.IFS(AND($K25&gt;U$7,$L25&gt;U$7),0,AND($K25&lt;=U$7,$L25&lt;=U$7),1,AND($K25&lt;=U$7,$L25&gt;U$7),((U$7-$K25)/($L25-$K25)))</f>
        <v>#REF!</v>
      </c>
      <c r="W25" s="201" t="e">
        <f t="array" ref="W25">_xlfn.IFS(AND($K25&gt;V$7,$L25&gt;V$7),0,AND($K25&lt;=V$7,$L25&lt;=V$7),1,AND($K25&lt;=V$7,$L25&gt;V$7),((V$7-$K25)/($L25-$K25)))</f>
        <v>#REF!</v>
      </c>
      <c r="X25" s="201" t="e">
        <f t="array" ref="X25">_xlfn.IFS(AND($K25&gt;W$7,$L25&gt;W$7),0,AND($K25&lt;=W$7,$L25&lt;=W$7),1,AND($K25&lt;=W$7,$L25&gt;W$7),((W$7-$K25)/($L25-$K25)))</f>
        <v>#REF!</v>
      </c>
      <c r="Y25" s="201" t="e">
        <f t="array" ref="Y25">_xlfn.IFS(AND($K25&gt;X$7,$L25&gt;X$7),0,AND($K25&lt;=X$7,$L25&lt;=X$7),1,AND($K25&lt;=X$7,$L25&gt;X$7),((X$7-$K25)/($L25-$K25)))</f>
        <v>#REF!</v>
      </c>
      <c r="Z25" s="201" t="e">
        <f t="array" ref="Z25">_xlfn.IFS(AND($K25&gt;Y$7,$L25&gt;Y$7),0,AND($K25&lt;=Y$7,$L25&lt;=Y$7),1,AND($K25&lt;=Y$7,$L25&gt;Y$7),((Y$7-$K25)/($L25-$K25)))</f>
        <v>#REF!</v>
      </c>
      <c r="AA25" s="201" t="e">
        <f t="array" ref="AA25">_xlfn.IFS(AND($K25&gt;Z$7,$L25&gt;Z$7),0,AND($K25&lt;=Z$7,$L25&lt;=Z$7),1,AND($K25&lt;=Z$7,$L25&gt;Z$7),((Z$7-$K25)/($L25-$K25)))</f>
        <v>#REF!</v>
      </c>
      <c r="AB25" s="201" t="e">
        <f t="array" ref="AB25">_xlfn.IFS(AND($K25&gt;AA$7,$L25&gt;AA$7),0,AND($K25&lt;=AA$7,$L25&lt;=AA$7),1,AND($K25&lt;=AA$7,$L25&gt;AA$7),((AA$7-$K25)/($L25-$K25)))</f>
        <v>#REF!</v>
      </c>
      <c r="AC25" s="201" t="e">
        <f t="array" ref="AC25">_xlfn.IFS(AND($K25&gt;AB$7,$L25&gt;AB$7),0,AND($K25&lt;=AB$7,$L25&lt;=AB$7),1,AND($K25&lt;=AB$7,$L25&gt;AB$7),((AB$7-$K25)/($L25-$K25)))</f>
        <v>#REF!</v>
      </c>
      <c r="AD25" s="201" t="e">
        <f t="array" ref="AD25">_xlfn.IFS(AND($K25&gt;AC$7,$L25&gt;AC$7),0,AND($K25&lt;=AC$7,$L25&lt;=AC$7),1,AND($K25&lt;=AC$7,$L25&gt;AC$7),((AC$7-$K25)/($L25-$K25)))</f>
        <v>#REF!</v>
      </c>
      <c r="AE25" s="201" t="e">
        <f t="array" ref="AE25">_xlfn.IFS(AND($K25&gt;AD$7,$L25&gt;AD$7),0,AND($K25&lt;=AD$7,$L25&lt;=AD$7),1,AND($K25&lt;=AD$7,$L25&gt;AD$7),((AD$7-$K25)/($L25-$K25)))</f>
        <v>#REF!</v>
      </c>
      <c r="AF25" s="201" t="e">
        <f t="array" ref="AF25">_xlfn.IFS(AND($K25&gt;AE$7,$L25&gt;AE$7),0,AND($K25&lt;=AE$7,$L25&lt;=AE$7),1,AND($K25&lt;=AE$7,$L25&gt;AE$7),((AE$7-$K25)/($L25-$K25)))</f>
        <v>#REF!</v>
      </c>
      <c r="AG25" s="201" t="e">
        <f t="array" ref="AG25">_xlfn.IFS(AND($K25&gt;AF$7,$L25&gt;AF$7),0,AND($K25&lt;=AF$7,$L25&lt;=AF$7),1,AND($K25&lt;=AF$7,$L25&gt;AF$7),((AF$7-$K25)/($L25-$K25)))</f>
        <v>#REF!</v>
      </c>
      <c r="AH25" s="201" t="e">
        <f t="array" ref="AH25">_xlfn.IFS(AND($K25&gt;AG$7,$L25&gt;AG$7),0,AND($K25&lt;=AG$7,$L25&lt;=AG$7),1,AND($K25&lt;=AG$7,$L25&gt;AG$7),((AG$7-$K25)/($L25-$K25)))</f>
        <v>#REF!</v>
      </c>
      <c r="AI25" s="201" t="e">
        <f t="array" ref="AI25">_xlfn.IFS(AND($K25&gt;AH$7,$L25&gt;AH$7),0,AND($K25&lt;=AH$7,$L25&lt;=AH$7),1,AND($K25&lt;=AH$7,$L25&gt;AH$7),((AH$7-$K25)/($L25-$K25)))</f>
        <v>#REF!</v>
      </c>
      <c r="AJ25" s="201" t="e">
        <f t="array" ref="AJ25">_xlfn.IFS(AND($K25&gt;AI$7,$L25&gt;AI$7),0,AND($K25&lt;=AI$7,$L25&lt;=AI$7),1,AND($K25&lt;=AI$7,$L25&gt;AI$7),((AI$7-$K25)/($L25-$K25)))</f>
        <v>#REF!</v>
      </c>
      <c r="AK25" s="201" t="e">
        <f t="array" ref="AK25">_xlfn.IFS(AND($K25&gt;AJ$7,$L25&gt;AJ$7),0,AND($K25&lt;=AJ$7,$L25&lt;=AJ$7),1,AND($K25&lt;=AJ$7,$L25&gt;AJ$7),((AJ$7-$K25)/($L25-$K25)))</f>
        <v>#REF!</v>
      </c>
      <c r="AL25" s="201" t="e">
        <f t="array" ref="AL25">_xlfn.IFS(AND($K25&gt;AK$7,$L25&gt;AK$7),0,AND($K25&lt;=AK$7,$L25&lt;=AK$7),1,AND($K25&lt;=AK$7,$L25&gt;AK$7),((AK$7-$K25)/($L25-$K25)))</f>
        <v>#REF!</v>
      </c>
      <c r="AM25" s="201" t="e">
        <f t="array" ref="AM25">_xlfn.IFS(AND($K25&gt;AL$7,$L25&gt;AL$7),0,AND($K25&lt;=AL$7,$L25&lt;=AL$7),1,AND($K25&lt;=AL$7,$L25&gt;AL$7),((AL$7-$K25)/($L25-$K25)))</f>
        <v>#REF!</v>
      </c>
      <c r="AN25" s="201" t="e">
        <f t="array" ref="AN25">_xlfn.IFS(AND($K25&gt;AM$7,$L25&gt;AM$7),0,AND($K25&lt;=AM$7,$L25&lt;=AM$7),1,AND($K25&lt;=AM$7,$L25&gt;AM$7),((AM$7-$K25)/($L25-$K25)))</f>
        <v>#REF!</v>
      </c>
      <c r="AO25" s="201" t="e">
        <f t="array" ref="AO25">_xlfn.IFS(AND($K25&gt;AN$7,$L25&gt;AN$7),0,AND($K25&lt;=AN$7,$L25&lt;=AN$7),1,AND($K25&lt;=AN$7,$L25&gt;AN$7),((AN$7-$K25)/($L25-$K25)))</f>
        <v>#REF!</v>
      </c>
      <c r="AP25" s="201" t="e">
        <f t="array" ref="AP25">_xlfn.IFS(AND($K25&gt;AO$7,$L25&gt;AO$7),0,AND($K25&lt;=AO$7,$L25&lt;=AO$7),1,AND($K25&lt;=AO$7,$L25&gt;AO$7),((AO$7-$K25)/($L25-$K25)))</f>
        <v>#REF!</v>
      </c>
      <c r="AQ25" s="201" t="e">
        <f t="array" ref="AQ25">_xlfn.IFS(AND($K25&gt;AP$7,$L25&gt;AP$7),0,AND($K25&lt;=AP$7,$L25&lt;=AP$7),1,AND($K25&lt;=AP$7,$L25&gt;AP$7),((AP$7-$K25)/($L25-$K25)))</f>
        <v>#REF!</v>
      </c>
      <c r="AR25" s="201" t="e">
        <f t="array" ref="AR25">_xlfn.IFS(AND($K25&gt;AQ$7,$L25&gt;AQ$7),0,AND($K25&lt;=AQ$7,$L25&lt;=AQ$7),1,AND($K25&lt;=AQ$7,$L25&gt;AQ$7),((AQ$7-$K25)/($L25-$K25)))</f>
        <v>#REF!</v>
      </c>
      <c r="AS25" s="201" t="e">
        <f t="array" ref="AS25">_xlfn.IFS(AND($K25&gt;AR$7,$L25&gt;AR$7),0,AND($K25&lt;=AR$7,$L25&lt;=AR$7),1,AND($K25&lt;=AR$7,$L25&gt;AR$7),((AR$7-$K25)/($L25-$K25)))</f>
        <v>#REF!</v>
      </c>
      <c r="AT25" s="201" t="e">
        <f t="array" ref="AT25">_xlfn.IFS(AND($K25&gt;AS$7,$L25&gt;AS$7),0,AND($K25&lt;=AS$7,$L25&lt;=AS$7),1,AND($K25&lt;=AS$7,$L25&gt;AS$7),((AS$7-$K25)/($L25-$K25)))</f>
        <v>#REF!</v>
      </c>
      <c r="AU25" s="201" t="e">
        <f t="array" ref="AU25">_xlfn.IFS(AND($K25&gt;AT$7,$L25&gt;AT$7),0,AND($K25&lt;=AT$7,$L25&lt;=AT$7),1,AND($K25&lt;=AT$7,$L25&gt;AT$7),((AT$7-$K25)/($L25-$K25)))</f>
        <v>#REF!</v>
      </c>
      <c r="AV25" s="201" t="e">
        <f t="array" ref="AV25">_xlfn.IFS(AND($K25&gt;AU$7,$L25&gt;AU$7),0,AND($K25&lt;=AU$7,$L25&lt;=AU$7),1,AND($K25&lt;=AU$7,$L25&gt;AU$7),((AU$7-$K25)/($L25-$K25)))</f>
        <v>#REF!</v>
      </c>
      <c r="AW25" s="201" t="e">
        <f t="array" ref="AW25">_xlfn.IFS(AND($K25&gt;AV$7,$L25&gt;AV$7),0,AND($K25&lt;=AV$7,$L25&lt;=AV$7),1,AND($K25&lt;=AV$7,$L25&gt;AV$7),((AV$7-$K25)/($L25-$K25)))</f>
        <v>#REF!</v>
      </c>
      <c r="AX25" s="201" t="e">
        <f t="array" ref="AX25">_xlfn.IFS(AND($K25&gt;AW$7,$L25&gt;AW$7),0,AND($K25&lt;=AW$7,$L25&lt;=AW$7),1,AND($K25&lt;=AW$7,$L25&gt;AW$7),((AW$7-$K25)/($L25-$K25)))</f>
        <v>#REF!</v>
      </c>
      <c r="AY25" s="201" t="e">
        <f t="array" ref="AY25">_xlfn.IFS(AND($K25&gt;AX$7,$L25&gt;AX$7),0,AND($K25&lt;=AX$7,$L25&lt;=AX$7),1,AND($K25&lt;=AX$7,$L25&gt;AX$7),((AX$7-$K25)/($L25-$K25)))</f>
        <v>#REF!</v>
      </c>
      <c r="AZ25" s="201" t="e">
        <f t="array" ref="AZ25">_xlfn.IFS(AND($K25&gt;AY$7,$L25&gt;AY$7),0,AND($K25&lt;=AY$7,$L25&lt;=AY$7),1,AND($K25&lt;=AY$7,$L25&gt;AY$7),((AY$7-$K25)/($L25-$K25)))</f>
        <v>#REF!</v>
      </c>
      <c r="BA25" s="201" t="e">
        <f t="array" ref="BA25">_xlfn.IFS(AND($K25&gt;AZ$7,$L25&gt;AZ$7),0,AND($K25&lt;=AZ$7,$L25&lt;=AZ$7),1,AND($K25&lt;=AZ$7,$L25&gt;AZ$7),((AZ$7-$K25)/($L25-$K25)))</f>
        <v>#REF!</v>
      </c>
      <c r="BB25" s="201" t="e">
        <f t="array" ref="BB25">_xlfn.IFS(AND($K25&gt;BA$7,$L25&gt;BA$7),0,AND($K25&lt;=BA$7,$L25&lt;=BA$7),1,AND($K25&lt;=BA$7,$L25&gt;BA$7),((BA$7-$K25)/($L25-$K25)))</f>
        <v>#REF!</v>
      </c>
      <c r="BC25" s="201" t="e">
        <f t="array" ref="BC25">_xlfn.IFS(AND($K25&gt;BB$7,$L25&gt;BB$7),0,AND($K25&lt;=BB$7,$L25&lt;=BB$7),1,AND($K25&lt;=BB$7,$L25&gt;BB$7),((BB$7-$K25)/($L25-$K25)))</f>
        <v>#REF!</v>
      </c>
      <c r="BD25" s="201" t="e">
        <f t="array" ref="BD25">_xlfn.IFS(AND($K25&gt;BC$7,$L25&gt;BC$7),0,AND($K25&lt;=BC$7,$L25&lt;=BC$7),1,AND($K25&lt;=BC$7,$L25&gt;BC$7),((BC$7-$K25)/($L25-$K25)))</f>
        <v>#REF!</v>
      </c>
      <c r="BE25" s="201" t="e">
        <f t="array" ref="BE25">_xlfn.IFS(AND($K25&gt;BD$7,$L25&gt;BD$7),0,AND($K25&lt;=BD$7,$L25&lt;=BD$7),1,AND($K25&lt;=BD$7,$L25&gt;BD$7),((BD$7-$K25)/($L25-$K25)))</f>
        <v>#REF!</v>
      </c>
      <c r="BF25" s="201" t="e">
        <f t="array" ref="BF25">_xlfn.IFS(AND($K25&gt;BE$7,$L25&gt;BE$7),0,AND($K25&lt;=BE$7,$L25&lt;=BE$7),1,AND($K25&lt;=BE$7,$L25&gt;BE$7),((BE$7-$K25)/($L25-$K25)))</f>
        <v>#REF!</v>
      </c>
      <c r="BG25" s="201" t="e">
        <f t="array" ref="BG25">_xlfn.IFS(AND($K25&gt;BF$7,$L25&gt;BF$7),0,AND($K25&lt;=BF$7,$L25&lt;=BF$7),1,AND($K25&lt;=BF$7,$L25&gt;BF$7),((BF$7-$K25)/($L25-$K25)))</f>
        <v>#REF!</v>
      </c>
      <c r="BH25" s="201" t="e">
        <f t="array" ref="BH25">_xlfn.IFS(AND($K25&gt;BG$7,$L25&gt;BG$7),0,AND($K25&lt;=BG$7,$L25&lt;=BG$7),1,AND($K25&lt;=BG$7,$L25&gt;BG$7),((BG$7-$K25)/($L25-$K25)))</f>
        <v>#REF!</v>
      </c>
      <c r="BI25" s="201" t="e">
        <f t="array" ref="BI25">_xlfn.IFS(AND($K25&gt;BH$7,$L25&gt;BH$7),0,AND($K25&lt;=BH$7,$L25&lt;=BH$7),1,AND($K25&lt;=BH$7,$L25&gt;BH$7),((BH$7-$K25)/($L25-$K25)))</f>
        <v>#REF!</v>
      </c>
      <c r="BJ25" s="201" t="e">
        <f t="array" ref="BJ25">_xlfn.IFS(AND($K25&gt;BI$7,$L25&gt;BI$7),0,AND($K25&lt;=BI$7,$L25&lt;=BI$7),1,AND($K25&lt;=BI$7,$L25&gt;BI$7),((BI$7-$K25)/($L25-$K25)))</f>
        <v>#REF!</v>
      </c>
      <c r="BK25" s="201" t="e">
        <f t="array" ref="BK25">_xlfn.IFS(AND($K25&gt;BJ$7,$L25&gt;BJ$7),0,AND($K25&lt;=BJ$7,$L25&lt;=BJ$7),1,AND($K25&lt;=BJ$7,$L25&gt;BJ$7),((BJ$7-$K25)/($L25-$K25)))</f>
        <v>#REF!</v>
      </c>
      <c r="BL25" s="201" t="e">
        <f t="array" ref="BL25">_xlfn.IFS(AND($K25&gt;BK$7,$L25&gt;BK$7),0,AND($K25&lt;=BK$7,$L25&lt;=BK$7),1,AND($K25&lt;=BK$7,$L25&gt;BK$7),((BK$7-$K25)/($L25-$K25)))</f>
        <v>#REF!</v>
      </c>
      <c r="BM25" s="201" t="e">
        <f t="array" ref="BM25">_xlfn.IFS(AND($K25&gt;BL$7,$L25&gt;BL$7),0,AND($K25&lt;=BL$7,$L25&lt;=BL$7),1,AND($K25&lt;=BL$7,$L25&gt;BL$7),((BL$7-$K25)/($L25-$K25)))</f>
        <v>#REF!</v>
      </c>
      <c r="BN25" s="201" t="e">
        <f t="array" ref="BN25">_xlfn.IFS(AND($K25&gt;BM$7,$L25&gt;BM$7),0,AND($K25&lt;=BM$7,$L25&lt;=BM$7),1,AND($K25&lt;=BM$7,$L25&gt;BM$7),((BM$7-$K25)/($L25-$K25)))</f>
        <v>#REF!</v>
      </c>
    </row>
    <row r="26" spans="2:66" s="46" customFormat="1" ht="15" customHeight="1" x14ac:dyDescent="0.3">
      <c r="B26" s="170" t="str">
        <f t="array" ref="B26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3</v>
      </c>
      <c r="C26" s="170" t="s">
        <v>100</v>
      </c>
      <c r="D26" s="177" t="str">
        <f t="shared" si="2"/>
        <v>Arquitetura de projetos GERDAU</v>
      </c>
      <c r="E26" s="170" t="str">
        <f t="shared" si="12"/>
        <v>Definição da Estratégia para Transformação dos Processos</v>
      </c>
      <c r="F26" s="170" t="s">
        <v>74</v>
      </c>
      <c r="G26" s="170" t="s">
        <v>74</v>
      </c>
      <c r="H26" s="194" t="s">
        <v>101</v>
      </c>
      <c r="I26" s="170">
        <f>MIN(I27:I44)</f>
        <v>45705</v>
      </c>
      <c r="J26" s="170">
        <f>MAX(J27:J44)</f>
        <v>45729</v>
      </c>
      <c r="K26" s="170">
        <f>MIN(K27:K44)</f>
        <v>45705</v>
      </c>
      <c r="L26" s="170">
        <f>MAX(L27:L44)</f>
        <v>45727</v>
      </c>
      <c r="M26" s="171"/>
      <c r="N26" s="171" t="str">
        <f t="array" ref="N26">_xlfn.IFS(L26&lt;$M$3,"Concluído",AND(K26&gt;=$M$3,I26&lt;$M$3,L26&gt;$M$3),"Em andamento",AND(L26&gt;=$M$3,J26&lt;$M$3),"Atrasado",AND(L26&gt;=$M$3,J26&gt;=$M$3,I26&gt;$M$3,K26&lt;=$M$3),"Em andamento",AND(L26&gt;=$M$3,J26&gt;=$M$3,I26&lt;=$M$3,K26&lt;=$M$3),"Em andamento",AND(K26&gt;$M$3,I26&gt;$M$3),"Não iniciado",AND(L26&gt;=$M$3,J26&gt;=$M$3,K26&gt;=$M$3,I26&lt;$M$3),"Atrasado",AND(L26&gt;=$M$3,J26&gt;=$M$3,K26&gt;=$M$3,I26&gt;$M$3),"Não iniciado",AND($I26&lt;=$M$3,$K26&gt;$M$3),"Atrasado")</f>
        <v>Concluído</v>
      </c>
      <c r="O26" s="171">
        <f t="array" ref="O26">_xlfn.IFS(N26="Não iniciado",0,N26="Em andamento",1,N26="Concluído",2,N26="Atrasado",3)</f>
        <v>2</v>
      </c>
      <c r="P26" s="172"/>
      <c r="Q26" s="173">
        <f t="shared" ref="Q26:AV26" ca="1" si="21">AVERAGE(Q27,Q36,Q38)</f>
        <v>1</v>
      </c>
      <c r="R26" s="173">
        <f t="shared" ca="1" si="21"/>
        <v>1</v>
      </c>
      <c r="S26" s="173" t="e">
        <f t="shared" si="21"/>
        <v>#REF!</v>
      </c>
      <c r="T26" s="173" t="e">
        <f t="shared" si="21"/>
        <v>#REF!</v>
      </c>
      <c r="U26" s="173" t="e">
        <f t="shared" si="21"/>
        <v>#REF!</v>
      </c>
      <c r="V26" s="173" t="e">
        <f t="shared" si="21"/>
        <v>#REF!</v>
      </c>
      <c r="W26" s="173" t="e">
        <f t="shared" si="21"/>
        <v>#REF!</v>
      </c>
      <c r="X26" s="173" t="e">
        <f t="shared" si="21"/>
        <v>#REF!</v>
      </c>
      <c r="Y26" s="173" t="e">
        <f t="shared" si="21"/>
        <v>#REF!</v>
      </c>
      <c r="Z26" s="173" t="e">
        <f t="shared" si="21"/>
        <v>#REF!</v>
      </c>
      <c r="AA26" s="173" t="e">
        <f t="shared" si="21"/>
        <v>#REF!</v>
      </c>
      <c r="AB26" s="173" t="e">
        <f t="shared" si="21"/>
        <v>#REF!</v>
      </c>
      <c r="AC26" s="173" t="e">
        <f t="shared" si="21"/>
        <v>#REF!</v>
      </c>
      <c r="AD26" s="173" t="e">
        <f t="shared" si="21"/>
        <v>#REF!</v>
      </c>
      <c r="AE26" s="173" t="e">
        <f t="shared" si="21"/>
        <v>#REF!</v>
      </c>
      <c r="AF26" s="173" t="e">
        <f t="shared" si="21"/>
        <v>#REF!</v>
      </c>
      <c r="AG26" s="173" t="e">
        <f t="shared" si="21"/>
        <v>#REF!</v>
      </c>
      <c r="AH26" s="173" t="e">
        <f t="shared" si="21"/>
        <v>#REF!</v>
      </c>
      <c r="AI26" s="173" t="e">
        <f t="shared" si="21"/>
        <v>#REF!</v>
      </c>
      <c r="AJ26" s="173" t="e">
        <f t="shared" si="21"/>
        <v>#REF!</v>
      </c>
      <c r="AK26" s="173" t="e">
        <f t="shared" si="21"/>
        <v>#REF!</v>
      </c>
      <c r="AL26" s="173" t="e">
        <f t="shared" si="21"/>
        <v>#REF!</v>
      </c>
      <c r="AM26" s="173" t="e">
        <f t="shared" si="21"/>
        <v>#REF!</v>
      </c>
      <c r="AN26" s="173" t="e">
        <f t="shared" si="21"/>
        <v>#REF!</v>
      </c>
      <c r="AO26" s="173" t="e">
        <f t="shared" si="21"/>
        <v>#REF!</v>
      </c>
      <c r="AP26" s="173" t="e">
        <f t="shared" si="21"/>
        <v>#REF!</v>
      </c>
      <c r="AQ26" s="173" t="e">
        <f t="shared" si="21"/>
        <v>#REF!</v>
      </c>
      <c r="AR26" s="173" t="e">
        <f t="shared" si="21"/>
        <v>#REF!</v>
      </c>
      <c r="AS26" s="173" t="e">
        <f t="shared" si="21"/>
        <v>#REF!</v>
      </c>
      <c r="AT26" s="173" t="e">
        <f t="shared" si="21"/>
        <v>#REF!</v>
      </c>
      <c r="AU26" s="173" t="e">
        <f t="shared" si="21"/>
        <v>#REF!</v>
      </c>
      <c r="AV26" s="173" t="e">
        <f t="shared" si="21"/>
        <v>#REF!</v>
      </c>
      <c r="AW26" s="173" t="e">
        <f t="shared" ref="AW26:BN26" si="22">AVERAGE(AW27,AW36,AW38)</f>
        <v>#REF!</v>
      </c>
      <c r="AX26" s="173" t="e">
        <f t="shared" si="22"/>
        <v>#REF!</v>
      </c>
      <c r="AY26" s="173" t="e">
        <f t="shared" si="22"/>
        <v>#REF!</v>
      </c>
      <c r="AZ26" s="173" t="e">
        <f t="shared" si="22"/>
        <v>#REF!</v>
      </c>
      <c r="BA26" s="173" t="e">
        <f t="shared" si="22"/>
        <v>#REF!</v>
      </c>
      <c r="BB26" s="173" t="e">
        <f t="shared" si="22"/>
        <v>#REF!</v>
      </c>
      <c r="BC26" s="173" t="e">
        <f t="shared" si="22"/>
        <v>#REF!</v>
      </c>
      <c r="BD26" s="173" t="e">
        <f t="shared" si="22"/>
        <v>#REF!</v>
      </c>
      <c r="BE26" s="173" t="e">
        <f t="shared" si="22"/>
        <v>#REF!</v>
      </c>
      <c r="BF26" s="173" t="e">
        <f t="shared" si="22"/>
        <v>#REF!</v>
      </c>
      <c r="BG26" s="173" t="e">
        <f t="shared" si="22"/>
        <v>#REF!</v>
      </c>
      <c r="BH26" s="173" t="e">
        <f t="shared" si="22"/>
        <v>#REF!</v>
      </c>
      <c r="BI26" s="173" t="e">
        <f t="shared" si="22"/>
        <v>#REF!</v>
      </c>
      <c r="BJ26" s="173" t="e">
        <f t="shared" si="22"/>
        <v>#REF!</v>
      </c>
      <c r="BK26" s="173" t="e">
        <f t="shared" si="22"/>
        <v>#REF!</v>
      </c>
      <c r="BL26" s="173" t="e">
        <f t="shared" si="22"/>
        <v>#REF!</v>
      </c>
      <c r="BM26" s="173" t="e">
        <f t="shared" si="22"/>
        <v>#REF!</v>
      </c>
      <c r="BN26" s="173" t="e">
        <f t="shared" si="22"/>
        <v>#REF!</v>
      </c>
    </row>
    <row r="27" spans="2:66" s="163" customFormat="1" ht="15" customHeight="1" collapsed="1" x14ac:dyDescent="0.3">
      <c r="B27" s="174" t="str">
        <f t="array" ref="B27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27" s="174" t="s">
        <v>102</v>
      </c>
      <c r="D27" s="177" t="str">
        <f t="shared" si="2"/>
        <v>Arquitetura de projetos GERDAU</v>
      </c>
      <c r="E27" s="170" t="str">
        <f t="shared" si="12"/>
        <v>Definição da Estratégia para Transformação dos Processos</v>
      </c>
      <c r="F27" s="174" t="str">
        <f t="shared" ref="F27:F39" si="23">$H$26</f>
        <v>Entendimento Inicial dos Processos</v>
      </c>
      <c r="G27" s="174" t="s">
        <v>74</v>
      </c>
      <c r="H27" s="195" t="s">
        <v>103</v>
      </c>
      <c r="I27" s="174">
        <f>MIN(I28)</f>
        <v>45706</v>
      </c>
      <c r="J27" s="174">
        <f>MAX(J28:J35)</f>
        <v>45715</v>
      </c>
      <c r="K27" s="174">
        <f>MIN(K28)</f>
        <v>45706</v>
      </c>
      <c r="L27" s="174">
        <f>MAX(L28:L35)</f>
        <v>45722</v>
      </c>
      <c r="M27" s="175"/>
      <c r="N27" s="175" t="str">
        <f t="array" ref="N27">_xlfn.IFS(L27&lt;$M$3,"Concluído",AND(K27&gt;=$M$3,I27&lt;$M$3,L27&gt;$M$3),"Em andamento",AND(L27&gt;=$M$3,J27&lt;$M$3),"Atrasado",AND(L27&gt;=$M$3,J27&gt;=$M$3,I27&gt;$M$3,K27&lt;=$M$3),"Em andamento",AND(L27&gt;=$M$3,J27&gt;=$M$3,I27&lt;=$M$3,K27&lt;=$M$3),"Em andamento",AND(K27&gt;$M$3,I27&gt;$M$3),"Não iniciado",AND(L27&gt;=$M$3,J27&gt;=$M$3,K27&gt;=$M$3,I27&lt;$M$3),"Atrasado",AND(L27&gt;=$M$3,J27&gt;=$M$3,K27&gt;=$M$3,I27&gt;$M$3),"Não iniciado",AND($I27&lt;=$M$3,$K27&gt;$M$3),"Atrasado")</f>
        <v>Concluído</v>
      </c>
      <c r="O27" s="175">
        <f t="array" ref="O27">_xlfn.IFS(N27="Não iniciado",0,N27="Em andamento",1,N27="Concluído",2,N27="Atrasado",3)</f>
        <v>2</v>
      </c>
      <c r="P27" s="176"/>
      <c r="Q27" s="156">
        <f ca="1">AVERAGE(Q28:Q34)</f>
        <v>1</v>
      </c>
      <c r="R27" s="156">
        <f ca="1">AVERAGE(R28:R28)</f>
        <v>1</v>
      </c>
      <c r="S27" s="205" t="e">
        <f t="shared" ref="S27:BN27" si="24">AVERAGE(S28:S35)</f>
        <v>#REF!</v>
      </c>
      <c r="T27" s="205" t="e">
        <f t="shared" si="24"/>
        <v>#REF!</v>
      </c>
      <c r="U27" s="205" t="e">
        <f t="shared" si="24"/>
        <v>#REF!</v>
      </c>
      <c r="V27" s="205" t="e">
        <f t="shared" si="24"/>
        <v>#REF!</v>
      </c>
      <c r="W27" s="205" t="e">
        <f t="shared" si="24"/>
        <v>#REF!</v>
      </c>
      <c r="X27" s="205" t="e">
        <f t="shared" si="24"/>
        <v>#REF!</v>
      </c>
      <c r="Y27" s="205" t="e">
        <f t="shared" si="24"/>
        <v>#REF!</v>
      </c>
      <c r="Z27" s="205" t="e">
        <f t="shared" si="24"/>
        <v>#REF!</v>
      </c>
      <c r="AA27" s="205" t="e">
        <f t="shared" si="24"/>
        <v>#REF!</v>
      </c>
      <c r="AB27" s="205" t="e">
        <f t="shared" si="24"/>
        <v>#REF!</v>
      </c>
      <c r="AC27" s="205" t="e">
        <f t="shared" si="24"/>
        <v>#REF!</v>
      </c>
      <c r="AD27" s="205" t="e">
        <f t="shared" si="24"/>
        <v>#REF!</v>
      </c>
      <c r="AE27" s="205" t="e">
        <f t="shared" si="24"/>
        <v>#REF!</v>
      </c>
      <c r="AF27" s="205" t="e">
        <f t="shared" si="24"/>
        <v>#REF!</v>
      </c>
      <c r="AG27" s="205" t="e">
        <f t="shared" si="24"/>
        <v>#REF!</v>
      </c>
      <c r="AH27" s="205" t="e">
        <f t="shared" si="24"/>
        <v>#REF!</v>
      </c>
      <c r="AI27" s="205" t="e">
        <f t="shared" si="24"/>
        <v>#REF!</v>
      </c>
      <c r="AJ27" s="205" t="e">
        <f t="shared" si="24"/>
        <v>#REF!</v>
      </c>
      <c r="AK27" s="205" t="e">
        <f t="shared" si="24"/>
        <v>#REF!</v>
      </c>
      <c r="AL27" s="205" t="e">
        <f t="shared" si="24"/>
        <v>#REF!</v>
      </c>
      <c r="AM27" s="205" t="e">
        <f t="shared" si="24"/>
        <v>#REF!</v>
      </c>
      <c r="AN27" s="205" t="e">
        <f t="shared" si="24"/>
        <v>#REF!</v>
      </c>
      <c r="AO27" s="205" t="e">
        <f t="shared" si="24"/>
        <v>#REF!</v>
      </c>
      <c r="AP27" s="205" t="e">
        <f t="shared" si="24"/>
        <v>#REF!</v>
      </c>
      <c r="AQ27" s="205" t="e">
        <f t="shared" si="24"/>
        <v>#REF!</v>
      </c>
      <c r="AR27" s="205" t="e">
        <f t="shared" si="24"/>
        <v>#REF!</v>
      </c>
      <c r="AS27" s="205" t="e">
        <f t="shared" si="24"/>
        <v>#REF!</v>
      </c>
      <c r="AT27" s="205" t="e">
        <f t="shared" si="24"/>
        <v>#REF!</v>
      </c>
      <c r="AU27" s="205" t="e">
        <f t="shared" si="24"/>
        <v>#REF!</v>
      </c>
      <c r="AV27" s="205" t="e">
        <f t="shared" si="24"/>
        <v>#REF!</v>
      </c>
      <c r="AW27" s="205" t="e">
        <f t="shared" si="24"/>
        <v>#REF!</v>
      </c>
      <c r="AX27" s="205" t="e">
        <f t="shared" si="24"/>
        <v>#REF!</v>
      </c>
      <c r="AY27" s="205" t="e">
        <f t="shared" si="24"/>
        <v>#REF!</v>
      </c>
      <c r="AZ27" s="205" t="e">
        <f t="shared" si="24"/>
        <v>#REF!</v>
      </c>
      <c r="BA27" s="205" t="e">
        <f t="shared" si="24"/>
        <v>#REF!</v>
      </c>
      <c r="BB27" s="205" t="e">
        <f t="shared" si="24"/>
        <v>#REF!</v>
      </c>
      <c r="BC27" s="205" t="e">
        <f t="shared" si="24"/>
        <v>#REF!</v>
      </c>
      <c r="BD27" s="205" t="e">
        <f t="shared" si="24"/>
        <v>#REF!</v>
      </c>
      <c r="BE27" s="205" t="e">
        <f t="shared" si="24"/>
        <v>#REF!</v>
      </c>
      <c r="BF27" s="205" t="e">
        <f t="shared" si="24"/>
        <v>#REF!</v>
      </c>
      <c r="BG27" s="205" t="e">
        <f t="shared" si="24"/>
        <v>#REF!</v>
      </c>
      <c r="BH27" s="205" t="e">
        <f t="shared" si="24"/>
        <v>#REF!</v>
      </c>
      <c r="BI27" s="205" t="e">
        <f t="shared" si="24"/>
        <v>#REF!</v>
      </c>
      <c r="BJ27" s="205" t="e">
        <f t="shared" si="24"/>
        <v>#REF!</v>
      </c>
      <c r="BK27" s="205" t="e">
        <f t="shared" si="24"/>
        <v>#REF!</v>
      </c>
      <c r="BL27" s="205" t="e">
        <f t="shared" si="24"/>
        <v>#REF!</v>
      </c>
      <c r="BM27" s="205" t="e">
        <f t="shared" si="24"/>
        <v>#REF!</v>
      </c>
      <c r="BN27" s="205" t="e">
        <f t="shared" si="24"/>
        <v>#REF!</v>
      </c>
    </row>
    <row r="28" spans="2:66" ht="15" customHeight="1" x14ac:dyDescent="0.3">
      <c r="B28" s="166" t="str">
        <f t="array" ref="B28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28" s="166" t="s">
        <v>104</v>
      </c>
      <c r="D28" s="177" t="str">
        <f t="shared" si="2"/>
        <v>Arquitetura de projetos GERDAU</v>
      </c>
      <c r="E28" s="170" t="str">
        <f t="shared" si="12"/>
        <v>Definição da Estratégia para Transformação dos Processos</v>
      </c>
      <c r="F28" s="174" t="str">
        <f t="shared" si="23"/>
        <v>Entendimento Inicial dos Processos</v>
      </c>
      <c r="G28" s="166" t="str">
        <f t="shared" ref="G28:G35" si="25">$H$27</f>
        <v>Levantamento e categorização dos processos existentes</v>
      </c>
      <c r="H28" s="197" t="s">
        <v>105</v>
      </c>
      <c r="I28" s="166">
        <v>45706</v>
      </c>
      <c r="J28" s="40">
        <v>45708</v>
      </c>
      <c r="K28" s="166">
        <v>45706</v>
      </c>
      <c r="L28" s="40">
        <v>45708</v>
      </c>
      <c r="M28" s="167"/>
      <c r="N28" s="167" t="str">
        <f t="array" ref="N28">_xlfn.IFS(L28&lt;$M$3,"Concluído",AND(K28&gt;=$M$3,I28&lt;$M$3,L28&gt;$M$3),"Em andamento",AND(L28&gt;=$M$3,J28&lt;$M$3),"Atrasado",AND(L28&gt;=$M$3,J28&gt;=$M$3,I28&gt;$M$3,K28&lt;=$M$3),"Em andamento",AND(L28&gt;=$M$3,J28&gt;=$M$3,I28&lt;=$M$3,K28&lt;=$M$3),"Em andamento",AND(K28&gt;$M$3,I28&gt;$M$3),"Não iniciado",AND(L28&gt;=$M$3,J28&gt;=$M$3,K28&gt;=$M$3,I28&lt;$M$3),"Atrasado",AND(L28&gt;=$M$3,J28&gt;=$M$3,K28&gt;=$M$3,I28&gt;$M$3),"Não iniciado",AND($I28&lt;=$M$3,$K28&gt;$M$3),"Atrasado")</f>
        <v>Concluído</v>
      </c>
      <c r="O28" s="167">
        <f t="array" ref="O28">_xlfn.IFS(N28="Não iniciado",0,N28="Em andamento",1,N28="Concluído",2,N28="Atrasado",3)</f>
        <v>2</v>
      </c>
      <c r="P28" s="169"/>
      <c r="Q28" s="152">
        <f t="array" aca="1" ref="Q28" ca="1">_xlfn.IFS(AND($I28&lt;$N$3,$J28&lt;$N$3),1,AND($I28&lt;=$N$3,$J28&gt;=$N$3),0.5,AND($I28&gt;=$N$3,$J28&gt;=$N$3),0)</f>
        <v>1</v>
      </c>
      <c r="R28" s="152">
        <f t="array" aca="1" ref="R28" ca="1">_xlfn.IFS(AND($K28&lt;$N$3,$L28&lt;$N$3),1,AND($K28&lt;=$N$3,$L28&gt;=$N$3),0.5,AND($K28&gt;=$N$3,$L28&gt;=$N$3),0)</f>
        <v>1</v>
      </c>
      <c r="S28" s="201" t="e">
        <f t="array" ref="S28">_xlfn.IFS(AND($K28&gt;R$7,$L28&gt;R$7),0,AND($K28&lt;=R$7,$L28&lt;=R$7),1,AND($K28&lt;=R$7,$L28&gt;R$7),((R$7-$K28)/($L28-$K28)))</f>
        <v>#REF!</v>
      </c>
      <c r="T28" s="201" t="e">
        <f t="array" ref="T28">_xlfn.IFS(AND($K28&gt;S$7,$L28&gt;S$7),0,AND($K28&lt;=S$7,$L28&lt;=S$7),1,AND($K28&lt;=S$7,$L28&gt;S$7),((S$7-$K28)/($L28-$K28)))</f>
        <v>#REF!</v>
      </c>
      <c r="U28" s="201" t="e">
        <f t="array" ref="U28">_xlfn.IFS(AND($K28&gt;T$7,$L28&gt;T$7),0,AND($K28&lt;=T$7,$L28&lt;=T$7),1,AND($K28&lt;=T$7,$L28&gt;T$7),((T$7-$K28)/($L28-$K28)))</f>
        <v>#REF!</v>
      </c>
      <c r="V28" s="201" t="e">
        <f t="array" ref="V28">_xlfn.IFS(AND($K28&gt;U$7,$L28&gt;U$7),0,AND($K28&lt;=U$7,$L28&lt;=U$7),1,AND($K28&lt;=U$7,$L28&gt;U$7),((U$7-$K28)/($L28-$K28)))</f>
        <v>#REF!</v>
      </c>
      <c r="W28" s="201" t="e">
        <f t="array" ref="W28">_xlfn.IFS(AND($K28&gt;V$7,$L28&gt;V$7),0,AND($K28&lt;=V$7,$L28&lt;=V$7),1,AND($K28&lt;=V$7,$L28&gt;V$7),((V$7-$K28)/($L28-$K28)))</f>
        <v>#REF!</v>
      </c>
      <c r="X28" s="201" t="e">
        <f t="array" ref="X28">_xlfn.IFS(AND($K28&gt;W$7,$L28&gt;W$7),0,AND($K28&lt;=W$7,$L28&lt;=W$7),1,AND($K28&lt;=W$7,$L28&gt;W$7),((W$7-$K28)/($L28-$K28)))</f>
        <v>#REF!</v>
      </c>
      <c r="Y28" s="201" t="e">
        <f t="array" ref="Y28">_xlfn.IFS(AND($K28&gt;X$7,$L28&gt;X$7),0,AND($K28&lt;=X$7,$L28&lt;=X$7),1,AND($K28&lt;=X$7,$L28&gt;X$7),((X$7-$K28)/($L28-$K28)))</f>
        <v>#REF!</v>
      </c>
      <c r="Z28" s="201" t="e">
        <f t="array" ref="Z28">_xlfn.IFS(AND($K28&gt;Y$7,$L28&gt;Y$7),0,AND($K28&lt;=Y$7,$L28&lt;=Y$7),1,AND($K28&lt;=Y$7,$L28&gt;Y$7),((Y$7-$K28)/($L28-$K28)))</f>
        <v>#REF!</v>
      </c>
      <c r="AA28" s="201" t="e">
        <f t="array" ref="AA28">_xlfn.IFS(AND($K28&gt;Z$7,$L28&gt;Z$7),0,AND($K28&lt;=Z$7,$L28&lt;=Z$7),1,AND($K28&lt;=Z$7,$L28&gt;Z$7),((Z$7-$K28)/($L28-$K28)))</f>
        <v>#REF!</v>
      </c>
      <c r="AB28" s="201" t="e">
        <f t="array" ref="AB28">_xlfn.IFS(AND($K28&gt;AA$7,$L28&gt;AA$7),0,AND($K28&lt;=AA$7,$L28&lt;=AA$7),1,AND($K28&lt;=AA$7,$L28&gt;AA$7),((AA$7-$K28)/($L28-$K28)))</f>
        <v>#REF!</v>
      </c>
      <c r="AC28" s="201" t="e">
        <f t="array" ref="AC28">_xlfn.IFS(AND($K28&gt;AB$7,$L28&gt;AB$7),0,AND($K28&lt;=AB$7,$L28&lt;=AB$7),1,AND($K28&lt;=AB$7,$L28&gt;AB$7),((AB$7-$K28)/($L28-$K28)))</f>
        <v>#REF!</v>
      </c>
      <c r="AD28" s="201" t="e">
        <f t="array" ref="AD28">_xlfn.IFS(AND($K28&gt;AC$7,$L28&gt;AC$7),0,AND($K28&lt;=AC$7,$L28&lt;=AC$7),1,AND($K28&lt;=AC$7,$L28&gt;AC$7),((AC$7-$K28)/($L28-$K28)))</f>
        <v>#REF!</v>
      </c>
      <c r="AE28" s="201" t="e">
        <f t="array" ref="AE28">_xlfn.IFS(AND($K28&gt;AD$7,$L28&gt;AD$7),0,AND($K28&lt;=AD$7,$L28&lt;=AD$7),1,AND($K28&lt;=AD$7,$L28&gt;AD$7),((AD$7-$K28)/($L28-$K28)))</f>
        <v>#REF!</v>
      </c>
      <c r="AF28" s="201" t="e">
        <f t="array" ref="AF28">_xlfn.IFS(AND($K28&gt;AE$7,$L28&gt;AE$7),0,AND($K28&lt;=AE$7,$L28&lt;=AE$7),1,AND($K28&lt;=AE$7,$L28&gt;AE$7),((AE$7-$K28)/($L28-$K28)))</f>
        <v>#REF!</v>
      </c>
      <c r="AG28" s="201" t="e">
        <f t="array" ref="AG28">_xlfn.IFS(AND($K28&gt;AF$7,$L28&gt;AF$7),0,AND($K28&lt;=AF$7,$L28&lt;=AF$7),1,AND($K28&lt;=AF$7,$L28&gt;AF$7),((AF$7-$K28)/($L28-$K28)))</f>
        <v>#REF!</v>
      </c>
      <c r="AH28" s="201" t="e">
        <f t="array" ref="AH28">_xlfn.IFS(AND($K28&gt;AG$7,$L28&gt;AG$7),0,AND($K28&lt;=AG$7,$L28&lt;=AG$7),1,AND($K28&lt;=AG$7,$L28&gt;AG$7),((AG$7-$K28)/($L28-$K28)))</f>
        <v>#REF!</v>
      </c>
      <c r="AI28" s="201" t="e">
        <f t="array" ref="AI28">_xlfn.IFS(AND($K28&gt;AH$7,$L28&gt;AH$7),0,AND($K28&lt;=AH$7,$L28&lt;=AH$7),1,AND($K28&lt;=AH$7,$L28&gt;AH$7),((AH$7-$K28)/($L28-$K28)))</f>
        <v>#REF!</v>
      </c>
      <c r="AJ28" s="201" t="e">
        <f t="array" ref="AJ28">_xlfn.IFS(AND($K28&gt;AI$7,$L28&gt;AI$7),0,AND($K28&lt;=AI$7,$L28&lt;=AI$7),1,AND($K28&lt;=AI$7,$L28&gt;AI$7),((AI$7-$K28)/($L28-$K28)))</f>
        <v>#REF!</v>
      </c>
      <c r="AK28" s="201" t="e">
        <f t="array" ref="AK28">_xlfn.IFS(AND($K28&gt;AJ$7,$L28&gt;AJ$7),0,AND($K28&lt;=AJ$7,$L28&lt;=AJ$7),1,AND($K28&lt;=AJ$7,$L28&gt;AJ$7),((AJ$7-$K28)/($L28-$K28)))</f>
        <v>#REF!</v>
      </c>
      <c r="AL28" s="201" t="e">
        <f t="array" ref="AL28">_xlfn.IFS(AND($K28&gt;AK$7,$L28&gt;AK$7),0,AND($K28&lt;=AK$7,$L28&lt;=AK$7),1,AND($K28&lt;=AK$7,$L28&gt;AK$7),((AK$7-$K28)/($L28-$K28)))</f>
        <v>#REF!</v>
      </c>
      <c r="AM28" s="201" t="e">
        <f t="array" ref="AM28">_xlfn.IFS(AND($K28&gt;AL$7,$L28&gt;AL$7),0,AND($K28&lt;=AL$7,$L28&lt;=AL$7),1,AND($K28&lt;=AL$7,$L28&gt;AL$7),((AL$7-$K28)/($L28-$K28)))</f>
        <v>#REF!</v>
      </c>
      <c r="AN28" s="201" t="e">
        <f t="array" ref="AN28">_xlfn.IFS(AND($K28&gt;AM$7,$L28&gt;AM$7),0,AND($K28&lt;=AM$7,$L28&lt;=AM$7),1,AND($K28&lt;=AM$7,$L28&gt;AM$7),((AM$7-$K28)/($L28-$K28)))</f>
        <v>#REF!</v>
      </c>
      <c r="AO28" s="201" t="e">
        <f t="array" ref="AO28">_xlfn.IFS(AND($K28&gt;AN$7,$L28&gt;AN$7),0,AND($K28&lt;=AN$7,$L28&lt;=AN$7),1,AND($K28&lt;=AN$7,$L28&gt;AN$7),((AN$7-$K28)/($L28-$K28)))</f>
        <v>#REF!</v>
      </c>
      <c r="AP28" s="201" t="e">
        <f t="array" ref="AP28">_xlfn.IFS(AND($K28&gt;AO$7,$L28&gt;AO$7),0,AND($K28&lt;=AO$7,$L28&lt;=AO$7),1,AND($K28&lt;=AO$7,$L28&gt;AO$7),((AO$7-$K28)/($L28-$K28)))</f>
        <v>#REF!</v>
      </c>
      <c r="AQ28" s="201" t="e">
        <f t="array" ref="AQ28">_xlfn.IFS(AND($K28&gt;AP$7,$L28&gt;AP$7),0,AND($K28&lt;=AP$7,$L28&lt;=AP$7),1,AND($K28&lt;=AP$7,$L28&gt;AP$7),((AP$7-$K28)/($L28-$K28)))</f>
        <v>#REF!</v>
      </c>
      <c r="AR28" s="201" t="e">
        <f t="array" ref="AR28">_xlfn.IFS(AND($K28&gt;AQ$7,$L28&gt;AQ$7),0,AND($K28&lt;=AQ$7,$L28&lt;=AQ$7),1,AND($K28&lt;=AQ$7,$L28&gt;AQ$7),((AQ$7-$K28)/($L28-$K28)))</f>
        <v>#REF!</v>
      </c>
      <c r="AS28" s="201" t="e">
        <f t="array" ref="AS28">_xlfn.IFS(AND($K28&gt;AR$7,$L28&gt;AR$7),0,AND($K28&lt;=AR$7,$L28&lt;=AR$7),1,AND($K28&lt;=AR$7,$L28&gt;AR$7),((AR$7-$K28)/($L28-$K28)))</f>
        <v>#REF!</v>
      </c>
      <c r="AT28" s="201" t="e">
        <f t="array" ref="AT28">_xlfn.IFS(AND($K28&gt;AS$7,$L28&gt;AS$7),0,AND($K28&lt;=AS$7,$L28&lt;=AS$7),1,AND($K28&lt;=AS$7,$L28&gt;AS$7),((AS$7-$K28)/($L28-$K28)))</f>
        <v>#REF!</v>
      </c>
      <c r="AU28" s="201" t="e">
        <f t="array" ref="AU28">_xlfn.IFS(AND($K28&gt;AT$7,$L28&gt;AT$7),0,AND($K28&lt;=AT$7,$L28&lt;=AT$7),1,AND($K28&lt;=AT$7,$L28&gt;AT$7),((AT$7-$K28)/($L28-$K28)))</f>
        <v>#REF!</v>
      </c>
      <c r="AV28" s="201" t="e">
        <f t="array" ref="AV28">_xlfn.IFS(AND($K28&gt;AU$7,$L28&gt;AU$7),0,AND($K28&lt;=AU$7,$L28&lt;=AU$7),1,AND($K28&lt;=AU$7,$L28&gt;AU$7),((AU$7-$K28)/($L28-$K28)))</f>
        <v>#REF!</v>
      </c>
      <c r="AW28" s="201" t="e">
        <f t="array" ref="AW28">_xlfn.IFS(AND($K28&gt;AV$7,$L28&gt;AV$7),0,AND($K28&lt;=AV$7,$L28&lt;=AV$7),1,AND($K28&lt;=AV$7,$L28&gt;AV$7),((AV$7-$K28)/($L28-$K28)))</f>
        <v>#REF!</v>
      </c>
      <c r="AX28" s="201" t="e">
        <f t="array" ref="AX28">_xlfn.IFS(AND($K28&gt;AW$7,$L28&gt;AW$7),0,AND($K28&lt;=AW$7,$L28&lt;=AW$7),1,AND($K28&lt;=AW$7,$L28&gt;AW$7),((AW$7-$K28)/($L28-$K28)))</f>
        <v>#REF!</v>
      </c>
      <c r="AY28" s="201" t="e">
        <f t="array" ref="AY28">_xlfn.IFS(AND($K28&gt;AX$7,$L28&gt;AX$7),0,AND($K28&lt;=AX$7,$L28&lt;=AX$7),1,AND($K28&lt;=AX$7,$L28&gt;AX$7),((AX$7-$K28)/($L28-$K28)))</f>
        <v>#REF!</v>
      </c>
      <c r="AZ28" s="201" t="e">
        <f t="array" ref="AZ28">_xlfn.IFS(AND($K28&gt;AY$7,$L28&gt;AY$7),0,AND($K28&lt;=AY$7,$L28&lt;=AY$7),1,AND($K28&lt;=AY$7,$L28&gt;AY$7),((AY$7-$K28)/($L28-$K28)))</f>
        <v>#REF!</v>
      </c>
      <c r="BA28" s="201" t="e">
        <f t="array" ref="BA28">_xlfn.IFS(AND($K28&gt;AZ$7,$L28&gt;AZ$7),0,AND($K28&lt;=AZ$7,$L28&lt;=AZ$7),1,AND($K28&lt;=AZ$7,$L28&gt;AZ$7),((AZ$7-$K28)/($L28-$K28)))</f>
        <v>#REF!</v>
      </c>
      <c r="BB28" s="201" t="e">
        <f t="array" ref="BB28">_xlfn.IFS(AND($K28&gt;BA$7,$L28&gt;BA$7),0,AND($K28&lt;=BA$7,$L28&lt;=BA$7),1,AND($K28&lt;=BA$7,$L28&gt;BA$7),((BA$7-$K28)/($L28-$K28)))</f>
        <v>#REF!</v>
      </c>
      <c r="BC28" s="201" t="e">
        <f t="array" ref="BC28">_xlfn.IFS(AND($K28&gt;BB$7,$L28&gt;BB$7),0,AND($K28&lt;=BB$7,$L28&lt;=BB$7),1,AND($K28&lt;=BB$7,$L28&gt;BB$7),((BB$7-$K28)/($L28-$K28)))</f>
        <v>#REF!</v>
      </c>
      <c r="BD28" s="201" t="e">
        <f t="array" ref="BD28">_xlfn.IFS(AND($K28&gt;BC$7,$L28&gt;BC$7),0,AND($K28&lt;=BC$7,$L28&lt;=BC$7),1,AND($K28&lt;=BC$7,$L28&gt;BC$7),((BC$7-$K28)/($L28-$K28)))</f>
        <v>#REF!</v>
      </c>
      <c r="BE28" s="201" t="e">
        <f t="array" ref="BE28">_xlfn.IFS(AND($K28&gt;BD$7,$L28&gt;BD$7),0,AND($K28&lt;=BD$7,$L28&lt;=BD$7),1,AND($K28&lt;=BD$7,$L28&gt;BD$7),((BD$7-$K28)/($L28-$K28)))</f>
        <v>#REF!</v>
      </c>
      <c r="BF28" s="201" t="e">
        <f t="array" ref="BF28">_xlfn.IFS(AND($K28&gt;BE$7,$L28&gt;BE$7),0,AND($K28&lt;=BE$7,$L28&lt;=BE$7),1,AND($K28&lt;=BE$7,$L28&gt;BE$7),((BE$7-$K28)/($L28-$K28)))</f>
        <v>#REF!</v>
      </c>
      <c r="BG28" s="201" t="e">
        <f t="array" ref="BG28">_xlfn.IFS(AND($K28&gt;BF$7,$L28&gt;BF$7),0,AND($K28&lt;=BF$7,$L28&lt;=BF$7),1,AND($K28&lt;=BF$7,$L28&gt;BF$7),((BF$7-$K28)/($L28-$K28)))</f>
        <v>#REF!</v>
      </c>
      <c r="BH28" s="201" t="e">
        <f t="array" ref="BH28">_xlfn.IFS(AND($K28&gt;BG$7,$L28&gt;BG$7),0,AND($K28&lt;=BG$7,$L28&lt;=BG$7),1,AND($K28&lt;=BG$7,$L28&gt;BG$7),((BG$7-$K28)/($L28-$K28)))</f>
        <v>#REF!</v>
      </c>
      <c r="BI28" s="201" t="e">
        <f t="array" ref="BI28">_xlfn.IFS(AND($K28&gt;BH$7,$L28&gt;BH$7),0,AND($K28&lt;=BH$7,$L28&lt;=BH$7),1,AND($K28&lt;=BH$7,$L28&gt;BH$7),((BH$7-$K28)/($L28-$K28)))</f>
        <v>#REF!</v>
      </c>
      <c r="BJ28" s="201" t="e">
        <f t="array" ref="BJ28">_xlfn.IFS(AND($K28&gt;BI$7,$L28&gt;BI$7),0,AND($K28&lt;=BI$7,$L28&lt;=BI$7),1,AND($K28&lt;=BI$7,$L28&gt;BI$7),((BI$7-$K28)/($L28-$K28)))</f>
        <v>#REF!</v>
      </c>
      <c r="BK28" s="201" t="e">
        <f t="array" ref="BK28">_xlfn.IFS(AND($K28&gt;BJ$7,$L28&gt;BJ$7),0,AND($K28&lt;=BJ$7,$L28&lt;=BJ$7),1,AND($K28&lt;=BJ$7,$L28&gt;BJ$7),((BJ$7-$K28)/($L28-$K28)))</f>
        <v>#REF!</v>
      </c>
      <c r="BL28" s="201" t="e">
        <f t="array" ref="BL28">_xlfn.IFS(AND($K28&gt;BK$7,$L28&gt;BK$7),0,AND($K28&lt;=BK$7,$L28&lt;=BK$7),1,AND($K28&lt;=BK$7,$L28&gt;BK$7),((BK$7-$K28)/($L28-$K28)))</f>
        <v>#REF!</v>
      </c>
      <c r="BM28" s="201" t="e">
        <f t="array" ref="BM28">_xlfn.IFS(AND($K28&gt;BL$7,$L28&gt;BL$7),0,AND($K28&lt;=BL$7,$L28&lt;=BL$7),1,AND($K28&lt;=BL$7,$L28&gt;BL$7),((BL$7-$K28)/($L28-$K28)))</f>
        <v>#REF!</v>
      </c>
      <c r="BN28" s="201" t="e">
        <f t="array" ref="BN28">_xlfn.IFS(AND($K28&gt;BM$7,$L28&gt;BM$7),0,AND($K28&lt;=BM$7,$L28&lt;=BM$7),1,AND($K28&lt;=BM$7,$L28&gt;BM$7),((BM$7-$K28)/($L28-$K28)))</f>
        <v>#REF!</v>
      </c>
    </row>
    <row r="29" spans="2:66" ht="15" customHeight="1" x14ac:dyDescent="0.3">
      <c r="B29" s="210" t="str">
        <f t="array" ref="B29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29" s="166" t="s">
        <v>106</v>
      </c>
      <c r="D29" s="177" t="str">
        <f t="shared" si="2"/>
        <v>Arquitetura de projetos GERDAU</v>
      </c>
      <c r="E29" s="170" t="str">
        <f t="shared" si="12"/>
        <v>Definição da Estratégia para Transformação dos Processos</v>
      </c>
      <c r="F29" s="174" t="str">
        <f t="shared" si="23"/>
        <v>Entendimento Inicial dos Processos</v>
      </c>
      <c r="G29" s="166" t="str">
        <f t="shared" si="25"/>
        <v>Levantamento e categorização dos processos existentes</v>
      </c>
      <c r="H29" s="197" t="s">
        <v>107</v>
      </c>
      <c r="I29" s="166">
        <v>45714</v>
      </c>
      <c r="J29" s="40">
        <v>45714</v>
      </c>
      <c r="K29" s="166">
        <v>45714</v>
      </c>
      <c r="L29" s="40">
        <v>45714</v>
      </c>
      <c r="M29" s="167"/>
      <c r="N29" s="167" t="str">
        <f t="array" ref="N29">_xlfn.IFS(L29&lt;$M$3,"Concluído",AND(K29&gt;=$M$3,I29&lt;$M$3,L29&gt;$M$3),"Em andamento",AND(L29&gt;=$M$3,J29&lt;$M$3),"Atrasado",AND(L29&gt;=$M$3,J29&gt;=$M$3,I29&gt;$M$3,K29&lt;=$M$3),"Em andamento",AND(L29&gt;=$M$3,J29&gt;=$M$3,I29&lt;=$M$3,K29&lt;=$M$3),"Em andamento",AND(K29&gt;$M$3,I29&gt;$M$3),"Não iniciado",AND(L29&gt;=$M$3,J29&gt;=$M$3,K29&gt;=$M$3,I29&lt;$M$3),"Atrasado",AND(L29&gt;=$M$3,J29&gt;=$M$3,K29&gt;=$M$3,I29&gt;$M$3),"Não iniciado",AND($I29&lt;=$M$3,$K29&gt;$M$3),"Atrasado")</f>
        <v>Concluído</v>
      </c>
      <c r="O29" s="167">
        <f t="array" ref="O29">_xlfn.IFS(N29="Não iniciado",0,N29="Em andamento",1,N29="Concluído",2,N29="Atrasado",3)</f>
        <v>2</v>
      </c>
      <c r="P29" s="169"/>
      <c r="Q29" s="152">
        <f t="array" aca="1" ref="Q29" ca="1">_xlfn.IFS(AND($I29&lt;$N$3,$J29&lt;$N$3),1,AND($I29&lt;=$N$3,$J29&gt;=$N$3),0.5,AND($I29&gt;=$N$3,$J29&gt;=$N$3),0)</f>
        <v>1</v>
      </c>
      <c r="R29" s="152">
        <f t="array" aca="1" ref="R29" ca="1">_xlfn.IFS(AND($K29&lt;$N$3,$L29&lt;$N$3),1,AND($K29&lt;=$N$3,$L29&gt;=$N$3),0.5,AND($K29&gt;=$N$3,$L29&gt;=$N$3),0)</f>
        <v>1</v>
      </c>
      <c r="S29" s="201" t="e">
        <f t="array" ref="S29">_xlfn.IFS(AND($K29&gt;R$7,$L29&gt;R$7),0,AND($K29&lt;=R$7,$L29&lt;=R$7),1,AND($K29&lt;=R$7,$L29&gt;R$7),((R$7-$K29)/($L29-$K29)))</f>
        <v>#REF!</v>
      </c>
      <c r="T29" s="201" t="e">
        <f t="array" ref="T29">_xlfn.IFS(AND($K29&gt;S$7,$L29&gt;S$7),0,AND($K29&lt;=S$7,$L29&lt;=S$7),1,AND($K29&lt;=S$7,$L29&gt;S$7),((S$7-$K29)/($L29-$K29)))</f>
        <v>#REF!</v>
      </c>
      <c r="U29" s="201" t="e">
        <f t="array" ref="U29">_xlfn.IFS(AND($K29&gt;T$7,$L29&gt;T$7),0,AND($K29&lt;=T$7,$L29&lt;=T$7),1,AND($K29&lt;=T$7,$L29&gt;T$7),((T$7-$K29)/($L29-$K29)))</f>
        <v>#REF!</v>
      </c>
      <c r="V29" s="201" t="e">
        <f t="array" ref="V29">_xlfn.IFS(AND($K29&gt;U$7,$L29&gt;U$7),0,AND($K29&lt;=U$7,$L29&lt;=U$7),1,AND($K29&lt;=U$7,$L29&gt;U$7),((U$7-$K29)/($L29-$K29)))</f>
        <v>#REF!</v>
      </c>
      <c r="W29" s="201" t="e">
        <f t="array" ref="W29">_xlfn.IFS(AND($K29&gt;V$7,$L29&gt;V$7),0,AND($K29&lt;=V$7,$L29&lt;=V$7),1,AND($K29&lt;=V$7,$L29&gt;V$7),((V$7-$K29)/($L29-$K29)))</f>
        <v>#REF!</v>
      </c>
      <c r="X29" s="201" t="e">
        <f t="array" ref="X29">_xlfn.IFS(AND($K29&gt;W$7,$L29&gt;W$7),0,AND($K29&lt;=W$7,$L29&lt;=W$7),1,AND($K29&lt;=W$7,$L29&gt;W$7),((W$7-$K29)/($L29-$K29)))</f>
        <v>#REF!</v>
      </c>
      <c r="Y29" s="201" t="e">
        <f t="array" ref="Y29">_xlfn.IFS(AND($K29&gt;X$7,$L29&gt;X$7),0,AND($K29&lt;=X$7,$L29&lt;=X$7),1,AND($K29&lt;=X$7,$L29&gt;X$7),((X$7-$K29)/($L29-$K29)))</f>
        <v>#REF!</v>
      </c>
      <c r="Z29" s="201" t="e">
        <f t="array" ref="Z29">_xlfn.IFS(AND($K29&gt;Y$7,$L29&gt;Y$7),0,AND($K29&lt;=Y$7,$L29&lt;=Y$7),1,AND($K29&lt;=Y$7,$L29&gt;Y$7),((Y$7-$K29)/($L29-$K29)))</f>
        <v>#REF!</v>
      </c>
      <c r="AA29" s="201" t="e">
        <f t="array" ref="AA29">_xlfn.IFS(AND($K29&gt;Z$7,$L29&gt;Z$7),0,AND($K29&lt;=Z$7,$L29&lt;=Z$7),1,AND($K29&lt;=Z$7,$L29&gt;Z$7),((Z$7-$K29)/($L29-$K29)))</f>
        <v>#REF!</v>
      </c>
      <c r="AB29" s="201" t="e">
        <f t="array" ref="AB29">_xlfn.IFS(AND($K29&gt;AA$7,$L29&gt;AA$7),0,AND($K29&lt;=AA$7,$L29&lt;=AA$7),1,AND($K29&lt;=AA$7,$L29&gt;AA$7),((AA$7-$K29)/($L29-$K29)))</f>
        <v>#REF!</v>
      </c>
      <c r="AC29" s="201" t="e">
        <f t="array" ref="AC29">_xlfn.IFS(AND($K29&gt;AB$7,$L29&gt;AB$7),0,AND($K29&lt;=AB$7,$L29&lt;=AB$7),1,AND($K29&lt;=AB$7,$L29&gt;AB$7),((AB$7-$K29)/($L29-$K29)))</f>
        <v>#REF!</v>
      </c>
      <c r="AD29" s="201" t="e">
        <f t="array" ref="AD29">_xlfn.IFS(AND($K29&gt;AC$7,$L29&gt;AC$7),0,AND($K29&lt;=AC$7,$L29&lt;=AC$7),1,AND($K29&lt;=AC$7,$L29&gt;AC$7),((AC$7-$K29)/($L29-$K29)))</f>
        <v>#REF!</v>
      </c>
      <c r="AE29" s="201" t="e">
        <f t="array" ref="AE29">_xlfn.IFS(AND($K29&gt;AD$7,$L29&gt;AD$7),0,AND($K29&lt;=AD$7,$L29&lt;=AD$7),1,AND($K29&lt;=AD$7,$L29&gt;AD$7),((AD$7-$K29)/($L29-$K29)))</f>
        <v>#REF!</v>
      </c>
      <c r="AF29" s="201" t="e">
        <f t="array" ref="AF29">_xlfn.IFS(AND($K29&gt;AE$7,$L29&gt;AE$7),0,AND($K29&lt;=AE$7,$L29&lt;=AE$7),1,AND($K29&lt;=AE$7,$L29&gt;AE$7),((AE$7-$K29)/($L29-$K29)))</f>
        <v>#REF!</v>
      </c>
      <c r="AG29" s="201" t="e">
        <f t="array" ref="AG29">_xlfn.IFS(AND($K29&gt;AF$7,$L29&gt;AF$7),0,AND($K29&lt;=AF$7,$L29&lt;=AF$7),1,AND($K29&lt;=AF$7,$L29&gt;AF$7),((AF$7-$K29)/($L29-$K29)))</f>
        <v>#REF!</v>
      </c>
      <c r="AH29" s="201" t="e">
        <f t="array" ref="AH29">_xlfn.IFS(AND($K29&gt;AG$7,$L29&gt;AG$7),0,AND($K29&lt;=AG$7,$L29&lt;=AG$7),1,AND($K29&lt;=AG$7,$L29&gt;AG$7),((AG$7-$K29)/($L29-$K29)))</f>
        <v>#REF!</v>
      </c>
      <c r="AI29" s="201" t="e">
        <f t="array" ref="AI29">_xlfn.IFS(AND($K29&gt;AH$7,$L29&gt;AH$7),0,AND($K29&lt;=AH$7,$L29&lt;=AH$7),1,AND($K29&lt;=AH$7,$L29&gt;AH$7),((AH$7-$K29)/($L29-$K29)))</f>
        <v>#REF!</v>
      </c>
      <c r="AJ29" s="201" t="e">
        <f t="array" ref="AJ29">_xlfn.IFS(AND($K29&gt;AI$7,$L29&gt;AI$7),0,AND($K29&lt;=AI$7,$L29&lt;=AI$7),1,AND($K29&lt;=AI$7,$L29&gt;AI$7),((AI$7-$K29)/($L29-$K29)))</f>
        <v>#REF!</v>
      </c>
      <c r="AK29" s="201" t="e">
        <f t="array" ref="AK29">_xlfn.IFS(AND($K29&gt;AJ$7,$L29&gt;AJ$7),0,AND($K29&lt;=AJ$7,$L29&lt;=AJ$7),1,AND($K29&lt;=AJ$7,$L29&gt;AJ$7),((AJ$7-$K29)/($L29-$K29)))</f>
        <v>#REF!</v>
      </c>
      <c r="AL29" s="201" t="e">
        <f t="array" ref="AL29">_xlfn.IFS(AND($K29&gt;AK$7,$L29&gt;AK$7),0,AND($K29&lt;=AK$7,$L29&lt;=AK$7),1,AND($K29&lt;=AK$7,$L29&gt;AK$7),((AK$7-$K29)/($L29-$K29)))</f>
        <v>#REF!</v>
      </c>
      <c r="AM29" s="201" t="e">
        <f t="array" ref="AM29">_xlfn.IFS(AND($K29&gt;AL$7,$L29&gt;AL$7),0,AND($K29&lt;=AL$7,$L29&lt;=AL$7),1,AND($K29&lt;=AL$7,$L29&gt;AL$7),((AL$7-$K29)/($L29-$K29)))</f>
        <v>#REF!</v>
      </c>
      <c r="AN29" s="201" t="e">
        <f t="array" ref="AN29">_xlfn.IFS(AND($K29&gt;AM$7,$L29&gt;AM$7),0,AND($K29&lt;=AM$7,$L29&lt;=AM$7),1,AND($K29&lt;=AM$7,$L29&gt;AM$7),((AM$7-$K29)/($L29-$K29)))</f>
        <v>#REF!</v>
      </c>
      <c r="AO29" s="201" t="e">
        <f t="array" ref="AO29">_xlfn.IFS(AND($K29&gt;AN$7,$L29&gt;AN$7),0,AND($K29&lt;=AN$7,$L29&lt;=AN$7),1,AND($K29&lt;=AN$7,$L29&gt;AN$7),((AN$7-$K29)/($L29-$K29)))</f>
        <v>#REF!</v>
      </c>
      <c r="AP29" s="201" t="e">
        <f t="array" ref="AP29">_xlfn.IFS(AND($K29&gt;AO$7,$L29&gt;AO$7),0,AND($K29&lt;=AO$7,$L29&lt;=AO$7),1,AND($K29&lt;=AO$7,$L29&gt;AO$7),((AO$7-$K29)/($L29-$K29)))</f>
        <v>#REF!</v>
      </c>
      <c r="AQ29" s="201" t="e">
        <f t="array" ref="AQ29">_xlfn.IFS(AND($K29&gt;AP$7,$L29&gt;AP$7),0,AND($K29&lt;=AP$7,$L29&lt;=AP$7),1,AND($K29&lt;=AP$7,$L29&gt;AP$7),((AP$7-$K29)/($L29-$K29)))</f>
        <v>#REF!</v>
      </c>
      <c r="AR29" s="201" t="e">
        <f t="array" ref="AR29">_xlfn.IFS(AND($K29&gt;AQ$7,$L29&gt;AQ$7),0,AND($K29&lt;=AQ$7,$L29&lt;=AQ$7),1,AND($K29&lt;=AQ$7,$L29&gt;AQ$7),((AQ$7-$K29)/($L29-$K29)))</f>
        <v>#REF!</v>
      </c>
      <c r="AS29" s="201" t="e">
        <f t="array" ref="AS29">_xlfn.IFS(AND($K29&gt;AR$7,$L29&gt;AR$7),0,AND($K29&lt;=AR$7,$L29&lt;=AR$7),1,AND($K29&lt;=AR$7,$L29&gt;AR$7),((AR$7-$K29)/($L29-$K29)))</f>
        <v>#REF!</v>
      </c>
      <c r="AT29" s="201" t="e">
        <f t="array" ref="AT29">_xlfn.IFS(AND($K29&gt;AS$7,$L29&gt;AS$7),0,AND($K29&lt;=AS$7,$L29&lt;=AS$7),1,AND($K29&lt;=AS$7,$L29&gt;AS$7),((AS$7-$K29)/($L29-$K29)))</f>
        <v>#REF!</v>
      </c>
      <c r="AU29" s="201" t="e">
        <f t="array" ref="AU29">_xlfn.IFS(AND($K29&gt;AT$7,$L29&gt;AT$7),0,AND($K29&lt;=AT$7,$L29&lt;=AT$7),1,AND($K29&lt;=AT$7,$L29&gt;AT$7),((AT$7-$K29)/($L29-$K29)))</f>
        <v>#REF!</v>
      </c>
      <c r="AV29" s="201" t="e">
        <f t="array" ref="AV29">_xlfn.IFS(AND($K29&gt;AU$7,$L29&gt;AU$7),0,AND($K29&lt;=AU$7,$L29&lt;=AU$7),1,AND($K29&lt;=AU$7,$L29&gt;AU$7),((AU$7-$K29)/($L29-$K29)))</f>
        <v>#REF!</v>
      </c>
      <c r="AW29" s="201" t="e">
        <f t="array" ref="AW29">_xlfn.IFS(AND($K29&gt;AV$7,$L29&gt;AV$7),0,AND($K29&lt;=AV$7,$L29&lt;=AV$7),1,AND($K29&lt;=AV$7,$L29&gt;AV$7),((AV$7-$K29)/($L29-$K29)))</f>
        <v>#REF!</v>
      </c>
      <c r="AX29" s="201" t="e">
        <f t="array" ref="AX29">_xlfn.IFS(AND($K29&gt;AW$7,$L29&gt;AW$7),0,AND($K29&lt;=AW$7,$L29&lt;=AW$7),1,AND($K29&lt;=AW$7,$L29&gt;AW$7),((AW$7-$K29)/($L29-$K29)))</f>
        <v>#REF!</v>
      </c>
      <c r="AY29" s="201" t="e">
        <f t="array" ref="AY29">_xlfn.IFS(AND($K29&gt;AX$7,$L29&gt;AX$7),0,AND($K29&lt;=AX$7,$L29&lt;=AX$7),1,AND($K29&lt;=AX$7,$L29&gt;AX$7),((AX$7-$K29)/($L29-$K29)))</f>
        <v>#REF!</v>
      </c>
      <c r="AZ29" s="201" t="e">
        <f t="array" ref="AZ29">_xlfn.IFS(AND($K29&gt;AY$7,$L29&gt;AY$7),0,AND($K29&lt;=AY$7,$L29&lt;=AY$7),1,AND($K29&lt;=AY$7,$L29&gt;AY$7),((AY$7-$K29)/($L29-$K29)))</f>
        <v>#REF!</v>
      </c>
      <c r="BA29" s="201" t="e">
        <f t="array" ref="BA29">_xlfn.IFS(AND($K29&gt;AZ$7,$L29&gt;AZ$7),0,AND($K29&lt;=AZ$7,$L29&lt;=AZ$7),1,AND($K29&lt;=AZ$7,$L29&gt;AZ$7),((AZ$7-$K29)/($L29-$K29)))</f>
        <v>#REF!</v>
      </c>
      <c r="BB29" s="201" t="e">
        <f t="array" ref="BB29">_xlfn.IFS(AND($K29&gt;BA$7,$L29&gt;BA$7),0,AND($K29&lt;=BA$7,$L29&lt;=BA$7),1,AND($K29&lt;=BA$7,$L29&gt;BA$7),((BA$7-$K29)/($L29-$K29)))</f>
        <v>#REF!</v>
      </c>
      <c r="BC29" s="201" t="e">
        <f t="array" ref="BC29">_xlfn.IFS(AND($K29&gt;BB$7,$L29&gt;BB$7),0,AND($K29&lt;=BB$7,$L29&lt;=BB$7),1,AND($K29&lt;=BB$7,$L29&gt;BB$7),((BB$7-$K29)/($L29-$K29)))</f>
        <v>#REF!</v>
      </c>
      <c r="BD29" s="201" t="e">
        <f t="array" ref="BD29">_xlfn.IFS(AND($K29&gt;BC$7,$L29&gt;BC$7),0,AND($K29&lt;=BC$7,$L29&lt;=BC$7),1,AND($K29&lt;=BC$7,$L29&gt;BC$7),((BC$7-$K29)/($L29-$K29)))</f>
        <v>#REF!</v>
      </c>
      <c r="BE29" s="201" t="e">
        <f t="array" ref="BE29">_xlfn.IFS(AND($K29&gt;BD$7,$L29&gt;BD$7),0,AND($K29&lt;=BD$7,$L29&lt;=BD$7),1,AND($K29&lt;=BD$7,$L29&gt;BD$7),((BD$7-$K29)/($L29-$K29)))</f>
        <v>#REF!</v>
      </c>
      <c r="BF29" s="201" t="e">
        <f t="array" ref="BF29">_xlfn.IFS(AND($K29&gt;BE$7,$L29&gt;BE$7),0,AND($K29&lt;=BE$7,$L29&lt;=BE$7),1,AND($K29&lt;=BE$7,$L29&gt;BE$7),((BE$7-$K29)/($L29-$K29)))</f>
        <v>#REF!</v>
      </c>
      <c r="BG29" s="201" t="e">
        <f t="array" ref="BG29">_xlfn.IFS(AND($K29&gt;BF$7,$L29&gt;BF$7),0,AND($K29&lt;=BF$7,$L29&lt;=BF$7),1,AND($K29&lt;=BF$7,$L29&gt;BF$7),((BF$7-$K29)/($L29-$K29)))</f>
        <v>#REF!</v>
      </c>
      <c r="BH29" s="201" t="e">
        <f t="array" ref="BH29">_xlfn.IFS(AND($K29&gt;BG$7,$L29&gt;BG$7),0,AND($K29&lt;=BG$7,$L29&lt;=BG$7),1,AND($K29&lt;=BG$7,$L29&gt;BG$7),((BG$7-$K29)/($L29-$K29)))</f>
        <v>#REF!</v>
      </c>
      <c r="BI29" s="201" t="e">
        <f t="array" ref="BI29">_xlfn.IFS(AND($K29&gt;BH$7,$L29&gt;BH$7),0,AND($K29&lt;=BH$7,$L29&lt;=BH$7),1,AND($K29&lt;=BH$7,$L29&gt;BH$7),((BH$7-$K29)/($L29-$K29)))</f>
        <v>#REF!</v>
      </c>
      <c r="BJ29" s="201" t="e">
        <f t="array" ref="BJ29">_xlfn.IFS(AND($K29&gt;BI$7,$L29&gt;BI$7),0,AND($K29&lt;=BI$7,$L29&lt;=BI$7),1,AND($K29&lt;=BI$7,$L29&gt;BI$7),((BI$7-$K29)/($L29-$K29)))</f>
        <v>#REF!</v>
      </c>
      <c r="BK29" s="201" t="e">
        <f t="array" ref="BK29">_xlfn.IFS(AND($K29&gt;BJ$7,$L29&gt;BJ$7),0,AND($K29&lt;=BJ$7,$L29&lt;=BJ$7),1,AND($K29&lt;=BJ$7,$L29&gt;BJ$7),((BJ$7-$K29)/($L29-$K29)))</f>
        <v>#REF!</v>
      </c>
      <c r="BL29" s="201" t="e">
        <f t="array" ref="BL29">_xlfn.IFS(AND($K29&gt;BK$7,$L29&gt;BK$7),0,AND($K29&lt;=BK$7,$L29&lt;=BK$7),1,AND($K29&lt;=BK$7,$L29&gt;BK$7),((BK$7-$K29)/($L29-$K29)))</f>
        <v>#REF!</v>
      </c>
      <c r="BM29" s="201" t="e">
        <f t="array" ref="BM29">_xlfn.IFS(AND($K29&gt;BL$7,$L29&gt;BL$7),0,AND($K29&lt;=BL$7,$L29&lt;=BL$7),1,AND($K29&lt;=BL$7,$L29&gt;BL$7),((BL$7-$K29)/($L29-$K29)))</f>
        <v>#REF!</v>
      </c>
      <c r="BN29" s="201" t="e">
        <f t="array" ref="BN29">_xlfn.IFS(AND($K29&gt;BM$7,$L29&gt;BM$7),0,AND($K29&lt;=BM$7,$L29&lt;=BM$7),1,AND($K29&lt;=BM$7,$L29&gt;BM$7),((BM$7-$K29)/($L29-$K29)))</f>
        <v>#REF!</v>
      </c>
    </row>
    <row r="30" spans="2:66" s="163" customFormat="1" ht="15" customHeight="1" collapsed="1" x14ac:dyDescent="0.3">
      <c r="B30" s="210" t="str">
        <f t="array" ref="B30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30" s="166" t="s">
        <v>108</v>
      </c>
      <c r="D30" s="177" t="str">
        <f t="shared" si="2"/>
        <v>Arquitetura de projetos GERDAU</v>
      </c>
      <c r="E30" s="170" t="str">
        <f t="shared" si="12"/>
        <v>Definição da Estratégia para Transformação dos Processos</v>
      </c>
      <c r="F30" s="174" t="str">
        <f t="shared" si="23"/>
        <v>Entendimento Inicial dos Processos</v>
      </c>
      <c r="G30" s="166" t="str">
        <f t="shared" si="25"/>
        <v>Levantamento e categorização dos processos existentes</v>
      </c>
      <c r="H30" s="197" t="s">
        <v>109</v>
      </c>
      <c r="I30" s="166">
        <v>45715</v>
      </c>
      <c r="J30" s="40">
        <v>45715</v>
      </c>
      <c r="K30" s="166">
        <v>45715</v>
      </c>
      <c r="L30" s="40">
        <v>45715</v>
      </c>
      <c r="M30" s="167"/>
      <c r="N30" s="167" t="str">
        <f t="array" ref="N30">_xlfn.IFS(L30&lt;$M$3,"Concluído",AND(K30&gt;=$M$3,I30&lt;$M$3,L30&gt;$M$3),"Em andamento",AND(L30&gt;=$M$3,J30&lt;$M$3),"Atrasado",AND(L30&gt;=$M$3,J30&gt;=$M$3,I30&gt;$M$3,K30&lt;=$M$3),"Em andamento",AND(L30&gt;=$M$3,J30&gt;=$M$3,I30&lt;=$M$3,K30&lt;=$M$3),"Em andamento",AND(K30&gt;$M$3,I30&gt;$M$3),"Não iniciado",AND(L30&gt;=$M$3,J30&gt;=$M$3,K30&gt;=$M$3,I30&lt;$M$3),"Atrasado",AND(L30&gt;=$M$3,J30&gt;=$M$3,K30&gt;=$M$3,I30&gt;$M$3),"Não iniciado",AND($I30&lt;=$M$3,$K30&gt;$M$3),"Atrasado")</f>
        <v>Concluído</v>
      </c>
      <c r="O30" s="167">
        <f t="array" ref="O30">_xlfn.IFS(N30="Não iniciado",0,N30="Em andamento",1,N30="Concluído",2,N30="Atrasado",3)</f>
        <v>2</v>
      </c>
      <c r="P30" s="169"/>
      <c r="Q30" s="152">
        <f t="array" aca="1" ref="Q30" ca="1">_xlfn.IFS(AND($I30&lt;$N$3,$J30&lt;$N$3),1,AND($I30&lt;=$N$3,$J30&gt;=$N$3),0.5,AND($I30&gt;=$N$3,$J30&gt;=$N$3),0)</f>
        <v>1</v>
      </c>
      <c r="R30" s="152">
        <f t="array" aca="1" ref="R30" ca="1">_xlfn.IFS(AND($K30&lt;$N$3,$L30&lt;$N$3),1,AND($K30&lt;=$N$3,$L30&gt;=$N$3),0.5,AND($K30&gt;=$N$3,$L30&gt;=$N$3),0)</f>
        <v>1</v>
      </c>
      <c r="S30" s="201" t="e">
        <f t="array" ref="S30">_xlfn.IFS(AND($K30&gt;R$7,$L30&gt;R$7),0,AND($K30&lt;=R$7,$L30&lt;=R$7),1,AND($K30&lt;=R$7,$L30&gt;R$7),((R$7-$K30)/($L30-$K30)))</f>
        <v>#REF!</v>
      </c>
      <c r="T30" s="201" t="e">
        <f t="array" ref="T30">_xlfn.IFS(AND($K30&gt;S$7,$L30&gt;S$7),0,AND($K30&lt;=S$7,$L30&lt;=S$7),1,AND($K30&lt;=S$7,$L30&gt;S$7),((S$7-$K30)/($L30-$K30)))</f>
        <v>#REF!</v>
      </c>
      <c r="U30" s="201" t="e">
        <f t="array" ref="U30">_xlfn.IFS(AND($K30&gt;T$7,$L30&gt;T$7),0,AND($K30&lt;=T$7,$L30&lt;=T$7),1,AND($K30&lt;=T$7,$L30&gt;T$7),((T$7-$K30)/($L30-$K30)))</f>
        <v>#REF!</v>
      </c>
      <c r="V30" s="201" t="e">
        <f t="array" ref="V30">_xlfn.IFS(AND($K30&gt;U$7,$L30&gt;U$7),0,AND($K30&lt;=U$7,$L30&lt;=U$7),1,AND($K30&lt;=U$7,$L30&gt;U$7),((U$7-$K30)/($L30-$K30)))</f>
        <v>#REF!</v>
      </c>
      <c r="W30" s="201" t="e">
        <f t="array" ref="W30">_xlfn.IFS(AND($K30&gt;V$7,$L30&gt;V$7),0,AND($K30&lt;=V$7,$L30&lt;=V$7),1,AND($K30&lt;=V$7,$L30&gt;V$7),((V$7-$K30)/($L30-$K30)))</f>
        <v>#REF!</v>
      </c>
      <c r="X30" s="201" t="e">
        <f t="array" ref="X30">_xlfn.IFS(AND($K30&gt;W$7,$L30&gt;W$7),0,AND($K30&lt;=W$7,$L30&lt;=W$7),1,AND($K30&lt;=W$7,$L30&gt;W$7),((W$7-$K30)/($L30-$K30)))</f>
        <v>#REF!</v>
      </c>
      <c r="Y30" s="201" t="e">
        <f t="array" ref="Y30">_xlfn.IFS(AND($K30&gt;X$7,$L30&gt;X$7),0,AND($K30&lt;=X$7,$L30&lt;=X$7),1,AND($K30&lt;=X$7,$L30&gt;X$7),((X$7-$K30)/($L30-$K30)))</f>
        <v>#REF!</v>
      </c>
      <c r="Z30" s="201" t="e">
        <f t="array" ref="Z30">_xlfn.IFS(AND($K30&gt;Y$7,$L30&gt;Y$7),0,AND($K30&lt;=Y$7,$L30&lt;=Y$7),1,AND($K30&lt;=Y$7,$L30&gt;Y$7),((Y$7-$K30)/($L30-$K30)))</f>
        <v>#REF!</v>
      </c>
      <c r="AA30" s="201" t="e">
        <f t="array" ref="AA30">_xlfn.IFS(AND($K30&gt;Z$7,$L30&gt;Z$7),0,AND($K30&lt;=Z$7,$L30&lt;=Z$7),1,AND($K30&lt;=Z$7,$L30&gt;Z$7),((Z$7-$K30)/($L30-$K30)))</f>
        <v>#REF!</v>
      </c>
      <c r="AB30" s="201" t="e">
        <f t="array" ref="AB30">_xlfn.IFS(AND($K30&gt;AA$7,$L30&gt;AA$7),0,AND($K30&lt;=AA$7,$L30&lt;=AA$7),1,AND($K30&lt;=AA$7,$L30&gt;AA$7),((AA$7-$K30)/($L30-$K30)))</f>
        <v>#REF!</v>
      </c>
      <c r="AC30" s="201" t="e">
        <f t="array" ref="AC30">_xlfn.IFS(AND($K30&gt;AB$7,$L30&gt;AB$7),0,AND($K30&lt;=AB$7,$L30&lt;=AB$7),1,AND($K30&lt;=AB$7,$L30&gt;AB$7),((AB$7-$K30)/($L30-$K30)))</f>
        <v>#REF!</v>
      </c>
      <c r="AD30" s="201" t="e">
        <f t="array" ref="AD30">_xlfn.IFS(AND($K30&gt;AC$7,$L30&gt;AC$7),0,AND($K30&lt;=AC$7,$L30&lt;=AC$7),1,AND($K30&lt;=AC$7,$L30&gt;AC$7),((AC$7-$K30)/($L30-$K30)))</f>
        <v>#REF!</v>
      </c>
      <c r="AE30" s="201" t="e">
        <f t="array" ref="AE30">_xlfn.IFS(AND($K30&gt;AD$7,$L30&gt;AD$7),0,AND($K30&lt;=AD$7,$L30&lt;=AD$7),1,AND($K30&lt;=AD$7,$L30&gt;AD$7),((AD$7-$K30)/($L30-$K30)))</f>
        <v>#REF!</v>
      </c>
      <c r="AF30" s="201" t="e">
        <f t="array" ref="AF30">_xlfn.IFS(AND($K30&gt;AE$7,$L30&gt;AE$7),0,AND($K30&lt;=AE$7,$L30&lt;=AE$7),1,AND($K30&lt;=AE$7,$L30&gt;AE$7),((AE$7-$K30)/($L30-$K30)))</f>
        <v>#REF!</v>
      </c>
      <c r="AG30" s="201" t="e">
        <f t="array" ref="AG30">_xlfn.IFS(AND($K30&gt;AF$7,$L30&gt;AF$7),0,AND($K30&lt;=AF$7,$L30&lt;=AF$7),1,AND($K30&lt;=AF$7,$L30&gt;AF$7),((AF$7-$K30)/($L30-$K30)))</f>
        <v>#REF!</v>
      </c>
      <c r="AH30" s="201" t="e">
        <f t="array" ref="AH30">_xlfn.IFS(AND($K30&gt;AG$7,$L30&gt;AG$7),0,AND($K30&lt;=AG$7,$L30&lt;=AG$7),1,AND($K30&lt;=AG$7,$L30&gt;AG$7),((AG$7-$K30)/($L30-$K30)))</f>
        <v>#REF!</v>
      </c>
      <c r="AI30" s="201" t="e">
        <f t="array" ref="AI30">_xlfn.IFS(AND($K30&gt;AH$7,$L30&gt;AH$7),0,AND($K30&lt;=AH$7,$L30&lt;=AH$7),1,AND($K30&lt;=AH$7,$L30&gt;AH$7),((AH$7-$K30)/($L30-$K30)))</f>
        <v>#REF!</v>
      </c>
      <c r="AJ30" s="201" t="e">
        <f t="array" ref="AJ30">_xlfn.IFS(AND($K30&gt;AI$7,$L30&gt;AI$7),0,AND($K30&lt;=AI$7,$L30&lt;=AI$7),1,AND($K30&lt;=AI$7,$L30&gt;AI$7),((AI$7-$K30)/($L30-$K30)))</f>
        <v>#REF!</v>
      </c>
      <c r="AK30" s="201" t="e">
        <f t="array" ref="AK30">_xlfn.IFS(AND($K30&gt;AJ$7,$L30&gt;AJ$7),0,AND($K30&lt;=AJ$7,$L30&lt;=AJ$7),1,AND($K30&lt;=AJ$7,$L30&gt;AJ$7),((AJ$7-$K30)/($L30-$K30)))</f>
        <v>#REF!</v>
      </c>
      <c r="AL30" s="201" t="e">
        <f t="array" ref="AL30">_xlfn.IFS(AND($K30&gt;AK$7,$L30&gt;AK$7),0,AND($K30&lt;=AK$7,$L30&lt;=AK$7),1,AND($K30&lt;=AK$7,$L30&gt;AK$7),((AK$7-$K30)/($L30-$K30)))</f>
        <v>#REF!</v>
      </c>
      <c r="AM30" s="201" t="e">
        <f t="array" ref="AM30">_xlfn.IFS(AND($K30&gt;AL$7,$L30&gt;AL$7),0,AND($K30&lt;=AL$7,$L30&lt;=AL$7),1,AND($K30&lt;=AL$7,$L30&gt;AL$7),((AL$7-$K30)/($L30-$K30)))</f>
        <v>#REF!</v>
      </c>
      <c r="AN30" s="201" t="e">
        <f t="array" ref="AN30">_xlfn.IFS(AND($K30&gt;AM$7,$L30&gt;AM$7),0,AND($K30&lt;=AM$7,$L30&lt;=AM$7),1,AND($K30&lt;=AM$7,$L30&gt;AM$7),((AM$7-$K30)/($L30-$K30)))</f>
        <v>#REF!</v>
      </c>
      <c r="AO30" s="201" t="e">
        <f t="array" ref="AO30">_xlfn.IFS(AND($K30&gt;AN$7,$L30&gt;AN$7),0,AND($K30&lt;=AN$7,$L30&lt;=AN$7),1,AND($K30&lt;=AN$7,$L30&gt;AN$7),((AN$7-$K30)/($L30-$K30)))</f>
        <v>#REF!</v>
      </c>
      <c r="AP30" s="201" t="e">
        <f t="array" ref="AP30">_xlfn.IFS(AND($K30&gt;AO$7,$L30&gt;AO$7),0,AND($K30&lt;=AO$7,$L30&lt;=AO$7),1,AND($K30&lt;=AO$7,$L30&gt;AO$7),((AO$7-$K30)/($L30-$K30)))</f>
        <v>#REF!</v>
      </c>
      <c r="AQ30" s="201" t="e">
        <f t="array" ref="AQ30">_xlfn.IFS(AND($K30&gt;AP$7,$L30&gt;AP$7),0,AND($K30&lt;=AP$7,$L30&lt;=AP$7),1,AND($K30&lt;=AP$7,$L30&gt;AP$7),((AP$7-$K30)/($L30-$K30)))</f>
        <v>#REF!</v>
      </c>
      <c r="AR30" s="201" t="e">
        <f t="array" ref="AR30">_xlfn.IFS(AND($K30&gt;AQ$7,$L30&gt;AQ$7),0,AND($K30&lt;=AQ$7,$L30&lt;=AQ$7),1,AND($K30&lt;=AQ$7,$L30&gt;AQ$7),((AQ$7-$K30)/($L30-$K30)))</f>
        <v>#REF!</v>
      </c>
      <c r="AS30" s="201" t="e">
        <f t="array" ref="AS30">_xlfn.IFS(AND($K30&gt;AR$7,$L30&gt;AR$7),0,AND($K30&lt;=AR$7,$L30&lt;=AR$7),1,AND($K30&lt;=AR$7,$L30&gt;AR$7),((AR$7-$K30)/($L30-$K30)))</f>
        <v>#REF!</v>
      </c>
      <c r="AT30" s="201" t="e">
        <f t="array" ref="AT30">_xlfn.IFS(AND($K30&gt;AS$7,$L30&gt;AS$7),0,AND($K30&lt;=AS$7,$L30&lt;=AS$7),1,AND($K30&lt;=AS$7,$L30&gt;AS$7),((AS$7-$K30)/($L30-$K30)))</f>
        <v>#REF!</v>
      </c>
      <c r="AU30" s="201" t="e">
        <f t="array" ref="AU30">_xlfn.IFS(AND($K30&gt;AT$7,$L30&gt;AT$7),0,AND($K30&lt;=AT$7,$L30&lt;=AT$7),1,AND($K30&lt;=AT$7,$L30&gt;AT$7),((AT$7-$K30)/($L30-$K30)))</f>
        <v>#REF!</v>
      </c>
      <c r="AV30" s="201" t="e">
        <f t="array" ref="AV30">_xlfn.IFS(AND($K30&gt;AU$7,$L30&gt;AU$7),0,AND($K30&lt;=AU$7,$L30&lt;=AU$7),1,AND($K30&lt;=AU$7,$L30&gt;AU$7),((AU$7-$K30)/($L30-$K30)))</f>
        <v>#REF!</v>
      </c>
      <c r="AW30" s="201" t="e">
        <f t="array" ref="AW30">_xlfn.IFS(AND($K30&gt;AV$7,$L30&gt;AV$7),0,AND($K30&lt;=AV$7,$L30&lt;=AV$7),1,AND($K30&lt;=AV$7,$L30&gt;AV$7),((AV$7-$K30)/($L30-$K30)))</f>
        <v>#REF!</v>
      </c>
      <c r="AX30" s="201" t="e">
        <f t="array" ref="AX30">_xlfn.IFS(AND($K30&gt;AW$7,$L30&gt;AW$7),0,AND($K30&lt;=AW$7,$L30&lt;=AW$7),1,AND($K30&lt;=AW$7,$L30&gt;AW$7),((AW$7-$K30)/($L30-$K30)))</f>
        <v>#REF!</v>
      </c>
      <c r="AY30" s="201" t="e">
        <f t="array" ref="AY30">_xlfn.IFS(AND($K30&gt;AX$7,$L30&gt;AX$7),0,AND($K30&lt;=AX$7,$L30&lt;=AX$7),1,AND($K30&lt;=AX$7,$L30&gt;AX$7),((AX$7-$K30)/($L30-$K30)))</f>
        <v>#REF!</v>
      </c>
      <c r="AZ30" s="201" t="e">
        <f t="array" ref="AZ30">_xlfn.IFS(AND($K30&gt;AY$7,$L30&gt;AY$7),0,AND($K30&lt;=AY$7,$L30&lt;=AY$7),1,AND($K30&lt;=AY$7,$L30&gt;AY$7),((AY$7-$K30)/($L30-$K30)))</f>
        <v>#REF!</v>
      </c>
      <c r="BA30" s="201" t="e">
        <f t="array" ref="BA30">_xlfn.IFS(AND($K30&gt;AZ$7,$L30&gt;AZ$7),0,AND($K30&lt;=AZ$7,$L30&lt;=AZ$7),1,AND($K30&lt;=AZ$7,$L30&gt;AZ$7),((AZ$7-$K30)/($L30-$K30)))</f>
        <v>#REF!</v>
      </c>
      <c r="BB30" s="201" t="e">
        <f t="array" ref="BB30">_xlfn.IFS(AND($K30&gt;BA$7,$L30&gt;BA$7),0,AND($K30&lt;=BA$7,$L30&lt;=BA$7),1,AND($K30&lt;=BA$7,$L30&gt;BA$7),((BA$7-$K30)/($L30-$K30)))</f>
        <v>#REF!</v>
      </c>
      <c r="BC30" s="201" t="e">
        <f t="array" ref="BC30">_xlfn.IFS(AND($K30&gt;BB$7,$L30&gt;BB$7),0,AND($K30&lt;=BB$7,$L30&lt;=BB$7),1,AND($K30&lt;=BB$7,$L30&gt;BB$7),((BB$7-$K30)/($L30-$K30)))</f>
        <v>#REF!</v>
      </c>
      <c r="BD30" s="201" t="e">
        <f t="array" ref="BD30">_xlfn.IFS(AND($K30&gt;BC$7,$L30&gt;BC$7),0,AND($K30&lt;=BC$7,$L30&lt;=BC$7),1,AND($K30&lt;=BC$7,$L30&gt;BC$7),((BC$7-$K30)/($L30-$K30)))</f>
        <v>#REF!</v>
      </c>
      <c r="BE30" s="201" t="e">
        <f t="array" ref="BE30">_xlfn.IFS(AND($K30&gt;BD$7,$L30&gt;BD$7),0,AND($K30&lt;=BD$7,$L30&lt;=BD$7),1,AND($K30&lt;=BD$7,$L30&gt;BD$7),((BD$7-$K30)/($L30-$K30)))</f>
        <v>#REF!</v>
      </c>
      <c r="BF30" s="201" t="e">
        <f t="array" ref="BF30">_xlfn.IFS(AND($K30&gt;BE$7,$L30&gt;BE$7),0,AND($K30&lt;=BE$7,$L30&lt;=BE$7),1,AND($K30&lt;=BE$7,$L30&gt;BE$7),((BE$7-$K30)/($L30-$K30)))</f>
        <v>#REF!</v>
      </c>
      <c r="BG30" s="201" t="e">
        <f t="array" ref="BG30">_xlfn.IFS(AND($K30&gt;BF$7,$L30&gt;BF$7),0,AND($K30&lt;=BF$7,$L30&lt;=BF$7),1,AND($K30&lt;=BF$7,$L30&gt;BF$7),((BF$7-$K30)/($L30-$K30)))</f>
        <v>#REF!</v>
      </c>
      <c r="BH30" s="201" t="e">
        <f t="array" ref="BH30">_xlfn.IFS(AND($K30&gt;BG$7,$L30&gt;BG$7),0,AND($K30&lt;=BG$7,$L30&lt;=BG$7),1,AND($K30&lt;=BG$7,$L30&gt;BG$7),((BG$7-$K30)/($L30-$K30)))</f>
        <v>#REF!</v>
      </c>
      <c r="BI30" s="201" t="e">
        <f t="array" ref="BI30">_xlfn.IFS(AND($K30&gt;BH$7,$L30&gt;BH$7),0,AND($K30&lt;=BH$7,$L30&lt;=BH$7),1,AND($K30&lt;=BH$7,$L30&gt;BH$7),((BH$7-$K30)/($L30-$K30)))</f>
        <v>#REF!</v>
      </c>
      <c r="BJ30" s="201" t="e">
        <f t="array" ref="BJ30">_xlfn.IFS(AND($K30&gt;BI$7,$L30&gt;BI$7),0,AND($K30&lt;=BI$7,$L30&lt;=BI$7),1,AND($K30&lt;=BI$7,$L30&gt;BI$7),((BI$7-$K30)/($L30-$K30)))</f>
        <v>#REF!</v>
      </c>
      <c r="BK30" s="201" t="e">
        <f t="array" ref="BK30">_xlfn.IFS(AND($K30&gt;BJ$7,$L30&gt;BJ$7),0,AND($K30&lt;=BJ$7,$L30&lt;=BJ$7),1,AND($K30&lt;=BJ$7,$L30&gt;BJ$7),((BJ$7-$K30)/($L30-$K30)))</f>
        <v>#REF!</v>
      </c>
      <c r="BL30" s="201" t="e">
        <f t="array" ref="BL30">_xlfn.IFS(AND($K30&gt;BK$7,$L30&gt;BK$7),0,AND($K30&lt;=BK$7,$L30&lt;=BK$7),1,AND($K30&lt;=BK$7,$L30&gt;BK$7),((BK$7-$K30)/($L30-$K30)))</f>
        <v>#REF!</v>
      </c>
      <c r="BM30" s="201" t="e">
        <f t="array" ref="BM30">_xlfn.IFS(AND($K30&gt;BL$7,$L30&gt;BL$7),0,AND($K30&lt;=BL$7,$L30&lt;=BL$7),1,AND($K30&lt;=BL$7,$L30&gt;BL$7),((BL$7-$K30)/($L30-$K30)))</f>
        <v>#REF!</v>
      </c>
      <c r="BN30" s="201" t="e">
        <f t="array" ref="BN30">_xlfn.IFS(AND($K30&gt;BM$7,$L30&gt;BM$7),0,AND($K30&lt;=BM$7,$L30&lt;=BM$7),1,AND($K30&lt;=BM$7,$L30&gt;BM$7),((BM$7-$K30)/($L30-$K30)))</f>
        <v>#REF!</v>
      </c>
    </row>
    <row r="31" spans="2:66" s="46" customFormat="1" ht="15" customHeight="1" x14ac:dyDescent="0.3">
      <c r="B31" s="210" t="str">
        <f t="array" ref="B31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31" s="166" t="s">
        <v>110</v>
      </c>
      <c r="D31" s="177" t="str">
        <f t="shared" si="2"/>
        <v>Arquitetura de projetos GERDAU</v>
      </c>
      <c r="E31" s="170" t="str">
        <f t="shared" si="12"/>
        <v>Definição da Estratégia para Transformação dos Processos</v>
      </c>
      <c r="F31" s="174" t="str">
        <f t="shared" si="23"/>
        <v>Entendimento Inicial dos Processos</v>
      </c>
      <c r="G31" s="166" t="str">
        <f t="shared" si="25"/>
        <v>Levantamento e categorização dos processos existentes</v>
      </c>
      <c r="H31" s="197" t="s">
        <v>111</v>
      </c>
      <c r="I31" s="166">
        <v>45713</v>
      </c>
      <c r="J31" s="40">
        <v>45713</v>
      </c>
      <c r="K31" s="166">
        <v>45713</v>
      </c>
      <c r="L31" s="40">
        <v>45713</v>
      </c>
      <c r="M31" s="167"/>
      <c r="N31" s="167" t="str">
        <f t="array" ref="N31">_xlfn.IFS(L31&lt;$M$3,"Concluído",AND(K31&gt;=$M$3,I31&lt;$M$3,L31&gt;$M$3),"Em andamento",AND(L31&gt;=$M$3,J31&lt;$M$3),"Atrasado",AND(L31&gt;=$M$3,J31&gt;=$M$3,I31&gt;$M$3,K31&lt;=$M$3),"Em andamento",AND(L31&gt;=$M$3,J31&gt;=$M$3,I31&lt;=$M$3,K31&lt;=$M$3),"Em andamento",AND(K31&gt;$M$3,I31&gt;$M$3),"Não iniciado",AND(L31&gt;=$M$3,J31&gt;=$M$3,K31&gt;=$M$3,I31&lt;$M$3),"Atrasado",AND(L31&gt;=$M$3,J31&gt;=$M$3,K31&gt;=$M$3,I31&gt;$M$3),"Não iniciado",AND($I31&lt;=$M$3,$K31&gt;$M$3),"Atrasado")</f>
        <v>Concluído</v>
      </c>
      <c r="O31" s="167">
        <f t="array" ref="O31">_xlfn.IFS(N31="Não iniciado",0,N31="Em andamento",1,N31="Concluído",2,N31="Atrasado",3)</f>
        <v>2</v>
      </c>
      <c r="P31" s="169"/>
      <c r="Q31" s="152">
        <f t="array" aca="1" ref="Q31" ca="1">_xlfn.IFS(AND($I31&lt;$N$3,$J31&lt;$N$3),1,AND($I31&lt;=$N$3,$J31&gt;=$N$3),0.5,AND($I31&gt;=$N$3,$J31&gt;=$N$3),0)</f>
        <v>1</v>
      </c>
      <c r="R31" s="152">
        <f t="array" aca="1" ref="R31" ca="1">_xlfn.IFS(AND($K31&lt;$N$3,$L31&lt;$N$3),1,AND($K31&lt;=$N$3,$L31&gt;=$N$3),0.5,AND($K31&gt;=$N$3,$L31&gt;=$N$3),0)</f>
        <v>1</v>
      </c>
      <c r="S31" s="201" t="e">
        <f t="array" ref="S31">_xlfn.IFS(AND($K31&gt;R$7,$L31&gt;R$7),0,AND($K31&lt;=R$7,$L31&lt;=R$7),1,AND($K31&lt;=R$7,$L31&gt;R$7),((R$7-$K31)/($L31-$K31)))</f>
        <v>#REF!</v>
      </c>
      <c r="T31" s="201" t="e">
        <f t="array" ref="T31">_xlfn.IFS(AND($K31&gt;S$7,$L31&gt;S$7),0,AND($K31&lt;=S$7,$L31&lt;=S$7),1,AND($K31&lt;=S$7,$L31&gt;S$7),((S$7-$K31)/($L31-$K31)))</f>
        <v>#REF!</v>
      </c>
      <c r="U31" s="201" t="e">
        <f t="array" ref="U31">_xlfn.IFS(AND($K31&gt;T$7,$L31&gt;T$7),0,AND($K31&lt;=T$7,$L31&lt;=T$7),1,AND($K31&lt;=T$7,$L31&gt;T$7),((T$7-$K31)/($L31-$K31)))</f>
        <v>#REF!</v>
      </c>
      <c r="V31" s="201" t="e">
        <f t="array" ref="V31">_xlfn.IFS(AND($K31&gt;U$7,$L31&gt;U$7),0,AND($K31&lt;=U$7,$L31&lt;=U$7),1,AND($K31&lt;=U$7,$L31&gt;U$7),((U$7-$K31)/($L31-$K31)))</f>
        <v>#REF!</v>
      </c>
      <c r="W31" s="201" t="e">
        <f t="array" ref="W31">_xlfn.IFS(AND($K31&gt;V$7,$L31&gt;V$7),0,AND($K31&lt;=V$7,$L31&lt;=V$7),1,AND($K31&lt;=V$7,$L31&gt;V$7),((V$7-$K31)/($L31-$K31)))</f>
        <v>#REF!</v>
      </c>
      <c r="X31" s="201" t="e">
        <f t="array" ref="X31">_xlfn.IFS(AND($K31&gt;W$7,$L31&gt;W$7),0,AND($K31&lt;=W$7,$L31&lt;=W$7),1,AND($K31&lt;=W$7,$L31&gt;W$7),((W$7-$K31)/($L31-$K31)))</f>
        <v>#REF!</v>
      </c>
      <c r="Y31" s="201" t="e">
        <f t="array" ref="Y31">_xlfn.IFS(AND($K31&gt;X$7,$L31&gt;X$7),0,AND($K31&lt;=X$7,$L31&lt;=X$7),1,AND($K31&lt;=X$7,$L31&gt;X$7),((X$7-$K31)/($L31-$K31)))</f>
        <v>#REF!</v>
      </c>
      <c r="Z31" s="201" t="e">
        <f t="array" ref="Z31">_xlfn.IFS(AND($K31&gt;Y$7,$L31&gt;Y$7),0,AND($K31&lt;=Y$7,$L31&lt;=Y$7),1,AND($K31&lt;=Y$7,$L31&gt;Y$7),((Y$7-$K31)/($L31-$K31)))</f>
        <v>#REF!</v>
      </c>
      <c r="AA31" s="201" t="e">
        <f t="array" ref="AA31">_xlfn.IFS(AND($K31&gt;Z$7,$L31&gt;Z$7),0,AND($K31&lt;=Z$7,$L31&lt;=Z$7),1,AND($K31&lt;=Z$7,$L31&gt;Z$7),((Z$7-$K31)/($L31-$K31)))</f>
        <v>#REF!</v>
      </c>
      <c r="AB31" s="201" t="e">
        <f t="array" ref="AB31">_xlfn.IFS(AND($K31&gt;AA$7,$L31&gt;AA$7),0,AND($K31&lt;=AA$7,$L31&lt;=AA$7),1,AND($K31&lt;=AA$7,$L31&gt;AA$7),((AA$7-$K31)/($L31-$K31)))</f>
        <v>#REF!</v>
      </c>
      <c r="AC31" s="201" t="e">
        <f t="array" ref="AC31">_xlfn.IFS(AND($K31&gt;AB$7,$L31&gt;AB$7),0,AND($K31&lt;=AB$7,$L31&lt;=AB$7),1,AND($K31&lt;=AB$7,$L31&gt;AB$7),((AB$7-$K31)/($L31-$K31)))</f>
        <v>#REF!</v>
      </c>
      <c r="AD31" s="201" t="e">
        <f t="array" ref="AD31">_xlfn.IFS(AND($K31&gt;AC$7,$L31&gt;AC$7),0,AND($K31&lt;=AC$7,$L31&lt;=AC$7),1,AND($K31&lt;=AC$7,$L31&gt;AC$7),((AC$7-$K31)/($L31-$K31)))</f>
        <v>#REF!</v>
      </c>
      <c r="AE31" s="201" t="e">
        <f t="array" ref="AE31">_xlfn.IFS(AND($K31&gt;AD$7,$L31&gt;AD$7),0,AND($K31&lt;=AD$7,$L31&lt;=AD$7),1,AND($K31&lt;=AD$7,$L31&gt;AD$7),((AD$7-$K31)/($L31-$K31)))</f>
        <v>#REF!</v>
      </c>
      <c r="AF31" s="201" t="e">
        <f t="array" ref="AF31">_xlfn.IFS(AND($K31&gt;AE$7,$L31&gt;AE$7),0,AND($K31&lt;=AE$7,$L31&lt;=AE$7),1,AND($K31&lt;=AE$7,$L31&gt;AE$7),((AE$7-$K31)/($L31-$K31)))</f>
        <v>#REF!</v>
      </c>
      <c r="AG31" s="201" t="e">
        <f t="array" ref="AG31">_xlfn.IFS(AND($K31&gt;AF$7,$L31&gt;AF$7),0,AND($K31&lt;=AF$7,$L31&lt;=AF$7),1,AND($K31&lt;=AF$7,$L31&gt;AF$7),((AF$7-$K31)/($L31-$K31)))</f>
        <v>#REF!</v>
      </c>
      <c r="AH31" s="201" t="e">
        <f t="array" ref="AH31">_xlfn.IFS(AND($K31&gt;AG$7,$L31&gt;AG$7),0,AND($K31&lt;=AG$7,$L31&lt;=AG$7),1,AND($K31&lt;=AG$7,$L31&gt;AG$7),((AG$7-$K31)/($L31-$K31)))</f>
        <v>#REF!</v>
      </c>
      <c r="AI31" s="201" t="e">
        <f t="array" ref="AI31">_xlfn.IFS(AND($K31&gt;AH$7,$L31&gt;AH$7),0,AND($K31&lt;=AH$7,$L31&lt;=AH$7),1,AND($K31&lt;=AH$7,$L31&gt;AH$7),((AH$7-$K31)/($L31-$K31)))</f>
        <v>#REF!</v>
      </c>
      <c r="AJ31" s="201" t="e">
        <f t="array" ref="AJ31">_xlfn.IFS(AND($K31&gt;AI$7,$L31&gt;AI$7),0,AND($K31&lt;=AI$7,$L31&lt;=AI$7),1,AND($K31&lt;=AI$7,$L31&gt;AI$7),((AI$7-$K31)/($L31-$K31)))</f>
        <v>#REF!</v>
      </c>
      <c r="AK31" s="201" t="e">
        <f t="array" ref="AK31">_xlfn.IFS(AND($K31&gt;AJ$7,$L31&gt;AJ$7),0,AND($K31&lt;=AJ$7,$L31&lt;=AJ$7),1,AND($K31&lt;=AJ$7,$L31&gt;AJ$7),((AJ$7-$K31)/($L31-$K31)))</f>
        <v>#REF!</v>
      </c>
      <c r="AL31" s="201" t="e">
        <f t="array" ref="AL31">_xlfn.IFS(AND($K31&gt;AK$7,$L31&gt;AK$7),0,AND($K31&lt;=AK$7,$L31&lt;=AK$7),1,AND($K31&lt;=AK$7,$L31&gt;AK$7),((AK$7-$K31)/($L31-$K31)))</f>
        <v>#REF!</v>
      </c>
      <c r="AM31" s="201" t="e">
        <f t="array" ref="AM31">_xlfn.IFS(AND($K31&gt;AL$7,$L31&gt;AL$7),0,AND($K31&lt;=AL$7,$L31&lt;=AL$7),1,AND($K31&lt;=AL$7,$L31&gt;AL$7),((AL$7-$K31)/($L31-$K31)))</f>
        <v>#REF!</v>
      </c>
      <c r="AN31" s="201" t="e">
        <f t="array" ref="AN31">_xlfn.IFS(AND($K31&gt;AM$7,$L31&gt;AM$7),0,AND($K31&lt;=AM$7,$L31&lt;=AM$7),1,AND($K31&lt;=AM$7,$L31&gt;AM$7),((AM$7-$K31)/($L31-$K31)))</f>
        <v>#REF!</v>
      </c>
      <c r="AO31" s="201" t="e">
        <f t="array" ref="AO31">_xlfn.IFS(AND($K31&gt;AN$7,$L31&gt;AN$7),0,AND($K31&lt;=AN$7,$L31&lt;=AN$7),1,AND($K31&lt;=AN$7,$L31&gt;AN$7),((AN$7-$K31)/($L31-$K31)))</f>
        <v>#REF!</v>
      </c>
      <c r="AP31" s="201" t="e">
        <f t="array" ref="AP31">_xlfn.IFS(AND($K31&gt;AO$7,$L31&gt;AO$7),0,AND($K31&lt;=AO$7,$L31&lt;=AO$7),1,AND($K31&lt;=AO$7,$L31&gt;AO$7),((AO$7-$K31)/($L31-$K31)))</f>
        <v>#REF!</v>
      </c>
      <c r="AQ31" s="201" t="e">
        <f t="array" ref="AQ31">_xlfn.IFS(AND($K31&gt;AP$7,$L31&gt;AP$7),0,AND($K31&lt;=AP$7,$L31&lt;=AP$7),1,AND($K31&lt;=AP$7,$L31&gt;AP$7),((AP$7-$K31)/($L31-$K31)))</f>
        <v>#REF!</v>
      </c>
      <c r="AR31" s="201" t="e">
        <f t="array" ref="AR31">_xlfn.IFS(AND($K31&gt;AQ$7,$L31&gt;AQ$7),0,AND($K31&lt;=AQ$7,$L31&lt;=AQ$7),1,AND($K31&lt;=AQ$7,$L31&gt;AQ$7),((AQ$7-$K31)/($L31-$K31)))</f>
        <v>#REF!</v>
      </c>
      <c r="AS31" s="201" t="e">
        <f t="array" ref="AS31">_xlfn.IFS(AND($K31&gt;AR$7,$L31&gt;AR$7),0,AND($K31&lt;=AR$7,$L31&lt;=AR$7),1,AND($K31&lt;=AR$7,$L31&gt;AR$7),((AR$7-$K31)/($L31-$K31)))</f>
        <v>#REF!</v>
      </c>
      <c r="AT31" s="201" t="e">
        <f t="array" ref="AT31">_xlfn.IFS(AND($K31&gt;AS$7,$L31&gt;AS$7),0,AND($K31&lt;=AS$7,$L31&lt;=AS$7),1,AND($K31&lt;=AS$7,$L31&gt;AS$7),((AS$7-$K31)/($L31-$K31)))</f>
        <v>#REF!</v>
      </c>
      <c r="AU31" s="201" t="e">
        <f t="array" ref="AU31">_xlfn.IFS(AND($K31&gt;AT$7,$L31&gt;AT$7),0,AND($K31&lt;=AT$7,$L31&lt;=AT$7),1,AND($K31&lt;=AT$7,$L31&gt;AT$7),((AT$7-$K31)/($L31-$K31)))</f>
        <v>#REF!</v>
      </c>
      <c r="AV31" s="201" t="e">
        <f t="array" ref="AV31">_xlfn.IFS(AND($K31&gt;AU$7,$L31&gt;AU$7),0,AND($K31&lt;=AU$7,$L31&lt;=AU$7),1,AND($K31&lt;=AU$7,$L31&gt;AU$7),((AU$7-$K31)/($L31-$K31)))</f>
        <v>#REF!</v>
      </c>
      <c r="AW31" s="201" t="e">
        <f t="array" ref="AW31">_xlfn.IFS(AND($K31&gt;AV$7,$L31&gt;AV$7),0,AND($K31&lt;=AV$7,$L31&lt;=AV$7),1,AND($K31&lt;=AV$7,$L31&gt;AV$7),((AV$7-$K31)/($L31-$K31)))</f>
        <v>#REF!</v>
      </c>
      <c r="AX31" s="201" t="e">
        <f t="array" ref="AX31">_xlfn.IFS(AND($K31&gt;AW$7,$L31&gt;AW$7),0,AND($K31&lt;=AW$7,$L31&lt;=AW$7),1,AND($K31&lt;=AW$7,$L31&gt;AW$7),((AW$7-$K31)/($L31-$K31)))</f>
        <v>#REF!</v>
      </c>
      <c r="AY31" s="201" t="e">
        <f t="array" ref="AY31">_xlfn.IFS(AND($K31&gt;AX$7,$L31&gt;AX$7),0,AND($K31&lt;=AX$7,$L31&lt;=AX$7),1,AND($K31&lt;=AX$7,$L31&gt;AX$7),((AX$7-$K31)/($L31-$K31)))</f>
        <v>#REF!</v>
      </c>
      <c r="AZ31" s="201" t="e">
        <f t="array" ref="AZ31">_xlfn.IFS(AND($K31&gt;AY$7,$L31&gt;AY$7),0,AND($K31&lt;=AY$7,$L31&lt;=AY$7),1,AND($K31&lt;=AY$7,$L31&gt;AY$7),((AY$7-$K31)/($L31-$K31)))</f>
        <v>#REF!</v>
      </c>
      <c r="BA31" s="201" t="e">
        <f t="array" ref="BA31">_xlfn.IFS(AND($K31&gt;AZ$7,$L31&gt;AZ$7),0,AND($K31&lt;=AZ$7,$L31&lt;=AZ$7),1,AND($K31&lt;=AZ$7,$L31&gt;AZ$7),((AZ$7-$K31)/($L31-$K31)))</f>
        <v>#REF!</v>
      </c>
      <c r="BB31" s="201" t="e">
        <f t="array" ref="BB31">_xlfn.IFS(AND($K31&gt;BA$7,$L31&gt;BA$7),0,AND($K31&lt;=BA$7,$L31&lt;=BA$7),1,AND($K31&lt;=BA$7,$L31&gt;BA$7),((BA$7-$K31)/($L31-$K31)))</f>
        <v>#REF!</v>
      </c>
      <c r="BC31" s="201" t="e">
        <f t="array" ref="BC31">_xlfn.IFS(AND($K31&gt;BB$7,$L31&gt;BB$7),0,AND($K31&lt;=BB$7,$L31&lt;=BB$7),1,AND($K31&lt;=BB$7,$L31&gt;BB$7),((BB$7-$K31)/($L31-$K31)))</f>
        <v>#REF!</v>
      </c>
      <c r="BD31" s="201" t="e">
        <f t="array" ref="BD31">_xlfn.IFS(AND($K31&gt;BC$7,$L31&gt;BC$7),0,AND($K31&lt;=BC$7,$L31&lt;=BC$7),1,AND($K31&lt;=BC$7,$L31&gt;BC$7),((BC$7-$K31)/($L31-$K31)))</f>
        <v>#REF!</v>
      </c>
      <c r="BE31" s="201" t="e">
        <f t="array" ref="BE31">_xlfn.IFS(AND($K31&gt;BD$7,$L31&gt;BD$7),0,AND($K31&lt;=BD$7,$L31&lt;=BD$7),1,AND($K31&lt;=BD$7,$L31&gt;BD$7),((BD$7-$K31)/($L31-$K31)))</f>
        <v>#REF!</v>
      </c>
      <c r="BF31" s="201" t="e">
        <f t="array" ref="BF31">_xlfn.IFS(AND($K31&gt;BE$7,$L31&gt;BE$7),0,AND($K31&lt;=BE$7,$L31&lt;=BE$7),1,AND($K31&lt;=BE$7,$L31&gt;BE$7),((BE$7-$K31)/($L31-$K31)))</f>
        <v>#REF!</v>
      </c>
      <c r="BG31" s="201" t="e">
        <f t="array" ref="BG31">_xlfn.IFS(AND($K31&gt;BF$7,$L31&gt;BF$7),0,AND($K31&lt;=BF$7,$L31&lt;=BF$7),1,AND($K31&lt;=BF$7,$L31&gt;BF$7),((BF$7-$K31)/($L31-$K31)))</f>
        <v>#REF!</v>
      </c>
      <c r="BH31" s="201" t="e">
        <f t="array" ref="BH31">_xlfn.IFS(AND($K31&gt;BG$7,$L31&gt;BG$7),0,AND($K31&lt;=BG$7,$L31&lt;=BG$7),1,AND($K31&lt;=BG$7,$L31&gt;BG$7),((BG$7-$K31)/($L31-$K31)))</f>
        <v>#REF!</v>
      </c>
      <c r="BI31" s="201" t="e">
        <f t="array" ref="BI31">_xlfn.IFS(AND($K31&gt;BH$7,$L31&gt;BH$7),0,AND($K31&lt;=BH$7,$L31&lt;=BH$7),1,AND($K31&lt;=BH$7,$L31&gt;BH$7),((BH$7-$K31)/($L31-$K31)))</f>
        <v>#REF!</v>
      </c>
      <c r="BJ31" s="201" t="e">
        <f t="array" ref="BJ31">_xlfn.IFS(AND($K31&gt;BI$7,$L31&gt;BI$7),0,AND($K31&lt;=BI$7,$L31&lt;=BI$7),1,AND($K31&lt;=BI$7,$L31&gt;BI$7),((BI$7-$K31)/($L31-$K31)))</f>
        <v>#REF!</v>
      </c>
      <c r="BK31" s="201" t="e">
        <f t="array" ref="BK31">_xlfn.IFS(AND($K31&gt;BJ$7,$L31&gt;BJ$7),0,AND($K31&lt;=BJ$7,$L31&lt;=BJ$7),1,AND($K31&lt;=BJ$7,$L31&gt;BJ$7),((BJ$7-$K31)/($L31-$K31)))</f>
        <v>#REF!</v>
      </c>
      <c r="BL31" s="201" t="e">
        <f t="array" ref="BL31">_xlfn.IFS(AND($K31&gt;BK$7,$L31&gt;BK$7),0,AND($K31&lt;=BK$7,$L31&lt;=BK$7),1,AND($K31&lt;=BK$7,$L31&gt;BK$7),((BK$7-$K31)/($L31-$K31)))</f>
        <v>#REF!</v>
      </c>
      <c r="BM31" s="201" t="e">
        <f t="array" ref="BM31">_xlfn.IFS(AND($K31&gt;BL$7,$L31&gt;BL$7),0,AND($K31&lt;=BL$7,$L31&lt;=BL$7),1,AND($K31&lt;=BL$7,$L31&gt;BL$7),((BL$7-$K31)/($L31-$K31)))</f>
        <v>#REF!</v>
      </c>
      <c r="BN31" s="201" t="e">
        <f t="array" ref="BN31">_xlfn.IFS(AND($K31&gt;BM$7,$L31&gt;BM$7),0,AND($K31&lt;=BM$7,$L31&lt;=BM$7),1,AND($K31&lt;=BM$7,$L31&gt;BM$7),((BM$7-$K31)/($L31-$K31)))</f>
        <v>#REF!</v>
      </c>
    </row>
    <row r="32" spans="2:66" s="46" customFormat="1" ht="15" customHeight="1" x14ac:dyDescent="0.3">
      <c r="B32" s="210" t="str">
        <f t="array" ref="B32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32" s="166" t="s">
        <v>112</v>
      </c>
      <c r="D32" s="177" t="str">
        <f t="shared" si="2"/>
        <v>Arquitetura de projetos GERDAU</v>
      </c>
      <c r="E32" s="170" t="str">
        <f t="shared" si="12"/>
        <v>Definição da Estratégia para Transformação dos Processos</v>
      </c>
      <c r="F32" s="174" t="str">
        <f t="shared" si="23"/>
        <v>Entendimento Inicial dos Processos</v>
      </c>
      <c r="G32" s="166" t="str">
        <f t="shared" si="25"/>
        <v>Levantamento e categorização dos processos existentes</v>
      </c>
      <c r="H32" s="197" t="s">
        <v>113</v>
      </c>
      <c r="I32" s="166">
        <v>45715</v>
      </c>
      <c r="J32" s="40">
        <v>45715</v>
      </c>
      <c r="K32" s="166">
        <v>45715</v>
      </c>
      <c r="L32" s="40">
        <v>45715</v>
      </c>
      <c r="M32" s="167"/>
      <c r="N32" s="167" t="str">
        <f t="array" ref="N32">_xlfn.IFS(L32&lt;$M$3,"Concluído",AND(K32&gt;=$M$3,I32&lt;$M$3,L32&gt;$M$3),"Em andamento",AND(L32&gt;=$M$3,J32&lt;$M$3),"Atrasado",AND(L32&gt;=$M$3,J32&gt;=$M$3,I32&gt;$M$3,K32&lt;=$M$3),"Em andamento",AND(L32&gt;=$M$3,J32&gt;=$M$3,I32&lt;=$M$3,K32&lt;=$M$3),"Em andamento",AND(K32&gt;$M$3,I32&gt;$M$3),"Não iniciado",AND(L32&gt;=$M$3,J32&gt;=$M$3,K32&gt;=$M$3,I32&lt;$M$3),"Atrasado",AND(L32&gt;=$M$3,J32&gt;=$M$3,K32&gt;=$M$3,I32&gt;$M$3),"Não iniciado",AND($I32&lt;=$M$3,$K32&gt;$M$3),"Atrasado")</f>
        <v>Concluído</v>
      </c>
      <c r="O32" s="167">
        <f t="array" ref="O32">_xlfn.IFS(N32="Não iniciado",0,N32="Em andamento",1,N32="Concluído",2,N32="Atrasado",3)</f>
        <v>2</v>
      </c>
      <c r="P32" s="169"/>
      <c r="Q32" s="152">
        <f t="array" aca="1" ref="Q32" ca="1">_xlfn.IFS(AND($I32&lt;$N$3,$J32&lt;$N$3),1,AND($I32&lt;=$N$3,$J32&gt;=$N$3),0.5,AND($I32&gt;=$N$3,$J32&gt;=$N$3),0)</f>
        <v>1</v>
      </c>
      <c r="R32" s="152">
        <f t="array" aca="1" ref="R32" ca="1">_xlfn.IFS(AND($K32&lt;$N$3,$L32&lt;$N$3),1,AND($K32&lt;=$N$3,$L32&gt;=$N$3),0.5,AND($K32&gt;=$N$3,$L32&gt;=$N$3),0)</f>
        <v>1</v>
      </c>
      <c r="S32" s="201" t="e">
        <f t="array" ref="S32">_xlfn.IFS(AND($K32&gt;R$7,$L32&gt;R$7),0,AND($K32&lt;=R$7,$L32&lt;=R$7),1,AND($K32&lt;=R$7,$L32&gt;R$7),((R$7-$K32)/($L32-$K32)))</f>
        <v>#REF!</v>
      </c>
      <c r="T32" s="201" t="e">
        <f t="array" ref="T32">_xlfn.IFS(AND($K32&gt;S$7,$L32&gt;S$7),0,AND($K32&lt;=S$7,$L32&lt;=S$7),1,AND($K32&lt;=S$7,$L32&gt;S$7),((S$7-$K32)/($L32-$K32)))</f>
        <v>#REF!</v>
      </c>
      <c r="U32" s="201" t="e">
        <f t="array" ref="U32">_xlfn.IFS(AND($K32&gt;T$7,$L32&gt;T$7),0,AND($K32&lt;=T$7,$L32&lt;=T$7),1,AND($K32&lt;=T$7,$L32&gt;T$7),((T$7-$K32)/($L32-$K32)))</f>
        <v>#REF!</v>
      </c>
      <c r="V32" s="201" t="e">
        <f t="array" ref="V32">_xlfn.IFS(AND($K32&gt;U$7,$L32&gt;U$7),0,AND($K32&lt;=U$7,$L32&lt;=U$7),1,AND($K32&lt;=U$7,$L32&gt;U$7),((U$7-$K32)/($L32-$K32)))</f>
        <v>#REF!</v>
      </c>
      <c r="W32" s="201" t="e">
        <f t="array" ref="W32">_xlfn.IFS(AND($K32&gt;V$7,$L32&gt;V$7),0,AND($K32&lt;=V$7,$L32&lt;=V$7),1,AND($K32&lt;=V$7,$L32&gt;V$7),((V$7-$K32)/($L32-$K32)))</f>
        <v>#REF!</v>
      </c>
      <c r="X32" s="201" t="e">
        <f t="array" ref="X32">_xlfn.IFS(AND($K32&gt;W$7,$L32&gt;W$7),0,AND($K32&lt;=W$7,$L32&lt;=W$7),1,AND($K32&lt;=W$7,$L32&gt;W$7),((W$7-$K32)/($L32-$K32)))</f>
        <v>#REF!</v>
      </c>
      <c r="Y32" s="201" t="e">
        <f t="array" ref="Y32">_xlfn.IFS(AND($K32&gt;X$7,$L32&gt;X$7),0,AND($K32&lt;=X$7,$L32&lt;=X$7),1,AND($K32&lt;=X$7,$L32&gt;X$7),((X$7-$K32)/($L32-$K32)))</f>
        <v>#REF!</v>
      </c>
      <c r="Z32" s="201" t="e">
        <f t="array" ref="Z32">_xlfn.IFS(AND($K32&gt;Y$7,$L32&gt;Y$7),0,AND($K32&lt;=Y$7,$L32&lt;=Y$7),1,AND($K32&lt;=Y$7,$L32&gt;Y$7),((Y$7-$K32)/($L32-$K32)))</f>
        <v>#REF!</v>
      </c>
      <c r="AA32" s="201" t="e">
        <f t="array" ref="AA32">_xlfn.IFS(AND($K32&gt;Z$7,$L32&gt;Z$7),0,AND($K32&lt;=Z$7,$L32&lt;=Z$7),1,AND($K32&lt;=Z$7,$L32&gt;Z$7),((Z$7-$K32)/($L32-$K32)))</f>
        <v>#REF!</v>
      </c>
      <c r="AB32" s="201" t="e">
        <f t="array" ref="AB32">_xlfn.IFS(AND($K32&gt;AA$7,$L32&gt;AA$7),0,AND($K32&lt;=AA$7,$L32&lt;=AA$7),1,AND($K32&lt;=AA$7,$L32&gt;AA$7),((AA$7-$K32)/($L32-$K32)))</f>
        <v>#REF!</v>
      </c>
      <c r="AC32" s="201" t="e">
        <f t="array" ref="AC32">_xlfn.IFS(AND($K32&gt;AB$7,$L32&gt;AB$7),0,AND($K32&lt;=AB$7,$L32&lt;=AB$7),1,AND($K32&lt;=AB$7,$L32&gt;AB$7),((AB$7-$K32)/($L32-$K32)))</f>
        <v>#REF!</v>
      </c>
      <c r="AD32" s="201" t="e">
        <f t="array" ref="AD32">_xlfn.IFS(AND($K32&gt;AC$7,$L32&gt;AC$7),0,AND($K32&lt;=AC$7,$L32&lt;=AC$7),1,AND($K32&lt;=AC$7,$L32&gt;AC$7),((AC$7-$K32)/($L32-$K32)))</f>
        <v>#REF!</v>
      </c>
      <c r="AE32" s="201" t="e">
        <f t="array" ref="AE32">_xlfn.IFS(AND($K32&gt;AD$7,$L32&gt;AD$7),0,AND($K32&lt;=AD$7,$L32&lt;=AD$7),1,AND($K32&lt;=AD$7,$L32&gt;AD$7),((AD$7-$K32)/($L32-$K32)))</f>
        <v>#REF!</v>
      </c>
      <c r="AF32" s="201" t="e">
        <f t="array" ref="AF32">_xlfn.IFS(AND($K32&gt;AE$7,$L32&gt;AE$7),0,AND($K32&lt;=AE$7,$L32&lt;=AE$7),1,AND($K32&lt;=AE$7,$L32&gt;AE$7),((AE$7-$K32)/($L32-$K32)))</f>
        <v>#REF!</v>
      </c>
      <c r="AG32" s="201" t="e">
        <f t="array" ref="AG32">_xlfn.IFS(AND($K32&gt;AF$7,$L32&gt;AF$7),0,AND($K32&lt;=AF$7,$L32&lt;=AF$7),1,AND($K32&lt;=AF$7,$L32&gt;AF$7),((AF$7-$K32)/($L32-$K32)))</f>
        <v>#REF!</v>
      </c>
      <c r="AH32" s="201" t="e">
        <f t="array" ref="AH32">_xlfn.IFS(AND($K32&gt;AG$7,$L32&gt;AG$7),0,AND($K32&lt;=AG$7,$L32&lt;=AG$7),1,AND($K32&lt;=AG$7,$L32&gt;AG$7),((AG$7-$K32)/($L32-$K32)))</f>
        <v>#REF!</v>
      </c>
      <c r="AI32" s="201" t="e">
        <f t="array" ref="AI32">_xlfn.IFS(AND($K32&gt;AH$7,$L32&gt;AH$7),0,AND($K32&lt;=AH$7,$L32&lt;=AH$7),1,AND($K32&lt;=AH$7,$L32&gt;AH$7),((AH$7-$K32)/($L32-$K32)))</f>
        <v>#REF!</v>
      </c>
      <c r="AJ32" s="201" t="e">
        <f t="array" ref="AJ32">_xlfn.IFS(AND($K32&gt;AI$7,$L32&gt;AI$7),0,AND($K32&lt;=AI$7,$L32&lt;=AI$7),1,AND($K32&lt;=AI$7,$L32&gt;AI$7),((AI$7-$K32)/($L32-$K32)))</f>
        <v>#REF!</v>
      </c>
      <c r="AK32" s="201" t="e">
        <f t="array" ref="AK32">_xlfn.IFS(AND($K32&gt;AJ$7,$L32&gt;AJ$7),0,AND($K32&lt;=AJ$7,$L32&lt;=AJ$7),1,AND($K32&lt;=AJ$7,$L32&gt;AJ$7),((AJ$7-$K32)/($L32-$K32)))</f>
        <v>#REF!</v>
      </c>
      <c r="AL32" s="201" t="e">
        <f t="array" ref="AL32">_xlfn.IFS(AND($K32&gt;AK$7,$L32&gt;AK$7),0,AND($K32&lt;=AK$7,$L32&lt;=AK$7),1,AND($K32&lt;=AK$7,$L32&gt;AK$7),((AK$7-$K32)/($L32-$K32)))</f>
        <v>#REF!</v>
      </c>
      <c r="AM32" s="201" t="e">
        <f t="array" ref="AM32">_xlfn.IFS(AND($K32&gt;AL$7,$L32&gt;AL$7),0,AND($K32&lt;=AL$7,$L32&lt;=AL$7),1,AND($K32&lt;=AL$7,$L32&gt;AL$7),((AL$7-$K32)/($L32-$K32)))</f>
        <v>#REF!</v>
      </c>
      <c r="AN32" s="201" t="e">
        <f t="array" ref="AN32">_xlfn.IFS(AND($K32&gt;AM$7,$L32&gt;AM$7),0,AND($K32&lt;=AM$7,$L32&lt;=AM$7),1,AND($K32&lt;=AM$7,$L32&gt;AM$7),((AM$7-$K32)/($L32-$K32)))</f>
        <v>#REF!</v>
      </c>
      <c r="AO32" s="201" t="e">
        <f t="array" ref="AO32">_xlfn.IFS(AND($K32&gt;AN$7,$L32&gt;AN$7),0,AND($K32&lt;=AN$7,$L32&lt;=AN$7),1,AND($K32&lt;=AN$7,$L32&gt;AN$7),((AN$7-$K32)/($L32-$K32)))</f>
        <v>#REF!</v>
      </c>
      <c r="AP32" s="201" t="e">
        <f t="array" ref="AP32">_xlfn.IFS(AND($K32&gt;AO$7,$L32&gt;AO$7),0,AND($K32&lt;=AO$7,$L32&lt;=AO$7),1,AND($K32&lt;=AO$7,$L32&gt;AO$7),((AO$7-$K32)/($L32-$K32)))</f>
        <v>#REF!</v>
      </c>
      <c r="AQ32" s="201" t="e">
        <f t="array" ref="AQ32">_xlfn.IFS(AND($K32&gt;AP$7,$L32&gt;AP$7),0,AND($K32&lt;=AP$7,$L32&lt;=AP$7),1,AND($K32&lt;=AP$7,$L32&gt;AP$7),((AP$7-$K32)/($L32-$K32)))</f>
        <v>#REF!</v>
      </c>
      <c r="AR32" s="201" t="e">
        <f t="array" ref="AR32">_xlfn.IFS(AND($K32&gt;AQ$7,$L32&gt;AQ$7),0,AND($K32&lt;=AQ$7,$L32&lt;=AQ$7),1,AND($K32&lt;=AQ$7,$L32&gt;AQ$7),((AQ$7-$K32)/($L32-$K32)))</f>
        <v>#REF!</v>
      </c>
      <c r="AS32" s="201" t="e">
        <f t="array" ref="AS32">_xlfn.IFS(AND($K32&gt;AR$7,$L32&gt;AR$7),0,AND($K32&lt;=AR$7,$L32&lt;=AR$7),1,AND($K32&lt;=AR$7,$L32&gt;AR$7),((AR$7-$K32)/($L32-$K32)))</f>
        <v>#REF!</v>
      </c>
      <c r="AT32" s="201" t="e">
        <f t="array" ref="AT32">_xlfn.IFS(AND($K32&gt;AS$7,$L32&gt;AS$7),0,AND($K32&lt;=AS$7,$L32&lt;=AS$7),1,AND($K32&lt;=AS$7,$L32&gt;AS$7),((AS$7-$K32)/($L32-$K32)))</f>
        <v>#REF!</v>
      </c>
      <c r="AU32" s="201" t="e">
        <f t="array" ref="AU32">_xlfn.IFS(AND($K32&gt;AT$7,$L32&gt;AT$7),0,AND($K32&lt;=AT$7,$L32&lt;=AT$7),1,AND($K32&lt;=AT$7,$L32&gt;AT$7),((AT$7-$K32)/($L32-$K32)))</f>
        <v>#REF!</v>
      </c>
      <c r="AV32" s="201" t="e">
        <f t="array" ref="AV32">_xlfn.IFS(AND($K32&gt;AU$7,$L32&gt;AU$7),0,AND($K32&lt;=AU$7,$L32&lt;=AU$7),1,AND($K32&lt;=AU$7,$L32&gt;AU$7),((AU$7-$K32)/($L32-$K32)))</f>
        <v>#REF!</v>
      </c>
      <c r="AW32" s="201" t="e">
        <f t="array" ref="AW32">_xlfn.IFS(AND($K32&gt;AV$7,$L32&gt;AV$7),0,AND($K32&lt;=AV$7,$L32&lt;=AV$7),1,AND($K32&lt;=AV$7,$L32&gt;AV$7),((AV$7-$K32)/($L32-$K32)))</f>
        <v>#REF!</v>
      </c>
      <c r="AX32" s="201" t="e">
        <f t="array" ref="AX32">_xlfn.IFS(AND($K32&gt;AW$7,$L32&gt;AW$7),0,AND($K32&lt;=AW$7,$L32&lt;=AW$7),1,AND($K32&lt;=AW$7,$L32&gt;AW$7),((AW$7-$K32)/($L32-$K32)))</f>
        <v>#REF!</v>
      </c>
      <c r="AY32" s="201" t="e">
        <f t="array" ref="AY32">_xlfn.IFS(AND($K32&gt;AX$7,$L32&gt;AX$7),0,AND($K32&lt;=AX$7,$L32&lt;=AX$7),1,AND($K32&lt;=AX$7,$L32&gt;AX$7),((AX$7-$K32)/($L32-$K32)))</f>
        <v>#REF!</v>
      </c>
      <c r="AZ32" s="201" t="e">
        <f t="array" ref="AZ32">_xlfn.IFS(AND($K32&gt;AY$7,$L32&gt;AY$7),0,AND($K32&lt;=AY$7,$L32&lt;=AY$7),1,AND($K32&lt;=AY$7,$L32&gt;AY$7),((AY$7-$K32)/($L32-$K32)))</f>
        <v>#REF!</v>
      </c>
      <c r="BA32" s="201" t="e">
        <f t="array" ref="BA32">_xlfn.IFS(AND($K32&gt;AZ$7,$L32&gt;AZ$7),0,AND($K32&lt;=AZ$7,$L32&lt;=AZ$7),1,AND($K32&lt;=AZ$7,$L32&gt;AZ$7),((AZ$7-$K32)/($L32-$K32)))</f>
        <v>#REF!</v>
      </c>
      <c r="BB32" s="201" t="e">
        <f t="array" ref="BB32">_xlfn.IFS(AND($K32&gt;BA$7,$L32&gt;BA$7),0,AND($K32&lt;=BA$7,$L32&lt;=BA$7),1,AND($K32&lt;=BA$7,$L32&gt;BA$7),((BA$7-$K32)/($L32-$K32)))</f>
        <v>#REF!</v>
      </c>
      <c r="BC32" s="201" t="e">
        <f t="array" ref="BC32">_xlfn.IFS(AND($K32&gt;BB$7,$L32&gt;BB$7),0,AND($K32&lt;=BB$7,$L32&lt;=BB$7),1,AND($K32&lt;=BB$7,$L32&gt;BB$7),((BB$7-$K32)/($L32-$K32)))</f>
        <v>#REF!</v>
      </c>
      <c r="BD32" s="201" t="e">
        <f t="array" ref="BD32">_xlfn.IFS(AND($K32&gt;BC$7,$L32&gt;BC$7),0,AND($K32&lt;=BC$7,$L32&lt;=BC$7),1,AND($K32&lt;=BC$7,$L32&gt;BC$7),((BC$7-$K32)/($L32-$K32)))</f>
        <v>#REF!</v>
      </c>
      <c r="BE32" s="201" t="e">
        <f t="array" ref="BE32">_xlfn.IFS(AND($K32&gt;BD$7,$L32&gt;BD$7),0,AND($K32&lt;=BD$7,$L32&lt;=BD$7),1,AND($K32&lt;=BD$7,$L32&gt;BD$7),((BD$7-$K32)/($L32-$K32)))</f>
        <v>#REF!</v>
      </c>
      <c r="BF32" s="201" t="e">
        <f t="array" ref="BF32">_xlfn.IFS(AND($K32&gt;BE$7,$L32&gt;BE$7),0,AND($K32&lt;=BE$7,$L32&lt;=BE$7),1,AND($K32&lt;=BE$7,$L32&gt;BE$7),((BE$7-$K32)/($L32-$K32)))</f>
        <v>#REF!</v>
      </c>
      <c r="BG32" s="201" t="e">
        <f t="array" ref="BG32">_xlfn.IFS(AND($K32&gt;BF$7,$L32&gt;BF$7),0,AND($K32&lt;=BF$7,$L32&lt;=BF$7),1,AND($K32&lt;=BF$7,$L32&gt;BF$7),((BF$7-$K32)/($L32-$K32)))</f>
        <v>#REF!</v>
      </c>
      <c r="BH32" s="201" t="e">
        <f t="array" ref="BH32">_xlfn.IFS(AND($K32&gt;BG$7,$L32&gt;BG$7),0,AND($K32&lt;=BG$7,$L32&lt;=BG$7),1,AND($K32&lt;=BG$7,$L32&gt;BG$7),((BG$7-$K32)/($L32-$K32)))</f>
        <v>#REF!</v>
      </c>
      <c r="BI32" s="201" t="e">
        <f t="array" ref="BI32">_xlfn.IFS(AND($K32&gt;BH$7,$L32&gt;BH$7),0,AND($K32&lt;=BH$7,$L32&lt;=BH$7),1,AND($K32&lt;=BH$7,$L32&gt;BH$7),((BH$7-$K32)/($L32-$K32)))</f>
        <v>#REF!</v>
      </c>
      <c r="BJ32" s="201" t="e">
        <f t="array" ref="BJ32">_xlfn.IFS(AND($K32&gt;BI$7,$L32&gt;BI$7),0,AND($K32&lt;=BI$7,$L32&lt;=BI$7),1,AND($K32&lt;=BI$7,$L32&gt;BI$7),((BI$7-$K32)/($L32-$K32)))</f>
        <v>#REF!</v>
      </c>
      <c r="BK32" s="201" t="e">
        <f t="array" ref="BK32">_xlfn.IFS(AND($K32&gt;BJ$7,$L32&gt;BJ$7),0,AND($K32&lt;=BJ$7,$L32&lt;=BJ$7),1,AND($K32&lt;=BJ$7,$L32&gt;BJ$7),((BJ$7-$K32)/($L32-$K32)))</f>
        <v>#REF!</v>
      </c>
      <c r="BL32" s="201" t="e">
        <f t="array" ref="BL32">_xlfn.IFS(AND($K32&gt;BK$7,$L32&gt;BK$7),0,AND($K32&lt;=BK$7,$L32&lt;=BK$7),1,AND($K32&lt;=BK$7,$L32&gt;BK$7),((BK$7-$K32)/($L32-$K32)))</f>
        <v>#REF!</v>
      </c>
      <c r="BM32" s="201" t="e">
        <f t="array" ref="BM32">_xlfn.IFS(AND($K32&gt;BL$7,$L32&gt;BL$7),0,AND($K32&lt;=BL$7,$L32&lt;=BL$7),1,AND($K32&lt;=BL$7,$L32&gt;BL$7),((BL$7-$K32)/($L32-$K32)))</f>
        <v>#REF!</v>
      </c>
      <c r="BN32" s="201" t="e">
        <f t="array" ref="BN32">_xlfn.IFS(AND($K32&gt;BM$7,$L32&gt;BM$7),0,AND($K32&lt;=BM$7,$L32&lt;=BM$7),1,AND($K32&lt;=BM$7,$L32&gt;BM$7),((BM$7-$K32)/($L32-$K32)))</f>
        <v>#REF!</v>
      </c>
    </row>
    <row r="33" spans="2:66" s="163" customFormat="1" ht="15" customHeight="1" collapsed="1" x14ac:dyDescent="0.3">
      <c r="B33" s="210" t="str">
        <f t="array" ref="B33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33" s="166" t="s">
        <v>114</v>
      </c>
      <c r="D33" s="177" t="str">
        <f t="shared" si="2"/>
        <v>Arquitetura de projetos GERDAU</v>
      </c>
      <c r="E33" s="170" t="str">
        <f t="shared" si="12"/>
        <v>Definição da Estratégia para Transformação dos Processos</v>
      </c>
      <c r="F33" s="174" t="str">
        <f t="shared" si="23"/>
        <v>Entendimento Inicial dos Processos</v>
      </c>
      <c r="G33" s="166" t="str">
        <f t="shared" si="25"/>
        <v>Levantamento e categorização dos processos existentes</v>
      </c>
      <c r="H33" s="197" t="s">
        <v>115</v>
      </c>
      <c r="I33" s="166">
        <v>45713</v>
      </c>
      <c r="J33" s="40">
        <v>45713</v>
      </c>
      <c r="K33" s="166">
        <v>45713</v>
      </c>
      <c r="L33" s="40">
        <v>45713</v>
      </c>
      <c r="M33" s="167"/>
      <c r="N33" s="167" t="str">
        <f t="array" ref="N33">_xlfn.IFS(L33&lt;$M$3,"Concluído",AND(K33&gt;=$M$3,I33&lt;$M$3,L33&gt;$M$3),"Em andamento",AND(L33&gt;=$M$3,J33&lt;$M$3),"Atrasado",AND(L33&gt;=$M$3,J33&gt;=$M$3,I33&gt;$M$3,K33&lt;=$M$3),"Em andamento",AND(L33&gt;=$M$3,J33&gt;=$M$3,I33&lt;=$M$3,K33&lt;=$M$3),"Em andamento",AND(K33&gt;$M$3,I33&gt;$M$3),"Não iniciado",AND(L33&gt;=$M$3,J33&gt;=$M$3,K33&gt;=$M$3,I33&lt;$M$3),"Atrasado",AND(L33&gt;=$M$3,J33&gt;=$M$3,K33&gt;=$M$3,I33&gt;$M$3),"Não iniciado",AND($I33&lt;=$M$3,$K33&gt;$M$3),"Atrasado")</f>
        <v>Concluído</v>
      </c>
      <c r="O33" s="167">
        <f t="array" ref="O33">_xlfn.IFS(N33="Não iniciado",0,N33="Em andamento",1,N33="Concluído",2,N33="Atrasado",3)</f>
        <v>2</v>
      </c>
      <c r="P33" s="169"/>
      <c r="Q33" s="152">
        <f t="array" aca="1" ref="Q33" ca="1">_xlfn.IFS(AND($I33&lt;$N$3,$J33&lt;$N$3),1,AND($I33&lt;=$N$3,$J33&gt;=$N$3),0.5,AND($I33&gt;=$N$3,$J33&gt;=$N$3),0)</f>
        <v>1</v>
      </c>
      <c r="R33" s="152">
        <f t="array" aca="1" ref="R33" ca="1">_xlfn.IFS(AND($K33&lt;$N$3,$L33&lt;$N$3),1,AND($K33&lt;=$N$3,$L33&gt;=$N$3),0.5,AND($K33&gt;=$N$3,$L33&gt;=$N$3),0)</f>
        <v>1</v>
      </c>
      <c r="S33" s="201" t="e">
        <f t="array" ref="S33">_xlfn.IFS(AND($K33&gt;R$7,$L33&gt;R$7),0,AND($K33&lt;=R$7,$L33&lt;=R$7),1,AND($K33&lt;=R$7,$L33&gt;R$7),((R$7-$K33)/($L33-$K33)))</f>
        <v>#REF!</v>
      </c>
      <c r="T33" s="201" t="e">
        <f t="array" ref="T33">_xlfn.IFS(AND($K33&gt;S$7,$L33&gt;S$7),0,AND($K33&lt;=S$7,$L33&lt;=S$7),1,AND($K33&lt;=S$7,$L33&gt;S$7),((S$7-$K33)/($L33-$K33)))</f>
        <v>#REF!</v>
      </c>
      <c r="U33" s="201" t="e">
        <f t="array" ref="U33">_xlfn.IFS(AND($K33&gt;T$7,$L33&gt;T$7),0,AND($K33&lt;=T$7,$L33&lt;=T$7),1,AND($K33&lt;=T$7,$L33&gt;T$7),((T$7-$K33)/($L33-$K33)))</f>
        <v>#REF!</v>
      </c>
      <c r="V33" s="201" t="e">
        <f t="array" ref="V33">_xlfn.IFS(AND($K33&gt;U$7,$L33&gt;U$7),0,AND($K33&lt;=U$7,$L33&lt;=U$7),1,AND($K33&lt;=U$7,$L33&gt;U$7),((U$7-$K33)/($L33-$K33)))</f>
        <v>#REF!</v>
      </c>
      <c r="W33" s="201" t="e">
        <f t="array" ref="W33">_xlfn.IFS(AND($K33&gt;V$7,$L33&gt;V$7),0,AND($K33&lt;=V$7,$L33&lt;=V$7),1,AND($K33&lt;=V$7,$L33&gt;V$7),((V$7-$K33)/($L33-$K33)))</f>
        <v>#REF!</v>
      </c>
      <c r="X33" s="201" t="e">
        <f t="array" ref="X33">_xlfn.IFS(AND($K33&gt;W$7,$L33&gt;W$7),0,AND($K33&lt;=W$7,$L33&lt;=W$7),1,AND($K33&lt;=W$7,$L33&gt;W$7),((W$7-$K33)/($L33-$K33)))</f>
        <v>#REF!</v>
      </c>
      <c r="Y33" s="201" t="e">
        <f t="array" ref="Y33">_xlfn.IFS(AND($K33&gt;X$7,$L33&gt;X$7),0,AND($K33&lt;=X$7,$L33&lt;=X$7),1,AND($K33&lt;=X$7,$L33&gt;X$7),((X$7-$K33)/($L33-$K33)))</f>
        <v>#REF!</v>
      </c>
      <c r="Z33" s="201" t="e">
        <f t="array" ref="Z33">_xlfn.IFS(AND($K33&gt;Y$7,$L33&gt;Y$7),0,AND($K33&lt;=Y$7,$L33&lt;=Y$7),1,AND($K33&lt;=Y$7,$L33&gt;Y$7),((Y$7-$K33)/($L33-$K33)))</f>
        <v>#REF!</v>
      </c>
      <c r="AA33" s="201" t="e">
        <f t="array" ref="AA33">_xlfn.IFS(AND($K33&gt;Z$7,$L33&gt;Z$7),0,AND($K33&lt;=Z$7,$L33&lt;=Z$7),1,AND($K33&lt;=Z$7,$L33&gt;Z$7),((Z$7-$K33)/($L33-$K33)))</f>
        <v>#REF!</v>
      </c>
      <c r="AB33" s="201" t="e">
        <f t="array" ref="AB33">_xlfn.IFS(AND($K33&gt;AA$7,$L33&gt;AA$7),0,AND($K33&lt;=AA$7,$L33&lt;=AA$7),1,AND($K33&lt;=AA$7,$L33&gt;AA$7),((AA$7-$K33)/($L33-$K33)))</f>
        <v>#REF!</v>
      </c>
      <c r="AC33" s="201" t="e">
        <f t="array" ref="AC33">_xlfn.IFS(AND($K33&gt;AB$7,$L33&gt;AB$7),0,AND($K33&lt;=AB$7,$L33&lt;=AB$7),1,AND($K33&lt;=AB$7,$L33&gt;AB$7),((AB$7-$K33)/($L33-$K33)))</f>
        <v>#REF!</v>
      </c>
      <c r="AD33" s="201" t="e">
        <f t="array" ref="AD33">_xlfn.IFS(AND($K33&gt;AC$7,$L33&gt;AC$7),0,AND($K33&lt;=AC$7,$L33&lt;=AC$7),1,AND($K33&lt;=AC$7,$L33&gt;AC$7),((AC$7-$K33)/($L33-$K33)))</f>
        <v>#REF!</v>
      </c>
      <c r="AE33" s="201" t="e">
        <f t="array" ref="AE33">_xlfn.IFS(AND($K33&gt;AD$7,$L33&gt;AD$7),0,AND($K33&lt;=AD$7,$L33&lt;=AD$7),1,AND($K33&lt;=AD$7,$L33&gt;AD$7),((AD$7-$K33)/($L33-$K33)))</f>
        <v>#REF!</v>
      </c>
      <c r="AF33" s="201" t="e">
        <f t="array" ref="AF33">_xlfn.IFS(AND($K33&gt;AE$7,$L33&gt;AE$7),0,AND($K33&lt;=AE$7,$L33&lt;=AE$7),1,AND($K33&lt;=AE$7,$L33&gt;AE$7),((AE$7-$K33)/($L33-$K33)))</f>
        <v>#REF!</v>
      </c>
      <c r="AG33" s="201" t="e">
        <f t="array" ref="AG33">_xlfn.IFS(AND($K33&gt;AF$7,$L33&gt;AF$7),0,AND($K33&lt;=AF$7,$L33&lt;=AF$7),1,AND($K33&lt;=AF$7,$L33&gt;AF$7),((AF$7-$K33)/($L33-$K33)))</f>
        <v>#REF!</v>
      </c>
      <c r="AH33" s="201" t="e">
        <f t="array" ref="AH33">_xlfn.IFS(AND($K33&gt;AG$7,$L33&gt;AG$7),0,AND($K33&lt;=AG$7,$L33&lt;=AG$7),1,AND($K33&lt;=AG$7,$L33&gt;AG$7),((AG$7-$K33)/($L33-$K33)))</f>
        <v>#REF!</v>
      </c>
      <c r="AI33" s="201" t="e">
        <f t="array" ref="AI33">_xlfn.IFS(AND($K33&gt;AH$7,$L33&gt;AH$7),0,AND($K33&lt;=AH$7,$L33&lt;=AH$7),1,AND($K33&lt;=AH$7,$L33&gt;AH$7),((AH$7-$K33)/($L33-$K33)))</f>
        <v>#REF!</v>
      </c>
      <c r="AJ33" s="201" t="e">
        <f t="array" ref="AJ33">_xlfn.IFS(AND($K33&gt;AI$7,$L33&gt;AI$7),0,AND($K33&lt;=AI$7,$L33&lt;=AI$7),1,AND($K33&lt;=AI$7,$L33&gt;AI$7),((AI$7-$K33)/($L33-$K33)))</f>
        <v>#REF!</v>
      </c>
      <c r="AK33" s="201" t="e">
        <f t="array" ref="AK33">_xlfn.IFS(AND($K33&gt;AJ$7,$L33&gt;AJ$7),0,AND($K33&lt;=AJ$7,$L33&lt;=AJ$7),1,AND($K33&lt;=AJ$7,$L33&gt;AJ$7),((AJ$7-$K33)/($L33-$K33)))</f>
        <v>#REF!</v>
      </c>
      <c r="AL33" s="201" t="e">
        <f t="array" ref="AL33">_xlfn.IFS(AND($K33&gt;AK$7,$L33&gt;AK$7),0,AND($K33&lt;=AK$7,$L33&lt;=AK$7),1,AND($K33&lt;=AK$7,$L33&gt;AK$7),((AK$7-$K33)/($L33-$K33)))</f>
        <v>#REF!</v>
      </c>
      <c r="AM33" s="201" t="e">
        <f t="array" ref="AM33">_xlfn.IFS(AND($K33&gt;AL$7,$L33&gt;AL$7),0,AND($K33&lt;=AL$7,$L33&lt;=AL$7),1,AND($K33&lt;=AL$7,$L33&gt;AL$7),((AL$7-$K33)/($L33-$K33)))</f>
        <v>#REF!</v>
      </c>
      <c r="AN33" s="201" t="e">
        <f t="array" ref="AN33">_xlfn.IFS(AND($K33&gt;AM$7,$L33&gt;AM$7),0,AND($K33&lt;=AM$7,$L33&lt;=AM$7),1,AND($K33&lt;=AM$7,$L33&gt;AM$7),((AM$7-$K33)/($L33-$K33)))</f>
        <v>#REF!</v>
      </c>
      <c r="AO33" s="201" t="e">
        <f t="array" ref="AO33">_xlfn.IFS(AND($K33&gt;AN$7,$L33&gt;AN$7),0,AND($K33&lt;=AN$7,$L33&lt;=AN$7),1,AND($K33&lt;=AN$7,$L33&gt;AN$7),((AN$7-$K33)/($L33-$K33)))</f>
        <v>#REF!</v>
      </c>
      <c r="AP33" s="201" t="e">
        <f t="array" ref="AP33">_xlfn.IFS(AND($K33&gt;AO$7,$L33&gt;AO$7),0,AND($K33&lt;=AO$7,$L33&lt;=AO$7),1,AND($K33&lt;=AO$7,$L33&gt;AO$7),((AO$7-$K33)/($L33-$K33)))</f>
        <v>#REF!</v>
      </c>
      <c r="AQ33" s="201" t="e">
        <f t="array" ref="AQ33">_xlfn.IFS(AND($K33&gt;AP$7,$L33&gt;AP$7),0,AND($K33&lt;=AP$7,$L33&lt;=AP$7),1,AND($K33&lt;=AP$7,$L33&gt;AP$7),((AP$7-$K33)/($L33-$K33)))</f>
        <v>#REF!</v>
      </c>
      <c r="AR33" s="201" t="e">
        <f t="array" ref="AR33">_xlfn.IFS(AND($K33&gt;AQ$7,$L33&gt;AQ$7),0,AND($K33&lt;=AQ$7,$L33&lt;=AQ$7),1,AND($K33&lt;=AQ$7,$L33&gt;AQ$7),((AQ$7-$K33)/($L33-$K33)))</f>
        <v>#REF!</v>
      </c>
      <c r="AS33" s="201" t="e">
        <f t="array" ref="AS33">_xlfn.IFS(AND($K33&gt;AR$7,$L33&gt;AR$7),0,AND($K33&lt;=AR$7,$L33&lt;=AR$7),1,AND($K33&lt;=AR$7,$L33&gt;AR$7),((AR$7-$K33)/($L33-$K33)))</f>
        <v>#REF!</v>
      </c>
      <c r="AT33" s="201" t="e">
        <f t="array" ref="AT33">_xlfn.IFS(AND($K33&gt;AS$7,$L33&gt;AS$7),0,AND($K33&lt;=AS$7,$L33&lt;=AS$7),1,AND($K33&lt;=AS$7,$L33&gt;AS$7),((AS$7-$K33)/($L33-$K33)))</f>
        <v>#REF!</v>
      </c>
      <c r="AU33" s="201" t="e">
        <f t="array" ref="AU33">_xlfn.IFS(AND($K33&gt;AT$7,$L33&gt;AT$7),0,AND($K33&lt;=AT$7,$L33&lt;=AT$7),1,AND($K33&lt;=AT$7,$L33&gt;AT$7),((AT$7-$K33)/($L33-$K33)))</f>
        <v>#REF!</v>
      </c>
      <c r="AV33" s="201" t="e">
        <f t="array" ref="AV33">_xlfn.IFS(AND($K33&gt;AU$7,$L33&gt;AU$7),0,AND($K33&lt;=AU$7,$L33&lt;=AU$7),1,AND($K33&lt;=AU$7,$L33&gt;AU$7),((AU$7-$K33)/($L33-$K33)))</f>
        <v>#REF!</v>
      </c>
      <c r="AW33" s="201" t="e">
        <f t="array" ref="AW33">_xlfn.IFS(AND($K33&gt;AV$7,$L33&gt;AV$7),0,AND($K33&lt;=AV$7,$L33&lt;=AV$7),1,AND($K33&lt;=AV$7,$L33&gt;AV$7),((AV$7-$K33)/($L33-$K33)))</f>
        <v>#REF!</v>
      </c>
      <c r="AX33" s="201" t="e">
        <f t="array" ref="AX33">_xlfn.IFS(AND($K33&gt;AW$7,$L33&gt;AW$7),0,AND($K33&lt;=AW$7,$L33&lt;=AW$7),1,AND($K33&lt;=AW$7,$L33&gt;AW$7),((AW$7-$K33)/($L33-$K33)))</f>
        <v>#REF!</v>
      </c>
      <c r="AY33" s="201" t="e">
        <f t="array" ref="AY33">_xlfn.IFS(AND($K33&gt;AX$7,$L33&gt;AX$7),0,AND($K33&lt;=AX$7,$L33&lt;=AX$7),1,AND($K33&lt;=AX$7,$L33&gt;AX$7),((AX$7-$K33)/($L33-$K33)))</f>
        <v>#REF!</v>
      </c>
      <c r="AZ33" s="201" t="e">
        <f t="array" ref="AZ33">_xlfn.IFS(AND($K33&gt;AY$7,$L33&gt;AY$7),0,AND($K33&lt;=AY$7,$L33&lt;=AY$7),1,AND($K33&lt;=AY$7,$L33&gt;AY$7),((AY$7-$K33)/($L33-$K33)))</f>
        <v>#REF!</v>
      </c>
      <c r="BA33" s="201" t="e">
        <f t="array" ref="BA33">_xlfn.IFS(AND($K33&gt;AZ$7,$L33&gt;AZ$7),0,AND($K33&lt;=AZ$7,$L33&lt;=AZ$7),1,AND($K33&lt;=AZ$7,$L33&gt;AZ$7),((AZ$7-$K33)/($L33-$K33)))</f>
        <v>#REF!</v>
      </c>
      <c r="BB33" s="201" t="e">
        <f t="array" ref="BB33">_xlfn.IFS(AND($K33&gt;BA$7,$L33&gt;BA$7),0,AND($K33&lt;=BA$7,$L33&lt;=BA$7),1,AND($K33&lt;=BA$7,$L33&gt;BA$7),((BA$7-$K33)/($L33-$K33)))</f>
        <v>#REF!</v>
      </c>
      <c r="BC33" s="201" t="e">
        <f t="array" ref="BC33">_xlfn.IFS(AND($K33&gt;BB$7,$L33&gt;BB$7),0,AND($K33&lt;=BB$7,$L33&lt;=BB$7),1,AND($K33&lt;=BB$7,$L33&gt;BB$7),((BB$7-$K33)/($L33-$K33)))</f>
        <v>#REF!</v>
      </c>
      <c r="BD33" s="201" t="e">
        <f t="array" ref="BD33">_xlfn.IFS(AND($K33&gt;BC$7,$L33&gt;BC$7),0,AND($K33&lt;=BC$7,$L33&lt;=BC$7),1,AND($K33&lt;=BC$7,$L33&gt;BC$7),((BC$7-$K33)/($L33-$K33)))</f>
        <v>#REF!</v>
      </c>
      <c r="BE33" s="201" t="e">
        <f t="array" ref="BE33">_xlfn.IFS(AND($K33&gt;BD$7,$L33&gt;BD$7),0,AND($K33&lt;=BD$7,$L33&lt;=BD$7),1,AND($K33&lt;=BD$7,$L33&gt;BD$7),((BD$7-$K33)/($L33-$K33)))</f>
        <v>#REF!</v>
      </c>
      <c r="BF33" s="201" t="e">
        <f t="array" ref="BF33">_xlfn.IFS(AND($K33&gt;BE$7,$L33&gt;BE$7),0,AND($K33&lt;=BE$7,$L33&lt;=BE$7),1,AND($K33&lt;=BE$7,$L33&gt;BE$7),((BE$7-$K33)/($L33-$K33)))</f>
        <v>#REF!</v>
      </c>
      <c r="BG33" s="201" t="e">
        <f t="array" ref="BG33">_xlfn.IFS(AND($K33&gt;BF$7,$L33&gt;BF$7),0,AND($K33&lt;=BF$7,$L33&lt;=BF$7),1,AND($K33&lt;=BF$7,$L33&gt;BF$7),((BF$7-$K33)/($L33-$K33)))</f>
        <v>#REF!</v>
      </c>
      <c r="BH33" s="201" t="e">
        <f t="array" ref="BH33">_xlfn.IFS(AND($K33&gt;BG$7,$L33&gt;BG$7),0,AND($K33&lt;=BG$7,$L33&lt;=BG$7),1,AND($K33&lt;=BG$7,$L33&gt;BG$7),((BG$7-$K33)/($L33-$K33)))</f>
        <v>#REF!</v>
      </c>
      <c r="BI33" s="201" t="e">
        <f t="array" ref="BI33">_xlfn.IFS(AND($K33&gt;BH$7,$L33&gt;BH$7),0,AND($K33&lt;=BH$7,$L33&lt;=BH$7),1,AND($K33&lt;=BH$7,$L33&gt;BH$7),((BH$7-$K33)/($L33-$K33)))</f>
        <v>#REF!</v>
      </c>
      <c r="BJ33" s="201" t="e">
        <f t="array" ref="BJ33">_xlfn.IFS(AND($K33&gt;BI$7,$L33&gt;BI$7),0,AND($K33&lt;=BI$7,$L33&lt;=BI$7),1,AND($K33&lt;=BI$7,$L33&gt;BI$7),((BI$7-$K33)/($L33-$K33)))</f>
        <v>#REF!</v>
      </c>
      <c r="BK33" s="201" t="e">
        <f t="array" ref="BK33">_xlfn.IFS(AND($K33&gt;BJ$7,$L33&gt;BJ$7),0,AND($K33&lt;=BJ$7,$L33&lt;=BJ$7),1,AND($K33&lt;=BJ$7,$L33&gt;BJ$7),((BJ$7-$K33)/($L33-$K33)))</f>
        <v>#REF!</v>
      </c>
      <c r="BL33" s="201" t="e">
        <f t="array" ref="BL33">_xlfn.IFS(AND($K33&gt;BK$7,$L33&gt;BK$7),0,AND($K33&lt;=BK$7,$L33&lt;=BK$7),1,AND($K33&lt;=BK$7,$L33&gt;BK$7),((BK$7-$K33)/($L33-$K33)))</f>
        <v>#REF!</v>
      </c>
      <c r="BM33" s="201" t="e">
        <f t="array" ref="BM33">_xlfn.IFS(AND($K33&gt;BL$7,$L33&gt;BL$7),0,AND($K33&lt;=BL$7,$L33&lt;=BL$7),1,AND($K33&lt;=BL$7,$L33&gt;BL$7),((BL$7-$K33)/($L33-$K33)))</f>
        <v>#REF!</v>
      </c>
      <c r="BN33" s="201" t="e">
        <f t="array" ref="BN33">_xlfn.IFS(AND($K33&gt;BM$7,$L33&gt;BM$7),0,AND($K33&lt;=BM$7,$L33&lt;=BM$7),1,AND($K33&lt;=BM$7,$L33&gt;BM$7),((BM$7-$K33)/($L33-$K33)))</f>
        <v>#REF!</v>
      </c>
    </row>
    <row r="34" spans="2:66" s="163" customFormat="1" ht="15" customHeight="1" x14ac:dyDescent="0.3">
      <c r="B34" s="210" t="str">
        <f t="array" ref="B34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34" s="166" t="s">
        <v>116</v>
      </c>
      <c r="D34" s="177" t="str">
        <f t="shared" si="2"/>
        <v>Arquitetura de projetos GERDAU</v>
      </c>
      <c r="E34" s="170" t="str">
        <f t="shared" si="12"/>
        <v>Definição da Estratégia para Transformação dos Processos</v>
      </c>
      <c r="F34" s="174" t="str">
        <f t="shared" si="23"/>
        <v>Entendimento Inicial dos Processos</v>
      </c>
      <c r="G34" s="166" t="str">
        <f t="shared" si="25"/>
        <v>Levantamento e categorização dos processos existentes</v>
      </c>
      <c r="H34" s="197" t="s">
        <v>117</v>
      </c>
      <c r="I34" s="166">
        <v>45715</v>
      </c>
      <c r="J34" s="40">
        <v>45715</v>
      </c>
      <c r="K34" s="166">
        <v>45715</v>
      </c>
      <c r="L34" s="40">
        <v>45715</v>
      </c>
      <c r="M34" s="167"/>
      <c r="N34" s="167" t="str">
        <f t="array" ref="N34">_xlfn.IFS(L34&lt;$M$3,"Concluído",AND(K34&gt;=$M$3,I34&lt;$M$3,L34&gt;$M$3),"Em andamento",AND(L34&gt;=$M$3,J34&lt;$M$3),"Atrasado",AND(L34&gt;=$M$3,J34&gt;=$M$3,I34&gt;$M$3,K34&lt;=$M$3),"Em andamento",AND(L34&gt;=$M$3,J34&gt;=$M$3,I34&lt;=$M$3,K34&lt;=$M$3),"Em andamento",AND(K34&gt;$M$3,I34&gt;$M$3),"Não iniciado",AND(L34&gt;=$M$3,J34&gt;=$M$3,K34&gt;=$M$3,I34&lt;$M$3),"Atrasado",AND(L34&gt;=$M$3,J34&gt;=$M$3,K34&gt;=$M$3,I34&gt;$M$3),"Não iniciado",AND($I34&lt;=$M$3,$K34&gt;$M$3),"Atrasado")</f>
        <v>Concluído</v>
      </c>
      <c r="O34" s="167">
        <f t="array" ref="O34">_xlfn.IFS(N34="Não iniciado",0,N34="Em andamento",1,N34="Concluído",2,N34="Atrasado",3)</f>
        <v>2</v>
      </c>
      <c r="P34" s="169"/>
      <c r="Q34" s="152">
        <f t="array" aca="1" ref="Q34" ca="1">_xlfn.IFS(AND($I34&lt;$N$3,$J34&lt;$N$3),1,AND($I34&lt;=$N$3,$J34&gt;=$N$3),0.5,AND($I34&gt;=$N$3,$J34&gt;=$N$3),0)</f>
        <v>1</v>
      </c>
      <c r="R34" s="152">
        <f t="array" aca="1" ref="R34" ca="1">_xlfn.IFS(AND($K34&lt;$N$3,$L34&lt;$N$3),1,AND($K34&lt;=$N$3,$L34&gt;=$N$3),0.5,AND($K34&gt;=$N$3,$L34&gt;=$N$3),0)</f>
        <v>1</v>
      </c>
      <c r="S34" s="201" t="e">
        <f t="array" ref="S34">_xlfn.IFS(AND($K34&gt;R$7,$L34&gt;R$7),0,AND($K34&lt;=R$7,$L34&lt;=R$7),1,AND($K34&lt;=R$7,$L34&gt;R$7),((R$7-$K34)/($L34-$K34)))</f>
        <v>#REF!</v>
      </c>
      <c r="T34" s="201" t="e">
        <f t="array" ref="T34">_xlfn.IFS(AND($K34&gt;S$7,$L34&gt;S$7),0,AND($K34&lt;=S$7,$L34&lt;=S$7),1,AND($K34&lt;=S$7,$L34&gt;S$7),((S$7-$K34)/($L34-$K34)))</f>
        <v>#REF!</v>
      </c>
      <c r="U34" s="201" t="e">
        <f t="array" ref="U34">_xlfn.IFS(AND($K34&gt;T$7,$L34&gt;T$7),0,AND($K34&lt;=T$7,$L34&lt;=T$7),1,AND($K34&lt;=T$7,$L34&gt;T$7),((T$7-$K34)/($L34-$K34)))</f>
        <v>#REF!</v>
      </c>
      <c r="V34" s="201" t="e">
        <f t="array" ref="V34">_xlfn.IFS(AND($K34&gt;U$7,$L34&gt;U$7),0,AND($K34&lt;=U$7,$L34&lt;=U$7),1,AND($K34&lt;=U$7,$L34&gt;U$7),((U$7-$K34)/($L34-$K34)))</f>
        <v>#REF!</v>
      </c>
      <c r="W34" s="201" t="e">
        <f t="array" ref="W34">_xlfn.IFS(AND($K34&gt;V$7,$L34&gt;V$7),0,AND($K34&lt;=V$7,$L34&lt;=V$7),1,AND($K34&lt;=V$7,$L34&gt;V$7),((V$7-$K34)/($L34-$K34)))</f>
        <v>#REF!</v>
      </c>
      <c r="X34" s="201" t="e">
        <f t="array" ref="X34">_xlfn.IFS(AND($K34&gt;W$7,$L34&gt;W$7),0,AND($K34&lt;=W$7,$L34&lt;=W$7),1,AND($K34&lt;=W$7,$L34&gt;W$7),((W$7-$K34)/($L34-$K34)))</f>
        <v>#REF!</v>
      </c>
      <c r="Y34" s="201" t="e">
        <f t="array" ref="Y34">_xlfn.IFS(AND($K34&gt;X$7,$L34&gt;X$7),0,AND($K34&lt;=X$7,$L34&lt;=X$7),1,AND($K34&lt;=X$7,$L34&gt;X$7),((X$7-$K34)/($L34-$K34)))</f>
        <v>#REF!</v>
      </c>
      <c r="Z34" s="201" t="e">
        <f t="array" ref="Z34">_xlfn.IFS(AND($K34&gt;Y$7,$L34&gt;Y$7),0,AND($K34&lt;=Y$7,$L34&lt;=Y$7),1,AND($K34&lt;=Y$7,$L34&gt;Y$7),((Y$7-$K34)/($L34-$K34)))</f>
        <v>#REF!</v>
      </c>
      <c r="AA34" s="201" t="e">
        <f t="array" ref="AA34">_xlfn.IFS(AND($K34&gt;Z$7,$L34&gt;Z$7),0,AND($K34&lt;=Z$7,$L34&lt;=Z$7),1,AND($K34&lt;=Z$7,$L34&gt;Z$7),((Z$7-$K34)/($L34-$K34)))</f>
        <v>#REF!</v>
      </c>
      <c r="AB34" s="201" t="e">
        <f t="array" ref="AB34">_xlfn.IFS(AND($K34&gt;AA$7,$L34&gt;AA$7),0,AND($K34&lt;=AA$7,$L34&lt;=AA$7),1,AND($K34&lt;=AA$7,$L34&gt;AA$7),((AA$7-$K34)/($L34-$K34)))</f>
        <v>#REF!</v>
      </c>
      <c r="AC34" s="201" t="e">
        <f t="array" ref="AC34">_xlfn.IFS(AND($K34&gt;AB$7,$L34&gt;AB$7),0,AND($K34&lt;=AB$7,$L34&lt;=AB$7),1,AND($K34&lt;=AB$7,$L34&gt;AB$7),((AB$7-$K34)/($L34-$K34)))</f>
        <v>#REF!</v>
      </c>
      <c r="AD34" s="201" t="e">
        <f t="array" ref="AD34">_xlfn.IFS(AND($K34&gt;AC$7,$L34&gt;AC$7),0,AND($K34&lt;=AC$7,$L34&lt;=AC$7),1,AND($K34&lt;=AC$7,$L34&gt;AC$7),((AC$7-$K34)/($L34-$K34)))</f>
        <v>#REF!</v>
      </c>
      <c r="AE34" s="201" t="e">
        <f t="array" ref="AE34">_xlfn.IFS(AND($K34&gt;AD$7,$L34&gt;AD$7),0,AND($K34&lt;=AD$7,$L34&lt;=AD$7),1,AND($K34&lt;=AD$7,$L34&gt;AD$7),((AD$7-$K34)/($L34-$K34)))</f>
        <v>#REF!</v>
      </c>
      <c r="AF34" s="201" t="e">
        <f t="array" ref="AF34">_xlfn.IFS(AND($K34&gt;AE$7,$L34&gt;AE$7),0,AND($K34&lt;=AE$7,$L34&lt;=AE$7),1,AND($K34&lt;=AE$7,$L34&gt;AE$7),((AE$7-$K34)/($L34-$K34)))</f>
        <v>#REF!</v>
      </c>
      <c r="AG34" s="201" t="e">
        <f t="array" ref="AG34">_xlfn.IFS(AND($K34&gt;AF$7,$L34&gt;AF$7),0,AND($K34&lt;=AF$7,$L34&lt;=AF$7),1,AND($K34&lt;=AF$7,$L34&gt;AF$7),((AF$7-$K34)/($L34-$K34)))</f>
        <v>#REF!</v>
      </c>
      <c r="AH34" s="201" t="e">
        <f t="array" ref="AH34">_xlfn.IFS(AND($K34&gt;AG$7,$L34&gt;AG$7),0,AND($K34&lt;=AG$7,$L34&lt;=AG$7),1,AND($K34&lt;=AG$7,$L34&gt;AG$7),((AG$7-$K34)/($L34-$K34)))</f>
        <v>#REF!</v>
      </c>
      <c r="AI34" s="201" t="e">
        <f t="array" ref="AI34">_xlfn.IFS(AND($K34&gt;AH$7,$L34&gt;AH$7),0,AND($K34&lt;=AH$7,$L34&lt;=AH$7),1,AND($K34&lt;=AH$7,$L34&gt;AH$7),((AH$7-$K34)/($L34-$K34)))</f>
        <v>#REF!</v>
      </c>
      <c r="AJ34" s="201" t="e">
        <f t="array" ref="AJ34">_xlfn.IFS(AND($K34&gt;AI$7,$L34&gt;AI$7),0,AND($K34&lt;=AI$7,$L34&lt;=AI$7),1,AND($K34&lt;=AI$7,$L34&gt;AI$7),((AI$7-$K34)/($L34-$K34)))</f>
        <v>#REF!</v>
      </c>
      <c r="AK34" s="201" t="e">
        <f t="array" ref="AK34">_xlfn.IFS(AND($K34&gt;AJ$7,$L34&gt;AJ$7),0,AND($K34&lt;=AJ$7,$L34&lt;=AJ$7),1,AND($K34&lt;=AJ$7,$L34&gt;AJ$7),((AJ$7-$K34)/($L34-$K34)))</f>
        <v>#REF!</v>
      </c>
      <c r="AL34" s="201" t="e">
        <f t="array" ref="AL34">_xlfn.IFS(AND($K34&gt;AK$7,$L34&gt;AK$7),0,AND($K34&lt;=AK$7,$L34&lt;=AK$7),1,AND($K34&lt;=AK$7,$L34&gt;AK$7),((AK$7-$K34)/($L34-$K34)))</f>
        <v>#REF!</v>
      </c>
      <c r="AM34" s="201" t="e">
        <f t="array" ref="AM34">_xlfn.IFS(AND($K34&gt;AL$7,$L34&gt;AL$7),0,AND($K34&lt;=AL$7,$L34&lt;=AL$7),1,AND($K34&lt;=AL$7,$L34&gt;AL$7),((AL$7-$K34)/($L34-$K34)))</f>
        <v>#REF!</v>
      </c>
      <c r="AN34" s="201" t="e">
        <f t="array" ref="AN34">_xlfn.IFS(AND($K34&gt;AM$7,$L34&gt;AM$7),0,AND($K34&lt;=AM$7,$L34&lt;=AM$7),1,AND($K34&lt;=AM$7,$L34&gt;AM$7),((AM$7-$K34)/($L34-$K34)))</f>
        <v>#REF!</v>
      </c>
      <c r="AO34" s="201" t="e">
        <f t="array" ref="AO34">_xlfn.IFS(AND($K34&gt;AN$7,$L34&gt;AN$7),0,AND($K34&lt;=AN$7,$L34&lt;=AN$7),1,AND($K34&lt;=AN$7,$L34&gt;AN$7),((AN$7-$K34)/($L34-$K34)))</f>
        <v>#REF!</v>
      </c>
      <c r="AP34" s="201" t="e">
        <f t="array" ref="AP34">_xlfn.IFS(AND($K34&gt;AO$7,$L34&gt;AO$7),0,AND($K34&lt;=AO$7,$L34&lt;=AO$7),1,AND($K34&lt;=AO$7,$L34&gt;AO$7),((AO$7-$K34)/($L34-$K34)))</f>
        <v>#REF!</v>
      </c>
      <c r="AQ34" s="201" t="e">
        <f t="array" ref="AQ34">_xlfn.IFS(AND($K34&gt;AP$7,$L34&gt;AP$7),0,AND($K34&lt;=AP$7,$L34&lt;=AP$7),1,AND($K34&lt;=AP$7,$L34&gt;AP$7),((AP$7-$K34)/($L34-$K34)))</f>
        <v>#REF!</v>
      </c>
      <c r="AR34" s="201" t="e">
        <f t="array" ref="AR34">_xlfn.IFS(AND($K34&gt;AQ$7,$L34&gt;AQ$7),0,AND($K34&lt;=AQ$7,$L34&lt;=AQ$7),1,AND($K34&lt;=AQ$7,$L34&gt;AQ$7),((AQ$7-$K34)/($L34-$K34)))</f>
        <v>#REF!</v>
      </c>
      <c r="AS34" s="201" t="e">
        <f t="array" ref="AS34">_xlfn.IFS(AND($K34&gt;AR$7,$L34&gt;AR$7),0,AND($K34&lt;=AR$7,$L34&lt;=AR$7),1,AND($K34&lt;=AR$7,$L34&gt;AR$7),((AR$7-$K34)/($L34-$K34)))</f>
        <v>#REF!</v>
      </c>
      <c r="AT34" s="201" t="e">
        <f t="array" ref="AT34">_xlfn.IFS(AND($K34&gt;AS$7,$L34&gt;AS$7),0,AND($K34&lt;=AS$7,$L34&lt;=AS$7),1,AND($K34&lt;=AS$7,$L34&gt;AS$7),((AS$7-$K34)/($L34-$K34)))</f>
        <v>#REF!</v>
      </c>
      <c r="AU34" s="201" t="e">
        <f t="array" ref="AU34">_xlfn.IFS(AND($K34&gt;AT$7,$L34&gt;AT$7),0,AND($K34&lt;=AT$7,$L34&lt;=AT$7),1,AND($K34&lt;=AT$7,$L34&gt;AT$7),((AT$7-$K34)/($L34-$K34)))</f>
        <v>#REF!</v>
      </c>
      <c r="AV34" s="201" t="e">
        <f t="array" ref="AV34">_xlfn.IFS(AND($K34&gt;AU$7,$L34&gt;AU$7),0,AND($K34&lt;=AU$7,$L34&lt;=AU$7),1,AND($K34&lt;=AU$7,$L34&gt;AU$7),((AU$7-$K34)/($L34-$K34)))</f>
        <v>#REF!</v>
      </c>
      <c r="AW34" s="201" t="e">
        <f t="array" ref="AW34">_xlfn.IFS(AND($K34&gt;AV$7,$L34&gt;AV$7),0,AND($K34&lt;=AV$7,$L34&lt;=AV$7),1,AND($K34&lt;=AV$7,$L34&gt;AV$7),((AV$7-$K34)/($L34-$K34)))</f>
        <v>#REF!</v>
      </c>
      <c r="AX34" s="201" t="e">
        <f t="array" ref="AX34">_xlfn.IFS(AND($K34&gt;AW$7,$L34&gt;AW$7),0,AND($K34&lt;=AW$7,$L34&lt;=AW$7),1,AND($K34&lt;=AW$7,$L34&gt;AW$7),((AW$7-$K34)/($L34-$K34)))</f>
        <v>#REF!</v>
      </c>
      <c r="AY34" s="201" t="e">
        <f t="array" ref="AY34">_xlfn.IFS(AND($K34&gt;AX$7,$L34&gt;AX$7),0,AND($K34&lt;=AX$7,$L34&lt;=AX$7),1,AND($K34&lt;=AX$7,$L34&gt;AX$7),((AX$7-$K34)/($L34-$K34)))</f>
        <v>#REF!</v>
      </c>
      <c r="AZ34" s="201" t="e">
        <f t="array" ref="AZ34">_xlfn.IFS(AND($K34&gt;AY$7,$L34&gt;AY$7),0,AND($K34&lt;=AY$7,$L34&lt;=AY$7),1,AND($K34&lt;=AY$7,$L34&gt;AY$7),((AY$7-$K34)/($L34-$K34)))</f>
        <v>#REF!</v>
      </c>
      <c r="BA34" s="201" t="e">
        <f t="array" ref="BA34">_xlfn.IFS(AND($K34&gt;AZ$7,$L34&gt;AZ$7),0,AND($K34&lt;=AZ$7,$L34&lt;=AZ$7),1,AND($K34&lt;=AZ$7,$L34&gt;AZ$7),((AZ$7-$K34)/($L34-$K34)))</f>
        <v>#REF!</v>
      </c>
      <c r="BB34" s="201" t="e">
        <f t="array" ref="BB34">_xlfn.IFS(AND($K34&gt;BA$7,$L34&gt;BA$7),0,AND($K34&lt;=BA$7,$L34&lt;=BA$7),1,AND($K34&lt;=BA$7,$L34&gt;BA$7),((BA$7-$K34)/($L34-$K34)))</f>
        <v>#REF!</v>
      </c>
      <c r="BC34" s="201" t="e">
        <f t="array" ref="BC34">_xlfn.IFS(AND($K34&gt;BB$7,$L34&gt;BB$7),0,AND($K34&lt;=BB$7,$L34&lt;=BB$7),1,AND($K34&lt;=BB$7,$L34&gt;BB$7),((BB$7-$K34)/($L34-$K34)))</f>
        <v>#REF!</v>
      </c>
      <c r="BD34" s="201" t="e">
        <f t="array" ref="BD34">_xlfn.IFS(AND($K34&gt;BC$7,$L34&gt;BC$7),0,AND($K34&lt;=BC$7,$L34&lt;=BC$7),1,AND($K34&lt;=BC$7,$L34&gt;BC$7),((BC$7-$K34)/($L34-$K34)))</f>
        <v>#REF!</v>
      </c>
      <c r="BE34" s="201" t="e">
        <f t="array" ref="BE34">_xlfn.IFS(AND($K34&gt;BD$7,$L34&gt;BD$7),0,AND($K34&lt;=BD$7,$L34&lt;=BD$7),1,AND($K34&lt;=BD$7,$L34&gt;BD$7),((BD$7-$K34)/($L34-$K34)))</f>
        <v>#REF!</v>
      </c>
      <c r="BF34" s="201" t="e">
        <f t="array" ref="BF34">_xlfn.IFS(AND($K34&gt;BE$7,$L34&gt;BE$7),0,AND($K34&lt;=BE$7,$L34&lt;=BE$7),1,AND($K34&lt;=BE$7,$L34&gt;BE$7),((BE$7-$K34)/($L34-$K34)))</f>
        <v>#REF!</v>
      </c>
      <c r="BG34" s="201" t="e">
        <f t="array" ref="BG34">_xlfn.IFS(AND($K34&gt;BF$7,$L34&gt;BF$7),0,AND($K34&lt;=BF$7,$L34&lt;=BF$7),1,AND($K34&lt;=BF$7,$L34&gt;BF$7),((BF$7-$K34)/($L34-$K34)))</f>
        <v>#REF!</v>
      </c>
      <c r="BH34" s="201" t="e">
        <f t="array" ref="BH34">_xlfn.IFS(AND($K34&gt;BG$7,$L34&gt;BG$7),0,AND($K34&lt;=BG$7,$L34&lt;=BG$7),1,AND($K34&lt;=BG$7,$L34&gt;BG$7),((BG$7-$K34)/($L34-$K34)))</f>
        <v>#REF!</v>
      </c>
      <c r="BI34" s="201" t="e">
        <f t="array" ref="BI34">_xlfn.IFS(AND($K34&gt;BH$7,$L34&gt;BH$7),0,AND($K34&lt;=BH$7,$L34&lt;=BH$7),1,AND($K34&lt;=BH$7,$L34&gt;BH$7),((BH$7-$K34)/($L34-$K34)))</f>
        <v>#REF!</v>
      </c>
      <c r="BJ34" s="201" t="e">
        <f t="array" ref="BJ34">_xlfn.IFS(AND($K34&gt;BI$7,$L34&gt;BI$7),0,AND($K34&lt;=BI$7,$L34&lt;=BI$7),1,AND($K34&lt;=BI$7,$L34&gt;BI$7),((BI$7-$K34)/($L34-$K34)))</f>
        <v>#REF!</v>
      </c>
      <c r="BK34" s="201" t="e">
        <f t="array" ref="BK34">_xlfn.IFS(AND($K34&gt;BJ$7,$L34&gt;BJ$7),0,AND($K34&lt;=BJ$7,$L34&lt;=BJ$7),1,AND($K34&lt;=BJ$7,$L34&gt;BJ$7),((BJ$7-$K34)/($L34-$K34)))</f>
        <v>#REF!</v>
      </c>
      <c r="BL34" s="201" t="e">
        <f t="array" ref="BL34">_xlfn.IFS(AND($K34&gt;BK$7,$L34&gt;BK$7),0,AND($K34&lt;=BK$7,$L34&lt;=BK$7),1,AND($K34&lt;=BK$7,$L34&gt;BK$7),((BK$7-$K34)/($L34-$K34)))</f>
        <v>#REF!</v>
      </c>
      <c r="BM34" s="201" t="e">
        <f t="array" ref="BM34">_xlfn.IFS(AND($K34&gt;BL$7,$L34&gt;BL$7),0,AND($K34&lt;=BL$7,$L34&lt;=BL$7),1,AND($K34&lt;=BL$7,$L34&gt;BL$7),((BL$7-$K34)/($L34-$K34)))</f>
        <v>#REF!</v>
      </c>
      <c r="BN34" s="201" t="e">
        <f t="array" ref="BN34">_xlfn.IFS(AND($K34&gt;BM$7,$L34&gt;BM$7),0,AND($K34&lt;=BM$7,$L34&lt;=BM$7),1,AND($K34&lt;=BM$7,$L34&gt;BM$7),((BM$7-$K34)/($L34-$K34)))</f>
        <v>#REF!</v>
      </c>
    </row>
    <row r="35" spans="2:66" ht="15" customHeight="1" x14ac:dyDescent="0.3">
      <c r="B35" s="210" t="str">
        <f t="array" ref="B35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35" s="166" t="s">
        <v>118</v>
      </c>
      <c r="D35" s="211"/>
      <c r="E35" s="170" t="str">
        <f t="shared" si="12"/>
        <v>Definição da Estratégia para Transformação dos Processos</v>
      </c>
      <c r="F35" s="174" t="str">
        <f t="shared" si="23"/>
        <v>Entendimento Inicial dos Processos</v>
      </c>
      <c r="G35" s="166" t="str">
        <f t="shared" si="25"/>
        <v>Levantamento e categorização dos processos existentes</v>
      </c>
      <c r="H35" s="197" t="s">
        <v>119</v>
      </c>
      <c r="I35" s="166">
        <v>45715</v>
      </c>
      <c r="J35" s="40">
        <v>45715</v>
      </c>
      <c r="K35" s="166">
        <v>45720</v>
      </c>
      <c r="L35" s="166">
        <v>45722</v>
      </c>
      <c r="M35" s="167"/>
      <c r="N35" s="167" t="str">
        <f t="array" ref="N35">_xlfn.IFS(L35&lt;$M$3,"Concluído",AND(K35&gt;=$M$3,I35&lt;$M$3,L35&gt;$M$3),"Em andamento",AND(L35&gt;=$M$3,J35&lt;$M$3),"Atrasado",AND(L35&gt;=$M$3,J35&gt;=$M$3,I35&gt;$M$3,K35&lt;=$M$3),"Em andamento",AND(L35&gt;=$M$3,J35&gt;=$M$3,I35&lt;=$M$3,K35&lt;=$M$3),"Em andamento",AND(K35&gt;$M$3,I35&gt;$M$3),"Não iniciado",AND(L35&gt;=$M$3,J35&gt;=$M$3,K35&gt;=$M$3,I35&lt;$M$3),"Atrasado",AND(L35&gt;=$M$3,J35&gt;=$M$3,K35&gt;=$M$3,I35&gt;$M$3),"Não iniciado",AND($I35&lt;=$M$3,$K35&gt;$M$3),"Atrasado")</f>
        <v>Concluído</v>
      </c>
      <c r="O35" s="167">
        <f t="array" ref="O35">_xlfn.IFS(N35="Não iniciado",0,N35="Em andamento",1,N35="Concluído",2,N35="Atrasado",3)</f>
        <v>2</v>
      </c>
      <c r="P35" s="169"/>
      <c r="Q35" s="152">
        <f t="array" aca="1" ref="Q35" ca="1">_xlfn.IFS(AND($I35&lt;$N$3,$J35&lt;$N$3),1,AND($I35&lt;=$N$3,$J35&gt;=$N$3),0.5,AND($I35&gt;=$N$3,$J35&gt;=$N$3),0)</f>
        <v>1</v>
      </c>
      <c r="R35" s="152">
        <f t="array" aca="1" ref="R35" ca="1">_xlfn.IFS(AND($K35&lt;$N$3,$L35&lt;$N$3),1,AND($K35&lt;=$N$3,$L35&gt;=$N$3),0.5,AND($K35&gt;=$N$3,$L35&gt;=$N$3),0)</f>
        <v>1</v>
      </c>
      <c r="S35" s="201" t="e">
        <f t="array" ref="S35">_xlfn.IFS(AND($K35&gt;R$7,$L35&gt;R$7),0,AND($K35&lt;=R$7,$L35&lt;=R$7),1,AND($K35&lt;=R$7,$L35&gt;R$7),((R$7-$K35)/($L35-$K35)))</f>
        <v>#REF!</v>
      </c>
      <c r="T35" s="201" t="e">
        <f t="array" ref="T35">_xlfn.IFS(AND($K35&gt;S$7,$L35&gt;S$7),0,AND($K35&lt;=S$7,$L35&lt;=S$7),1,AND($K35&lt;=S$7,$L35&gt;S$7),((S$7-$K35)/($L35-$K35)))</f>
        <v>#REF!</v>
      </c>
      <c r="U35" s="201" t="e">
        <f t="array" ref="U35">_xlfn.IFS(AND($K35&gt;T$7,$L35&gt;T$7),0,AND($K35&lt;=T$7,$L35&lt;=T$7),1,AND($K35&lt;=T$7,$L35&gt;T$7),((T$7-$K35)/($L35-$K35)))</f>
        <v>#REF!</v>
      </c>
      <c r="V35" s="201" t="e">
        <f t="array" ref="V35">_xlfn.IFS(AND($K35&gt;U$7,$L35&gt;U$7),0,AND($K35&lt;=U$7,$L35&lt;=U$7),1,AND($K35&lt;=U$7,$L35&gt;U$7),((U$7-$K35)/($L35-$K35)))</f>
        <v>#REF!</v>
      </c>
      <c r="W35" s="201" t="e">
        <f t="array" ref="W35">_xlfn.IFS(AND($K35&gt;V$7,$L35&gt;V$7),0,AND($K35&lt;=V$7,$L35&lt;=V$7),1,AND($K35&lt;=V$7,$L35&gt;V$7),((V$7-$K35)/($L35-$K35)))</f>
        <v>#REF!</v>
      </c>
      <c r="X35" s="201" t="e">
        <f t="array" ref="X35">_xlfn.IFS(AND($K35&gt;W$7,$L35&gt;W$7),0,AND($K35&lt;=W$7,$L35&lt;=W$7),1,AND($K35&lt;=W$7,$L35&gt;W$7),((W$7-$K35)/($L35-$K35)))</f>
        <v>#REF!</v>
      </c>
      <c r="Y35" s="201" t="e">
        <f t="array" ref="Y35">_xlfn.IFS(AND($K35&gt;X$7,$L35&gt;X$7),0,AND($K35&lt;=X$7,$L35&lt;=X$7),1,AND($K35&lt;=X$7,$L35&gt;X$7),((X$7-$K35)/($L35-$K35)))</f>
        <v>#REF!</v>
      </c>
      <c r="Z35" s="201" t="e">
        <f t="array" ref="Z35">_xlfn.IFS(AND($K35&gt;Y$7,$L35&gt;Y$7),0,AND($K35&lt;=Y$7,$L35&lt;=Y$7),1,AND($K35&lt;=Y$7,$L35&gt;Y$7),((Y$7-$K35)/($L35-$K35)))</f>
        <v>#REF!</v>
      </c>
      <c r="AA35" s="201" t="e">
        <f t="array" ref="AA35">_xlfn.IFS(AND($K35&gt;Z$7,$L35&gt;Z$7),0,AND($K35&lt;=Z$7,$L35&lt;=Z$7),1,AND($K35&lt;=Z$7,$L35&gt;Z$7),((Z$7-$K35)/($L35-$K35)))</f>
        <v>#REF!</v>
      </c>
      <c r="AB35" s="201" t="e">
        <f t="array" ref="AB35">_xlfn.IFS(AND($K35&gt;AA$7,$L35&gt;AA$7),0,AND($K35&lt;=AA$7,$L35&lt;=AA$7),1,AND($K35&lt;=AA$7,$L35&gt;AA$7),((AA$7-$K35)/($L35-$K35)))</f>
        <v>#REF!</v>
      </c>
      <c r="AC35" s="201" t="e">
        <f t="array" ref="AC35">_xlfn.IFS(AND($K35&gt;AB$7,$L35&gt;AB$7),0,AND($K35&lt;=AB$7,$L35&lt;=AB$7),1,AND($K35&lt;=AB$7,$L35&gt;AB$7),((AB$7-$K35)/($L35-$K35)))</f>
        <v>#REF!</v>
      </c>
      <c r="AD35" s="201" t="e">
        <f t="array" ref="AD35">_xlfn.IFS(AND($K35&gt;AC$7,$L35&gt;AC$7),0,AND($K35&lt;=AC$7,$L35&lt;=AC$7),1,AND($K35&lt;=AC$7,$L35&gt;AC$7),((AC$7-$K35)/($L35-$K35)))</f>
        <v>#REF!</v>
      </c>
      <c r="AE35" s="201" t="e">
        <f t="array" ref="AE35">_xlfn.IFS(AND($K35&gt;AD$7,$L35&gt;AD$7),0,AND($K35&lt;=AD$7,$L35&lt;=AD$7),1,AND($K35&lt;=AD$7,$L35&gt;AD$7),((AD$7-$K35)/($L35-$K35)))</f>
        <v>#REF!</v>
      </c>
      <c r="AF35" s="201" t="e">
        <f t="array" ref="AF35">_xlfn.IFS(AND($K35&gt;AE$7,$L35&gt;AE$7),0,AND($K35&lt;=AE$7,$L35&lt;=AE$7),1,AND($K35&lt;=AE$7,$L35&gt;AE$7),((AE$7-$K35)/($L35-$K35)))</f>
        <v>#REF!</v>
      </c>
      <c r="AG35" s="201" t="e">
        <f t="array" ref="AG35">_xlfn.IFS(AND($K35&gt;AF$7,$L35&gt;AF$7),0,AND($K35&lt;=AF$7,$L35&lt;=AF$7),1,AND($K35&lt;=AF$7,$L35&gt;AF$7),((AF$7-$K35)/($L35-$K35)))</f>
        <v>#REF!</v>
      </c>
      <c r="AH35" s="201" t="e">
        <f t="array" ref="AH35">_xlfn.IFS(AND($K35&gt;AG$7,$L35&gt;AG$7),0,AND($K35&lt;=AG$7,$L35&lt;=AG$7),1,AND($K35&lt;=AG$7,$L35&gt;AG$7),((AG$7-$K35)/($L35-$K35)))</f>
        <v>#REF!</v>
      </c>
      <c r="AI35" s="201" t="e">
        <f t="array" ref="AI35">_xlfn.IFS(AND($K35&gt;AH$7,$L35&gt;AH$7),0,AND($K35&lt;=AH$7,$L35&lt;=AH$7),1,AND($K35&lt;=AH$7,$L35&gt;AH$7),((AH$7-$K35)/($L35-$K35)))</f>
        <v>#REF!</v>
      </c>
      <c r="AJ35" s="201" t="e">
        <f t="array" ref="AJ35">_xlfn.IFS(AND($K35&gt;AI$7,$L35&gt;AI$7),0,AND($K35&lt;=AI$7,$L35&lt;=AI$7),1,AND($K35&lt;=AI$7,$L35&gt;AI$7),((AI$7-$K35)/($L35-$K35)))</f>
        <v>#REF!</v>
      </c>
      <c r="AK35" s="201" t="e">
        <f t="array" ref="AK35">_xlfn.IFS(AND($K35&gt;AJ$7,$L35&gt;AJ$7),0,AND($K35&lt;=AJ$7,$L35&lt;=AJ$7),1,AND($K35&lt;=AJ$7,$L35&gt;AJ$7),((AJ$7-$K35)/($L35-$K35)))</f>
        <v>#REF!</v>
      </c>
      <c r="AL35" s="201" t="e">
        <f t="array" ref="AL35">_xlfn.IFS(AND($K35&gt;AK$7,$L35&gt;AK$7),0,AND($K35&lt;=AK$7,$L35&lt;=AK$7),1,AND($K35&lt;=AK$7,$L35&gt;AK$7),((AK$7-$K35)/($L35-$K35)))</f>
        <v>#REF!</v>
      </c>
      <c r="AM35" s="201" t="e">
        <f t="array" ref="AM35">_xlfn.IFS(AND($K35&gt;AL$7,$L35&gt;AL$7),0,AND($K35&lt;=AL$7,$L35&lt;=AL$7),1,AND($K35&lt;=AL$7,$L35&gt;AL$7),((AL$7-$K35)/($L35-$K35)))</f>
        <v>#REF!</v>
      </c>
      <c r="AN35" s="201" t="e">
        <f t="array" ref="AN35">_xlfn.IFS(AND($K35&gt;AM$7,$L35&gt;AM$7),0,AND($K35&lt;=AM$7,$L35&lt;=AM$7),1,AND($K35&lt;=AM$7,$L35&gt;AM$7),((AM$7-$K35)/($L35-$K35)))</f>
        <v>#REF!</v>
      </c>
      <c r="AO35" s="201" t="e">
        <f t="array" ref="AO35">_xlfn.IFS(AND($K35&gt;AN$7,$L35&gt;AN$7),0,AND($K35&lt;=AN$7,$L35&lt;=AN$7),1,AND($K35&lt;=AN$7,$L35&gt;AN$7),((AN$7-$K35)/($L35-$K35)))</f>
        <v>#REF!</v>
      </c>
      <c r="AP35" s="201" t="e">
        <f t="array" ref="AP35">_xlfn.IFS(AND($K35&gt;AO$7,$L35&gt;AO$7),0,AND($K35&lt;=AO$7,$L35&lt;=AO$7),1,AND($K35&lt;=AO$7,$L35&gt;AO$7),((AO$7-$K35)/($L35-$K35)))</f>
        <v>#REF!</v>
      </c>
      <c r="AQ35" s="201" t="e">
        <f t="array" ref="AQ35">_xlfn.IFS(AND($K35&gt;AP$7,$L35&gt;AP$7),0,AND($K35&lt;=AP$7,$L35&lt;=AP$7),1,AND($K35&lt;=AP$7,$L35&gt;AP$7),((AP$7-$K35)/($L35-$K35)))</f>
        <v>#REF!</v>
      </c>
      <c r="AR35" s="201" t="e">
        <f t="array" ref="AR35">_xlfn.IFS(AND($K35&gt;AQ$7,$L35&gt;AQ$7),0,AND($K35&lt;=AQ$7,$L35&lt;=AQ$7),1,AND($K35&lt;=AQ$7,$L35&gt;AQ$7),((AQ$7-$K35)/($L35-$K35)))</f>
        <v>#REF!</v>
      </c>
      <c r="AS35" s="201" t="e">
        <f t="array" ref="AS35">_xlfn.IFS(AND($K35&gt;AR$7,$L35&gt;AR$7),0,AND($K35&lt;=AR$7,$L35&lt;=AR$7),1,AND($K35&lt;=AR$7,$L35&gt;AR$7),((AR$7-$K35)/($L35-$K35)))</f>
        <v>#REF!</v>
      </c>
      <c r="AT35" s="201" t="e">
        <f t="array" ref="AT35">_xlfn.IFS(AND($K35&gt;AS$7,$L35&gt;AS$7),0,AND($K35&lt;=AS$7,$L35&lt;=AS$7),1,AND($K35&lt;=AS$7,$L35&gt;AS$7),((AS$7-$K35)/($L35-$K35)))</f>
        <v>#REF!</v>
      </c>
      <c r="AU35" s="201" t="e">
        <f t="array" ref="AU35">_xlfn.IFS(AND($K35&gt;AT$7,$L35&gt;AT$7),0,AND($K35&lt;=AT$7,$L35&lt;=AT$7),1,AND($K35&lt;=AT$7,$L35&gt;AT$7),((AT$7-$K35)/($L35-$K35)))</f>
        <v>#REF!</v>
      </c>
      <c r="AV35" s="201" t="e">
        <f t="array" ref="AV35">_xlfn.IFS(AND($K35&gt;AU$7,$L35&gt;AU$7),0,AND($K35&lt;=AU$7,$L35&lt;=AU$7),1,AND($K35&lt;=AU$7,$L35&gt;AU$7),((AU$7-$K35)/($L35-$K35)))</f>
        <v>#REF!</v>
      </c>
      <c r="AW35" s="201" t="e">
        <f t="array" ref="AW35">_xlfn.IFS(AND($K35&gt;AV$7,$L35&gt;AV$7),0,AND($K35&lt;=AV$7,$L35&lt;=AV$7),1,AND($K35&lt;=AV$7,$L35&gt;AV$7),((AV$7-$K35)/($L35-$K35)))</f>
        <v>#REF!</v>
      </c>
      <c r="AX35" s="201" t="e">
        <f t="array" ref="AX35">_xlfn.IFS(AND($K35&gt;AW$7,$L35&gt;AW$7),0,AND($K35&lt;=AW$7,$L35&lt;=AW$7),1,AND($K35&lt;=AW$7,$L35&gt;AW$7),((AW$7-$K35)/($L35-$K35)))</f>
        <v>#REF!</v>
      </c>
      <c r="AY35" s="201" t="e">
        <f t="array" ref="AY35">_xlfn.IFS(AND($K35&gt;AX$7,$L35&gt;AX$7),0,AND($K35&lt;=AX$7,$L35&lt;=AX$7),1,AND($K35&lt;=AX$7,$L35&gt;AX$7),((AX$7-$K35)/($L35-$K35)))</f>
        <v>#REF!</v>
      </c>
      <c r="AZ35" s="201" t="e">
        <f t="array" ref="AZ35">_xlfn.IFS(AND($K35&gt;AY$7,$L35&gt;AY$7),0,AND($K35&lt;=AY$7,$L35&lt;=AY$7),1,AND($K35&lt;=AY$7,$L35&gt;AY$7),((AY$7-$K35)/($L35-$K35)))</f>
        <v>#REF!</v>
      </c>
      <c r="BA35" s="201" t="e">
        <f t="array" ref="BA35">_xlfn.IFS(AND($K35&gt;AZ$7,$L35&gt;AZ$7),0,AND($K35&lt;=AZ$7,$L35&lt;=AZ$7),1,AND($K35&lt;=AZ$7,$L35&gt;AZ$7),((AZ$7-$K35)/($L35-$K35)))</f>
        <v>#REF!</v>
      </c>
      <c r="BB35" s="201" t="e">
        <f t="array" ref="BB35">_xlfn.IFS(AND($K35&gt;BA$7,$L35&gt;BA$7),0,AND($K35&lt;=BA$7,$L35&lt;=BA$7),1,AND($K35&lt;=BA$7,$L35&gt;BA$7),((BA$7-$K35)/($L35-$K35)))</f>
        <v>#REF!</v>
      </c>
      <c r="BC35" s="201" t="e">
        <f t="array" ref="BC35">_xlfn.IFS(AND($K35&gt;BB$7,$L35&gt;BB$7),0,AND($K35&lt;=BB$7,$L35&lt;=BB$7),1,AND($K35&lt;=BB$7,$L35&gt;BB$7),((BB$7-$K35)/($L35-$K35)))</f>
        <v>#REF!</v>
      </c>
      <c r="BD35" s="201" t="e">
        <f t="array" ref="BD35">_xlfn.IFS(AND($K35&gt;BC$7,$L35&gt;BC$7),0,AND($K35&lt;=BC$7,$L35&lt;=BC$7),1,AND($K35&lt;=BC$7,$L35&gt;BC$7),((BC$7-$K35)/($L35-$K35)))</f>
        <v>#REF!</v>
      </c>
      <c r="BE35" s="201" t="e">
        <f t="array" ref="BE35">_xlfn.IFS(AND($K35&gt;BD$7,$L35&gt;BD$7),0,AND($K35&lt;=BD$7,$L35&lt;=BD$7),1,AND($K35&lt;=BD$7,$L35&gt;BD$7),((BD$7-$K35)/($L35-$K35)))</f>
        <v>#REF!</v>
      </c>
      <c r="BF35" s="201" t="e">
        <f t="array" ref="BF35">_xlfn.IFS(AND($K35&gt;BE$7,$L35&gt;BE$7),0,AND($K35&lt;=BE$7,$L35&lt;=BE$7),1,AND($K35&lt;=BE$7,$L35&gt;BE$7),((BE$7-$K35)/($L35-$K35)))</f>
        <v>#REF!</v>
      </c>
      <c r="BG35" s="201" t="e">
        <f t="array" ref="BG35">_xlfn.IFS(AND($K35&gt;BF$7,$L35&gt;BF$7),0,AND($K35&lt;=BF$7,$L35&lt;=BF$7),1,AND($K35&lt;=BF$7,$L35&gt;BF$7),((BF$7-$K35)/($L35-$K35)))</f>
        <v>#REF!</v>
      </c>
      <c r="BH35" s="201" t="e">
        <f t="array" ref="BH35">_xlfn.IFS(AND($K35&gt;BG$7,$L35&gt;BG$7),0,AND($K35&lt;=BG$7,$L35&lt;=BG$7),1,AND($K35&lt;=BG$7,$L35&gt;BG$7),((BG$7-$K35)/($L35-$K35)))</f>
        <v>#REF!</v>
      </c>
      <c r="BI35" s="201" t="e">
        <f t="array" ref="BI35">_xlfn.IFS(AND($K35&gt;BH$7,$L35&gt;BH$7),0,AND($K35&lt;=BH$7,$L35&lt;=BH$7),1,AND($K35&lt;=BH$7,$L35&gt;BH$7),((BH$7-$K35)/($L35-$K35)))</f>
        <v>#REF!</v>
      </c>
      <c r="BJ35" s="201" t="e">
        <f t="array" ref="BJ35">_xlfn.IFS(AND($K35&gt;BI$7,$L35&gt;BI$7),0,AND($K35&lt;=BI$7,$L35&lt;=BI$7),1,AND($K35&lt;=BI$7,$L35&gt;BI$7),((BI$7-$K35)/($L35-$K35)))</f>
        <v>#REF!</v>
      </c>
      <c r="BK35" s="201" t="e">
        <f t="array" ref="BK35">_xlfn.IFS(AND($K35&gt;BJ$7,$L35&gt;BJ$7),0,AND($K35&lt;=BJ$7,$L35&lt;=BJ$7),1,AND($K35&lt;=BJ$7,$L35&gt;BJ$7),((BJ$7-$K35)/($L35-$K35)))</f>
        <v>#REF!</v>
      </c>
      <c r="BL35" s="201" t="e">
        <f t="array" ref="BL35">_xlfn.IFS(AND($K35&gt;BK$7,$L35&gt;BK$7),0,AND($K35&lt;=BK$7,$L35&lt;=BK$7),1,AND($K35&lt;=BK$7,$L35&gt;BK$7),((BK$7-$K35)/($L35-$K35)))</f>
        <v>#REF!</v>
      </c>
      <c r="BM35" s="201" t="e">
        <f t="array" ref="BM35">_xlfn.IFS(AND($K35&gt;BL$7,$L35&gt;BL$7),0,AND($K35&lt;=BL$7,$L35&lt;=BL$7),1,AND($K35&lt;=BL$7,$L35&gt;BL$7),((BL$7-$K35)/($L35-$K35)))</f>
        <v>#REF!</v>
      </c>
      <c r="BN35" s="201" t="e">
        <f t="array" ref="BN35">_xlfn.IFS(AND($K35&gt;BM$7,$L35&gt;BM$7),0,AND($K35&lt;=BM$7,$L35&lt;=BM$7),1,AND($K35&lt;=BM$7,$L35&gt;BM$7),((BM$7-$K35)/($L35-$K35)))</f>
        <v>#REF!</v>
      </c>
    </row>
    <row r="36" spans="2:66" ht="15" customHeight="1" x14ac:dyDescent="0.3">
      <c r="B36" s="174" t="str">
        <f t="array" ref="B36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36" s="174" t="s">
        <v>120</v>
      </c>
      <c r="D36" s="177" t="str">
        <f t="shared" ref="D36:D46" si="26">$H$11</f>
        <v>Arquitetura de projetos GERDAU</v>
      </c>
      <c r="E36" s="170" t="str">
        <f t="shared" si="12"/>
        <v>Definição da Estratégia para Transformação dos Processos</v>
      </c>
      <c r="F36" s="174" t="str">
        <f t="shared" si="23"/>
        <v>Entendimento Inicial dos Processos</v>
      </c>
      <c r="G36" s="174" t="s">
        <v>121</v>
      </c>
      <c r="H36" s="195" t="s">
        <v>122</v>
      </c>
      <c r="I36" s="174">
        <f>MIN(I37)</f>
        <v>45705</v>
      </c>
      <c r="J36" s="174">
        <f>MAX(J37)</f>
        <v>45715</v>
      </c>
      <c r="K36" s="174">
        <f>MIN(K37)</f>
        <v>45705</v>
      </c>
      <c r="L36" s="174">
        <f>MAX(L37)</f>
        <v>45722</v>
      </c>
      <c r="M36" s="175"/>
      <c r="N36" s="175" t="str">
        <f t="array" ref="N36">_xlfn.IFS(L36&lt;$M$3,"Concluído",AND(K36&gt;=$M$3,I36&lt;$M$3,L36&gt;$M$3),"Em andamento",AND(L36&gt;=$M$3,J36&lt;$M$3),"Atrasado",AND(L36&gt;=$M$3,J36&gt;=$M$3,I36&gt;$M$3,K36&lt;=$M$3),"Em andamento",AND(L36&gt;=$M$3,J36&gt;=$M$3,I36&lt;=$M$3,K36&lt;=$M$3),"Em andamento",AND(K36&gt;$M$3,I36&gt;$M$3),"Não iniciado",AND(L36&gt;=$M$3,J36&gt;=$M$3,K36&gt;=$M$3,I36&lt;$M$3),"Atrasado",AND(L36&gt;=$M$3,J36&gt;=$M$3,K36&gt;=$M$3,I36&gt;$M$3),"Não iniciado",AND($I36&lt;=$M$3,$K36&gt;$M$3),"Atrasado")</f>
        <v>Concluído</v>
      </c>
      <c r="O36" s="175">
        <f t="array" ref="O36">_xlfn.IFS(N36="Não iniciado",0,N36="Em andamento",1,N36="Concluído",2,N36="Atrasado",3)</f>
        <v>2</v>
      </c>
      <c r="P36" s="176"/>
      <c r="Q36" s="156">
        <f t="array" ref="Q36">_xlfn.IFS(AND($I36&lt;$M$3,$J36&lt;$M$3),1,AND($I36&lt;$M$3,$J36&gt;=$M$3),0.5,AND($I36&gt;=$M$3,$J36&gt;=$M$3),0)</f>
        <v>1</v>
      </c>
      <c r="R36" s="156">
        <f t="array" ref="R36">_xlfn.IFS(AND($I36&lt;$M$3,$J36&lt;$M$3),1,AND($I36&lt;$M$3,$J36&gt;=$M$3),0.5,AND($I36&gt;=$M$3,$J36&gt;=$M$3),0)</f>
        <v>1</v>
      </c>
      <c r="S36" s="205" t="e">
        <f t="array" ref="S36">_xlfn.IFS(AND($K36&gt;R$7,$L36&gt;R$7),0,AND($K36&lt;=R$7,$L36&lt;=R$7),1,AND($K36&lt;=R$7,$L36&gt;R$7),((R$7-$K36)/($L36-$K36)))</f>
        <v>#REF!</v>
      </c>
      <c r="T36" s="205" t="e">
        <f t="array" ref="T36">_xlfn.IFS(AND($K36&gt;S$7,$L36&gt;S$7),0,AND($K36&lt;=S$7,$L36&lt;=S$7),1,AND($K36&lt;=S$7,$L36&gt;S$7),((S$7-$K36)/($L36-$K36)))</f>
        <v>#REF!</v>
      </c>
      <c r="U36" s="205" t="e">
        <f t="array" ref="U36">_xlfn.IFS(AND($K36&gt;T$7,$L36&gt;T$7),0,AND($K36&lt;=T$7,$L36&lt;=T$7),1,AND($K36&lt;=T$7,$L36&gt;T$7),((T$7-$K36)/($L36-$K36)))</f>
        <v>#REF!</v>
      </c>
      <c r="V36" s="205" t="e">
        <f t="array" ref="V36">_xlfn.IFS(AND($K36&gt;U$7,$L36&gt;U$7),0,AND($K36&lt;=U$7,$L36&lt;=U$7),1,AND($K36&lt;=U$7,$L36&gt;U$7),((U$7-$K36)/($L36-$K36)))</f>
        <v>#REF!</v>
      </c>
      <c r="W36" s="205" t="e">
        <f t="array" ref="W36">_xlfn.IFS(AND($K36&gt;V$7,$L36&gt;V$7),0,AND($K36&lt;=V$7,$L36&lt;=V$7),1,AND($K36&lt;=V$7,$L36&gt;V$7),((V$7-$K36)/($L36-$K36)))</f>
        <v>#REF!</v>
      </c>
      <c r="X36" s="205" t="e">
        <f t="array" ref="X36">_xlfn.IFS(AND($K36&gt;W$7,$L36&gt;W$7),0,AND($K36&lt;=W$7,$L36&lt;=W$7),1,AND($K36&lt;=W$7,$L36&gt;W$7),((W$7-$K36)/($L36-$K36)))</f>
        <v>#REF!</v>
      </c>
      <c r="Y36" s="205" t="e">
        <f t="array" ref="Y36">_xlfn.IFS(AND($K36&gt;X$7,$L36&gt;X$7),0,AND($K36&lt;=X$7,$L36&lt;=X$7),1,AND($K36&lt;=X$7,$L36&gt;X$7),((X$7-$K36)/($L36-$K36)))</f>
        <v>#REF!</v>
      </c>
      <c r="Z36" s="205" t="e">
        <f t="array" ref="Z36">_xlfn.IFS(AND($K36&gt;Y$7,$L36&gt;Y$7),0,AND($K36&lt;=Y$7,$L36&lt;=Y$7),1,AND($K36&lt;=Y$7,$L36&gt;Y$7),((Y$7-$K36)/($L36-$K36)))</f>
        <v>#REF!</v>
      </c>
      <c r="AA36" s="205" t="e">
        <f t="array" ref="AA36">_xlfn.IFS(AND($K36&gt;Z$7,$L36&gt;Z$7),0,AND($K36&lt;=Z$7,$L36&lt;=Z$7),1,AND($K36&lt;=Z$7,$L36&gt;Z$7),((Z$7-$K36)/($L36-$K36)))</f>
        <v>#REF!</v>
      </c>
      <c r="AB36" s="205" t="e">
        <f t="array" ref="AB36">_xlfn.IFS(AND($K36&gt;AA$7,$L36&gt;AA$7),0,AND($K36&lt;=AA$7,$L36&lt;=AA$7),1,AND($K36&lt;=AA$7,$L36&gt;AA$7),((AA$7-$K36)/($L36-$K36)))</f>
        <v>#REF!</v>
      </c>
      <c r="AC36" s="205" t="e">
        <f t="array" ref="AC36">_xlfn.IFS(AND($K36&gt;AB$7,$L36&gt;AB$7),0,AND($K36&lt;=AB$7,$L36&lt;=AB$7),1,AND($K36&lt;=AB$7,$L36&gt;AB$7),((AB$7-$K36)/($L36-$K36)))</f>
        <v>#REF!</v>
      </c>
      <c r="AD36" s="205" t="e">
        <f t="array" ref="AD36">_xlfn.IFS(AND($K36&gt;AC$7,$L36&gt;AC$7),0,AND($K36&lt;=AC$7,$L36&lt;=AC$7),1,AND($K36&lt;=AC$7,$L36&gt;AC$7),((AC$7-$K36)/($L36-$K36)))</f>
        <v>#REF!</v>
      </c>
      <c r="AE36" s="205" t="e">
        <f t="array" ref="AE36">_xlfn.IFS(AND($K36&gt;AD$7,$L36&gt;AD$7),0,AND($K36&lt;=AD$7,$L36&lt;=AD$7),1,AND($K36&lt;=AD$7,$L36&gt;AD$7),((AD$7-$K36)/($L36-$K36)))</f>
        <v>#REF!</v>
      </c>
      <c r="AF36" s="205" t="e">
        <f t="array" ref="AF36">_xlfn.IFS(AND($K36&gt;AE$7,$L36&gt;AE$7),0,AND($K36&lt;=AE$7,$L36&lt;=AE$7),1,AND($K36&lt;=AE$7,$L36&gt;AE$7),((AE$7-$K36)/($L36-$K36)))</f>
        <v>#REF!</v>
      </c>
      <c r="AG36" s="205" t="e">
        <f t="array" ref="AG36">_xlfn.IFS(AND($K36&gt;AF$7,$L36&gt;AF$7),0,AND($K36&lt;=AF$7,$L36&lt;=AF$7),1,AND($K36&lt;=AF$7,$L36&gt;AF$7),((AF$7-$K36)/($L36-$K36)))</f>
        <v>#REF!</v>
      </c>
      <c r="AH36" s="205" t="e">
        <f t="array" ref="AH36">_xlfn.IFS(AND($K36&gt;AG$7,$L36&gt;AG$7),0,AND($K36&lt;=AG$7,$L36&lt;=AG$7),1,AND($K36&lt;=AG$7,$L36&gt;AG$7),((AG$7-$K36)/($L36-$K36)))</f>
        <v>#REF!</v>
      </c>
      <c r="AI36" s="205" t="e">
        <f t="array" ref="AI36">_xlfn.IFS(AND($K36&gt;AH$7,$L36&gt;AH$7),0,AND($K36&lt;=AH$7,$L36&lt;=AH$7),1,AND($K36&lt;=AH$7,$L36&gt;AH$7),((AH$7-$K36)/($L36-$K36)))</f>
        <v>#REF!</v>
      </c>
      <c r="AJ36" s="205" t="e">
        <f t="array" ref="AJ36">_xlfn.IFS(AND($K36&gt;AI$7,$L36&gt;AI$7),0,AND($K36&lt;=AI$7,$L36&lt;=AI$7),1,AND($K36&lt;=AI$7,$L36&gt;AI$7),((AI$7-$K36)/($L36-$K36)))</f>
        <v>#REF!</v>
      </c>
      <c r="AK36" s="205" t="e">
        <f t="array" ref="AK36">_xlfn.IFS(AND($K36&gt;AJ$7,$L36&gt;AJ$7),0,AND($K36&lt;=AJ$7,$L36&lt;=AJ$7),1,AND($K36&lt;=AJ$7,$L36&gt;AJ$7),((AJ$7-$K36)/($L36-$K36)))</f>
        <v>#REF!</v>
      </c>
      <c r="AL36" s="205" t="e">
        <f t="array" ref="AL36">_xlfn.IFS(AND($K36&gt;AK$7,$L36&gt;AK$7),0,AND($K36&lt;=AK$7,$L36&lt;=AK$7),1,AND($K36&lt;=AK$7,$L36&gt;AK$7),((AK$7-$K36)/($L36-$K36)))</f>
        <v>#REF!</v>
      </c>
      <c r="AM36" s="205" t="e">
        <f t="array" ref="AM36">_xlfn.IFS(AND($K36&gt;AL$7,$L36&gt;AL$7),0,AND($K36&lt;=AL$7,$L36&lt;=AL$7),1,AND($K36&lt;=AL$7,$L36&gt;AL$7),((AL$7-$K36)/($L36-$K36)))</f>
        <v>#REF!</v>
      </c>
      <c r="AN36" s="205" t="e">
        <f t="array" ref="AN36">_xlfn.IFS(AND($K36&gt;AM$7,$L36&gt;AM$7),0,AND($K36&lt;=AM$7,$L36&lt;=AM$7),1,AND($K36&lt;=AM$7,$L36&gt;AM$7),((AM$7-$K36)/($L36-$K36)))</f>
        <v>#REF!</v>
      </c>
      <c r="AO36" s="205" t="e">
        <f t="array" ref="AO36">_xlfn.IFS(AND($K36&gt;AN$7,$L36&gt;AN$7),0,AND($K36&lt;=AN$7,$L36&lt;=AN$7),1,AND($K36&lt;=AN$7,$L36&gt;AN$7),((AN$7-$K36)/($L36-$K36)))</f>
        <v>#REF!</v>
      </c>
      <c r="AP36" s="205" t="e">
        <f t="array" ref="AP36">_xlfn.IFS(AND($K36&gt;AO$7,$L36&gt;AO$7),0,AND($K36&lt;=AO$7,$L36&lt;=AO$7),1,AND($K36&lt;=AO$7,$L36&gt;AO$7),((AO$7-$K36)/($L36-$K36)))</f>
        <v>#REF!</v>
      </c>
      <c r="AQ36" s="205" t="e">
        <f t="array" ref="AQ36">_xlfn.IFS(AND($K36&gt;AP$7,$L36&gt;AP$7),0,AND($K36&lt;=AP$7,$L36&lt;=AP$7),1,AND($K36&lt;=AP$7,$L36&gt;AP$7),((AP$7-$K36)/($L36-$K36)))</f>
        <v>#REF!</v>
      </c>
      <c r="AR36" s="205" t="e">
        <f t="array" ref="AR36">_xlfn.IFS(AND($K36&gt;AQ$7,$L36&gt;AQ$7),0,AND($K36&lt;=AQ$7,$L36&lt;=AQ$7),1,AND($K36&lt;=AQ$7,$L36&gt;AQ$7),((AQ$7-$K36)/($L36-$K36)))</f>
        <v>#REF!</v>
      </c>
      <c r="AS36" s="205" t="e">
        <f t="array" ref="AS36">_xlfn.IFS(AND($K36&gt;AR$7,$L36&gt;AR$7),0,AND($K36&lt;=AR$7,$L36&lt;=AR$7),1,AND($K36&lt;=AR$7,$L36&gt;AR$7),((AR$7-$K36)/($L36-$K36)))</f>
        <v>#REF!</v>
      </c>
      <c r="AT36" s="205" t="e">
        <f t="array" ref="AT36">_xlfn.IFS(AND($K36&gt;AS$7,$L36&gt;AS$7),0,AND($K36&lt;=AS$7,$L36&lt;=AS$7),1,AND($K36&lt;=AS$7,$L36&gt;AS$7),((AS$7-$K36)/($L36-$K36)))</f>
        <v>#REF!</v>
      </c>
      <c r="AU36" s="205" t="e">
        <f t="array" ref="AU36">_xlfn.IFS(AND($K36&gt;AT$7,$L36&gt;AT$7),0,AND($K36&lt;=AT$7,$L36&lt;=AT$7),1,AND($K36&lt;=AT$7,$L36&gt;AT$7),((AT$7-$K36)/($L36-$K36)))</f>
        <v>#REF!</v>
      </c>
      <c r="AV36" s="205" t="e">
        <f t="array" ref="AV36">_xlfn.IFS(AND($K36&gt;AU$7,$L36&gt;AU$7),0,AND($K36&lt;=AU$7,$L36&lt;=AU$7),1,AND($K36&lt;=AU$7,$L36&gt;AU$7),((AU$7-$K36)/($L36-$K36)))</f>
        <v>#REF!</v>
      </c>
      <c r="AW36" s="205" t="e">
        <f t="array" ref="AW36">_xlfn.IFS(AND($K36&gt;AV$7,$L36&gt;AV$7),0,AND($K36&lt;=AV$7,$L36&lt;=AV$7),1,AND($K36&lt;=AV$7,$L36&gt;AV$7),((AV$7-$K36)/($L36-$K36)))</f>
        <v>#REF!</v>
      </c>
      <c r="AX36" s="205" t="e">
        <f t="array" ref="AX36">_xlfn.IFS(AND($K36&gt;AW$7,$L36&gt;AW$7),0,AND($K36&lt;=AW$7,$L36&lt;=AW$7),1,AND($K36&lt;=AW$7,$L36&gt;AW$7),((AW$7-$K36)/($L36-$K36)))</f>
        <v>#REF!</v>
      </c>
      <c r="AY36" s="205" t="e">
        <f t="array" ref="AY36">_xlfn.IFS(AND($K36&gt;AX$7,$L36&gt;AX$7),0,AND($K36&lt;=AX$7,$L36&lt;=AX$7),1,AND($K36&lt;=AX$7,$L36&gt;AX$7),((AX$7-$K36)/($L36-$K36)))</f>
        <v>#REF!</v>
      </c>
      <c r="AZ36" s="205" t="e">
        <f t="array" ref="AZ36">_xlfn.IFS(AND($K36&gt;AY$7,$L36&gt;AY$7),0,AND($K36&lt;=AY$7,$L36&lt;=AY$7),1,AND($K36&lt;=AY$7,$L36&gt;AY$7),((AY$7-$K36)/($L36-$K36)))</f>
        <v>#REF!</v>
      </c>
      <c r="BA36" s="205" t="e">
        <f t="array" ref="BA36">_xlfn.IFS(AND($K36&gt;AZ$7,$L36&gt;AZ$7),0,AND($K36&lt;=AZ$7,$L36&lt;=AZ$7),1,AND($K36&lt;=AZ$7,$L36&gt;AZ$7),((AZ$7-$K36)/($L36-$K36)))</f>
        <v>#REF!</v>
      </c>
      <c r="BB36" s="205" t="e">
        <f t="array" ref="BB36">_xlfn.IFS(AND($K36&gt;BA$7,$L36&gt;BA$7),0,AND($K36&lt;=BA$7,$L36&lt;=BA$7),1,AND($K36&lt;=BA$7,$L36&gt;BA$7),((BA$7-$K36)/($L36-$K36)))</f>
        <v>#REF!</v>
      </c>
      <c r="BC36" s="205" t="e">
        <f t="array" ref="BC36">_xlfn.IFS(AND($K36&gt;BB$7,$L36&gt;BB$7),0,AND($K36&lt;=BB$7,$L36&lt;=BB$7),1,AND($K36&lt;=BB$7,$L36&gt;BB$7),((BB$7-$K36)/($L36-$K36)))</f>
        <v>#REF!</v>
      </c>
      <c r="BD36" s="205" t="e">
        <f t="array" ref="BD36">_xlfn.IFS(AND($K36&gt;BC$7,$L36&gt;BC$7),0,AND($K36&lt;=BC$7,$L36&lt;=BC$7),1,AND($K36&lt;=BC$7,$L36&gt;BC$7),((BC$7-$K36)/($L36-$K36)))</f>
        <v>#REF!</v>
      </c>
      <c r="BE36" s="205" t="e">
        <f t="array" ref="BE36">_xlfn.IFS(AND($K36&gt;BD$7,$L36&gt;BD$7),0,AND($K36&lt;=BD$7,$L36&lt;=BD$7),1,AND($K36&lt;=BD$7,$L36&gt;BD$7),((BD$7-$K36)/($L36-$K36)))</f>
        <v>#REF!</v>
      </c>
      <c r="BF36" s="205" t="e">
        <f t="array" ref="BF36">_xlfn.IFS(AND($K36&gt;BE$7,$L36&gt;BE$7),0,AND($K36&lt;=BE$7,$L36&lt;=BE$7),1,AND($K36&lt;=BE$7,$L36&gt;BE$7),((BE$7-$K36)/($L36-$K36)))</f>
        <v>#REF!</v>
      </c>
      <c r="BG36" s="205" t="e">
        <f t="array" ref="BG36">_xlfn.IFS(AND($K36&gt;BF$7,$L36&gt;BF$7),0,AND($K36&lt;=BF$7,$L36&lt;=BF$7),1,AND($K36&lt;=BF$7,$L36&gt;BF$7),((BF$7-$K36)/($L36-$K36)))</f>
        <v>#REF!</v>
      </c>
      <c r="BH36" s="205" t="e">
        <f t="array" ref="BH36">_xlfn.IFS(AND($K36&gt;BG$7,$L36&gt;BG$7),0,AND($K36&lt;=BG$7,$L36&lt;=BG$7),1,AND($K36&lt;=BG$7,$L36&gt;BG$7),((BG$7-$K36)/($L36-$K36)))</f>
        <v>#REF!</v>
      </c>
      <c r="BI36" s="205" t="e">
        <f t="array" ref="BI36">_xlfn.IFS(AND($K36&gt;BH$7,$L36&gt;BH$7),0,AND($K36&lt;=BH$7,$L36&lt;=BH$7),1,AND($K36&lt;=BH$7,$L36&gt;BH$7),((BH$7-$K36)/($L36-$K36)))</f>
        <v>#REF!</v>
      </c>
      <c r="BJ36" s="205" t="e">
        <f t="array" ref="BJ36">_xlfn.IFS(AND($K36&gt;BI$7,$L36&gt;BI$7),0,AND($K36&lt;=BI$7,$L36&lt;=BI$7),1,AND($K36&lt;=BI$7,$L36&gt;BI$7),((BI$7-$K36)/($L36-$K36)))</f>
        <v>#REF!</v>
      </c>
      <c r="BK36" s="205" t="e">
        <f t="array" ref="BK36">_xlfn.IFS(AND($K36&gt;BJ$7,$L36&gt;BJ$7),0,AND($K36&lt;=BJ$7,$L36&lt;=BJ$7),1,AND($K36&lt;=BJ$7,$L36&gt;BJ$7),((BJ$7-$K36)/($L36-$K36)))</f>
        <v>#REF!</v>
      </c>
      <c r="BL36" s="205" t="e">
        <f t="array" ref="BL36">_xlfn.IFS(AND($K36&gt;BK$7,$L36&gt;BK$7),0,AND($K36&lt;=BK$7,$L36&lt;=BK$7),1,AND($K36&lt;=BK$7,$L36&gt;BK$7),((BK$7-$K36)/($L36-$K36)))</f>
        <v>#REF!</v>
      </c>
      <c r="BM36" s="205" t="e">
        <f t="array" ref="BM36">_xlfn.IFS(AND($K36&gt;BL$7,$L36&gt;BL$7),0,AND($K36&lt;=BL$7,$L36&lt;=BL$7),1,AND($K36&lt;=BL$7,$L36&gt;BL$7),((BL$7-$K36)/($L36-$K36)))</f>
        <v>#REF!</v>
      </c>
      <c r="BN36" s="205" t="e">
        <f t="array" ref="BN36">_xlfn.IFS(AND($K36&gt;BM$7,$L36&gt;BM$7),0,AND($K36&lt;=BM$7,$L36&lt;=BM$7),1,AND($K36&lt;=BM$7,$L36&gt;BM$7),((BM$7-$K36)/($L36-$K36)))</f>
        <v>#REF!</v>
      </c>
    </row>
    <row r="37" spans="2:66" s="163" customFormat="1" ht="15" customHeight="1" collapsed="1" x14ac:dyDescent="0.3">
      <c r="B37" s="166" t="str">
        <f t="array" ref="B37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37" s="166" t="s">
        <v>123</v>
      </c>
      <c r="D37" s="177" t="str">
        <f t="shared" si="26"/>
        <v>Arquitetura de projetos GERDAU</v>
      </c>
      <c r="E37" s="170" t="str">
        <f t="shared" si="12"/>
        <v>Definição da Estratégia para Transformação dos Processos</v>
      </c>
      <c r="F37" s="174" t="str">
        <f t="shared" si="23"/>
        <v>Entendimento Inicial dos Processos</v>
      </c>
      <c r="G37" s="166" t="str">
        <f>H36</f>
        <v>Identificação de Ferramentas e Sistemas</v>
      </c>
      <c r="H37" s="197" t="s">
        <v>122</v>
      </c>
      <c r="I37" s="166">
        <v>45705</v>
      </c>
      <c r="J37" s="40">
        <v>45715</v>
      </c>
      <c r="K37" s="166">
        <v>45705</v>
      </c>
      <c r="L37" s="40">
        <v>45722</v>
      </c>
      <c r="M37" s="167"/>
      <c r="N37" s="167" t="str">
        <f t="array" ref="N37">_xlfn.IFS(L37&lt;$M$3,"Concluído",AND(K37&gt;=$M$3,I37&lt;$M$3,L37&gt;$M$3),"Em andamento",AND(L37&gt;=$M$3,J37&lt;$M$3),"Atrasado",AND(L37&gt;=$M$3,J37&gt;=$M$3,I37&gt;$M$3,K37&lt;=$M$3),"Em andamento",AND(L37&gt;=$M$3,J37&gt;=$M$3,I37&lt;=$M$3,K37&lt;=$M$3),"Em andamento",AND(K37&gt;$M$3,I37&gt;$M$3),"Não iniciado",AND(L37&gt;=$M$3,J37&gt;=$M$3,K37&gt;=$M$3,I37&lt;$M$3),"Atrasado",AND(L37&gt;=$M$3,J37&gt;=$M$3,K37&gt;=$M$3,I37&gt;$M$3),"Não iniciado",AND($I37&lt;=$M$3,$K37&gt;$M$3),"Atrasado")</f>
        <v>Concluído</v>
      </c>
      <c r="O37" s="167">
        <f t="array" ref="O37">_xlfn.IFS(N37="Não iniciado",0,N37="Em andamento",1,N37="Concluído",2,N37="Atrasado",3)</f>
        <v>2</v>
      </c>
      <c r="P37" s="169"/>
      <c r="Q37" s="152">
        <f t="array" aca="1" ref="Q37" ca="1">_xlfn.IFS(AND($I37&lt;$N$3,$J37&lt;$N$3),1,AND($I37&lt;=$N$3,$J37&gt;=$N$3),0.5,AND($I37&gt;=$N$3,$J37&gt;=$N$3),0)</f>
        <v>1</v>
      </c>
      <c r="R37" s="152">
        <f t="array" aca="1" ref="R37" ca="1">_xlfn.IFS(AND($K37&lt;$N$3,$L37&lt;$N$3),1,AND($K37&lt;=$N$3,$L37&gt;=$N$3),0.5,AND($K37&gt;=$N$3,$L37&gt;=$N$3),0)</f>
        <v>1</v>
      </c>
      <c r="S37" s="201" t="e">
        <f t="array" ref="S37">_xlfn.IFS(AND($K37&gt;R$7,$L37&gt;R$7),0,AND($K37&lt;=R$7,$L37&lt;=R$7),1,AND($K37&lt;=R$7,$L37&gt;R$7),((R$7-$K37)/($L37-$K37)))</f>
        <v>#REF!</v>
      </c>
      <c r="T37" s="201" t="e">
        <f t="array" ref="T37">_xlfn.IFS(AND($K37&gt;S$7,$L37&gt;S$7),0,AND($K37&lt;=S$7,$L37&lt;=S$7),1,AND($K37&lt;=S$7,$L37&gt;S$7),((S$7-$K37)/($L37-$K37)))</f>
        <v>#REF!</v>
      </c>
      <c r="U37" s="201" t="e">
        <f t="array" ref="U37">_xlfn.IFS(AND($K37&gt;T$7,$L37&gt;T$7),0,AND($K37&lt;=T$7,$L37&lt;=T$7),1,AND($K37&lt;=T$7,$L37&gt;T$7),((T$7-$K37)/($L37-$K37)))</f>
        <v>#REF!</v>
      </c>
      <c r="V37" s="201" t="e">
        <f t="array" ref="V37">_xlfn.IFS(AND($K37&gt;U$7,$L37&gt;U$7),0,AND($K37&lt;=U$7,$L37&lt;=U$7),1,AND($K37&lt;=U$7,$L37&gt;U$7),((U$7-$K37)/($L37-$K37)))</f>
        <v>#REF!</v>
      </c>
      <c r="W37" s="201" t="e">
        <f t="array" ref="W37">_xlfn.IFS(AND($K37&gt;V$7,$L37&gt;V$7),0,AND($K37&lt;=V$7,$L37&lt;=V$7),1,AND($K37&lt;=V$7,$L37&gt;V$7),((V$7-$K37)/($L37-$K37)))</f>
        <v>#REF!</v>
      </c>
      <c r="X37" s="201" t="e">
        <f t="array" ref="X37">_xlfn.IFS(AND($K37&gt;W$7,$L37&gt;W$7),0,AND($K37&lt;=W$7,$L37&lt;=W$7),1,AND($K37&lt;=W$7,$L37&gt;W$7),((W$7-$K37)/($L37-$K37)))</f>
        <v>#REF!</v>
      </c>
      <c r="Y37" s="201" t="e">
        <f t="array" ref="Y37">_xlfn.IFS(AND($K37&gt;X$7,$L37&gt;X$7),0,AND($K37&lt;=X$7,$L37&lt;=X$7),1,AND($K37&lt;=X$7,$L37&gt;X$7),((X$7-$K37)/($L37-$K37)))</f>
        <v>#REF!</v>
      </c>
      <c r="Z37" s="201" t="e">
        <f t="array" ref="Z37">_xlfn.IFS(AND($K37&gt;Y$7,$L37&gt;Y$7),0,AND($K37&lt;=Y$7,$L37&lt;=Y$7),1,AND($K37&lt;=Y$7,$L37&gt;Y$7),((Y$7-$K37)/($L37-$K37)))</f>
        <v>#REF!</v>
      </c>
      <c r="AA37" s="201" t="e">
        <f t="array" ref="AA37">_xlfn.IFS(AND($K37&gt;Z$7,$L37&gt;Z$7),0,AND($K37&lt;=Z$7,$L37&lt;=Z$7),1,AND($K37&lt;=Z$7,$L37&gt;Z$7),((Z$7-$K37)/($L37-$K37)))</f>
        <v>#REF!</v>
      </c>
      <c r="AB37" s="201" t="e">
        <f t="array" ref="AB37">_xlfn.IFS(AND($K37&gt;AA$7,$L37&gt;AA$7),0,AND($K37&lt;=AA$7,$L37&lt;=AA$7),1,AND($K37&lt;=AA$7,$L37&gt;AA$7),((AA$7-$K37)/($L37-$K37)))</f>
        <v>#REF!</v>
      </c>
      <c r="AC37" s="201" t="e">
        <f t="array" ref="AC37">_xlfn.IFS(AND($K37&gt;AB$7,$L37&gt;AB$7),0,AND($K37&lt;=AB$7,$L37&lt;=AB$7),1,AND($K37&lt;=AB$7,$L37&gt;AB$7),((AB$7-$K37)/($L37-$K37)))</f>
        <v>#REF!</v>
      </c>
      <c r="AD37" s="201" t="e">
        <f t="array" ref="AD37">_xlfn.IFS(AND($K37&gt;AC$7,$L37&gt;AC$7),0,AND($K37&lt;=AC$7,$L37&lt;=AC$7),1,AND($K37&lt;=AC$7,$L37&gt;AC$7),((AC$7-$K37)/($L37-$K37)))</f>
        <v>#REF!</v>
      </c>
      <c r="AE37" s="201" t="e">
        <f t="array" ref="AE37">_xlfn.IFS(AND($K37&gt;AD$7,$L37&gt;AD$7),0,AND($K37&lt;=AD$7,$L37&lt;=AD$7),1,AND($K37&lt;=AD$7,$L37&gt;AD$7),((AD$7-$K37)/($L37-$K37)))</f>
        <v>#REF!</v>
      </c>
      <c r="AF37" s="201" t="e">
        <f t="array" ref="AF37">_xlfn.IFS(AND($K37&gt;AE$7,$L37&gt;AE$7),0,AND($K37&lt;=AE$7,$L37&lt;=AE$7),1,AND($K37&lt;=AE$7,$L37&gt;AE$7),((AE$7-$K37)/($L37-$K37)))</f>
        <v>#REF!</v>
      </c>
      <c r="AG37" s="201" t="e">
        <f t="array" ref="AG37">_xlfn.IFS(AND($K37&gt;AF$7,$L37&gt;AF$7),0,AND($K37&lt;=AF$7,$L37&lt;=AF$7),1,AND($K37&lt;=AF$7,$L37&gt;AF$7),((AF$7-$K37)/($L37-$K37)))</f>
        <v>#REF!</v>
      </c>
      <c r="AH37" s="201" t="e">
        <f t="array" ref="AH37">_xlfn.IFS(AND($K37&gt;AG$7,$L37&gt;AG$7),0,AND($K37&lt;=AG$7,$L37&lt;=AG$7),1,AND($K37&lt;=AG$7,$L37&gt;AG$7),((AG$7-$K37)/($L37-$K37)))</f>
        <v>#REF!</v>
      </c>
      <c r="AI37" s="201" t="e">
        <f t="array" ref="AI37">_xlfn.IFS(AND($K37&gt;AH$7,$L37&gt;AH$7),0,AND($K37&lt;=AH$7,$L37&lt;=AH$7),1,AND($K37&lt;=AH$7,$L37&gt;AH$7),((AH$7-$K37)/($L37-$K37)))</f>
        <v>#REF!</v>
      </c>
      <c r="AJ37" s="201" t="e">
        <f t="array" ref="AJ37">_xlfn.IFS(AND($K37&gt;AI$7,$L37&gt;AI$7),0,AND($K37&lt;=AI$7,$L37&lt;=AI$7),1,AND($K37&lt;=AI$7,$L37&gt;AI$7),((AI$7-$K37)/($L37-$K37)))</f>
        <v>#REF!</v>
      </c>
      <c r="AK37" s="201" t="e">
        <f t="array" ref="AK37">_xlfn.IFS(AND($K37&gt;AJ$7,$L37&gt;AJ$7),0,AND($K37&lt;=AJ$7,$L37&lt;=AJ$7),1,AND($K37&lt;=AJ$7,$L37&gt;AJ$7),((AJ$7-$K37)/($L37-$K37)))</f>
        <v>#REF!</v>
      </c>
      <c r="AL37" s="201" t="e">
        <f t="array" ref="AL37">_xlfn.IFS(AND($K37&gt;AK$7,$L37&gt;AK$7),0,AND($K37&lt;=AK$7,$L37&lt;=AK$7),1,AND($K37&lt;=AK$7,$L37&gt;AK$7),((AK$7-$K37)/($L37-$K37)))</f>
        <v>#REF!</v>
      </c>
      <c r="AM37" s="201" t="e">
        <f t="array" ref="AM37">_xlfn.IFS(AND($K37&gt;AL$7,$L37&gt;AL$7),0,AND($K37&lt;=AL$7,$L37&lt;=AL$7),1,AND($K37&lt;=AL$7,$L37&gt;AL$7),((AL$7-$K37)/($L37-$K37)))</f>
        <v>#REF!</v>
      </c>
      <c r="AN37" s="201" t="e">
        <f t="array" ref="AN37">_xlfn.IFS(AND($K37&gt;AM$7,$L37&gt;AM$7),0,AND($K37&lt;=AM$7,$L37&lt;=AM$7),1,AND($K37&lt;=AM$7,$L37&gt;AM$7),((AM$7-$K37)/($L37-$K37)))</f>
        <v>#REF!</v>
      </c>
      <c r="AO37" s="201" t="e">
        <f t="array" ref="AO37">_xlfn.IFS(AND($K37&gt;AN$7,$L37&gt;AN$7),0,AND($K37&lt;=AN$7,$L37&lt;=AN$7),1,AND($K37&lt;=AN$7,$L37&gt;AN$7),((AN$7-$K37)/($L37-$K37)))</f>
        <v>#REF!</v>
      </c>
      <c r="AP37" s="201" t="e">
        <f t="array" ref="AP37">_xlfn.IFS(AND($K37&gt;AO$7,$L37&gt;AO$7),0,AND($K37&lt;=AO$7,$L37&lt;=AO$7),1,AND($K37&lt;=AO$7,$L37&gt;AO$7),((AO$7-$K37)/($L37-$K37)))</f>
        <v>#REF!</v>
      </c>
      <c r="AQ37" s="201" t="e">
        <f t="array" ref="AQ37">_xlfn.IFS(AND($K37&gt;AP$7,$L37&gt;AP$7),0,AND($K37&lt;=AP$7,$L37&lt;=AP$7),1,AND($K37&lt;=AP$7,$L37&gt;AP$7),((AP$7-$K37)/($L37-$K37)))</f>
        <v>#REF!</v>
      </c>
      <c r="AR37" s="201" t="e">
        <f t="array" ref="AR37">_xlfn.IFS(AND($K37&gt;AQ$7,$L37&gt;AQ$7),0,AND($K37&lt;=AQ$7,$L37&lt;=AQ$7),1,AND($K37&lt;=AQ$7,$L37&gt;AQ$7),((AQ$7-$K37)/($L37-$K37)))</f>
        <v>#REF!</v>
      </c>
      <c r="AS37" s="201" t="e">
        <f t="array" ref="AS37">_xlfn.IFS(AND($K37&gt;AR$7,$L37&gt;AR$7),0,AND($K37&lt;=AR$7,$L37&lt;=AR$7),1,AND($K37&lt;=AR$7,$L37&gt;AR$7),((AR$7-$K37)/($L37-$K37)))</f>
        <v>#REF!</v>
      </c>
      <c r="AT37" s="201" t="e">
        <f t="array" ref="AT37">_xlfn.IFS(AND($K37&gt;AS$7,$L37&gt;AS$7),0,AND($K37&lt;=AS$7,$L37&lt;=AS$7),1,AND($K37&lt;=AS$7,$L37&gt;AS$7),((AS$7-$K37)/($L37-$K37)))</f>
        <v>#REF!</v>
      </c>
      <c r="AU37" s="201" t="e">
        <f t="array" ref="AU37">_xlfn.IFS(AND($K37&gt;AT$7,$L37&gt;AT$7),0,AND($K37&lt;=AT$7,$L37&lt;=AT$7),1,AND($K37&lt;=AT$7,$L37&gt;AT$7),((AT$7-$K37)/($L37-$K37)))</f>
        <v>#REF!</v>
      </c>
      <c r="AV37" s="201" t="e">
        <f t="array" ref="AV37">_xlfn.IFS(AND($K37&gt;AU$7,$L37&gt;AU$7),0,AND($K37&lt;=AU$7,$L37&lt;=AU$7),1,AND($K37&lt;=AU$7,$L37&gt;AU$7),((AU$7-$K37)/($L37-$K37)))</f>
        <v>#REF!</v>
      </c>
      <c r="AW37" s="201" t="e">
        <f t="array" ref="AW37">_xlfn.IFS(AND($K37&gt;AV$7,$L37&gt;AV$7),0,AND($K37&lt;=AV$7,$L37&lt;=AV$7),1,AND($K37&lt;=AV$7,$L37&gt;AV$7),((AV$7-$K37)/($L37-$K37)))</f>
        <v>#REF!</v>
      </c>
      <c r="AX37" s="201" t="e">
        <f t="array" ref="AX37">_xlfn.IFS(AND($K37&gt;AW$7,$L37&gt;AW$7),0,AND($K37&lt;=AW$7,$L37&lt;=AW$7),1,AND($K37&lt;=AW$7,$L37&gt;AW$7),((AW$7-$K37)/($L37-$K37)))</f>
        <v>#REF!</v>
      </c>
      <c r="AY37" s="201" t="e">
        <f t="array" ref="AY37">_xlfn.IFS(AND($K37&gt;AX$7,$L37&gt;AX$7),0,AND($K37&lt;=AX$7,$L37&lt;=AX$7),1,AND($K37&lt;=AX$7,$L37&gt;AX$7),((AX$7-$K37)/($L37-$K37)))</f>
        <v>#REF!</v>
      </c>
      <c r="AZ37" s="201" t="e">
        <f t="array" ref="AZ37">_xlfn.IFS(AND($K37&gt;AY$7,$L37&gt;AY$7),0,AND($K37&lt;=AY$7,$L37&lt;=AY$7),1,AND($K37&lt;=AY$7,$L37&gt;AY$7),((AY$7-$K37)/($L37-$K37)))</f>
        <v>#REF!</v>
      </c>
      <c r="BA37" s="201" t="e">
        <f t="array" ref="BA37">_xlfn.IFS(AND($K37&gt;AZ$7,$L37&gt;AZ$7),0,AND($K37&lt;=AZ$7,$L37&lt;=AZ$7),1,AND($K37&lt;=AZ$7,$L37&gt;AZ$7),((AZ$7-$K37)/($L37-$K37)))</f>
        <v>#REF!</v>
      </c>
      <c r="BB37" s="201" t="e">
        <f t="array" ref="BB37">_xlfn.IFS(AND($K37&gt;BA$7,$L37&gt;BA$7),0,AND($K37&lt;=BA$7,$L37&lt;=BA$7),1,AND($K37&lt;=BA$7,$L37&gt;BA$7),((BA$7-$K37)/($L37-$K37)))</f>
        <v>#REF!</v>
      </c>
      <c r="BC37" s="201" t="e">
        <f t="array" ref="BC37">_xlfn.IFS(AND($K37&gt;BB$7,$L37&gt;BB$7),0,AND($K37&lt;=BB$7,$L37&lt;=BB$7),1,AND($K37&lt;=BB$7,$L37&gt;BB$7),((BB$7-$K37)/($L37-$K37)))</f>
        <v>#REF!</v>
      </c>
      <c r="BD37" s="201" t="e">
        <f t="array" ref="BD37">_xlfn.IFS(AND($K37&gt;BC$7,$L37&gt;BC$7),0,AND($K37&lt;=BC$7,$L37&lt;=BC$7),1,AND($K37&lt;=BC$7,$L37&gt;BC$7),((BC$7-$K37)/($L37-$K37)))</f>
        <v>#REF!</v>
      </c>
      <c r="BE37" s="201" t="e">
        <f t="array" ref="BE37">_xlfn.IFS(AND($K37&gt;BD$7,$L37&gt;BD$7),0,AND($K37&lt;=BD$7,$L37&lt;=BD$7),1,AND($K37&lt;=BD$7,$L37&gt;BD$7),((BD$7-$K37)/($L37-$K37)))</f>
        <v>#REF!</v>
      </c>
      <c r="BF37" s="201" t="e">
        <f t="array" ref="BF37">_xlfn.IFS(AND($K37&gt;BE$7,$L37&gt;BE$7),0,AND($K37&lt;=BE$7,$L37&lt;=BE$7),1,AND($K37&lt;=BE$7,$L37&gt;BE$7),((BE$7-$K37)/($L37-$K37)))</f>
        <v>#REF!</v>
      </c>
      <c r="BG37" s="201" t="e">
        <f t="array" ref="BG37">_xlfn.IFS(AND($K37&gt;BF$7,$L37&gt;BF$7),0,AND($K37&lt;=BF$7,$L37&lt;=BF$7),1,AND($K37&lt;=BF$7,$L37&gt;BF$7),((BF$7-$K37)/($L37-$K37)))</f>
        <v>#REF!</v>
      </c>
      <c r="BH37" s="201" t="e">
        <f t="array" ref="BH37">_xlfn.IFS(AND($K37&gt;BG$7,$L37&gt;BG$7),0,AND($K37&lt;=BG$7,$L37&lt;=BG$7),1,AND($K37&lt;=BG$7,$L37&gt;BG$7),((BG$7-$K37)/($L37-$K37)))</f>
        <v>#REF!</v>
      </c>
      <c r="BI37" s="201" t="e">
        <f t="array" ref="BI37">_xlfn.IFS(AND($K37&gt;BH$7,$L37&gt;BH$7),0,AND($K37&lt;=BH$7,$L37&lt;=BH$7),1,AND($K37&lt;=BH$7,$L37&gt;BH$7),((BH$7-$K37)/($L37-$K37)))</f>
        <v>#REF!</v>
      </c>
      <c r="BJ37" s="201" t="e">
        <f t="array" ref="BJ37">_xlfn.IFS(AND($K37&gt;BI$7,$L37&gt;BI$7),0,AND($K37&lt;=BI$7,$L37&lt;=BI$7),1,AND($K37&lt;=BI$7,$L37&gt;BI$7),((BI$7-$K37)/($L37-$K37)))</f>
        <v>#REF!</v>
      </c>
      <c r="BK37" s="201" t="e">
        <f t="array" ref="BK37">_xlfn.IFS(AND($K37&gt;BJ$7,$L37&gt;BJ$7),0,AND($K37&lt;=BJ$7,$L37&lt;=BJ$7),1,AND($K37&lt;=BJ$7,$L37&gt;BJ$7),((BJ$7-$K37)/($L37-$K37)))</f>
        <v>#REF!</v>
      </c>
      <c r="BL37" s="201" t="e">
        <f t="array" ref="BL37">_xlfn.IFS(AND($K37&gt;BK$7,$L37&gt;BK$7),0,AND($K37&lt;=BK$7,$L37&lt;=BK$7),1,AND($K37&lt;=BK$7,$L37&gt;BK$7),((BK$7-$K37)/($L37-$K37)))</f>
        <v>#REF!</v>
      </c>
      <c r="BM37" s="201" t="e">
        <f t="array" ref="BM37">_xlfn.IFS(AND($K37&gt;BL$7,$L37&gt;BL$7),0,AND($K37&lt;=BL$7,$L37&lt;=BL$7),1,AND($K37&lt;=BL$7,$L37&gt;BL$7),((BL$7-$K37)/($L37-$K37)))</f>
        <v>#REF!</v>
      </c>
      <c r="BN37" s="201" t="e">
        <f t="array" ref="BN37">_xlfn.IFS(AND($K37&gt;BM$7,$L37&gt;BM$7),0,AND($K37&lt;=BM$7,$L37&lt;=BM$7),1,AND($K37&lt;=BM$7,$L37&gt;BM$7),((BM$7-$K37)/($L37-$K37)))</f>
        <v>#REF!</v>
      </c>
    </row>
    <row r="38" spans="2:66" ht="15" customHeight="1" x14ac:dyDescent="0.3">
      <c r="B38" s="174" t="str">
        <f t="array" ref="B38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38" s="174" t="s">
        <v>124</v>
      </c>
      <c r="D38" s="177" t="str">
        <f t="shared" si="26"/>
        <v>Arquitetura de projetos GERDAU</v>
      </c>
      <c r="E38" s="170" t="str">
        <f t="shared" si="12"/>
        <v>Definição da Estratégia para Transformação dos Processos</v>
      </c>
      <c r="F38" s="174" t="str">
        <f t="shared" si="23"/>
        <v>Entendimento Inicial dos Processos</v>
      </c>
      <c r="G38" s="174" t="s">
        <v>121</v>
      </c>
      <c r="H38" s="195" t="s">
        <v>125</v>
      </c>
      <c r="I38" s="174">
        <f>MIN(I39)</f>
        <v>45705</v>
      </c>
      <c r="J38" s="174">
        <f>MAX(J39)</f>
        <v>45715</v>
      </c>
      <c r="K38" s="174">
        <f>MIN(K39)</f>
        <v>45705</v>
      </c>
      <c r="L38" s="174">
        <f>MAX(L39)</f>
        <v>45722</v>
      </c>
      <c r="M38" s="175"/>
      <c r="N38" s="175" t="str">
        <f t="array" ref="N38">_xlfn.IFS(L38&lt;$M$3,"Concluído",AND(K38&gt;=$M$3,I38&lt;$M$3,L38&gt;$M$3),"Em andamento",AND(L38&gt;=$M$3,J38&lt;$M$3),"Atrasado",AND(L38&gt;=$M$3,J38&gt;=$M$3,I38&gt;$M$3,K38&lt;=$M$3),"Em andamento",AND(L38&gt;=$M$3,J38&gt;=$M$3,I38&lt;=$M$3,K38&lt;=$M$3),"Em andamento",AND(K38&gt;$M$3,I38&gt;$M$3),"Não iniciado",AND(L38&gt;=$M$3,J38&gt;=$M$3,K38&gt;=$M$3,I38&lt;$M$3),"Atrasado",AND(L38&gt;=$M$3,J38&gt;=$M$3,K38&gt;=$M$3,I38&gt;$M$3),"Não iniciado",AND($I38&lt;=$M$3,$K38&gt;$M$3),"Atrasado")</f>
        <v>Concluído</v>
      </c>
      <c r="O38" s="175">
        <f t="array" ref="O38">_xlfn.IFS(N38="Não iniciado",0,N38="Em andamento",1,N38="Concluído",2,N38="Atrasado",3)</f>
        <v>2</v>
      </c>
      <c r="P38" s="176"/>
      <c r="Q38" s="156">
        <f t="array" ref="Q38">_xlfn.IFS(AND($I38&lt;$M$3,$J38&lt;$M$3),1,AND($I38&lt;$M$3,$J38&gt;=$M$3),0.5,AND($I38&gt;=$M$3,$J38&gt;=$M$3),0)</f>
        <v>1</v>
      </c>
      <c r="R38" s="156">
        <f t="array" ref="R38">_xlfn.IFS(AND($I38&lt;$M$3,$J38&lt;$M$3),1,AND($I38&lt;$M$3,$J38&gt;=$M$3),0.5,AND($I38&gt;=$M$3,$J38&gt;=$M$3),0)</f>
        <v>1</v>
      </c>
      <c r="S38" s="205" t="e">
        <f t="array" ref="S38">_xlfn.IFS(AND($K38&gt;R$7,$L38&gt;R$7),0,AND($K38&lt;=R$7,$L38&lt;=R$7),1,AND($K38&lt;=R$7,$L38&gt;R$7),((R$7-$K38)/($L38-$K38)))</f>
        <v>#REF!</v>
      </c>
      <c r="T38" s="205" t="e">
        <f t="array" ref="T38">_xlfn.IFS(AND($K38&gt;S$7,$L38&gt;S$7),0,AND($K38&lt;=S$7,$L38&lt;=S$7),1,AND($K38&lt;=S$7,$L38&gt;S$7),((S$7-$K38)/($L38-$K38)))</f>
        <v>#REF!</v>
      </c>
      <c r="U38" s="205" t="e">
        <f t="array" ref="U38">_xlfn.IFS(AND($K38&gt;T$7,$L38&gt;T$7),0,AND($K38&lt;=T$7,$L38&lt;=T$7),1,AND($K38&lt;=T$7,$L38&gt;T$7),((T$7-$K38)/($L38-$K38)))</f>
        <v>#REF!</v>
      </c>
      <c r="V38" s="205" t="e">
        <f t="array" ref="V38">_xlfn.IFS(AND($K38&gt;U$7,$L38&gt;U$7),0,AND($K38&lt;=U$7,$L38&lt;=U$7),1,AND($K38&lt;=U$7,$L38&gt;U$7),((U$7-$K38)/($L38-$K38)))</f>
        <v>#REF!</v>
      </c>
      <c r="W38" s="205" t="e">
        <f t="array" ref="W38">_xlfn.IFS(AND($K38&gt;V$7,$L38&gt;V$7),0,AND($K38&lt;=V$7,$L38&lt;=V$7),1,AND($K38&lt;=V$7,$L38&gt;V$7),((V$7-$K38)/($L38-$K38)))</f>
        <v>#REF!</v>
      </c>
      <c r="X38" s="205" t="e">
        <f t="array" ref="X38">_xlfn.IFS(AND($K38&gt;W$7,$L38&gt;W$7),0,AND($K38&lt;=W$7,$L38&lt;=W$7),1,AND($K38&lt;=W$7,$L38&gt;W$7),((W$7-$K38)/($L38-$K38)))</f>
        <v>#REF!</v>
      </c>
      <c r="Y38" s="205" t="e">
        <f t="array" ref="Y38">_xlfn.IFS(AND($K38&gt;X$7,$L38&gt;X$7),0,AND($K38&lt;=X$7,$L38&lt;=X$7),1,AND($K38&lt;=X$7,$L38&gt;X$7),((X$7-$K38)/($L38-$K38)))</f>
        <v>#REF!</v>
      </c>
      <c r="Z38" s="205" t="e">
        <f t="array" ref="Z38">_xlfn.IFS(AND($K38&gt;Y$7,$L38&gt;Y$7),0,AND($K38&lt;=Y$7,$L38&lt;=Y$7),1,AND($K38&lt;=Y$7,$L38&gt;Y$7),((Y$7-$K38)/($L38-$K38)))</f>
        <v>#REF!</v>
      </c>
      <c r="AA38" s="205" t="e">
        <f t="array" ref="AA38">_xlfn.IFS(AND($K38&gt;Z$7,$L38&gt;Z$7),0,AND($K38&lt;=Z$7,$L38&lt;=Z$7),1,AND($K38&lt;=Z$7,$L38&gt;Z$7),((Z$7-$K38)/($L38-$K38)))</f>
        <v>#REF!</v>
      </c>
      <c r="AB38" s="205" t="e">
        <f t="array" ref="AB38">_xlfn.IFS(AND($K38&gt;AA$7,$L38&gt;AA$7),0,AND($K38&lt;=AA$7,$L38&lt;=AA$7),1,AND($K38&lt;=AA$7,$L38&gt;AA$7),((AA$7-$K38)/($L38-$K38)))</f>
        <v>#REF!</v>
      </c>
      <c r="AC38" s="205" t="e">
        <f t="array" ref="AC38">_xlfn.IFS(AND($K38&gt;AB$7,$L38&gt;AB$7),0,AND($K38&lt;=AB$7,$L38&lt;=AB$7),1,AND($K38&lt;=AB$7,$L38&gt;AB$7),((AB$7-$K38)/($L38-$K38)))</f>
        <v>#REF!</v>
      </c>
      <c r="AD38" s="205" t="e">
        <f t="array" ref="AD38">_xlfn.IFS(AND($K38&gt;AC$7,$L38&gt;AC$7),0,AND($K38&lt;=AC$7,$L38&lt;=AC$7),1,AND($K38&lt;=AC$7,$L38&gt;AC$7),((AC$7-$K38)/($L38-$K38)))</f>
        <v>#REF!</v>
      </c>
      <c r="AE38" s="205" t="e">
        <f t="array" ref="AE38">_xlfn.IFS(AND($K38&gt;AD$7,$L38&gt;AD$7),0,AND($K38&lt;=AD$7,$L38&lt;=AD$7),1,AND($K38&lt;=AD$7,$L38&gt;AD$7),((AD$7-$K38)/($L38-$K38)))</f>
        <v>#REF!</v>
      </c>
      <c r="AF38" s="205" t="e">
        <f t="array" ref="AF38">_xlfn.IFS(AND($K38&gt;AE$7,$L38&gt;AE$7),0,AND($K38&lt;=AE$7,$L38&lt;=AE$7),1,AND($K38&lt;=AE$7,$L38&gt;AE$7),((AE$7-$K38)/($L38-$K38)))</f>
        <v>#REF!</v>
      </c>
      <c r="AG38" s="205" t="e">
        <f t="array" ref="AG38">_xlfn.IFS(AND($K38&gt;AF$7,$L38&gt;AF$7),0,AND($K38&lt;=AF$7,$L38&lt;=AF$7),1,AND($K38&lt;=AF$7,$L38&gt;AF$7),((AF$7-$K38)/($L38-$K38)))</f>
        <v>#REF!</v>
      </c>
      <c r="AH38" s="205" t="e">
        <f t="array" ref="AH38">_xlfn.IFS(AND($K38&gt;AG$7,$L38&gt;AG$7),0,AND($K38&lt;=AG$7,$L38&lt;=AG$7),1,AND($K38&lt;=AG$7,$L38&gt;AG$7),((AG$7-$K38)/($L38-$K38)))</f>
        <v>#REF!</v>
      </c>
      <c r="AI38" s="205" t="e">
        <f t="array" ref="AI38">_xlfn.IFS(AND($K38&gt;AH$7,$L38&gt;AH$7),0,AND($K38&lt;=AH$7,$L38&lt;=AH$7),1,AND($K38&lt;=AH$7,$L38&gt;AH$7),((AH$7-$K38)/($L38-$K38)))</f>
        <v>#REF!</v>
      </c>
      <c r="AJ38" s="205" t="e">
        <f t="array" ref="AJ38">_xlfn.IFS(AND($K38&gt;AI$7,$L38&gt;AI$7),0,AND($K38&lt;=AI$7,$L38&lt;=AI$7),1,AND($K38&lt;=AI$7,$L38&gt;AI$7),((AI$7-$K38)/($L38-$K38)))</f>
        <v>#REF!</v>
      </c>
      <c r="AK38" s="205" t="e">
        <f t="array" ref="AK38">_xlfn.IFS(AND($K38&gt;AJ$7,$L38&gt;AJ$7),0,AND($K38&lt;=AJ$7,$L38&lt;=AJ$7),1,AND($K38&lt;=AJ$7,$L38&gt;AJ$7),((AJ$7-$K38)/($L38-$K38)))</f>
        <v>#REF!</v>
      </c>
      <c r="AL38" s="205" t="e">
        <f t="array" ref="AL38">_xlfn.IFS(AND($K38&gt;AK$7,$L38&gt;AK$7),0,AND($K38&lt;=AK$7,$L38&lt;=AK$7),1,AND($K38&lt;=AK$7,$L38&gt;AK$7),((AK$7-$K38)/($L38-$K38)))</f>
        <v>#REF!</v>
      </c>
      <c r="AM38" s="205" t="e">
        <f t="array" ref="AM38">_xlfn.IFS(AND($K38&gt;AL$7,$L38&gt;AL$7),0,AND($K38&lt;=AL$7,$L38&lt;=AL$7),1,AND($K38&lt;=AL$7,$L38&gt;AL$7),((AL$7-$K38)/($L38-$K38)))</f>
        <v>#REF!</v>
      </c>
      <c r="AN38" s="205" t="e">
        <f t="array" ref="AN38">_xlfn.IFS(AND($K38&gt;AM$7,$L38&gt;AM$7),0,AND($K38&lt;=AM$7,$L38&lt;=AM$7),1,AND($K38&lt;=AM$7,$L38&gt;AM$7),((AM$7-$K38)/($L38-$K38)))</f>
        <v>#REF!</v>
      </c>
      <c r="AO38" s="205" t="e">
        <f t="array" ref="AO38">_xlfn.IFS(AND($K38&gt;AN$7,$L38&gt;AN$7),0,AND($K38&lt;=AN$7,$L38&lt;=AN$7),1,AND($K38&lt;=AN$7,$L38&gt;AN$7),((AN$7-$K38)/($L38-$K38)))</f>
        <v>#REF!</v>
      </c>
      <c r="AP38" s="205" t="e">
        <f t="array" ref="AP38">_xlfn.IFS(AND($K38&gt;AO$7,$L38&gt;AO$7),0,AND($K38&lt;=AO$7,$L38&lt;=AO$7),1,AND($K38&lt;=AO$7,$L38&gt;AO$7),((AO$7-$K38)/($L38-$K38)))</f>
        <v>#REF!</v>
      </c>
      <c r="AQ38" s="205" t="e">
        <f t="array" ref="AQ38">_xlfn.IFS(AND($K38&gt;AP$7,$L38&gt;AP$7),0,AND($K38&lt;=AP$7,$L38&lt;=AP$7),1,AND($K38&lt;=AP$7,$L38&gt;AP$7),((AP$7-$K38)/($L38-$K38)))</f>
        <v>#REF!</v>
      </c>
      <c r="AR38" s="205" t="e">
        <f t="array" ref="AR38">_xlfn.IFS(AND($K38&gt;AQ$7,$L38&gt;AQ$7),0,AND($K38&lt;=AQ$7,$L38&lt;=AQ$7),1,AND($K38&lt;=AQ$7,$L38&gt;AQ$7),((AQ$7-$K38)/($L38-$K38)))</f>
        <v>#REF!</v>
      </c>
      <c r="AS38" s="205" t="e">
        <f t="array" ref="AS38">_xlfn.IFS(AND($K38&gt;AR$7,$L38&gt;AR$7),0,AND($K38&lt;=AR$7,$L38&lt;=AR$7),1,AND($K38&lt;=AR$7,$L38&gt;AR$7),((AR$7-$K38)/($L38-$K38)))</f>
        <v>#REF!</v>
      </c>
      <c r="AT38" s="205" t="e">
        <f t="array" ref="AT38">_xlfn.IFS(AND($K38&gt;AS$7,$L38&gt;AS$7),0,AND($K38&lt;=AS$7,$L38&lt;=AS$7),1,AND($K38&lt;=AS$7,$L38&gt;AS$7),((AS$7-$K38)/($L38-$K38)))</f>
        <v>#REF!</v>
      </c>
      <c r="AU38" s="205" t="e">
        <f t="array" ref="AU38">_xlfn.IFS(AND($K38&gt;AT$7,$L38&gt;AT$7),0,AND($K38&lt;=AT$7,$L38&lt;=AT$7),1,AND($K38&lt;=AT$7,$L38&gt;AT$7),((AT$7-$K38)/($L38-$K38)))</f>
        <v>#REF!</v>
      </c>
      <c r="AV38" s="205" t="e">
        <f t="array" ref="AV38">_xlfn.IFS(AND($K38&gt;AU$7,$L38&gt;AU$7),0,AND($K38&lt;=AU$7,$L38&lt;=AU$7),1,AND($K38&lt;=AU$7,$L38&gt;AU$7),((AU$7-$K38)/($L38-$K38)))</f>
        <v>#REF!</v>
      </c>
      <c r="AW38" s="205" t="e">
        <f t="array" ref="AW38">_xlfn.IFS(AND($K38&gt;AV$7,$L38&gt;AV$7),0,AND($K38&lt;=AV$7,$L38&lt;=AV$7),1,AND($K38&lt;=AV$7,$L38&gt;AV$7),((AV$7-$K38)/($L38-$K38)))</f>
        <v>#REF!</v>
      </c>
      <c r="AX38" s="205" t="e">
        <f t="array" ref="AX38">_xlfn.IFS(AND($K38&gt;AW$7,$L38&gt;AW$7),0,AND($K38&lt;=AW$7,$L38&lt;=AW$7),1,AND($K38&lt;=AW$7,$L38&gt;AW$7),((AW$7-$K38)/($L38-$K38)))</f>
        <v>#REF!</v>
      </c>
      <c r="AY38" s="205" t="e">
        <f t="array" ref="AY38">_xlfn.IFS(AND($K38&gt;AX$7,$L38&gt;AX$7),0,AND($K38&lt;=AX$7,$L38&lt;=AX$7),1,AND($K38&lt;=AX$7,$L38&gt;AX$7),((AX$7-$K38)/($L38-$K38)))</f>
        <v>#REF!</v>
      </c>
      <c r="AZ38" s="205" t="e">
        <f t="array" ref="AZ38">_xlfn.IFS(AND($K38&gt;AY$7,$L38&gt;AY$7),0,AND($K38&lt;=AY$7,$L38&lt;=AY$7),1,AND($K38&lt;=AY$7,$L38&gt;AY$7),((AY$7-$K38)/($L38-$K38)))</f>
        <v>#REF!</v>
      </c>
      <c r="BA38" s="205" t="e">
        <f t="array" ref="BA38">_xlfn.IFS(AND($K38&gt;AZ$7,$L38&gt;AZ$7),0,AND($K38&lt;=AZ$7,$L38&lt;=AZ$7),1,AND($K38&lt;=AZ$7,$L38&gt;AZ$7),((AZ$7-$K38)/($L38-$K38)))</f>
        <v>#REF!</v>
      </c>
      <c r="BB38" s="205" t="e">
        <f t="array" ref="BB38">_xlfn.IFS(AND($K38&gt;BA$7,$L38&gt;BA$7),0,AND($K38&lt;=BA$7,$L38&lt;=BA$7),1,AND($K38&lt;=BA$7,$L38&gt;BA$7),((BA$7-$K38)/($L38-$K38)))</f>
        <v>#REF!</v>
      </c>
      <c r="BC38" s="205" t="e">
        <f t="array" ref="BC38">_xlfn.IFS(AND($K38&gt;BB$7,$L38&gt;BB$7),0,AND($K38&lt;=BB$7,$L38&lt;=BB$7),1,AND($K38&lt;=BB$7,$L38&gt;BB$7),((BB$7-$K38)/($L38-$K38)))</f>
        <v>#REF!</v>
      </c>
      <c r="BD38" s="205" t="e">
        <f t="array" ref="BD38">_xlfn.IFS(AND($K38&gt;BC$7,$L38&gt;BC$7),0,AND($K38&lt;=BC$7,$L38&lt;=BC$7),1,AND($K38&lt;=BC$7,$L38&gt;BC$7),((BC$7-$K38)/($L38-$K38)))</f>
        <v>#REF!</v>
      </c>
      <c r="BE38" s="205" t="e">
        <f t="array" ref="BE38">_xlfn.IFS(AND($K38&gt;BD$7,$L38&gt;BD$7),0,AND($K38&lt;=BD$7,$L38&lt;=BD$7),1,AND($K38&lt;=BD$7,$L38&gt;BD$7),((BD$7-$K38)/($L38-$K38)))</f>
        <v>#REF!</v>
      </c>
      <c r="BF38" s="205" t="e">
        <f t="array" ref="BF38">_xlfn.IFS(AND($K38&gt;BE$7,$L38&gt;BE$7),0,AND($K38&lt;=BE$7,$L38&lt;=BE$7),1,AND($K38&lt;=BE$7,$L38&gt;BE$7),((BE$7-$K38)/($L38-$K38)))</f>
        <v>#REF!</v>
      </c>
      <c r="BG38" s="205" t="e">
        <f t="array" ref="BG38">_xlfn.IFS(AND($K38&gt;BF$7,$L38&gt;BF$7),0,AND($K38&lt;=BF$7,$L38&lt;=BF$7),1,AND($K38&lt;=BF$7,$L38&gt;BF$7),((BF$7-$K38)/($L38-$K38)))</f>
        <v>#REF!</v>
      </c>
      <c r="BH38" s="205" t="e">
        <f t="array" ref="BH38">_xlfn.IFS(AND($K38&gt;BG$7,$L38&gt;BG$7),0,AND($K38&lt;=BG$7,$L38&lt;=BG$7),1,AND($K38&lt;=BG$7,$L38&gt;BG$7),((BG$7-$K38)/($L38-$K38)))</f>
        <v>#REF!</v>
      </c>
      <c r="BI38" s="205" t="e">
        <f t="array" ref="BI38">_xlfn.IFS(AND($K38&gt;BH$7,$L38&gt;BH$7),0,AND($K38&lt;=BH$7,$L38&lt;=BH$7),1,AND($K38&lt;=BH$7,$L38&gt;BH$7),((BH$7-$K38)/($L38-$K38)))</f>
        <v>#REF!</v>
      </c>
      <c r="BJ38" s="205" t="e">
        <f t="array" ref="BJ38">_xlfn.IFS(AND($K38&gt;BI$7,$L38&gt;BI$7),0,AND($K38&lt;=BI$7,$L38&lt;=BI$7),1,AND($K38&lt;=BI$7,$L38&gt;BI$7),((BI$7-$K38)/($L38-$K38)))</f>
        <v>#REF!</v>
      </c>
      <c r="BK38" s="205" t="e">
        <f t="array" ref="BK38">_xlfn.IFS(AND($K38&gt;BJ$7,$L38&gt;BJ$7),0,AND($K38&lt;=BJ$7,$L38&lt;=BJ$7),1,AND($K38&lt;=BJ$7,$L38&gt;BJ$7),((BJ$7-$K38)/($L38-$K38)))</f>
        <v>#REF!</v>
      </c>
      <c r="BL38" s="205" t="e">
        <f t="array" ref="BL38">_xlfn.IFS(AND($K38&gt;BK$7,$L38&gt;BK$7),0,AND($K38&lt;=BK$7,$L38&lt;=BK$7),1,AND($K38&lt;=BK$7,$L38&gt;BK$7),((BK$7-$K38)/($L38-$K38)))</f>
        <v>#REF!</v>
      </c>
      <c r="BM38" s="205" t="e">
        <f t="array" ref="BM38">_xlfn.IFS(AND($K38&gt;BL$7,$L38&gt;BL$7),0,AND($K38&lt;=BL$7,$L38&lt;=BL$7),1,AND($K38&lt;=BL$7,$L38&gt;BL$7),((BL$7-$K38)/($L38-$K38)))</f>
        <v>#REF!</v>
      </c>
      <c r="BN38" s="205" t="e">
        <f t="array" ref="BN38">_xlfn.IFS(AND($K38&gt;BM$7,$L38&gt;BM$7),0,AND($K38&lt;=BM$7,$L38&lt;=BM$7),1,AND($K38&lt;=BM$7,$L38&gt;BM$7),((BM$7-$K38)/($L38-$K38)))</f>
        <v>#REF!</v>
      </c>
    </row>
    <row r="39" spans="2:66" s="163" customFormat="1" ht="15" customHeight="1" collapsed="1" x14ac:dyDescent="0.3">
      <c r="B39" s="166" t="str">
        <f t="array" ref="B39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39" s="166" t="s">
        <v>126</v>
      </c>
      <c r="D39" s="177" t="str">
        <f t="shared" si="26"/>
        <v>Arquitetura de projetos GERDAU</v>
      </c>
      <c r="E39" s="170" t="str">
        <f t="shared" si="12"/>
        <v>Definição da Estratégia para Transformação dos Processos</v>
      </c>
      <c r="F39" s="174" t="str">
        <f t="shared" si="23"/>
        <v>Entendimento Inicial dos Processos</v>
      </c>
      <c r="G39" s="166" t="str">
        <f>H38</f>
        <v>Análise de Stakeholders</v>
      </c>
      <c r="H39" s="197" t="s">
        <v>127</v>
      </c>
      <c r="I39" s="166">
        <v>45705</v>
      </c>
      <c r="J39" s="40">
        <v>45715</v>
      </c>
      <c r="K39" s="166">
        <v>45705</v>
      </c>
      <c r="L39" s="40">
        <v>45722</v>
      </c>
      <c r="M39" s="167"/>
      <c r="N39" s="167" t="str">
        <f t="array" ref="N39">_xlfn.IFS(L39&lt;$M$3,"Concluído",AND(K39&gt;=$M$3,I39&lt;$M$3,L39&gt;$M$3),"Em andamento",AND(L39&gt;=$M$3,J39&lt;$M$3),"Atrasado",AND(L39&gt;=$M$3,J39&gt;=$M$3,I39&gt;$M$3,K39&lt;=$M$3),"Em andamento",AND(L39&gt;=$M$3,J39&gt;=$M$3,I39&lt;=$M$3,K39&lt;=$M$3),"Em andamento",AND(K39&gt;$M$3,I39&gt;$M$3),"Não iniciado",AND(L39&gt;=$M$3,J39&gt;=$M$3,K39&gt;=$M$3,I39&lt;$M$3),"Atrasado",AND(L39&gt;=$M$3,J39&gt;=$M$3,K39&gt;=$M$3,I39&gt;$M$3),"Não iniciado",AND($I39&lt;=$M$3,$K39&gt;$M$3),"Atrasado")</f>
        <v>Concluído</v>
      </c>
      <c r="O39" s="167">
        <f t="array" ref="O39">_xlfn.IFS(N39="Não iniciado",0,N39="Em andamento",1,N39="Concluído",2,N39="Atrasado",3)</f>
        <v>2</v>
      </c>
      <c r="P39" s="169"/>
      <c r="Q39" s="152">
        <f t="array" aca="1" ref="Q39" ca="1">_xlfn.IFS(AND($I39&lt;$N$3,$J39&lt;$N$3),1,AND($I39&lt;=$N$3,$J39&gt;=$N$3),0.5,AND($I39&gt;=$N$3,$J39&gt;=$N$3),0)</f>
        <v>1</v>
      </c>
      <c r="R39" s="152">
        <f t="array" aca="1" ref="R39" ca="1">_xlfn.IFS(AND($K39&lt;$N$3,$L39&lt;$N$3),1,AND($K39&lt;=$N$3,$L39&gt;=$N$3),0.5,AND($K39&gt;=$N$3,$L39&gt;=$N$3),0)</f>
        <v>1</v>
      </c>
      <c r="S39" s="201" t="e">
        <f t="array" ref="S39">_xlfn.IFS(AND($K39&gt;R$7,$L39&gt;R$7),0,AND($K39&lt;=R$7,$L39&lt;=R$7),1,AND($K39&lt;=R$7,$L39&gt;R$7),((R$7-$K39)/($L39-$K39)))</f>
        <v>#REF!</v>
      </c>
      <c r="T39" s="201" t="e">
        <f t="array" ref="T39">_xlfn.IFS(AND($K39&gt;S$7,$L39&gt;S$7),0,AND($K39&lt;=S$7,$L39&lt;=S$7),1,AND($K39&lt;=S$7,$L39&gt;S$7),((S$7-$K39)/($L39-$K39)))</f>
        <v>#REF!</v>
      </c>
      <c r="U39" s="201" t="e">
        <f t="array" ref="U39">_xlfn.IFS(AND($K39&gt;T$7,$L39&gt;T$7),0,AND($K39&lt;=T$7,$L39&lt;=T$7),1,AND($K39&lt;=T$7,$L39&gt;T$7),((T$7-$K39)/($L39-$K39)))</f>
        <v>#REF!</v>
      </c>
      <c r="V39" s="201" t="e">
        <f t="array" ref="V39">_xlfn.IFS(AND($K39&gt;U$7,$L39&gt;U$7),0,AND($K39&lt;=U$7,$L39&lt;=U$7),1,AND($K39&lt;=U$7,$L39&gt;U$7),((U$7-$K39)/($L39-$K39)))</f>
        <v>#REF!</v>
      </c>
      <c r="W39" s="201" t="e">
        <f t="array" ref="W39">_xlfn.IFS(AND($K39&gt;V$7,$L39&gt;V$7),0,AND($K39&lt;=V$7,$L39&lt;=V$7),1,AND($K39&lt;=V$7,$L39&gt;V$7),((V$7-$K39)/($L39-$K39)))</f>
        <v>#REF!</v>
      </c>
      <c r="X39" s="201" t="e">
        <f t="array" ref="X39">_xlfn.IFS(AND($K39&gt;W$7,$L39&gt;W$7),0,AND($K39&lt;=W$7,$L39&lt;=W$7),1,AND($K39&lt;=W$7,$L39&gt;W$7),((W$7-$K39)/($L39-$K39)))</f>
        <v>#REF!</v>
      </c>
      <c r="Y39" s="201" t="e">
        <f t="array" ref="Y39">_xlfn.IFS(AND($K39&gt;X$7,$L39&gt;X$7),0,AND($K39&lt;=X$7,$L39&lt;=X$7),1,AND($K39&lt;=X$7,$L39&gt;X$7),((X$7-$K39)/($L39-$K39)))</f>
        <v>#REF!</v>
      </c>
      <c r="Z39" s="201" t="e">
        <f t="array" ref="Z39">_xlfn.IFS(AND($K39&gt;Y$7,$L39&gt;Y$7),0,AND($K39&lt;=Y$7,$L39&lt;=Y$7),1,AND($K39&lt;=Y$7,$L39&gt;Y$7),((Y$7-$K39)/($L39-$K39)))</f>
        <v>#REF!</v>
      </c>
      <c r="AA39" s="201" t="e">
        <f t="array" ref="AA39">_xlfn.IFS(AND($K39&gt;Z$7,$L39&gt;Z$7),0,AND($K39&lt;=Z$7,$L39&lt;=Z$7),1,AND($K39&lt;=Z$7,$L39&gt;Z$7),((Z$7-$K39)/($L39-$K39)))</f>
        <v>#REF!</v>
      </c>
      <c r="AB39" s="201" t="e">
        <f t="array" ref="AB39">_xlfn.IFS(AND($K39&gt;AA$7,$L39&gt;AA$7),0,AND($K39&lt;=AA$7,$L39&lt;=AA$7),1,AND($K39&lt;=AA$7,$L39&gt;AA$7),((AA$7-$K39)/($L39-$K39)))</f>
        <v>#REF!</v>
      </c>
      <c r="AC39" s="201" t="e">
        <f t="array" ref="AC39">_xlfn.IFS(AND($K39&gt;AB$7,$L39&gt;AB$7),0,AND($K39&lt;=AB$7,$L39&lt;=AB$7),1,AND($K39&lt;=AB$7,$L39&gt;AB$7),((AB$7-$K39)/($L39-$K39)))</f>
        <v>#REF!</v>
      </c>
      <c r="AD39" s="201" t="e">
        <f t="array" ref="AD39">_xlfn.IFS(AND($K39&gt;AC$7,$L39&gt;AC$7),0,AND($K39&lt;=AC$7,$L39&lt;=AC$7),1,AND($K39&lt;=AC$7,$L39&gt;AC$7),((AC$7-$K39)/($L39-$K39)))</f>
        <v>#REF!</v>
      </c>
      <c r="AE39" s="201" t="e">
        <f t="array" ref="AE39">_xlfn.IFS(AND($K39&gt;AD$7,$L39&gt;AD$7),0,AND($K39&lt;=AD$7,$L39&lt;=AD$7),1,AND($K39&lt;=AD$7,$L39&gt;AD$7),((AD$7-$K39)/($L39-$K39)))</f>
        <v>#REF!</v>
      </c>
      <c r="AF39" s="201" t="e">
        <f t="array" ref="AF39">_xlfn.IFS(AND($K39&gt;AE$7,$L39&gt;AE$7),0,AND($K39&lt;=AE$7,$L39&lt;=AE$7),1,AND($K39&lt;=AE$7,$L39&gt;AE$7),((AE$7-$K39)/($L39-$K39)))</f>
        <v>#REF!</v>
      </c>
      <c r="AG39" s="201" t="e">
        <f t="array" ref="AG39">_xlfn.IFS(AND($K39&gt;AF$7,$L39&gt;AF$7),0,AND($K39&lt;=AF$7,$L39&lt;=AF$7),1,AND($K39&lt;=AF$7,$L39&gt;AF$7),((AF$7-$K39)/($L39-$K39)))</f>
        <v>#REF!</v>
      </c>
      <c r="AH39" s="201" t="e">
        <f t="array" ref="AH39">_xlfn.IFS(AND($K39&gt;AG$7,$L39&gt;AG$7),0,AND($K39&lt;=AG$7,$L39&lt;=AG$7),1,AND($K39&lt;=AG$7,$L39&gt;AG$7),((AG$7-$K39)/($L39-$K39)))</f>
        <v>#REF!</v>
      </c>
      <c r="AI39" s="201" t="e">
        <f t="array" ref="AI39">_xlfn.IFS(AND($K39&gt;AH$7,$L39&gt;AH$7),0,AND($K39&lt;=AH$7,$L39&lt;=AH$7),1,AND($K39&lt;=AH$7,$L39&gt;AH$7),((AH$7-$K39)/($L39-$K39)))</f>
        <v>#REF!</v>
      </c>
      <c r="AJ39" s="201" t="e">
        <f t="array" ref="AJ39">_xlfn.IFS(AND($K39&gt;AI$7,$L39&gt;AI$7),0,AND($K39&lt;=AI$7,$L39&lt;=AI$7),1,AND($K39&lt;=AI$7,$L39&gt;AI$7),((AI$7-$K39)/($L39-$K39)))</f>
        <v>#REF!</v>
      </c>
      <c r="AK39" s="201" t="e">
        <f t="array" ref="AK39">_xlfn.IFS(AND($K39&gt;AJ$7,$L39&gt;AJ$7),0,AND($K39&lt;=AJ$7,$L39&lt;=AJ$7),1,AND($K39&lt;=AJ$7,$L39&gt;AJ$7),((AJ$7-$K39)/($L39-$K39)))</f>
        <v>#REF!</v>
      </c>
      <c r="AL39" s="201" t="e">
        <f t="array" ref="AL39">_xlfn.IFS(AND($K39&gt;AK$7,$L39&gt;AK$7),0,AND($K39&lt;=AK$7,$L39&lt;=AK$7),1,AND($K39&lt;=AK$7,$L39&gt;AK$7),((AK$7-$K39)/($L39-$K39)))</f>
        <v>#REF!</v>
      </c>
      <c r="AM39" s="201" t="e">
        <f t="array" ref="AM39">_xlfn.IFS(AND($K39&gt;AL$7,$L39&gt;AL$7),0,AND($K39&lt;=AL$7,$L39&lt;=AL$7),1,AND($K39&lt;=AL$7,$L39&gt;AL$7),((AL$7-$K39)/($L39-$K39)))</f>
        <v>#REF!</v>
      </c>
      <c r="AN39" s="201" t="e">
        <f t="array" ref="AN39">_xlfn.IFS(AND($K39&gt;AM$7,$L39&gt;AM$7),0,AND($K39&lt;=AM$7,$L39&lt;=AM$7),1,AND($K39&lt;=AM$7,$L39&gt;AM$7),((AM$7-$K39)/($L39-$K39)))</f>
        <v>#REF!</v>
      </c>
      <c r="AO39" s="201" t="e">
        <f t="array" ref="AO39">_xlfn.IFS(AND($K39&gt;AN$7,$L39&gt;AN$7),0,AND($K39&lt;=AN$7,$L39&lt;=AN$7),1,AND($K39&lt;=AN$7,$L39&gt;AN$7),((AN$7-$K39)/($L39-$K39)))</f>
        <v>#REF!</v>
      </c>
      <c r="AP39" s="201" t="e">
        <f t="array" ref="AP39">_xlfn.IFS(AND($K39&gt;AO$7,$L39&gt;AO$7),0,AND($K39&lt;=AO$7,$L39&lt;=AO$7),1,AND($K39&lt;=AO$7,$L39&gt;AO$7),((AO$7-$K39)/($L39-$K39)))</f>
        <v>#REF!</v>
      </c>
      <c r="AQ39" s="201" t="e">
        <f t="array" ref="AQ39">_xlfn.IFS(AND($K39&gt;AP$7,$L39&gt;AP$7),0,AND($K39&lt;=AP$7,$L39&lt;=AP$7),1,AND($K39&lt;=AP$7,$L39&gt;AP$7),((AP$7-$K39)/($L39-$K39)))</f>
        <v>#REF!</v>
      </c>
      <c r="AR39" s="201" t="e">
        <f t="array" ref="AR39">_xlfn.IFS(AND($K39&gt;AQ$7,$L39&gt;AQ$7),0,AND($K39&lt;=AQ$7,$L39&lt;=AQ$7),1,AND($K39&lt;=AQ$7,$L39&gt;AQ$7),((AQ$7-$K39)/($L39-$K39)))</f>
        <v>#REF!</v>
      </c>
      <c r="AS39" s="201" t="e">
        <f t="array" ref="AS39">_xlfn.IFS(AND($K39&gt;AR$7,$L39&gt;AR$7),0,AND($K39&lt;=AR$7,$L39&lt;=AR$7),1,AND($K39&lt;=AR$7,$L39&gt;AR$7),((AR$7-$K39)/($L39-$K39)))</f>
        <v>#REF!</v>
      </c>
      <c r="AT39" s="201" t="e">
        <f t="array" ref="AT39">_xlfn.IFS(AND($K39&gt;AS$7,$L39&gt;AS$7),0,AND($K39&lt;=AS$7,$L39&lt;=AS$7),1,AND($K39&lt;=AS$7,$L39&gt;AS$7),((AS$7-$K39)/($L39-$K39)))</f>
        <v>#REF!</v>
      </c>
      <c r="AU39" s="201" t="e">
        <f t="array" ref="AU39">_xlfn.IFS(AND($K39&gt;AT$7,$L39&gt;AT$7),0,AND($K39&lt;=AT$7,$L39&lt;=AT$7),1,AND($K39&lt;=AT$7,$L39&gt;AT$7),((AT$7-$K39)/($L39-$K39)))</f>
        <v>#REF!</v>
      </c>
      <c r="AV39" s="201" t="e">
        <f t="array" ref="AV39">_xlfn.IFS(AND($K39&gt;AU$7,$L39&gt;AU$7),0,AND($K39&lt;=AU$7,$L39&lt;=AU$7),1,AND($K39&lt;=AU$7,$L39&gt;AU$7),((AU$7-$K39)/($L39-$K39)))</f>
        <v>#REF!</v>
      </c>
      <c r="AW39" s="201" t="e">
        <f t="array" ref="AW39">_xlfn.IFS(AND($K39&gt;AV$7,$L39&gt;AV$7),0,AND($K39&lt;=AV$7,$L39&lt;=AV$7),1,AND($K39&lt;=AV$7,$L39&gt;AV$7),((AV$7-$K39)/($L39-$K39)))</f>
        <v>#REF!</v>
      </c>
      <c r="AX39" s="201" t="e">
        <f t="array" ref="AX39">_xlfn.IFS(AND($K39&gt;AW$7,$L39&gt;AW$7),0,AND($K39&lt;=AW$7,$L39&lt;=AW$7),1,AND($K39&lt;=AW$7,$L39&gt;AW$7),((AW$7-$K39)/($L39-$K39)))</f>
        <v>#REF!</v>
      </c>
      <c r="AY39" s="201" t="e">
        <f t="array" ref="AY39">_xlfn.IFS(AND($K39&gt;AX$7,$L39&gt;AX$7),0,AND($K39&lt;=AX$7,$L39&lt;=AX$7),1,AND($K39&lt;=AX$7,$L39&gt;AX$7),((AX$7-$K39)/($L39-$K39)))</f>
        <v>#REF!</v>
      </c>
      <c r="AZ39" s="201" t="e">
        <f t="array" ref="AZ39">_xlfn.IFS(AND($K39&gt;AY$7,$L39&gt;AY$7),0,AND($K39&lt;=AY$7,$L39&lt;=AY$7),1,AND($K39&lt;=AY$7,$L39&gt;AY$7),((AY$7-$K39)/($L39-$K39)))</f>
        <v>#REF!</v>
      </c>
      <c r="BA39" s="201" t="e">
        <f t="array" ref="BA39">_xlfn.IFS(AND($K39&gt;AZ$7,$L39&gt;AZ$7),0,AND($K39&lt;=AZ$7,$L39&lt;=AZ$7),1,AND($K39&lt;=AZ$7,$L39&gt;AZ$7),((AZ$7-$K39)/($L39-$K39)))</f>
        <v>#REF!</v>
      </c>
      <c r="BB39" s="201" t="e">
        <f t="array" ref="BB39">_xlfn.IFS(AND($K39&gt;BA$7,$L39&gt;BA$7),0,AND($K39&lt;=BA$7,$L39&lt;=BA$7),1,AND($K39&lt;=BA$7,$L39&gt;BA$7),((BA$7-$K39)/($L39-$K39)))</f>
        <v>#REF!</v>
      </c>
      <c r="BC39" s="201" t="e">
        <f t="array" ref="BC39">_xlfn.IFS(AND($K39&gt;BB$7,$L39&gt;BB$7),0,AND($K39&lt;=BB$7,$L39&lt;=BB$7),1,AND($K39&lt;=BB$7,$L39&gt;BB$7),((BB$7-$K39)/($L39-$K39)))</f>
        <v>#REF!</v>
      </c>
      <c r="BD39" s="201" t="e">
        <f t="array" ref="BD39">_xlfn.IFS(AND($K39&gt;BC$7,$L39&gt;BC$7),0,AND($K39&lt;=BC$7,$L39&lt;=BC$7),1,AND($K39&lt;=BC$7,$L39&gt;BC$7),((BC$7-$K39)/($L39-$K39)))</f>
        <v>#REF!</v>
      </c>
      <c r="BE39" s="201" t="e">
        <f t="array" ref="BE39">_xlfn.IFS(AND($K39&gt;BD$7,$L39&gt;BD$7),0,AND($K39&lt;=BD$7,$L39&lt;=BD$7),1,AND($K39&lt;=BD$7,$L39&gt;BD$7),((BD$7-$K39)/($L39-$K39)))</f>
        <v>#REF!</v>
      </c>
      <c r="BF39" s="201" t="e">
        <f t="array" ref="BF39">_xlfn.IFS(AND($K39&gt;BE$7,$L39&gt;BE$7),0,AND($K39&lt;=BE$7,$L39&lt;=BE$7),1,AND($K39&lt;=BE$7,$L39&gt;BE$7),((BE$7-$K39)/($L39-$K39)))</f>
        <v>#REF!</v>
      </c>
      <c r="BG39" s="201" t="e">
        <f t="array" ref="BG39">_xlfn.IFS(AND($K39&gt;BF$7,$L39&gt;BF$7),0,AND($K39&lt;=BF$7,$L39&lt;=BF$7),1,AND($K39&lt;=BF$7,$L39&gt;BF$7),((BF$7-$K39)/($L39-$K39)))</f>
        <v>#REF!</v>
      </c>
      <c r="BH39" s="201" t="e">
        <f t="array" ref="BH39">_xlfn.IFS(AND($K39&gt;BG$7,$L39&gt;BG$7),0,AND($K39&lt;=BG$7,$L39&lt;=BG$7),1,AND($K39&lt;=BG$7,$L39&gt;BG$7),((BG$7-$K39)/($L39-$K39)))</f>
        <v>#REF!</v>
      </c>
      <c r="BI39" s="201" t="e">
        <f t="array" ref="BI39">_xlfn.IFS(AND($K39&gt;BH$7,$L39&gt;BH$7),0,AND($K39&lt;=BH$7,$L39&lt;=BH$7),1,AND($K39&lt;=BH$7,$L39&gt;BH$7),((BH$7-$K39)/($L39-$K39)))</f>
        <v>#REF!</v>
      </c>
      <c r="BJ39" s="201" t="e">
        <f t="array" ref="BJ39">_xlfn.IFS(AND($K39&gt;BI$7,$L39&gt;BI$7),0,AND($K39&lt;=BI$7,$L39&lt;=BI$7),1,AND($K39&lt;=BI$7,$L39&gt;BI$7),((BI$7-$K39)/($L39-$K39)))</f>
        <v>#REF!</v>
      </c>
      <c r="BK39" s="201" t="e">
        <f t="array" ref="BK39">_xlfn.IFS(AND($K39&gt;BJ$7,$L39&gt;BJ$7),0,AND($K39&lt;=BJ$7,$L39&lt;=BJ$7),1,AND($K39&lt;=BJ$7,$L39&gt;BJ$7),((BJ$7-$K39)/($L39-$K39)))</f>
        <v>#REF!</v>
      </c>
      <c r="BL39" s="201" t="e">
        <f t="array" ref="BL39">_xlfn.IFS(AND($K39&gt;BK$7,$L39&gt;BK$7),0,AND($K39&lt;=BK$7,$L39&lt;=BK$7),1,AND($K39&lt;=BK$7,$L39&gt;BK$7),((BK$7-$K39)/($L39-$K39)))</f>
        <v>#REF!</v>
      </c>
      <c r="BM39" s="201" t="e">
        <f t="array" ref="BM39">_xlfn.IFS(AND($K39&gt;BL$7,$L39&gt;BL$7),0,AND($K39&lt;=BL$7,$L39&lt;=BL$7),1,AND($K39&lt;=BL$7,$L39&gt;BL$7),((BL$7-$K39)/($L39-$K39)))</f>
        <v>#REF!</v>
      </c>
      <c r="BN39" s="201" t="e">
        <f t="array" ref="BN39">_xlfn.IFS(AND($K39&gt;BM$7,$L39&gt;BM$7),0,AND($K39&lt;=BM$7,$L39&lt;=BM$7),1,AND($K39&lt;=BM$7,$L39&gt;BM$7),((BM$7-$K39)/($L39-$K39)))</f>
        <v>#REF!</v>
      </c>
    </row>
    <row r="40" spans="2:66" x14ac:dyDescent="0.3">
      <c r="B40" s="170" t="str">
        <f t="array" ref="B40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3</v>
      </c>
      <c r="C40" s="170" t="s">
        <v>128</v>
      </c>
      <c r="D40" s="177" t="str">
        <f t="shared" si="26"/>
        <v>Arquitetura de projetos GERDAU</v>
      </c>
      <c r="E40" s="170" t="str">
        <f t="shared" si="12"/>
        <v>Definição da Estratégia para Transformação dos Processos</v>
      </c>
      <c r="F40" s="170" t="s">
        <v>74</v>
      </c>
      <c r="G40" s="170" t="s">
        <v>74</v>
      </c>
      <c r="H40" s="194" t="s">
        <v>129</v>
      </c>
      <c r="I40" s="170">
        <f>MIN(I41:I44)</f>
        <v>45705</v>
      </c>
      <c r="J40" s="170">
        <f>MAX(J41:J44)</f>
        <v>45729</v>
      </c>
      <c r="K40" s="170">
        <f>MIN(K41:K44)</f>
        <v>45705</v>
      </c>
      <c r="L40" s="170">
        <f>MAX(L41:L44)</f>
        <v>45727</v>
      </c>
      <c r="M40" s="171"/>
      <c r="N40" s="171" t="str">
        <f t="array" ref="N40">_xlfn.IFS(L40&lt;$M$3,"Concluído",AND(K40&gt;=$M$3,I40&lt;$M$3,L40&gt;$M$3),"Em andamento",AND(L40&gt;=$M$3,J40&lt;$M$3),"Atrasado",AND(L40&gt;=$M$3,J40&gt;=$M$3,I40&gt;$M$3,K40&lt;=$M$3),"Em andamento",AND(L40&gt;=$M$3,J40&gt;=$M$3,I40&lt;=$M$3,K40&lt;=$M$3),"Em andamento",AND(K40&gt;$M$3,I40&gt;$M$3),"Não iniciado",AND(L40&gt;=$M$3,J40&gt;=$M$3,K40&gt;=$M$3,I40&lt;$M$3),"Atrasado",AND(L40&gt;=$M$3,J40&gt;=$M$3,K40&gt;=$M$3,I40&gt;$M$3),"Não iniciado",AND($I40&lt;=$M$3,$K40&gt;$M$3),"Atrasado")</f>
        <v>Concluído</v>
      </c>
      <c r="O40" s="171">
        <f t="array" ref="O40">_xlfn.IFS(N40="Não iniciado",0,N40="Em andamento",1,N40="Concluído",2,N40="Atrasado",3)</f>
        <v>2</v>
      </c>
      <c r="P40" s="172"/>
      <c r="Q40" s="173">
        <f t="shared" ref="Q40:AV40" si="27">AVERAGE(Q41)</f>
        <v>1</v>
      </c>
      <c r="R40" s="173">
        <f t="shared" si="27"/>
        <v>1</v>
      </c>
      <c r="S40" s="173" t="e">
        <f t="shared" si="27"/>
        <v>#REF!</v>
      </c>
      <c r="T40" s="173" t="e">
        <f t="shared" si="27"/>
        <v>#REF!</v>
      </c>
      <c r="U40" s="173" t="e">
        <f t="shared" si="27"/>
        <v>#REF!</v>
      </c>
      <c r="V40" s="173" t="e">
        <f t="shared" si="27"/>
        <v>#REF!</v>
      </c>
      <c r="W40" s="173" t="e">
        <f t="shared" si="27"/>
        <v>#REF!</v>
      </c>
      <c r="X40" s="173" t="e">
        <f t="shared" si="27"/>
        <v>#REF!</v>
      </c>
      <c r="Y40" s="173" t="e">
        <f t="shared" si="27"/>
        <v>#REF!</v>
      </c>
      <c r="Z40" s="173" t="e">
        <f t="shared" si="27"/>
        <v>#REF!</v>
      </c>
      <c r="AA40" s="173" t="e">
        <f t="shared" si="27"/>
        <v>#REF!</v>
      </c>
      <c r="AB40" s="173" t="e">
        <f t="shared" si="27"/>
        <v>#REF!</v>
      </c>
      <c r="AC40" s="173" t="e">
        <f t="shared" si="27"/>
        <v>#REF!</v>
      </c>
      <c r="AD40" s="173" t="e">
        <f t="shared" si="27"/>
        <v>#REF!</v>
      </c>
      <c r="AE40" s="173" t="e">
        <f t="shared" si="27"/>
        <v>#REF!</v>
      </c>
      <c r="AF40" s="173" t="e">
        <f t="shared" si="27"/>
        <v>#REF!</v>
      </c>
      <c r="AG40" s="173" t="e">
        <f t="shared" si="27"/>
        <v>#REF!</v>
      </c>
      <c r="AH40" s="173" t="e">
        <f t="shared" si="27"/>
        <v>#REF!</v>
      </c>
      <c r="AI40" s="173" t="e">
        <f t="shared" si="27"/>
        <v>#REF!</v>
      </c>
      <c r="AJ40" s="173" t="e">
        <f t="shared" si="27"/>
        <v>#REF!</v>
      </c>
      <c r="AK40" s="173" t="e">
        <f t="shared" si="27"/>
        <v>#REF!</v>
      </c>
      <c r="AL40" s="173" t="e">
        <f t="shared" si="27"/>
        <v>#REF!</v>
      </c>
      <c r="AM40" s="173" t="e">
        <f t="shared" si="27"/>
        <v>#REF!</v>
      </c>
      <c r="AN40" s="173" t="e">
        <f t="shared" si="27"/>
        <v>#REF!</v>
      </c>
      <c r="AO40" s="173" t="e">
        <f t="shared" si="27"/>
        <v>#REF!</v>
      </c>
      <c r="AP40" s="173" t="e">
        <f t="shared" si="27"/>
        <v>#REF!</v>
      </c>
      <c r="AQ40" s="173" t="e">
        <f t="shared" si="27"/>
        <v>#REF!</v>
      </c>
      <c r="AR40" s="173" t="e">
        <f t="shared" si="27"/>
        <v>#REF!</v>
      </c>
      <c r="AS40" s="173" t="e">
        <f t="shared" si="27"/>
        <v>#REF!</v>
      </c>
      <c r="AT40" s="173" t="e">
        <f t="shared" si="27"/>
        <v>#REF!</v>
      </c>
      <c r="AU40" s="173" t="e">
        <f t="shared" si="27"/>
        <v>#REF!</v>
      </c>
      <c r="AV40" s="173" t="e">
        <f t="shared" si="27"/>
        <v>#REF!</v>
      </c>
      <c r="AW40" s="173" t="e">
        <f t="shared" ref="AW40:BN40" si="28">AVERAGE(AW41)</f>
        <v>#REF!</v>
      </c>
      <c r="AX40" s="173" t="e">
        <f t="shared" si="28"/>
        <v>#REF!</v>
      </c>
      <c r="AY40" s="173" t="e">
        <f t="shared" si="28"/>
        <v>#REF!</v>
      </c>
      <c r="AZ40" s="173" t="e">
        <f t="shared" si="28"/>
        <v>#REF!</v>
      </c>
      <c r="BA40" s="173" t="e">
        <f t="shared" si="28"/>
        <v>#REF!</v>
      </c>
      <c r="BB40" s="173" t="e">
        <f t="shared" si="28"/>
        <v>#REF!</v>
      </c>
      <c r="BC40" s="173" t="e">
        <f t="shared" si="28"/>
        <v>#REF!</v>
      </c>
      <c r="BD40" s="173" t="e">
        <f t="shared" si="28"/>
        <v>#REF!</v>
      </c>
      <c r="BE40" s="173" t="e">
        <f t="shared" si="28"/>
        <v>#REF!</v>
      </c>
      <c r="BF40" s="173" t="e">
        <f t="shared" si="28"/>
        <v>#REF!</v>
      </c>
      <c r="BG40" s="173" t="e">
        <f t="shared" si="28"/>
        <v>#REF!</v>
      </c>
      <c r="BH40" s="173" t="e">
        <f t="shared" si="28"/>
        <v>#REF!</v>
      </c>
      <c r="BI40" s="173" t="e">
        <f t="shared" si="28"/>
        <v>#REF!</v>
      </c>
      <c r="BJ40" s="173" t="e">
        <f t="shared" si="28"/>
        <v>#REF!</v>
      </c>
      <c r="BK40" s="173" t="e">
        <f t="shared" si="28"/>
        <v>#REF!</v>
      </c>
      <c r="BL40" s="173" t="e">
        <f t="shared" si="28"/>
        <v>#REF!</v>
      </c>
      <c r="BM40" s="173" t="e">
        <f t="shared" si="28"/>
        <v>#REF!</v>
      </c>
      <c r="BN40" s="173" t="e">
        <f t="shared" si="28"/>
        <v>#REF!</v>
      </c>
    </row>
    <row r="41" spans="2:66" ht="15" customHeight="1" x14ac:dyDescent="0.3">
      <c r="B41" s="174" t="str">
        <f t="array" ref="B41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41" s="174" t="s">
        <v>130</v>
      </c>
      <c r="D41" s="177" t="str">
        <f t="shared" si="26"/>
        <v>Arquitetura de projetos GERDAU</v>
      </c>
      <c r="E41" s="170" t="str">
        <f t="shared" si="12"/>
        <v>Definição da Estratégia para Transformação dos Processos</v>
      </c>
      <c r="F41" s="174" t="str">
        <f>$H$40</f>
        <v>Priorização do Portfólio de Transformação</v>
      </c>
      <c r="G41" s="174"/>
      <c r="H41" s="195" t="s">
        <v>131</v>
      </c>
      <c r="I41" s="174">
        <f>MIN(I42:I44)</f>
        <v>45705</v>
      </c>
      <c r="J41" s="174">
        <f>MAX(J42:J44)</f>
        <v>45729</v>
      </c>
      <c r="K41" s="174">
        <f>MIN(K42:K44)</f>
        <v>45705</v>
      </c>
      <c r="L41" s="174">
        <f>MAX(L42:L44)</f>
        <v>45727</v>
      </c>
      <c r="M41" s="175"/>
      <c r="N41" s="175" t="str">
        <f t="array" ref="N41">_xlfn.IFS(L41&lt;$M$3,"Concluído",AND(K41&gt;=$M$3,I41&lt;$M$3,L41&gt;$M$3),"Em andamento",AND(L41&gt;=$M$3,J41&lt;$M$3),"Atrasado",AND(L41&gt;=$M$3,J41&gt;=$M$3,I41&gt;$M$3,K41&lt;=$M$3),"Em andamento",AND(L41&gt;=$M$3,J41&gt;=$M$3,I41&lt;=$M$3,K41&lt;=$M$3),"Em andamento",AND(K41&gt;$M$3,I41&gt;$M$3),"Não iniciado",AND(L41&gt;=$M$3,J41&gt;=$M$3,K41&gt;=$M$3,I41&lt;$M$3),"Atrasado",AND(L41&gt;=$M$3,J41&gt;=$M$3,K41&gt;=$M$3,I41&gt;$M$3),"Não iniciado",AND($I41&lt;=$M$3,$K41&gt;$M$3),"Atrasado")</f>
        <v>Concluído</v>
      </c>
      <c r="O41" s="175">
        <f t="array" ref="O41">_xlfn.IFS(N41="Não iniciado",0,N41="Em andamento",1,N41="Concluído",2,N41="Atrasado",3)</f>
        <v>2</v>
      </c>
      <c r="P41" s="176"/>
      <c r="Q41" s="156">
        <f t="array" ref="Q41">_xlfn.IFS(AND($I41&lt;$M$3,$J41&lt;$M$3),1,AND($I41&lt;$M$3,$J41&gt;=$M$3),0.5,AND($I41&gt;=$M$3,$J41&gt;=$M$3),0)</f>
        <v>1</v>
      </c>
      <c r="R41" s="156">
        <f t="array" ref="R41">_xlfn.IFS(AND($I41&lt;$M$3,$J41&lt;$M$3),1,AND($I41&lt;$M$3,$J41&gt;=$M$3),0.5,AND($I41&gt;=$M$3,$J41&gt;=$M$3),0)</f>
        <v>1</v>
      </c>
      <c r="S41" s="205" t="e">
        <f t="shared" ref="S41:BN41" si="29">AVERAGE(S42:S44)</f>
        <v>#REF!</v>
      </c>
      <c r="T41" s="205" t="e">
        <f t="shared" si="29"/>
        <v>#REF!</v>
      </c>
      <c r="U41" s="205" t="e">
        <f t="shared" si="29"/>
        <v>#REF!</v>
      </c>
      <c r="V41" s="205" t="e">
        <f t="shared" si="29"/>
        <v>#REF!</v>
      </c>
      <c r="W41" s="205" t="e">
        <f t="shared" si="29"/>
        <v>#REF!</v>
      </c>
      <c r="X41" s="205" t="e">
        <f t="shared" si="29"/>
        <v>#REF!</v>
      </c>
      <c r="Y41" s="205" t="e">
        <f t="shared" si="29"/>
        <v>#REF!</v>
      </c>
      <c r="Z41" s="205" t="e">
        <f t="shared" si="29"/>
        <v>#REF!</v>
      </c>
      <c r="AA41" s="205" t="e">
        <f t="shared" si="29"/>
        <v>#REF!</v>
      </c>
      <c r="AB41" s="205" t="e">
        <f t="shared" si="29"/>
        <v>#REF!</v>
      </c>
      <c r="AC41" s="205" t="e">
        <f t="shared" si="29"/>
        <v>#REF!</v>
      </c>
      <c r="AD41" s="205" t="e">
        <f t="shared" si="29"/>
        <v>#REF!</v>
      </c>
      <c r="AE41" s="205" t="e">
        <f t="shared" si="29"/>
        <v>#REF!</v>
      </c>
      <c r="AF41" s="205" t="e">
        <f t="shared" si="29"/>
        <v>#REF!</v>
      </c>
      <c r="AG41" s="205" t="e">
        <f t="shared" si="29"/>
        <v>#REF!</v>
      </c>
      <c r="AH41" s="205" t="e">
        <f t="shared" si="29"/>
        <v>#REF!</v>
      </c>
      <c r="AI41" s="205" t="e">
        <f t="shared" si="29"/>
        <v>#REF!</v>
      </c>
      <c r="AJ41" s="205" t="e">
        <f t="shared" si="29"/>
        <v>#REF!</v>
      </c>
      <c r="AK41" s="205" t="e">
        <f t="shared" si="29"/>
        <v>#REF!</v>
      </c>
      <c r="AL41" s="205" t="e">
        <f t="shared" si="29"/>
        <v>#REF!</v>
      </c>
      <c r="AM41" s="205" t="e">
        <f t="shared" si="29"/>
        <v>#REF!</v>
      </c>
      <c r="AN41" s="205" t="e">
        <f t="shared" si="29"/>
        <v>#REF!</v>
      </c>
      <c r="AO41" s="205" t="e">
        <f t="shared" si="29"/>
        <v>#REF!</v>
      </c>
      <c r="AP41" s="205" t="e">
        <f t="shared" si="29"/>
        <v>#REF!</v>
      </c>
      <c r="AQ41" s="205" t="e">
        <f t="shared" si="29"/>
        <v>#REF!</v>
      </c>
      <c r="AR41" s="205" t="e">
        <f t="shared" si="29"/>
        <v>#REF!</v>
      </c>
      <c r="AS41" s="205" t="e">
        <f t="shared" si="29"/>
        <v>#REF!</v>
      </c>
      <c r="AT41" s="205" t="e">
        <f t="shared" si="29"/>
        <v>#REF!</v>
      </c>
      <c r="AU41" s="205" t="e">
        <f t="shared" si="29"/>
        <v>#REF!</v>
      </c>
      <c r="AV41" s="205" t="e">
        <f t="shared" si="29"/>
        <v>#REF!</v>
      </c>
      <c r="AW41" s="205" t="e">
        <f t="shared" si="29"/>
        <v>#REF!</v>
      </c>
      <c r="AX41" s="205" t="e">
        <f t="shared" si="29"/>
        <v>#REF!</v>
      </c>
      <c r="AY41" s="205" t="e">
        <f t="shared" si="29"/>
        <v>#REF!</v>
      </c>
      <c r="AZ41" s="205" t="e">
        <f t="shared" si="29"/>
        <v>#REF!</v>
      </c>
      <c r="BA41" s="205" t="e">
        <f t="shared" si="29"/>
        <v>#REF!</v>
      </c>
      <c r="BB41" s="205" t="e">
        <f t="shared" si="29"/>
        <v>#REF!</v>
      </c>
      <c r="BC41" s="205" t="e">
        <f t="shared" si="29"/>
        <v>#REF!</v>
      </c>
      <c r="BD41" s="205" t="e">
        <f t="shared" si="29"/>
        <v>#REF!</v>
      </c>
      <c r="BE41" s="205" t="e">
        <f t="shared" si="29"/>
        <v>#REF!</v>
      </c>
      <c r="BF41" s="205" t="e">
        <f t="shared" si="29"/>
        <v>#REF!</v>
      </c>
      <c r="BG41" s="205" t="e">
        <f t="shared" si="29"/>
        <v>#REF!</v>
      </c>
      <c r="BH41" s="205" t="e">
        <f t="shared" si="29"/>
        <v>#REF!</v>
      </c>
      <c r="BI41" s="205" t="e">
        <f t="shared" si="29"/>
        <v>#REF!</v>
      </c>
      <c r="BJ41" s="205" t="e">
        <f t="shared" si="29"/>
        <v>#REF!</v>
      </c>
      <c r="BK41" s="205" t="e">
        <f t="shared" si="29"/>
        <v>#REF!</v>
      </c>
      <c r="BL41" s="205" t="e">
        <f t="shared" si="29"/>
        <v>#REF!</v>
      </c>
      <c r="BM41" s="205" t="e">
        <f t="shared" si="29"/>
        <v>#REF!</v>
      </c>
      <c r="BN41" s="205" t="e">
        <f t="shared" si="29"/>
        <v>#REF!</v>
      </c>
    </row>
    <row r="42" spans="2:66" ht="15" customHeight="1" x14ac:dyDescent="0.3">
      <c r="B42" s="166" t="str">
        <f t="array" ref="B42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42" s="166" t="s">
        <v>132</v>
      </c>
      <c r="D42" s="177" t="str">
        <f t="shared" si="26"/>
        <v>Arquitetura de projetos GERDAU</v>
      </c>
      <c r="E42" s="170" t="str">
        <f t="shared" si="12"/>
        <v>Definição da Estratégia para Transformação dos Processos</v>
      </c>
      <c r="F42" s="174" t="str">
        <f>$H$40</f>
        <v>Priorização do Portfólio de Transformação</v>
      </c>
      <c r="G42" s="166" t="str">
        <f>$H$41</f>
        <v>Elaboração do Roadmap de Transformação de Processos</v>
      </c>
      <c r="H42" s="197" t="s">
        <v>133</v>
      </c>
      <c r="I42" s="166">
        <v>45705</v>
      </c>
      <c r="J42" s="40">
        <v>45707</v>
      </c>
      <c r="K42" s="166">
        <v>45705</v>
      </c>
      <c r="L42" s="40">
        <v>45707</v>
      </c>
      <c r="M42" s="167"/>
      <c r="N42" s="167" t="str">
        <f t="array" ref="N42">_xlfn.IFS(L42&lt;$M$3,"Concluído",AND(K42&gt;=$M$3,I42&lt;$M$3,L42&gt;$M$3),"Em andamento",AND(L42&gt;=$M$3,J42&lt;$M$3),"Atrasado",AND(L42&gt;=$M$3,J42&gt;=$M$3,I42&gt;$M$3,K42&lt;=$M$3),"Em andamento",AND(L42&gt;=$M$3,J42&gt;=$M$3,I42&lt;=$M$3,K42&lt;=$M$3),"Em andamento",AND(K42&gt;$M$3,I42&gt;$M$3),"Não iniciado",AND(L42&gt;=$M$3,J42&gt;=$M$3,K42&gt;=$M$3,I42&lt;$M$3),"Atrasado",AND(L42&gt;=$M$3,J42&gt;=$M$3,K42&gt;=$M$3,I42&gt;$M$3),"Não iniciado",AND($I42&lt;=$M$3,$K42&gt;$M$3),"Atrasado")</f>
        <v>Concluído</v>
      </c>
      <c r="O42" s="167">
        <f t="array" ref="O42">_xlfn.IFS(N42="Não iniciado",0,N42="Em andamento",1,N42="Concluído",2,N42="Atrasado",3)</f>
        <v>2</v>
      </c>
      <c r="P42" s="169"/>
      <c r="Q42" s="152">
        <f t="array" aca="1" ref="Q42" ca="1">_xlfn.IFS(AND($I42&lt;$N$3,$J42&lt;$N$3),1,AND($I42&lt;=$N$3,$J42&gt;=$N$3),0.5,AND($I42&gt;=$N$3,$J42&gt;=$N$3),0)</f>
        <v>1</v>
      </c>
      <c r="R42" s="152">
        <f t="array" aca="1" ref="R42" ca="1">_xlfn.IFS(AND($K42&lt;$N$3,$L42&lt;$N$3),1,AND($K42&lt;=$N$3,$L42&gt;=$N$3),0.5,AND($K42&gt;=$N$3,$L42&gt;=$N$3),0)</f>
        <v>1</v>
      </c>
      <c r="S42" s="201" t="e">
        <f t="array" ref="S42">_xlfn.IFS(AND($K42&gt;R$7,$L42&gt;R$7),0,AND($K42&lt;=R$7,$L42&lt;=R$7),1,AND($K42&lt;=R$7,$L42&gt;R$7),((R$7-$K42)/($L42-$K42)))</f>
        <v>#REF!</v>
      </c>
      <c r="T42" s="201" t="e">
        <f t="array" ref="T42">_xlfn.IFS(AND($K42&gt;S$7,$L42&gt;S$7),0,AND($K42&lt;=S$7,$L42&lt;=S$7),1,AND($K42&lt;=S$7,$L42&gt;S$7),((S$7-$K42)/($L42-$K42)))</f>
        <v>#REF!</v>
      </c>
      <c r="U42" s="201" t="e">
        <f t="array" ref="U42">_xlfn.IFS(AND($K42&gt;T$7,$L42&gt;T$7),0,AND($K42&lt;=T$7,$L42&lt;=T$7),1,AND($K42&lt;=T$7,$L42&gt;T$7),((T$7-$K42)/($L42-$K42)))</f>
        <v>#REF!</v>
      </c>
      <c r="V42" s="201" t="e">
        <f t="array" ref="V42">_xlfn.IFS(AND($K42&gt;U$7,$L42&gt;U$7),0,AND($K42&lt;=U$7,$L42&lt;=U$7),1,AND($K42&lt;=U$7,$L42&gt;U$7),((U$7-$K42)/($L42-$K42)))</f>
        <v>#REF!</v>
      </c>
      <c r="W42" s="201" t="e">
        <f t="array" ref="W42">_xlfn.IFS(AND($K42&gt;V$7,$L42&gt;V$7),0,AND($K42&lt;=V$7,$L42&lt;=V$7),1,AND($K42&lt;=V$7,$L42&gt;V$7),((V$7-$K42)/($L42-$K42)))</f>
        <v>#REF!</v>
      </c>
      <c r="X42" s="201" t="e">
        <f t="array" ref="X42">_xlfn.IFS(AND($K42&gt;W$7,$L42&gt;W$7),0,AND($K42&lt;=W$7,$L42&lt;=W$7),1,AND($K42&lt;=W$7,$L42&gt;W$7),((W$7-$K42)/($L42-$K42)))</f>
        <v>#REF!</v>
      </c>
      <c r="Y42" s="201" t="e">
        <f t="array" ref="Y42">_xlfn.IFS(AND($K42&gt;X$7,$L42&gt;X$7),0,AND($K42&lt;=X$7,$L42&lt;=X$7),1,AND($K42&lt;=X$7,$L42&gt;X$7),((X$7-$K42)/($L42-$K42)))</f>
        <v>#REF!</v>
      </c>
      <c r="Z42" s="201" t="e">
        <f t="array" ref="Z42">_xlfn.IFS(AND($K42&gt;Y$7,$L42&gt;Y$7),0,AND($K42&lt;=Y$7,$L42&lt;=Y$7),1,AND($K42&lt;=Y$7,$L42&gt;Y$7),((Y$7-$K42)/($L42-$K42)))</f>
        <v>#REF!</v>
      </c>
      <c r="AA42" s="201" t="e">
        <f t="array" ref="AA42">_xlfn.IFS(AND($K42&gt;Z$7,$L42&gt;Z$7),0,AND($K42&lt;=Z$7,$L42&lt;=Z$7),1,AND($K42&lt;=Z$7,$L42&gt;Z$7),((Z$7-$K42)/($L42-$K42)))</f>
        <v>#REF!</v>
      </c>
      <c r="AB42" s="201" t="e">
        <f t="array" ref="AB42">_xlfn.IFS(AND($K42&gt;AA$7,$L42&gt;AA$7),0,AND($K42&lt;=AA$7,$L42&lt;=AA$7),1,AND($K42&lt;=AA$7,$L42&gt;AA$7),((AA$7-$K42)/($L42-$K42)))</f>
        <v>#REF!</v>
      </c>
      <c r="AC42" s="201" t="e">
        <f t="array" ref="AC42">_xlfn.IFS(AND($K42&gt;AB$7,$L42&gt;AB$7),0,AND($K42&lt;=AB$7,$L42&lt;=AB$7),1,AND($K42&lt;=AB$7,$L42&gt;AB$7),((AB$7-$K42)/($L42-$K42)))</f>
        <v>#REF!</v>
      </c>
      <c r="AD42" s="201" t="e">
        <f t="array" ref="AD42">_xlfn.IFS(AND($K42&gt;AC$7,$L42&gt;AC$7),0,AND($K42&lt;=AC$7,$L42&lt;=AC$7),1,AND($K42&lt;=AC$7,$L42&gt;AC$7),((AC$7-$K42)/($L42-$K42)))</f>
        <v>#REF!</v>
      </c>
      <c r="AE42" s="201" t="e">
        <f t="array" ref="AE42">_xlfn.IFS(AND($K42&gt;AD$7,$L42&gt;AD$7),0,AND($K42&lt;=AD$7,$L42&lt;=AD$7),1,AND($K42&lt;=AD$7,$L42&gt;AD$7),((AD$7-$K42)/($L42-$K42)))</f>
        <v>#REF!</v>
      </c>
      <c r="AF42" s="201" t="e">
        <f t="array" ref="AF42">_xlfn.IFS(AND($K42&gt;AE$7,$L42&gt;AE$7),0,AND($K42&lt;=AE$7,$L42&lt;=AE$7),1,AND($K42&lt;=AE$7,$L42&gt;AE$7),((AE$7-$K42)/($L42-$K42)))</f>
        <v>#REF!</v>
      </c>
      <c r="AG42" s="201" t="e">
        <f t="array" ref="AG42">_xlfn.IFS(AND($K42&gt;AF$7,$L42&gt;AF$7),0,AND($K42&lt;=AF$7,$L42&lt;=AF$7),1,AND($K42&lt;=AF$7,$L42&gt;AF$7),((AF$7-$K42)/($L42-$K42)))</f>
        <v>#REF!</v>
      </c>
      <c r="AH42" s="201" t="e">
        <f t="array" ref="AH42">_xlfn.IFS(AND($K42&gt;AG$7,$L42&gt;AG$7),0,AND($K42&lt;=AG$7,$L42&lt;=AG$7),1,AND($K42&lt;=AG$7,$L42&gt;AG$7),((AG$7-$K42)/($L42-$K42)))</f>
        <v>#REF!</v>
      </c>
      <c r="AI42" s="201" t="e">
        <f t="array" ref="AI42">_xlfn.IFS(AND($K42&gt;AH$7,$L42&gt;AH$7),0,AND($K42&lt;=AH$7,$L42&lt;=AH$7),1,AND($K42&lt;=AH$7,$L42&gt;AH$7),((AH$7-$K42)/($L42-$K42)))</f>
        <v>#REF!</v>
      </c>
      <c r="AJ42" s="201" t="e">
        <f t="array" ref="AJ42">_xlfn.IFS(AND($K42&gt;AI$7,$L42&gt;AI$7),0,AND($K42&lt;=AI$7,$L42&lt;=AI$7),1,AND($K42&lt;=AI$7,$L42&gt;AI$7),((AI$7-$K42)/($L42-$K42)))</f>
        <v>#REF!</v>
      </c>
      <c r="AK42" s="201" t="e">
        <f t="array" ref="AK42">_xlfn.IFS(AND($K42&gt;AJ$7,$L42&gt;AJ$7),0,AND($K42&lt;=AJ$7,$L42&lt;=AJ$7),1,AND($K42&lt;=AJ$7,$L42&gt;AJ$7),((AJ$7-$K42)/($L42-$K42)))</f>
        <v>#REF!</v>
      </c>
      <c r="AL42" s="201" t="e">
        <f t="array" ref="AL42">_xlfn.IFS(AND($K42&gt;AK$7,$L42&gt;AK$7),0,AND($K42&lt;=AK$7,$L42&lt;=AK$7),1,AND($K42&lt;=AK$7,$L42&gt;AK$7),((AK$7-$K42)/($L42-$K42)))</f>
        <v>#REF!</v>
      </c>
      <c r="AM42" s="201" t="e">
        <f t="array" ref="AM42">_xlfn.IFS(AND($K42&gt;AL$7,$L42&gt;AL$7),0,AND($K42&lt;=AL$7,$L42&lt;=AL$7),1,AND($K42&lt;=AL$7,$L42&gt;AL$7),((AL$7-$K42)/($L42-$K42)))</f>
        <v>#REF!</v>
      </c>
      <c r="AN42" s="201" t="e">
        <f t="array" ref="AN42">_xlfn.IFS(AND($K42&gt;AM$7,$L42&gt;AM$7),0,AND($K42&lt;=AM$7,$L42&lt;=AM$7),1,AND($K42&lt;=AM$7,$L42&gt;AM$7),((AM$7-$K42)/($L42-$K42)))</f>
        <v>#REF!</v>
      </c>
      <c r="AO42" s="201" t="e">
        <f t="array" ref="AO42">_xlfn.IFS(AND($K42&gt;AN$7,$L42&gt;AN$7),0,AND($K42&lt;=AN$7,$L42&lt;=AN$7),1,AND($K42&lt;=AN$7,$L42&gt;AN$7),((AN$7-$K42)/($L42-$K42)))</f>
        <v>#REF!</v>
      </c>
      <c r="AP42" s="201" t="e">
        <f t="array" ref="AP42">_xlfn.IFS(AND($K42&gt;AO$7,$L42&gt;AO$7),0,AND($K42&lt;=AO$7,$L42&lt;=AO$7),1,AND($K42&lt;=AO$7,$L42&gt;AO$7),((AO$7-$K42)/($L42-$K42)))</f>
        <v>#REF!</v>
      </c>
      <c r="AQ42" s="201" t="e">
        <f t="array" ref="AQ42">_xlfn.IFS(AND($K42&gt;AP$7,$L42&gt;AP$7),0,AND($K42&lt;=AP$7,$L42&lt;=AP$7),1,AND($K42&lt;=AP$7,$L42&gt;AP$7),((AP$7-$K42)/($L42-$K42)))</f>
        <v>#REF!</v>
      </c>
      <c r="AR42" s="201" t="e">
        <f t="array" ref="AR42">_xlfn.IFS(AND($K42&gt;AQ$7,$L42&gt;AQ$7),0,AND($K42&lt;=AQ$7,$L42&lt;=AQ$7),1,AND($K42&lt;=AQ$7,$L42&gt;AQ$7),((AQ$7-$K42)/($L42-$K42)))</f>
        <v>#REF!</v>
      </c>
      <c r="AS42" s="201" t="e">
        <f t="array" ref="AS42">_xlfn.IFS(AND($K42&gt;AR$7,$L42&gt;AR$7),0,AND($K42&lt;=AR$7,$L42&lt;=AR$7),1,AND($K42&lt;=AR$7,$L42&gt;AR$7),((AR$7-$K42)/($L42-$K42)))</f>
        <v>#REF!</v>
      </c>
      <c r="AT42" s="201" t="e">
        <f t="array" ref="AT42">_xlfn.IFS(AND($K42&gt;AS$7,$L42&gt;AS$7),0,AND($K42&lt;=AS$7,$L42&lt;=AS$7),1,AND($K42&lt;=AS$7,$L42&gt;AS$7),((AS$7-$K42)/($L42-$K42)))</f>
        <v>#REF!</v>
      </c>
      <c r="AU42" s="201" t="e">
        <f t="array" ref="AU42">_xlfn.IFS(AND($K42&gt;AT$7,$L42&gt;AT$7),0,AND($K42&lt;=AT$7,$L42&lt;=AT$7),1,AND($K42&lt;=AT$7,$L42&gt;AT$7),((AT$7-$K42)/($L42-$K42)))</f>
        <v>#REF!</v>
      </c>
      <c r="AV42" s="201" t="e">
        <f t="array" ref="AV42">_xlfn.IFS(AND($K42&gt;AU$7,$L42&gt;AU$7),0,AND($K42&lt;=AU$7,$L42&lt;=AU$7),1,AND($K42&lt;=AU$7,$L42&gt;AU$7),((AU$7-$K42)/($L42-$K42)))</f>
        <v>#REF!</v>
      </c>
      <c r="AW42" s="201" t="e">
        <f t="array" ref="AW42">_xlfn.IFS(AND($K42&gt;AV$7,$L42&gt;AV$7),0,AND($K42&lt;=AV$7,$L42&lt;=AV$7),1,AND($K42&lt;=AV$7,$L42&gt;AV$7),((AV$7-$K42)/($L42-$K42)))</f>
        <v>#REF!</v>
      </c>
      <c r="AX42" s="201" t="e">
        <f t="array" ref="AX42">_xlfn.IFS(AND($K42&gt;AW$7,$L42&gt;AW$7),0,AND($K42&lt;=AW$7,$L42&lt;=AW$7),1,AND($K42&lt;=AW$7,$L42&gt;AW$7),((AW$7-$K42)/($L42-$K42)))</f>
        <v>#REF!</v>
      </c>
      <c r="AY42" s="201" t="e">
        <f t="array" ref="AY42">_xlfn.IFS(AND($K42&gt;AX$7,$L42&gt;AX$7),0,AND($K42&lt;=AX$7,$L42&lt;=AX$7),1,AND($K42&lt;=AX$7,$L42&gt;AX$7),((AX$7-$K42)/($L42-$K42)))</f>
        <v>#REF!</v>
      </c>
      <c r="AZ42" s="201" t="e">
        <f t="array" ref="AZ42">_xlfn.IFS(AND($K42&gt;AY$7,$L42&gt;AY$7),0,AND($K42&lt;=AY$7,$L42&lt;=AY$7),1,AND($K42&lt;=AY$7,$L42&gt;AY$7),((AY$7-$K42)/($L42-$K42)))</f>
        <v>#REF!</v>
      </c>
      <c r="BA42" s="201" t="e">
        <f t="array" ref="BA42">_xlfn.IFS(AND($K42&gt;AZ$7,$L42&gt;AZ$7),0,AND($K42&lt;=AZ$7,$L42&lt;=AZ$7),1,AND($K42&lt;=AZ$7,$L42&gt;AZ$7),((AZ$7-$K42)/($L42-$K42)))</f>
        <v>#REF!</v>
      </c>
      <c r="BB42" s="201" t="e">
        <f t="array" ref="BB42">_xlfn.IFS(AND($K42&gt;BA$7,$L42&gt;BA$7),0,AND($K42&lt;=BA$7,$L42&lt;=BA$7),1,AND($K42&lt;=BA$7,$L42&gt;BA$7),((BA$7-$K42)/($L42-$K42)))</f>
        <v>#REF!</v>
      </c>
      <c r="BC42" s="201" t="e">
        <f t="array" ref="BC42">_xlfn.IFS(AND($K42&gt;BB$7,$L42&gt;BB$7),0,AND($K42&lt;=BB$7,$L42&lt;=BB$7),1,AND($K42&lt;=BB$7,$L42&gt;BB$7),((BB$7-$K42)/($L42-$K42)))</f>
        <v>#REF!</v>
      </c>
      <c r="BD42" s="201" t="e">
        <f t="array" ref="BD42">_xlfn.IFS(AND($K42&gt;BC$7,$L42&gt;BC$7),0,AND($K42&lt;=BC$7,$L42&lt;=BC$7),1,AND($K42&lt;=BC$7,$L42&gt;BC$7),((BC$7-$K42)/($L42-$K42)))</f>
        <v>#REF!</v>
      </c>
      <c r="BE42" s="201" t="e">
        <f t="array" ref="BE42">_xlfn.IFS(AND($K42&gt;BD$7,$L42&gt;BD$7),0,AND($K42&lt;=BD$7,$L42&lt;=BD$7),1,AND($K42&lt;=BD$7,$L42&gt;BD$7),((BD$7-$K42)/($L42-$K42)))</f>
        <v>#REF!</v>
      </c>
      <c r="BF42" s="201" t="e">
        <f t="array" ref="BF42">_xlfn.IFS(AND($K42&gt;BE$7,$L42&gt;BE$7),0,AND($K42&lt;=BE$7,$L42&lt;=BE$7),1,AND($K42&lt;=BE$7,$L42&gt;BE$7),((BE$7-$K42)/($L42-$K42)))</f>
        <v>#REF!</v>
      </c>
      <c r="BG42" s="201" t="e">
        <f t="array" ref="BG42">_xlfn.IFS(AND($K42&gt;BF$7,$L42&gt;BF$7),0,AND($K42&lt;=BF$7,$L42&lt;=BF$7),1,AND($K42&lt;=BF$7,$L42&gt;BF$7),((BF$7-$K42)/($L42-$K42)))</f>
        <v>#REF!</v>
      </c>
      <c r="BH42" s="201" t="e">
        <f t="array" ref="BH42">_xlfn.IFS(AND($K42&gt;BG$7,$L42&gt;BG$7),0,AND($K42&lt;=BG$7,$L42&lt;=BG$7),1,AND($K42&lt;=BG$7,$L42&gt;BG$7),((BG$7-$K42)/($L42-$K42)))</f>
        <v>#REF!</v>
      </c>
      <c r="BI42" s="201" t="e">
        <f t="array" ref="BI42">_xlfn.IFS(AND($K42&gt;BH$7,$L42&gt;BH$7),0,AND($K42&lt;=BH$7,$L42&lt;=BH$7),1,AND($K42&lt;=BH$7,$L42&gt;BH$7),((BH$7-$K42)/($L42-$K42)))</f>
        <v>#REF!</v>
      </c>
      <c r="BJ42" s="201" t="e">
        <f t="array" ref="BJ42">_xlfn.IFS(AND($K42&gt;BI$7,$L42&gt;BI$7),0,AND($K42&lt;=BI$7,$L42&lt;=BI$7),1,AND($K42&lt;=BI$7,$L42&gt;BI$7),((BI$7-$K42)/($L42-$K42)))</f>
        <v>#REF!</v>
      </c>
      <c r="BK42" s="201" t="e">
        <f t="array" ref="BK42">_xlfn.IFS(AND($K42&gt;BJ$7,$L42&gt;BJ$7),0,AND($K42&lt;=BJ$7,$L42&lt;=BJ$7),1,AND($K42&lt;=BJ$7,$L42&gt;BJ$7),((BJ$7-$K42)/($L42-$K42)))</f>
        <v>#REF!</v>
      </c>
      <c r="BL42" s="201" t="e">
        <f t="array" ref="BL42">_xlfn.IFS(AND($K42&gt;BK$7,$L42&gt;BK$7),0,AND($K42&lt;=BK$7,$L42&lt;=BK$7),1,AND($K42&lt;=BK$7,$L42&gt;BK$7),((BK$7-$K42)/($L42-$K42)))</f>
        <v>#REF!</v>
      </c>
      <c r="BM42" s="201" t="e">
        <f t="array" ref="BM42">_xlfn.IFS(AND($K42&gt;BL$7,$L42&gt;BL$7),0,AND($K42&lt;=BL$7,$L42&lt;=BL$7),1,AND($K42&lt;=BL$7,$L42&gt;BL$7),((BL$7-$K42)/($L42-$K42)))</f>
        <v>#REF!</v>
      </c>
      <c r="BN42" s="201" t="e">
        <f t="array" ref="BN42">_xlfn.IFS(AND($K42&gt;BM$7,$L42&gt;BM$7),0,AND($K42&lt;=BM$7,$L42&lt;=BM$7),1,AND($K42&lt;=BM$7,$L42&gt;BM$7),((BM$7-$K42)/($L42-$K42)))</f>
        <v>#REF!</v>
      </c>
    </row>
    <row r="43" spans="2:66" ht="15" customHeight="1" x14ac:dyDescent="0.3">
      <c r="B43" s="166" t="str">
        <f t="array" ref="B43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43" s="166" t="s">
        <v>134</v>
      </c>
      <c r="D43" s="177" t="str">
        <f t="shared" si="26"/>
        <v>Arquitetura de projetos GERDAU</v>
      </c>
      <c r="E43" s="170" t="str">
        <f t="shared" si="12"/>
        <v>Definição da Estratégia para Transformação dos Processos</v>
      </c>
      <c r="F43" s="174" t="str">
        <f>$H$40</f>
        <v>Priorização do Portfólio de Transformação</v>
      </c>
      <c r="G43" s="166" t="str">
        <f>$H$41</f>
        <v>Elaboração do Roadmap de Transformação de Processos</v>
      </c>
      <c r="H43" s="197" t="s">
        <v>135</v>
      </c>
      <c r="I43" s="166">
        <v>45713</v>
      </c>
      <c r="J43" s="166">
        <v>45715</v>
      </c>
      <c r="K43" s="166">
        <v>45720</v>
      </c>
      <c r="L43" s="166">
        <v>45722</v>
      </c>
      <c r="M43" s="167"/>
      <c r="N43" s="167" t="str">
        <f t="array" ref="N43">_xlfn.IFS(L43&lt;$M$3,"Concluído",AND(K43&gt;=$M$3,I43&lt;$M$3,L43&gt;$M$3),"Em andamento",AND(L43&gt;=$M$3,J43&lt;$M$3),"Atrasado",AND(L43&gt;=$M$3,J43&gt;=$M$3,I43&gt;$M$3,K43&lt;=$M$3),"Em andamento",AND(L43&gt;=$M$3,J43&gt;=$M$3,I43&lt;=$M$3,K43&lt;=$M$3),"Em andamento",AND(K43&gt;$M$3,I43&gt;$M$3),"Não iniciado",AND(L43&gt;=$M$3,J43&gt;=$M$3,K43&gt;=$M$3,I43&lt;$M$3),"Atrasado",AND(L43&gt;=$M$3,J43&gt;=$M$3,K43&gt;=$M$3,I43&gt;$M$3),"Não iniciado",AND($I43&lt;=$M$3,$K43&gt;$M$3),"Atrasado")</f>
        <v>Concluído</v>
      </c>
      <c r="O43" s="167">
        <f t="array" ref="O43">_xlfn.IFS(N43="Não iniciado",0,N43="Em andamento",1,N43="Concluído",2,N43="Atrasado",3)</f>
        <v>2</v>
      </c>
      <c r="P43" s="169"/>
      <c r="Q43" s="152">
        <f t="array" aca="1" ref="Q43" ca="1">_xlfn.IFS(AND($I43&lt;$N$3,$J43&lt;$N$3),1,AND($I43&lt;=$N$3,$J43&gt;=$N$3),0.5,AND($I43&gt;=$N$3,$J43&gt;=$N$3),0)</f>
        <v>1</v>
      </c>
      <c r="R43" s="152">
        <f t="array" aca="1" ref="R43" ca="1">_xlfn.IFS(AND($K43&lt;$N$3,$L43&lt;$N$3),1,AND($K43&lt;=$N$3,$L43&gt;=$N$3),0.5,AND($K43&gt;=$N$3,$L43&gt;=$N$3),0)</f>
        <v>1</v>
      </c>
      <c r="S43" s="201" t="e">
        <f t="array" ref="S43">_xlfn.IFS(AND($K43&gt;R$7,$L43&gt;R$7),0,AND($K43&lt;=R$7,$L43&lt;=R$7),1,AND($K43&lt;=R$7,$L43&gt;R$7),((R$7-$K43)/($L43-$K43)))</f>
        <v>#REF!</v>
      </c>
      <c r="T43" s="201" t="e">
        <f t="array" ref="T43">_xlfn.IFS(AND($K43&gt;S$7,$L43&gt;S$7),0,AND($K43&lt;=S$7,$L43&lt;=S$7),1,AND($K43&lt;=S$7,$L43&gt;S$7),((S$7-$K43)/($L43-$K43)))</f>
        <v>#REF!</v>
      </c>
      <c r="U43" s="201" t="e">
        <f t="array" ref="U43">_xlfn.IFS(AND($K43&gt;T$7,$L43&gt;T$7),0,AND($K43&lt;=T$7,$L43&lt;=T$7),1,AND($K43&lt;=T$7,$L43&gt;T$7),((T$7-$K43)/($L43-$K43)))</f>
        <v>#REF!</v>
      </c>
      <c r="V43" s="201" t="e">
        <f t="array" ref="V43">_xlfn.IFS(AND($K43&gt;U$7,$L43&gt;U$7),0,AND($K43&lt;=U$7,$L43&lt;=U$7),1,AND($K43&lt;=U$7,$L43&gt;U$7),((U$7-$K43)/($L43-$K43)))</f>
        <v>#REF!</v>
      </c>
      <c r="W43" s="201" t="e">
        <f t="array" ref="W43">_xlfn.IFS(AND($K43&gt;V$7,$L43&gt;V$7),0,AND($K43&lt;=V$7,$L43&lt;=V$7),1,AND($K43&lt;=V$7,$L43&gt;V$7),((V$7-$K43)/($L43-$K43)))</f>
        <v>#REF!</v>
      </c>
      <c r="X43" s="201" t="e">
        <f t="array" ref="X43">_xlfn.IFS(AND($K43&gt;W$7,$L43&gt;W$7),0,AND($K43&lt;=W$7,$L43&lt;=W$7),1,AND($K43&lt;=W$7,$L43&gt;W$7),((W$7-$K43)/($L43-$K43)))</f>
        <v>#REF!</v>
      </c>
      <c r="Y43" s="201" t="e">
        <f t="array" ref="Y43">_xlfn.IFS(AND($K43&gt;X$7,$L43&gt;X$7),0,AND($K43&lt;=X$7,$L43&lt;=X$7),1,AND($K43&lt;=X$7,$L43&gt;X$7),((X$7-$K43)/($L43-$K43)))</f>
        <v>#REF!</v>
      </c>
      <c r="Z43" s="201" t="e">
        <f t="array" ref="Z43">_xlfn.IFS(AND($K43&gt;Y$7,$L43&gt;Y$7),0,AND($K43&lt;=Y$7,$L43&lt;=Y$7),1,AND($K43&lt;=Y$7,$L43&gt;Y$7),((Y$7-$K43)/($L43-$K43)))</f>
        <v>#REF!</v>
      </c>
      <c r="AA43" s="201" t="e">
        <f t="array" ref="AA43">_xlfn.IFS(AND($K43&gt;Z$7,$L43&gt;Z$7),0,AND($K43&lt;=Z$7,$L43&lt;=Z$7),1,AND($K43&lt;=Z$7,$L43&gt;Z$7),((Z$7-$K43)/($L43-$K43)))</f>
        <v>#REF!</v>
      </c>
      <c r="AB43" s="201" t="e">
        <f t="array" ref="AB43">_xlfn.IFS(AND($K43&gt;AA$7,$L43&gt;AA$7),0,AND($K43&lt;=AA$7,$L43&lt;=AA$7),1,AND($K43&lt;=AA$7,$L43&gt;AA$7),((AA$7-$K43)/($L43-$K43)))</f>
        <v>#REF!</v>
      </c>
      <c r="AC43" s="201" t="e">
        <f t="array" ref="AC43">_xlfn.IFS(AND($K43&gt;AB$7,$L43&gt;AB$7),0,AND($K43&lt;=AB$7,$L43&lt;=AB$7),1,AND($K43&lt;=AB$7,$L43&gt;AB$7),((AB$7-$K43)/($L43-$K43)))</f>
        <v>#REF!</v>
      </c>
      <c r="AD43" s="201" t="e">
        <f t="array" ref="AD43">_xlfn.IFS(AND($K43&gt;AC$7,$L43&gt;AC$7),0,AND($K43&lt;=AC$7,$L43&lt;=AC$7),1,AND($K43&lt;=AC$7,$L43&gt;AC$7),((AC$7-$K43)/($L43-$K43)))</f>
        <v>#REF!</v>
      </c>
      <c r="AE43" s="201" t="e">
        <f t="array" ref="AE43">_xlfn.IFS(AND($K43&gt;AD$7,$L43&gt;AD$7),0,AND($K43&lt;=AD$7,$L43&lt;=AD$7),1,AND($K43&lt;=AD$7,$L43&gt;AD$7),((AD$7-$K43)/($L43-$K43)))</f>
        <v>#REF!</v>
      </c>
      <c r="AF43" s="201" t="e">
        <f t="array" ref="AF43">_xlfn.IFS(AND($K43&gt;AE$7,$L43&gt;AE$7),0,AND($K43&lt;=AE$7,$L43&lt;=AE$7),1,AND($K43&lt;=AE$7,$L43&gt;AE$7),((AE$7-$K43)/($L43-$K43)))</f>
        <v>#REF!</v>
      </c>
      <c r="AG43" s="201" t="e">
        <f t="array" ref="AG43">_xlfn.IFS(AND($K43&gt;AF$7,$L43&gt;AF$7),0,AND($K43&lt;=AF$7,$L43&lt;=AF$7),1,AND($K43&lt;=AF$7,$L43&gt;AF$7),((AF$7-$K43)/($L43-$K43)))</f>
        <v>#REF!</v>
      </c>
      <c r="AH43" s="201" t="e">
        <f t="array" ref="AH43">_xlfn.IFS(AND($K43&gt;AG$7,$L43&gt;AG$7),0,AND($K43&lt;=AG$7,$L43&lt;=AG$7),1,AND($K43&lt;=AG$7,$L43&gt;AG$7),((AG$7-$K43)/($L43-$K43)))</f>
        <v>#REF!</v>
      </c>
      <c r="AI43" s="201" t="e">
        <f t="array" ref="AI43">_xlfn.IFS(AND($K43&gt;AH$7,$L43&gt;AH$7),0,AND($K43&lt;=AH$7,$L43&lt;=AH$7),1,AND($K43&lt;=AH$7,$L43&gt;AH$7),((AH$7-$K43)/($L43-$K43)))</f>
        <v>#REF!</v>
      </c>
      <c r="AJ43" s="201" t="e">
        <f t="array" ref="AJ43">_xlfn.IFS(AND($K43&gt;AI$7,$L43&gt;AI$7),0,AND($K43&lt;=AI$7,$L43&lt;=AI$7),1,AND($K43&lt;=AI$7,$L43&gt;AI$7),((AI$7-$K43)/($L43-$K43)))</f>
        <v>#REF!</v>
      </c>
      <c r="AK43" s="201" t="e">
        <f t="array" ref="AK43">_xlfn.IFS(AND($K43&gt;AJ$7,$L43&gt;AJ$7),0,AND($K43&lt;=AJ$7,$L43&lt;=AJ$7),1,AND($K43&lt;=AJ$7,$L43&gt;AJ$7),((AJ$7-$K43)/($L43-$K43)))</f>
        <v>#REF!</v>
      </c>
      <c r="AL43" s="201" t="e">
        <f t="array" ref="AL43">_xlfn.IFS(AND($K43&gt;AK$7,$L43&gt;AK$7),0,AND($K43&lt;=AK$7,$L43&lt;=AK$7),1,AND($K43&lt;=AK$7,$L43&gt;AK$7),((AK$7-$K43)/($L43-$K43)))</f>
        <v>#REF!</v>
      </c>
      <c r="AM43" s="201" t="e">
        <f t="array" ref="AM43">_xlfn.IFS(AND($K43&gt;AL$7,$L43&gt;AL$7),0,AND($K43&lt;=AL$7,$L43&lt;=AL$7),1,AND($K43&lt;=AL$7,$L43&gt;AL$7),((AL$7-$K43)/($L43-$K43)))</f>
        <v>#REF!</v>
      </c>
      <c r="AN43" s="201" t="e">
        <f t="array" ref="AN43">_xlfn.IFS(AND($K43&gt;AM$7,$L43&gt;AM$7),0,AND($K43&lt;=AM$7,$L43&lt;=AM$7),1,AND($K43&lt;=AM$7,$L43&gt;AM$7),((AM$7-$K43)/($L43-$K43)))</f>
        <v>#REF!</v>
      </c>
      <c r="AO43" s="201" t="e">
        <f t="array" ref="AO43">_xlfn.IFS(AND($K43&gt;AN$7,$L43&gt;AN$7),0,AND($K43&lt;=AN$7,$L43&lt;=AN$7),1,AND($K43&lt;=AN$7,$L43&gt;AN$7),((AN$7-$K43)/($L43-$K43)))</f>
        <v>#REF!</v>
      </c>
      <c r="AP43" s="201" t="e">
        <f t="array" ref="AP43">_xlfn.IFS(AND($K43&gt;AO$7,$L43&gt;AO$7),0,AND($K43&lt;=AO$7,$L43&lt;=AO$7),1,AND($K43&lt;=AO$7,$L43&gt;AO$7),((AO$7-$K43)/($L43-$K43)))</f>
        <v>#REF!</v>
      </c>
      <c r="AQ43" s="201" t="e">
        <f t="array" ref="AQ43">_xlfn.IFS(AND($K43&gt;AP$7,$L43&gt;AP$7),0,AND($K43&lt;=AP$7,$L43&lt;=AP$7),1,AND($K43&lt;=AP$7,$L43&gt;AP$7),((AP$7-$K43)/($L43-$K43)))</f>
        <v>#REF!</v>
      </c>
      <c r="AR43" s="201" t="e">
        <f t="array" ref="AR43">_xlfn.IFS(AND($K43&gt;AQ$7,$L43&gt;AQ$7),0,AND($K43&lt;=AQ$7,$L43&lt;=AQ$7),1,AND($K43&lt;=AQ$7,$L43&gt;AQ$7),((AQ$7-$K43)/($L43-$K43)))</f>
        <v>#REF!</v>
      </c>
      <c r="AS43" s="201" t="e">
        <f t="array" ref="AS43">_xlfn.IFS(AND($K43&gt;AR$7,$L43&gt;AR$7),0,AND($K43&lt;=AR$7,$L43&lt;=AR$7),1,AND($K43&lt;=AR$7,$L43&gt;AR$7),((AR$7-$K43)/($L43-$K43)))</f>
        <v>#REF!</v>
      </c>
      <c r="AT43" s="201" t="e">
        <f t="array" ref="AT43">_xlfn.IFS(AND($K43&gt;AS$7,$L43&gt;AS$7),0,AND($K43&lt;=AS$7,$L43&lt;=AS$7),1,AND($K43&lt;=AS$7,$L43&gt;AS$7),((AS$7-$K43)/($L43-$K43)))</f>
        <v>#REF!</v>
      </c>
      <c r="AU43" s="201" t="e">
        <f t="array" ref="AU43">_xlfn.IFS(AND($K43&gt;AT$7,$L43&gt;AT$7),0,AND($K43&lt;=AT$7,$L43&lt;=AT$7),1,AND($K43&lt;=AT$7,$L43&gt;AT$7),((AT$7-$K43)/($L43-$K43)))</f>
        <v>#REF!</v>
      </c>
      <c r="AV43" s="201" t="e">
        <f t="array" ref="AV43">_xlfn.IFS(AND($K43&gt;AU$7,$L43&gt;AU$7),0,AND($K43&lt;=AU$7,$L43&lt;=AU$7),1,AND($K43&lt;=AU$7,$L43&gt;AU$7),((AU$7-$K43)/($L43-$K43)))</f>
        <v>#REF!</v>
      </c>
      <c r="AW43" s="201" t="e">
        <f t="array" ref="AW43">_xlfn.IFS(AND($K43&gt;AV$7,$L43&gt;AV$7),0,AND($K43&lt;=AV$7,$L43&lt;=AV$7),1,AND($K43&lt;=AV$7,$L43&gt;AV$7),((AV$7-$K43)/($L43-$K43)))</f>
        <v>#REF!</v>
      </c>
      <c r="AX43" s="201" t="e">
        <f t="array" ref="AX43">_xlfn.IFS(AND($K43&gt;AW$7,$L43&gt;AW$7),0,AND($K43&lt;=AW$7,$L43&lt;=AW$7),1,AND($K43&lt;=AW$7,$L43&gt;AW$7),((AW$7-$K43)/($L43-$K43)))</f>
        <v>#REF!</v>
      </c>
      <c r="AY43" s="201" t="e">
        <f t="array" ref="AY43">_xlfn.IFS(AND($K43&gt;AX$7,$L43&gt;AX$7),0,AND($K43&lt;=AX$7,$L43&lt;=AX$7),1,AND($K43&lt;=AX$7,$L43&gt;AX$7),((AX$7-$K43)/($L43-$K43)))</f>
        <v>#REF!</v>
      </c>
      <c r="AZ43" s="201" t="e">
        <f t="array" ref="AZ43">_xlfn.IFS(AND($K43&gt;AY$7,$L43&gt;AY$7),0,AND($K43&lt;=AY$7,$L43&lt;=AY$7),1,AND($K43&lt;=AY$7,$L43&gt;AY$7),((AY$7-$K43)/($L43-$K43)))</f>
        <v>#REF!</v>
      </c>
      <c r="BA43" s="201" t="e">
        <f t="array" ref="BA43">_xlfn.IFS(AND($K43&gt;AZ$7,$L43&gt;AZ$7),0,AND($K43&lt;=AZ$7,$L43&lt;=AZ$7),1,AND($K43&lt;=AZ$7,$L43&gt;AZ$7),((AZ$7-$K43)/($L43-$K43)))</f>
        <v>#REF!</v>
      </c>
      <c r="BB43" s="201" t="e">
        <f t="array" ref="BB43">_xlfn.IFS(AND($K43&gt;BA$7,$L43&gt;BA$7),0,AND($K43&lt;=BA$7,$L43&lt;=BA$7),1,AND($K43&lt;=BA$7,$L43&gt;BA$7),((BA$7-$K43)/($L43-$K43)))</f>
        <v>#REF!</v>
      </c>
      <c r="BC43" s="201" t="e">
        <f t="array" ref="BC43">_xlfn.IFS(AND($K43&gt;BB$7,$L43&gt;BB$7),0,AND($K43&lt;=BB$7,$L43&lt;=BB$7),1,AND($K43&lt;=BB$7,$L43&gt;BB$7),((BB$7-$K43)/($L43-$K43)))</f>
        <v>#REF!</v>
      </c>
      <c r="BD43" s="201" t="e">
        <f t="array" ref="BD43">_xlfn.IFS(AND($K43&gt;BC$7,$L43&gt;BC$7),0,AND($K43&lt;=BC$7,$L43&lt;=BC$7),1,AND($K43&lt;=BC$7,$L43&gt;BC$7),((BC$7-$K43)/($L43-$K43)))</f>
        <v>#REF!</v>
      </c>
      <c r="BE43" s="201" t="e">
        <f t="array" ref="BE43">_xlfn.IFS(AND($K43&gt;BD$7,$L43&gt;BD$7),0,AND($K43&lt;=BD$7,$L43&lt;=BD$7),1,AND($K43&lt;=BD$7,$L43&gt;BD$7),((BD$7-$K43)/($L43-$K43)))</f>
        <v>#REF!</v>
      </c>
      <c r="BF43" s="201" t="e">
        <f t="array" ref="BF43">_xlfn.IFS(AND($K43&gt;BE$7,$L43&gt;BE$7),0,AND($K43&lt;=BE$7,$L43&lt;=BE$7),1,AND($K43&lt;=BE$7,$L43&gt;BE$7),((BE$7-$K43)/($L43-$K43)))</f>
        <v>#REF!</v>
      </c>
      <c r="BG43" s="201" t="e">
        <f t="array" ref="BG43">_xlfn.IFS(AND($K43&gt;BF$7,$L43&gt;BF$7),0,AND($K43&lt;=BF$7,$L43&lt;=BF$7),1,AND($K43&lt;=BF$7,$L43&gt;BF$7),((BF$7-$K43)/($L43-$K43)))</f>
        <v>#REF!</v>
      </c>
      <c r="BH43" s="201" t="e">
        <f t="array" ref="BH43">_xlfn.IFS(AND($K43&gt;BG$7,$L43&gt;BG$7),0,AND($K43&lt;=BG$7,$L43&lt;=BG$7),1,AND($K43&lt;=BG$7,$L43&gt;BG$7),((BG$7-$K43)/($L43-$K43)))</f>
        <v>#REF!</v>
      </c>
      <c r="BI43" s="201" t="e">
        <f t="array" ref="BI43">_xlfn.IFS(AND($K43&gt;BH$7,$L43&gt;BH$7),0,AND($K43&lt;=BH$7,$L43&lt;=BH$7),1,AND($K43&lt;=BH$7,$L43&gt;BH$7),((BH$7-$K43)/($L43-$K43)))</f>
        <v>#REF!</v>
      </c>
      <c r="BJ43" s="201" t="e">
        <f t="array" ref="BJ43">_xlfn.IFS(AND($K43&gt;BI$7,$L43&gt;BI$7),0,AND($K43&lt;=BI$7,$L43&lt;=BI$7),1,AND($K43&lt;=BI$7,$L43&gt;BI$7),((BI$7-$K43)/($L43-$K43)))</f>
        <v>#REF!</v>
      </c>
      <c r="BK43" s="201" t="e">
        <f t="array" ref="BK43">_xlfn.IFS(AND($K43&gt;BJ$7,$L43&gt;BJ$7),0,AND($K43&lt;=BJ$7,$L43&lt;=BJ$7),1,AND($K43&lt;=BJ$7,$L43&gt;BJ$7),((BJ$7-$K43)/($L43-$K43)))</f>
        <v>#REF!</v>
      </c>
      <c r="BL43" s="201" t="e">
        <f t="array" ref="BL43">_xlfn.IFS(AND($K43&gt;BK$7,$L43&gt;BK$7),0,AND($K43&lt;=BK$7,$L43&lt;=BK$7),1,AND($K43&lt;=BK$7,$L43&gt;BK$7),((BK$7-$K43)/($L43-$K43)))</f>
        <v>#REF!</v>
      </c>
      <c r="BM43" s="201" t="e">
        <f t="array" ref="BM43">_xlfn.IFS(AND($K43&gt;BL$7,$L43&gt;BL$7),0,AND($K43&lt;=BL$7,$L43&lt;=BL$7),1,AND($K43&lt;=BL$7,$L43&gt;BL$7),((BL$7-$K43)/($L43-$K43)))</f>
        <v>#REF!</v>
      </c>
      <c r="BN43" s="201" t="e">
        <f t="array" ref="BN43">_xlfn.IFS(AND($K43&gt;BM$7,$L43&gt;BM$7),0,AND($K43&lt;=BM$7,$L43&lt;=BM$7),1,AND($K43&lt;=BM$7,$L43&gt;BM$7),((BM$7-$K43)/($L43-$K43)))</f>
        <v>#REF!</v>
      </c>
    </row>
    <row r="44" spans="2:66" ht="15" customHeight="1" x14ac:dyDescent="0.3">
      <c r="B44" s="166" t="str">
        <f t="array" ref="B44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44" s="166" t="s">
        <v>136</v>
      </c>
      <c r="D44" s="177" t="str">
        <f t="shared" si="26"/>
        <v>Arquitetura de projetos GERDAU</v>
      </c>
      <c r="E44" s="170" t="str">
        <f t="shared" si="12"/>
        <v>Definição da Estratégia para Transformação dos Processos</v>
      </c>
      <c r="F44" s="174" t="str">
        <f>$H$40</f>
        <v>Priorização do Portfólio de Transformação</v>
      </c>
      <c r="G44" s="166" t="str">
        <f>$H$41</f>
        <v>Elaboração do Roadmap de Transformação de Processos</v>
      </c>
      <c r="H44" s="197" t="s">
        <v>137</v>
      </c>
      <c r="I44" s="166">
        <v>45727</v>
      </c>
      <c r="J44" s="166">
        <v>45729</v>
      </c>
      <c r="K44" s="166">
        <v>45727</v>
      </c>
      <c r="L44" s="166">
        <v>45727</v>
      </c>
      <c r="M44" s="167"/>
      <c r="N44" s="167" t="str">
        <f t="array" ref="N44">_xlfn.IFS(L44&lt;$M$3,"Concluído",AND(K44&gt;=$M$3,I44&lt;$M$3,L44&gt;$M$3),"Em andamento",AND(L44&gt;=$M$3,J44&lt;$M$3),"Atrasado",AND(L44&gt;=$M$3,J44&gt;=$M$3,I44&gt;$M$3,K44&lt;=$M$3),"Em andamento",AND(L44&gt;=$M$3,J44&gt;=$M$3,I44&lt;=$M$3,K44&lt;=$M$3),"Em andamento",AND(K44&gt;$M$3,I44&gt;$M$3),"Não iniciado",AND(L44&gt;=$M$3,J44&gt;=$M$3,K44&gt;=$M$3,I44&lt;$M$3),"Atrasado",AND(L44&gt;=$M$3,J44&gt;=$M$3,K44&gt;=$M$3,I44&gt;$M$3),"Não iniciado",AND($I44&lt;=$M$3,$K44&gt;$M$3),"Atrasado")</f>
        <v>Concluído</v>
      </c>
      <c r="O44" s="167">
        <f t="array" ref="O44">_xlfn.IFS(N44="Não iniciado",0,N44="Em andamento",1,N44="Concluído",2,N44="Atrasado",3)</f>
        <v>2</v>
      </c>
      <c r="P44" s="169"/>
      <c r="Q44" s="152">
        <f t="array" aca="1" ref="Q44" ca="1">_xlfn.IFS(AND($I44&lt;$N$3,$J44&lt;$N$3),1,AND($I44&lt;=$N$3,$J44&gt;=$N$3),0.5,AND($I44&gt;=$N$3,$J44&gt;=$N$3),0)</f>
        <v>1</v>
      </c>
      <c r="R44" s="152">
        <f t="array" aca="1" ref="R44" ca="1">_xlfn.IFS(AND($K44&lt;$N$3,$L44&lt;$N$3),1,AND($K44&lt;=$N$3,$L44&gt;=$N$3),0.5,AND($K44&gt;=$N$3,$L44&gt;=$N$3),0)</f>
        <v>1</v>
      </c>
      <c r="S44" s="201" t="e">
        <f t="array" ref="S44">_xlfn.IFS(AND($K44&gt;R$7,$L44&gt;R$7),0,AND($K44&lt;=R$7,$L44&lt;=R$7),1,AND($K44&lt;=R$7,$L44&gt;R$7),((R$7-$K44)/($L44-$K44)))</f>
        <v>#REF!</v>
      </c>
      <c r="T44" s="201" t="e">
        <f t="array" ref="T44">_xlfn.IFS(AND($K44&gt;S$7,$L44&gt;S$7),0,AND($K44&lt;=S$7,$L44&lt;=S$7),1,AND($K44&lt;=S$7,$L44&gt;S$7),((S$7-$K44)/($L44-$K44)))</f>
        <v>#REF!</v>
      </c>
      <c r="U44" s="201" t="e">
        <f t="array" ref="U44">_xlfn.IFS(AND($K44&gt;T$7,$L44&gt;T$7),0,AND($K44&lt;=T$7,$L44&lt;=T$7),1,AND($K44&lt;=T$7,$L44&gt;T$7),((T$7-$K44)/($L44-$K44)))</f>
        <v>#REF!</v>
      </c>
      <c r="V44" s="201" t="e">
        <f t="array" ref="V44">_xlfn.IFS(AND($K44&gt;U$7,$L44&gt;U$7),0,AND($K44&lt;=U$7,$L44&lt;=U$7),1,AND($K44&lt;=U$7,$L44&gt;U$7),((U$7-$K44)/($L44-$K44)))</f>
        <v>#REF!</v>
      </c>
      <c r="W44" s="201" t="e">
        <f t="array" ref="W44">_xlfn.IFS(AND($K44&gt;V$7,$L44&gt;V$7),0,AND($K44&lt;=V$7,$L44&lt;=V$7),1,AND($K44&lt;=V$7,$L44&gt;V$7),((V$7-$K44)/($L44-$K44)))</f>
        <v>#REF!</v>
      </c>
      <c r="X44" s="201" t="e">
        <f t="array" ref="X44">_xlfn.IFS(AND($K44&gt;W$7,$L44&gt;W$7),0,AND($K44&lt;=W$7,$L44&lt;=W$7),1,AND($K44&lt;=W$7,$L44&gt;W$7),((W$7-$K44)/($L44-$K44)))</f>
        <v>#REF!</v>
      </c>
      <c r="Y44" s="201" t="e">
        <f t="array" ref="Y44">_xlfn.IFS(AND($K44&gt;X$7,$L44&gt;X$7),0,AND($K44&lt;=X$7,$L44&lt;=X$7),1,AND($K44&lt;=X$7,$L44&gt;X$7),((X$7-$K44)/($L44-$K44)))</f>
        <v>#REF!</v>
      </c>
      <c r="Z44" s="201" t="e">
        <f t="array" ref="Z44">_xlfn.IFS(AND($K44&gt;Y$7,$L44&gt;Y$7),0,AND($K44&lt;=Y$7,$L44&lt;=Y$7),1,AND($K44&lt;=Y$7,$L44&gt;Y$7),((Y$7-$K44)/($L44-$K44)))</f>
        <v>#REF!</v>
      </c>
      <c r="AA44" s="201" t="e">
        <f t="array" ref="AA44">_xlfn.IFS(AND($K44&gt;Z$7,$L44&gt;Z$7),0,AND($K44&lt;=Z$7,$L44&lt;=Z$7),1,AND($K44&lt;=Z$7,$L44&gt;Z$7),((Z$7-$K44)/($L44-$K44)))</f>
        <v>#REF!</v>
      </c>
      <c r="AB44" s="201" t="e">
        <f t="array" ref="AB44">_xlfn.IFS(AND($K44&gt;AA$7,$L44&gt;AA$7),0,AND($K44&lt;=AA$7,$L44&lt;=AA$7),1,AND($K44&lt;=AA$7,$L44&gt;AA$7),((AA$7-$K44)/($L44-$K44)))</f>
        <v>#REF!</v>
      </c>
      <c r="AC44" s="201" t="e">
        <f t="array" ref="AC44">_xlfn.IFS(AND($K44&gt;AB$7,$L44&gt;AB$7),0,AND($K44&lt;=AB$7,$L44&lt;=AB$7),1,AND($K44&lt;=AB$7,$L44&gt;AB$7),((AB$7-$K44)/($L44-$K44)))</f>
        <v>#REF!</v>
      </c>
      <c r="AD44" s="201" t="e">
        <f t="array" ref="AD44">_xlfn.IFS(AND($K44&gt;AC$7,$L44&gt;AC$7),0,AND($K44&lt;=AC$7,$L44&lt;=AC$7),1,AND($K44&lt;=AC$7,$L44&gt;AC$7),((AC$7-$K44)/($L44-$K44)))</f>
        <v>#REF!</v>
      </c>
      <c r="AE44" s="201" t="e">
        <f t="array" ref="AE44">_xlfn.IFS(AND($K44&gt;AD$7,$L44&gt;AD$7),0,AND($K44&lt;=AD$7,$L44&lt;=AD$7),1,AND($K44&lt;=AD$7,$L44&gt;AD$7),((AD$7-$K44)/($L44-$K44)))</f>
        <v>#REF!</v>
      </c>
      <c r="AF44" s="201" t="e">
        <f t="array" ref="AF44">_xlfn.IFS(AND($K44&gt;AE$7,$L44&gt;AE$7),0,AND($K44&lt;=AE$7,$L44&lt;=AE$7),1,AND($K44&lt;=AE$7,$L44&gt;AE$7),((AE$7-$K44)/($L44-$K44)))</f>
        <v>#REF!</v>
      </c>
      <c r="AG44" s="201" t="e">
        <f t="array" ref="AG44">_xlfn.IFS(AND($K44&gt;AF$7,$L44&gt;AF$7),0,AND($K44&lt;=AF$7,$L44&lt;=AF$7),1,AND($K44&lt;=AF$7,$L44&gt;AF$7),((AF$7-$K44)/($L44-$K44)))</f>
        <v>#REF!</v>
      </c>
      <c r="AH44" s="201" t="e">
        <f t="array" ref="AH44">_xlfn.IFS(AND($K44&gt;AG$7,$L44&gt;AG$7),0,AND($K44&lt;=AG$7,$L44&lt;=AG$7),1,AND($K44&lt;=AG$7,$L44&gt;AG$7),((AG$7-$K44)/($L44-$K44)))</f>
        <v>#REF!</v>
      </c>
      <c r="AI44" s="201" t="e">
        <f t="array" ref="AI44">_xlfn.IFS(AND($K44&gt;AH$7,$L44&gt;AH$7),0,AND($K44&lt;=AH$7,$L44&lt;=AH$7),1,AND($K44&lt;=AH$7,$L44&gt;AH$7),((AH$7-$K44)/($L44-$K44)))</f>
        <v>#REF!</v>
      </c>
      <c r="AJ44" s="201" t="e">
        <f t="array" ref="AJ44">_xlfn.IFS(AND($K44&gt;AI$7,$L44&gt;AI$7),0,AND($K44&lt;=AI$7,$L44&lt;=AI$7),1,AND($K44&lt;=AI$7,$L44&gt;AI$7),((AI$7-$K44)/($L44-$K44)))</f>
        <v>#REF!</v>
      </c>
      <c r="AK44" s="201" t="e">
        <f t="array" ref="AK44">_xlfn.IFS(AND($K44&gt;AJ$7,$L44&gt;AJ$7),0,AND($K44&lt;=AJ$7,$L44&lt;=AJ$7),1,AND($K44&lt;=AJ$7,$L44&gt;AJ$7),((AJ$7-$K44)/($L44-$K44)))</f>
        <v>#REF!</v>
      </c>
      <c r="AL44" s="201" t="e">
        <f t="array" ref="AL44">_xlfn.IFS(AND($K44&gt;AK$7,$L44&gt;AK$7),0,AND($K44&lt;=AK$7,$L44&lt;=AK$7),1,AND($K44&lt;=AK$7,$L44&gt;AK$7),((AK$7-$K44)/($L44-$K44)))</f>
        <v>#REF!</v>
      </c>
      <c r="AM44" s="201" t="e">
        <f t="array" ref="AM44">_xlfn.IFS(AND($K44&gt;AL$7,$L44&gt;AL$7),0,AND($K44&lt;=AL$7,$L44&lt;=AL$7),1,AND($K44&lt;=AL$7,$L44&gt;AL$7),((AL$7-$K44)/($L44-$K44)))</f>
        <v>#REF!</v>
      </c>
      <c r="AN44" s="201" t="e">
        <f t="array" ref="AN44">_xlfn.IFS(AND($K44&gt;AM$7,$L44&gt;AM$7),0,AND($K44&lt;=AM$7,$L44&lt;=AM$7),1,AND($K44&lt;=AM$7,$L44&gt;AM$7),((AM$7-$K44)/($L44-$K44)))</f>
        <v>#REF!</v>
      </c>
      <c r="AO44" s="201" t="e">
        <f t="array" ref="AO44">_xlfn.IFS(AND($K44&gt;AN$7,$L44&gt;AN$7),0,AND($K44&lt;=AN$7,$L44&lt;=AN$7),1,AND($K44&lt;=AN$7,$L44&gt;AN$7),((AN$7-$K44)/($L44-$K44)))</f>
        <v>#REF!</v>
      </c>
      <c r="AP44" s="201" t="e">
        <f t="array" ref="AP44">_xlfn.IFS(AND($K44&gt;AO$7,$L44&gt;AO$7),0,AND($K44&lt;=AO$7,$L44&lt;=AO$7),1,AND($K44&lt;=AO$7,$L44&gt;AO$7),((AO$7-$K44)/($L44-$K44)))</f>
        <v>#REF!</v>
      </c>
      <c r="AQ44" s="201" t="e">
        <f t="array" ref="AQ44">_xlfn.IFS(AND($K44&gt;AP$7,$L44&gt;AP$7),0,AND($K44&lt;=AP$7,$L44&lt;=AP$7),1,AND($K44&lt;=AP$7,$L44&gt;AP$7),((AP$7-$K44)/($L44-$K44)))</f>
        <v>#REF!</v>
      </c>
      <c r="AR44" s="201" t="e">
        <f t="array" ref="AR44">_xlfn.IFS(AND($K44&gt;AQ$7,$L44&gt;AQ$7),0,AND($K44&lt;=AQ$7,$L44&lt;=AQ$7),1,AND($K44&lt;=AQ$7,$L44&gt;AQ$7),((AQ$7-$K44)/($L44-$K44)))</f>
        <v>#REF!</v>
      </c>
      <c r="AS44" s="201" t="e">
        <f t="array" ref="AS44">_xlfn.IFS(AND($K44&gt;AR$7,$L44&gt;AR$7),0,AND($K44&lt;=AR$7,$L44&lt;=AR$7),1,AND($K44&lt;=AR$7,$L44&gt;AR$7),((AR$7-$K44)/($L44-$K44)))</f>
        <v>#REF!</v>
      </c>
      <c r="AT44" s="201" t="e">
        <f t="array" ref="AT44">_xlfn.IFS(AND($K44&gt;AS$7,$L44&gt;AS$7),0,AND($K44&lt;=AS$7,$L44&lt;=AS$7),1,AND($K44&lt;=AS$7,$L44&gt;AS$7),((AS$7-$K44)/($L44-$K44)))</f>
        <v>#REF!</v>
      </c>
      <c r="AU44" s="201" t="e">
        <f t="array" ref="AU44">_xlfn.IFS(AND($K44&gt;AT$7,$L44&gt;AT$7),0,AND($K44&lt;=AT$7,$L44&lt;=AT$7),1,AND($K44&lt;=AT$7,$L44&gt;AT$7),((AT$7-$K44)/($L44-$K44)))</f>
        <v>#REF!</v>
      </c>
      <c r="AV44" s="201" t="e">
        <f t="array" ref="AV44">_xlfn.IFS(AND($K44&gt;AU$7,$L44&gt;AU$7),0,AND($K44&lt;=AU$7,$L44&lt;=AU$7),1,AND($K44&lt;=AU$7,$L44&gt;AU$7),((AU$7-$K44)/($L44-$K44)))</f>
        <v>#REF!</v>
      </c>
      <c r="AW44" s="201" t="e">
        <f t="array" ref="AW44">_xlfn.IFS(AND($K44&gt;AV$7,$L44&gt;AV$7),0,AND($K44&lt;=AV$7,$L44&lt;=AV$7),1,AND($K44&lt;=AV$7,$L44&gt;AV$7),((AV$7-$K44)/($L44-$K44)))</f>
        <v>#REF!</v>
      </c>
      <c r="AX44" s="201" t="e">
        <f t="array" ref="AX44">_xlfn.IFS(AND($K44&gt;AW$7,$L44&gt;AW$7),0,AND($K44&lt;=AW$7,$L44&lt;=AW$7),1,AND($K44&lt;=AW$7,$L44&gt;AW$7),((AW$7-$K44)/($L44-$K44)))</f>
        <v>#REF!</v>
      </c>
      <c r="AY44" s="201" t="e">
        <f t="array" ref="AY44">_xlfn.IFS(AND($K44&gt;AX$7,$L44&gt;AX$7),0,AND($K44&lt;=AX$7,$L44&lt;=AX$7),1,AND($K44&lt;=AX$7,$L44&gt;AX$7),((AX$7-$K44)/($L44-$K44)))</f>
        <v>#REF!</v>
      </c>
      <c r="AZ44" s="201" t="e">
        <f t="array" ref="AZ44">_xlfn.IFS(AND($K44&gt;AY$7,$L44&gt;AY$7),0,AND($K44&lt;=AY$7,$L44&lt;=AY$7),1,AND($K44&lt;=AY$7,$L44&gt;AY$7),((AY$7-$K44)/($L44-$K44)))</f>
        <v>#REF!</v>
      </c>
      <c r="BA44" s="201" t="e">
        <f t="array" ref="BA44">_xlfn.IFS(AND($K44&gt;AZ$7,$L44&gt;AZ$7),0,AND($K44&lt;=AZ$7,$L44&lt;=AZ$7),1,AND($K44&lt;=AZ$7,$L44&gt;AZ$7),((AZ$7-$K44)/($L44-$K44)))</f>
        <v>#REF!</v>
      </c>
      <c r="BB44" s="201" t="e">
        <f t="array" ref="BB44">_xlfn.IFS(AND($K44&gt;BA$7,$L44&gt;BA$7),0,AND($K44&lt;=BA$7,$L44&lt;=BA$7),1,AND($K44&lt;=BA$7,$L44&gt;BA$7),((BA$7-$K44)/($L44-$K44)))</f>
        <v>#REF!</v>
      </c>
      <c r="BC44" s="201" t="e">
        <f t="array" ref="BC44">_xlfn.IFS(AND($K44&gt;BB$7,$L44&gt;BB$7),0,AND($K44&lt;=BB$7,$L44&lt;=BB$7),1,AND($K44&lt;=BB$7,$L44&gt;BB$7),((BB$7-$K44)/($L44-$K44)))</f>
        <v>#REF!</v>
      </c>
      <c r="BD44" s="201" t="e">
        <f t="array" ref="BD44">_xlfn.IFS(AND($K44&gt;BC$7,$L44&gt;BC$7),0,AND($K44&lt;=BC$7,$L44&lt;=BC$7),1,AND($K44&lt;=BC$7,$L44&gt;BC$7),((BC$7-$K44)/($L44-$K44)))</f>
        <v>#REF!</v>
      </c>
      <c r="BE44" s="201" t="e">
        <f t="array" ref="BE44">_xlfn.IFS(AND($K44&gt;BD$7,$L44&gt;BD$7),0,AND($K44&lt;=BD$7,$L44&lt;=BD$7),1,AND($K44&lt;=BD$7,$L44&gt;BD$7),((BD$7-$K44)/($L44-$K44)))</f>
        <v>#REF!</v>
      </c>
      <c r="BF44" s="201" t="e">
        <f t="array" ref="BF44">_xlfn.IFS(AND($K44&gt;BE$7,$L44&gt;BE$7),0,AND($K44&lt;=BE$7,$L44&lt;=BE$7),1,AND($K44&lt;=BE$7,$L44&gt;BE$7),((BE$7-$K44)/($L44-$K44)))</f>
        <v>#REF!</v>
      </c>
      <c r="BG44" s="201" t="e">
        <f t="array" ref="BG44">_xlfn.IFS(AND($K44&gt;BF$7,$L44&gt;BF$7),0,AND($K44&lt;=BF$7,$L44&lt;=BF$7),1,AND($K44&lt;=BF$7,$L44&gt;BF$7),((BF$7-$K44)/($L44-$K44)))</f>
        <v>#REF!</v>
      </c>
      <c r="BH44" s="201" t="e">
        <f t="array" ref="BH44">_xlfn.IFS(AND($K44&gt;BG$7,$L44&gt;BG$7),0,AND($K44&lt;=BG$7,$L44&lt;=BG$7),1,AND($K44&lt;=BG$7,$L44&gt;BG$7),((BG$7-$K44)/($L44-$K44)))</f>
        <v>#REF!</v>
      </c>
      <c r="BI44" s="201" t="e">
        <f t="array" ref="BI44">_xlfn.IFS(AND($K44&gt;BH$7,$L44&gt;BH$7),0,AND($K44&lt;=BH$7,$L44&lt;=BH$7),1,AND($K44&lt;=BH$7,$L44&gt;BH$7),((BH$7-$K44)/($L44-$K44)))</f>
        <v>#REF!</v>
      </c>
      <c r="BJ44" s="201" t="e">
        <f t="array" ref="BJ44">_xlfn.IFS(AND($K44&gt;BI$7,$L44&gt;BI$7),0,AND($K44&lt;=BI$7,$L44&lt;=BI$7),1,AND($K44&lt;=BI$7,$L44&gt;BI$7),((BI$7-$K44)/($L44-$K44)))</f>
        <v>#REF!</v>
      </c>
      <c r="BK44" s="201" t="e">
        <f t="array" ref="BK44">_xlfn.IFS(AND($K44&gt;BJ$7,$L44&gt;BJ$7),0,AND($K44&lt;=BJ$7,$L44&lt;=BJ$7),1,AND($K44&lt;=BJ$7,$L44&gt;BJ$7),((BJ$7-$K44)/($L44-$K44)))</f>
        <v>#REF!</v>
      </c>
      <c r="BL44" s="201" t="e">
        <f t="array" ref="BL44">_xlfn.IFS(AND($K44&gt;BK$7,$L44&gt;BK$7),0,AND($K44&lt;=BK$7,$L44&lt;=BK$7),1,AND($K44&lt;=BK$7,$L44&gt;BK$7),((BK$7-$K44)/($L44-$K44)))</f>
        <v>#REF!</v>
      </c>
      <c r="BM44" s="201" t="e">
        <f t="array" ref="BM44">_xlfn.IFS(AND($K44&gt;BL$7,$L44&gt;BL$7),0,AND($K44&lt;=BL$7,$L44&lt;=BL$7),1,AND($K44&lt;=BL$7,$L44&gt;BL$7),((BL$7-$K44)/($L44-$K44)))</f>
        <v>#REF!</v>
      </c>
      <c r="BN44" s="201" t="e">
        <f t="array" ref="BN44">_xlfn.IFS(AND($K44&gt;BM$7,$L44&gt;BM$7),0,AND($K44&lt;=BM$7,$L44&lt;=BM$7),1,AND($K44&lt;=BM$7,$L44&gt;BM$7),((BM$7-$K44)/($L44-$K44)))</f>
        <v>#REF!</v>
      </c>
    </row>
    <row r="45" spans="2:66" s="163" customFormat="1" ht="15" customHeight="1" collapsed="1" x14ac:dyDescent="0.3">
      <c r="B45" s="177" t="str">
        <f t="array" ref="B45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2</v>
      </c>
      <c r="C45" s="177" t="s">
        <v>138</v>
      </c>
      <c r="D45" s="177" t="str">
        <f t="shared" si="26"/>
        <v>Arquitetura de projetos GERDAU</v>
      </c>
      <c r="E45" s="177" t="s">
        <v>74</v>
      </c>
      <c r="F45" s="177" t="s">
        <v>74</v>
      </c>
      <c r="G45" s="177" t="s">
        <v>74</v>
      </c>
      <c r="H45" s="193" t="s">
        <v>139</v>
      </c>
      <c r="I45" s="177">
        <f>MIN(I46:I139)</f>
        <v>45729</v>
      </c>
      <c r="J45" s="177">
        <f>MAX(J46:J139)</f>
        <v>46010</v>
      </c>
      <c r="K45" s="177">
        <f>MIN(K46:K139)</f>
        <v>45729</v>
      </c>
      <c r="L45" s="177">
        <f>MAX(L46:L139)</f>
        <v>46010</v>
      </c>
      <c r="M45" s="178"/>
      <c r="N45" s="178" t="str">
        <f t="array" ref="N45">_xlfn.IFS(L45&lt;$M$3,"Concluído",AND(K45&gt;=$M$3,I45&lt;$M$3,L45&gt;$M$3),"Em andamento",AND(L45&gt;=$M$3,J45&lt;$M$3),"Atrasado",AND(L45&gt;=$M$3,J45&gt;=$M$3,I45&gt;$M$3,K45&lt;=$M$3),"Em andamento",AND(L45&gt;=$M$3,J45&gt;=$M$3,I45&lt;=$M$3,K45&lt;=$M$3),"Em andamento",AND(K45&gt;$M$3,I45&gt;$M$3),"Não iniciado",AND(L45&gt;=$M$3,J45&gt;=$M$3,K45&gt;=$M$3,I45&lt;$M$3),"Atrasado",AND(L45&gt;=$M$3,J45&gt;=$M$3,K45&gt;=$M$3,I45&gt;$M$3),"Não iniciado",AND($I45&lt;=$M$3,$K45&gt;$M$3),"Atrasado")</f>
        <v>Concluído</v>
      </c>
      <c r="O45" s="178">
        <f t="array" ref="O45">_xlfn.IFS(N45="Não iniciado",0,N45="Em andamento",1,N45="Concluído",2,N45="Atrasado",3)</f>
        <v>2</v>
      </c>
      <c r="P45" s="179"/>
      <c r="Q45" s="180">
        <f t="shared" ref="Q45:AV45" ca="1" si="30">AVERAGE(Q46,Q76,Q108)</f>
        <v>1</v>
      </c>
      <c r="R45" s="180">
        <f t="shared" ca="1" si="30"/>
        <v>1</v>
      </c>
      <c r="S45" s="180" t="e">
        <f t="shared" si="30"/>
        <v>#REF!</v>
      </c>
      <c r="T45" s="180" t="e">
        <f t="shared" si="30"/>
        <v>#REF!</v>
      </c>
      <c r="U45" s="180" t="e">
        <f t="shared" si="30"/>
        <v>#REF!</v>
      </c>
      <c r="V45" s="180" t="e">
        <f t="shared" si="30"/>
        <v>#REF!</v>
      </c>
      <c r="W45" s="180" t="e">
        <f t="shared" si="30"/>
        <v>#REF!</v>
      </c>
      <c r="X45" s="180" t="e">
        <f t="shared" si="30"/>
        <v>#REF!</v>
      </c>
      <c r="Y45" s="180" t="e">
        <f t="shared" si="30"/>
        <v>#REF!</v>
      </c>
      <c r="Z45" s="180" t="e">
        <f t="shared" si="30"/>
        <v>#REF!</v>
      </c>
      <c r="AA45" s="180" t="e">
        <f t="shared" si="30"/>
        <v>#REF!</v>
      </c>
      <c r="AB45" s="180" t="e">
        <f t="shared" si="30"/>
        <v>#REF!</v>
      </c>
      <c r="AC45" s="180" t="e">
        <f t="shared" si="30"/>
        <v>#REF!</v>
      </c>
      <c r="AD45" s="180" t="e">
        <f t="shared" si="30"/>
        <v>#REF!</v>
      </c>
      <c r="AE45" s="180" t="e">
        <f t="shared" si="30"/>
        <v>#REF!</v>
      </c>
      <c r="AF45" s="180" t="e">
        <f t="shared" si="30"/>
        <v>#REF!</v>
      </c>
      <c r="AG45" s="180" t="e">
        <f t="shared" si="30"/>
        <v>#REF!</v>
      </c>
      <c r="AH45" s="180" t="e">
        <f t="shared" si="30"/>
        <v>#REF!</v>
      </c>
      <c r="AI45" s="180" t="e">
        <f t="shared" si="30"/>
        <v>#REF!</v>
      </c>
      <c r="AJ45" s="180" t="e">
        <f t="shared" si="30"/>
        <v>#REF!</v>
      </c>
      <c r="AK45" s="180" t="e">
        <f t="shared" si="30"/>
        <v>#REF!</v>
      </c>
      <c r="AL45" s="180" t="e">
        <f t="shared" si="30"/>
        <v>#REF!</v>
      </c>
      <c r="AM45" s="180" t="e">
        <f t="shared" si="30"/>
        <v>#REF!</v>
      </c>
      <c r="AN45" s="180" t="e">
        <f t="shared" si="30"/>
        <v>#REF!</v>
      </c>
      <c r="AO45" s="180" t="e">
        <f t="shared" si="30"/>
        <v>#REF!</v>
      </c>
      <c r="AP45" s="180" t="e">
        <f t="shared" si="30"/>
        <v>#REF!</v>
      </c>
      <c r="AQ45" s="180" t="e">
        <f t="shared" si="30"/>
        <v>#REF!</v>
      </c>
      <c r="AR45" s="180" t="e">
        <f t="shared" si="30"/>
        <v>#REF!</v>
      </c>
      <c r="AS45" s="180" t="e">
        <f t="shared" si="30"/>
        <v>#REF!</v>
      </c>
      <c r="AT45" s="180" t="e">
        <f t="shared" si="30"/>
        <v>#REF!</v>
      </c>
      <c r="AU45" s="180" t="e">
        <f t="shared" si="30"/>
        <v>#REF!</v>
      </c>
      <c r="AV45" s="180" t="e">
        <f t="shared" si="30"/>
        <v>#REF!</v>
      </c>
      <c r="AW45" s="180" t="e">
        <f t="shared" ref="AW45:BN45" si="31">AVERAGE(AW46,AW76,AW108)</f>
        <v>#REF!</v>
      </c>
      <c r="AX45" s="180" t="e">
        <f t="shared" si="31"/>
        <v>#REF!</v>
      </c>
      <c r="AY45" s="180" t="e">
        <f t="shared" si="31"/>
        <v>#REF!</v>
      </c>
      <c r="AZ45" s="180" t="e">
        <f t="shared" si="31"/>
        <v>#REF!</v>
      </c>
      <c r="BA45" s="180" t="e">
        <f t="shared" si="31"/>
        <v>#REF!</v>
      </c>
      <c r="BB45" s="180" t="e">
        <f t="shared" si="31"/>
        <v>#REF!</v>
      </c>
      <c r="BC45" s="180" t="e">
        <f t="shared" si="31"/>
        <v>#REF!</v>
      </c>
      <c r="BD45" s="180" t="e">
        <f t="shared" si="31"/>
        <v>#REF!</v>
      </c>
      <c r="BE45" s="180" t="e">
        <f t="shared" si="31"/>
        <v>#REF!</v>
      </c>
      <c r="BF45" s="180" t="e">
        <f t="shared" si="31"/>
        <v>#REF!</v>
      </c>
      <c r="BG45" s="180" t="e">
        <f t="shared" si="31"/>
        <v>#REF!</v>
      </c>
      <c r="BH45" s="180" t="e">
        <f t="shared" si="31"/>
        <v>#REF!</v>
      </c>
      <c r="BI45" s="180" t="e">
        <f t="shared" si="31"/>
        <v>#REF!</v>
      </c>
      <c r="BJ45" s="180" t="e">
        <f t="shared" si="31"/>
        <v>#REF!</v>
      </c>
      <c r="BK45" s="180" t="e">
        <f t="shared" si="31"/>
        <v>#REF!</v>
      </c>
      <c r="BL45" s="180" t="e">
        <f t="shared" si="31"/>
        <v>#REF!</v>
      </c>
      <c r="BM45" s="180" t="e">
        <f t="shared" si="31"/>
        <v>#REF!</v>
      </c>
      <c r="BN45" s="180" t="e">
        <f t="shared" si="31"/>
        <v>#REF!</v>
      </c>
    </row>
    <row r="46" spans="2:66" ht="15" customHeight="1" x14ac:dyDescent="0.3">
      <c r="B46" s="170" t="str">
        <f t="array" ref="B46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3</v>
      </c>
      <c r="C46" s="170" t="s">
        <v>140</v>
      </c>
      <c r="D46" s="177" t="str">
        <f t="shared" si="26"/>
        <v>Arquitetura de projetos GERDAU</v>
      </c>
      <c r="E46" s="170" t="str">
        <f t="shared" ref="E46:E77" si="32">$H$45</f>
        <v>Desenvolvimento da Transformação dos Processos</v>
      </c>
      <c r="F46" s="170" t="s">
        <v>74</v>
      </c>
      <c r="G46" s="170" t="s">
        <v>74</v>
      </c>
      <c r="H46" s="194" t="s">
        <v>141</v>
      </c>
      <c r="I46" s="170">
        <f>I47</f>
        <v>45729</v>
      </c>
      <c r="J46" s="170">
        <f>J47</f>
        <v>45989</v>
      </c>
      <c r="K46" s="170">
        <f>K47</f>
        <v>45729</v>
      </c>
      <c r="L46" s="170">
        <f>L47</f>
        <v>45989</v>
      </c>
      <c r="M46" s="171"/>
      <c r="N46" s="171" t="str">
        <f t="array" ref="N46">_xlfn.IFS(L46&lt;$M$3,"Concluído",AND(K46&gt;=$M$3,I46&lt;$M$3,L46&gt;$M$3),"Em andamento",AND(L46&gt;=$M$3,J46&lt;$M$3),"Atrasado",AND(L46&gt;=$M$3,J46&gt;=$M$3,I46&gt;$M$3,K46&lt;=$M$3),"Em andamento",AND(L46&gt;=$M$3,J46&gt;=$M$3,I46&lt;=$M$3,K46&lt;=$M$3),"Em andamento",AND(K46&gt;$M$3,I46&gt;$M$3),"Não iniciado",AND(L46&gt;=$M$3,J46&gt;=$M$3,K46&gt;=$M$3,I46&lt;$M$3),"Atrasado",AND(L46&gt;=$M$3,J46&gt;=$M$3,K46&gt;=$M$3,I46&gt;$M$3),"Não iniciado",AND($I46&lt;=$M$3,$K46&gt;$M$3),"Atrasado")</f>
        <v>Concluído</v>
      </c>
      <c r="O46" s="171">
        <f t="array" ref="O46">_xlfn.IFS(N46="Não iniciado",0,N46="Em andamento",1,N46="Concluído",2,N46="Atrasado",3)</f>
        <v>2</v>
      </c>
      <c r="P46" s="172"/>
      <c r="Q46" s="173">
        <f t="shared" ref="Q46:AV46" ca="1" si="33">Q47</f>
        <v>1</v>
      </c>
      <c r="R46" s="173">
        <f t="shared" ca="1" si="33"/>
        <v>1</v>
      </c>
      <c r="S46" s="173" t="e">
        <f t="shared" si="33"/>
        <v>#REF!</v>
      </c>
      <c r="T46" s="173" t="e">
        <f t="shared" si="33"/>
        <v>#REF!</v>
      </c>
      <c r="U46" s="173" t="e">
        <f t="shared" si="33"/>
        <v>#REF!</v>
      </c>
      <c r="V46" s="173" t="e">
        <f t="shared" si="33"/>
        <v>#REF!</v>
      </c>
      <c r="W46" s="173" t="e">
        <f t="shared" si="33"/>
        <v>#REF!</v>
      </c>
      <c r="X46" s="173" t="e">
        <f t="shared" si="33"/>
        <v>#REF!</v>
      </c>
      <c r="Y46" s="173" t="e">
        <f t="shared" si="33"/>
        <v>#REF!</v>
      </c>
      <c r="Z46" s="173" t="e">
        <f t="shared" si="33"/>
        <v>#REF!</v>
      </c>
      <c r="AA46" s="173" t="e">
        <f t="shared" si="33"/>
        <v>#REF!</v>
      </c>
      <c r="AB46" s="173" t="e">
        <f t="shared" si="33"/>
        <v>#REF!</v>
      </c>
      <c r="AC46" s="173" t="e">
        <f t="shared" si="33"/>
        <v>#REF!</v>
      </c>
      <c r="AD46" s="173" t="e">
        <f t="shared" si="33"/>
        <v>#REF!</v>
      </c>
      <c r="AE46" s="173" t="e">
        <f t="shared" si="33"/>
        <v>#REF!</v>
      </c>
      <c r="AF46" s="173" t="e">
        <f t="shared" si="33"/>
        <v>#REF!</v>
      </c>
      <c r="AG46" s="173" t="e">
        <f t="shared" si="33"/>
        <v>#REF!</v>
      </c>
      <c r="AH46" s="173" t="e">
        <f t="shared" si="33"/>
        <v>#REF!</v>
      </c>
      <c r="AI46" s="173" t="e">
        <f t="shared" si="33"/>
        <v>#REF!</v>
      </c>
      <c r="AJ46" s="173" t="e">
        <f t="shared" si="33"/>
        <v>#REF!</v>
      </c>
      <c r="AK46" s="173" t="e">
        <f t="shared" si="33"/>
        <v>#REF!</v>
      </c>
      <c r="AL46" s="173" t="e">
        <f t="shared" si="33"/>
        <v>#REF!</v>
      </c>
      <c r="AM46" s="173" t="e">
        <f t="shared" si="33"/>
        <v>#REF!</v>
      </c>
      <c r="AN46" s="173" t="e">
        <f t="shared" si="33"/>
        <v>#REF!</v>
      </c>
      <c r="AO46" s="173" t="e">
        <f t="shared" si="33"/>
        <v>#REF!</v>
      </c>
      <c r="AP46" s="173" t="e">
        <f t="shared" si="33"/>
        <v>#REF!</v>
      </c>
      <c r="AQ46" s="173" t="e">
        <f t="shared" si="33"/>
        <v>#REF!</v>
      </c>
      <c r="AR46" s="173" t="e">
        <f t="shared" si="33"/>
        <v>#REF!</v>
      </c>
      <c r="AS46" s="173" t="e">
        <f t="shared" si="33"/>
        <v>#REF!</v>
      </c>
      <c r="AT46" s="173" t="e">
        <f t="shared" si="33"/>
        <v>#REF!</v>
      </c>
      <c r="AU46" s="173" t="e">
        <f t="shared" si="33"/>
        <v>#REF!</v>
      </c>
      <c r="AV46" s="173" t="e">
        <f t="shared" si="33"/>
        <v>#REF!</v>
      </c>
      <c r="AW46" s="173" t="e">
        <f t="shared" ref="AW46:BN46" si="34">AW47</f>
        <v>#REF!</v>
      </c>
      <c r="AX46" s="173" t="e">
        <f t="shared" si="34"/>
        <v>#REF!</v>
      </c>
      <c r="AY46" s="173" t="e">
        <f t="shared" si="34"/>
        <v>#REF!</v>
      </c>
      <c r="AZ46" s="173" t="e">
        <f t="shared" si="34"/>
        <v>#REF!</v>
      </c>
      <c r="BA46" s="173" t="e">
        <f t="shared" si="34"/>
        <v>#REF!</v>
      </c>
      <c r="BB46" s="173" t="e">
        <f t="shared" si="34"/>
        <v>#REF!</v>
      </c>
      <c r="BC46" s="173" t="e">
        <f t="shared" si="34"/>
        <v>#REF!</v>
      </c>
      <c r="BD46" s="173" t="e">
        <f t="shared" si="34"/>
        <v>#REF!</v>
      </c>
      <c r="BE46" s="173" t="e">
        <f t="shared" si="34"/>
        <v>#REF!</v>
      </c>
      <c r="BF46" s="173" t="e">
        <f t="shared" si="34"/>
        <v>#REF!</v>
      </c>
      <c r="BG46" s="173" t="e">
        <f t="shared" si="34"/>
        <v>#REF!</v>
      </c>
      <c r="BH46" s="173" t="e">
        <f t="shared" si="34"/>
        <v>#REF!</v>
      </c>
      <c r="BI46" s="173" t="e">
        <f t="shared" si="34"/>
        <v>#REF!</v>
      </c>
      <c r="BJ46" s="173" t="e">
        <f t="shared" si="34"/>
        <v>#REF!</v>
      </c>
      <c r="BK46" s="173" t="e">
        <f t="shared" si="34"/>
        <v>#REF!</v>
      </c>
      <c r="BL46" s="173" t="e">
        <f t="shared" si="34"/>
        <v>#REF!</v>
      </c>
      <c r="BM46" s="173" t="e">
        <f t="shared" si="34"/>
        <v>#REF!</v>
      </c>
      <c r="BN46" s="173" t="e">
        <f t="shared" si="34"/>
        <v>#REF!</v>
      </c>
    </row>
    <row r="47" spans="2:66" s="163" customFormat="1" ht="15" customHeight="1" collapsed="1" x14ac:dyDescent="0.3">
      <c r="B47" s="174" t="str">
        <f t="array" ref="B47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47" s="174" t="s">
        <v>142</v>
      </c>
      <c r="D47" s="177"/>
      <c r="E47" s="170" t="str">
        <f t="shared" si="32"/>
        <v>Desenvolvimento da Transformação dos Processos</v>
      </c>
      <c r="F47" s="174" t="str">
        <f t="shared" ref="F47:F75" si="35">$H$46</f>
        <v>Diagnóstico de Maturidade do Processo</v>
      </c>
      <c r="G47" s="174"/>
      <c r="H47" s="195" t="s">
        <v>141</v>
      </c>
      <c r="I47" s="174">
        <f>MIN(I48:I75)</f>
        <v>45729</v>
      </c>
      <c r="J47" s="174">
        <f>MAX(J48:J75)</f>
        <v>45989</v>
      </c>
      <c r="K47" s="174">
        <f>MIN(K48:K75)</f>
        <v>45729</v>
      </c>
      <c r="L47" s="174">
        <f>MAX(L48:L75)</f>
        <v>45989</v>
      </c>
      <c r="M47" s="175"/>
      <c r="N47" s="175" t="str">
        <f t="array" ref="N47">_xlfn.IFS(L47&lt;$M$3,"Concluído",AND(K47&gt;=$M$3,I47&lt;$M$3,L47&gt;$M$3),"Em andamento",AND(L47&gt;=$M$3,J47&lt;$M$3),"Atrasado",AND(L47&gt;=$M$3,J47&gt;=$M$3,I47&gt;$M$3,K47&lt;=$M$3),"Em andamento",AND(L47&gt;=$M$3,J47&gt;=$M$3,I47&lt;=$M$3,K47&lt;=$M$3),"Em andamento",AND(K47&gt;$M$3,I47&gt;$M$3),"Não iniciado",AND(L47&gt;=$M$3,J47&gt;=$M$3,K47&gt;=$M$3,I47&lt;$M$3),"Atrasado",AND(L47&gt;=$M$3,J47&gt;=$M$3,K47&gt;=$M$3,I47&gt;$M$3),"Não iniciado",AND($I47&lt;=$M$3,$K47&gt;$M$3),"Atrasado")</f>
        <v>Concluído</v>
      </c>
      <c r="O47" s="175">
        <f t="array" ref="O47">_xlfn.IFS(N47="Não iniciado",0,N47="Em andamento",1,N47="Concluído",2,N47="Atrasado",3)</f>
        <v>2</v>
      </c>
      <c r="P47" s="176"/>
      <c r="Q47" s="156">
        <f t="shared" ref="Q47:AV47" ca="1" si="36">AVERAGE(Q48:Q75)</f>
        <v>1</v>
      </c>
      <c r="R47" s="156">
        <f t="shared" ca="1" si="36"/>
        <v>1</v>
      </c>
      <c r="S47" s="205" t="e">
        <f t="shared" si="36"/>
        <v>#REF!</v>
      </c>
      <c r="T47" s="205" t="e">
        <f t="shared" si="36"/>
        <v>#REF!</v>
      </c>
      <c r="U47" s="205" t="e">
        <f t="shared" si="36"/>
        <v>#REF!</v>
      </c>
      <c r="V47" s="205" t="e">
        <f t="shared" si="36"/>
        <v>#REF!</v>
      </c>
      <c r="W47" s="205" t="e">
        <f t="shared" si="36"/>
        <v>#REF!</v>
      </c>
      <c r="X47" s="205" t="e">
        <f t="shared" si="36"/>
        <v>#REF!</v>
      </c>
      <c r="Y47" s="205" t="e">
        <f t="shared" si="36"/>
        <v>#REF!</v>
      </c>
      <c r="Z47" s="205" t="e">
        <f t="shared" si="36"/>
        <v>#REF!</v>
      </c>
      <c r="AA47" s="205" t="e">
        <f t="shared" si="36"/>
        <v>#REF!</v>
      </c>
      <c r="AB47" s="205" t="e">
        <f t="shared" si="36"/>
        <v>#REF!</v>
      </c>
      <c r="AC47" s="205" t="e">
        <f t="shared" si="36"/>
        <v>#REF!</v>
      </c>
      <c r="AD47" s="205" t="e">
        <f t="shared" si="36"/>
        <v>#REF!</v>
      </c>
      <c r="AE47" s="205" t="e">
        <f t="shared" si="36"/>
        <v>#REF!</v>
      </c>
      <c r="AF47" s="205" t="e">
        <f t="shared" si="36"/>
        <v>#REF!</v>
      </c>
      <c r="AG47" s="205" t="e">
        <f t="shared" si="36"/>
        <v>#REF!</v>
      </c>
      <c r="AH47" s="205" t="e">
        <f t="shared" si="36"/>
        <v>#REF!</v>
      </c>
      <c r="AI47" s="205" t="e">
        <f t="shared" si="36"/>
        <v>#REF!</v>
      </c>
      <c r="AJ47" s="205" t="e">
        <f t="shared" si="36"/>
        <v>#REF!</v>
      </c>
      <c r="AK47" s="205" t="e">
        <f t="shared" si="36"/>
        <v>#REF!</v>
      </c>
      <c r="AL47" s="205" t="e">
        <f t="shared" si="36"/>
        <v>#REF!</v>
      </c>
      <c r="AM47" s="205" t="e">
        <f t="shared" si="36"/>
        <v>#REF!</v>
      </c>
      <c r="AN47" s="205" t="e">
        <f t="shared" si="36"/>
        <v>#REF!</v>
      </c>
      <c r="AO47" s="205" t="e">
        <f t="shared" si="36"/>
        <v>#REF!</v>
      </c>
      <c r="AP47" s="205" t="e">
        <f t="shared" si="36"/>
        <v>#REF!</v>
      </c>
      <c r="AQ47" s="205" t="e">
        <f t="shared" si="36"/>
        <v>#REF!</v>
      </c>
      <c r="AR47" s="205" t="e">
        <f t="shared" si="36"/>
        <v>#REF!</v>
      </c>
      <c r="AS47" s="205" t="e">
        <f t="shared" si="36"/>
        <v>#REF!</v>
      </c>
      <c r="AT47" s="205" t="e">
        <f t="shared" si="36"/>
        <v>#REF!</v>
      </c>
      <c r="AU47" s="205" t="e">
        <f t="shared" si="36"/>
        <v>#REF!</v>
      </c>
      <c r="AV47" s="205" t="e">
        <f t="shared" si="36"/>
        <v>#REF!</v>
      </c>
      <c r="AW47" s="205" t="e">
        <f t="shared" ref="AW47:BN47" si="37">AVERAGE(AW48:AW75)</f>
        <v>#REF!</v>
      </c>
      <c r="AX47" s="205" t="e">
        <f t="shared" si="37"/>
        <v>#REF!</v>
      </c>
      <c r="AY47" s="205" t="e">
        <f t="shared" si="37"/>
        <v>#REF!</v>
      </c>
      <c r="AZ47" s="205" t="e">
        <f t="shared" si="37"/>
        <v>#REF!</v>
      </c>
      <c r="BA47" s="205" t="e">
        <f t="shared" si="37"/>
        <v>#REF!</v>
      </c>
      <c r="BB47" s="205" t="e">
        <f t="shared" si="37"/>
        <v>#REF!</v>
      </c>
      <c r="BC47" s="205" t="e">
        <f t="shared" si="37"/>
        <v>#REF!</v>
      </c>
      <c r="BD47" s="205" t="e">
        <f t="shared" si="37"/>
        <v>#REF!</v>
      </c>
      <c r="BE47" s="205" t="e">
        <f t="shared" si="37"/>
        <v>#REF!</v>
      </c>
      <c r="BF47" s="205" t="e">
        <f t="shared" si="37"/>
        <v>#REF!</v>
      </c>
      <c r="BG47" s="205" t="e">
        <f t="shared" si="37"/>
        <v>#REF!</v>
      </c>
      <c r="BH47" s="205" t="e">
        <f t="shared" si="37"/>
        <v>#REF!</v>
      </c>
      <c r="BI47" s="205" t="e">
        <f t="shared" si="37"/>
        <v>#REF!</v>
      </c>
      <c r="BJ47" s="205" t="e">
        <f t="shared" si="37"/>
        <v>#REF!</v>
      </c>
      <c r="BK47" s="205" t="e">
        <f t="shared" si="37"/>
        <v>#REF!</v>
      </c>
      <c r="BL47" s="205" t="e">
        <f t="shared" si="37"/>
        <v>#REF!</v>
      </c>
      <c r="BM47" s="205" t="e">
        <f t="shared" si="37"/>
        <v>#REF!</v>
      </c>
      <c r="BN47" s="205" t="e">
        <f t="shared" si="37"/>
        <v>#REF!</v>
      </c>
    </row>
    <row r="48" spans="2:66" x14ac:dyDescent="0.3">
      <c r="B48" s="166" t="str">
        <f t="array" ref="B48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48" s="166" t="s">
        <v>143</v>
      </c>
      <c r="D48" s="177"/>
      <c r="E48" s="170" t="str">
        <f t="shared" si="32"/>
        <v>Desenvolvimento da Transformação dos Processos</v>
      </c>
      <c r="F48" s="174" t="str">
        <f t="shared" si="35"/>
        <v>Diagnóstico de Maturidade do Processo</v>
      </c>
      <c r="G48" s="166" t="str">
        <f t="shared" ref="G48:G75" si="38">$H$47</f>
        <v>Diagnóstico de Maturidade do Processo</v>
      </c>
      <c r="H48" s="197" t="s">
        <v>144</v>
      </c>
      <c r="I48" s="166">
        <v>45729</v>
      </c>
      <c r="J48" s="40">
        <v>45735</v>
      </c>
      <c r="K48" s="166">
        <v>45729</v>
      </c>
      <c r="L48" s="40">
        <v>45735</v>
      </c>
      <c r="M48" s="167"/>
      <c r="N48" s="167" t="str">
        <f t="array" ref="N48">_xlfn.IFS(L48&lt;$M$3,"Concluído",AND(K48&gt;=$M$3,I48&lt;$M$3,L48&gt;$M$3),"Em andamento",AND(L48&gt;=$M$3,J48&lt;$M$3),"Atrasado",AND(L48&gt;=$M$3,J48&gt;=$M$3,I48&gt;$M$3,K48&lt;=$M$3),"Em andamento",AND(L48&gt;=$M$3,J48&gt;=$M$3,I48&lt;=$M$3,K48&lt;=$M$3),"Em andamento",AND(K48&gt;$M$3,I48&gt;$M$3),"Não iniciado",AND(L48&gt;=$M$3,J48&gt;=$M$3,K48&gt;=$M$3,I48&lt;$M$3),"Atrasado",AND(L48&gt;=$M$3,J48&gt;=$M$3,K48&gt;=$M$3,I48&gt;$M$3),"Não iniciado",AND($I48&lt;=$M$3,$K48&gt;$M$3),"Atrasado")</f>
        <v>Concluído</v>
      </c>
      <c r="O48" s="167">
        <f t="array" ref="O48">_xlfn.IFS(N48="Não iniciado",0,N48="Em andamento",1,N48="Concluído",2,N48="Atrasado",3)</f>
        <v>2</v>
      </c>
      <c r="P48" s="169"/>
      <c r="Q48" s="152">
        <f t="array" aca="1" ref="Q48" ca="1">_xlfn.IFS(AND($I48&lt;$N$3,$J48&lt;$N$3),1,AND($I48&lt;=$N$3,$J48&gt;=$N$3),0.5,AND($I48&gt;=$N$3,$J48&gt;=$N$3),0)</f>
        <v>1</v>
      </c>
      <c r="R48" s="152">
        <f t="array" aca="1" ref="R48" ca="1">_xlfn.IFS(AND($K48&lt;$N$3,$L48&lt;$N$3),1,AND($K48&lt;=$N$3,$L48&gt;=$N$3),0.5,AND($K48&gt;=$N$3,$L48&gt;=$N$3),0)</f>
        <v>1</v>
      </c>
      <c r="S48" s="201" t="e">
        <f t="array" ref="S48">_xlfn.IFS(AND($K48&gt;R$7,$L48&gt;R$7),0,AND($K48&lt;=R$7,$L48&lt;=R$7),1,AND($K48&lt;=R$7,$L48&gt;R$7),((R$7-$K48)/($L48-$K48)))</f>
        <v>#REF!</v>
      </c>
      <c r="T48" s="201" t="e">
        <f t="array" ref="T48">_xlfn.IFS(AND($K48&gt;S$7,$L48&gt;S$7),0,AND($K48&lt;=S$7,$L48&lt;=S$7),1,AND($K48&lt;=S$7,$L48&gt;S$7),((S$7-$K48)/($L48-$K48)))</f>
        <v>#REF!</v>
      </c>
      <c r="U48" s="201" t="e">
        <f t="array" ref="U48">_xlfn.IFS(AND($K48&gt;T$7,$L48&gt;T$7),0,AND($K48&lt;=T$7,$L48&lt;=T$7),1,AND($K48&lt;=T$7,$L48&gt;T$7),((T$7-$K48)/($L48-$K48)))</f>
        <v>#REF!</v>
      </c>
      <c r="V48" s="201" t="e">
        <f t="array" ref="V48">_xlfn.IFS(AND($K48&gt;U$7,$L48&gt;U$7),0,AND($K48&lt;=U$7,$L48&lt;=U$7),1,AND($K48&lt;=U$7,$L48&gt;U$7),((U$7-$K48)/($L48-$K48)))</f>
        <v>#REF!</v>
      </c>
      <c r="W48" s="201" t="e">
        <f t="array" ref="W48">_xlfn.IFS(AND($K48&gt;V$7,$L48&gt;V$7),0,AND($K48&lt;=V$7,$L48&lt;=V$7),1,AND($K48&lt;=V$7,$L48&gt;V$7),((V$7-$K48)/($L48-$K48)))</f>
        <v>#REF!</v>
      </c>
      <c r="X48" s="201" t="e">
        <f t="array" ref="X48">_xlfn.IFS(AND($K48&gt;W$7,$L48&gt;W$7),0,AND($K48&lt;=W$7,$L48&lt;=W$7),1,AND($K48&lt;=W$7,$L48&gt;W$7),((W$7-$K48)/($L48-$K48)))</f>
        <v>#REF!</v>
      </c>
      <c r="Y48" s="201" t="e">
        <f t="array" ref="Y48">_xlfn.IFS(AND($K48&gt;X$7,$L48&gt;X$7),0,AND($K48&lt;=X$7,$L48&lt;=X$7),1,AND($K48&lt;=X$7,$L48&gt;X$7),((X$7-$K48)/($L48-$K48)))</f>
        <v>#REF!</v>
      </c>
      <c r="Z48" s="201" t="e">
        <f t="array" ref="Z48">_xlfn.IFS(AND($K48&gt;Y$7,$L48&gt;Y$7),0,AND($K48&lt;=Y$7,$L48&lt;=Y$7),1,AND($K48&lt;=Y$7,$L48&gt;Y$7),((Y$7-$K48)/($L48-$K48)))</f>
        <v>#REF!</v>
      </c>
      <c r="AA48" s="201" t="e">
        <f t="array" ref="AA48">_xlfn.IFS(AND($K48&gt;Z$7,$L48&gt;Z$7),0,AND($K48&lt;=Z$7,$L48&lt;=Z$7),1,AND($K48&lt;=Z$7,$L48&gt;Z$7),((Z$7-$K48)/($L48-$K48)))</f>
        <v>#REF!</v>
      </c>
      <c r="AB48" s="201" t="e">
        <f t="array" ref="AB48">_xlfn.IFS(AND($K48&gt;AA$7,$L48&gt;AA$7),0,AND($K48&lt;=AA$7,$L48&lt;=AA$7),1,AND($K48&lt;=AA$7,$L48&gt;AA$7),((AA$7-$K48)/($L48-$K48)))</f>
        <v>#REF!</v>
      </c>
      <c r="AC48" s="201" t="e">
        <f t="array" ref="AC48">_xlfn.IFS(AND($K48&gt;AB$7,$L48&gt;AB$7),0,AND($K48&lt;=AB$7,$L48&lt;=AB$7),1,AND($K48&lt;=AB$7,$L48&gt;AB$7),((AB$7-$K48)/($L48-$K48)))</f>
        <v>#REF!</v>
      </c>
      <c r="AD48" s="201" t="e">
        <f t="array" ref="AD48">_xlfn.IFS(AND($K48&gt;AC$7,$L48&gt;AC$7),0,AND($K48&lt;=AC$7,$L48&lt;=AC$7),1,AND($K48&lt;=AC$7,$L48&gt;AC$7),((AC$7-$K48)/($L48-$K48)))</f>
        <v>#REF!</v>
      </c>
      <c r="AE48" s="201" t="e">
        <f t="array" ref="AE48">_xlfn.IFS(AND($K48&gt;AD$7,$L48&gt;AD$7),0,AND($K48&lt;=AD$7,$L48&lt;=AD$7),1,AND($K48&lt;=AD$7,$L48&gt;AD$7),((AD$7-$K48)/($L48-$K48)))</f>
        <v>#REF!</v>
      </c>
      <c r="AF48" s="201" t="e">
        <f t="array" ref="AF48">_xlfn.IFS(AND($K48&gt;AE$7,$L48&gt;AE$7),0,AND($K48&lt;=AE$7,$L48&lt;=AE$7),1,AND($K48&lt;=AE$7,$L48&gt;AE$7),((AE$7-$K48)/($L48-$K48)))</f>
        <v>#REF!</v>
      </c>
      <c r="AG48" s="201" t="e">
        <f t="array" ref="AG48">_xlfn.IFS(AND($K48&gt;AF$7,$L48&gt;AF$7),0,AND($K48&lt;=AF$7,$L48&lt;=AF$7),1,AND($K48&lt;=AF$7,$L48&gt;AF$7),((AF$7-$K48)/($L48-$K48)))</f>
        <v>#REF!</v>
      </c>
      <c r="AH48" s="201" t="e">
        <f t="array" ref="AH48">_xlfn.IFS(AND($K48&gt;AG$7,$L48&gt;AG$7),0,AND($K48&lt;=AG$7,$L48&lt;=AG$7),1,AND($K48&lt;=AG$7,$L48&gt;AG$7),((AG$7-$K48)/($L48-$K48)))</f>
        <v>#REF!</v>
      </c>
      <c r="AI48" s="201" t="e">
        <f t="array" ref="AI48">_xlfn.IFS(AND($K48&gt;AH$7,$L48&gt;AH$7),0,AND($K48&lt;=AH$7,$L48&lt;=AH$7),1,AND($K48&lt;=AH$7,$L48&gt;AH$7),((AH$7-$K48)/($L48-$K48)))</f>
        <v>#REF!</v>
      </c>
      <c r="AJ48" s="201" t="e">
        <f t="array" ref="AJ48">_xlfn.IFS(AND($K48&gt;AI$7,$L48&gt;AI$7),0,AND($K48&lt;=AI$7,$L48&lt;=AI$7),1,AND($K48&lt;=AI$7,$L48&gt;AI$7),((AI$7-$K48)/($L48-$K48)))</f>
        <v>#REF!</v>
      </c>
      <c r="AK48" s="201" t="e">
        <f t="array" ref="AK48">_xlfn.IFS(AND($K48&gt;AJ$7,$L48&gt;AJ$7),0,AND($K48&lt;=AJ$7,$L48&lt;=AJ$7),1,AND($K48&lt;=AJ$7,$L48&gt;AJ$7),((AJ$7-$K48)/($L48-$K48)))</f>
        <v>#REF!</v>
      </c>
      <c r="AL48" s="201" t="e">
        <f t="array" ref="AL48">_xlfn.IFS(AND($K48&gt;AK$7,$L48&gt;AK$7),0,AND($K48&lt;=AK$7,$L48&lt;=AK$7),1,AND($K48&lt;=AK$7,$L48&gt;AK$7),((AK$7-$K48)/($L48-$K48)))</f>
        <v>#REF!</v>
      </c>
      <c r="AM48" s="201" t="e">
        <f t="array" ref="AM48">_xlfn.IFS(AND($K48&gt;AL$7,$L48&gt;AL$7),0,AND($K48&lt;=AL$7,$L48&lt;=AL$7),1,AND($K48&lt;=AL$7,$L48&gt;AL$7),((AL$7-$K48)/($L48-$K48)))</f>
        <v>#REF!</v>
      </c>
      <c r="AN48" s="201" t="e">
        <f t="array" ref="AN48">_xlfn.IFS(AND($K48&gt;AM$7,$L48&gt;AM$7),0,AND($K48&lt;=AM$7,$L48&lt;=AM$7),1,AND($K48&lt;=AM$7,$L48&gt;AM$7),((AM$7-$K48)/($L48-$K48)))</f>
        <v>#REF!</v>
      </c>
      <c r="AO48" s="201" t="e">
        <f t="array" ref="AO48">_xlfn.IFS(AND($K48&gt;AN$7,$L48&gt;AN$7),0,AND($K48&lt;=AN$7,$L48&lt;=AN$7),1,AND($K48&lt;=AN$7,$L48&gt;AN$7),((AN$7-$K48)/($L48-$K48)))</f>
        <v>#REF!</v>
      </c>
      <c r="AP48" s="201" t="e">
        <f t="array" ref="AP48">_xlfn.IFS(AND($K48&gt;AO$7,$L48&gt;AO$7),0,AND($K48&lt;=AO$7,$L48&lt;=AO$7),1,AND($K48&lt;=AO$7,$L48&gt;AO$7),((AO$7-$K48)/($L48-$K48)))</f>
        <v>#REF!</v>
      </c>
      <c r="AQ48" s="201" t="e">
        <f t="array" ref="AQ48">_xlfn.IFS(AND($K48&gt;AP$7,$L48&gt;AP$7),0,AND($K48&lt;=AP$7,$L48&lt;=AP$7),1,AND($K48&lt;=AP$7,$L48&gt;AP$7),((AP$7-$K48)/($L48-$K48)))</f>
        <v>#REF!</v>
      </c>
      <c r="AR48" s="201" t="e">
        <f t="array" ref="AR48">_xlfn.IFS(AND($K48&gt;AQ$7,$L48&gt;AQ$7),0,AND($K48&lt;=AQ$7,$L48&lt;=AQ$7),1,AND($K48&lt;=AQ$7,$L48&gt;AQ$7),((AQ$7-$K48)/($L48-$K48)))</f>
        <v>#REF!</v>
      </c>
      <c r="AS48" s="201" t="e">
        <f t="array" ref="AS48">_xlfn.IFS(AND($K48&gt;AR$7,$L48&gt;AR$7),0,AND($K48&lt;=AR$7,$L48&lt;=AR$7),1,AND($K48&lt;=AR$7,$L48&gt;AR$7),((AR$7-$K48)/($L48-$K48)))</f>
        <v>#REF!</v>
      </c>
      <c r="AT48" s="201" t="e">
        <f t="array" ref="AT48">_xlfn.IFS(AND($K48&gt;AS$7,$L48&gt;AS$7),0,AND($K48&lt;=AS$7,$L48&lt;=AS$7),1,AND($K48&lt;=AS$7,$L48&gt;AS$7),((AS$7-$K48)/($L48-$K48)))</f>
        <v>#REF!</v>
      </c>
      <c r="AU48" s="201" t="e">
        <f t="array" ref="AU48">_xlfn.IFS(AND($K48&gt;AT$7,$L48&gt;AT$7),0,AND($K48&lt;=AT$7,$L48&lt;=AT$7),1,AND($K48&lt;=AT$7,$L48&gt;AT$7),((AT$7-$K48)/($L48-$K48)))</f>
        <v>#REF!</v>
      </c>
      <c r="AV48" s="201" t="e">
        <f t="array" ref="AV48">_xlfn.IFS(AND($K48&gt;AU$7,$L48&gt;AU$7),0,AND($K48&lt;=AU$7,$L48&lt;=AU$7),1,AND($K48&lt;=AU$7,$L48&gt;AU$7),((AU$7-$K48)/($L48-$K48)))</f>
        <v>#REF!</v>
      </c>
      <c r="AW48" s="201" t="e">
        <f t="array" ref="AW48">_xlfn.IFS(AND($K48&gt;AV$7,$L48&gt;AV$7),0,AND($K48&lt;=AV$7,$L48&lt;=AV$7),1,AND($K48&lt;=AV$7,$L48&gt;AV$7),((AV$7-$K48)/($L48-$K48)))</f>
        <v>#REF!</v>
      </c>
      <c r="AX48" s="201" t="e">
        <f t="array" ref="AX48">_xlfn.IFS(AND($K48&gt;AW$7,$L48&gt;AW$7),0,AND($K48&lt;=AW$7,$L48&lt;=AW$7),1,AND($K48&lt;=AW$7,$L48&gt;AW$7),((AW$7-$K48)/($L48-$K48)))</f>
        <v>#REF!</v>
      </c>
      <c r="AY48" s="201" t="e">
        <f t="array" ref="AY48">_xlfn.IFS(AND($K48&gt;AX$7,$L48&gt;AX$7),0,AND($K48&lt;=AX$7,$L48&lt;=AX$7),1,AND($K48&lt;=AX$7,$L48&gt;AX$7),((AX$7-$K48)/($L48-$K48)))</f>
        <v>#REF!</v>
      </c>
      <c r="AZ48" s="201" t="e">
        <f t="array" ref="AZ48">_xlfn.IFS(AND($K48&gt;AY$7,$L48&gt;AY$7),0,AND($K48&lt;=AY$7,$L48&lt;=AY$7),1,AND($K48&lt;=AY$7,$L48&gt;AY$7),((AY$7-$K48)/($L48-$K48)))</f>
        <v>#REF!</v>
      </c>
      <c r="BA48" s="201" t="e">
        <f t="array" ref="BA48">_xlfn.IFS(AND($K48&gt;AZ$7,$L48&gt;AZ$7),0,AND($K48&lt;=AZ$7,$L48&lt;=AZ$7),1,AND($K48&lt;=AZ$7,$L48&gt;AZ$7),((AZ$7-$K48)/($L48-$K48)))</f>
        <v>#REF!</v>
      </c>
      <c r="BB48" s="201" t="e">
        <f t="array" ref="BB48">_xlfn.IFS(AND($K48&gt;BA$7,$L48&gt;BA$7),0,AND($K48&lt;=BA$7,$L48&lt;=BA$7),1,AND($K48&lt;=BA$7,$L48&gt;BA$7),((BA$7-$K48)/($L48-$K48)))</f>
        <v>#REF!</v>
      </c>
      <c r="BC48" s="201" t="e">
        <f t="array" ref="BC48">_xlfn.IFS(AND($K48&gt;BB$7,$L48&gt;BB$7),0,AND($K48&lt;=BB$7,$L48&lt;=BB$7),1,AND($K48&lt;=BB$7,$L48&gt;BB$7),((BB$7-$K48)/($L48-$K48)))</f>
        <v>#REF!</v>
      </c>
      <c r="BD48" s="201" t="e">
        <f t="array" ref="BD48">_xlfn.IFS(AND($K48&gt;BC$7,$L48&gt;BC$7),0,AND($K48&lt;=BC$7,$L48&lt;=BC$7),1,AND($K48&lt;=BC$7,$L48&gt;BC$7),((BC$7-$K48)/($L48-$K48)))</f>
        <v>#REF!</v>
      </c>
      <c r="BE48" s="201" t="e">
        <f t="array" ref="BE48">_xlfn.IFS(AND($K48&gt;BD$7,$L48&gt;BD$7),0,AND($K48&lt;=BD$7,$L48&lt;=BD$7),1,AND($K48&lt;=BD$7,$L48&gt;BD$7),((BD$7-$K48)/($L48-$K48)))</f>
        <v>#REF!</v>
      </c>
      <c r="BF48" s="201" t="e">
        <f t="array" ref="BF48">_xlfn.IFS(AND($K48&gt;BE$7,$L48&gt;BE$7),0,AND($K48&lt;=BE$7,$L48&lt;=BE$7),1,AND($K48&lt;=BE$7,$L48&gt;BE$7),((BE$7-$K48)/($L48-$K48)))</f>
        <v>#REF!</v>
      </c>
      <c r="BG48" s="201" t="e">
        <f t="array" ref="BG48">_xlfn.IFS(AND($K48&gt;BF$7,$L48&gt;BF$7),0,AND($K48&lt;=BF$7,$L48&lt;=BF$7),1,AND($K48&lt;=BF$7,$L48&gt;BF$7),((BF$7-$K48)/($L48-$K48)))</f>
        <v>#REF!</v>
      </c>
      <c r="BH48" s="201" t="e">
        <f t="array" ref="BH48">_xlfn.IFS(AND($K48&gt;BG$7,$L48&gt;BG$7),0,AND($K48&lt;=BG$7,$L48&lt;=BG$7),1,AND($K48&lt;=BG$7,$L48&gt;BG$7),((BG$7-$K48)/($L48-$K48)))</f>
        <v>#REF!</v>
      </c>
      <c r="BI48" s="201" t="e">
        <f t="array" ref="BI48">_xlfn.IFS(AND($K48&gt;BH$7,$L48&gt;BH$7),0,AND($K48&lt;=BH$7,$L48&lt;=BH$7),1,AND($K48&lt;=BH$7,$L48&gt;BH$7),((BH$7-$K48)/($L48-$K48)))</f>
        <v>#REF!</v>
      </c>
      <c r="BJ48" s="201" t="e">
        <f t="array" ref="BJ48">_xlfn.IFS(AND($K48&gt;BI$7,$L48&gt;BI$7),0,AND($K48&lt;=BI$7,$L48&lt;=BI$7),1,AND($K48&lt;=BI$7,$L48&gt;BI$7),((BI$7-$K48)/($L48-$K48)))</f>
        <v>#REF!</v>
      </c>
      <c r="BK48" s="201" t="e">
        <f t="array" ref="BK48">_xlfn.IFS(AND($K48&gt;BJ$7,$L48&gt;BJ$7),0,AND($K48&lt;=BJ$7,$L48&lt;=BJ$7),1,AND($K48&lt;=BJ$7,$L48&gt;BJ$7),((BJ$7-$K48)/($L48-$K48)))</f>
        <v>#REF!</v>
      </c>
      <c r="BL48" s="201" t="e">
        <f t="array" ref="BL48">_xlfn.IFS(AND($K48&gt;BK$7,$L48&gt;BK$7),0,AND($K48&lt;=BK$7,$L48&lt;=BK$7),1,AND($K48&lt;=BK$7,$L48&gt;BK$7),((BK$7-$K48)/($L48-$K48)))</f>
        <v>#REF!</v>
      </c>
      <c r="BM48" s="201" t="e">
        <f t="array" ref="BM48">_xlfn.IFS(AND($K48&gt;BL$7,$L48&gt;BL$7),0,AND($K48&lt;=BL$7,$L48&lt;=BL$7),1,AND($K48&lt;=BL$7,$L48&gt;BL$7),((BL$7-$K48)/($L48-$K48)))</f>
        <v>#REF!</v>
      </c>
      <c r="BN48" s="201" t="e">
        <f t="array" ref="BN48">_xlfn.IFS(AND($K48&gt;BM$7,$L48&gt;BM$7),0,AND($K48&lt;=BM$7,$L48&lt;=BM$7),1,AND($K48&lt;=BM$7,$L48&gt;BM$7),((BM$7-$K48)/($L48-$K48)))</f>
        <v>#REF!</v>
      </c>
    </row>
    <row r="49" spans="2:66" s="163" customFormat="1" ht="15" customHeight="1" collapsed="1" x14ac:dyDescent="0.3">
      <c r="B49" s="166" t="str">
        <f t="array" ref="B49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49" s="166" t="s">
        <v>145</v>
      </c>
      <c r="D49" s="177"/>
      <c r="E49" s="170" t="str">
        <f t="shared" si="32"/>
        <v>Desenvolvimento da Transformação dos Processos</v>
      </c>
      <c r="F49" s="174" t="str">
        <f t="shared" si="35"/>
        <v>Diagnóstico de Maturidade do Processo</v>
      </c>
      <c r="G49" s="166" t="str">
        <f t="shared" si="38"/>
        <v>Diagnóstico de Maturidade do Processo</v>
      </c>
      <c r="H49" s="197" t="s">
        <v>146</v>
      </c>
      <c r="I49" s="166">
        <v>45729</v>
      </c>
      <c r="J49" s="40">
        <v>45735</v>
      </c>
      <c r="K49" s="166">
        <v>45729</v>
      </c>
      <c r="L49" s="40">
        <v>45735</v>
      </c>
      <c r="M49" s="167"/>
      <c r="N49" s="167" t="str">
        <f t="array" ref="N49">_xlfn.IFS(L49&lt;$M$3,"Concluído",AND(K49&gt;=$M$3,I49&lt;$M$3,L49&gt;$M$3),"Em andamento",AND(L49&gt;=$M$3,J49&lt;$M$3),"Atrasado",AND(L49&gt;=$M$3,J49&gt;=$M$3,I49&gt;$M$3,K49&lt;=$M$3),"Em andamento",AND(L49&gt;=$M$3,J49&gt;=$M$3,I49&lt;=$M$3,K49&lt;=$M$3),"Em andamento",AND(K49&gt;$M$3,I49&gt;$M$3),"Não iniciado",AND(L49&gt;=$M$3,J49&gt;=$M$3,K49&gt;=$M$3,I49&lt;$M$3),"Atrasado",AND(L49&gt;=$M$3,J49&gt;=$M$3,K49&gt;=$M$3,I49&gt;$M$3),"Não iniciado",AND($I49&lt;=$M$3,$K49&gt;$M$3),"Atrasado")</f>
        <v>Concluído</v>
      </c>
      <c r="O49" s="167">
        <f t="array" ref="O49">_xlfn.IFS(N49="Não iniciado",0,N49="Em andamento",1,N49="Concluído",2,N49="Atrasado",3)</f>
        <v>2</v>
      </c>
      <c r="P49" s="169"/>
      <c r="Q49" s="152">
        <f t="array" aca="1" ref="Q49" ca="1">_xlfn.IFS(AND($I49&lt;$N$3,$J49&lt;$N$3),1,AND($I49&lt;=$N$3,$J49&gt;=$N$3),0.5,AND($I49&gt;=$N$3,$J49&gt;=$N$3),0)</f>
        <v>1</v>
      </c>
      <c r="R49" s="152">
        <f t="array" aca="1" ref="R49" ca="1">_xlfn.IFS(AND($K49&lt;$N$3,$L49&lt;$N$3),1,AND($K49&lt;=$N$3,$L49&gt;=$N$3),0.5,AND($K49&gt;=$N$3,$L49&gt;=$N$3),0)</f>
        <v>1</v>
      </c>
      <c r="S49" s="201" t="e">
        <f t="array" ref="S49">_xlfn.IFS(AND($K49&gt;R$7,$L49&gt;R$7),0,AND($K49&lt;=R$7,$L49&lt;=R$7),1,AND($K49&lt;=R$7,$L49&gt;R$7),((R$7-$K49)/($L49-$K49)))</f>
        <v>#REF!</v>
      </c>
      <c r="T49" s="201" t="e">
        <f t="array" ref="T49">_xlfn.IFS(AND($K49&gt;S$7,$L49&gt;S$7),0,AND($K49&lt;=S$7,$L49&lt;=S$7),1,AND($K49&lt;=S$7,$L49&gt;S$7),((S$7-$K49)/($L49-$K49)))</f>
        <v>#REF!</v>
      </c>
      <c r="U49" s="201" t="e">
        <f t="array" ref="U49">_xlfn.IFS(AND($K49&gt;T$7,$L49&gt;T$7),0,AND($K49&lt;=T$7,$L49&lt;=T$7),1,AND($K49&lt;=T$7,$L49&gt;T$7),((T$7-$K49)/($L49-$K49)))</f>
        <v>#REF!</v>
      </c>
      <c r="V49" s="201" t="e">
        <f t="array" ref="V49">_xlfn.IFS(AND($K49&gt;U$7,$L49&gt;U$7),0,AND($K49&lt;=U$7,$L49&lt;=U$7),1,AND($K49&lt;=U$7,$L49&gt;U$7),((U$7-$K49)/($L49-$K49)))</f>
        <v>#REF!</v>
      </c>
      <c r="W49" s="201" t="e">
        <f t="array" ref="W49">_xlfn.IFS(AND($K49&gt;V$7,$L49&gt;V$7),0,AND($K49&lt;=V$7,$L49&lt;=V$7),1,AND($K49&lt;=V$7,$L49&gt;V$7),((V$7-$K49)/($L49-$K49)))</f>
        <v>#REF!</v>
      </c>
      <c r="X49" s="201" t="e">
        <f t="array" ref="X49">_xlfn.IFS(AND($K49&gt;W$7,$L49&gt;W$7),0,AND($K49&lt;=W$7,$L49&lt;=W$7),1,AND($K49&lt;=W$7,$L49&gt;W$7),((W$7-$K49)/($L49-$K49)))</f>
        <v>#REF!</v>
      </c>
      <c r="Y49" s="201" t="e">
        <f t="array" ref="Y49">_xlfn.IFS(AND($K49&gt;X$7,$L49&gt;X$7),0,AND($K49&lt;=X$7,$L49&lt;=X$7),1,AND($K49&lt;=X$7,$L49&gt;X$7),((X$7-$K49)/($L49-$K49)))</f>
        <v>#REF!</v>
      </c>
      <c r="Z49" s="201" t="e">
        <f t="array" ref="Z49">_xlfn.IFS(AND($K49&gt;Y$7,$L49&gt;Y$7),0,AND($K49&lt;=Y$7,$L49&lt;=Y$7),1,AND($K49&lt;=Y$7,$L49&gt;Y$7),((Y$7-$K49)/($L49-$K49)))</f>
        <v>#REF!</v>
      </c>
      <c r="AA49" s="201" t="e">
        <f t="array" ref="AA49">_xlfn.IFS(AND($K49&gt;Z$7,$L49&gt;Z$7),0,AND($K49&lt;=Z$7,$L49&lt;=Z$7),1,AND($K49&lt;=Z$7,$L49&gt;Z$7),((Z$7-$K49)/($L49-$K49)))</f>
        <v>#REF!</v>
      </c>
      <c r="AB49" s="201" t="e">
        <f t="array" ref="AB49">_xlfn.IFS(AND($K49&gt;AA$7,$L49&gt;AA$7),0,AND($K49&lt;=AA$7,$L49&lt;=AA$7),1,AND($K49&lt;=AA$7,$L49&gt;AA$7),((AA$7-$K49)/($L49-$K49)))</f>
        <v>#REF!</v>
      </c>
      <c r="AC49" s="201" t="e">
        <f t="array" ref="AC49">_xlfn.IFS(AND($K49&gt;AB$7,$L49&gt;AB$7),0,AND($K49&lt;=AB$7,$L49&lt;=AB$7),1,AND($K49&lt;=AB$7,$L49&gt;AB$7),((AB$7-$K49)/($L49-$K49)))</f>
        <v>#REF!</v>
      </c>
      <c r="AD49" s="201" t="e">
        <f t="array" ref="AD49">_xlfn.IFS(AND($K49&gt;AC$7,$L49&gt;AC$7),0,AND($K49&lt;=AC$7,$L49&lt;=AC$7),1,AND($K49&lt;=AC$7,$L49&gt;AC$7),((AC$7-$K49)/($L49-$K49)))</f>
        <v>#REF!</v>
      </c>
      <c r="AE49" s="201" t="e">
        <f t="array" ref="AE49">_xlfn.IFS(AND($K49&gt;AD$7,$L49&gt;AD$7),0,AND($K49&lt;=AD$7,$L49&lt;=AD$7),1,AND($K49&lt;=AD$7,$L49&gt;AD$7),((AD$7-$K49)/($L49-$K49)))</f>
        <v>#REF!</v>
      </c>
      <c r="AF49" s="201" t="e">
        <f t="array" ref="AF49">_xlfn.IFS(AND($K49&gt;AE$7,$L49&gt;AE$7),0,AND($K49&lt;=AE$7,$L49&lt;=AE$7),1,AND($K49&lt;=AE$7,$L49&gt;AE$7),((AE$7-$K49)/($L49-$K49)))</f>
        <v>#REF!</v>
      </c>
      <c r="AG49" s="201" t="e">
        <f t="array" ref="AG49">_xlfn.IFS(AND($K49&gt;AF$7,$L49&gt;AF$7),0,AND($K49&lt;=AF$7,$L49&lt;=AF$7),1,AND($K49&lt;=AF$7,$L49&gt;AF$7),((AF$7-$K49)/($L49-$K49)))</f>
        <v>#REF!</v>
      </c>
      <c r="AH49" s="201" t="e">
        <f t="array" ref="AH49">_xlfn.IFS(AND($K49&gt;AG$7,$L49&gt;AG$7),0,AND($K49&lt;=AG$7,$L49&lt;=AG$7),1,AND($K49&lt;=AG$7,$L49&gt;AG$7),((AG$7-$K49)/($L49-$K49)))</f>
        <v>#REF!</v>
      </c>
      <c r="AI49" s="201" t="e">
        <f t="array" ref="AI49">_xlfn.IFS(AND($K49&gt;AH$7,$L49&gt;AH$7),0,AND($K49&lt;=AH$7,$L49&lt;=AH$7),1,AND($K49&lt;=AH$7,$L49&gt;AH$7),((AH$7-$K49)/($L49-$K49)))</f>
        <v>#REF!</v>
      </c>
      <c r="AJ49" s="201" t="e">
        <f t="array" ref="AJ49">_xlfn.IFS(AND($K49&gt;AI$7,$L49&gt;AI$7),0,AND($K49&lt;=AI$7,$L49&lt;=AI$7),1,AND($K49&lt;=AI$7,$L49&gt;AI$7),((AI$7-$K49)/($L49-$K49)))</f>
        <v>#REF!</v>
      </c>
      <c r="AK49" s="201" t="e">
        <f t="array" ref="AK49">_xlfn.IFS(AND($K49&gt;AJ$7,$L49&gt;AJ$7),0,AND($K49&lt;=AJ$7,$L49&lt;=AJ$7),1,AND($K49&lt;=AJ$7,$L49&gt;AJ$7),((AJ$7-$K49)/($L49-$K49)))</f>
        <v>#REF!</v>
      </c>
      <c r="AL49" s="201" t="e">
        <f t="array" ref="AL49">_xlfn.IFS(AND($K49&gt;AK$7,$L49&gt;AK$7),0,AND($K49&lt;=AK$7,$L49&lt;=AK$7),1,AND($K49&lt;=AK$7,$L49&gt;AK$7),((AK$7-$K49)/($L49-$K49)))</f>
        <v>#REF!</v>
      </c>
      <c r="AM49" s="201" t="e">
        <f t="array" ref="AM49">_xlfn.IFS(AND($K49&gt;AL$7,$L49&gt;AL$7),0,AND($K49&lt;=AL$7,$L49&lt;=AL$7),1,AND($K49&lt;=AL$7,$L49&gt;AL$7),((AL$7-$K49)/($L49-$K49)))</f>
        <v>#REF!</v>
      </c>
      <c r="AN49" s="201" t="e">
        <f t="array" ref="AN49">_xlfn.IFS(AND($K49&gt;AM$7,$L49&gt;AM$7),0,AND($K49&lt;=AM$7,$L49&lt;=AM$7),1,AND($K49&lt;=AM$7,$L49&gt;AM$7),((AM$7-$K49)/($L49-$K49)))</f>
        <v>#REF!</v>
      </c>
      <c r="AO49" s="201" t="e">
        <f t="array" ref="AO49">_xlfn.IFS(AND($K49&gt;AN$7,$L49&gt;AN$7),0,AND($K49&lt;=AN$7,$L49&lt;=AN$7),1,AND($K49&lt;=AN$7,$L49&gt;AN$7),((AN$7-$K49)/($L49-$K49)))</f>
        <v>#REF!</v>
      </c>
      <c r="AP49" s="201" t="e">
        <f t="array" ref="AP49">_xlfn.IFS(AND($K49&gt;AO$7,$L49&gt;AO$7),0,AND($K49&lt;=AO$7,$L49&lt;=AO$7),1,AND($K49&lt;=AO$7,$L49&gt;AO$7),((AO$7-$K49)/($L49-$K49)))</f>
        <v>#REF!</v>
      </c>
      <c r="AQ49" s="201" t="e">
        <f t="array" ref="AQ49">_xlfn.IFS(AND($K49&gt;AP$7,$L49&gt;AP$7),0,AND($K49&lt;=AP$7,$L49&lt;=AP$7),1,AND($K49&lt;=AP$7,$L49&gt;AP$7),((AP$7-$K49)/($L49-$K49)))</f>
        <v>#REF!</v>
      </c>
      <c r="AR49" s="201" t="e">
        <f t="array" ref="AR49">_xlfn.IFS(AND($K49&gt;AQ$7,$L49&gt;AQ$7),0,AND($K49&lt;=AQ$7,$L49&lt;=AQ$7),1,AND($K49&lt;=AQ$7,$L49&gt;AQ$7),((AQ$7-$K49)/($L49-$K49)))</f>
        <v>#REF!</v>
      </c>
      <c r="AS49" s="201" t="e">
        <f t="array" ref="AS49">_xlfn.IFS(AND($K49&gt;AR$7,$L49&gt;AR$7),0,AND($K49&lt;=AR$7,$L49&lt;=AR$7),1,AND($K49&lt;=AR$7,$L49&gt;AR$7),((AR$7-$K49)/($L49-$K49)))</f>
        <v>#REF!</v>
      </c>
      <c r="AT49" s="201" t="e">
        <f t="array" ref="AT49">_xlfn.IFS(AND($K49&gt;AS$7,$L49&gt;AS$7),0,AND($K49&lt;=AS$7,$L49&lt;=AS$7),1,AND($K49&lt;=AS$7,$L49&gt;AS$7),((AS$7-$K49)/($L49-$K49)))</f>
        <v>#REF!</v>
      </c>
      <c r="AU49" s="201" t="e">
        <f t="array" ref="AU49">_xlfn.IFS(AND($K49&gt;AT$7,$L49&gt;AT$7),0,AND($K49&lt;=AT$7,$L49&lt;=AT$7),1,AND($K49&lt;=AT$7,$L49&gt;AT$7),((AT$7-$K49)/($L49-$K49)))</f>
        <v>#REF!</v>
      </c>
      <c r="AV49" s="201" t="e">
        <f t="array" ref="AV49">_xlfn.IFS(AND($K49&gt;AU$7,$L49&gt;AU$7),0,AND($K49&lt;=AU$7,$L49&lt;=AU$7),1,AND($K49&lt;=AU$7,$L49&gt;AU$7),((AU$7-$K49)/($L49-$K49)))</f>
        <v>#REF!</v>
      </c>
      <c r="AW49" s="201" t="e">
        <f t="array" ref="AW49">_xlfn.IFS(AND($K49&gt;AV$7,$L49&gt;AV$7),0,AND($K49&lt;=AV$7,$L49&lt;=AV$7),1,AND($K49&lt;=AV$7,$L49&gt;AV$7),((AV$7-$K49)/($L49-$K49)))</f>
        <v>#REF!</v>
      </c>
      <c r="AX49" s="201" t="e">
        <f t="array" ref="AX49">_xlfn.IFS(AND($K49&gt;AW$7,$L49&gt;AW$7),0,AND($K49&lt;=AW$7,$L49&lt;=AW$7),1,AND($K49&lt;=AW$7,$L49&gt;AW$7),((AW$7-$K49)/($L49-$K49)))</f>
        <v>#REF!</v>
      </c>
      <c r="AY49" s="201" t="e">
        <f t="array" ref="AY49">_xlfn.IFS(AND($K49&gt;AX$7,$L49&gt;AX$7),0,AND($K49&lt;=AX$7,$L49&lt;=AX$7),1,AND($K49&lt;=AX$7,$L49&gt;AX$7),((AX$7-$K49)/($L49-$K49)))</f>
        <v>#REF!</v>
      </c>
      <c r="AZ49" s="201" t="e">
        <f t="array" ref="AZ49">_xlfn.IFS(AND($K49&gt;AY$7,$L49&gt;AY$7),0,AND($K49&lt;=AY$7,$L49&lt;=AY$7),1,AND($K49&lt;=AY$7,$L49&gt;AY$7),((AY$7-$K49)/($L49-$K49)))</f>
        <v>#REF!</v>
      </c>
      <c r="BA49" s="201" t="e">
        <f t="array" ref="BA49">_xlfn.IFS(AND($K49&gt;AZ$7,$L49&gt;AZ$7),0,AND($K49&lt;=AZ$7,$L49&lt;=AZ$7),1,AND($K49&lt;=AZ$7,$L49&gt;AZ$7),((AZ$7-$K49)/($L49-$K49)))</f>
        <v>#REF!</v>
      </c>
      <c r="BB49" s="201" t="e">
        <f t="array" ref="BB49">_xlfn.IFS(AND($K49&gt;BA$7,$L49&gt;BA$7),0,AND($K49&lt;=BA$7,$L49&lt;=BA$7),1,AND($K49&lt;=BA$7,$L49&gt;BA$7),((BA$7-$K49)/($L49-$K49)))</f>
        <v>#REF!</v>
      </c>
      <c r="BC49" s="201" t="e">
        <f t="array" ref="BC49">_xlfn.IFS(AND($K49&gt;BB$7,$L49&gt;BB$7),0,AND($K49&lt;=BB$7,$L49&lt;=BB$7),1,AND($K49&lt;=BB$7,$L49&gt;BB$7),((BB$7-$K49)/($L49-$K49)))</f>
        <v>#REF!</v>
      </c>
      <c r="BD49" s="201" t="e">
        <f t="array" ref="BD49">_xlfn.IFS(AND($K49&gt;BC$7,$L49&gt;BC$7),0,AND($K49&lt;=BC$7,$L49&lt;=BC$7),1,AND($K49&lt;=BC$7,$L49&gt;BC$7),((BC$7-$K49)/($L49-$K49)))</f>
        <v>#REF!</v>
      </c>
      <c r="BE49" s="201" t="e">
        <f t="array" ref="BE49">_xlfn.IFS(AND($K49&gt;BD$7,$L49&gt;BD$7),0,AND($K49&lt;=BD$7,$L49&lt;=BD$7),1,AND($K49&lt;=BD$7,$L49&gt;BD$7),((BD$7-$K49)/($L49-$K49)))</f>
        <v>#REF!</v>
      </c>
      <c r="BF49" s="201" t="e">
        <f t="array" ref="BF49">_xlfn.IFS(AND($K49&gt;BE$7,$L49&gt;BE$7),0,AND($K49&lt;=BE$7,$L49&lt;=BE$7),1,AND($K49&lt;=BE$7,$L49&gt;BE$7),((BE$7-$K49)/($L49-$K49)))</f>
        <v>#REF!</v>
      </c>
      <c r="BG49" s="201" t="e">
        <f t="array" ref="BG49">_xlfn.IFS(AND($K49&gt;BF$7,$L49&gt;BF$7),0,AND($K49&lt;=BF$7,$L49&lt;=BF$7),1,AND($K49&lt;=BF$7,$L49&gt;BF$7),((BF$7-$K49)/($L49-$K49)))</f>
        <v>#REF!</v>
      </c>
      <c r="BH49" s="201" t="e">
        <f t="array" ref="BH49">_xlfn.IFS(AND($K49&gt;BG$7,$L49&gt;BG$7),0,AND($K49&lt;=BG$7,$L49&lt;=BG$7),1,AND($K49&lt;=BG$7,$L49&gt;BG$7),((BG$7-$K49)/($L49-$K49)))</f>
        <v>#REF!</v>
      </c>
      <c r="BI49" s="201" t="e">
        <f t="array" ref="BI49">_xlfn.IFS(AND($K49&gt;BH$7,$L49&gt;BH$7),0,AND($K49&lt;=BH$7,$L49&lt;=BH$7),1,AND($K49&lt;=BH$7,$L49&gt;BH$7),((BH$7-$K49)/($L49-$K49)))</f>
        <v>#REF!</v>
      </c>
      <c r="BJ49" s="201" t="e">
        <f t="array" ref="BJ49">_xlfn.IFS(AND($K49&gt;BI$7,$L49&gt;BI$7),0,AND($K49&lt;=BI$7,$L49&lt;=BI$7),1,AND($K49&lt;=BI$7,$L49&gt;BI$7),((BI$7-$K49)/($L49-$K49)))</f>
        <v>#REF!</v>
      </c>
      <c r="BK49" s="201" t="e">
        <f t="array" ref="BK49">_xlfn.IFS(AND($K49&gt;BJ$7,$L49&gt;BJ$7),0,AND($K49&lt;=BJ$7,$L49&lt;=BJ$7),1,AND($K49&lt;=BJ$7,$L49&gt;BJ$7),((BJ$7-$K49)/($L49-$K49)))</f>
        <v>#REF!</v>
      </c>
      <c r="BL49" s="201" t="e">
        <f t="array" ref="BL49">_xlfn.IFS(AND($K49&gt;BK$7,$L49&gt;BK$7),0,AND($K49&lt;=BK$7,$L49&lt;=BK$7),1,AND($K49&lt;=BK$7,$L49&gt;BK$7),((BK$7-$K49)/($L49-$K49)))</f>
        <v>#REF!</v>
      </c>
      <c r="BM49" s="201" t="e">
        <f t="array" ref="BM49">_xlfn.IFS(AND($K49&gt;BL$7,$L49&gt;BL$7),0,AND($K49&lt;=BL$7,$L49&lt;=BL$7),1,AND($K49&lt;=BL$7,$L49&gt;BL$7),((BL$7-$K49)/($L49-$K49)))</f>
        <v>#REF!</v>
      </c>
      <c r="BN49" s="201" t="e">
        <f t="array" ref="BN49">_xlfn.IFS(AND($K49&gt;BM$7,$L49&gt;BM$7),0,AND($K49&lt;=BM$7,$L49&lt;=BM$7),1,AND($K49&lt;=BM$7,$L49&gt;BM$7),((BM$7-$K49)/($L49-$K49)))</f>
        <v>#REF!</v>
      </c>
    </row>
    <row r="50" spans="2:66" s="163" customFormat="1" x14ac:dyDescent="0.3">
      <c r="B50" s="166" t="str">
        <f t="array" ref="B50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50" s="166" t="s">
        <v>147</v>
      </c>
      <c r="D50" s="177"/>
      <c r="E50" s="170" t="str">
        <f t="shared" si="32"/>
        <v>Desenvolvimento da Transformação dos Processos</v>
      </c>
      <c r="F50" s="174" t="str">
        <f t="shared" si="35"/>
        <v>Diagnóstico de Maturidade do Processo</v>
      </c>
      <c r="G50" s="166" t="str">
        <f t="shared" si="38"/>
        <v>Diagnóstico de Maturidade do Processo</v>
      </c>
      <c r="H50" s="197" t="s">
        <v>148</v>
      </c>
      <c r="I50" s="166">
        <v>45729</v>
      </c>
      <c r="J50" s="40">
        <v>45735</v>
      </c>
      <c r="K50" s="166">
        <v>45729</v>
      </c>
      <c r="L50" s="40">
        <v>45735</v>
      </c>
      <c r="M50" s="167"/>
      <c r="N50" s="167" t="str">
        <f t="array" ref="N50">_xlfn.IFS(L50&lt;$M$3,"Concluído",AND(K50&gt;=$M$3,I50&lt;$M$3,L50&gt;$M$3),"Em andamento",AND(L50&gt;=$M$3,J50&lt;$M$3),"Atrasado",AND(L50&gt;=$M$3,J50&gt;=$M$3,I50&gt;$M$3,K50&lt;=$M$3),"Em andamento",AND(L50&gt;=$M$3,J50&gt;=$M$3,I50&lt;=$M$3,K50&lt;=$M$3),"Em andamento",AND(K50&gt;$M$3,I50&gt;$M$3),"Não iniciado",AND(L50&gt;=$M$3,J50&gt;=$M$3,K50&gt;=$M$3,I50&lt;$M$3),"Atrasado",AND(L50&gt;=$M$3,J50&gt;=$M$3,K50&gt;=$M$3,I50&gt;$M$3),"Não iniciado",AND($I50&lt;=$M$3,$K50&gt;$M$3),"Atrasado")</f>
        <v>Concluído</v>
      </c>
      <c r="O50" s="167">
        <f t="array" ref="O50">_xlfn.IFS(N50="Não iniciado",0,N50="Em andamento",1,N50="Concluído",2,N50="Atrasado",3)</f>
        <v>2</v>
      </c>
      <c r="P50" s="169"/>
      <c r="Q50" s="152">
        <f t="array" aca="1" ref="Q50" ca="1">_xlfn.IFS(AND($I50&lt;$N$3,$J50&lt;$N$3),1,AND($I50&lt;=$N$3,$J50&gt;=$N$3),0.5,AND($I50&gt;=$N$3,$J50&gt;=$N$3),0)</f>
        <v>1</v>
      </c>
      <c r="R50" s="152">
        <f t="array" aca="1" ref="R50" ca="1">_xlfn.IFS(AND($K50&lt;$N$3,$L50&lt;$N$3),1,AND($K50&lt;=$N$3,$L50&gt;=$N$3),0.5,AND($K50&gt;=$N$3,$L50&gt;=$N$3),0)</f>
        <v>1</v>
      </c>
      <c r="S50" s="201" t="e">
        <f t="array" ref="S50">_xlfn.IFS(AND($K50&gt;R$7,$L50&gt;R$7),0,AND($K50&lt;=R$7,$L50&lt;=R$7),1,AND($K50&lt;=R$7,$L50&gt;R$7),((R$7-$K50)/($L50-$K50)))</f>
        <v>#REF!</v>
      </c>
      <c r="T50" s="201" t="e">
        <f t="array" ref="T50">_xlfn.IFS(AND($K50&gt;S$7,$L50&gt;S$7),0,AND($K50&lt;=S$7,$L50&lt;=S$7),1,AND($K50&lt;=S$7,$L50&gt;S$7),((S$7-$K50)/($L50-$K50)))</f>
        <v>#REF!</v>
      </c>
      <c r="U50" s="201" t="e">
        <f t="array" ref="U50">_xlfn.IFS(AND($K50&gt;T$7,$L50&gt;T$7),0,AND($K50&lt;=T$7,$L50&lt;=T$7),1,AND($K50&lt;=T$7,$L50&gt;T$7),((T$7-$K50)/($L50-$K50)))</f>
        <v>#REF!</v>
      </c>
      <c r="V50" s="201" t="e">
        <f t="array" ref="V50">_xlfn.IFS(AND($K50&gt;U$7,$L50&gt;U$7),0,AND($K50&lt;=U$7,$L50&lt;=U$7),1,AND($K50&lt;=U$7,$L50&gt;U$7),((U$7-$K50)/($L50-$K50)))</f>
        <v>#REF!</v>
      </c>
      <c r="W50" s="201" t="e">
        <f t="array" ref="W50">_xlfn.IFS(AND($K50&gt;V$7,$L50&gt;V$7),0,AND($K50&lt;=V$7,$L50&lt;=V$7),1,AND($K50&lt;=V$7,$L50&gt;V$7),((V$7-$K50)/($L50-$K50)))</f>
        <v>#REF!</v>
      </c>
      <c r="X50" s="201" t="e">
        <f t="array" ref="X50">_xlfn.IFS(AND($K50&gt;W$7,$L50&gt;W$7),0,AND($K50&lt;=W$7,$L50&lt;=W$7),1,AND($K50&lt;=W$7,$L50&gt;W$7),((W$7-$K50)/($L50-$K50)))</f>
        <v>#REF!</v>
      </c>
      <c r="Y50" s="201" t="e">
        <f t="array" ref="Y50">_xlfn.IFS(AND($K50&gt;X$7,$L50&gt;X$7),0,AND($K50&lt;=X$7,$L50&lt;=X$7),1,AND($K50&lt;=X$7,$L50&gt;X$7),((X$7-$K50)/($L50-$K50)))</f>
        <v>#REF!</v>
      </c>
      <c r="Z50" s="201" t="e">
        <f t="array" ref="Z50">_xlfn.IFS(AND($K50&gt;Y$7,$L50&gt;Y$7),0,AND($K50&lt;=Y$7,$L50&lt;=Y$7),1,AND($K50&lt;=Y$7,$L50&gt;Y$7),((Y$7-$K50)/($L50-$K50)))</f>
        <v>#REF!</v>
      </c>
      <c r="AA50" s="201" t="e">
        <f t="array" ref="AA50">_xlfn.IFS(AND($K50&gt;Z$7,$L50&gt;Z$7),0,AND($K50&lt;=Z$7,$L50&lt;=Z$7),1,AND($K50&lt;=Z$7,$L50&gt;Z$7),((Z$7-$K50)/($L50-$K50)))</f>
        <v>#REF!</v>
      </c>
      <c r="AB50" s="201" t="e">
        <f t="array" ref="AB50">_xlfn.IFS(AND($K50&gt;AA$7,$L50&gt;AA$7),0,AND($K50&lt;=AA$7,$L50&lt;=AA$7),1,AND($K50&lt;=AA$7,$L50&gt;AA$7),((AA$7-$K50)/($L50-$K50)))</f>
        <v>#REF!</v>
      </c>
      <c r="AC50" s="201" t="e">
        <f t="array" ref="AC50">_xlfn.IFS(AND($K50&gt;AB$7,$L50&gt;AB$7),0,AND($K50&lt;=AB$7,$L50&lt;=AB$7),1,AND($K50&lt;=AB$7,$L50&gt;AB$7),((AB$7-$K50)/($L50-$K50)))</f>
        <v>#REF!</v>
      </c>
      <c r="AD50" s="201" t="e">
        <f t="array" ref="AD50">_xlfn.IFS(AND($K50&gt;AC$7,$L50&gt;AC$7),0,AND($K50&lt;=AC$7,$L50&lt;=AC$7),1,AND($K50&lt;=AC$7,$L50&gt;AC$7),((AC$7-$K50)/($L50-$K50)))</f>
        <v>#REF!</v>
      </c>
      <c r="AE50" s="201" t="e">
        <f t="array" ref="AE50">_xlfn.IFS(AND($K50&gt;AD$7,$L50&gt;AD$7),0,AND($K50&lt;=AD$7,$L50&lt;=AD$7),1,AND($K50&lt;=AD$7,$L50&gt;AD$7),((AD$7-$K50)/($L50-$K50)))</f>
        <v>#REF!</v>
      </c>
      <c r="AF50" s="201" t="e">
        <f t="array" ref="AF50">_xlfn.IFS(AND($K50&gt;AE$7,$L50&gt;AE$7),0,AND($K50&lt;=AE$7,$L50&lt;=AE$7),1,AND($K50&lt;=AE$7,$L50&gt;AE$7),((AE$7-$K50)/($L50-$K50)))</f>
        <v>#REF!</v>
      </c>
      <c r="AG50" s="201" t="e">
        <f t="array" ref="AG50">_xlfn.IFS(AND($K50&gt;AF$7,$L50&gt;AF$7),0,AND($K50&lt;=AF$7,$L50&lt;=AF$7),1,AND($K50&lt;=AF$7,$L50&gt;AF$7),((AF$7-$K50)/($L50-$K50)))</f>
        <v>#REF!</v>
      </c>
      <c r="AH50" s="201" t="e">
        <f t="array" ref="AH50">_xlfn.IFS(AND($K50&gt;AG$7,$L50&gt;AG$7),0,AND($K50&lt;=AG$7,$L50&lt;=AG$7),1,AND($K50&lt;=AG$7,$L50&gt;AG$7),((AG$7-$K50)/($L50-$K50)))</f>
        <v>#REF!</v>
      </c>
      <c r="AI50" s="201" t="e">
        <f t="array" ref="AI50">_xlfn.IFS(AND($K50&gt;AH$7,$L50&gt;AH$7),0,AND($K50&lt;=AH$7,$L50&lt;=AH$7),1,AND($K50&lt;=AH$7,$L50&gt;AH$7),((AH$7-$K50)/($L50-$K50)))</f>
        <v>#REF!</v>
      </c>
      <c r="AJ50" s="201" t="e">
        <f t="array" ref="AJ50">_xlfn.IFS(AND($K50&gt;AI$7,$L50&gt;AI$7),0,AND($K50&lt;=AI$7,$L50&lt;=AI$7),1,AND($K50&lt;=AI$7,$L50&gt;AI$7),((AI$7-$K50)/($L50-$K50)))</f>
        <v>#REF!</v>
      </c>
      <c r="AK50" s="201" t="e">
        <f t="array" ref="AK50">_xlfn.IFS(AND($K50&gt;AJ$7,$L50&gt;AJ$7),0,AND($K50&lt;=AJ$7,$L50&lt;=AJ$7),1,AND($K50&lt;=AJ$7,$L50&gt;AJ$7),((AJ$7-$K50)/($L50-$K50)))</f>
        <v>#REF!</v>
      </c>
      <c r="AL50" s="201" t="e">
        <f t="array" ref="AL50">_xlfn.IFS(AND($K50&gt;AK$7,$L50&gt;AK$7),0,AND($K50&lt;=AK$7,$L50&lt;=AK$7),1,AND($K50&lt;=AK$7,$L50&gt;AK$7),((AK$7-$K50)/($L50-$K50)))</f>
        <v>#REF!</v>
      </c>
      <c r="AM50" s="201" t="e">
        <f t="array" ref="AM50">_xlfn.IFS(AND($K50&gt;AL$7,$L50&gt;AL$7),0,AND($K50&lt;=AL$7,$L50&lt;=AL$7),1,AND($K50&lt;=AL$7,$L50&gt;AL$7),((AL$7-$K50)/($L50-$K50)))</f>
        <v>#REF!</v>
      </c>
      <c r="AN50" s="201" t="e">
        <f t="array" ref="AN50">_xlfn.IFS(AND($K50&gt;AM$7,$L50&gt;AM$7),0,AND($K50&lt;=AM$7,$L50&lt;=AM$7),1,AND($K50&lt;=AM$7,$L50&gt;AM$7),((AM$7-$K50)/($L50-$K50)))</f>
        <v>#REF!</v>
      </c>
      <c r="AO50" s="201" t="e">
        <f t="array" ref="AO50">_xlfn.IFS(AND($K50&gt;AN$7,$L50&gt;AN$7),0,AND($K50&lt;=AN$7,$L50&lt;=AN$7),1,AND($K50&lt;=AN$7,$L50&gt;AN$7),((AN$7-$K50)/($L50-$K50)))</f>
        <v>#REF!</v>
      </c>
      <c r="AP50" s="201" t="e">
        <f t="array" ref="AP50">_xlfn.IFS(AND($K50&gt;AO$7,$L50&gt;AO$7),0,AND($K50&lt;=AO$7,$L50&lt;=AO$7),1,AND($K50&lt;=AO$7,$L50&gt;AO$7),((AO$7-$K50)/($L50-$K50)))</f>
        <v>#REF!</v>
      </c>
      <c r="AQ50" s="201" t="e">
        <f t="array" ref="AQ50">_xlfn.IFS(AND($K50&gt;AP$7,$L50&gt;AP$7),0,AND($K50&lt;=AP$7,$L50&lt;=AP$7),1,AND($K50&lt;=AP$7,$L50&gt;AP$7),((AP$7-$K50)/($L50-$K50)))</f>
        <v>#REF!</v>
      </c>
      <c r="AR50" s="201" t="e">
        <f t="array" ref="AR50">_xlfn.IFS(AND($K50&gt;AQ$7,$L50&gt;AQ$7),0,AND($K50&lt;=AQ$7,$L50&lt;=AQ$7),1,AND($K50&lt;=AQ$7,$L50&gt;AQ$7),((AQ$7-$K50)/($L50-$K50)))</f>
        <v>#REF!</v>
      </c>
      <c r="AS50" s="201" t="e">
        <f t="array" ref="AS50">_xlfn.IFS(AND($K50&gt;AR$7,$L50&gt;AR$7),0,AND($K50&lt;=AR$7,$L50&lt;=AR$7),1,AND($K50&lt;=AR$7,$L50&gt;AR$7),((AR$7-$K50)/($L50-$K50)))</f>
        <v>#REF!</v>
      </c>
      <c r="AT50" s="201" t="e">
        <f t="array" ref="AT50">_xlfn.IFS(AND($K50&gt;AS$7,$L50&gt;AS$7),0,AND($K50&lt;=AS$7,$L50&lt;=AS$7),1,AND($K50&lt;=AS$7,$L50&gt;AS$7),((AS$7-$K50)/($L50-$K50)))</f>
        <v>#REF!</v>
      </c>
      <c r="AU50" s="201" t="e">
        <f t="array" ref="AU50">_xlfn.IFS(AND($K50&gt;AT$7,$L50&gt;AT$7),0,AND($K50&lt;=AT$7,$L50&lt;=AT$7),1,AND($K50&lt;=AT$7,$L50&gt;AT$7),((AT$7-$K50)/($L50-$K50)))</f>
        <v>#REF!</v>
      </c>
      <c r="AV50" s="201" t="e">
        <f t="array" ref="AV50">_xlfn.IFS(AND($K50&gt;AU$7,$L50&gt;AU$7),0,AND($K50&lt;=AU$7,$L50&lt;=AU$7),1,AND($K50&lt;=AU$7,$L50&gt;AU$7),((AU$7-$K50)/($L50-$K50)))</f>
        <v>#REF!</v>
      </c>
      <c r="AW50" s="201" t="e">
        <f t="array" ref="AW50">_xlfn.IFS(AND($K50&gt;AV$7,$L50&gt;AV$7),0,AND($K50&lt;=AV$7,$L50&lt;=AV$7),1,AND($K50&lt;=AV$7,$L50&gt;AV$7),((AV$7-$K50)/($L50-$K50)))</f>
        <v>#REF!</v>
      </c>
      <c r="AX50" s="201" t="e">
        <f t="array" ref="AX50">_xlfn.IFS(AND($K50&gt;AW$7,$L50&gt;AW$7),0,AND($K50&lt;=AW$7,$L50&lt;=AW$7),1,AND($K50&lt;=AW$7,$L50&gt;AW$7),((AW$7-$K50)/($L50-$K50)))</f>
        <v>#REF!</v>
      </c>
      <c r="AY50" s="201" t="e">
        <f t="array" ref="AY50">_xlfn.IFS(AND($K50&gt;AX$7,$L50&gt;AX$7),0,AND($K50&lt;=AX$7,$L50&lt;=AX$7),1,AND($K50&lt;=AX$7,$L50&gt;AX$7),((AX$7-$K50)/($L50-$K50)))</f>
        <v>#REF!</v>
      </c>
      <c r="AZ50" s="201" t="e">
        <f t="array" ref="AZ50">_xlfn.IFS(AND($K50&gt;AY$7,$L50&gt;AY$7),0,AND($K50&lt;=AY$7,$L50&lt;=AY$7),1,AND($K50&lt;=AY$7,$L50&gt;AY$7),((AY$7-$K50)/($L50-$K50)))</f>
        <v>#REF!</v>
      </c>
      <c r="BA50" s="201" t="e">
        <f t="array" ref="BA50">_xlfn.IFS(AND($K50&gt;AZ$7,$L50&gt;AZ$7),0,AND($K50&lt;=AZ$7,$L50&lt;=AZ$7),1,AND($K50&lt;=AZ$7,$L50&gt;AZ$7),((AZ$7-$K50)/($L50-$K50)))</f>
        <v>#REF!</v>
      </c>
      <c r="BB50" s="201" t="e">
        <f t="array" ref="BB50">_xlfn.IFS(AND($K50&gt;BA$7,$L50&gt;BA$7),0,AND($K50&lt;=BA$7,$L50&lt;=BA$7),1,AND($K50&lt;=BA$7,$L50&gt;BA$7),((BA$7-$K50)/($L50-$K50)))</f>
        <v>#REF!</v>
      </c>
      <c r="BC50" s="201" t="e">
        <f t="array" ref="BC50">_xlfn.IFS(AND($K50&gt;BB$7,$L50&gt;BB$7),0,AND($K50&lt;=BB$7,$L50&lt;=BB$7),1,AND($K50&lt;=BB$7,$L50&gt;BB$7),((BB$7-$K50)/($L50-$K50)))</f>
        <v>#REF!</v>
      </c>
      <c r="BD50" s="201" t="e">
        <f t="array" ref="BD50">_xlfn.IFS(AND($K50&gt;BC$7,$L50&gt;BC$7),0,AND($K50&lt;=BC$7,$L50&lt;=BC$7),1,AND($K50&lt;=BC$7,$L50&gt;BC$7),((BC$7-$K50)/($L50-$K50)))</f>
        <v>#REF!</v>
      </c>
      <c r="BE50" s="201" t="e">
        <f t="array" ref="BE50">_xlfn.IFS(AND($K50&gt;BD$7,$L50&gt;BD$7),0,AND($K50&lt;=BD$7,$L50&lt;=BD$7),1,AND($K50&lt;=BD$7,$L50&gt;BD$7),((BD$7-$K50)/($L50-$K50)))</f>
        <v>#REF!</v>
      </c>
      <c r="BF50" s="201" t="e">
        <f t="array" ref="BF50">_xlfn.IFS(AND($K50&gt;BE$7,$L50&gt;BE$7),0,AND($K50&lt;=BE$7,$L50&lt;=BE$7),1,AND($K50&lt;=BE$7,$L50&gt;BE$7),((BE$7-$K50)/($L50-$K50)))</f>
        <v>#REF!</v>
      </c>
      <c r="BG50" s="201" t="e">
        <f t="array" ref="BG50">_xlfn.IFS(AND($K50&gt;BF$7,$L50&gt;BF$7),0,AND($K50&lt;=BF$7,$L50&lt;=BF$7),1,AND($K50&lt;=BF$7,$L50&gt;BF$7),((BF$7-$K50)/($L50-$K50)))</f>
        <v>#REF!</v>
      </c>
      <c r="BH50" s="201" t="e">
        <f t="array" ref="BH50">_xlfn.IFS(AND($K50&gt;BG$7,$L50&gt;BG$7),0,AND($K50&lt;=BG$7,$L50&lt;=BG$7),1,AND($K50&lt;=BG$7,$L50&gt;BG$7),((BG$7-$K50)/($L50-$K50)))</f>
        <v>#REF!</v>
      </c>
      <c r="BI50" s="201" t="e">
        <f t="array" ref="BI50">_xlfn.IFS(AND($K50&gt;BH$7,$L50&gt;BH$7),0,AND($K50&lt;=BH$7,$L50&lt;=BH$7),1,AND($K50&lt;=BH$7,$L50&gt;BH$7),((BH$7-$K50)/($L50-$K50)))</f>
        <v>#REF!</v>
      </c>
      <c r="BJ50" s="201" t="e">
        <f t="array" ref="BJ50">_xlfn.IFS(AND($K50&gt;BI$7,$L50&gt;BI$7),0,AND($K50&lt;=BI$7,$L50&lt;=BI$7),1,AND($K50&lt;=BI$7,$L50&gt;BI$7),((BI$7-$K50)/($L50-$K50)))</f>
        <v>#REF!</v>
      </c>
      <c r="BK50" s="201" t="e">
        <f t="array" ref="BK50">_xlfn.IFS(AND($K50&gt;BJ$7,$L50&gt;BJ$7),0,AND($K50&lt;=BJ$7,$L50&lt;=BJ$7),1,AND($K50&lt;=BJ$7,$L50&gt;BJ$7),((BJ$7-$K50)/($L50-$K50)))</f>
        <v>#REF!</v>
      </c>
      <c r="BL50" s="201" t="e">
        <f t="array" ref="BL50">_xlfn.IFS(AND($K50&gt;BK$7,$L50&gt;BK$7),0,AND($K50&lt;=BK$7,$L50&lt;=BK$7),1,AND($K50&lt;=BK$7,$L50&gt;BK$7),((BK$7-$K50)/($L50-$K50)))</f>
        <v>#REF!</v>
      </c>
      <c r="BM50" s="201" t="e">
        <f t="array" ref="BM50">_xlfn.IFS(AND($K50&gt;BL$7,$L50&gt;BL$7),0,AND($K50&lt;=BL$7,$L50&lt;=BL$7),1,AND($K50&lt;=BL$7,$L50&gt;BL$7),((BL$7-$K50)/($L50-$K50)))</f>
        <v>#REF!</v>
      </c>
      <c r="BN50" s="201" t="e">
        <f t="array" ref="BN50">_xlfn.IFS(AND($K50&gt;BM$7,$L50&gt;BM$7),0,AND($K50&lt;=BM$7,$L50&lt;=BM$7),1,AND($K50&lt;=BM$7,$L50&gt;BM$7),((BM$7-$K50)/($L50-$K50)))</f>
        <v>#REF!</v>
      </c>
    </row>
    <row r="51" spans="2:66" ht="15" customHeight="1" x14ac:dyDescent="0.3">
      <c r="B51" s="166" t="str">
        <f t="array" ref="B51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51" s="166" t="s">
        <v>149</v>
      </c>
      <c r="D51" s="177"/>
      <c r="E51" s="170" t="str">
        <f t="shared" si="32"/>
        <v>Desenvolvimento da Transformação dos Processos</v>
      </c>
      <c r="F51" s="174" t="str">
        <f t="shared" si="35"/>
        <v>Diagnóstico de Maturidade do Processo</v>
      </c>
      <c r="G51" s="166" t="str">
        <f t="shared" si="38"/>
        <v>Diagnóstico de Maturidade do Processo</v>
      </c>
      <c r="H51" s="197" t="s">
        <v>150</v>
      </c>
      <c r="I51" s="166">
        <v>45762</v>
      </c>
      <c r="J51" s="40">
        <v>45765</v>
      </c>
      <c r="K51" s="166">
        <v>45762</v>
      </c>
      <c r="L51" s="40">
        <v>45765</v>
      </c>
      <c r="M51" s="167"/>
      <c r="N51" s="167" t="str">
        <f t="array" ref="N51">_xlfn.IFS(L51&lt;$M$3,"Concluído",AND(K51&gt;=$M$3,I51&lt;$M$3,L51&gt;$M$3),"Em andamento",AND(L51&gt;=$M$3,J51&lt;$M$3),"Atrasado",AND(L51&gt;=$M$3,J51&gt;=$M$3,I51&gt;$M$3,K51&lt;=$M$3),"Em andamento",AND(L51&gt;=$M$3,J51&gt;=$M$3,I51&lt;=$M$3,K51&lt;=$M$3),"Em andamento",AND(K51&gt;$M$3,I51&gt;$M$3),"Não iniciado",AND(L51&gt;=$M$3,J51&gt;=$M$3,K51&gt;=$M$3,I51&lt;$M$3),"Atrasado",AND(L51&gt;=$M$3,J51&gt;=$M$3,K51&gt;=$M$3,I51&gt;$M$3),"Não iniciado",AND($I51&lt;=$M$3,$K51&gt;$M$3),"Atrasado")</f>
        <v>Concluído</v>
      </c>
      <c r="O51" s="167">
        <f t="array" ref="O51">_xlfn.IFS(N51="Não iniciado",0,N51="Em andamento",1,N51="Concluído",2,N51="Atrasado",3)</f>
        <v>2</v>
      </c>
      <c r="P51" s="169"/>
      <c r="Q51" s="152">
        <f t="array" aca="1" ref="Q51" ca="1">_xlfn.IFS(AND($I51&lt;$N$3,$J51&lt;$N$3),1,AND($I51&lt;=$N$3,$J51&gt;=$N$3),0.5,AND($I51&gt;=$N$3,$J51&gt;=$N$3),0)</f>
        <v>1</v>
      </c>
      <c r="R51" s="152">
        <f t="array" aca="1" ref="R51" ca="1">_xlfn.IFS(AND($K51&lt;$N$3,$L51&lt;$N$3),1,AND($K51&lt;=$N$3,$L51&gt;=$N$3),0.5,AND($K51&gt;=$N$3,$L51&gt;=$N$3),0)</f>
        <v>1</v>
      </c>
      <c r="S51" s="201" t="e">
        <f t="array" ref="S51">_xlfn.IFS(AND($K51&gt;R$7,$L51&gt;R$7),0,AND($K51&lt;=R$7,$L51&lt;=R$7),1,AND($K51&lt;=R$7,$L51&gt;R$7),((R$7-$K51)/($L51-$K51)))</f>
        <v>#REF!</v>
      </c>
      <c r="T51" s="201" t="e">
        <f t="array" ref="T51">_xlfn.IFS(AND($K51&gt;S$7,$L51&gt;S$7),0,AND($K51&lt;=S$7,$L51&lt;=S$7),1,AND($K51&lt;=S$7,$L51&gt;S$7),((S$7-$K51)/($L51-$K51)))</f>
        <v>#REF!</v>
      </c>
      <c r="U51" s="201" t="e">
        <f t="array" ref="U51">_xlfn.IFS(AND($K51&gt;T$7,$L51&gt;T$7),0,AND($K51&lt;=T$7,$L51&lt;=T$7),1,AND($K51&lt;=T$7,$L51&gt;T$7),((T$7-$K51)/($L51-$K51)))</f>
        <v>#REF!</v>
      </c>
      <c r="V51" s="201" t="e">
        <f t="array" ref="V51">_xlfn.IFS(AND($K51&gt;U$7,$L51&gt;U$7),0,AND($K51&lt;=U$7,$L51&lt;=U$7),1,AND($K51&lt;=U$7,$L51&gt;U$7),((U$7-$K51)/($L51-$K51)))</f>
        <v>#REF!</v>
      </c>
      <c r="W51" s="201" t="e">
        <f t="array" ref="W51">_xlfn.IFS(AND($K51&gt;V$7,$L51&gt;V$7),0,AND($K51&lt;=V$7,$L51&lt;=V$7),1,AND($K51&lt;=V$7,$L51&gt;V$7),((V$7-$K51)/($L51-$K51)))</f>
        <v>#REF!</v>
      </c>
      <c r="X51" s="201" t="e">
        <f t="array" ref="X51">_xlfn.IFS(AND($K51&gt;W$7,$L51&gt;W$7),0,AND($K51&lt;=W$7,$L51&lt;=W$7),1,AND($K51&lt;=W$7,$L51&gt;W$7),((W$7-$K51)/($L51-$K51)))</f>
        <v>#REF!</v>
      </c>
      <c r="Y51" s="201" t="e">
        <f t="array" ref="Y51">_xlfn.IFS(AND($K51&gt;X$7,$L51&gt;X$7),0,AND($K51&lt;=X$7,$L51&lt;=X$7),1,AND($K51&lt;=X$7,$L51&gt;X$7),((X$7-$K51)/($L51-$K51)))</f>
        <v>#REF!</v>
      </c>
      <c r="Z51" s="201" t="e">
        <f t="array" ref="Z51">_xlfn.IFS(AND($K51&gt;Y$7,$L51&gt;Y$7),0,AND($K51&lt;=Y$7,$L51&lt;=Y$7),1,AND($K51&lt;=Y$7,$L51&gt;Y$7),((Y$7-$K51)/($L51-$K51)))</f>
        <v>#REF!</v>
      </c>
      <c r="AA51" s="201" t="e">
        <f t="array" ref="AA51">_xlfn.IFS(AND($K51&gt;Z$7,$L51&gt;Z$7),0,AND($K51&lt;=Z$7,$L51&lt;=Z$7),1,AND($K51&lt;=Z$7,$L51&gt;Z$7),((Z$7-$K51)/($L51-$K51)))</f>
        <v>#REF!</v>
      </c>
      <c r="AB51" s="201" t="e">
        <f t="array" ref="AB51">_xlfn.IFS(AND($K51&gt;AA$7,$L51&gt;AA$7),0,AND($K51&lt;=AA$7,$L51&lt;=AA$7),1,AND($K51&lt;=AA$7,$L51&gt;AA$7),((AA$7-$K51)/($L51-$K51)))</f>
        <v>#REF!</v>
      </c>
      <c r="AC51" s="201" t="e">
        <f t="array" ref="AC51">_xlfn.IFS(AND($K51&gt;AB$7,$L51&gt;AB$7),0,AND($K51&lt;=AB$7,$L51&lt;=AB$7),1,AND($K51&lt;=AB$7,$L51&gt;AB$7),((AB$7-$K51)/($L51-$K51)))</f>
        <v>#REF!</v>
      </c>
      <c r="AD51" s="201" t="e">
        <f t="array" ref="AD51">_xlfn.IFS(AND($K51&gt;AC$7,$L51&gt;AC$7),0,AND($K51&lt;=AC$7,$L51&lt;=AC$7),1,AND($K51&lt;=AC$7,$L51&gt;AC$7),((AC$7-$K51)/($L51-$K51)))</f>
        <v>#REF!</v>
      </c>
      <c r="AE51" s="201" t="e">
        <f t="array" ref="AE51">_xlfn.IFS(AND($K51&gt;AD$7,$L51&gt;AD$7),0,AND($K51&lt;=AD$7,$L51&lt;=AD$7),1,AND($K51&lt;=AD$7,$L51&gt;AD$7),((AD$7-$K51)/($L51-$K51)))</f>
        <v>#REF!</v>
      </c>
      <c r="AF51" s="201" t="e">
        <f t="array" ref="AF51">_xlfn.IFS(AND($K51&gt;AE$7,$L51&gt;AE$7),0,AND($K51&lt;=AE$7,$L51&lt;=AE$7),1,AND($K51&lt;=AE$7,$L51&gt;AE$7),((AE$7-$K51)/($L51-$K51)))</f>
        <v>#REF!</v>
      </c>
      <c r="AG51" s="201" t="e">
        <f t="array" ref="AG51">_xlfn.IFS(AND($K51&gt;AF$7,$L51&gt;AF$7),0,AND($K51&lt;=AF$7,$L51&lt;=AF$7),1,AND($K51&lt;=AF$7,$L51&gt;AF$7),((AF$7-$K51)/($L51-$K51)))</f>
        <v>#REF!</v>
      </c>
      <c r="AH51" s="201" t="e">
        <f t="array" ref="AH51">_xlfn.IFS(AND($K51&gt;AG$7,$L51&gt;AG$7),0,AND($K51&lt;=AG$7,$L51&lt;=AG$7),1,AND($K51&lt;=AG$7,$L51&gt;AG$7),((AG$7-$K51)/($L51-$K51)))</f>
        <v>#REF!</v>
      </c>
      <c r="AI51" s="201" t="e">
        <f t="array" ref="AI51">_xlfn.IFS(AND($K51&gt;AH$7,$L51&gt;AH$7),0,AND($K51&lt;=AH$7,$L51&lt;=AH$7),1,AND($K51&lt;=AH$7,$L51&gt;AH$7),((AH$7-$K51)/($L51-$K51)))</f>
        <v>#REF!</v>
      </c>
      <c r="AJ51" s="201" t="e">
        <f t="array" ref="AJ51">_xlfn.IFS(AND($K51&gt;AI$7,$L51&gt;AI$7),0,AND($K51&lt;=AI$7,$L51&lt;=AI$7),1,AND($K51&lt;=AI$7,$L51&gt;AI$7),((AI$7-$K51)/($L51-$K51)))</f>
        <v>#REF!</v>
      </c>
      <c r="AK51" s="201" t="e">
        <f t="array" ref="AK51">_xlfn.IFS(AND($K51&gt;AJ$7,$L51&gt;AJ$7),0,AND($K51&lt;=AJ$7,$L51&lt;=AJ$7),1,AND($K51&lt;=AJ$7,$L51&gt;AJ$7),((AJ$7-$K51)/($L51-$K51)))</f>
        <v>#REF!</v>
      </c>
      <c r="AL51" s="201" t="e">
        <f t="array" ref="AL51">_xlfn.IFS(AND($K51&gt;AK$7,$L51&gt;AK$7),0,AND($K51&lt;=AK$7,$L51&lt;=AK$7),1,AND($K51&lt;=AK$7,$L51&gt;AK$7),((AK$7-$K51)/($L51-$K51)))</f>
        <v>#REF!</v>
      </c>
      <c r="AM51" s="201" t="e">
        <f t="array" ref="AM51">_xlfn.IFS(AND($K51&gt;AL$7,$L51&gt;AL$7),0,AND($K51&lt;=AL$7,$L51&lt;=AL$7),1,AND($K51&lt;=AL$7,$L51&gt;AL$7),((AL$7-$K51)/($L51-$K51)))</f>
        <v>#REF!</v>
      </c>
      <c r="AN51" s="201" t="e">
        <f t="array" ref="AN51">_xlfn.IFS(AND($K51&gt;AM$7,$L51&gt;AM$7),0,AND($K51&lt;=AM$7,$L51&lt;=AM$7),1,AND($K51&lt;=AM$7,$L51&gt;AM$7),((AM$7-$K51)/($L51-$K51)))</f>
        <v>#REF!</v>
      </c>
      <c r="AO51" s="201" t="e">
        <f t="array" ref="AO51">_xlfn.IFS(AND($K51&gt;AN$7,$L51&gt;AN$7),0,AND($K51&lt;=AN$7,$L51&lt;=AN$7),1,AND($K51&lt;=AN$7,$L51&gt;AN$7),((AN$7-$K51)/($L51-$K51)))</f>
        <v>#REF!</v>
      </c>
      <c r="AP51" s="201" t="e">
        <f t="array" ref="AP51">_xlfn.IFS(AND($K51&gt;AO$7,$L51&gt;AO$7),0,AND($K51&lt;=AO$7,$L51&lt;=AO$7),1,AND($K51&lt;=AO$7,$L51&gt;AO$7),((AO$7-$K51)/($L51-$K51)))</f>
        <v>#REF!</v>
      </c>
      <c r="AQ51" s="201" t="e">
        <f t="array" ref="AQ51">_xlfn.IFS(AND($K51&gt;AP$7,$L51&gt;AP$7),0,AND($K51&lt;=AP$7,$L51&lt;=AP$7),1,AND($K51&lt;=AP$7,$L51&gt;AP$7),((AP$7-$K51)/($L51-$K51)))</f>
        <v>#REF!</v>
      </c>
      <c r="AR51" s="201" t="e">
        <f t="array" ref="AR51">_xlfn.IFS(AND($K51&gt;AQ$7,$L51&gt;AQ$7),0,AND($K51&lt;=AQ$7,$L51&lt;=AQ$7),1,AND($K51&lt;=AQ$7,$L51&gt;AQ$7),((AQ$7-$K51)/($L51-$K51)))</f>
        <v>#REF!</v>
      </c>
      <c r="AS51" s="201" t="e">
        <f t="array" ref="AS51">_xlfn.IFS(AND($K51&gt;AR$7,$L51&gt;AR$7),0,AND($K51&lt;=AR$7,$L51&lt;=AR$7),1,AND($K51&lt;=AR$7,$L51&gt;AR$7),((AR$7-$K51)/($L51-$K51)))</f>
        <v>#REF!</v>
      </c>
      <c r="AT51" s="201" t="e">
        <f t="array" ref="AT51">_xlfn.IFS(AND($K51&gt;AS$7,$L51&gt;AS$7),0,AND($K51&lt;=AS$7,$L51&lt;=AS$7),1,AND($K51&lt;=AS$7,$L51&gt;AS$7),((AS$7-$K51)/($L51-$K51)))</f>
        <v>#REF!</v>
      </c>
      <c r="AU51" s="201" t="e">
        <f t="array" ref="AU51">_xlfn.IFS(AND($K51&gt;AT$7,$L51&gt;AT$7),0,AND($K51&lt;=AT$7,$L51&lt;=AT$7),1,AND($K51&lt;=AT$7,$L51&gt;AT$7),((AT$7-$K51)/($L51-$K51)))</f>
        <v>#REF!</v>
      </c>
      <c r="AV51" s="201" t="e">
        <f t="array" ref="AV51">_xlfn.IFS(AND($K51&gt;AU$7,$L51&gt;AU$7),0,AND($K51&lt;=AU$7,$L51&lt;=AU$7),1,AND($K51&lt;=AU$7,$L51&gt;AU$7),((AU$7-$K51)/($L51-$K51)))</f>
        <v>#REF!</v>
      </c>
      <c r="AW51" s="201" t="e">
        <f t="array" ref="AW51">_xlfn.IFS(AND($K51&gt;AV$7,$L51&gt;AV$7),0,AND($K51&lt;=AV$7,$L51&lt;=AV$7),1,AND($K51&lt;=AV$7,$L51&gt;AV$7),((AV$7-$K51)/($L51-$K51)))</f>
        <v>#REF!</v>
      </c>
      <c r="AX51" s="201" t="e">
        <f t="array" ref="AX51">_xlfn.IFS(AND($K51&gt;AW$7,$L51&gt;AW$7),0,AND($K51&lt;=AW$7,$L51&lt;=AW$7),1,AND($K51&lt;=AW$7,$L51&gt;AW$7),((AW$7-$K51)/($L51-$K51)))</f>
        <v>#REF!</v>
      </c>
      <c r="AY51" s="201" t="e">
        <f t="array" ref="AY51">_xlfn.IFS(AND($K51&gt;AX$7,$L51&gt;AX$7),0,AND($K51&lt;=AX$7,$L51&lt;=AX$7),1,AND($K51&lt;=AX$7,$L51&gt;AX$7),((AX$7-$K51)/($L51-$K51)))</f>
        <v>#REF!</v>
      </c>
      <c r="AZ51" s="201" t="e">
        <f t="array" ref="AZ51">_xlfn.IFS(AND($K51&gt;AY$7,$L51&gt;AY$7),0,AND($K51&lt;=AY$7,$L51&lt;=AY$7),1,AND($K51&lt;=AY$7,$L51&gt;AY$7),((AY$7-$K51)/($L51-$K51)))</f>
        <v>#REF!</v>
      </c>
      <c r="BA51" s="201" t="e">
        <f t="array" ref="BA51">_xlfn.IFS(AND($K51&gt;AZ$7,$L51&gt;AZ$7),0,AND($K51&lt;=AZ$7,$L51&lt;=AZ$7),1,AND($K51&lt;=AZ$7,$L51&gt;AZ$7),((AZ$7-$K51)/($L51-$K51)))</f>
        <v>#REF!</v>
      </c>
      <c r="BB51" s="201" t="e">
        <f t="array" ref="BB51">_xlfn.IFS(AND($K51&gt;BA$7,$L51&gt;BA$7),0,AND($K51&lt;=BA$7,$L51&lt;=BA$7),1,AND($K51&lt;=BA$7,$L51&gt;BA$7),((BA$7-$K51)/($L51-$K51)))</f>
        <v>#REF!</v>
      </c>
      <c r="BC51" s="201" t="e">
        <f t="array" ref="BC51">_xlfn.IFS(AND($K51&gt;BB$7,$L51&gt;BB$7),0,AND($K51&lt;=BB$7,$L51&lt;=BB$7),1,AND($K51&lt;=BB$7,$L51&gt;BB$7),((BB$7-$K51)/($L51-$K51)))</f>
        <v>#REF!</v>
      </c>
      <c r="BD51" s="201" t="e">
        <f t="array" ref="BD51">_xlfn.IFS(AND($K51&gt;BC$7,$L51&gt;BC$7),0,AND($K51&lt;=BC$7,$L51&lt;=BC$7),1,AND($K51&lt;=BC$7,$L51&gt;BC$7),((BC$7-$K51)/($L51-$K51)))</f>
        <v>#REF!</v>
      </c>
      <c r="BE51" s="201" t="e">
        <f t="array" ref="BE51">_xlfn.IFS(AND($K51&gt;BD$7,$L51&gt;BD$7),0,AND($K51&lt;=BD$7,$L51&lt;=BD$7),1,AND($K51&lt;=BD$7,$L51&gt;BD$7),((BD$7-$K51)/($L51-$K51)))</f>
        <v>#REF!</v>
      </c>
      <c r="BF51" s="201" t="e">
        <f t="array" ref="BF51">_xlfn.IFS(AND($K51&gt;BE$7,$L51&gt;BE$7),0,AND($K51&lt;=BE$7,$L51&lt;=BE$7),1,AND($K51&lt;=BE$7,$L51&gt;BE$7),((BE$7-$K51)/($L51-$K51)))</f>
        <v>#REF!</v>
      </c>
      <c r="BG51" s="201" t="e">
        <f t="array" ref="BG51">_xlfn.IFS(AND($K51&gt;BF$7,$L51&gt;BF$7),0,AND($K51&lt;=BF$7,$L51&lt;=BF$7),1,AND($K51&lt;=BF$7,$L51&gt;BF$7),((BF$7-$K51)/($L51-$K51)))</f>
        <v>#REF!</v>
      </c>
      <c r="BH51" s="201" t="e">
        <f t="array" ref="BH51">_xlfn.IFS(AND($K51&gt;BG$7,$L51&gt;BG$7),0,AND($K51&lt;=BG$7,$L51&lt;=BG$7),1,AND($K51&lt;=BG$7,$L51&gt;BG$7),((BG$7-$K51)/($L51-$K51)))</f>
        <v>#REF!</v>
      </c>
      <c r="BI51" s="201" t="e">
        <f t="array" ref="BI51">_xlfn.IFS(AND($K51&gt;BH$7,$L51&gt;BH$7),0,AND($K51&lt;=BH$7,$L51&lt;=BH$7),1,AND($K51&lt;=BH$7,$L51&gt;BH$7),((BH$7-$K51)/($L51-$K51)))</f>
        <v>#REF!</v>
      </c>
      <c r="BJ51" s="201" t="e">
        <f t="array" ref="BJ51">_xlfn.IFS(AND($K51&gt;BI$7,$L51&gt;BI$7),0,AND($K51&lt;=BI$7,$L51&lt;=BI$7),1,AND($K51&lt;=BI$7,$L51&gt;BI$7),((BI$7-$K51)/($L51-$K51)))</f>
        <v>#REF!</v>
      </c>
      <c r="BK51" s="201" t="e">
        <f t="array" ref="BK51">_xlfn.IFS(AND($K51&gt;BJ$7,$L51&gt;BJ$7),0,AND($K51&lt;=BJ$7,$L51&lt;=BJ$7),1,AND($K51&lt;=BJ$7,$L51&gt;BJ$7),((BJ$7-$K51)/($L51-$K51)))</f>
        <v>#REF!</v>
      </c>
      <c r="BL51" s="201" t="e">
        <f t="array" ref="BL51">_xlfn.IFS(AND($K51&gt;BK$7,$L51&gt;BK$7),0,AND($K51&lt;=BK$7,$L51&lt;=BK$7),1,AND($K51&lt;=BK$7,$L51&gt;BK$7),((BK$7-$K51)/($L51-$K51)))</f>
        <v>#REF!</v>
      </c>
      <c r="BM51" s="201" t="e">
        <f t="array" ref="BM51">_xlfn.IFS(AND($K51&gt;BL$7,$L51&gt;BL$7),0,AND($K51&lt;=BL$7,$L51&lt;=BL$7),1,AND($K51&lt;=BL$7,$L51&gt;BL$7),((BL$7-$K51)/($L51-$K51)))</f>
        <v>#REF!</v>
      </c>
      <c r="BN51" s="201" t="e">
        <f t="array" ref="BN51">_xlfn.IFS(AND($K51&gt;BM$7,$L51&gt;BM$7),0,AND($K51&lt;=BM$7,$L51&lt;=BM$7),1,AND($K51&lt;=BM$7,$L51&gt;BM$7),((BM$7-$K51)/($L51-$K51)))</f>
        <v>#REF!</v>
      </c>
    </row>
    <row r="52" spans="2:66" ht="15" customHeight="1" x14ac:dyDescent="0.3">
      <c r="B52" s="166" t="str">
        <f t="array" ref="B52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52" s="166" t="s">
        <v>151</v>
      </c>
      <c r="D52" s="177"/>
      <c r="E52" s="170" t="str">
        <f t="shared" si="32"/>
        <v>Desenvolvimento da Transformação dos Processos</v>
      </c>
      <c r="F52" s="174" t="str">
        <f t="shared" si="35"/>
        <v>Diagnóstico de Maturidade do Processo</v>
      </c>
      <c r="G52" s="166" t="str">
        <f t="shared" si="38"/>
        <v>Diagnóstico de Maturidade do Processo</v>
      </c>
      <c r="H52" s="197" t="s">
        <v>152</v>
      </c>
      <c r="I52" s="166">
        <v>45762</v>
      </c>
      <c r="J52" s="40">
        <v>45765</v>
      </c>
      <c r="K52" s="166">
        <v>45762</v>
      </c>
      <c r="L52" s="40">
        <v>45765</v>
      </c>
      <c r="M52" s="167"/>
      <c r="N52" s="167" t="str">
        <f t="array" ref="N52">_xlfn.IFS(L52&lt;$M$3,"Concluído",AND(K52&gt;=$M$3,I52&lt;$M$3,L52&gt;$M$3),"Em andamento",AND(L52&gt;=$M$3,J52&lt;$M$3),"Atrasado",AND(L52&gt;=$M$3,J52&gt;=$M$3,I52&gt;$M$3,K52&lt;=$M$3),"Em andamento",AND(L52&gt;=$M$3,J52&gt;=$M$3,I52&lt;=$M$3,K52&lt;=$M$3),"Em andamento",AND(K52&gt;$M$3,I52&gt;$M$3),"Não iniciado",AND(L52&gt;=$M$3,J52&gt;=$M$3,K52&gt;=$M$3,I52&lt;$M$3),"Atrasado",AND(L52&gt;=$M$3,J52&gt;=$M$3,K52&gt;=$M$3,I52&gt;$M$3),"Não iniciado",AND($I52&lt;=$M$3,$K52&gt;$M$3),"Atrasado")</f>
        <v>Concluído</v>
      </c>
      <c r="O52" s="167">
        <f t="array" ref="O52">_xlfn.IFS(N52="Não iniciado",0,N52="Em andamento",1,N52="Concluído",2,N52="Atrasado",3)</f>
        <v>2</v>
      </c>
      <c r="P52" s="169"/>
      <c r="Q52" s="152">
        <f t="array" aca="1" ref="Q52" ca="1">_xlfn.IFS(AND($I52&lt;$N$3,$J52&lt;$N$3),1,AND($I52&lt;=$N$3,$J52&gt;=$N$3),0.5,AND($I52&gt;=$N$3,$J52&gt;=$N$3),0)</f>
        <v>1</v>
      </c>
      <c r="R52" s="152">
        <f t="array" aca="1" ref="R52" ca="1">_xlfn.IFS(AND($K52&lt;$N$3,$L52&lt;$N$3),1,AND($K52&lt;=$N$3,$L52&gt;=$N$3),0.5,AND($K52&gt;=$N$3,$L52&gt;=$N$3),0)</f>
        <v>1</v>
      </c>
      <c r="S52" s="201" t="e">
        <f t="array" ref="S52">_xlfn.IFS(AND($K52&gt;R$7,$L52&gt;R$7),0,AND($K52&lt;=R$7,$L52&lt;=R$7),1,AND($K52&lt;=R$7,$L52&gt;R$7),((R$7-$K52)/($L52-$K52)))</f>
        <v>#REF!</v>
      </c>
      <c r="T52" s="201" t="e">
        <f t="array" ref="T52">_xlfn.IFS(AND($K52&gt;S$7,$L52&gt;S$7),0,AND($K52&lt;=S$7,$L52&lt;=S$7),1,AND($K52&lt;=S$7,$L52&gt;S$7),((S$7-$K52)/($L52-$K52)))</f>
        <v>#REF!</v>
      </c>
      <c r="U52" s="201" t="e">
        <f t="array" ref="U52">_xlfn.IFS(AND($K52&gt;T$7,$L52&gt;T$7),0,AND($K52&lt;=T$7,$L52&lt;=T$7),1,AND($K52&lt;=T$7,$L52&gt;T$7),((T$7-$K52)/($L52-$K52)))</f>
        <v>#REF!</v>
      </c>
      <c r="V52" s="201" t="e">
        <f t="array" ref="V52">_xlfn.IFS(AND($K52&gt;U$7,$L52&gt;U$7),0,AND($K52&lt;=U$7,$L52&lt;=U$7),1,AND($K52&lt;=U$7,$L52&gt;U$7),((U$7-$K52)/($L52-$K52)))</f>
        <v>#REF!</v>
      </c>
      <c r="W52" s="201" t="e">
        <f t="array" ref="W52">_xlfn.IFS(AND($K52&gt;V$7,$L52&gt;V$7),0,AND($K52&lt;=V$7,$L52&lt;=V$7),1,AND($K52&lt;=V$7,$L52&gt;V$7),((V$7-$K52)/($L52-$K52)))</f>
        <v>#REF!</v>
      </c>
      <c r="X52" s="201" t="e">
        <f t="array" ref="X52">_xlfn.IFS(AND($K52&gt;W$7,$L52&gt;W$7),0,AND($K52&lt;=W$7,$L52&lt;=W$7),1,AND($K52&lt;=W$7,$L52&gt;W$7),((W$7-$K52)/($L52-$K52)))</f>
        <v>#REF!</v>
      </c>
      <c r="Y52" s="201" t="e">
        <f t="array" ref="Y52">_xlfn.IFS(AND($K52&gt;X$7,$L52&gt;X$7),0,AND($K52&lt;=X$7,$L52&lt;=X$7),1,AND($K52&lt;=X$7,$L52&gt;X$7),((X$7-$K52)/($L52-$K52)))</f>
        <v>#REF!</v>
      </c>
      <c r="Z52" s="201" t="e">
        <f t="array" ref="Z52">_xlfn.IFS(AND($K52&gt;Y$7,$L52&gt;Y$7),0,AND($K52&lt;=Y$7,$L52&lt;=Y$7),1,AND($K52&lt;=Y$7,$L52&gt;Y$7),((Y$7-$K52)/($L52-$K52)))</f>
        <v>#REF!</v>
      </c>
      <c r="AA52" s="201" t="e">
        <f t="array" ref="AA52">_xlfn.IFS(AND($K52&gt;Z$7,$L52&gt;Z$7),0,AND($K52&lt;=Z$7,$L52&lt;=Z$7),1,AND($K52&lt;=Z$7,$L52&gt;Z$7),((Z$7-$K52)/($L52-$K52)))</f>
        <v>#REF!</v>
      </c>
      <c r="AB52" s="201" t="e">
        <f t="array" ref="AB52">_xlfn.IFS(AND($K52&gt;AA$7,$L52&gt;AA$7),0,AND($K52&lt;=AA$7,$L52&lt;=AA$7),1,AND($K52&lt;=AA$7,$L52&gt;AA$7),((AA$7-$K52)/($L52-$K52)))</f>
        <v>#REF!</v>
      </c>
      <c r="AC52" s="201" t="e">
        <f t="array" ref="AC52">_xlfn.IFS(AND($K52&gt;AB$7,$L52&gt;AB$7),0,AND($K52&lt;=AB$7,$L52&lt;=AB$7),1,AND($K52&lt;=AB$7,$L52&gt;AB$7),((AB$7-$K52)/($L52-$K52)))</f>
        <v>#REF!</v>
      </c>
      <c r="AD52" s="201" t="e">
        <f t="array" ref="AD52">_xlfn.IFS(AND($K52&gt;AC$7,$L52&gt;AC$7),0,AND($K52&lt;=AC$7,$L52&lt;=AC$7),1,AND($K52&lt;=AC$7,$L52&gt;AC$7),((AC$7-$K52)/($L52-$K52)))</f>
        <v>#REF!</v>
      </c>
      <c r="AE52" s="201" t="e">
        <f t="array" ref="AE52">_xlfn.IFS(AND($K52&gt;AD$7,$L52&gt;AD$7),0,AND($K52&lt;=AD$7,$L52&lt;=AD$7),1,AND($K52&lt;=AD$7,$L52&gt;AD$7),((AD$7-$K52)/($L52-$K52)))</f>
        <v>#REF!</v>
      </c>
      <c r="AF52" s="201" t="e">
        <f t="array" ref="AF52">_xlfn.IFS(AND($K52&gt;AE$7,$L52&gt;AE$7),0,AND($K52&lt;=AE$7,$L52&lt;=AE$7),1,AND($K52&lt;=AE$7,$L52&gt;AE$7),((AE$7-$K52)/($L52-$K52)))</f>
        <v>#REF!</v>
      </c>
      <c r="AG52" s="201" t="e">
        <f t="array" ref="AG52">_xlfn.IFS(AND($K52&gt;AF$7,$L52&gt;AF$7),0,AND($K52&lt;=AF$7,$L52&lt;=AF$7),1,AND($K52&lt;=AF$7,$L52&gt;AF$7),((AF$7-$K52)/($L52-$K52)))</f>
        <v>#REF!</v>
      </c>
      <c r="AH52" s="201" t="e">
        <f t="array" ref="AH52">_xlfn.IFS(AND($K52&gt;AG$7,$L52&gt;AG$7),0,AND($K52&lt;=AG$7,$L52&lt;=AG$7),1,AND($K52&lt;=AG$7,$L52&gt;AG$7),((AG$7-$K52)/($L52-$K52)))</f>
        <v>#REF!</v>
      </c>
      <c r="AI52" s="201" t="e">
        <f t="array" ref="AI52">_xlfn.IFS(AND($K52&gt;AH$7,$L52&gt;AH$7),0,AND($K52&lt;=AH$7,$L52&lt;=AH$7),1,AND($K52&lt;=AH$7,$L52&gt;AH$7),((AH$7-$K52)/($L52-$K52)))</f>
        <v>#REF!</v>
      </c>
      <c r="AJ52" s="201" t="e">
        <f t="array" ref="AJ52">_xlfn.IFS(AND($K52&gt;AI$7,$L52&gt;AI$7),0,AND($K52&lt;=AI$7,$L52&lt;=AI$7),1,AND($K52&lt;=AI$7,$L52&gt;AI$7),((AI$7-$K52)/($L52-$K52)))</f>
        <v>#REF!</v>
      </c>
      <c r="AK52" s="201" t="e">
        <f t="array" ref="AK52">_xlfn.IFS(AND($K52&gt;AJ$7,$L52&gt;AJ$7),0,AND($K52&lt;=AJ$7,$L52&lt;=AJ$7),1,AND($K52&lt;=AJ$7,$L52&gt;AJ$7),((AJ$7-$K52)/($L52-$K52)))</f>
        <v>#REF!</v>
      </c>
      <c r="AL52" s="201" t="e">
        <f t="array" ref="AL52">_xlfn.IFS(AND($K52&gt;AK$7,$L52&gt;AK$7),0,AND($K52&lt;=AK$7,$L52&lt;=AK$7),1,AND($K52&lt;=AK$7,$L52&gt;AK$7),((AK$7-$K52)/($L52-$K52)))</f>
        <v>#REF!</v>
      </c>
      <c r="AM52" s="201" t="e">
        <f t="array" ref="AM52">_xlfn.IFS(AND($K52&gt;AL$7,$L52&gt;AL$7),0,AND($K52&lt;=AL$7,$L52&lt;=AL$7),1,AND($K52&lt;=AL$7,$L52&gt;AL$7),((AL$7-$K52)/($L52-$K52)))</f>
        <v>#REF!</v>
      </c>
      <c r="AN52" s="201" t="e">
        <f t="array" ref="AN52">_xlfn.IFS(AND($K52&gt;AM$7,$L52&gt;AM$7),0,AND($K52&lt;=AM$7,$L52&lt;=AM$7),1,AND($K52&lt;=AM$7,$L52&gt;AM$7),((AM$7-$K52)/($L52-$K52)))</f>
        <v>#REF!</v>
      </c>
      <c r="AO52" s="201" t="e">
        <f t="array" ref="AO52">_xlfn.IFS(AND($K52&gt;AN$7,$L52&gt;AN$7),0,AND($K52&lt;=AN$7,$L52&lt;=AN$7),1,AND($K52&lt;=AN$7,$L52&gt;AN$7),((AN$7-$K52)/($L52-$K52)))</f>
        <v>#REF!</v>
      </c>
      <c r="AP52" s="201" t="e">
        <f t="array" ref="AP52">_xlfn.IFS(AND($K52&gt;AO$7,$L52&gt;AO$7),0,AND($K52&lt;=AO$7,$L52&lt;=AO$7),1,AND($K52&lt;=AO$7,$L52&gt;AO$7),((AO$7-$K52)/($L52-$K52)))</f>
        <v>#REF!</v>
      </c>
      <c r="AQ52" s="201" t="e">
        <f t="array" ref="AQ52">_xlfn.IFS(AND($K52&gt;AP$7,$L52&gt;AP$7),0,AND($K52&lt;=AP$7,$L52&lt;=AP$7),1,AND($K52&lt;=AP$7,$L52&gt;AP$7),((AP$7-$K52)/($L52-$K52)))</f>
        <v>#REF!</v>
      </c>
      <c r="AR52" s="201" t="e">
        <f t="array" ref="AR52">_xlfn.IFS(AND($K52&gt;AQ$7,$L52&gt;AQ$7),0,AND($K52&lt;=AQ$7,$L52&lt;=AQ$7),1,AND($K52&lt;=AQ$7,$L52&gt;AQ$7),((AQ$7-$K52)/($L52-$K52)))</f>
        <v>#REF!</v>
      </c>
      <c r="AS52" s="201" t="e">
        <f t="array" ref="AS52">_xlfn.IFS(AND($K52&gt;AR$7,$L52&gt;AR$7),0,AND($K52&lt;=AR$7,$L52&lt;=AR$7),1,AND($K52&lt;=AR$7,$L52&gt;AR$7),((AR$7-$K52)/($L52-$K52)))</f>
        <v>#REF!</v>
      </c>
      <c r="AT52" s="201" t="e">
        <f t="array" ref="AT52">_xlfn.IFS(AND($K52&gt;AS$7,$L52&gt;AS$7),0,AND($K52&lt;=AS$7,$L52&lt;=AS$7),1,AND($K52&lt;=AS$7,$L52&gt;AS$7),((AS$7-$K52)/($L52-$K52)))</f>
        <v>#REF!</v>
      </c>
      <c r="AU52" s="201" t="e">
        <f t="array" ref="AU52">_xlfn.IFS(AND($K52&gt;AT$7,$L52&gt;AT$7),0,AND($K52&lt;=AT$7,$L52&lt;=AT$7),1,AND($K52&lt;=AT$7,$L52&gt;AT$7),((AT$7-$K52)/($L52-$K52)))</f>
        <v>#REF!</v>
      </c>
      <c r="AV52" s="201" t="e">
        <f t="array" ref="AV52">_xlfn.IFS(AND($K52&gt;AU$7,$L52&gt;AU$7),0,AND($K52&lt;=AU$7,$L52&lt;=AU$7),1,AND($K52&lt;=AU$7,$L52&gt;AU$7),((AU$7-$K52)/($L52-$K52)))</f>
        <v>#REF!</v>
      </c>
      <c r="AW52" s="201" t="e">
        <f t="array" ref="AW52">_xlfn.IFS(AND($K52&gt;AV$7,$L52&gt;AV$7),0,AND($K52&lt;=AV$7,$L52&lt;=AV$7),1,AND($K52&lt;=AV$7,$L52&gt;AV$7),((AV$7-$K52)/($L52-$K52)))</f>
        <v>#REF!</v>
      </c>
      <c r="AX52" s="201" t="e">
        <f t="array" ref="AX52">_xlfn.IFS(AND($K52&gt;AW$7,$L52&gt;AW$7),0,AND($K52&lt;=AW$7,$L52&lt;=AW$7),1,AND($K52&lt;=AW$7,$L52&gt;AW$7),((AW$7-$K52)/($L52-$K52)))</f>
        <v>#REF!</v>
      </c>
      <c r="AY52" s="201" t="e">
        <f t="array" ref="AY52">_xlfn.IFS(AND($K52&gt;AX$7,$L52&gt;AX$7),0,AND($K52&lt;=AX$7,$L52&lt;=AX$7),1,AND($K52&lt;=AX$7,$L52&gt;AX$7),((AX$7-$K52)/($L52-$K52)))</f>
        <v>#REF!</v>
      </c>
      <c r="AZ52" s="201" t="e">
        <f t="array" ref="AZ52">_xlfn.IFS(AND($K52&gt;AY$7,$L52&gt;AY$7),0,AND($K52&lt;=AY$7,$L52&lt;=AY$7),1,AND($K52&lt;=AY$7,$L52&gt;AY$7),((AY$7-$K52)/($L52-$K52)))</f>
        <v>#REF!</v>
      </c>
      <c r="BA52" s="201" t="e">
        <f t="array" ref="BA52">_xlfn.IFS(AND($K52&gt;AZ$7,$L52&gt;AZ$7),0,AND($K52&lt;=AZ$7,$L52&lt;=AZ$7),1,AND($K52&lt;=AZ$7,$L52&gt;AZ$7),((AZ$7-$K52)/($L52-$K52)))</f>
        <v>#REF!</v>
      </c>
      <c r="BB52" s="201" t="e">
        <f t="array" ref="BB52">_xlfn.IFS(AND($K52&gt;BA$7,$L52&gt;BA$7),0,AND($K52&lt;=BA$7,$L52&lt;=BA$7),1,AND($K52&lt;=BA$7,$L52&gt;BA$7),((BA$7-$K52)/($L52-$K52)))</f>
        <v>#REF!</v>
      </c>
      <c r="BC52" s="201" t="e">
        <f t="array" ref="BC52">_xlfn.IFS(AND($K52&gt;BB$7,$L52&gt;BB$7),0,AND($K52&lt;=BB$7,$L52&lt;=BB$7),1,AND($K52&lt;=BB$7,$L52&gt;BB$7),((BB$7-$K52)/($L52-$K52)))</f>
        <v>#REF!</v>
      </c>
      <c r="BD52" s="201" t="e">
        <f t="array" ref="BD52">_xlfn.IFS(AND($K52&gt;BC$7,$L52&gt;BC$7),0,AND($K52&lt;=BC$7,$L52&lt;=BC$7),1,AND($K52&lt;=BC$7,$L52&gt;BC$7),((BC$7-$K52)/($L52-$K52)))</f>
        <v>#REF!</v>
      </c>
      <c r="BE52" s="201" t="e">
        <f t="array" ref="BE52">_xlfn.IFS(AND($K52&gt;BD$7,$L52&gt;BD$7),0,AND($K52&lt;=BD$7,$L52&lt;=BD$7),1,AND($K52&lt;=BD$7,$L52&gt;BD$7),((BD$7-$K52)/($L52-$K52)))</f>
        <v>#REF!</v>
      </c>
      <c r="BF52" s="201" t="e">
        <f t="array" ref="BF52">_xlfn.IFS(AND($K52&gt;BE$7,$L52&gt;BE$7),0,AND($K52&lt;=BE$7,$L52&lt;=BE$7),1,AND($K52&lt;=BE$7,$L52&gt;BE$7),((BE$7-$K52)/($L52-$K52)))</f>
        <v>#REF!</v>
      </c>
      <c r="BG52" s="201" t="e">
        <f t="array" ref="BG52">_xlfn.IFS(AND($K52&gt;BF$7,$L52&gt;BF$7),0,AND($K52&lt;=BF$7,$L52&lt;=BF$7),1,AND($K52&lt;=BF$7,$L52&gt;BF$7),((BF$7-$K52)/($L52-$K52)))</f>
        <v>#REF!</v>
      </c>
      <c r="BH52" s="201" t="e">
        <f t="array" ref="BH52">_xlfn.IFS(AND($K52&gt;BG$7,$L52&gt;BG$7),0,AND($K52&lt;=BG$7,$L52&lt;=BG$7),1,AND($K52&lt;=BG$7,$L52&gt;BG$7),((BG$7-$K52)/($L52-$K52)))</f>
        <v>#REF!</v>
      </c>
      <c r="BI52" s="201" t="e">
        <f t="array" ref="BI52">_xlfn.IFS(AND($K52&gt;BH$7,$L52&gt;BH$7),0,AND($K52&lt;=BH$7,$L52&lt;=BH$7),1,AND($K52&lt;=BH$7,$L52&gt;BH$7),((BH$7-$K52)/($L52-$K52)))</f>
        <v>#REF!</v>
      </c>
      <c r="BJ52" s="201" t="e">
        <f t="array" ref="BJ52">_xlfn.IFS(AND($K52&gt;BI$7,$L52&gt;BI$7),0,AND($K52&lt;=BI$7,$L52&lt;=BI$7),1,AND($K52&lt;=BI$7,$L52&gt;BI$7),((BI$7-$K52)/($L52-$K52)))</f>
        <v>#REF!</v>
      </c>
      <c r="BK52" s="201" t="e">
        <f t="array" ref="BK52">_xlfn.IFS(AND($K52&gt;BJ$7,$L52&gt;BJ$7),0,AND($K52&lt;=BJ$7,$L52&lt;=BJ$7),1,AND($K52&lt;=BJ$7,$L52&gt;BJ$7),((BJ$7-$K52)/($L52-$K52)))</f>
        <v>#REF!</v>
      </c>
      <c r="BL52" s="201" t="e">
        <f t="array" ref="BL52">_xlfn.IFS(AND($K52&gt;BK$7,$L52&gt;BK$7),0,AND($K52&lt;=BK$7,$L52&lt;=BK$7),1,AND($K52&lt;=BK$7,$L52&gt;BK$7),((BK$7-$K52)/($L52-$K52)))</f>
        <v>#REF!</v>
      </c>
      <c r="BM52" s="201" t="e">
        <f t="array" ref="BM52">_xlfn.IFS(AND($K52&gt;BL$7,$L52&gt;BL$7),0,AND($K52&lt;=BL$7,$L52&lt;=BL$7),1,AND($K52&lt;=BL$7,$L52&gt;BL$7),((BL$7-$K52)/($L52-$K52)))</f>
        <v>#REF!</v>
      </c>
      <c r="BN52" s="201" t="e">
        <f t="array" ref="BN52">_xlfn.IFS(AND($K52&gt;BM$7,$L52&gt;BM$7),0,AND($K52&lt;=BM$7,$L52&lt;=BM$7),1,AND($K52&lt;=BM$7,$L52&gt;BM$7),((BM$7-$K52)/($L52-$K52)))</f>
        <v>#REF!</v>
      </c>
    </row>
    <row r="53" spans="2:66" s="163" customFormat="1" ht="15" customHeight="1" x14ac:dyDescent="0.3">
      <c r="B53" s="166" t="str">
        <f t="array" ref="B53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53" s="166" t="s">
        <v>153</v>
      </c>
      <c r="D53" s="177"/>
      <c r="E53" s="170" t="str">
        <f t="shared" si="32"/>
        <v>Desenvolvimento da Transformação dos Processos</v>
      </c>
      <c r="F53" s="174" t="str">
        <f t="shared" si="35"/>
        <v>Diagnóstico de Maturidade do Processo</v>
      </c>
      <c r="G53" s="166" t="str">
        <f t="shared" si="38"/>
        <v>Diagnóstico de Maturidade do Processo</v>
      </c>
      <c r="H53" s="197" t="s">
        <v>154</v>
      </c>
      <c r="I53" s="166">
        <v>45762</v>
      </c>
      <c r="J53" s="40">
        <v>45765</v>
      </c>
      <c r="K53" s="166">
        <v>45762</v>
      </c>
      <c r="L53" s="40">
        <v>45765</v>
      </c>
      <c r="M53" s="167"/>
      <c r="N53" s="167" t="str">
        <f t="array" ref="N53">_xlfn.IFS(L53&lt;$M$3,"Concluído",AND(K53&gt;=$M$3,I53&lt;$M$3,L53&gt;$M$3),"Em andamento",AND(L53&gt;=$M$3,J53&lt;$M$3),"Atrasado",AND(L53&gt;=$M$3,J53&gt;=$M$3,I53&gt;$M$3,K53&lt;=$M$3),"Em andamento",AND(L53&gt;=$M$3,J53&gt;=$M$3,I53&lt;=$M$3,K53&lt;=$M$3),"Em andamento",AND(K53&gt;$M$3,I53&gt;$M$3),"Não iniciado",AND(L53&gt;=$M$3,J53&gt;=$M$3,K53&gt;=$M$3,I53&lt;$M$3),"Atrasado",AND(L53&gt;=$M$3,J53&gt;=$M$3,K53&gt;=$M$3,I53&gt;$M$3),"Não iniciado",AND($I53&lt;=$M$3,$K53&gt;$M$3),"Atrasado")</f>
        <v>Concluído</v>
      </c>
      <c r="O53" s="167">
        <f t="array" ref="O53">_xlfn.IFS(N53="Não iniciado",0,N53="Em andamento",1,N53="Concluído",2,N53="Atrasado",3)</f>
        <v>2</v>
      </c>
      <c r="P53" s="169"/>
      <c r="Q53" s="152">
        <f t="array" aca="1" ref="Q53" ca="1">_xlfn.IFS(AND($I53&lt;$N$3,$J53&lt;$N$3),1,AND($I53&lt;=$N$3,$J53&gt;=$N$3),0.5,AND($I53&gt;=$N$3,$J53&gt;=$N$3),0)</f>
        <v>1</v>
      </c>
      <c r="R53" s="152">
        <f t="array" aca="1" ref="R53" ca="1">_xlfn.IFS(AND($K53&lt;$N$3,$L53&lt;$N$3),1,AND($K53&lt;=$N$3,$L53&gt;=$N$3),0.5,AND($K53&gt;=$N$3,$L53&gt;=$N$3),0)</f>
        <v>1</v>
      </c>
      <c r="S53" s="201" t="e">
        <f t="array" ref="S53">_xlfn.IFS(AND($K53&gt;R$7,$L53&gt;R$7),0,AND($K53&lt;=R$7,$L53&lt;=R$7),1,AND($K53&lt;=R$7,$L53&gt;R$7),((R$7-$K53)/($L53-$K53)))</f>
        <v>#REF!</v>
      </c>
      <c r="T53" s="201" t="e">
        <f t="array" ref="T53">_xlfn.IFS(AND($K53&gt;S$7,$L53&gt;S$7),0,AND($K53&lt;=S$7,$L53&lt;=S$7),1,AND($K53&lt;=S$7,$L53&gt;S$7),((S$7-$K53)/($L53-$K53)))</f>
        <v>#REF!</v>
      </c>
      <c r="U53" s="201" t="e">
        <f t="array" ref="U53">_xlfn.IFS(AND($K53&gt;T$7,$L53&gt;T$7),0,AND($K53&lt;=T$7,$L53&lt;=T$7),1,AND($K53&lt;=T$7,$L53&gt;T$7),((T$7-$K53)/($L53-$K53)))</f>
        <v>#REF!</v>
      </c>
      <c r="V53" s="201" t="e">
        <f t="array" ref="V53">_xlfn.IFS(AND($K53&gt;U$7,$L53&gt;U$7),0,AND($K53&lt;=U$7,$L53&lt;=U$7),1,AND($K53&lt;=U$7,$L53&gt;U$7),((U$7-$K53)/($L53-$K53)))</f>
        <v>#REF!</v>
      </c>
      <c r="W53" s="201" t="e">
        <f t="array" ref="W53">_xlfn.IFS(AND($K53&gt;V$7,$L53&gt;V$7),0,AND($K53&lt;=V$7,$L53&lt;=V$7),1,AND($K53&lt;=V$7,$L53&gt;V$7),((V$7-$K53)/($L53-$K53)))</f>
        <v>#REF!</v>
      </c>
      <c r="X53" s="201" t="e">
        <f t="array" ref="X53">_xlfn.IFS(AND($K53&gt;W$7,$L53&gt;W$7),0,AND($K53&lt;=W$7,$L53&lt;=W$7),1,AND($K53&lt;=W$7,$L53&gt;W$7),((W$7-$K53)/($L53-$K53)))</f>
        <v>#REF!</v>
      </c>
      <c r="Y53" s="201" t="e">
        <f t="array" ref="Y53">_xlfn.IFS(AND($K53&gt;X$7,$L53&gt;X$7),0,AND($K53&lt;=X$7,$L53&lt;=X$7),1,AND($K53&lt;=X$7,$L53&gt;X$7),((X$7-$K53)/($L53-$K53)))</f>
        <v>#REF!</v>
      </c>
      <c r="Z53" s="201" t="e">
        <f t="array" ref="Z53">_xlfn.IFS(AND($K53&gt;Y$7,$L53&gt;Y$7),0,AND($K53&lt;=Y$7,$L53&lt;=Y$7),1,AND($K53&lt;=Y$7,$L53&gt;Y$7),((Y$7-$K53)/($L53-$K53)))</f>
        <v>#REF!</v>
      </c>
      <c r="AA53" s="201" t="e">
        <f t="array" ref="AA53">_xlfn.IFS(AND($K53&gt;Z$7,$L53&gt;Z$7),0,AND($K53&lt;=Z$7,$L53&lt;=Z$7),1,AND($K53&lt;=Z$7,$L53&gt;Z$7),((Z$7-$K53)/($L53-$K53)))</f>
        <v>#REF!</v>
      </c>
      <c r="AB53" s="201" t="e">
        <f t="array" ref="AB53">_xlfn.IFS(AND($K53&gt;AA$7,$L53&gt;AA$7),0,AND($K53&lt;=AA$7,$L53&lt;=AA$7),1,AND($K53&lt;=AA$7,$L53&gt;AA$7),((AA$7-$K53)/($L53-$K53)))</f>
        <v>#REF!</v>
      </c>
      <c r="AC53" s="201" t="e">
        <f t="array" ref="AC53">_xlfn.IFS(AND($K53&gt;AB$7,$L53&gt;AB$7),0,AND($K53&lt;=AB$7,$L53&lt;=AB$7),1,AND($K53&lt;=AB$7,$L53&gt;AB$7),((AB$7-$K53)/($L53-$K53)))</f>
        <v>#REF!</v>
      </c>
      <c r="AD53" s="201" t="e">
        <f t="array" ref="AD53">_xlfn.IFS(AND($K53&gt;AC$7,$L53&gt;AC$7),0,AND($K53&lt;=AC$7,$L53&lt;=AC$7),1,AND($K53&lt;=AC$7,$L53&gt;AC$7),((AC$7-$K53)/($L53-$K53)))</f>
        <v>#REF!</v>
      </c>
      <c r="AE53" s="201" t="e">
        <f t="array" ref="AE53">_xlfn.IFS(AND($K53&gt;AD$7,$L53&gt;AD$7),0,AND($K53&lt;=AD$7,$L53&lt;=AD$7),1,AND($K53&lt;=AD$7,$L53&gt;AD$7),((AD$7-$K53)/($L53-$K53)))</f>
        <v>#REF!</v>
      </c>
      <c r="AF53" s="201" t="e">
        <f t="array" ref="AF53">_xlfn.IFS(AND($K53&gt;AE$7,$L53&gt;AE$7),0,AND($K53&lt;=AE$7,$L53&lt;=AE$7),1,AND($K53&lt;=AE$7,$L53&gt;AE$7),((AE$7-$K53)/($L53-$K53)))</f>
        <v>#REF!</v>
      </c>
      <c r="AG53" s="201" t="e">
        <f t="array" ref="AG53">_xlfn.IFS(AND($K53&gt;AF$7,$L53&gt;AF$7),0,AND($K53&lt;=AF$7,$L53&lt;=AF$7),1,AND($K53&lt;=AF$7,$L53&gt;AF$7),((AF$7-$K53)/($L53-$K53)))</f>
        <v>#REF!</v>
      </c>
      <c r="AH53" s="201" t="e">
        <f t="array" ref="AH53">_xlfn.IFS(AND($K53&gt;AG$7,$L53&gt;AG$7),0,AND($K53&lt;=AG$7,$L53&lt;=AG$7),1,AND($K53&lt;=AG$7,$L53&gt;AG$7),((AG$7-$K53)/($L53-$K53)))</f>
        <v>#REF!</v>
      </c>
      <c r="AI53" s="201" t="e">
        <f t="array" ref="AI53">_xlfn.IFS(AND($K53&gt;AH$7,$L53&gt;AH$7),0,AND($K53&lt;=AH$7,$L53&lt;=AH$7),1,AND($K53&lt;=AH$7,$L53&gt;AH$7),((AH$7-$K53)/($L53-$K53)))</f>
        <v>#REF!</v>
      </c>
      <c r="AJ53" s="201" t="e">
        <f t="array" ref="AJ53">_xlfn.IFS(AND($K53&gt;AI$7,$L53&gt;AI$7),0,AND($K53&lt;=AI$7,$L53&lt;=AI$7),1,AND($K53&lt;=AI$7,$L53&gt;AI$7),((AI$7-$K53)/($L53-$K53)))</f>
        <v>#REF!</v>
      </c>
      <c r="AK53" s="201" t="e">
        <f t="array" ref="AK53">_xlfn.IFS(AND($K53&gt;AJ$7,$L53&gt;AJ$7),0,AND($K53&lt;=AJ$7,$L53&lt;=AJ$7),1,AND($K53&lt;=AJ$7,$L53&gt;AJ$7),((AJ$7-$K53)/($L53-$K53)))</f>
        <v>#REF!</v>
      </c>
      <c r="AL53" s="201" t="e">
        <f t="array" ref="AL53">_xlfn.IFS(AND($K53&gt;AK$7,$L53&gt;AK$7),0,AND($K53&lt;=AK$7,$L53&lt;=AK$7),1,AND($K53&lt;=AK$7,$L53&gt;AK$7),((AK$7-$K53)/($L53-$K53)))</f>
        <v>#REF!</v>
      </c>
      <c r="AM53" s="201" t="e">
        <f t="array" ref="AM53">_xlfn.IFS(AND($K53&gt;AL$7,$L53&gt;AL$7),0,AND($K53&lt;=AL$7,$L53&lt;=AL$7),1,AND($K53&lt;=AL$7,$L53&gt;AL$7),((AL$7-$K53)/($L53-$K53)))</f>
        <v>#REF!</v>
      </c>
      <c r="AN53" s="201" t="e">
        <f t="array" ref="AN53">_xlfn.IFS(AND($K53&gt;AM$7,$L53&gt;AM$7),0,AND($K53&lt;=AM$7,$L53&lt;=AM$7),1,AND($K53&lt;=AM$7,$L53&gt;AM$7),((AM$7-$K53)/($L53-$K53)))</f>
        <v>#REF!</v>
      </c>
      <c r="AO53" s="201" t="e">
        <f t="array" ref="AO53">_xlfn.IFS(AND($K53&gt;AN$7,$L53&gt;AN$7),0,AND($K53&lt;=AN$7,$L53&lt;=AN$7),1,AND($K53&lt;=AN$7,$L53&gt;AN$7),((AN$7-$K53)/($L53-$K53)))</f>
        <v>#REF!</v>
      </c>
      <c r="AP53" s="201" t="e">
        <f t="array" ref="AP53">_xlfn.IFS(AND($K53&gt;AO$7,$L53&gt;AO$7),0,AND($K53&lt;=AO$7,$L53&lt;=AO$7),1,AND($K53&lt;=AO$7,$L53&gt;AO$7),((AO$7-$K53)/($L53-$K53)))</f>
        <v>#REF!</v>
      </c>
      <c r="AQ53" s="201" t="e">
        <f t="array" ref="AQ53">_xlfn.IFS(AND($K53&gt;AP$7,$L53&gt;AP$7),0,AND($K53&lt;=AP$7,$L53&lt;=AP$7),1,AND($K53&lt;=AP$7,$L53&gt;AP$7),((AP$7-$K53)/($L53-$K53)))</f>
        <v>#REF!</v>
      </c>
      <c r="AR53" s="201" t="e">
        <f t="array" ref="AR53">_xlfn.IFS(AND($K53&gt;AQ$7,$L53&gt;AQ$7),0,AND($K53&lt;=AQ$7,$L53&lt;=AQ$7),1,AND($K53&lt;=AQ$7,$L53&gt;AQ$7),((AQ$7-$K53)/($L53-$K53)))</f>
        <v>#REF!</v>
      </c>
      <c r="AS53" s="201" t="e">
        <f t="array" ref="AS53">_xlfn.IFS(AND($K53&gt;AR$7,$L53&gt;AR$7),0,AND($K53&lt;=AR$7,$L53&lt;=AR$7),1,AND($K53&lt;=AR$7,$L53&gt;AR$7),((AR$7-$K53)/($L53-$K53)))</f>
        <v>#REF!</v>
      </c>
      <c r="AT53" s="201" t="e">
        <f t="array" ref="AT53">_xlfn.IFS(AND($K53&gt;AS$7,$L53&gt;AS$7),0,AND($K53&lt;=AS$7,$L53&lt;=AS$7),1,AND($K53&lt;=AS$7,$L53&gt;AS$7),((AS$7-$K53)/($L53-$K53)))</f>
        <v>#REF!</v>
      </c>
      <c r="AU53" s="201" t="e">
        <f t="array" ref="AU53">_xlfn.IFS(AND($K53&gt;AT$7,$L53&gt;AT$7),0,AND($K53&lt;=AT$7,$L53&lt;=AT$7),1,AND($K53&lt;=AT$7,$L53&gt;AT$7),((AT$7-$K53)/($L53-$K53)))</f>
        <v>#REF!</v>
      </c>
      <c r="AV53" s="201" t="e">
        <f t="array" ref="AV53">_xlfn.IFS(AND($K53&gt;AU$7,$L53&gt;AU$7),0,AND($K53&lt;=AU$7,$L53&lt;=AU$7),1,AND($K53&lt;=AU$7,$L53&gt;AU$7),((AU$7-$K53)/($L53-$K53)))</f>
        <v>#REF!</v>
      </c>
      <c r="AW53" s="201" t="e">
        <f t="array" ref="AW53">_xlfn.IFS(AND($K53&gt;AV$7,$L53&gt;AV$7),0,AND($K53&lt;=AV$7,$L53&lt;=AV$7),1,AND($K53&lt;=AV$7,$L53&gt;AV$7),((AV$7-$K53)/($L53-$K53)))</f>
        <v>#REF!</v>
      </c>
      <c r="AX53" s="201" t="e">
        <f t="array" ref="AX53">_xlfn.IFS(AND($K53&gt;AW$7,$L53&gt;AW$7),0,AND($K53&lt;=AW$7,$L53&lt;=AW$7),1,AND($K53&lt;=AW$7,$L53&gt;AW$7),((AW$7-$K53)/($L53-$K53)))</f>
        <v>#REF!</v>
      </c>
      <c r="AY53" s="201" t="e">
        <f t="array" ref="AY53">_xlfn.IFS(AND($K53&gt;AX$7,$L53&gt;AX$7),0,AND($K53&lt;=AX$7,$L53&lt;=AX$7),1,AND($K53&lt;=AX$7,$L53&gt;AX$7),((AX$7-$K53)/($L53-$K53)))</f>
        <v>#REF!</v>
      </c>
      <c r="AZ53" s="201" t="e">
        <f t="array" ref="AZ53">_xlfn.IFS(AND($K53&gt;AY$7,$L53&gt;AY$7),0,AND($K53&lt;=AY$7,$L53&lt;=AY$7),1,AND($K53&lt;=AY$7,$L53&gt;AY$7),((AY$7-$K53)/($L53-$K53)))</f>
        <v>#REF!</v>
      </c>
      <c r="BA53" s="201" t="e">
        <f t="array" ref="BA53">_xlfn.IFS(AND($K53&gt;AZ$7,$L53&gt;AZ$7),0,AND($K53&lt;=AZ$7,$L53&lt;=AZ$7),1,AND($K53&lt;=AZ$7,$L53&gt;AZ$7),((AZ$7-$K53)/($L53-$K53)))</f>
        <v>#REF!</v>
      </c>
      <c r="BB53" s="201" t="e">
        <f t="array" ref="BB53">_xlfn.IFS(AND($K53&gt;BA$7,$L53&gt;BA$7),0,AND($K53&lt;=BA$7,$L53&lt;=BA$7),1,AND($K53&lt;=BA$7,$L53&gt;BA$7),((BA$7-$K53)/($L53-$K53)))</f>
        <v>#REF!</v>
      </c>
      <c r="BC53" s="201" t="e">
        <f t="array" ref="BC53">_xlfn.IFS(AND($K53&gt;BB$7,$L53&gt;BB$7),0,AND($K53&lt;=BB$7,$L53&lt;=BB$7),1,AND($K53&lt;=BB$7,$L53&gt;BB$7),((BB$7-$K53)/($L53-$K53)))</f>
        <v>#REF!</v>
      </c>
      <c r="BD53" s="201" t="e">
        <f t="array" ref="BD53">_xlfn.IFS(AND($K53&gt;BC$7,$L53&gt;BC$7),0,AND($K53&lt;=BC$7,$L53&lt;=BC$7),1,AND($K53&lt;=BC$7,$L53&gt;BC$7),((BC$7-$K53)/($L53-$K53)))</f>
        <v>#REF!</v>
      </c>
      <c r="BE53" s="201" t="e">
        <f t="array" ref="BE53">_xlfn.IFS(AND($K53&gt;BD$7,$L53&gt;BD$7),0,AND($K53&lt;=BD$7,$L53&lt;=BD$7),1,AND($K53&lt;=BD$7,$L53&gt;BD$7),((BD$7-$K53)/($L53-$K53)))</f>
        <v>#REF!</v>
      </c>
      <c r="BF53" s="201" t="e">
        <f t="array" ref="BF53">_xlfn.IFS(AND($K53&gt;BE$7,$L53&gt;BE$7),0,AND($K53&lt;=BE$7,$L53&lt;=BE$7),1,AND($K53&lt;=BE$7,$L53&gt;BE$7),((BE$7-$K53)/($L53-$K53)))</f>
        <v>#REF!</v>
      </c>
      <c r="BG53" s="201" t="e">
        <f t="array" ref="BG53">_xlfn.IFS(AND($K53&gt;BF$7,$L53&gt;BF$7),0,AND($K53&lt;=BF$7,$L53&lt;=BF$7),1,AND($K53&lt;=BF$7,$L53&gt;BF$7),((BF$7-$K53)/($L53-$K53)))</f>
        <v>#REF!</v>
      </c>
      <c r="BH53" s="201" t="e">
        <f t="array" ref="BH53">_xlfn.IFS(AND($K53&gt;BG$7,$L53&gt;BG$7),0,AND($K53&lt;=BG$7,$L53&lt;=BG$7),1,AND($K53&lt;=BG$7,$L53&gt;BG$7),((BG$7-$K53)/($L53-$K53)))</f>
        <v>#REF!</v>
      </c>
      <c r="BI53" s="201" t="e">
        <f t="array" ref="BI53">_xlfn.IFS(AND($K53&gt;BH$7,$L53&gt;BH$7),0,AND($K53&lt;=BH$7,$L53&lt;=BH$7),1,AND($K53&lt;=BH$7,$L53&gt;BH$7),((BH$7-$K53)/($L53-$K53)))</f>
        <v>#REF!</v>
      </c>
      <c r="BJ53" s="201" t="e">
        <f t="array" ref="BJ53">_xlfn.IFS(AND($K53&gt;BI$7,$L53&gt;BI$7),0,AND($K53&lt;=BI$7,$L53&lt;=BI$7),1,AND($K53&lt;=BI$7,$L53&gt;BI$7),((BI$7-$K53)/($L53-$K53)))</f>
        <v>#REF!</v>
      </c>
      <c r="BK53" s="201" t="e">
        <f t="array" ref="BK53">_xlfn.IFS(AND($K53&gt;BJ$7,$L53&gt;BJ$7),0,AND($K53&lt;=BJ$7,$L53&lt;=BJ$7),1,AND($K53&lt;=BJ$7,$L53&gt;BJ$7),((BJ$7-$K53)/($L53-$K53)))</f>
        <v>#REF!</v>
      </c>
      <c r="BL53" s="201" t="e">
        <f t="array" ref="BL53">_xlfn.IFS(AND($K53&gt;BK$7,$L53&gt;BK$7),0,AND($K53&lt;=BK$7,$L53&lt;=BK$7),1,AND($K53&lt;=BK$7,$L53&gt;BK$7),((BK$7-$K53)/($L53-$K53)))</f>
        <v>#REF!</v>
      </c>
      <c r="BM53" s="201" t="e">
        <f t="array" ref="BM53">_xlfn.IFS(AND($K53&gt;BL$7,$L53&gt;BL$7),0,AND($K53&lt;=BL$7,$L53&lt;=BL$7),1,AND($K53&lt;=BL$7,$L53&gt;BL$7),((BL$7-$K53)/($L53-$K53)))</f>
        <v>#REF!</v>
      </c>
      <c r="BN53" s="201" t="e">
        <f t="array" ref="BN53">_xlfn.IFS(AND($K53&gt;BM$7,$L53&gt;BM$7),0,AND($K53&lt;=BM$7,$L53&lt;=BM$7),1,AND($K53&lt;=BM$7,$L53&gt;BM$7),((BM$7-$K53)/($L53-$K53)))</f>
        <v>#REF!</v>
      </c>
    </row>
    <row r="54" spans="2:66" ht="15" customHeight="1" x14ac:dyDescent="0.3">
      <c r="B54" s="166" t="str">
        <f t="array" ref="B54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54" s="166" t="s">
        <v>155</v>
      </c>
      <c r="D54" s="177"/>
      <c r="E54" s="170" t="str">
        <f t="shared" si="32"/>
        <v>Desenvolvimento da Transformação dos Processos</v>
      </c>
      <c r="F54" s="174" t="str">
        <f t="shared" si="35"/>
        <v>Diagnóstico de Maturidade do Processo</v>
      </c>
      <c r="G54" s="166" t="str">
        <f t="shared" si="38"/>
        <v>Diagnóstico de Maturidade do Processo</v>
      </c>
      <c r="H54" s="197" t="s">
        <v>156</v>
      </c>
      <c r="I54" s="166">
        <v>45762</v>
      </c>
      <c r="J54" s="40">
        <v>45765</v>
      </c>
      <c r="K54" s="166">
        <v>45762</v>
      </c>
      <c r="L54" s="40">
        <v>45765</v>
      </c>
      <c r="M54" s="167"/>
      <c r="N54" s="167" t="str">
        <f t="array" ref="N54">_xlfn.IFS(L54&lt;$M$3,"Concluído",AND(K54&gt;=$M$3,I54&lt;$M$3,L54&gt;$M$3),"Em andamento",AND(L54&gt;=$M$3,J54&lt;$M$3),"Atrasado",AND(L54&gt;=$M$3,J54&gt;=$M$3,I54&gt;$M$3,K54&lt;=$M$3),"Em andamento",AND(L54&gt;=$M$3,J54&gt;=$M$3,I54&lt;=$M$3,K54&lt;=$M$3),"Em andamento",AND(K54&gt;$M$3,I54&gt;$M$3),"Não iniciado",AND(L54&gt;=$M$3,J54&gt;=$M$3,K54&gt;=$M$3,I54&lt;$M$3),"Atrasado",AND(L54&gt;=$M$3,J54&gt;=$M$3,K54&gt;=$M$3,I54&gt;$M$3),"Não iniciado",AND($I54&lt;=$M$3,$K54&gt;$M$3),"Atrasado")</f>
        <v>Concluído</v>
      </c>
      <c r="O54" s="167">
        <f t="array" ref="O54">_xlfn.IFS(N54="Não iniciado",0,N54="Em andamento",1,N54="Concluído",2,N54="Atrasado",3)</f>
        <v>2</v>
      </c>
      <c r="P54" s="169"/>
      <c r="Q54" s="152">
        <f t="array" aca="1" ref="Q54" ca="1">_xlfn.IFS(AND($I54&lt;$N$3,$J54&lt;$N$3),1,AND($I54&lt;=$N$3,$J54&gt;=$N$3),0.5,AND($I54&gt;=$N$3,$J54&gt;=$N$3),0)</f>
        <v>1</v>
      </c>
      <c r="R54" s="152">
        <f t="array" aca="1" ref="R54" ca="1">_xlfn.IFS(AND($K54&lt;$N$3,$L54&lt;$N$3),1,AND($K54&lt;=$N$3,$L54&gt;=$N$3),0.5,AND($K54&gt;=$N$3,$L54&gt;=$N$3),0)</f>
        <v>1</v>
      </c>
      <c r="S54" s="201" t="e">
        <f t="array" ref="S54">_xlfn.IFS(AND($K54&gt;R$7,$L54&gt;R$7),0,AND($K54&lt;=R$7,$L54&lt;=R$7),1,AND($K54&lt;=R$7,$L54&gt;R$7),((R$7-$K54)/($L54-$K54)))</f>
        <v>#REF!</v>
      </c>
      <c r="T54" s="201" t="e">
        <f t="array" ref="T54">_xlfn.IFS(AND($K54&gt;S$7,$L54&gt;S$7),0,AND($K54&lt;=S$7,$L54&lt;=S$7),1,AND($K54&lt;=S$7,$L54&gt;S$7),((S$7-$K54)/($L54-$K54)))</f>
        <v>#REF!</v>
      </c>
      <c r="U54" s="201" t="e">
        <f t="array" ref="U54">_xlfn.IFS(AND($K54&gt;T$7,$L54&gt;T$7),0,AND($K54&lt;=T$7,$L54&lt;=T$7),1,AND($K54&lt;=T$7,$L54&gt;T$7),((T$7-$K54)/($L54-$K54)))</f>
        <v>#REF!</v>
      </c>
      <c r="V54" s="201" t="e">
        <f t="array" ref="V54">_xlfn.IFS(AND($K54&gt;U$7,$L54&gt;U$7),0,AND($K54&lt;=U$7,$L54&lt;=U$7),1,AND($K54&lt;=U$7,$L54&gt;U$7),((U$7-$K54)/($L54-$K54)))</f>
        <v>#REF!</v>
      </c>
      <c r="W54" s="201" t="e">
        <f t="array" ref="W54">_xlfn.IFS(AND($K54&gt;V$7,$L54&gt;V$7),0,AND($K54&lt;=V$7,$L54&lt;=V$7),1,AND($K54&lt;=V$7,$L54&gt;V$7),((V$7-$K54)/($L54-$K54)))</f>
        <v>#REF!</v>
      </c>
      <c r="X54" s="201" t="e">
        <f t="array" ref="X54">_xlfn.IFS(AND($K54&gt;W$7,$L54&gt;W$7),0,AND($K54&lt;=W$7,$L54&lt;=W$7),1,AND($K54&lt;=W$7,$L54&gt;W$7),((W$7-$K54)/($L54-$K54)))</f>
        <v>#REF!</v>
      </c>
      <c r="Y54" s="201" t="e">
        <f t="array" ref="Y54">_xlfn.IFS(AND($K54&gt;X$7,$L54&gt;X$7),0,AND($K54&lt;=X$7,$L54&lt;=X$7),1,AND($K54&lt;=X$7,$L54&gt;X$7),((X$7-$K54)/($L54-$K54)))</f>
        <v>#REF!</v>
      </c>
      <c r="Z54" s="201" t="e">
        <f t="array" ref="Z54">_xlfn.IFS(AND($K54&gt;Y$7,$L54&gt;Y$7),0,AND($K54&lt;=Y$7,$L54&lt;=Y$7),1,AND($K54&lt;=Y$7,$L54&gt;Y$7),((Y$7-$K54)/($L54-$K54)))</f>
        <v>#REF!</v>
      </c>
      <c r="AA54" s="201" t="e">
        <f t="array" ref="AA54">_xlfn.IFS(AND($K54&gt;Z$7,$L54&gt;Z$7),0,AND($K54&lt;=Z$7,$L54&lt;=Z$7),1,AND($K54&lt;=Z$7,$L54&gt;Z$7),((Z$7-$K54)/($L54-$K54)))</f>
        <v>#REF!</v>
      </c>
      <c r="AB54" s="201" t="e">
        <f t="array" ref="AB54">_xlfn.IFS(AND($K54&gt;AA$7,$L54&gt;AA$7),0,AND($K54&lt;=AA$7,$L54&lt;=AA$7),1,AND($K54&lt;=AA$7,$L54&gt;AA$7),((AA$7-$K54)/($L54-$K54)))</f>
        <v>#REF!</v>
      </c>
      <c r="AC54" s="201" t="e">
        <f t="array" ref="AC54">_xlfn.IFS(AND($K54&gt;AB$7,$L54&gt;AB$7),0,AND($K54&lt;=AB$7,$L54&lt;=AB$7),1,AND($K54&lt;=AB$7,$L54&gt;AB$7),((AB$7-$K54)/($L54-$K54)))</f>
        <v>#REF!</v>
      </c>
      <c r="AD54" s="201" t="e">
        <f t="array" ref="AD54">_xlfn.IFS(AND($K54&gt;AC$7,$L54&gt;AC$7),0,AND($K54&lt;=AC$7,$L54&lt;=AC$7),1,AND($K54&lt;=AC$7,$L54&gt;AC$7),((AC$7-$K54)/($L54-$K54)))</f>
        <v>#REF!</v>
      </c>
      <c r="AE54" s="201" t="e">
        <f t="array" ref="AE54">_xlfn.IFS(AND($K54&gt;AD$7,$L54&gt;AD$7),0,AND($K54&lt;=AD$7,$L54&lt;=AD$7),1,AND($K54&lt;=AD$7,$L54&gt;AD$7),((AD$7-$K54)/($L54-$K54)))</f>
        <v>#REF!</v>
      </c>
      <c r="AF54" s="201" t="e">
        <f t="array" ref="AF54">_xlfn.IFS(AND($K54&gt;AE$7,$L54&gt;AE$7),0,AND($K54&lt;=AE$7,$L54&lt;=AE$7),1,AND($K54&lt;=AE$7,$L54&gt;AE$7),((AE$7-$K54)/($L54-$K54)))</f>
        <v>#REF!</v>
      </c>
      <c r="AG54" s="201" t="e">
        <f t="array" ref="AG54">_xlfn.IFS(AND($K54&gt;AF$7,$L54&gt;AF$7),0,AND($K54&lt;=AF$7,$L54&lt;=AF$7),1,AND($K54&lt;=AF$7,$L54&gt;AF$7),((AF$7-$K54)/($L54-$K54)))</f>
        <v>#REF!</v>
      </c>
      <c r="AH54" s="201" t="e">
        <f t="array" ref="AH54">_xlfn.IFS(AND($K54&gt;AG$7,$L54&gt;AG$7),0,AND($K54&lt;=AG$7,$L54&lt;=AG$7),1,AND($K54&lt;=AG$7,$L54&gt;AG$7),((AG$7-$K54)/($L54-$K54)))</f>
        <v>#REF!</v>
      </c>
      <c r="AI54" s="201" t="e">
        <f t="array" ref="AI54">_xlfn.IFS(AND($K54&gt;AH$7,$L54&gt;AH$7),0,AND($K54&lt;=AH$7,$L54&lt;=AH$7),1,AND($K54&lt;=AH$7,$L54&gt;AH$7),((AH$7-$K54)/($L54-$K54)))</f>
        <v>#REF!</v>
      </c>
      <c r="AJ54" s="201" t="e">
        <f t="array" ref="AJ54">_xlfn.IFS(AND($K54&gt;AI$7,$L54&gt;AI$7),0,AND($K54&lt;=AI$7,$L54&lt;=AI$7),1,AND($K54&lt;=AI$7,$L54&gt;AI$7),((AI$7-$K54)/($L54-$K54)))</f>
        <v>#REF!</v>
      </c>
      <c r="AK54" s="201" t="e">
        <f t="array" ref="AK54">_xlfn.IFS(AND($K54&gt;AJ$7,$L54&gt;AJ$7),0,AND($K54&lt;=AJ$7,$L54&lt;=AJ$7),1,AND($K54&lt;=AJ$7,$L54&gt;AJ$7),((AJ$7-$K54)/($L54-$K54)))</f>
        <v>#REF!</v>
      </c>
      <c r="AL54" s="201" t="e">
        <f t="array" ref="AL54">_xlfn.IFS(AND($K54&gt;AK$7,$L54&gt;AK$7),0,AND($K54&lt;=AK$7,$L54&lt;=AK$7),1,AND($K54&lt;=AK$7,$L54&gt;AK$7),((AK$7-$K54)/($L54-$K54)))</f>
        <v>#REF!</v>
      </c>
      <c r="AM54" s="201" t="e">
        <f t="array" ref="AM54">_xlfn.IFS(AND($K54&gt;AL$7,$L54&gt;AL$7),0,AND($K54&lt;=AL$7,$L54&lt;=AL$7),1,AND($K54&lt;=AL$7,$L54&gt;AL$7),((AL$7-$K54)/($L54-$K54)))</f>
        <v>#REF!</v>
      </c>
      <c r="AN54" s="201" t="e">
        <f t="array" ref="AN54">_xlfn.IFS(AND($K54&gt;AM$7,$L54&gt;AM$7),0,AND($K54&lt;=AM$7,$L54&lt;=AM$7),1,AND($K54&lt;=AM$7,$L54&gt;AM$7),((AM$7-$K54)/($L54-$K54)))</f>
        <v>#REF!</v>
      </c>
      <c r="AO54" s="201" t="e">
        <f t="array" ref="AO54">_xlfn.IFS(AND($K54&gt;AN$7,$L54&gt;AN$7),0,AND($K54&lt;=AN$7,$L54&lt;=AN$7),1,AND($K54&lt;=AN$7,$L54&gt;AN$7),((AN$7-$K54)/($L54-$K54)))</f>
        <v>#REF!</v>
      </c>
      <c r="AP54" s="201" t="e">
        <f t="array" ref="AP54">_xlfn.IFS(AND($K54&gt;AO$7,$L54&gt;AO$7),0,AND($K54&lt;=AO$7,$L54&lt;=AO$7),1,AND($K54&lt;=AO$7,$L54&gt;AO$7),((AO$7-$K54)/($L54-$K54)))</f>
        <v>#REF!</v>
      </c>
      <c r="AQ54" s="201" t="e">
        <f t="array" ref="AQ54">_xlfn.IFS(AND($K54&gt;AP$7,$L54&gt;AP$7),0,AND($K54&lt;=AP$7,$L54&lt;=AP$7),1,AND($K54&lt;=AP$7,$L54&gt;AP$7),((AP$7-$K54)/($L54-$K54)))</f>
        <v>#REF!</v>
      </c>
      <c r="AR54" s="201" t="e">
        <f t="array" ref="AR54">_xlfn.IFS(AND($K54&gt;AQ$7,$L54&gt;AQ$7),0,AND($K54&lt;=AQ$7,$L54&lt;=AQ$7),1,AND($K54&lt;=AQ$7,$L54&gt;AQ$7),((AQ$7-$K54)/($L54-$K54)))</f>
        <v>#REF!</v>
      </c>
      <c r="AS54" s="201" t="e">
        <f t="array" ref="AS54">_xlfn.IFS(AND($K54&gt;AR$7,$L54&gt;AR$7),0,AND($K54&lt;=AR$7,$L54&lt;=AR$7),1,AND($K54&lt;=AR$7,$L54&gt;AR$7),((AR$7-$K54)/($L54-$K54)))</f>
        <v>#REF!</v>
      </c>
      <c r="AT54" s="201" t="e">
        <f t="array" ref="AT54">_xlfn.IFS(AND($K54&gt;AS$7,$L54&gt;AS$7),0,AND($K54&lt;=AS$7,$L54&lt;=AS$7),1,AND($K54&lt;=AS$7,$L54&gt;AS$7),((AS$7-$K54)/($L54-$K54)))</f>
        <v>#REF!</v>
      </c>
      <c r="AU54" s="201" t="e">
        <f t="array" ref="AU54">_xlfn.IFS(AND($K54&gt;AT$7,$L54&gt;AT$7),0,AND($K54&lt;=AT$7,$L54&lt;=AT$7),1,AND($K54&lt;=AT$7,$L54&gt;AT$7),((AT$7-$K54)/($L54-$K54)))</f>
        <v>#REF!</v>
      </c>
      <c r="AV54" s="201" t="e">
        <f t="array" ref="AV54">_xlfn.IFS(AND($K54&gt;AU$7,$L54&gt;AU$7),0,AND($K54&lt;=AU$7,$L54&lt;=AU$7),1,AND($K54&lt;=AU$7,$L54&gt;AU$7),((AU$7-$K54)/($L54-$K54)))</f>
        <v>#REF!</v>
      </c>
      <c r="AW54" s="201" t="e">
        <f t="array" ref="AW54">_xlfn.IFS(AND($K54&gt;AV$7,$L54&gt;AV$7),0,AND($K54&lt;=AV$7,$L54&lt;=AV$7),1,AND($K54&lt;=AV$7,$L54&gt;AV$7),((AV$7-$K54)/($L54-$K54)))</f>
        <v>#REF!</v>
      </c>
      <c r="AX54" s="201" t="e">
        <f t="array" ref="AX54">_xlfn.IFS(AND($K54&gt;AW$7,$L54&gt;AW$7),0,AND($K54&lt;=AW$7,$L54&lt;=AW$7),1,AND($K54&lt;=AW$7,$L54&gt;AW$7),((AW$7-$K54)/($L54-$K54)))</f>
        <v>#REF!</v>
      </c>
      <c r="AY54" s="201" t="e">
        <f t="array" ref="AY54">_xlfn.IFS(AND($K54&gt;AX$7,$L54&gt;AX$7),0,AND($K54&lt;=AX$7,$L54&lt;=AX$7),1,AND($K54&lt;=AX$7,$L54&gt;AX$7),((AX$7-$K54)/($L54-$K54)))</f>
        <v>#REF!</v>
      </c>
      <c r="AZ54" s="201" t="e">
        <f t="array" ref="AZ54">_xlfn.IFS(AND($K54&gt;AY$7,$L54&gt;AY$7),0,AND($K54&lt;=AY$7,$L54&lt;=AY$7),1,AND($K54&lt;=AY$7,$L54&gt;AY$7),((AY$7-$K54)/($L54-$K54)))</f>
        <v>#REF!</v>
      </c>
      <c r="BA54" s="201" t="e">
        <f t="array" ref="BA54">_xlfn.IFS(AND($K54&gt;AZ$7,$L54&gt;AZ$7),0,AND($K54&lt;=AZ$7,$L54&lt;=AZ$7),1,AND($K54&lt;=AZ$7,$L54&gt;AZ$7),((AZ$7-$K54)/($L54-$K54)))</f>
        <v>#REF!</v>
      </c>
      <c r="BB54" s="201" t="e">
        <f t="array" ref="BB54">_xlfn.IFS(AND($K54&gt;BA$7,$L54&gt;BA$7),0,AND($K54&lt;=BA$7,$L54&lt;=BA$7),1,AND($K54&lt;=BA$7,$L54&gt;BA$7),((BA$7-$K54)/($L54-$K54)))</f>
        <v>#REF!</v>
      </c>
      <c r="BC54" s="201" t="e">
        <f t="array" ref="BC54">_xlfn.IFS(AND($K54&gt;BB$7,$L54&gt;BB$7),0,AND($K54&lt;=BB$7,$L54&lt;=BB$7),1,AND($K54&lt;=BB$7,$L54&gt;BB$7),((BB$7-$K54)/($L54-$K54)))</f>
        <v>#REF!</v>
      </c>
      <c r="BD54" s="201" t="e">
        <f t="array" ref="BD54">_xlfn.IFS(AND($K54&gt;BC$7,$L54&gt;BC$7),0,AND($K54&lt;=BC$7,$L54&lt;=BC$7),1,AND($K54&lt;=BC$7,$L54&gt;BC$7),((BC$7-$K54)/($L54-$K54)))</f>
        <v>#REF!</v>
      </c>
      <c r="BE54" s="201" t="e">
        <f t="array" ref="BE54">_xlfn.IFS(AND($K54&gt;BD$7,$L54&gt;BD$7),0,AND($K54&lt;=BD$7,$L54&lt;=BD$7),1,AND($K54&lt;=BD$7,$L54&gt;BD$7),((BD$7-$K54)/($L54-$K54)))</f>
        <v>#REF!</v>
      </c>
      <c r="BF54" s="201" t="e">
        <f t="array" ref="BF54">_xlfn.IFS(AND($K54&gt;BE$7,$L54&gt;BE$7),0,AND($K54&lt;=BE$7,$L54&lt;=BE$7),1,AND($K54&lt;=BE$7,$L54&gt;BE$7),((BE$7-$K54)/($L54-$K54)))</f>
        <v>#REF!</v>
      </c>
      <c r="BG54" s="201" t="e">
        <f t="array" ref="BG54">_xlfn.IFS(AND($K54&gt;BF$7,$L54&gt;BF$7),0,AND($K54&lt;=BF$7,$L54&lt;=BF$7),1,AND($K54&lt;=BF$7,$L54&gt;BF$7),((BF$7-$K54)/($L54-$K54)))</f>
        <v>#REF!</v>
      </c>
      <c r="BH54" s="201" t="e">
        <f t="array" ref="BH54">_xlfn.IFS(AND($K54&gt;BG$7,$L54&gt;BG$7),0,AND($K54&lt;=BG$7,$L54&lt;=BG$7),1,AND($K54&lt;=BG$7,$L54&gt;BG$7),((BG$7-$K54)/($L54-$K54)))</f>
        <v>#REF!</v>
      </c>
      <c r="BI54" s="201" t="e">
        <f t="array" ref="BI54">_xlfn.IFS(AND($K54&gt;BH$7,$L54&gt;BH$7),0,AND($K54&lt;=BH$7,$L54&lt;=BH$7),1,AND($K54&lt;=BH$7,$L54&gt;BH$7),((BH$7-$K54)/($L54-$K54)))</f>
        <v>#REF!</v>
      </c>
      <c r="BJ54" s="201" t="e">
        <f t="array" ref="BJ54">_xlfn.IFS(AND($K54&gt;BI$7,$L54&gt;BI$7),0,AND($K54&lt;=BI$7,$L54&lt;=BI$7),1,AND($K54&lt;=BI$7,$L54&gt;BI$7),((BI$7-$K54)/($L54-$K54)))</f>
        <v>#REF!</v>
      </c>
      <c r="BK54" s="201" t="e">
        <f t="array" ref="BK54">_xlfn.IFS(AND($K54&gt;BJ$7,$L54&gt;BJ$7),0,AND($K54&lt;=BJ$7,$L54&lt;=BJ$7),1,AND($K54&lt;=BJ$7,$L54&gt;BJ$7),((BJ$7-$K54)/($L54-$K54)))</f>
        <v>#REF!</v>
      </c>
      <c r="BL54" s="201" t="e">
        <f t="array" ref="BL54">_xlfn.IFS(AND($K54&gt;BK$7,$L54&gt;BK$7),0,AND($K54&lt;=BK$7,$L54&lt;=BK$7),1,AND($K54&lt;=BK$7,$L54&gt;BK$7),((BK$7-$K54)/($L54-$K54)))</f>
        <v>#REF!</v>
      </c>
      <c r="BM54" s="201" t="e">
        <f t="array" ref="BM54">_xlfn.IFS(AND($K54&gt;BL$7,$L54&gt;BL$7),0,AND($K54&lt;=BL$7,$L54&lt;=BL$7),1,AND($K54&lt;=BL$7,$L54&gt;BL$7),((BL$7-$K54)/($L54-$K54)))</f>
        <v>#REF!</v>
      </c>
      <c r="BN54" s="201" t="e">
        <f t="array" ref="BN54">_xlfn.IFS(AND($K54&gt;BM$7,$L54&gt;BM$7),0,AND($K54&lt;=BM$7,$L54&lt;=BM$7),1,AND($K54&lt;=BM$7,$L54&gt;BM$7),((BM$7-$K54)/($L54-$K54)))</f>
        <v>#REF!</v>
      </c>
    </row>
    <row r="55" spans="2:66" ht="15" customHeight="1" x14ac:dyDescent="0.3">
      <c r="B55" s="166" t="str">
        <f t="array" ref="B55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55" s="166" t="s">
        <v>157</v>
      </c>
      <c r="D55" s="177"/>
      <c r="E55" s="170" t="str">
        <f t="shared" si="32"/>
        <v>Desenvolvimento da Transformação dos Processos</v>
      </c>
      <c r="F55" s="174" t="str">
        <f t="shared" si="35"/>
        <v>Diagnóstico de Maturidade do Processo</v>
      </c>
      <c r="G55" s="166" t="str">
        <f t="shared" si="38"/>
        <v>Diagnóstico de Maturidade do Processo</v>
      </c>
      <c r="H55" s="197" t="s">
        <v>158</v>
      </c>
      <c r="I55" s="166">
        <v>45810</v>
      </c>
      <c r="J55" s="40">
        <v>45814</v>
      </c>
      <c r="K55" s="166">
        <v>45810</v>
      </c>
      <c r="L55" s="40">
        <v>45814</v>
      </c>
      <c r="M55" s="167"/>
      <c r="N55" s="167" t="str">
        <f t="array" ref="N55">_xlfn.IFS(L55&lt;$M$3,"Concluído",AND(K55&gt;=$M$3,I55&lt;$M$3,L55&gt;$M$3),"Em andamento",AND(L55&gt;=$M$3,J55&lt;$M$3),"Atrasado",AND(L55&gt;=$M$3,J55&gt;=$M$3,I55&gt;$M$3,K55&lt;=$M$3),"Em andamento",AND(L55&gt;=$M$3,J55&gt;=$M$3,I55&lt;=$M$3,K55&lt;=$M$3),"Em andamento",AND(K55&gt;$M$3,I55&gt;$M$3),"Não iniciado",AND(L55&gt;=$M$3,J55&gt;=$M$3,K55&gt;=$M$3,I55&lt;$M$3),"Atrasado",AND(L55&gt;=$M$3,J55&gt;=$M$3,K55&gt;=$M$3,I55&gt;$M$3),"Não iniciado",AND($I55&lt;=$M$3,$K55&gt;$M$3),"Atrasado")</f>
        <v>Concluído</v>
      </c>
      <c r="O55" s="167">
        <f t="array" ref="O55">_xlfn.IFS(N55="Não iniciado",0,N55="Em andamento",1,N55="Concluído",2,N55="Atrasado",3)</f>
        <v>2</v>
      </c>
      <c r="P55" s="169"/>
      <c r="Q55" s="152">
        <f t="array" aca="1" ref="Q55" ca="1">_xlfn.IFS(AND($I55&lt;$N$3,$J55&lt;$N$3),1,AND($I55&lt;=$N$3,$J55&gt;=$N$3),0.5,AND($I55&gt;=$N$3,$J55&gt;=$N$3),0)</f>
        <v>1</v>
      </c>
      <c r="R55" s="152">
        <f t="array" aca="1" ref="R55" ca="1">_xlfn.IFS(AND($K55&lt;$N$3,$L55&lt;$N$3),1,AND($K55&lt;=$N$3,$L55&gt;=$N$3),0.5,AND($K55&gt;=$N$3,$L55&gt;=$N$3),0)</f>
        <v>1</v>
      </c>
      <c r="S55" s="201" t="e">
        <f t="array" ref="S55">_xlfn.IFS(AND($K55&gt;R$7,$L55&gt;R$7),0,AND($K55&lt;=R$7,$L55&lt;=R$7),1,AND($K55&lt;=R$7,$L55&gt;R$7),((R$7-$K55)/($L55-$K55)))</f>
        <v>#REF!</v>
      </c>
      <c r="T55" s="201" t="e">
        <f t="array" ref="T55">_xlfn.IFS(AND($K55&gt;S$7,$L55&gt;S$7),0,AND($K55&lt;=S$7,$L55&lt;=S$7),1,AND($K55&lt;=S$7,$L55&gt;S$7),((S$7-$K55)/($L55-$K55)))</f>
        <v>#REF!</v>
      </c>
      <c r="U55" s="201" t="e">
        <f t="array" ref="U55">_xlfn.IFS(AND($K55&gt;T$7,$L55&gt;T$7),0,AND($K55&lt;=T$7,$L55&lt;=T$7),1,AND($K55&lt;=T$7,$L55&gt;T$7),((T$7-$K55)/($L55-$K55)))</f>
        <v>#REF!</v>
      </c>
      <c r="V55" s="201" t="e">
        <f t="array" ref="V55">_xlfn.IFS(AND($K55&gt;U$7,$L55&gt;U$7),0,AND($K55&lt;=U$7,$L55&lt;=U$7),1,AND($K55&lt;=U$7,$L55&gt;U$7),((U$7-$K55)/($L55-$K55)))</f>
        <v>#REF!</v>
      </c>
      <c r="W55" s="201" t="e">
        <f t="array" ref="W55">_xlfn.IFS(AND($K55&gt;V$7,$L55&gt;V$7),0,AND($K55&lt;=V$7,$L55&lt;=V$7),1,AND($K55&lt;=V$7,$L55&gt;V$7),((V$7-$K55)/($L55-$K55)))</f>
        <v>#REF!</v>
      </c>
      <c r="X55" s="201" t="e">
        <f t="array" ref="X55">_xlfn.IFS(AND($K55&gt;W$7,$L55&gt;W$7),0,AND($K55&lt;=W$7,$L55&lt;=W$7),1,AND($K55&lt;=W$7,$L55&gt;W$7),((W$7-$K55)/($L55-$K55)))</f>
        <v>#REF!</v>
      </c>
      <c r="Y55" s="201" t="e">
        <f t="array" ref="Y55">_xlfn.IFS(AND($K55&gt;X$7,$L55&gt;X$7),0,AND($K55&lt;=X$7,$L55&lt;=X$7),1,AND($K55&lt;=X$7,$L55&gt;X$7),((X$7-$K55)/($L55-$K55)))</f>
        <v>#REF!</v>
      </c>
      <c r="Z55" s="201" t="e">
        <f t="array" ref="Z55">_xlfn.IFS(AND($K55&gt;Y$7,$L55&gt;Y$7),0,AND($K55&lt;=Y$7,$L55&lt;=Y$7),1,AND($K55&lt;=Y$7,$L55&gt;Y$7),((Y$7-$K55)/($L55-$K55)))</f>
        <v>#REF!</v>
      </c>
      <c r="AA55" s="201" t="e">
        <f t="array" ref="AA55">_xlfn.IFS(AND($K55&gt;Z$7,$L55&gt;Z$7),0,AND($K55&lt;=Z$7,$L55&lt;=Z$7),1,AND($K55&lt;=Z$7,$L55&gt;Z$7),((Z$7-$K55)/($L55-$K55)))</f>
        <v>#REF!</v>
      </c>
      <c r="AB55" s="201" t="e">
        <f t="array" ref="AB55">_xlfn.IFS(AND($K55&gt;AA$7,$L55&gt;AA$7),0,AND($K55&lt;=AA$7,$L55&lt;=AA$7),1,AND($K55&lt;=AA$7,$L55&gt;AA$7),((AA$7-$K55)/($L55-$K55)))</f>
        <v>#REF!</v>
      </c>
      <c r="AC55" s="201" t="e">
        <f t="array" ref="AC55">_xlfn.IFS(AND($K55&gt;AB$7,$L55&gt;AB$7),0,AND($K55&lt;=AB$7,$L55&lt;=AB$7),1,AND($K55&lt;=AB$7,$L55&gt;AB$7),((AB$7-$K55)/($L55-$K55)))</f>
        <v>#REF!</v>
      </c>
      <c r="AD55" s="201" t="e">
        <f t="array" ref="AD55">_xlfn.IFS(AND($K55&gt;AC$7,$L55&gt;AC$7),0,AND($K55&lt;=AC$7,$L55&lt;=AC$7),1,AND($K55&lt;=AC$7,$L55&gt;AC$7),((AC$7-$K55)/($L55-$K55)))</f>
        <v>#REF!</v>
      </c>
      <c r="AE55" s="201" t="e">
        <f t="array" ref="AE55">_xlfn.IFS(AND($K55&gt;AD$7,$L55&gt;AD$7),0,AND($K55&lt;=AD$7,$L55&lt;=AD$7),1,AND($K55&lt;=AD$7,$L55&gt;AD$7),((AD$7-$K55)/($L55-$K55)))</f>
        <v>#REF!</v>
      </c>
      <c r="AF55" s="201" t="e">
        <f t="array" ref="AF55">_xlfn.IFS(AND($K55&gt;AE$7,$L55&gt;AE$7),0,AND($K55&lt;=AE$7,$L55&lt;=AE$7),1,AND($K55&lt;=AE$7,$L55&gt;AE$7),((AE$7-$K55)/($L55-$K55)))</f>
        <v>#REF!</v>
      </c>
      <c r="AG55" s="201" t="e">
        <f t="array" ref="AG55">_xlfn.IFS(AND($K55&gt;AF$7,$L55&gt;AF$7),0,AND($K55&lt;=AF$7,$L55&lt;=AF$7),1,AND($K55&lt;=AF$7,$L55&gt;AF$7),((AF$7-$K55)/($L55-$K55)))</f>
        <v>#REF!</v>
      </c>
      <c r="AH55" s="201" t="e">
        <f t="array" ref="AH55">_xlfn.IFS(AND($K55&gt;AG$7,$L55&gt;AG$7),0,AND($K55&lt;=AG$7,$L55&lt;=AG$7),1,AND($K55&lt;=AG$7,$L55&gt;AG$7),((AG$7-$K55)/($L55-$K55)))</f>
        <v>#REF!</v>
      </c>
      <c r="AI55" s="201" t="e">
        <f t="array" ref="AI55">_xlfn.IFS(AND($K55&gt;AH$7,$L55&gt;AH$7),0,AND($K55&lt;=AH$7,$L55&lt;=AH$7),1,AND($K55&lt;=AH$7,$L55&gt;AH$7),((AH$7-$K55)/($L55-$K55)))</f>
        <v>#REF!</v>
      </c>
      <c r="AJ55" s="201" t="e">
        <f t="array" ref="AJ55">_xlfn.IFS(AND($K55&gt;AI$7,$L55&gt;AI$7),0,AND($K55&lt;=AI$7,$L55&lt;=AI$7),1,AND($K55&lt;=AI$7,$L55&gt;AI$7),((AI$7-$K55)/($L55-$K55)))</f>
        <v>#REF!</v>
      </c>
      <c r="AK55" s="201" t="e">
        <f t="array" ref="AK55">_xlfn.IFS(AND($K55&gt;AJ$7,$L55&gt;AJ$7),0,AND($K55&lt;=AJ$7,$L55&lt;=AJ$7),1,AND($K55&lt;=AJ$7,$L55&gt;AJ$7),((AJ$7-$K55)/($L55-$K55)))</f>
        <v>#REF!</v>
      </c>
      <c r="AL55" s="201" t="e">
        <f t="array" ref="AL55">_xlfn.IFS(AND($K55&gt;AK$7,$L55&gt;AK$7),0,AND($K55&lt;=AK$7,$L55&lt;=AK$7),1,AND($K55&lt;=AK$7,$L55&gt;AK$7),((AK$7-$K55)/($L55-$K55)))</f>
        <v>#REF!</v>
      </c>
      <c r="AM55" s="201" t="e">
        <f t="array" ref="AM55">_xlfn.IFS(AND($K55&gt;AL$7,$L55&gt;AL$7),0,AND($K55&lt;=AL$7,$L55&lt;=AL$7),1,AND($K55&lt;=AL$7,$L55&gt;AL$7),((AL$7-$K55)/($L55-$K55)))</f>
        <v>#REF!</v>
      </c>
      <c r="AN55" s="201" t="e">
        <f t="array" ref="AN55">_xlfn.IFS(AND($K55&gt;AM$7,$L55&gt;AM$7),0,AND($K55&lt;=AM$7,$L55&lt;=AM$7),1,AND($K55&lt;=AM$7,$L55&gt;AM$7),((AM$7-$K55)/($L55-$K55)))</f>
        <v>#REF!</v>
      </c>
      <c r="AO55" s="201" t="e">
        <f t="array" ref="AO55">_xlfn.IFS(AND($K55&gt;AN$7,$L55&gt;AN$7),0,AND($K55&lt;=AN$7,$L55&lt;=AN$7),1,AND($K55&lt;=AN$7,$L55&gt;AN$7),((AN$7-$K55)/($L55-$K55)))</f>
        <v>#REF!</v>
      </c>
      <c r="AP55" s="201" t="e">
        <f t="array" ref="AP55">_xlfn.IFS(AND($K55&gt;AO$7,$L55&gt;AO$7),0,AND($K55&lt;=AO$7,$L55&lt;=AO$7),1,AND($K55&lt;=AO$7,$L55&gt;AO$7),((AO$7-$K55)/($L55-$K55)))</f>
        <v>#REF!</v>
      </c>
      <c r="AQ55" s="201" t="e">
        <f t="array" ref="AQ55">_xlfn.IFS(AND($K55&gt;AP$7,$L55&gt;AP$7),0,AND($K55&lt;=AP$7,$L55&lt;=AP$7),1,AND($K55&lt;=AP$7,$L55&gt;AP$7),((AP$7-$K55)/($L55-$K55)))</f>
        <v>#REF!</v>
      </c>
      <c r="AR55" s="201" t="e">
        <f t="array" ref="AR55">_xlfn.IFS(AND($K55&gt;AQ$7,$L55&gt;AQ$7),0,AND($K55&lt;=AQ$7,$L55&lt;=AQ$7),1,AND($K55&lt;=AQ$7,$L55&gt;AQ$7),((AQ$7-$K55)/($L55-$K55)))</f>
        <v>#REF!</v>
      </c>
      <c r="AS55" s="201" t="e">
        <f t="array" ref="AS55">_xlfn.IFS(AND($K55&gt;AR$7,$L55&gt;AR$7),0,AND($K55&lt;=AR$7,$L55&lt;=AR$7),1,AND($K55&lt;=AR$7,$L55&gt;AR$7),((AR$7-$K55)/($L55-$K55)))</f>
        <v>#REF!</v>
      </c>
      <c r="AT55" s="201" t="e">
        <f t="array" ref="AT55">_xlfn.IFS(AND($K55&gt;AS$7,$L55&gt;AS$7),0,AND($K55&lt;=AS$7,$L55&lt;=AS$7),1,AND($K55&lt;=AS$7,$L55&gt;AS$7),((AS$7-$K55)/($L55-$K55)))</f>
        <v>#REF!</v>
      </c>
      <c r="AU55" s="201" t="e">
        <f t="array" ref="AU55">_xlfn.IFS(AND($K55&gt;AT$7,$L55&gt;AT$7),0,AND($K55&lt;=AT$7,$L55&lt;=AT$7),1,AND($K55&lt;=AT$7,$L55&gt;AT$7),((AT$7-$K55)/($L55-$K55)))</f>
        <v>#REF!</v>
      </c>
      <c r="AV55" s="201" t="e">
        <f t="array" ref="AV55">_xlfn.IFS(AND($K55&gt;AU$7,$L55&gt;AU$7),0,AND($K55&lt;=AU$7,$L55&lt;=AU$7),1,AND($K55&lt;=AU$7,$L55&gt;AU$7),((AU$7-$K55)/($L55-$K55)))</f>
        <v>#REF!</v>
      </c>
      <c r="AW55" s="201" t="e">
        <f t="array" ref="AW55">_xlfn.IFS(AND($K55&gt;AV$7,$L55&gt;AV$7),0,AND($K55&lt;=AV$7,$L55&lt;=AV$7),1,AND($K55&lt;=AV$7,$L55&gt;AV$7),((AV$7-$K55)/($L55-$K55)))</f>
        <v>#REF!</v>
      </c>
      <c r="AX55" s="201" t="e">
        <f t="array" ref="AX55">_xlfn.IFS(AND($K55&gt;AW$7,$L55&gt;AW$7),0,AND($K55&lt;=AW$7,$L55&lt;=AW$7),1,AND($K55&lt;=AW$7,$L55&gt;AW$7),((AW$7-$K55)/($L55-$K55)))</f>
        <v>#REF!</v>
      </c>
      <c r="AY55" s="201" t="e">
        <f t="array" ref="AY55">_xlfn.IFS(AND($K55&gt;AX$7,$L55&gt;AX$7),0,AND($K55&lt;=AX$7,$L55&lt;=AX$7),1,AND($K55&lt;=AX$7,$L55&gt;AX$7),((AX$7-$K55)/($L55-$K55)))</f>
        <v>#REF!</v>
      </c>
      <c r="AZ55" s="201" t="e">
        <f t="array" ref="AZ55">_xlfn.IFS(AND($K55&gt;AY$7,$L55&gt;AY$7),0,AND($K55&lt;=AY$7,$L55&lt;=AY$7),1,AND($K55&lt;=AY$7,$L55&gt;AY$7),((AY$7-$K55)/($L55-$K55)))</f>
        <v>#REF!</v>
      </c>
      <c r="BA55" s="201" t="e">
        <f t="array" ref="BA55">_xlfn.IFS(AND($K55&gt;AZ$7,$L55&gt;AZ$7),0,AND($K55&lt;=AZ$7,$L55&lt;=AZ$7),1,AND($K55&lt;=AZ$7,$L55&gt;AZ$7),((AZ$7-$K55)/($L55-$K55)))</f>
        <v>#REF!</v>
      </c>
      <c r="BB55" s="201" t="e">
        <f t="array" ref="BB55">_xlfn.IFS(AND($K55&gt;BA$7,$L55&gt;BA$7),0,AND($K55&lt;=BA$7,$L55&lt;=BA$7),1,AND($K55&lt;=BA$7,$L55&gt;BA$7),((BA$7-$K55)/($L55-$K55)))</f>
        <v>#REF!</v>
      </c>
      <c r="BC55" s="201" t="e">
        <f t="array" ref="BC55">_xlfn.IFS(AND($K55&gt;BB$7,$L55&gt;BB$7),0,AND($K55&lt;=BB$7,$L55&lt;=BB$7),1,AND($K55&lt;=BB$7,$L55&gt;BB$7),((BB$7-$K55)/($L55-$K55)))</f>
        <v>#REF!</v>
      </c>
      <c r="BD55" s="201" t="e">
        <f t="array" ref="BD55">_xlfn.IFS(AND($K55&gt;BC$7,$L55&gt;BC$7),0,AND($K55&lt;=BC$7,$L55&lt;=BC$7),1,AND($K55&lt;=BC$7,$L55&gt;BC$7),((BC$7-$K55)/($L55-$K55)))</f>
        <v>#REF!</v>
      </c>
      <c r="BE55" s="201" t="e">
        <f t="array" ref="BE55">_xlfn.IFS(AND($K55&gt;BD$7,$L55&gt;BD$7),0,AND($K55&lt;=BD$7,$L55&lt;=BD$7),1,AND($K55&lt;=BD$7,$L55&gt;BD$7),((BD$7-$K55)/($L55-$K55)))</f>
        <v>#REF!</v>
      </c>
      <c r="BF55" s="201" t="e">
        <f t="array" ref="BF55">_xlfn.IFS(AND($K55&gt;BE$7,$L55&gt;BE$7),0,AND($K55&lt;=BE$7,$L55&lt;=BE$7),1,AND($K55&lt;=BE$7,$L55&gt;BE$7),((BE$7-$K55)/($L55-$K55)))</f>
        <v>#REF!</v>
      </c>
      <c r="BG55" s="201" t="e">
        <f t="array" ref="BG55">_xlfn.IFS(AND($K55&gt;BF$7,$L55&gt;BF$7),0,AND($K55&lt;=BF$7,$L55&lt;=BF$7),1,AND($K55&lt;=BF$7,$L55&gt;BF$7),((BF$7-$K55)/($L55-$K55)))</f>
        <v>#REF!</v>
      </c>
      <c r="BH55" s="201" t="e">
        <f t="array" ref="BH55">_xlfn.IFS(AND($K55&gt;BG$7,$L55&gt;BG$7),0,AND($K55&lt;=BG$7,$L55&lt;=BG$7),1,AND($K55&lt;=BG$7,$L55&gt;BG$7),((BG$7-$K55)/($L55-$K55)))</f>
        <v>#REF!</v>
      </c>
      <c r="BI55" s="201" t="e">
        <f t="array" ref="BI55">_xlfn.IFS(AND($K55&gt;BH$7,$L55&gt;BH$7),0,AND($K55&lt;=BH$7,$L55&lt;=BH$7),1,AND($K55&lt;=BH$7,$L55&gt;BH$7),((BH$7-$K55)/($L55-$K55)))</f>
        <v>#REF!</v>
      </c>
      <c r="BJ55" s="201" t="e">
        <f t="array" ref="BJ55">_xlfn.IFS(AND($K55&gt;BI$7,$L55&gt;BI$7),0,AND($K55&lt;=BI$7,$L55&lt;=BI$7),1,AND($K55&lt;=BI$7,$L55&gt;BI$7),((BI$7-$K55)/($L55-$K55)))</f>
        <v>#REF!</v>
      </c>
      <c r="BK55" s="201" t="e">
        <f t="array" ref="BK55">_xlfn.IFS(AND($K55&gt;BJ$7,$L55&gt;BJ$7),0,AND($K55&lt;=BJ$7,$L55&lt;=BJ$7),1,AND($K55&lt;=BJ$7,$L55&gt;BJ$7),((BJ$7-$K55)/($L55-$K55)))</f>
        <v>#REF!</v>
      </c>
      <c r="BL55" s="201" t="e">
        <f t="array" ref="BL55">_xlfn.IFS(AND($K55&gt;BK$7,$L55&gt;BK$7),0,AND($K55&lt;=BK$7,$L55&lt;=BK$7),1,AND($K55&lt;=BK$7,$L55&gt;BK$7),((BK$7-$K55)/($L55-$K55)))</f>
        <v>#REF!</v>
      </c>
      <c r="BM55" s="201" t="e">
        <f t="array" ref="BM55">_xlfn.IFS(AND($K55&gt;BL$7,$L55&gt;BL$7),0,AND($K55&lt;=BL$7,$L55&lt;=BL$7),1,AND($K55&lt;=BL$7,$L55&gt;BL$7),((BL$7-$K55)/($L55-$K55)))</f>
        <v>#REF!</v>
      </c>
      <c r="BN55" s="201" t="e">
        <f t="array" ref="BN55">_xlfn.IFS(AND($K55&gt;BM$7,$L55&gt;BM$7),0,AND($K55&lt;=BM$7,$L55&lt;=BM$7),1,AND($K55&lt;=BM$7,$L55&gt;BM$7),((BM$7-$K55)/($L55-$K55)))</f>
        <v>#REF!</v>
      </c>
    </row>
    <row r="56" spans="2:66" ht="15" customHeight="1" x14ac:dyDescent="0.3">
      <c r="B56" s="166" t="str">
        <f t="array" ref="B56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56" s="166" t="s">
        <v>159</v>
      </c>
      <c r="D56" s="177"/>
      <c r="E56" s="170" t="str">
        <f t="shared" si="32"/>
        <v>Desenvolvimento da Transformação dos Processos</v>
      </c>
      <c r="F56" s="174" t="str">
        <f t="shared" si="35"/>
        <v>Diagnóstico de Maturidade do Processo</v>
      </c>
      <c r="G56" s="166" t="str">
        <f t="shared" si="38"/>
        <v>Diagnóstico de Maturidade do Processo</v>
      </c>
      <c r="H56" s="197" t="s">
        <v>160</v>
      </c>
      <c r="I56" s="166">
        <v>45810</v>
      </c>
      <c r="J56" s="40">
        <v>45814</v>
      </c>
      <c r="K56" s="166">
        <v>45810</v>
      </c>
      <c r="L56" s="40">
        <v>45814</v>
      </c>
      <c r="M56" s="167"/>
      <c r="N56" s="167" t="str">
        <f t="array" ref="N56">_xlfn.IFS(L56&lt;$M$3,"Concluído",AND(K56&gt;=$M$3,I56&lt;$M$3,L56&gt;$M$3),"Em andamento",AND(L56&gt;=$M$3,J56&lt;$M$3),"Atrasado",AND(L56&gt;=$M$3,J56&gt;=$M$3,I56&gt;$M$3,K56&lt;=$M$3),"Em andamento",AND(L56&gt;=$M$3,J56&gt;=$M$3,I56&lt;=$M$3,K56&lt;=$M$3),"Em andamento",AND(K56&gt;$M$3,I56&gt;$M$3),"Não iniciado",AND(L56&gt;=$M$3,J56&gt;=$M$3,K56&gt;=$M$3,I56&lt;$M$3),"Atrasado",AND(L56&gt;=$M$3,J56&gt;=$M$3,K56&gt;=$M$3,I56&gt;$M$3),"Não iniciado",AND($I56&lt;=$M$3,$K56&gt;$M$3),"Atrasado")</f>
        <v>Concluído</v>
      </c>
      <c r="O56" s="167">
        <f t="array" ref="O56">_xlfn.IFS(N56="Não iniciado",0,N56="Em andamento",1,N56="Concluído",2,N56="Atrasado",3)</f>
        <v>2</v>
      </c>
      <c r="P56" s="169"/>
      <c r="Q56" s="152">
        <f t="array" aca="1" ref="Q56" ca="1">_xlfn.IFS(AND($I56&lt;$N$3,$J56&lt;$N$3),1,AND($I56&lt;=$N$3,$J56&gt;=$N$3),0.5,AND($I56&gt;=$N$3,$J56&gt;=$N$3),0)</f>
        <v>1</v>
      </c>
      <c r="R56" s="152">
        <f t="array" aca="1" ref="R56" ca="1">_xlfn.IFS(AND($K56&lt;$N$3,$L56&lt;$N$3),1,AND($K56&lt;=$N$3,$L56&gt;=$N$3),0.5,AND($K56&gt;=$N$3,$L56&gt;=$N$3),0)</f>
        <v>1</v>
      </c>
      <c r="S56" s="201" t="e">
        <f t="array" ref="S56">_xlfn.IFS(AND($K56&gt;R$7,$L56&gt;R$7),0,AND($K56&lt;=R$7,$L56&lt;=R$7),1,AND($K56&lt;=R$7,$L56&gt;R$7),((R$7-$K56)/($L56-$K56)))</f>
        <v>#REF!</v>
      </c>
      <c r="T56" s="201" t="e">
        <f t="array" ref="T56">_xlfn.IFS(AND($K56&gt;S$7,$L56&gt;S$7),0,AND($K56&lt;=S$7,$L56&lt;=S$7),1,AND($K56&lt;=S$7,$L56&gt;S$7),((S$7-$K56)/($L56-$K56)))</f>
        <v>#REF!</v>
      </c>
      <c r="U56" s="201" t="e">
        <f t="array" ref="U56">_xlfn.IFS(AND($K56&gt;T$7,$L56&gt;T$7),0,AND($K56&lt;=T$7,$L56&lt;=T$7),1,AND($K56&lt;=T$7,$L56&gt;T$7),((T$7-$K56)/($L56-$K56)))</f>
        <v>#REF!</v>
      </c>
      <c r="V56" s="201" t="e">
        <f t="array" ref="V56">_xlfn.IFS(AND($K56&gt;U$7,$L56&gt;U$7),0,AND($K56&lt;=U$7,$L56&lt;=U$7),1,AND($K56&lt;=U$7,$L56&gt;U$7),((U$7-$K56)/($L56-$K56)))</f>
        <v>#REF!</v>
      </c>
      <c r="W56" s="201" t="e">
        <f t="array" ref="W56">_xlfn.IFS(AND($K56&gt;V$7,$L56&gt;V$7),0,AND($K56&lt;=V$7,$L56&lt;=V$7),1,AND($K56&lt;=V$7,$L56&gt;V$7),((V$7-$K56)/($L56-$K56)))</f>
        <v>#REF!</v>
      </c>
      <c r="X56" s="201" t="e">
        <f t="array" ref="X56">_xlfn.IFS(AND($K56&gt;W$7,$L56&gt;W$7),0,AND($K56&lt;=W$7,$L56&lt;=W$7),1,AND($K56&lt;=W$7,$L56&gt;W$7),((W$7-$K56)/($L56-$K56)))</f>
        <v>#REF!</v>
      </c>
      <c r="Y56" s="201" t="e">
        <f t="array" ref="Y56">_xlfn.IFS(AND($K56&gt;X$7,$L56&gt;X$7),0,AND($K56&lt;=X$7,$L56&lt;=X$7),1,AND($K56&lt;=X$7,$L56&gt;X$7),((X$7-$K56)/($L56-$K56)))</f>
        <v>#REF!</v>
      </c>
      <c r="Z56" s="201" t="e">
        <f t="array" ref="Z56">_xlfn.IFS(AND($K56&gt;Y$7,$L56&gt;Y$7),0,AND($K56&lt;=Y$7,$L56&lt;=Y$7),1,AND($K56&lt;=Y$7,$L56&gt;Y$7),((Y$7-$K56)/($L56-$K56)))</f>
        <v>#REF!</v>
      </c>
      <c r="AA56" s="201" t="e">
        <f t="array" ref="AA56">_xlfn.IFS(AND($K56&gt;Z$7,$L56&gt;Z$7),0,AND($K56&lt;=Z$7,$L56&lt;=Z$7),1,AND($K56&lt;=Z$7,$L56&gt;Z$7),((Z$7-$K56)/($L56-$K56)))</f>
        <v>#REF!</v>
      </c>
      <c r="AB56" s="201" t="e">
        <f t="array" ref="AB56">_xlfn.IFS(AND($K56&gt;AA$7,$L56&gt;AA$7),0,AND($K56&lt;=AA$7,$L56&lt;=AA$7),1,AND($K56&lt;=AA$7,$L56&gt;AA$7),((AA$7-$K56)/($L56-$K56)))</f>
        <v>#REF!</v>
      </c>
      <c r="AC56" s="201" t="e">
        <f t="array" ref="AC56">_xlfn.IFS(AND($K56&gt;AB$7,$L56&gt;AB$7),0,AND($K56&lt;=AB$7,$L56&lt;=AB$7),1,AND($K56&lt;=AB$7,$L56&gt;AB$7),((AB$7-$K56)/($L56-$K56)))</f>
        <v>#REF!</v>
      </c>
      <c r="AD56" s="201" t="e">
        <f t="array" ref="AD56">_xlfn.IFS(AND($K56&gt;AC$7,$L56&gt;AC$7),0,AND($K56&lt;=AC$7,$L56&lt;=AC$7),1,AND($K56&lt;=AC$7,$L56&gt;AC$7),((AC$7-$K56)/($L56-$K56)))</f>
        <v>#REF!</v>
      </c>
      <c r="AE56" s="201" t="e">
        <f t="array" ref="AE56">_xlfn.IFS(AND($K56&gt;AD$7,$L56&gt;AD$7),0,AND($K56&lt;=AD$7,$L56&lt;=AD$7),1,AND($K56&lt;=AD$7,$L56&gt;AD$7),((AD$7-$K56)/($L56-$K56)))</f>
        <v>#REF!</v>
      </c>
      <c r="AF56" s="201" t="e">
        <f t="array" ref="AF56">_xlfn.IFS(AND($K56&gt;AE$7,$L56&gt;AE$7),0,AND($K56&lt;=AE$7,$L56&lt;=AE$7),1,AND($K56&lt;=AE$7,$L56&gt;AE$7),((AE$7-$K56)/($L56-$K56)))</f>
        <v>#REF!</v>
      </c>
      <c r="AG56" s="201" t="e">
        <f t="array" ref="AG56">_xlfn.IFS(AND($K56&gt;AF$7,$L56&gt;AF$7),0,AND($K56&lt;=AF$7,$L56&lt;=AF$7),1,AND($K56&lt;=AF$7,$L56&gt;AF$7),((AF$7-$K56)/($L56-$K56)))</f>
        <v>#REF!</v>
      </c>
      <c r="AH56" s="201" t="e">
        <f t="array" ref="AH56">_xlfn.IFS(AND($K56&gt;AG$7,$L56&gt;AG$7),0,AND($K56&lt;=AG$7,$L56&lt;=AG$7),1,AND($K56&lt;=AG$7,$L56&gt;AG$7),((AG$7-$K56)/($L56-$K56)))</f>
        <v>#REF!</v>
      </c>
      <c r="AI56" s="201" t="e">
        <f t="array" ref="AI56">_xlfn.IFS(AND($K56&gt;AH$7,$L56&gt;AH$7),0,AND($K56&lt;=AH$7,$L56&lt;=AH$7),1,AND($K56&lt;=AH$7,$L56&gt;AH$7),((AH$7-$K56)/($L56-$K56)))</f>
        <v>#REF!</v>
      </c>
      <c r="AJ56" s="201" t="e">
        <f t="array" ref="AJ56">_xlfn.IFS(AND($K56&gt;AI$7,$L56&gt;AI$7),0,AND($K56&lt;=AI$7,$L56&lt;=AI$7),1,AND($K56&lt;=AI$7,$L56&gt;AI$7),((AI$7-$K56)/($L56-$K56)))</f>
        <v>#REF!</v>
      </c>
      <c r="AK56" s="201" t="e">
        <f t="array" ref="AK56">_xlfn.IFS(AND($K56&gt;AJ$7,$L56&gt;AJ$7),0,AND($K56&lt;=AJ$7,$L56&lt;=AJ$7),1,AND($K56&lt;=AJ$7,$L56&gt;AJ$7),((AJ$7-$K56)/($L56-$K56)))</f>
        <v>#REF!</v>
      </c>
      <c r="AL56" s="201" t="e">
        <f t="array" ref="AL56">_xlfn.IFS(AND($K56&gt;AK$7,$L56&gt;AK$7),0,AND($K56&lt;=AK$7,$L56&lt;=AK$7),1,AND($K56&lt;=AK$7,$L56&gt;AK$7),((AK$7-$K56)/($L56-$K56)))</f>
        <v>#REF!</v>
      </c>
      <c r="AM56" s="201" t="e">
        <f t="array" ref="AM56">_xlfn.IFS(AND($K56&gt;AL$7,$L56&gt;AL$7),0,AND($K56&lt;=AL$7,$L56&lt;=AL$7),1,AND($K56&lt;=AL$7,$L56&gt;AL$7),((AL$7-$K56)/($L56-$K56)))</f>
        <v>#REF!</v>
      </c>
      <c r="AN56" s="201" t="e">
        <f t="array" ref="AN56">_xlfn.IFS(AND($K56&gt;AM$7,$L56&gt;AM$7),0,AND($K56&lt;=AM$7,$L56&lt;=AM$7),1,AND($K56&lt;=AM$7,$L56&gt;AM$7),((AM$7-$K56)/($L56-$K56)))</f>
        <v>#REF!</v>
      </c>
      <c r="AO56" s="201" t="e">
        <f t="array" ref="AO56">_xlfn.IFS(AND($K56&gt;AN$7,$L56&gt;AN$7),0,AND($K56&lt;=AN$7,$L56&lt;=AN$7),1,AND($K56&lt;=AN$7,$L56&gt;AN$7),((AN$7-$K56)/($L56-$K56)))</f>
        <v>#REF!</v>
      </c>
      <c r="AP56" s="201" t="e">
        <f t="array" ref="AP56">_xlfn.IFS(AND($K56&gt;AO$7,$L56&gt;AO$7),0,AND($K56&lt;=AO$7,$L56&lt;=AO$7),1,AND($K56&lt;=AO$7,$L56&gt;AO$7),((AO$7-$K56)/($L56-$K56)))</f>
        <v>#REF!</v>
      </c>
      <c r="AQ56" s="201" t="e">
        <f t="array" ref="AQ56">_xlfn.IFS(AND($K56&gt;AP$7,$L56&gt;AP$7),0,AND($K56&lt;=AP$7,$L56&lt;=AP$7),1,AND($K56&lt;=AP$7,$L56&gt;AP$7),((AP$7-$K56)/($L56-$K56)))</f>
        <v>#REF!</v>
      </c>
      <c r="AR56" s="201" t="e">
        <f t="array" ref="AR56">_xlfn.IFS(AND($K56&gt;AQ$7,$L56&gt;AQ$7),0,AND($K56&lt;=AQ$7,$L56&lt;=AQ$7),1,AND($K56&lt;=AQ$7,$L56&gt;AQ$7),((AQ$7-$K56)/($L56-$K56)))</f>
        <v>#REF!</v>
      </c>
      <c r="AS56" s="201" t="e">
        <f t="array" ref="AS56">_xlfn.IFS(AND($K56&gt;AR$7,$L56&gt;AR$7),0,AND($K56&lt;=AR$7,$L56&lt;=AR$7),1,AND($K56&lt;=AR$7,$L56&gt;AR$7),((AR$7-$K56)/($L56-$K56)))</f>
        <v>#REF!</v>
      </c>
      <c r="AT56" s="201" t="e">
        <f t="array" ref="AT56">_xlfn.IFS(AND($K56&gt;AS$7,$L56&gt;AS$7),0,AND($K56&lt;=AS$7,$L56&lt;=AS$7),1,AND($K56&lt;=AS$7,$L56&gt;AS$7),((AS$7-$K56)/($L56-$K56)))</f>
        <v>#REF!</v>
      </c>
      <c r="AU56" s="201" t="e">
        <f t="array" ref="AU56">_xlfn.IFS(AND($K56&gt;AT$7,$L56&gt;AT$7),0,AND($K56&lt;=AT$7,$L56&lt;=AT$7),1,AND($K56&lt;=AT$7,$L56&gt;AT$7),((AT$7-$K56)/($L56-$K56)))</f>
        <v>#REF!</v>
      </c>
      <c r="AV56" s="201" t="e">
        <f t="array" ref="AV56">_xlfn.IFS(AND($K56&gt;AU$7,$L56&gt;AU$7),0,AND($K56&lt;=AU$7,$L56&lt;=AU$7),1,AND($K56&lt;=AU$7,$L56&gt;AU$7),((AU$7-$K56)/($L56-$K56)))</f>
        <v>#REF!</v>
      </c>
      <c r="AW56" s="201" t="e">
        <f t="array" ref="AW56">_xlfn.IFS(AND($K56&gt;AV$7,$L56&gt;AV$7),0,AND($K56&lt;=AV$7,$L56&lt;=AV$7),1,AND($K56&lt;=AV$7,$L56&gt;AV$7),((AV$7-$K56)/($L56-$K56)))</f>
        <v>#REF!</v>
      </c>
      <c r="AX56" s="201" t="e">
        <f t="array" ref="AX56">_xlfn.IFS(AND($K56&gt;AW$7,$L56&gt;AW$7),0,AND($K56&lt;=AW$7,$L56&lt;=AW$7),1,AND($K56&lt;=AW$7,$L56&gt;AW$7),((AW$7-$K56)/($L56-$K56)))</f>
        <v>#REF!</v>
      </c>
      <c r="AY56" s="201" t="e">
        <f t="array" ref="AY56">_xlfn.IFS(AND($K56&gt;AX$7,$L56&gt;AX$7),0,AND($K56&lt;=AX$7,$L56&lt;=AX$7),1,AND($K56&lt;=AX$7,$L56&gt;AX$7),((AX$7-$K56)/($L56-$K56)))</f>
        <v>#REF!</v>
      </c>
      <c r="AZ56" s="201" t="e">
        <f t="array" ref="AZ56">_xlfn.IFS(AND($K56&gt;AY$7,$L56&gt;AY$7),0,AND($K56&lt;=AY$7,$L56&lt;=AY$7),1,AND($K56&lt;=AY$7,$L56&gt;AY$7),((AY$7-$K56)/($L56-$K56)))</f>
        <v>#REF!</v>
      </c>
      <c r="BA56" s="201" t="e">
        <f t="array" ref="BA56">_xlfn.IFS(AND($K56&gt;AZ$7,$L56&gt;AZ$7),0,AND($K56&lt;=AZ$7,$L56&lt;=AZ$7),1,AND($K56&lt;=AZ$7,$L56&gt;AZ$7),((AZ$7-$K56)/($L56-$K56)))</f>
        <v>#REF!</v>
      </c>
      <c r="BB56" s="201" t="e">
        <f t="array" ref="BB56">_xlfn.IFS(AND($K56&gt;BA$7,$L56&gt;BA$7),0,AND($K56&lt;=BA$7,$L56&lt;=BA$7),1,AND($K56&lt;=BA$7,$L56&gt;BA$7),((BA$7-$K56)/($L56-$K56)))</f>
        <v>#REF!</v>
      </c>
      <c r="BC56" s="201" t="e">
        <f t="array" ref="BC56">_xlfn.IFS(AND($K56&gt;BB$7,$L56&gt;BB$7),0,AND($K56&lt;=BB$7,$L56&lt;=BB$7),1,AND($K56&lt;=BB$7,$L56&gt;BB$7),((BB$7-$K56)/($L56-$K56)))</f>
        <v>#REF!</v>
      </c>
      <c r="BD56" s="201" t="e">
        <f t="array" ref="BD56">_xlfn.IFS(AND($K56&gt;BC$7,$L56&gt;BC$7),0,AND($K56&lt;=BC$7,$L56&lt;=BC$7),1,AND($K56&lt;=BC$7,$L56&gt;BC$7),((BC$7-$K56)/($L56-$K56)))</f>
        <v>#REF!</v>
      </c>
      <c r="BE56" s="201" t="e">
        <f t="array" ref="BE56">_xlfn.IFS(AND($K56&gt;BD$7,$L56&gt;BD$7),0,AND($K56&lt;=BD$7,$L56&lt;=BD$7),1,AND($K56&lt;=BD$7,$L56&gt;BD$7),((BD$7-$K56)/($L56-$K56)))</f>
        <v>#REF!</v>
      </c>
      <c r="BF56" s="201" t="e">
        <f t="array" ref="BF56">_xlfn.IFS(AND($K56&gt;BE$7,$L56&gt;BE$7),0,AND($K56&lt;=BE$7,$L56&lt;=BE$7),1,AND($K56&lt;=BE$7,$L56&gt;BE$7),((BE$7-$K56)/($L56-$K56)))</f>
        <v>#REF!</v>
      </c>
      <c r="BG56" s="201" t="e">
        <f t="array" ref="BG56">_xlfn.IFS(AND($K56&gt;BF$7,$L56&gt;BF$7),0,AND($K56&lt;=BF$7,$L56&lt;=BF$7),1,AND($K56&lt;=BF$7,$L56&gt;BF$7),((BF$7-$K56)/($L56-$K56)))</f>
        <v>#REF!</v>
      </c>
      <c r="BH56" s="201" t="e">
        <f t="array" ref="BH56">_xlfn.IFS(AND($K56&gt;BG$7,$L56&gt;BG$7),0,AND($K56&lt;=BG$7,$L56&lt;=BG$7),1,AND($K56&lt;=BG$7,$L56&gt;BG$7),((BG$7-$K56)/($L56-$K56)))</f>
        <v>#REF!</v>
      </c>
      <c r="BI56" s="201" t="e">
        <f t="array" ref="BI56">_xlfn.IFS(AND($K56&gt;BH$7,$L56&gt;BH$7),0,AND($K56&lt;=BH$7,$L56&lt;=BH$7),1,AND($K56&lt;=BH$7,$L56&gt;BH$7),((BH$7-$K56)/($L56-$K56)))</f>
        <v>#REF!</v>
      </c>
      <c r="BJ56" s="201" t="e">
        <f t="array" ref="BJ56">_xlfn.IFS(AND($K56&gt;BI$7,$L56&gt;BI$7),0,AND($K56&lt;=BI$7,$L56&lt;=BI$7),1,AND($K56&lt;=BI$7,$L56&gt;BI$7),((BI$7-$K56)/($L56-$K56)))</f>
        <v>#REF!</v>
      </c>
      <c r="BK56" s="201" t="e">
        <f t="array" ref="BK56">_xlfn.IFS(AND($K56&gt;BJ$7,$L56&gt;BJ$7),0,AND($K56&lt;=BJ$7,$L56&lt;=BJ$7),1,AND($K56&lt;=BJ$7,$L56&gt;BJ$7),((BJ$7-$K56)/($L56-$K56)))</f>
        <v>#REF!</v>
      </c>
      <c r="BL56" s="201" t="e">
        <f t="array" ref="BL56">_xlfn.IFS(AND($K56&gt;BK$7,$L56&gt;BK$7),0,AND($K56&lt;=BK$7,$L56&lt;=BK$7),1,AND($K56&lt;=BK$7,$L56&gt;BK$7),((BK$7-$K56)/($L56-$K56)))</f>
        <v>#REF!</v>
      </c>
      <c r="BM56" s="201" t="e">
        <f t="array" ref="BM56">_xlfn.IFS(AND($K56&gt;BL$7,$L56&gt;BL$7),0,AND($K56&lt;=BL$7,$L56&lt;=BL$7),1,AND($K56&lt;=BL$7,$L56&gt;BL$7),((BL$7-$K56)/($L56-$K56)))</f>
        <v>#REF!</v>
      </c>
      <c r="BN56" s="201" t="e">
        <f t="array" ref="BN56">_xlfn.IFS(AND($K56&gt;BM$7,$L56&gt;BM$7),0,AND($K56&lt;=BM$7,$L56&lt;=BM$7),1,AND($K56&lt;=BM$7,$L56&gt;BM$7),((BM$7-$K56)/($L56-$K56)))</f>
        <v>#REF!</v>
      </c>
    </row>
    <row r="57" spans="2:66" s="163" customFormat="1" ht="15" customHeight="1" x14ac:dyDescent="0.3">
      <c r="B57" s="166" t="s">
        <v>161</v>
      </c>
      <c r="C57" s="166" t="s">
        <v>162</v>
      </c>
      <c r="D57" s="177"/>
      <c r="E57" s="170" t="str">
        <f t="shared" si="32"/>
        <v>Desenvolvimento da Transformação dos Processos</v>
      </c>
      <c r="F57" s="174" t="str">
        <f t="shared" si="35"/>
        <v>Diagnóstico de Maturidade do Processo</v>
      </c>
      <c r="G57" s="166" t="str">
        <f t="shared" si="38"/>
        <v>Diagnóstico de Maturidade do Processo</v>
      </c>
      <c r="H57" s="197" t="s">
        <v>163</v>
      </c>
      <c r="I57" s="166">
        <v>45810</v>
      </c>
      <c r="J57" s="40">
        <v>45814</v>
      </c>
      <c r="K57" s="166">
        <v>45810</v>
      </c>
      <c r="L57" s="40">
        <v>45814</v>
      </c>
      <c r="M57" s="167"/>
      <c r="N57" s="167" t="str">
        <f t="array" ref="N57">_xlfn.IFS(L57&lt;$M$3,"Concluído",AND(K57&gt;=$M$3,I57&lt;$M$3,L57&gt;$M$3),"Em andamento",AND(L57&gt;=$M$3,J57&lt;$M$3),"Atrasado",AND(L57&gt;=$M$3,J57&gt;=$M$3,I57&gt;$M$3,K57&lt;=$M$3),"Em andamento",AND(L57&gt;=$M$3,J57&gt;=$M$3,I57&lt;=$M$3,K57&lt;=$M$3),"Em andamento",AND(K57&gt;$M$3,I57&gt;$M$3),"Não iniciado",AND(L57&gt;=$M$3,J57&gt;=$M$3,K57&gt;=$M$3,I57&lt;$M$3),"Atrasado",AND(L57&gt;=$M$3,J57&gt;=$M$3,K57&gt;=$M$3,I57&gt;$M$3),"Não iniciado",AND($I57&lt;=$M$3,$K57&gt;$M$3),"Atrasado")</f>
        <v>Concluído</v>
      </c>
      <c r="O57" s="167">
        <f t="array" ref="O57">_xlfn.IFS(N57="Não iniciado",0,N57="Em andamento",1,N57="Concluído",2,N57="Atrasado",3)</f>
        <v>2</v>
      </c>
      <c r="P57" s="169"/>
      <c r="Q57" s="152">
        <f t="array" aca="1" ref="Q57" ca="1">_xlfn.IFS(AND($I57&lt;$N$3,$J57&lt;$N$3),1,AND($I57&lt;=$N$3,$J57&gt;=$N$3),0.5,AND($I57&gt;=$N$3,$J57&gt;=$N$3),0)</f>
        <v>1</v>
      </c>
      <c r="R57" s="152">
        <f t="array" aca="1" ref="R57" ca="1">_xlfn.IFS(AND($K57&lt;$N$3,$L57&lt;$N$3),1,AND($K57&lt;=$N$3,$L57&gt;=$N$3),0.5,AND($K57&gt;=$N$3,$L57&gt;=$N$3),0)</f>
        <v>1</v>
      </c>
      <c r="S57" s="201" t="e">
        <f t="array" ref="S57">_xlfn.IFS(AND($K57&gt;R$7,$L57&gt;R$7),0,AND($K57&lt;=R$7,$L57&lt;=R$7),1,AND($K57&lt;=R$7,$L57&gt;R$7),((R$7-$K57)/($L57-$K57)))</f>
        <v>#REF!</v>
      </c>
      <c r="T57" s="201" t="e">
        <f t="array" ref="T57">_xlfn.IFS(AND($K57&gt;S$7,$L57&gt;S$7),0,AND($K57&lt;=S$7,$L57&lt;=S$7),1,AND($K57&lt;=S$7,$L57&gt;S$7),((S$7-$K57)/($L57-$K57)))</f>
        <v>#REF!</v>
      </c>
      <c r="U57" s="201" t="e">
        <f t="array" ref="U57">_xlfn.IFS(AND($K57&gt;T$7,$L57&gt;T$7),0,AND($K57&lt;=T$7,$L57&lt;=T$7),1,AND($K57&lt;=T$7,$L57&gt;T$7),((T$7-$K57)/($L57-$K57)))</f>
        <v>#REF!</v>
      </c>
      <c r="V57" s="201" t="e">
        <f t="array" ref="V57">_xlfn.IFS(AND($K57&gt;U$7,$L57&gt;U$7),0,AND($K57&lt;=U$7,$L57&lt;=U$7),1,AND($K57&lt;=U$7,$L57&gt;U$7),((U$7-$K57)/($L57-$K57)))</f>
        <v>#REF!</v>
      </c>
      <c r="W57" s="201" t="e">
        <f t="array" ref="W57">_xlfn.IFS(AND($K57&gt;V$7,$L57&gt;V$7),0,AND($K57&lt;=V$7,$L57&lt;=V$7),1,AND($K57&lt;=V$7,$L57&gt;V$7),((V$7-$K57)/($L57-$K57)))</f>
        <v>#REF!</v>
      </c>
      <c r="X57" s="201" t="e">
        <f t="array" ref="X57">_xlfn.IFS(AND($K57&gt;W$7,$L57&gt;W$7),0,AND($K57&lt;=W$7,$L57&lt;=W$7),1,AND($K57&lt;=W$7,$L57&gt;W$7),((W$7-$K57)/($L57-$K57)))</f>
        <v>#REF!</v>
      </c>
      <c r="Y57" s="201" t="e">
        <f t="array" ref="Y57">_xlfn.IFS(AND($K57&gt;X$7,$L57&gt;X$7),0,AND($K57&lt;=X$7,$L57&lt;=X$7),1,AND($K57&lt;=X$7,$L57&gt;X$7),((X$7-$K57)/($L57-$K57)))</f>
        <v>#REF!</v>
      </c>
      <c r="Z57" s="201" t="e">
        <f t="array" ref="Z57">_xlfn.IFS(AND($K57&gt;Y$7,$L57&gt;Y$7),0,AND($K57&lt;=Y$7,$L57&lt;=Y$7),1,AND($K57&lt;=Y$7,$L57&gt;Y$7),((Y$7-$K57)/($L57-$K57)))</f>
        <v>#REF!</v>
      </c>
      <c r="AA57" s="201" t="e">
        <f t="array" ref="AA57">_xlfn.IFS(AND($K57&gt;Z$7,$L57&gt;Z$7),0,AND($K57&lt;=Z$7,$L57&lt;=Z$7),1,AND($K57&lt;=Z$7,$L57&gt;Z$7),((Z$7-$K57)/($L57-$K57)))</f>
        <v>#REF!</v>
      </c>
      <c r="AB57" s="201" t="e">
        <f t="array" ref="AB57">_xlfn.IFS(AND($K57&gt;AA$7,$L57&gt;AA$7),0,AND($K57&lt;=AA$7,$L57&lt;=AA$7),1,AND($K57&lt;=AA$7,$L57&gt;AA$7),((AA$7-$K57)/($L57-$K57)))</f>
        <v>#REF!</v>
      </c>
      <c r="AC57" s="201" t="e">
        <f t="array" ref="AC57">_xlfn.IFS(AND($K57&gt;AB$7,$L57&gt;AB$7),0,AND($K57&lt;=AB$7,$L57&lt;=AB$7),1,AND($K57&lt;=AB$7,$L57&gt;AB$7),((AB$7-$K57)/($L57-$K57)))</f>
        <v>#REF!</v>
      </c>
      <c r="AD57" s="201" t="e">
        <f t="array" ref="AD57">_xlfn.IFS(AND($K57&gt;AC$7,$L57&gt;AC$7),0,AND($K57&lt;=AC$7,$L57&lt;=AC$7),1,AND($K57&lt;=AC$7,$L57&gt;AC$7),((AC$7-$K57)/($L57-$K57)))</f>
        <v>#REF!</v>
      </c>
      <c r="AE57" s="201" t="e">
        <f t="array" ref="AE57">_xlfn.IFS(AND($K57&gt;AD$7,$L57&gt;AD$7),0,AND($K57&lt;=AD$7,$L57&lt;=AD$7),1,AND($K57&lt;=AD$7,$L57&gt;AD$7),((AD$7-$K57)/($L57-$K57)))</f>
        <v>#REF!</v>
      </c>
      <c r="AF57" s="201" t="e">
        <f t="array" ref="AF57">_xlfn.IFS(AND($K57&gt;AE$7,$L57&gt;AE$7),0,AND($K57&lt;=AE$7,$L57&lt;=AE$7),1,AND($K57&lt;=AE$7,$L57&gt;AE$7),((AE$7-$K57)/($L57-$K57)))</f>
        <v>#REF!</v>
      </c>
      <c r="AG57" s="201" t="e">
        <f t="array" ref="AG57">_xlfn.IFS(AND($K57&gt;AF$7,$L57&gt;AF$7),0,AND($K57&lt;=AF$7,$L57&lt;=AF$7),1,AND($K57&lt;=AF$7,$L57&gt;AF$7),((AF$7-$K57)/($L57-$K57)))</f>
        <v>#REF!</v>
      </c>
      <c r="AH57" s="201" t="e">
        <f t="array" ref="AH57">_xlfn.IFS(AND($K57&gt;AG$7,$L57&gt;AG$7),0,AND($K57&lt;=AG$7,$L57&lt;=AG$7),1,AND($K57&lt;=AG$7,$L57&gt;AG$7),((AG$7-$K57)/($L57-$K57)))</f>
        <v>#REF!</v>
      </c>
      <c r="AI57" s="201" t="e">
        <f t="array" ref="AI57">_xlfn.IFS(AND($K57&gt;AH$7,$L57&gt;AH$7),0,AND($K57&lt;=AH$7,$L57&lt;=AH$7),1,AND($K57&lt;=AH$7,$L57&gt;AH$7),((AH$7-$K57)/($L57-$K57)))</f>
        <v>#REF!</v>
      </c>
      <c r="AJ57" s="201" t="e">
        <f t="array" ref="AJ57">_xlfn.IFS(AND($K57&gt;AI$7,$L57&gt;AI$7),0,AND($K57&lt;=AI$7,$L57&lt;=AI$7),1,AND($K57&lt;=AI$7,$L57&gt;AI$7),((AI$7-$K57)/($L57-$K57)))</f>
        <v>#REF!</v>
      </c>
      <c r="AK57" s="201" t="e">
        <f t="array" ref="AK57">_xlfn.IFS(AND($K57&gt;AJ$7,$L57&gt;AJ$7),0,AND($K57&lt;=AJ$7,$L57&lt;=AJ$7),1,AND($K57&lt;=AJ$7,$L57&gt;AJ$7),((AJ$7-$K57)/($L57-$K57)))</f>
        <v>#REF!</v>
      </c>
      <c r="AL57" s="201" t="e">
        <f t="array" ref="AL57">_xlfn.IFS(AND($K57&gt;AK$7,$L57&gt;AK$7),0,AND($K57&lt;=AK$7,$L57&lt;=AK$7),1,AND($K57&lt;=AK$7,$L57&gt;AK$7),((AK$7-$K57)/($L57-$K57)))</f>
        <v>#REF!</v>
      </c>
      <c r="AM57" s="201" t="e">
        <f t="array" ref="AM57">_xlfn.IFS(AND($K57&gt;AL$7,$L57&gt;AL$7),0,AND($K57&lt;=AL$7,$L57&lt;=AL$7),1,AND($K57&lt;=AL$7,$L57&gt;AL$7),((AL$7-$K57)/($L57-$K57)))</f>
        <v>#REF!</v>
      </c>
      <c r="AN57" s="201" t="e">
        <f t="array" ref="AN57">_xlfn.IFS(AND($K57&gt;AM$7,$L57&gt;AM$7),0,AND($K57&lt;=AM$7,$L57&lt;=AM$7),1,AND($K57&lt;=AM$7,$L57&gt;AM$7),((AM$7-$K57)/($L57-$K57)))</f>
        <v>#REF!</v>
      </c>
      <c r="AO57" s="201" t="e">
        <f t="array" ref="AO57">_xlfn.IFS(AND($K57&gt;AN$7,$L57&gt;AN$7),0,AND($K57&lt;=AN$7,$L57&lt;=AN$7),1,AND($K57&lt;=AN$7,$L57&gt;AN$7),((AN$7-$K57)/($L57-$K57)))</f>
        <v>#REF!</v>
      </c>
      <c r="AP57" s="201" t="e">
        <f t="array" ref="AP57">_xlfn.IFS(AND($K57&gt;AO$7,$L57&gt;AO$7),0,AND($K57&lt;=AO$7,$L57&lt;=AO$7),1,AND($K57&lt;=AO$7,$L57&gt;AO$7),((AO$7-$K57)/($L57-$K57)))</f>
        <v>#REF!</v>
      </c>
      <c r="AQ57" s="201" t="e">
        <f t="array" ref="AQ57">_xlfn.IFS(AND($K57&gt;AP$7,$L57&gt;AP$7),0,AND($K57&lt;=AP$7,$L57&lt;=AP$7),1,AND($K57&lt;=AP$7,$L57&gt;AP$7),((AP$7-$K57)/($L57-$K57)))</f>
        <v>#REF!</v>
      </c>
      <c r="AR57" s="201" t="e">
        <f t="array" ref="AR57">_xlfn.IFS(AND($K57&gt;AQ$7,$L57&gt;AQ$7),0,AND($K57&lt;=AQ$7,$L57&lt;=AQ$7),1,AND($K57&lt;=AQ$7,$L57&gt;AQ$7),((AQ$7-$K57)/($L57-$K57)))</f>
        <v>#REF!</v>
      </c>
      <c r="AS57" s="201" t="e">
        <f t="array" ref="AS57">_xlfn.IFS(AND($K57&gt;AR$7,$L57&gt;AR$7),0,AND($K57&lt;=AR$7,$L57&lt;=AR$7),1,AND($K57&lt;=AR$7,$L57&gt;AR$7),((AR$7-$K57)/($L57-$K57)))</f>
        <v>#REF!</v>
      </c>
      <c r="AT57" s="201" t="e">
        <f t="array" ref="AT57">_xlfn.IFS(AND($K57&gt;AS$7,$L57&gt;AS$7),0,AND($K57&lt;=AS$7,$L57&lt;=AS$7),1,AND($K57&lt;=AS$7,$L57&gt;AS$7),((AS$7-$K57)/($L57-$K57)))</f>
        <v>#REF!</v>
      </c>
      <c r="AU57" s="201" t="e">
        <f t="array" ref="AU57">_xlfn.IFS(AND($K57&gt;AT$7,$L57&gt;AT$7),0,AND($K57&lt;=AT$7,$L57&lt;=AT$7),1,AND($K57&lt;=AT$7,$L57&gt;AT$7),((AT$7-$K57)/($L57-$K57)))</f>
        <v>#REF!</v>
      </c>
      <c r="AV57" s="201" t="e">
        <f t="array" ref="AV57">_xlfn.IFS(AND($K57&gt;AU$7,$L57&gt;AU$7),0,AND($K57&lt;=AU$7,$L57&lt;=AU$7),1,AND($K57&lt;=AU$7,$L57&gt;AU$7),((AU$7-$K57)/($L57-$K57)))</f>
        <v>#REF!</v>
      </c>
      <c r="AW57" s="201" t="e">
        <f t="array" ref="AW57">_xlfn.IFS(AND($K57&gt;AV$7,$L57&gt;AV$7),0,AND($K57&lt;=AV$7,$L57&lt;=AV$7),1,AND($K57&lt;=AV$7,$L57&gt;AV$7),((AV$7-$K57)/($L57-$K57)))</f>
        <v>#REF!</v>
      </c>
      <c r="AX57" s="201" t="e">
        <f t="array" ref="AX57">_xlfn.IFS(AND($K57&gt;AW$7,$L57&gt;AW$7),0,AND($K57&lt;=AW$7,$L57&lt;=AW$7),1,AND($K57&lt;=AW$7,$L57&gt;AW$7),((AW$7-$K57)/($L57-$K57)))</f>
        <v>#REF!</v>
      </c>
      <c r="AY57" s="201" t="e">
        <f t="array" ref="AY57">_xlfn.IFS(AND($K57&gt;AX$7,$L57&gt;AX$7),0,AND($K57&lt;=AX$7,$L57&lt;=AX$7),1,AND($K57&lt;=AX$7,$L57&gt;AX$7),((AX$7-$K57)/($L57-$K57)))</f>
        <v>#REF!</v>
      </c>
      <c r="AZ57" s="201" t="e">
        <f t="array" ref="AZ57">_xlfn.IFS(AND($K57&gt;AY$7,$L57&gt;AY$7),0,AND($K57&lt;=AY$7,$L57&lt;=AY$7),1,AND($K57&lt;=AY$7,$L57&gt;AY$7),((AY$7-$K57)/($L57-$K57)))</f>
        <v>#REF!</v>
      </c>
      <c r="BA57" s="201" t="e">
        <f t="array" ref="BA57">_xlfn.IFS(AND($K57&gt;AZ$7,$L57&gt;AZ$7),0,AND($K57&lt;=AZ$7,$L57&lt;=AZ$7),1,AND($K57&lt;=AZ$7,$L57&gt;AZ$7),((AZ$7-$K57)/($L57-$K57)))</f>
        <v>#REF!</v>
      </c>
      <c r="BB57" s="201" t="e">
        <f t="array" ref="BB57">_xlfn.IFS(AND($K57&gt;BA$7,$L57&gt;BA$7),0,AND($K57&lt;=BA$7,$L57&lt;=BA$7),1,AND($K57&lt;=BA$7,$L57&gt;BA$7),((BA$7-$K57)/($L57-$K57)))</f>
        <v>#REF!</v>
      </c>
      <c r="BC57" s="201" t="e">
        <f t="array" ref="BC57">_xlfn.IFS(AND($K57&gt;BB$7,$L57&gt;BB$7),0,AND($K57&lt;=BB$7,$L57&lt;=BB$7),1,AND($K57&lt;=BB$7,$L57&gt;BB$7),((BB$7-$K57)/($L57-$K57)))</f>
        <v>#REF!</v>
      </c>
      <c r="BD57" s="201" t="e">
        <f t="array" ref="BD57">_xlfn.IFS(AND($K57&gt;BC$7,$L57&gt;BC$7),0,AND($K57&lt;=BC$7,$L57&lt;=BC$7),1,AND($K57&lt;=BC$7,$L57&gt;BC$7),((BC$7-$K57)/($L57-$K57)))</f>
        <v>#REF!</v>
      </c>
      <c r="BE57" s="201" t="e">
        <f t="array" ref="BE57">_xlfn.IFS(AND($K57&gt;BD$7,$L57&gt;BD$7),0,AND($K57&lt;=BD$7,$L57&lt;=BD$7),1,AND($K57&lt;=BD$7,$L57&gt;BD$7),((BD$7-$K57)/($L57-$K57)))</f>
        <v>#REF!</v>
      </c>
      <c r="BF57" s="201" t="e">
        <f t="array" ref="BF57">_xlfn.IFS(AND($K57&gt;BE$7,$L57&gt;BE$7),0,AND($K57&lt;=BE$7,$L57&lt;=BE$7),1,AND($K57&lt;=BE$7,$L57&gt;BE$7),((BE$7-$K57)/($L57-$K57)))</f>
        <v>#REF!</v>
      </c>
      <c r="BG57" s="201" t="e">
        <f t="array" ref="BG57">_xlfn.IFS(AND($K57&gt;BF$7,$L57&gt;BF$7),0,AND($K57&lt;=BF$7,$L57&lt;=BF$7),1,AND($K57&lt;=BF$7,$L57&gt;BF$7),((BF$7-$K57)/($L57-$K57)))</f>
        <v>#REF!</v>
      </c>
      <c r="BH57" s="201" t="e">
        <f t="array" ref="BH57">_xlfn.IFS(AND($K57&gt;BG$7,$L57&gt;BG$7),0,AND($K57&lt;=BG$7,$L57&lt;=BG$7),1,AND($K57&lt;=BG$7,$L57&gt;BG$7),((BG$7-$K57)/($L57-$K57)))</f>
        <v>#REF!</v>
      </c>
      <c r="BI57" s="201" t="e">
        <f t="array" ref="BI57">_xlfn.IFS(AND($K57&gt;BH$7,$L57&gt;BH$7),0,AND($K57&lt;=BH$7,$L57&lt;=BH$7),1,AND($K57&lt;=BH$7,$L57&gt;BH$7),((BH$7-$K57)/($L57-$K57)))</f>
        <v>#REF!</v>
      </c>
      <c r="BJ57" s="201" t="e">
        <f t="array" ref="BJ57">_xlfn.IFS(AND($K57&gt;BI$7,$L57&gt;BI$7),0,AND($K57&lt;=BI$7,$L57&lt;=BI$7),1,AND($K57&lt;=BI$7,$L57&gt;BI$7),((BI$7-$K57)/($L57-$K57)))</f>
        <v>#REF!</v>
      </c>
      <c r="BK57" s="201" t="e">
        <f t="array" ref="BK57">_xlfn.IFS(AND($K57&gt;BJ$7,$L57&gt;BJ$7),0,AND($K57&lt;=BJ$7,$L57&lt;=BJ$7),1,AND($K57&lt;=BJ$7,$L57&gt;BJ$7),((BJ$7-$K57)/($L57-$K57)))</f>
        <v>#REF!</v>
      </c>
      <c r="BL57" s="201" t="e">
        <f t="array" ref="BL57">_xlfn.IFS(AND($K57&gt;BK$7,$L57&gt;BK$7),0,AND($K57&lt;=BK$7,$L57&lt;=BK$7),1,AND($K57&lt;=BK$7,$L57&gt;BK$7),((BK$7-$K57)/($L57-$K57)))</f>
        <v>#REF!</v>
      </c>
      <c r="BM57" s="201" t="e">
        <f t="array" ref="BM57">_xlfn.IFS(AND($K57&gt;BL$7,$L57&gt;BL$7),0,AND($K57&lt;=BL$7,$L57&lt;=BL$7),1,AND($K57&lt;=BL$7,$L57&gt;BL$7),((BL$7-$K57)/($L57-$K57)))</f>
        <v>#REF!</v>
      </c>
      <c r="BN57" s="201" t="e">
        <f t="array" ref="BN57">_xlfn.IFS(AND($K57&gt;BM$7,$L57&gt;BM$7),0,AND($K57&lt;=BM$7,$L57&lt;=BM$7),1,AND($K57&lt;=BM$7,$L57&gt;BM$7),((BM$7-$K57)/($L57-$K57)))</f>
        <v>#REF!</v>
      </c>
    </row>
    <row r="58" spans="2:66" s="163" customFormat="1" ht="15" customHeight="1" collapsed="1" x14ac:dyDescent="0.3">
      <c r="B58" s="166" t="s">
        <v>161</v>
      </c>
      <c r="C58" s="166" t="s">
        <v>164</v>
      </c>
      <c r="D58" s="177"/>
      <c r="E58" s="170" t="str">
        <f t="shared" si="32"/>
        <v>Desenvolvimento da Transformação dos Processos</v>
      </c>
      <c r="F58" s="174" t="str">
        <f t="shared" si="35"/>
        <v>Diagnóstico de Maturidade do Processo</v>
      </c>
      <c r="G58" s="166" t="str">
        <f t="shared" si="38"/>
        <v>Diagnóstico de Maturidade do Processo</v>
      </c>
      <c r="H58" s="197" t="s">
        <v>165</v>
      </c>
      <c r="I58" s="166">
        <v>45838</v>
      </c>
      <c r="J58" s="166">
        <v>45842</v>
      </c>
      <c r="K58" s="166">
        <v>45838</v>
      </c>
      <c r="L58" s="166">
        <v>45842</v>
      </c>
      <c r="M58" s="167"/>
      <c r="N58" s="167" t="str">
        <f t="array" ref="N58">_xlfn.IFS(L58&lt;$M$3,"Concluído",AND(K58&gt;=$M$3,I58&lt;$M$3,L58&gt;$M$3),"Em andamento",AND(L58&gt;=$M$3,J58&lt;$M$3),"Atrasado",AND(L58&gt;=$M$3,J58&gt;=$M$3,I58&gt;$M$3,K58&lt;=$M$3),"Em andamento",AND(L58&gt;=$M$3,J58&gt;=$M$3,I58&lt;=$M$3,K58&lt;=$M$3),"Em andamento",AND(K58&gt;$M$3,I58&gt;$M$3),"Não iniciado",AND(L58&gt;=$M$3,J58&gt;=$M$3,K58&gt;=$M$3,I58&lt;$M$3),"Atrasado",AND(L58&gt;=$M$3,J58&gt;=$M$3,K58&gt;=$M$3,I58&gt;$M$3),"Não iniciado",AND($I58&lt;=$M$3,$K58&gt;$M$3),"Atrasado")</f>
        <v>Concluído</v>
      </c>
      <c r="O58" s="167">
        <f t="array" ref="O58">_xlfn.IFS(N58="Não iniciado",0,N58="Em andamento",1,N58="Concluído",2,N58="Atrasado",3)</f>
        <v>2</v>
      </c>
      <c r="P58" s="169"/>
      <c r="Q58" s="152">
        <f t="array" aca="1" ref="Q58" ca="1">_xlfn.IFS(AND($I58&lt;$N$3,$J58&lt;$N$3),1,AND($I58&lt;=$N$3,$J58&gt;=$N$3),0.5,AND($I58&gt;=$N$3,$J58&gt;=$N$3),0)</f>
        <v>1</v>
      </c>
      <c r="R58" s="152">
        <f t="array" aca="1" ref="R58" ca="1">_xlfn.IFS(AND($K58&lt;$N$3,$L58&lt;$N$3),1,AND($K58&lt;=$N$3,$L58&gt;=$N$3),0.5,AND($K58&gt;=$N$3,$L58&gt;=$N$3),0)</f>
        <v>1</v>
      </c>
      <c r="S58" s="201" t="e">
        <f t="array" ref="S58">_xlfn.IFS(AND($K58&gt;R$7,$L58&gt;R$7),0,AND($K58&lt;=R$7,$L58&lt;=R$7),1,AND($K58&lt;=R$7,$L58&gt;R$7),((R$7-$K58)/($L58-$K58)))</f>
        <v>#REF!</v>
      </c>
      <c r="T58" s="201" t="e">
        <f t="array" ref="T58">_xlfn.IFS(AND($K58&gt;S$7,$L58&gt;S$7),0,AND($K58&lt;=S$7,$L58&lt;=S$7),1,AND($K58&lt;=S$7,$L58&gt;S$7),((S$7-$K58)/($L58-$K58)))</f>
        <v>#REF!</v>
      </c>
      <c r="U58" s="201" t="e">
        <f t="array" ref="U58">_xlfn.IFS(AND($K58&gt;T$7,$L58&gt;T$7),0,AND($K58&lt;=T$7,$L58&lt;=T$7),1,AND($K58&lt;=T$7,$L58&gt;T$7),((T$7-$K58)/($L58-$K58)))</f>
        <v>#REF!</v>
      </c>
      <c r="V58" s="201" t="e">
        <f t="array" ref="V58">_xlfn.IFS(AND($K58&gt;U$7,$L58&gt;U$7),0,AND($K58&lt;=U$7,$L58&lt;=U$7),1,AND($K58&lt;=U$7,$L58&gt;U$7),((U$7-$K58)/($L58-$K58)))</f>
        <v>#REF!</v>
      </c>
      <c r="W58" s="201" t="e">
        <f t="array" ref="W58">_xlfn.IFS(AND($K58&gt;V$7,$L58&gt;V$7),0,AND($K58&lt;=V$7,$L58&lt;=V$7),1,AND($K58&lt;=V$7,$L58&gt;V$7),((V$7-$K58)/($L58-$K58)))</f>
        <v>#REF!</v>
      </c>
      <c r="X58" s="201" t="e">
        <f t="array" ref="X58">_xlfn.IFS(AND($K58&gt;W$7,$L58&gt;W$7),0,AND($K58&lt;=W$7,$L58&lt;=W$7),1,AND($K58&lt;=W$7,$L58&gt;W$7),((W$7-$K58)/($L58-$K58)))</f>
        <v>#REF!</v>
      </c>
      <c r="Y58" s="201" t="e">
        <f t="array" ref="Y58">_xlfn.IFS(AND($K58&gt;X$7,$L58&gt;X$7),0,AND($K58&lt;=X$7,$L58&lt;=X$7),1,AND($K58&lt;=X$7,$L58&gt;X$7),((X$7-$K58)/($L58-$K58)))</f>
        <v>#REF!</v>
      </c>
      <c r="Z58" s="201" t="e">
        <f t="array" ref="Z58">_xlfn.IFS(AND($K58&gt;Y$7,$L58&gt;Y$7),0,AND($K58&lt;=Y$7,$L58&lt;=Y$7),1,AND($K58&lt;=Y$7,$L58&gt;Y$7),((Y$7-$K58)/($L58-$K58)))</f>
        <v>#REF!</v>
      </c>
      <c r="AA58" s="201" t="e">
        <f t="array" ref="AA58">_xlfn.IFS(AND($K58&gt;Z$7,$L58&gt;Z$7),0,AND($K58&lt;=Z$7,$L58&lt;=Z$7),1,AND($K58&lt;=Z$7,$L58&gt;Z$7),((Z$7-$K58)/($L58-$K58)))</f>
        <v>#REF!</v>
      </c>
      <c r="AB58" s="201" t="e">
        <f t="array" ref="AB58">_xlfn.IFS(AND($K58&gt;AA$7,$L58&gt;AA$7),0,AND($K58&lt;=AA$7,$L58&lt;=AA$7),1,AND($K58&lt;=AA$7,$L58&gt;AA$7),((AA$7-$K58)/($L58-$K58)))</f>
        <v>#REF!</v>
      </c>
      <c r="AC58" s="201" t="e">
        <f t="array" ref="AC58">_xlfn.IFS(AND($K58&gt;AB$7,$L58&gt;AB$7),0,AND($K58&lt;=AB$7,$L58&lt;=AB$7),1,AND($K58&lt;=AB$7,$L58&gt;AB$7),((AB$7-$K58)/($L58-$K58)))</f>
        <v>#REF!</v>
      </c>
      <c r="AD58" s="201" t="e">
        <f t="array" ref="AD58">_xlfn.IFS(AND($K58&gt;AC$7,$L58&gt;AC$7),0,AND($K58&lt;=AC$7,$L58&lt;=AC$7),1,AND($K58&lt;=AC$7,$L58&gt;AC$7),((AC$7-$K58)/($L58-$K58)))</f>
        <v>#REF!</v>
      </c>
      <c r="AE58" s="201" t="e">
        <f t="array" ref="AE58">_xlfn.IFS(AND($K58&gt;AD$7,$L58&gt;AD$7),0,AND($K58&lt;=AD$7,$L58&lt;=AD$7),1,AND($K58&lt;=AD$7,$L58&gt;AD$7),((AD$7-$K58)/($L58-$K58)))</f>
        <v>#REF!</v>
      </c>
      <c r="AF58" s="201" t="e">
        <f t="array" ref="AF58">_xlfn.IFS(AND($K58&gt;AE$7,$L58&gt;AE$7),0,AND($K58&lt;=AE$7,$L58&lt;=AE$7),1,AND($K58&lt;=AE$7,$L58&gt;AE$7),((AE$7-$K58)/($L58-$K58)))</f>
        <v>#REF!</v>
      </c>
      <c r="AG58" s="201" t="e">
        <f t="array" ref="AG58">_xlfn.IFS(AND($K58&gt;AF$7,$L58&gt;AF$7),0,AND($K58&lt;=AF$7,$L58&lt;=AF$7),1,AND($K58&lt;=AF$7,$L58&gt;AF$7),((AF$7-$K58)/($L58-$K58)))</f>
        <v>#REF!</v>
      </c>
      <c r="AH58" s="201" t="e">
        <f t="array" ref="AH58">_xlfn.IFS(AND($K58&gt;AG$7,$L58&gt;AG$7),0,AND($K58&lt;=AG$7,$L58&lt;=AG$7),1,AND($K58&lt;=AG$7,$L58&gt;AG$7),((AG$7-$K58)/($L58-$K58)))</f>
        <v>#REF!</v>
      </c>
      <c r="AI58" s="201" t="e">
        <f t="array" ref="AI58">_xlfn.IFS(AND($K58&gt;AH$7,$L58&gt;AH$7),0,AND($K58&lt;=AH$7,$L58&lt;=AH$7),1,AND($K58&lt;=AH$7,$L58&gt;AH$7),((AH$7-$K58)/($L58-$K58)))</f>
        <v>#REF!</v>
      </c>
      <c r="AJ58" s="201" t="e">
        <f t="array" ref="AJ58">_xlfn.IFS(AND($K58&gt;AI$7,$L58&gt;AI$7),0,AND($K58&lt;=AI$7,$L58&lt;=AI$7),1,AND($K58&lt;=AI$7,$L58&gt;AI$7),((AI$7-$K58)/($L58-$K58)))</f>
        <v>#REF!</v>
      </c>
      <c r="AK58" s="201" t="e">
        <f t="array" ref="AK58">_xlfn.IFS(AND($K58&gt;AJ$7,$L58&gt;AJ$7),0,AND($K58&lt;=AJ$7,$L58&lt;=AJ$7),1,AND($K58&lt;=AJ$7,$L58&gt;AJ$7),((AJ$7-$K58)/($L58-$K58)))</f>
        <v>#REF!</v>
      </c>
      <c r="AL58" s="201" t="e">
        <f t="array" ref="AL58">_xlfn.IFS(AND($K58&gt;AK$7,$L58&gt;AK$7),0,AND($K58&lt;=AK$7,$L58&lt;=AK$7),1,AND($K58&lt;=AK$7,$L58&gt;AK$7),((AK$7-$K58)/($L58-$K58)))</f>
        <v>#REF!</v>
      </c>
      <c r="AM58" s="201" t="e">
        <f t="array" ref="AM58">_xlfn.IFS(AND($K58&gt;AL$7,$L58&gt;AL$7),0,AND($K58&lt;=AL$7,$L58&lt;=AL$7),1,AND($K58&lt;=AL$7,$L58&gt;AL$7),((AL$7-$K58)/($L58-$K58)))</f>
        <v>#REF!</v>
      </c>
      <c r="AN58" s="201" t="e">
        <f t="array" ref="AN58">_xlfn.IFS(AND($K58&gt;AM$7,$L58&gt;AM$7),0,AND($K58&lt;=AM$7,$L58&lt;=AM$7),1,AND($K58&lt;=AM$7,$L58&gt;AM$7),((AM$7-$K58)/($L58-$K58)))</f>
        <v>#REF!</v>
      </c>
      <c r="AO58" s="201" t="e">
        <f t="array" ref="AO58">_xlfn.IFS(AND($K58&gt;AN$7,$L58&gt;AN$7),0,AND($K58&lt;=AN$7,$L58&lt;=AN$7),1,AND($K58&lt;=AN$7,$L58&gt;AN$7),((AN$7-$K58)/($L58-$K58)))</f>
        <v>#REF!</v>
      </c>
      <c r="AP58" s="201" t="e">
        <f t="array" ref="AP58">_xlfn.IFS(AND($K58&gt;AO$7,$L58&gt;AO$7),0,AND($K58&lt;=AO$7,$L58&lt;=AO$7),1,AND($K58&lt;=AO$7,$L58&gt;AO$7),((AO$7-$K58)/($L58-$K58)))</f>
        <v>#REF!</v>
      </c>
      <c r="AQ58" s="201" t="e">
        <f t="array" ref="AQ58">_xlfn.IFS(AND($K58&gt;AP$7,$L58&gt;AP$7),0,AND($K58&lt;=AP$7,$L58&lt;=AP$7),1,AND($K58&lt;=AP$7,$L58&gt;AP$7),((AP$7-$K58)/($L58-$K58)))</f>
        <v>#REF!</v>
      </c>
      <c r="AR58" s="201" t="e">
        <f t="array" ref="AR58">_xlfn.IFS(AND($K58&gt;AQ$7,$L58&gt;AQ$7),0,AND($K58&lt;=AQ$7,$L58&lt;=AQ$7),1,AND($K58&lt;=AQ$7,$L58&gt;AQ$7),((AQ$7-$K58)/($L58-$K58)))</f>
        <v>#REF!</v>
      </c>
      <c r="AS58" s="201" t="e">
        <f t="array" ref="AS58">_xlfn.IFS(AND($K58&gt;AR$7,$L58&gt;AR$7),0,AND($K58&lt;=AR$7,$L58&lt;=AR$7),1,AND($K58&lt;=AR$7,$L58&gt;AR$7),((AR$7-$K58)/($L58-$K58)))</f>
        <v>#REF!</v>
      </c>
      <c r="AT58" s="201" t="e">
        <f t="array" ref="AT58">_xlfn.IFS(AND($K58&gt;AS$7,$L58&gt;AS$7),0,AND($K58&lt;=AS$7,$L58&lt;=AS$7),1,AND($K58&lt;=AS$7,$L58&gt;AS$7),((AS$7-$K58)/($L58-$K58)))</f>
        <v>#REF!</v>
      </c>
      <c r="AU58" s="201" t="e">
        <f t="array" ref="AU58">_xlfn.IFS(AND($K58&gt;AT$7,$L58&gt;AT$7),0,AND($K58&lt;=AT$7,$L58&lt;=AT$7),1,AND($K58&lt;=AT$7,$L58&gt;AT$7),((AT$7-$K58)/($L58-$K58)))</f>
        <v>#REF!</v>
      </c>
      <c r="AV58" s="201" t="e">
        <f t="array" ref="AV58">_xlfn.IFS(AND($K58&gt;AU$7,$L58&gt;AU$7),0,AND($K58&lt;=AU$7,$L58&lt;=AU$7),1,AND($K58&lt;=AU$7,$L58&gt;AU$7),((AU$7-$K58)/($L58-$K58)))</f>
        <v>#REF!</v>
      </c>
      <c r="AW58" s="201" t="e">
        <f t="array" ref="AW58">_xlfn.IFS(AND($K58&gt;AV$7,$L58&gt;AV$7),0,AND($K58&lt;=AV$7,$L58&lt;=AV$7),1,AND($K58&lt;=AV$7,$L58&gt;AV$7),((AV$7-$K58)/($L58-$K58)))</f>
        <v>#REF!</v>
      </c>
      <c r="AX58" s="201" t="e">
        <f t="array" ref="AX58">_xlfn.IFS(AND($K58&gt;AW$7,$L58&gt;AW$7),0,AND($K58&lt;=AW$7,$L58&lt;=AW$7),1,AND($K58&lt;=AW$7,$L58&gt;AW$7),((AW$7-$K58)/($L58-$K58)))</f>
        <v>#REF!</v>
      </c>
      <c r="AY58" s="201" t="e">
        <f t="array" ref="AY58">_xlfn.IFS(AND($K58&gt;AX$7,$L58&gt;AX$7),0,AND($K58&lt;=AX$7,$L58&lt;=AX$7),1,AND($K58&lt;=AX$7,$L58&gt;AX$7),((AX$7-$K58)/($L58-$K58)))</f>
        <v>#REF!</v>
      </c>
      <c r="AZ58" s="201" t="e">
        <f t="array" ref="AZ58">_xlfn.IFS(AND($K58&gt;AY$7,$L58&gt;AY$7),0,AND($K58&lt;=AY$7,$L58&lt;=AY$7),1,AND($K58&lt;=AY$7,$L58&gt;AY$7),((AY$7-$K58)/($L58-$K58)))</f>
        <v>#REF!</v>
      </c>
      <c r="BA58" s="201" t="e">
        <f t="array" ref="BA58">_xlfn.IFS(AND($K58&gt;AZ$7,$L58&gt;AZ$7),0,AND($K58&lt;=AZ$7,$L58&lt;=AZ$7),1,AND($K58&lt;=AZ$7,$L58&gt;AZ$7),((AZ$7-$K58)/($L58-$K58)))</f>
        <v>#REF!</v>
      </c>
      <c r="BB58" s="201" t="e">
        <f t="array" ref="BB58">_xlfn.IFS(AND($K58&gt;BA$7,$L58&gt;BA$7),0,AND($K58&lt;=BA$7,$L58&lt;=BA$7),1,AND($K58&lt;=BA$7,$L58&gt;BA$7),((BA$7-$K58)/($L58-$K58)))</f>
        <v>#REF!</v>
      </c>
      <c r="BC58" s="201" t="e">
        <f t="array" ref="BC58">_xlfn.IFS(AND($K58&gt;BB$7,$L58&gt;BB$7),0,AND($K58&lt;=BB$7,$L58&lt;=BB$7),1,AND($K58&lt;=BB$7,$L58&gt;BB$7),((BB$7-$K58)/($L58-$K58)))</f>
        <v>#REF!</v>
      </c>
      <c r="BD58" s="201" t="e">
        <f t="array" ref="BD58">_xlfn.IFS(AND($K58&gt;BC$7,$L58&gt;BC$7),0,AND($K58&lt;=BC$7,$L58&lt;=BC$7),1,AND($K58&lt;=BC$7,$L58&gt;BC$7),((BC$7-$K58)/($L58-$K58)))</f>
        <v>#REF!</v>
      </c>
      <c r="BE58" s="201" t="e">
        <f t="array" ref="BE58">_xlfn.IFS(AND($K58&gt;BD$7,$L58&gt;BD$7),0,AND($K58&lt;=BD$7,$L58&lt;=BD$7),1,AND($K58&lt;=BD$7,$L58&gt;BD$7),((BD$7-$K58)/($L58-$K58)))</f>
        <v>#REF!</v>
      </c>
      <c r="BF58" s="201" t="e">
        <f t="array" ref="BF58">_xlfn.IFS(AND($K58&gt;BE$7,$L58&gt;BE$7),0,AND($K58&lt;=BE$7,$L58&lt;=BE$7),1,AND($K58&lt;=BE$7,$L58&gt;BE$7),((BE$7-$K58)/($L58-$K58)))</f>
        <v>#REF!</v>
      </c>
      <c r="BG58" s="201" t="e">
        <f t="array" ref="BG58">_xlfn.IFS(AND($K58&gt;BF$7,$L58&gt;BF$7),0,AND($K58&lt;=BF$7,$L58&lt;=BF$7),1,AND($K58&lt;=BF$7,$L58&gt;BF$7),((BF$7-$K58)/($L58-$K58)))</f>
        <v>#REF!</v>
      </c>
      <c r="BH58" s="201" t="e">
        <f t="array" ref="BH58">_xlfn.IFS(AND($K58&gt;BG$7,$L58&gt;BG$7),0,AND($K58&lt;=BG$7,$L58&lt;=BG$7),1,AND($K58&lt;=BG$7,$L58&gt;BG$7),((BG$7-$K58)/($L58-$K58)))</f>
        <v>#REF!</v>
      </c>
      <c r="BI58" s="201" t="e">
        <f t="array" ref="BI58">_xlfn.IFS(AND($K58&gt;BH$7,$L58&gt;BH$7),0,AND($K58&lt;=BH$7,$L58&lt;=BH$7),1,AND($K58&lt;=BH$7,$L58&gt;BH$7),((BH$7-$K58)/($L58-$K58)))</f>
        <v>#REF!</v>
      </c>
      <c r="BJ58" s="201" t="e">
        <f t="array" ref="BJ58">_xlfn.IFS(AND($K58&gt;BI$7,$L58&gt;BI$7),0,AND($K58&lt;=BI$7,$L58&lt;=BI$7),1,AND($K58&lt;=BI$7,$L58&gt;BI$7),((BI$7-$K58)/($L58-$K58)))</f>
        <v>#REF!</v>
      </c>
      <c r="BK58" s="201" t="e">
        <f t="array" ref="BK58">_xlfn.IFS(AND($K58&gt;BJ$7,$L58&gt;BJ$7),0,AND($K58&lt;=BJ$7,$L58&lt;=BJ$7),1,AND($K58&lt;=BJ$7,$L58&gt;BJ$7),((BJ$7-$K58)/($L58-$K58)))</f>
        <v>#REF!</v>
      </c>
      <c r="BL58" s="201" t="e">
        <f t="array" ref="BL58">_xlfn.IFS(AND($K58&gt;BK$7,$L58&gt;BK$7),0,AND($K58&lt;=BK$7,$L58&lt;=BK$7),1,AND($K58&lt;=BK$7,$L58&gt;BK$7),((BK$7-$K58)/($L58-$K58)))</f>
        <v>#REF!</v>
      </c>
      <c r="BM58" s="201" t="e">
        <f t="array" ref="BM58">_xlfn.IFS(AND($K58&gt;BL$7,$L58&gt;BL$7),0,AND($K58&lt;=BL$7,$L58&lt;=BL$7),1,AND($K58&lt;=BL$7,$L58&gt;BL$7),((BL$7-$K58)/($L58-$K58)))</f>
        <v>#REF!</v>
      </c>
      <c r="BN58" s="201" t="e">
        <f t="array" ref="BN58">_xlfn.IFS(AND($K58&gt;BM$7,$L58&gt;BM$7),0,AND($K58&lt;=BM$7,$L58&lt;=BM$7),1,AND($K58&lt;=BM$7,$L58&gt;BM$7),((BM$7-$K58)/($L58-$K58)))</f>
        <v>#REF!</v>
      </c>
    </row>
    <row r="59" spans="2:66" ht="15" customHeight="1" x14ac:dyDescent="0.3">
      <c r="B59" s="166" t="s">
        <v>161</v>
      </c>
      <c r="C59" s="166" t="s">
        <v>166</v>
      </c>
      <c r="D59" s="177"/>
      <c r="E59" s="170" t="str">
        <f t="shared" si="32"/>
        <v>Desenvolvimento da Transformação dos Processos</v>
      </c>
      <c r="F59" s="174" t="str">
        <f t="shared" si="35"/>
        <v>Diagnóstico de Maturidade do Processo</v>
      </c>
      <c r="G59" s="166" t="str">
        <f t="shared" si="38"/>
        <v>Diagnóstico de Maturidade do Processo</v>
      </c>
      <c r="H59" s="197" t="s">
        <v>167</v>
      </c>
      <c r="I59" s="166">
        <v>45838</v>
      </c>
      <c r="J59" s="166">
        <v>45842</v>
      </c>
      <c r="K59" s="166">
        <v>45838</v>
      </c>
      <c r="L59" s="166">
        <v>45842</v>
      </c>
      <c r="M59" s="167"/>
      <c r="N59" s="167" t="str">
        <f t="array" ref="N59">_xlfn.IFS(L59&lt;$M$3,"Concluído",AND(K59&gt;=$M$3,I59&lt;$M$3,L59&gt;$M$3),"Em andamento",AND(L59&gt;=$M$3,J59&lt;$M$3),"Atrasado",AND(L59&gt;=$M$3,J59&gt;=$M$3,I59&gt;$M$3,K59&lt;=$M$3),"Em andamento",AND(L59&gt;=$M$3,J59&gt;=$M$3,I59&lt;=$M$3,K59&lt;=$M$3),"Em andamento",AND(K59&gt;$M$3,I59&gt;$M$3),"Não iniciado",AND(L59&gt;=$M$3,J59&gt;=$M$3,K59&gt;=$M$3,I59&lt;$M$3),"Atrasado",AND(L59&gt;=$M$3,J59&gt;=$M$3,K59&gt;=$M$3,I59&gt;$M$3),"Não iniciado",AND($I59&lt;=$M$3,$K59&gt;$M$3),"Atrasado")</f>
        <v>Concluído</v>
      </c>
      <c r="O59" s="167">
        <f t="array" ref="O59">_xlfn.IFS(N59="Não iniciado",0,N59="Em andamento",1,N59="Concluído",2,N59="Atrasado",3)</f>
        <v>2</v>
      </c>
      <c r="P59" s="169"/>
      <c r="Q59" s="152">
        <f t="array" aca="1" ref="Q59" ca="1">_xlfn.IFS(AND($I59&lt;$N$3,$J59&lt;$N$3),1,AND($I59&lt;=$N$3,$J59&gt;=$N$3),0.5,AND($I59&gt;=$N$3,$J59&gt;=$N$3),0)</f>
        <v>1</v>
      </c>
      <c r="R59" s="152">
        <f t="array" aca="1" ref="R59" ca="1">_xlfn.IFS(AND($K59&lt;$N$3,$L59&lt;$N$3),1,AND($K59&lt;=$N$3,$L59&gt;=$N$3),0.5,AND($K59&gt;=$N$3,$L59&gt;=$N$3),0)</f>
        <v>1</v>
      </c>
      <c r="S59" s="201" t="e">
        <f t="array" ref="S59">_xlfn.IFS(AND($K59&gt;R$7,$L59&gt;R$7),0,AND($K59&lt;=R$7,$L59&lt;=R$7),1,AND($K59&lt;=R$7,$L59&gt;R$7),((R$7-$K59)/($L59-$K59)))</f>
        <v>#REF!</v>
      </c>
      <c r="T59" s="201" t="e">
        <f t="array" ref="T59">_xlfn.IFS(AND($K59&gt;S$7,$L59&gt;S$7),0,AND($K59&lt;=S$7,$L59&lt;=S$7),1,AND($K59&lt;=S$7,$L59&gt;S$7),((S$7-$K59)/($L59-$K59)))</f>
        <v>#REF!</v>
      </c>
      <c r="U59" s="201" t="e">
        <f t="array" ref="U59">_xlfn.IFS(AND($K59&gt;T$7,$L59&gt;T$7),0,AND($K59&lt;=T$7,$L59&lt;=T$7),1,AND($K59&lt;=T$7,$L59&gt;T$7),((T$7-$K59)/($L59-$K59)))</f>
        <v>#REF!</v>
      </c>
      <c r="V59" s="201" t="e">
        <f t="array" ref="V59">_xlfn.IFS(AND($K59&gt;U$7,$L59&gt;U$7),0,AND($K59&lt;=U$7,$L59&lt;=U$7),1,AND($K59&lt;=U$7,$L59&gt;U$7),((U$7-$K59)/($L59-$K59)))</f>
        <v>#REF!</v>
      </c>
      <c r="W59" s="201" t="e">
        <f t="array" ref="W59">_xlfn.IFS(AND($K59&gt;V$7,$L59&gt;V$7),0,AND($K59&lt;=V$7,$L59&lt;=V$7),1,AND($K59&lt;=V$7,$L59&gt;V$7),((V$7-$K59)/($L59-$K59)))</f>
        <v>#REF!</v>
      </c>
      <c r="X59" s="201" t="e">
        <f t="array" ref="X59">_xlfn.IFS(AND($K59&gt;W$7,$L59&gt;W$7),0,AND($K59&lt;=W$7,$L59&lt;=W$7),1,AND($K59&lt;=W$7,$L59&gt;W$7),((W$7-$K59)/($L59-$K59)))</f>
        <v>#REF!</v>
      </c>
      <c r="Y59" s="201" t="e">
        <f t="array" ref="Y59">_xlfn.IFS(AND($K59&gt;X$7,$L59&gt;X$7),0,AND($K59&lt;=X$7,$L59&lt;=X$7),1,AND($K59&lt;=X$7,$L59&gt;X$7),((X$7-$K59)/($L59-$K59)))</f>
        <v>#REF!</v>
      </c>
      <c r="Z59" s="201" t="e">
        <f t="array" ref="Z59">_xlfn.IFS(AND($K59&gt;Y$7,$L59&gt;Y$7),0,AND($K59&lt;=Y$7,$L59&lt;=Y$7),1,AND($K59&lt;=Y$7,$L59&gt;Y$7),((Y$7-$K59)/($L59-$K59)))</f>
        <v>#REF!</v>
      </c>
      <c r="AA59" s="201" t="e">
        <f t="array" ref="AA59">_xlfn.IFS(AND($K59&gt;Z$7,$L59&gt;Z$7),0,AND($K59&lt;=Z$7,$L59&lt;=Z$7),1,AND($K59&lt;=Z$7,$L59&gt;Z$7),((Z$7-$K59)/($L59-$K59)))</f>
        <v>#REF!</v>
      </c>
      <c r="AB59" s="201" t="e">
        <f t="array" ref="AB59">_xlfn.IFS(AND($K59&gt;AA$7,$L59&gt;AA$7),0,AND($K59&lt;=AA$7,$L59&lt;=AA$7),1,AND($K59&lt;=AA$7,$L59&gt;AA$7),((AA$7-$K59)/($L59-$K59)))</f>
        <v>#REF!</v>
      </c>
      <c r="AC59" s="201" t="e">
        <f t="array" ref="AC59">_xlfn.IFS(AND($K59&gt;AB$7,$L59&gt;AB$7),0,AND($K59&lt;=AB$7,$L59&lt;=AB$7),1,AND($K59&lt;=AB$7,$L59&gt;AB$7),((AB$7-$K59)/($L59-$K59)))</f>
        <v>#REF!</v>
      </c>
      <c r="AD59" s="201" t="e">
        <f t="array" ref="AD59">_xlfn.IFS(AND($K59&gt;AC$7,$L59&gt;AC$7),0,AND($K59&lt;=AC$7,$L59&lt;=AC$7),1,AND($K59&lt;=AC$7,$L59&gt;AC$7),((AC$7-$K59)/($L59-$K59)))</f>
        <v>#REF!</v>
      </c>
      <c r="AE59" s="201" t="e">
        <f t="array" ref="AE59">_xlfn.IFS(AND($K59&gt;AD$7,$L59&gt;AD$7),0,AND($K59&lt;=AD$7,$L59&lt;=AD$7),1,AND($K59&lt;=AD$7,$L59&gt;AD$7),((AD$7-$K59)/($L59-$K59)))</f>
        <v>#REF!</v>
      </c>
      <c r="AF59" s="201" t="e">
        <f t="array" ref="AF59">_xlfn.IFS(AND($K59&gt;AE$7,$L59&gt;AE$7),0,AND($K59&lt;=AE$7,$L59&lt;=AE$7),1,AND($K59&lt;=AE$7,$L59&gt;AE$7),((AE$7-$K59)/($L59-$K59)))</f>
        <v>#REF!</v>
      </c>
      <c r="AG59" s="201" t="e">
        <f t="array" ref="AG59">_xlfn.IFS(AND($K59&gt;AF$7,$L59&gt;AF$7),0,AND($K59&lt;=AF$7,$L59&lt;=AF$7),1,AND($K59&lt;=AF$7,$L59&gt;AF$7),((AF$7-$K59)/($L59-$K59)))</f>
        <v>#REF!</v>
      </c>
      <c r="AH59" s="201" t="e">
        <f t="array" ref="AH59">_xlfn.IFS(AND($K59&gt;AG$7,$L59&gt;AG$7),0,AND($K59&lt;=AG$7,$L59&lt;=AG$7),1,AND($K59&lt;=AG$7,$L59&gt;AG$7),((AG$7-$K59)/($L59-$K59)))</f>
        <v>#REF!</v>
      </c>
      <c r="AI59" s="201" t="e">
        <f t="array" ref="AI59">_xlfn.IFS(AND($K59&gt;AH$7,$L59&gt;AH$7),0,AND($K59&lt;=AH$7,$L59&lt;=AH$7),1,AND($K59&lt;=AH$7,$L59&gt;AH$7),((AH$7-$K59)/($L59-$K59)))</f>
        <v>#REF!</v>
      </c>
      <c r="AJ59" s="201" t="e">
        <f t="array" ref="AJ59">_xlfn.IFS(AND($K59&gt;AI$7,$L59&gt;AI$7),0,AND($K59&lt;=AI$7,$L59&lt;=AI$7),1,AND($K59&lt;=AI$7,$L59&gt;AI$7),((AI$7-$K59)/($L59-$K59)))</f>
        <v>#REF!</v>
      </c>
      <c r="AK59" s="201" t="e">
        <f t="array" ref="AK59">_xlfn.IFS(AND($K59&gt;AJ$7,$L59&gt;AJ$7),0,AND($K59&lt;=AJ$7,$L59&lt;=AJ$7),1,AND($K59&lt;=AJ$7,$L59&gt;AJ$7),((AJ$7-$K59)/($L59-$K59)))</f>
        <v>#REF!</v>
      </c>
      <c r="AL59" s="201" t="e">
        <f t="array" ref="AL59">_xlfn.IFS(AND($K59&gt;AK$7,$L59&gt;AK$7),0,AND($K59&lt;=AK$7,$L59&lt;=AK$7),1,AND($K59&lt;=AK$7,$L59&gt;AK$7),((AK$7-$K59)/($L59-$K59)))</f>
        <v>#REF!</v>
      </c>
      <c r="AM59" s="201" t="e">
        <f t="array" ref="AM59">_xlfn.IFS(AND($K59&gt;AL$7,$L59&gt;AL$7),0,AND($K59&lt;=AL$7,$L59&lt;=AL$7),1,AND($K59&lt;=AL$7,$L59&gt;AL$7),((AL$7-$K59)/($L59-$K59)))</f>
        <v>#REF!</v>
      </c>
      <c r="AN59" s="201" t="e">
        <f t="array" ref="AN59">_xlfn.IFS(AND($K59&gt;AM$7,$L59&gt;AM$7),0,AND($K59&lt;=AM$7,$L59&lt;=AM$7),1,AND($K59&lt;=AM$7,$L59&gt;AM$7),((AM$7-$K59)/($L59-$K59)))</f>
        <v>#REF!</v>
      </c>
      <c r="AO59" s="201" t="e">
        <f t="array" ref="AO59">_xlfn.IFS(AND($K59&gt;AN$7,$L59&gt;AN$7),0,AND($K59&lt;=AN$7,$L59&lt;=AN$7),1,AND($K59&lt;=AN$7,$L59&gt;AN$7),((AN$7-$K59)/($L59-$K59)))</f>
        <v>#REF!</v>
      </c>
      <c r="AP59" s="201" t="e">
        <f t="array" ref="AP59">_xlfn.IFS(AND($K59&gt;AO$7,$L59&gt;AO$7),0,AND($K59&lt;=AO$7,$L59&lt;=AO$7),1,AND($K59&lt;=AO$7,$L59&gt;AO$7),((AO$7-$K59)/($L59-$K59)))</f>
        <v>#REF!</v>
      </c>
      <c r="AQ59" s="201" t="e">
        <f t="array" ref="AQ59">_xlfn.IFS(AND($K59&gt;AP$7,$L59&gt;AP$7),0,AND($K59&lt;=AP$7,$L59&lt;=AP$7),1,AND($K59&lt;=AP$7,$L59&gt;AP$7),((AP$7-$K59)/($L59-$K59)))</f>
        <v>#REF!</v>
      </c>
      <c r="AR59" s="201" t="e">
        <f t="array" ref="AR59">_xlfn.IFS(AND($K59&gt;AQ$7,$L59&gt;AQ$7),0,AND($K59&lt;=AQ$7,$L59&lt;=AQ$7),1,AND($K59&lt;=AQ$7,$L59&gt;AQ$7),((AQ$7-$K59)/($L59-$K59)))</f>
        <v>#REF!</v>
      </c>
      <c r="AS59" s="201" t="e">
        <f t="array" ref="AS59">_xlfn.IFS(AND($K59&gt;AR$7,$L59&gt;AR$7),0,AND($K59&lt;=AR$7,$L59&lt;=AR$7),1,AND($K59&lt;=AR$7,$L59&gt;AR$7),((AR$7-$K59)/($L59-$K59)))</f>
        <v>#REF!</v>
      </c>
      <c r="AT59" s="201" t="e">
        <f t="array" ref="AT59">_xlfn.IFS(AND($K59&gt;AS$7,$L59&gt;AS$7),0,AND($K59&lt;=AS$7,$L59&lt;=AS$7),1,AND($K59&lt;=AS$7,$L59&gt;AS$7),((AS$7-$K59)/($L59-$K59)))</f>
        <v>#REF!</v>
      </c>
      <c r="AU59" s="201" t="e">
        <f t="array" ref="AU59">_xlfn.IFS(AND($K59&gt;AT$7,$L59&gt;AT$7),0,AND($K59&lt;=AT$7,$L59&lt;=AT$7),1,AND($K59&lt;=AT$7,$L59&gt;AT$7),((AT$7-$K59)/($L59-$K59)))</f>
        <v>#REF!</v>
      </c>
      <c r="AV59" s="201" t="e">
        <f t="array" ref="AV59">_xlfn.IFS(AND($K59&gt;AU$7,$L59&gt;AU$7),0,AND($K59&lt;=AU$7,$L59&lt;=AU$7),1,AND($K59&lt;=AU$7,$L59&gt;AU$7),((AU$7-$K59)/($L59-$K59)))</f>
        <v>#REF!</v>
      </c>
      <c r="AW59" s="201" t="e">
        <f t="array" ref="AW59">_xlfn.IFS(AND($K59&gt;AV$7,$L59&gt;AV$7),0,AND($K59&lt;=AV$7,$L59&lt;=AV$7),1,AND($K59&lt;=AV$7,$L59&gt;AV$7),((AV$7-$K59)/($L59-$K59)))</f>
        <v>#REF!</v>
      </c>
      <c r="AX59" s="201" t="e">
        <f t="array" ref="AX59">_xlfn.IFS(AND($K59&gt;AW$7,$L59&gt;AW$7),0,AND($K59&lt;=AW$7,$L59&lt;=AW$7),1,AND($K59&lt;=AW$7,$L59&gt;AW$7),((AW$7-$K59)/($L59-$K59)))</f>
        <v>#REF!</v>
      </c>
      <c r="AY59" s="201" t="e">
        <f t="array" ref="AY59">_xlfn.IFS(AND($K59&gt;AX$7,$L59&gt;AX$7),0,AND($K59&lt;=AX$7,$L59&lt;=AX$7),1,AND($K59&lt;=AX$7,$L59&gt;AX$7),((AX$7-$K59)/($L59-$K59)))</f>
        <v>#REF!</v>
      </c>
      <c r="AZ59" s="201" t="e">
        <f t="array" ref="AZ59">_xlfn.IFS(AND($K59&gt;AY$7,$L59&gt;AY$7),0,AND($K59&lt;=AY$7,$L59&lt;=AY$7),1,AND($K59&lt;=AY$7,$L59&gt;AY$7),((AY$7-$K59)/($L59-$K59)))</f>
        <v>#REF!</v>
      </c>
      <c r="BA59" s="201" t="e">
        <f t="array" ref="BA59">_xlfn.IFS(AND($K59&gt;AZ$7,$L59&gt;AZ$7),0,AND($K59&lt;=AZ$7,$L59&lt;=AZ$7),1,AND($K59&lt;=AZ$7,$L59&gt;AZ$7),((AZ$7-$K59)/($L59-$K59)))</f>
        <v>#REF!</v>
      </c>
      <c r="BB59" s="201" t="e">
        <f t="array" ref="BB59">_xlfn.IFS(AND($K59&gt;BA$7,$L59&gt;BA$7),0,AND($K59&lt;=BA$7,$L59&lt;=BA$7),1,AND($K59&lt;=BA$7,$L59&gt;BA$7),((BA$7-$K59)/($L59-$K59)))</f>
        <v>#REF!</v>
      </c>
      <c r="BC59" s="201" t="e">
        <f t="array" ref="BC59">_xlfn.IFS(AND($K59&gt;BB$7,$L59&gt;BB$7),0,AND($K59&lt;=BB$7,$L59&lt;=BB$7),1,AND($K59&lt;=BB$7,$L59&gt;BB$7),((BB$7-$K59)/($L59-$K59)))</f>
        <v>#REF!</v>
      </c>
      <c r="BD59" s="201" t="e">
        <f t="array" ref="BD59">_xlfn.IFS(AND($K59&gt;BC$7,$L59&gt;BC$7),0,AND($K59&lt;=BC$7,$L59&lt;=BC$7),1,AND($K59&lt;=BC$7,$L59&gt;BC$7),((BC$7-$K59)/($L59-$K59)))</f>
        <v>#REF!</v>
      </c>
      <c r="BE59" s="201" t="e">
        <f t="array" ref="BE59">_xlfn.IFS(AND($K59&gt;BD$7,$L59&gt;BD$7),0,AND($K59&lt;=BD$7,$L59&lt;=BD$7),1,AND($K59&lt;=BD$7,$L59&gt;BD$7),((BD$7-$K59)/($L59-$K59)))</f>
        <v>#REF!</v>
      </c>
      <c r="BF59" s="201" t="e">
        <f t="array" ref="BF59">_xlfn.IFS(AND($K59&gt;BE$7,$L59&gt;BE$7),0,AND($K59&lt;=BE$7,$L59&lt;=BE$7),1,AND($K59&lt;=BE$7,$L59&gt;BE$7),((BE$7-$K59)/($L59-$K59)))</f>
        <v>#REF!</v>
      </c>
      <c r="BG59" s="201" t="e">
        <f t="array" ref="BG59">_xlfn.IFS(AND($K59&gt;BF$7,$L59&gt;BF$7),0,AND($K59&lt;=BF$7,$L59&lt;=BF$7),1,AND($K59&lt;=BF$7,$L59&gt;BF$7),((BF$7-$K59)/($L59-$K59)))</f>
        <v>#REF!</v>
      </c>
      <c r="BH59" s="201" t="e">
        <f t="array" ref="BH59">_xlfn.IFS(AND($K59&gt;BG$7,$L59&gt;BG$7),0,AND($K59&lt;=BG$7,$L59&lt;=BG$7),1,AND($K59&lt;=BG$7,$L59&gt;BG$7),((BG$7-$K59)/($L59-$K59)))</f>
        <v>#REF!</v>
      </c>
      <c r="BI59" s="201" t="e">
        <f t="array" ref="BI59">_xlfn.IFS(AND($K59&gt;BH$7,$L59&gt;BH$7),0,AND($K59&lt;=BH$7,$L59&lt;=BH$7),1,AND($K59&lt;=BH$7,$L59&gt;BH$7),((BH$7-$K59)/($L59-$K59)))</f>
        <v>#REF!</v>
      </c>
      <c r="BJ59" s="201" t="e">
        <f t="array" ref="BJ59">_xlfn.IFS(AND($K59&gt;BI$7,$L59&gt;BI$7),0,AND($K59&lt;=BI$7,$L59&lt;=BI$7),1,AND($K59&lt;=BI$7,$L59&gt;BI$7),((BI$7-$K59)/($L59-$K59)))</f>
        <v>#REF!</v>
      </c>
      <c r="BK59" s="201" t="e">
        <f t="array" ref="BK59">_xlfn.IFS(AND($K59&gt;BJ$7,$L59&gt;BJ$7),0,AND($K59&lt;=BJ$7,$L59&lt;=BJ$7),1,AND($K59&lt;=BJ$7,$L59&gt;BJ$7),((BJ$7-$K59)/($L59-$K59)))</f>
        <v>#REF!</v>
      </c>
      <c r="BL59" s="201" t="e">
        <f t="array" ref="BL59">_xlfn.IFS(AND($K59&gt;BK$7,$L59&gt;BK$7),0,AND($K59&lt;=BK$7,$L59&lt;=BK$7),1,AND($K59&lt;=BK$7,$L59&gt;BK$7),((BK$7-$K59)/($L59-$K59)))</f>
        <v>#REF!</v>
      </c>
      <c r="BM59" s="201" t="e">
        <f t="array" ref="BM59">_xlfn.IFS(AND($K59&gt;BL$7,$L59&gt;BL$7),0,AND($K59&lt;=BL$7,$L59&lt;=BL$7),1,AND($K59&lt;=BL$7,$L59&gt;BL$7),((BL$7-$K59)/($L59-$K59)))</f>
        <v>#REF!</v>
      </c>
      <c r="BN59" s="201" t="e">
        <f t="array" ref="BN59">_xlfn.IFS(AND($K59&gt;BM$7,$L59&gt;BM$7),0,AND($K59&lt;=BM$7,$L59&lt;=BM$7),1,AND($K59&lt;=BM$7,$L59&gt;BM$7),((BM$7-$K59)/($L59-$K59)))</f>
        <v>#REF!</v>
      </c>
    </row>
    <row r="60" spans="2:66" ht="15" customHeight="1" x14ac:dyDescent="0.3">
      <c r="B60" s="166" t="s">
        <v>161</v>
      </c>
      <c r="C60" s="166" t="s">
        <v>168</v>
      </c>
      <c r="D60" s="177"/>
      <c r="E60" s="170" t="str">
        <f t="shared" si="32"/>
        <v>Desenvolvimento da Transformação dos Processos</v>
      </c>
      <c r="F60" s="174" t="str">
        <f t="shared" si="35"/>
        <v>Diagnóstico de Maturidade do Processo</v>
      </c>
      <c r="G60" s="166" t="str">
        <f t="shared" si="38"/>
        <v>Diagnóstico de Maturidade do Processo</v>
      </c>
      <c r="H60" s="197" t="s">
        <v>169</v>
      </c>
      <c r="I60" s="166">
        <v>45838</v>
      </c>
      <c r="J60" s="166">
        <v>45842</v>
      </c>
      <c r="K60" s="166">
        <v>45838</v>
      </c>
      <c r="L60" s="166">
        <v>45842</v>
      </c>
      <c r="M60" s="167"/>
      <c r="N60" s="167" t="str">
        <f t="array" ref="N60">_xlfn.IFS(L60&lt;$M$3,"Concluído",AND(K60&gt;=$M$3,I60&lt;$M$3,L60&gt;$M$3),"Em andamento",AND(L60&gt;=$M$3,J60&lt;$M$3),"Atrasado",AND(L60&gt;=$M$3,J60&gt;=$M$3,I60&gt;$M$3,K60&lt;=$M$3),"Em andamento",AND(L60&gt;=$M$3,J60&gt;=$M$3,I60&lt;=$M$3,K60&lt;=$M$3),"Em andamento",AND(K60&gt;$M$3,I60&gt;$M$3),"Não iniciado",AND(L60&gt;=$M$3,J60&gt;=$M$3,K60&gt;=$M$3,I60&lt;$M$3),"Atrasado",AND(L60&gt;=$M$3,J60&gt;=$M$3,K60&gt;=$M$3,I60&gt;$M$3),"Não iniciado",AND($I60&lt;=$M$3,$K60&gt;$M$3),"Atrasado")</f>
        <v>Concluído</v>
      </c>
      <c r="O60" s="167">
        <f t="array" ref="O60">_xlfn.IFS(N60="Não iniciado",0,N60="Em andamento",1,N60="Concluído",2,N60="Atrasado",3)</f>
        <v>2</v>
      </c>
      <c r="P60" s="169"/>
      <c r="Q60" s="152">
        <f t="array" aca="1" ref="Q60" ca="1">_xlfn.IFS(AND($I60&lt;$N$3,$J60&lt;$N$3),1,AND($I60&lt;=$N$3,$J60&gt;=$N$3),0.5,AND($I60&gt;=$N$3,$J60&gt;=$N$3),0)</f>
        <v>1</v>
      </c>
      <c r="R60" s="152">
        <f t="array" aca="1" ref="R60" ca="1">_xlfn.IFS(AND($K60&lt;$N$3,$L60&lt;$N$3),1,AND($K60&lt;=$N$3,$L60&gt;=$N$3),0.5,AND($K60&gt;=$N$3,$L60&gt;=$N$3),0)</f>
        <v>1</v>
      </c>
      <c r="S60" s="201" t="e">
        <f t="array" ref="S60">_xlfn.IFS(AND($K60&gt;R$7,$L60&gt;R$7),0,AND($K60&lt;=R$7,$L60&lt;=R$7),1,AND($K60&lt;=R$7,$L60&gt;R$7),((R$7-$K60)/($L60-$K60)))</f>
        <v>#REF!</v>
      </c>
      <c r="T60" s="201" t="e">
        <f t="array" ref="T60">_xlfn.IFS(AND($K60&gt;S$7,$L60&gt;S$7),0,AND($K60&lt;=S$7,$L60&lt;=S$7),1,AND($K60&lt;=S$7,$L60&gt;S$7),((S$7-$K60)/($L60-$K60)))</f>
        <v>#REF!</v>
      </c>
      <c r="U60" s="201" t="e">
        <f t="array" ref="U60">_xlfn.IFS(AND($K60&gt;T$7,$L60&gt;T$7),0,AND($K60&lt;=T$7,$L60&lt;=T$7),1,AND($K60&lt;=T$7,$L60&gt;T$7),((T$7-$K60)/($L60-$K60)))</f>
        <v>#REF!</v>
      </c>
      <c r="V60" s="201" t="e">
        <f t="array" ref="V60">_xlfn.IFS(AND($K60&gt;U$7,$L60&gt;U$7),0,AND($K60&lt;=U$7,$L60&lt;=U$7),1,AND($K60&lt;=U$7,$L60&gt;U$7),((U$7-$K60)/($L60-$K60)))</f>
        <v>#REF!</v>
      </c>
      <c r="W60" s="201" t="e">
        <f t="array" ref="W60">_xlfn.IFS(AND($K60&gt;V$7,$L60&gt;V$7),0,AND($K60&lt;=V$7,$L60&lt;=V$7),1,AND($K60&lt;=V$7,$L60&gt;V$7),((V$7-$K60)/($L60-$K60)))</f>
        <v>#REF!</v>
      </c>
      <c r="X60" s="201" t="e">
        <f t="array" ref="X60">_xlfn.IFS(AND($K60&gt;W$7,$L60&gt;W$7),0,AND($K60&lt;=W$7,$L60&lt;=W$7),1,AND($K60&lt;=W$7,$L60&gt;W$7),((W$7-$K60)/($L60-$K60)))</f>
        <v>#REF!</v>
      </c>
      <c r="Y60" s="201" t="e">
        <f t="array" ref="Y60">_xlfn.IFS(AND($K60&gt;X$7,$L60&gt;X$7),0,AND($K60&lt;=X$7,$L60&lt;=X$7),1,AND($K60&lt;=X$7,$L60&gt;X$7),((X$7-$K60)/($L60-$K60)))</f>
        <v>#REF!</v>
      </c>
      <c r="Z60" s="201" t="e">
        <f t="array" ref="Z60">_xlfn.IFS(AND($K60&gt;Y$7,$L60&gt;Y$7),0,AND($K60&lt;=Y$7,$L60&lt;=Y$7),1,AND($K60&lt;=Y$7,$L60&gt;Y$7),((Y$7-$K60)/($L60-$K60)))</f>
        <v>#REF!</v>
      </c>
      <c r="AA60" s="201" t="e">
        <f t="array" ref="AA60">_xlfn.IFS(AND($K60&gt;Z$7,$L60&gt;Z$7),0,AND($K60&lt;=Z$7,$L60&lt;=Z$7),1,AND($K60&lt;=Z$7,$L60&gt;Z$7),((Z$7-$K60)/($L60-$K60)))</f>
        <v>#REF!</v>
      </c>
      <c r="AB60" s="201" t="e">
        <f t="array" ref="AB60">_xlfn.IFS(AND($K60&gt;AA$7,$L60&gt;AA$7),0,AND($K60&lt;=AA$7,$L60&lt;=AA$7),1,AND($K60&lt;=AA$7,$L60&gt;AA$7),((AA$7-$K60)/($L60-$K60)))</f>
        <v>#REF!</v>
      </c>
      <c r="AC60" s="201" t="e">
        <f t="array" ref="AC60">_xlfn.IFS(AND($K60&gt;AB$7,$L60&gt;AB$7),0,AND($K60&lt;=AB$7,$L60&lt;=AB$7),1,AND($K60&lt;=AB$7,$L60&gt;AB$7),((AB$7-$K60)/($L60-$K60)))</f>
        <v>#REF!</v>
      </c>
      <c r="AD60" s="201" t="e">
        <f t="array" ref="AD60">_xlfn.IFS(AND($K60&gt;AC$7,$L60&gt;AC$7),0,AND($K60&lt;=AC$7,$L60&lt;=AC$7),1,AND($K60&lt;=AC$7,$L60&gt;AC$7),((AC$7-$K60)/($L60-$K60)))</f>
        <v>#REF!</v>
      </c>
      <c r="AE60" s="201" t="e">
        <f t="array" ref="AE60">_xlfn.IFS(AND($K60&gt;AD$7,$L60&gt;AD$7),0,AND($K60&lt;=AD$7,$L60&lt;=AD$7),1,AND($K60&lt;=AD$7,$L60&gt;AD$7),((AD$7-$K60)/($L60-$K60)))</f>
        <v>#REF!</v>
      </c>
      <c r="AF60" s="201" t="e">
        <f t="array" ref="AF60">_xlfn.IFS(AND($K60&gt;AE$7,$L60&gt;AE$7),0,AND($K60&lt;=AE$7,$L60&lt;=AE$7),1,AND($K60&lt;=AE$7,$L60&gt;AE$7),((AE$7-$K60)/($L60-$K60)))</f>
        <v>#REF!</v>
      </c>
      <c r="AG60" s="201" t="e">
        <f t="array" ref="AG60">_xlfn.IFS(AND($K60&gt;AF$7,$L60&gt;AF$7),0,AND($K60&lt;=AF$7,$L60&lt;=AF$7),1,AND($K60&lt;=AF$7,$L60&gt;AF$7),((AF$7-$K60)/($L60-$K60)))</f>
        <v>#REF!</v>
      </c>
      <c r="AH60" s="201" t="e">
        <f t="array" ref="AH60">_xlfn.IFS(AND($K60&gt;AG$7,$L60&gt;AG$7),0,AND($K60&lt;=AG$7,$L60&lt;=AG$7),1,AND($K60&lt;=AG$7,$L60&gt;AG$7),((AG$7-$K60)/($L60-$K60)))</f>
        <v>#REF!</v>
      </c>
      <c r="AI60" s="201" t="e">
        <f t="array" ref="AI60">_xlfn.IFS(AND($K60&gt;AH$7,$L60&gt;AH$7),0,AND($K60&lt;=AH$7,$L60&lt;=AH$7),1,AND($K60&lt;=AH$7,$L60&gt;AH$7),((AH$7-$K60)/($L60-$K60)))</f>
        <v>#REF!</v>
      </c>
      <c r="AJ60" s="201" t="e">
        <f t="array" ref="AJ60">_xlfn.IFS(AND($K60&gt;AI$7,$L60&gt;AI$7),0,AND($K60&lt;=AI$7,$L60&lt;=AI$7),1,AND($K60&lt;=AI$7,$L60&gt;AI$7),((AI$7-$K60)/($L60-$K60)))</f>
        <v>#REF!</v>
      </c>
      <c r="AK60" s="201" t="e">
        <f t="array" ref="AK60">_xlfn.IFS(AND($K60&gt;AJ$7,$L60&gt;AJ$7),0,AND($K60&lt;=AJ$7,$L60&lt;=AJ$7),1,AND($K60&lt;=AJ$7,$L60&gt;AJ$7),((AJ$7-$K60)/($L60-$K60)))</f>
        <v>#REF!</v>
      </c>
      <c r="AL60" s="201" t="e">
        <f t="array" ref="AL60">_xlfn.IFS(AND($K60&gt;AK$7,$L60&gt;AK$7),0,AND($K60&lt;=AK$7,$L60&lt;=AK$7),1,AND($K60&lt;=AK$7,$L60&gt;AK$7),((AK$7-$K60)/($L60-$K60)))</f>
        <v>#REF!</v>
      </c>
      <c r="AM60" s="201" t="e">
        <f t="array" ref="AM60">_xlfn.IFS(AND($K60&gt;AL$7,$L60&gt;AL$7),0,AND($K60&lt;=AL$7,$L60&lt;=AL$7),1,AND($K60&lt;=AL$7,$L60&gt;AL$7),((AL$7-$K60)/($L60-$K60)))</f>
        <v>#REF!</v>
      </c>
      <c r="AN60" s="201" t="e">
        <f t="array" ref="AN60">_xlfn.IFS(AND($K60&gt;AM$7,$L60&gt;AM$7),0,AND($K60&lt;=AM$7,$L60&lt;=AM$7),1,AND($K60&lt;=AM$7,$L60&gt;AM$7),((AM$7-$K60)/($L60-$K60)))</f>
        <v>#REF!</v>
      </c>
      <c r="AO60" s="201" t="e">
        <f t="array" ref="AO60">_xlfn.IFS(AND($K60&gt;AN$7,$L60&gt;AN$7),0,AND($K60&lt;=AN$7,$L60&lt;=AN$7),1,AND($K60&lt;=AN$7,$L60&gt;AN$7),((AN$7-$K60)/($L60-$K60)))</f>
        <v>#REF!</v>
      </c>
      <c r="AP60" s="201" t="e">
        <f t="array" ref="AP60">_xlfn.IFS(AND($K60&gt;AO$7,$L60&gt;AO$7),0,AND($K60&lt;=AO$7,$L60&lt;=AO$7),1,AND($K60&lt;=AO$7,$L60&gt;AO$7),((AO$7-$K60)/($L60-$K60)))</f>
        <v>#REF!</v>
      </c>
      <c r="AQ60" s="201" t="e">
        <f t="array" ref="AQ60">_xlfn.IFS(AND($K60&gt;AP$7,$L60&gt;AP$7),0,AND($K60&lt;=AP$7,$L60&lt;=AP$7),1,AND($K60&lt;=AP$7,$L60&gt;AP$7),((AP$7-$K60)/($L60-$K60)))</f>
        <v>#REF!</v>
      </c>
      <c r="AR60" s="201" t="e">
        <f t="array" ref="AR60">_xlfn.IFS(AND($K60&gt;AQ$7,$L60&gt;AQ$7),0,AND($K60&lt;=AQ$7,$L60&lt;=AQ$7),1,AND($K60&lt;=AQ$7,$L60&gt;AQ$7),((AQ$7-$K60)/($L60-$K60)))</f>
        <v>#REF!</v>
      </c>
      <c r="AS60" s="201" t="e">
        <f t="array" ref="AS60">_xlfn.IFS(AND($K60&gt;AR$7,$L60&gt;AR$7),0,AND($K60&lt;=AR$7,$L60&lt;=AR$7),1,AND($K60&lt;=AR$7,$L60&gt;AR$7),((AR$7-$K60)/($L60-$K60)))</f>
        <v>#REF!</v>
      </c>
      <c r="AT60" s="201" t="e">
        <f t="array" ref="AT60">_xlfn.IFS(AND($K60&gt;AS$7,$L60&gt;AS$7),0,AND($K60&lt;=AS$7,$L60&lt;=AS$7),1,AND($K60&lt;=AS$7,$L60&gt;AS$7),((AS$7-$K60)/($L60-$K60)))</f>
        <v>#REF!</v>
      </c>
      <c r="AU60" s="201" t="e">
        <f t="array" ref="AU60">_xlfn.IFS(AND($K60&gt;AT$7,$L60&gt;AT$7),0,AND($K60&lt;=AT$7,$L60&lt;=AT$7),1,AND($K60&lt;=AT$7,$L60&gt;AT$7),((AT$7-$K60)/($L60-$K60)))</f>
        <v>#REF!</v>
      </c>
      <c r="AV60" s="201" t="e">
        <f t="array" ref="AV60">_xlfn.IFS(AND($K60&gt;AU$7,$L60&gt;AU$7),0,AND($K60&lt;=AU$7,$L60&lt;=AU$7),1,AND($K60&lt;=AU$7,$L60&gt;AU$7),((AU$7-$K60)/($L60-$K60)))</f>
        <v>#REF!</v>
      </c>
      <c r="AW60" s="201" t="e">
        <f t="array" ref="AW60">_xlfn.IFS(AND($K60&gt;AV$7,$L60&gt;AV$7),0,AND($K60&lt;=AV$7,$L60&lt;=AV$7),1,AND($K60&lt;=AV$7,$L60&gt;AV$7),((AV$7-$K60)/($L60-$K60)))</f>
        <v>#REF!</v>
      </c>
      <c r="AX60" s="201" t="e">
        <f t="array" ref="AX60">_xlfn.IFS(AND($K60&gt;AW$7,$L60&gt;AW$7),0,AND($K60&lt;=AW$7,$L60&lt;=AW$7),1,AND($K60&lt;=AW$7,$L60&gt;AW$7),((AW$7-$K60)/($L60-$K60)))</f>
        <v>#REF!</v>
      </c>
      <c r="AY60" s="201" t="e">
        <f t="array" ref="AY60">_xlfn.IFS(AND($K60&gt;AX$7,$L60&gt;AX$7),0,AND($K60&lt;=AX$7,$L60&lt;=AX$7),1,AND($K60&lt;=AX$7,$L60&gt;AX$7),((AX$7-$K60)/($L60-$K60)))</f>
        <v>#REF!</v>
      </c>
      <c r="AZ60" s="201" t="e">
        <f t="array" ref="AZ60">_xlfn.IFS(AND($K60&gt;AY$7,$L60&gt;AY$7),0,AND($K60&lt;=AY$7,$L60&lt;=AY$7),1,AND($K60&lt;=AY$7,$L60&gt;AY$7),((AY$7-$K60)/($L60-$K60)))</f>
        <v>#REF!</v>
      </c>
      <c r="BA60" s="201" t="e">
        <f t="array" ref="BA60">_xlfn.IFS(AND($K60&gt;AZ$7,$L60&gt;AZ$7),0,AND($K60&lt;=AZ$7,$L60&lt;=AZ$7),1,AND($K60&lt;=AZ$7,$L60&gt;AZ$7),((AZ$7-$K60)/($L60-$K60)))</f>
        <v>#REF!</v>
      </c>
      <c r="BB60" s="201" t="e">
        <f t="array" ref="BB60">_xlfn.IFS(AND($K60&gt;BA$7,$L60&gt;BA$7),0,AND($K60&lt;=BA$7,$L60&lt;=BA$7),1,AND($K60&lt;=BA$7,$L60&gt;BA$7),((BA$7-$K60)/($L60-$K60)))</f>
        <v>#REF!</v>
      </c>
      <c r="BC60" s="201" t="e">
        <f t="array" ref="BC60">_xlfn.IFS(AND($K60&gt;BB$7,$L60&gt;BB$7),0,AND($K60&lt;=BB$7,$L60&lt;=BB$7),1,AND($K60&lt;=BB$7,$L60&gt;BB$7),((BB$7-$K60)/($L60-$K60)))</f>
        <v>#REF!</v>
      </c>
      <c r="BD60" s="201" t="e">
        <f t="array" ref="BD60">_xlfn.IFS(AND($K60&gt;BC$7,$L60&gt;BC$7),0,AND($K60&lt;=BC$7,$L60&lt;=BC$7),1,AND($K60&lt;=BC$7,$L60&gt;BC$7),((BC$7-$K60)/($L60-$K60)))</f>
        <v>#REF!</v>
      </c>
      <c r="BE60" s="201" t="e">
        <f t="array" ref="BE60">_xlfn.IFS(AND($K60&gt;BD$7,$L60&gt;BD$7),0,AND($K60&lt;=BD$7,$L60&lt;=BD$7),1,AND($K60&lt;=BD$7,$L60&gt;BD$7),((BD$7-$K60)/($L60-$K60)))</f>
        <v>#REF!</v>
      </c>
      <c r="BF60" s="201" t="e">
        <f t="array" ref="BF60">_xlfn.IFS(AND($K60&gt;BE$7,$L60&gt;BE$7),0,AND($K60&lt;=BE$7,$L60&lt;=BE$7),1,AND($K60&lt;=BE$7,$L60&gt;BE$7),((BE$7-$K60)/($L60-$K60)))</f>
        <v>#REF!</v>
      </c>
      <c r="BG60" s="201" t="e">
        <f t="array" ref="BG60">_xlfn.IFS(AND($K60&gt;BF$7,$L60&gt;BF$7),0,AND($K60&lt;=BF$7,$L60&lt;=BF$7),1,AND($K60&lt;=BF$7,$L60&gt;BF$7),((BF$7-$K60)/($L60-$K60)))</f>
        <v>#REF!</v>
      </c>
      <c r="BH60" s="201" t="e">
        <f t="array" ref="BH60">_xlfn.IFS(AND($K60&gt;BG$7,$L60&gt;BG$7),0,AND($K60&lt;=BG$7,$L60&lt;=BG$7),1,AND($K60&lt;=BG$7,$L60&gt;BG$7),((BG$7-$K60)/($L60-$K60)))</f>
        <v>#REF!</v>
      </c>
      <c r="BI60" s="201" t="e">
        <f t="array" ref="BI60">_xlfn.IFS(AND($K60&gt;BH$7,$L60&gt;BH$7),0,AND($K60&lt;=BH$7,$L60&lt;=BH$7),1,AND($K60&lt;=BH$7,$L60&gt;BH$7),((BH$7-$K60)/($L60-$K60)))</f>
        <v>#REF!</v>
      </c>
      <c r="BJ60" s="201" t="e">
        <f t="array" ref="BJ60">_xlfn.IFS(AND($K60&gt;BI$7,$L60&gt;BI$7),0,AND($K60&lt;=BI$7,$L60&lt;=BI$7),1,AND($K60&lt;=BI$7,$L60&gt;BI$7),((BI$7-$K60)/($L60-$K60)))</f>
        <v>#REF!</v>
      </c>
      <c r="BK60" s="201" t="e">
        <f t="array" ref="BK60">_xlfn.IFS(AND($K60&gt;BJ$7,$L60&gt;BJ$7),0,AND($K60&lt;=BJ$7,$L60&lt;=BJ$7),1,AND($K60&lt;=BJ$7,$L60&gt;BJ$7),((BJ$7-$K60)/($L60-$K60)))</f>
        <v>#REF!</v>
      </c>
      <c r="BL60" s="201" t="e">
        <f t="array" ref="BL60">_xlfn.IFS(AND($K60&gt;BK$7,$L60&gt;BK$7),0,AND($K60&lt;=BK$7,$L60&lt;=BK$7),1,AND($K60&lt;=BK$7,$L60&gt;BK$7),((BK$7-$K60)/($L60-$K60)))</f>
        <v>#REF!</v>
      </c>
      <c r="BM60" s="201" t="e">
        <f t="array" ref="BM60">_xlfn.IFS(AND($K60&gt;BL$7,$L60&gt;BL$7),0,AND($K60&lt;=BL$7,$L60&lt;=BL$7),1,AND($K60&lt;=BL$7,$L60&gt;BL$7),((BL$7-$K60)/($L60-$K60)))</f>
        <v>#REF!</v>
      </c>
      <c r="BN60" s="201" t="e">
        <f t="array" ref="BN60">_xlfn.IFS(AND($K60&gt;BM$7,$L60&gt;BM$7),0,AND($K60&lt;=BM$7,$L60&lt;=BM$7),1,AND($K60&lt;=BM$7,$L60&gt;BM$7),((BM$7-$K60)/($L60-$K60)))</f>
        <v>#REF!</v>
      </c>
    </row>
    <row r="61" spans="2:66" ht="15" customHeight="1" x14ac:dyDescent="0.3">
      <c r="B61" s="166" t="s">
        <v>161</v>
      </c>
      <c r="C61" s="166" t="s">
        <v>170</v>
      </c>
      <c r="D61" s="177"/>
      <c r="E61" s="170" t="str">
        <f t="shared" si="32"/>
        <v>Desenvolvimento da Transformação dos Processos</v>
      </c>
      <c r="F61" s="174" t="str">
        <f t="shared" si="35"/>
        <v>Diagnóstico de Maturidade do Processo</v>
      </c>
      <c r="G61" s="166" t="str">
        <f t="shared" si="38"/>
        <v>Diagnóstico de Maturidade do Processo</v>
      </c>
      <c r="H61" s="197" t="s">
        <v>171</v>
      </c>
      <c r="I61" s="166">
        <v>45873</v>
      </c>
      <c r="J61" s="166">
        <v>45877</v>
      </c>
      <c r="K61" s="166">
        <v>45873</v>
      </c>
      <c r="L61" s="166">
        <v>45877</v>
      </c>
      <c r="M61" s="167"/>
      <c r="N61" s="167" t="str">
        <f t="array" ref="N61">_xlfn.IFS(L61&lt;$M$3,"Concluído",AND(K61&gt;=$M$3,I61&lt;$M$3,L61&gt;$M$3),"Em andamento",AND(L61&gt;=$M$3,J61&lt;$M$3),"Atrasado",AND(L61&gt;=$M$3,J61&gt;=$M$3,I61&gt;$M$3,K61&lt;=$M$3),"Em andamento",AND(L61&gt;=$M$3,J61&gt;=$M$3,I61&lt;=$M$3,K61&lt;=$M$3),"Em andamento",AND(K61&gt;$M$3,I61&gt;$M$3),"Não iniciado",AND(L61&gt;=$M$3,J61&gt;=$M$3,K61&gt;=$M$3,I61&lt;$M$3),"Atrasado",AND(L61&gt;=$M$3,J61&gt;=$M$3,K61&gt;=$M$3,I61&gt;$M$3),"Não iniciado",AND($I61&lt;=$M$3,$K61&gt;$M$3),"Atrasado")</f>
        <v>Concluído</v>
      </c>
      <c r="O61" s="167">
        <f t="array" ref="O61">_xlfn.IFS(N61="Não iniciado",0,N61="Em andamento",1,N61="Concluído",2,N61="Atrasado",3)</f>
        <v>2</v>
      </c>
      <c r="P61" s="169"/>
      <c r="Q61" s="152">
        <f t="array" aca="1" ref="Q61" ca="1">_xlfn.IFS(AND($I61&lt;$N$3,$J61&lt;$N$3),1,AND($I61&lt;=$N$3,$J61&gt;=$N$3),0.5,AND($I61&gt;=$N$3,$J61&gt;=$N$3),0)</f>
        <v>1</v>
      </c>
      <c r="R61" s="152">
        <f t="array" aca="1" ref="R61" ca="1">_xlfn.IFS(AND($K61&lt;$N$3,$L61&lt;$N$3),1,AND($K61&lt;=$N$3,$L61&gt;=$N$3),0.5,AND($K61&gt;=$N$3,$L61&gt;=$N$3),0)</f>
        <v>1</v>
      </c>
      <c r="S61" s="201" t="e">
        <f t="array" ref="S61">_xlfn.IFS(AND($K61&gt;R$7,$L61&gt;R$7),0,AND($K61&lt;=R$7,$L61&lt;=R$7),1,AND($K61&lt;=R$7,$L61&gt;R$7),((R$7-$K61)/($L61-$K61)))</f>
        <v>#REF!</v>
      </c>
      <c r="T61" s="201" t="e">
        <f t="array" ref="T61">_xlfn.IFS(AND($K61&gt;S$7,$L61&gt;S$7),0,AND($K61&lt;=S$7,$L61&lt;=S$7),1,AND($K61&lt;=S$7,$L61&gt;S$7),((S$7-$K61)/($L61-$K61)))</f>
        <v>#REF!</v>
      </c>
      <c r="U61" s="201" t="e">
        <f t="array" ref="U61">_xlfn.IFS(AND($K61&gt;T$7,$L61&gt;T$7),0,AND($K61&lt;=T$7,$L61&lt;=T$7),1,AND($K61&lt;=T$7,$L61&gt;T$7),((T$7-$K61)/($L61-$K61)))</f>
        <v>#REF!</v>
      </c>
      <c r="V61" s="201" t="e">
        <f t="array" ref="V61">_xlfn.IFS(AND($K61&gt;U$7,$L61&gt;U$7),0,AND($K61&lt;=U$7,$L61&lt;=U$7),1,AND($K61&lt;=U$7,$L61&gt;U$7),((U$7-$K61)/($L61-$K61)))</f>
        <v>#REF!</v>
      </c>
      <c r="W61" s="201" t="e">
        <f t="array" ref="W61">_xlfn.IFS(AND($K61&gt;V$7,$L61&gt;V$7),0,AND($K61&lt;=V$7,$L61&lt;=V$7),1,AND($K61&lt;=V$7,$L61&gt;V$7),((V$7-$K61)/($L61-$K61)))</f>
        <v>#REF!</v>
      </c>
      <c r="X61" s="201" t="e">
        <f t="array" ref="X61">_xlfn.IFS(AND($K61&gt;W$7,$L61&gt;W$7),0,AND($K61&lt;=W$7,$L61&lt;=W$7),1,AND($K61&lt;=W$7,$L61&gt;W$7),((W$7-$K61)/($L61-$K61)))</f>
        <v>#REF!</v>
      </c>
      <c r="Y61" s="201" t="e">
        <f t="array" ref="Y61">_xlfn.IFS(AND($K61&gt;X$7,$L61&gt;X$7),0,AND($K61&lt;=X$7,$L61&lt;=X$7),1,AND($K61&lt;=X$7,$L61&gt;X$7),((X$7-$K61)/($L61-$K61)))</f>
        <v>#REF!</v>
      </c>
      <c r="Z61" s="201" t="e">
        <f t="array" ref="Z61">_xlfn.IFS(AND($K61&gt;Y$7,$L61&gt;Y$7),0,AND($K61&lt;=Y$7,$L61&lt;=Y$7),1,AND($K61&lt;=Y$7,$L61&gt;Y$7),((Y$7-$K61)/($L61-$K61)))</f>
        <v>#REF!</v>
      </c>
      <c r="AA61" s="201" t="e">
        <f t="array" ref="AA61">_xlfn.IFS(AND($K61&gt;Z$7,$L61&gt;Z$7),0,AND($K61&lt;=Z$7,$L61&lt;=Z$7),1,AND($K61&lt;=Z$7,$L61&gt;Z$7),((Z$7-$K61)/($L61-$K61)))</f>
        <v>#REF!</v>
      </c>
      <c r="AB61" s="201" t="e">
        <f t="array" ref="AB61">_xlfn.IFS(AND($K61&gt;AA$7,$L61&gt;AA$7),0,AND($K61&lt;=AA$7,$L61&lt;=AA$7),1,AND($K61&lt;=AA$7,$L61&gt;AA$7),((AA$7-$K61)/($L61-$K61)))</f>
        <v>#REF!</v>
      </c>
      <c r="AC61" s="201" t="e">
        <f t="array" ref="AC61">_xlfn.IFS(AND($K61&gt;AB$7,$L61&gt;AB$7),0,AND($K61&lt;=AB$7,$L61&lt;=AB$7),1,AND($K61&lt;=AB$7,$L61&gt;AB$7),((AB$7-$K61)/($L61-$K61)))</f>
        <v>#REF!</v>
      </c>
      <c r="AD61" s="201" t="e">
        <f t="array" ref="AD61">_xlfn.IFS(AND($K61&gt;AC$7,$L61&gt;AC$7),0,AND($K61&lt;=AC$7,$L61&lt;=AC$7),1,AND($K61&lt;=AC$7,$L61&gt;AC$7),((AC$7-$K61)/($L61-$K61)))</f>
        <v>#REF!</v>
      </c>
      <c r="AE61" s="201" t="e">
        <f t="array" ref="AE61">_xlfn.IFS(AND($K61&gt;AD$7,$L61&gt;AD$7),0,AND($K61&lt;=AD$7,$L61&lt;=AD$7),1,AND($K61&lt;=AD$7,$L61&gt;AD$7),((AD$7-$K61)/($L61-$K61)))</f>
        <v>#REF!</v>
      </c>
      <c r="AF61" s="201" t="e">
        <f t="array" ref="AF61">_xlfn.IFS(AND($K61&gt;AE$7,$L61&gt;AE$7),0,AND($K61&lt;=AE$7,$L61&lt;=AE$7),1,AND($K61&lt;=AE$7,$L61&gt;AE$7),((AE$7-$K61)/($L61-$K61)))</f>
        <v>#REF!</v>
      </c>
      <c r="AG61" s="201" t="e">
        <f t="array" ref="AG61">_xlfn.IFS(AND($K61&gt;AF$7,$L61&gt;AF$7),0,AND($K61&lt;=AF$7,$L61&lt;=AF$7),1,AND($K61&lt;=AF$7,$L61&gt;AF$7),((AF$7-$K61)/($L61-$K61)))</f>
        <v>#REF!</v>
      </c>
      <c r="AH61" s="201" t="e">
        <f t="array" ref="AH61">_xlfn.IFS(AND($K61&gt;AG$7,$L61&gt;AG$7),0,AND($K61&lt;=AG$7,$L61&lt;=AG$7),1,AND($K61&lt;=AG$7,$L61&gt;AG$7),((AG$7-$K61)/($L61-$K61)))</f>
        <v>#REF!</v>
      </c>
      <c r="AI61" s="201" t="e">
        <f t="array" ref="AI61">_xlfn.IFS(AND($K61&gt;AH$7,$L61&gt;AH$7),0,AND($K61&lt;=AH$7,$L61&lt;=AH$7),1,AND($K61&lt;=AH$7,$L61&gt;AH$7),((AH$7-$K61)/($L61-$K61)))</f>
        <v>#REF!</v>
      </c>
      <c r="AJ61" s="201" t="e">
        <f t="array" ref="AJ61">_xlfn.IFS(AND($K61&gt;AI$7,$L61&gt;AI$7),0,AND($K61&lt;=AI$7,$L61&lt;=AI$7),1,AND($K61&lt;=AI$7,$L61&gt;AI$7),((AI$7-$K61)/($L61-$K61)))</f>
        <v>#REF!</v>
      </c>
      <c r="AK61" s="201" t="e">
        <f t="array" ref="AK61">_xlfn.IFS(AND($K61&gt;AJ$7,$L61&gt;AJ$7),0,AND($K61&lt;=AJ$7,$L61&lt;=AJ$7),1,AND($K61&lt;=AJ$7,$L61&gt;AJ$7),((AJ$7-$K61)/($L61-$K61)))</f>
        <v>#REF!</v>
      </c>
      <c r="AL61" s="201" t="e">
        <f t="array" ref="AL61">_xlfn.IFS(AND($K61&gt;AK$7,$L61&gt;AK$7),0,AND($K61&lt;=AK$7,$L61&lt;=AK$7),1,AND($K61&lt;=AK$7,$L61&gt;AK$7),((AK$7-$K61)/($L61-$K61)))</f>
        <v>#REF!</v>
      </c>
      <c r="AM61" s="201" t="e">
        <f t="array" ref="AM61">_xlfn.IFS(AND($K61&gt;AL$7,$L61&gt;AL$7),0,AND($K61&lt;=AL$7,$L61&lt;=AL$7),1,AND($K61&lt;=AL$7,$L61&gt;AL$7),((AL$7-$K61)/($L61-$K61)))</f>
        <v>#REF!</v>
      </c>
      <c r="AN61" s="201" t="e">
        <f t="array" ref="AN61">_xlfn.IFS(AND($K61&gt;AM$7,$L61&gt;AM$7),0,AND($K61&lt;=AM$7,$L61&lt;=AM$7),1,AND($K61&lt;=AM$7,$L61&gt;AM$7),((AM$7-$K61)/($L61-$K61)))</f>
        <v>#REF!</v>
      </c>
      <c r="AO61" s="201" t="e">
        <f t="array" ref="AO61">_xlfn.IFS(AND($K61&gt;AN$7,$L61&gt;AN$7),0,AND($K61&lt;=AN$7,$L61&lt;=AN$7),1,AND($K61&lt;=AN$7,$L61&gt;AN$7),((AN$7-$K61)/($L61-$K61)))</f>
        <v>#REF!</v>
      </c>
      <c r="AP61" s="201" t="e">
        <f t="array" ref="AP61">_xlfn.IFS(AND($K61&gt;AO$7,$L61&gt;AO$7),0,AND($K61&lt;=AO$7,$L61&lt;=AO$7),1,AND($K61&lt;=AO$7,$L61&gt;AO$7),((AO$7-$K61)/($L61-$K61)))</f>
        <v>#REF!</v>
      </c>
      <c r="AQ61" s="201" t="e">
        <f t="array" ref="AQ61">_xlfn.IFS(AND($K61&gt;AP$7,$L61&gt;AP$7),0,AND($K61&lt;=AP$7,$L61&lt;=AP$7),1,AND($K61&lt;=AP$7,$L61&gt;AP$7),((AP$7-$K61)/($L61-$K61)))</f>
        <v>#REF!</v>
      </c>
      <c r="AR61" s="201" t="e">
        <f t="array" ref="AR61">_xlfn.IFS(AND($K61&gt;AQ$7,$L61&gt;AQ$7),0,AND($K61&lt;=AQ$7,$L61&lt;=AQ$7),1,AND($K61&lt;=AQ$7,$L61&gt;AQ$7),((AQ$7-$K61)/($L61-$K61)))</f>
        <v>#REF!</v>
      </c>
      <c r="AS61" s="201" t="e">
        <f t="array" ref="AS61">_xlfn.IFS(AND($K61&gt;AR$7,$L61&gt;AR$7),0,AND($K61&lt;=AR$7,$L61&lt;=AR$7),1,AND($K61&lt;=AR$7,$L61&gt;AR$7),((AR$7-$K61)/($L61-$K61)))</f>
        <v>#REF!</v>
      </c>
      <c r="AT61" s="201" t="e">
        <f t="array" ref="AT61">_xlfn.IFS(AND($K61&gt;AS$7,$L61&gt;AS$7),0,AND($K61&lt;=AS$7,$L61&lt;=AS$7),1,AND($K61&lt;=AS$7,$L61&gt;AS$7),((AS$7-$K61)/($L61-$K61)))</f>
        <v>#REF!</v>
      </c>
      <c r="AU61" s="201" t="e">
        <f t="array" ref="AU61">_xlfn.IFS(AND($K61&gt;AT$7,$L61&gt;AT$7),0,AND($K61&lt;=AT$7,$L61&lt;=AT$7),1,AND($K61&lt;=AT$7,$L61&gt;AT$7),((AT$7-$K61)/($L61-$K61)))</f>
        <v>#REF!</v>
      </c>
      <c r="AV61" s="201" t="e">
        <f t="array" ref="AV61">_xlfn.IFS(AND($K61&gt;AU$7,$L61&gt;AU$7),0,AND($K61&lt;=AU$7,$L61&lt;=AU$7),1,AND($K61&lt;=AU$7,$L61&gt;AU$7),((AU$7-$K61)/($L61-$K61)))</f>
        <v>#REF!</v>
      </c>
      <c r="AW61" s="201" t="e">
        <f t="array" ref="AW61">_xlfn.IFS(AND($K61&gt;AV$7,$L61&gt;AV$7),0,AND($K61&lt;=AV$7,$L61&lt;=AV$7),1,AND($K61&lt;=AV$7,$L61&gt;AV$7),((AV$7-$K61)/($L61-$K61)))</f>
        <v>#REF!</v>
      </c>
      <c r="AX61" s="201" t="e">
        <f t="array" ref="AX61">_xlfn.IFS(AND($K61&gt;AW$7,$L61&gt;AW$7),0,AND($K61&lt;=AW$7,$L61&lt;=AW$7),1,AND($K61&lt;=AW$7,$L61&gt;AW$7),((AW$7-$K61)/($L61-$K61)))</f>
        <v>#REF!</v>
      </c>
      <c r="AY61" s="201" t="e">
        <f t="array" ref="AY61">_xlfn.IFS(AND($K61&gt;AX$7,$L61&gt;AX$7),0,AND($K61&lt;=AX$7,$L61&lt;=AX$7),1,AND($K61&lt;=AX$7,$L61&gt;AX$7),((AX$7-$K61)/($L61-$K61)))</f>
        <v>#REF!</v>
      </c>
      <c r="AZ61" s="201" t="e">
        <f t="array" ref="AZ61">_xlfn.IFS(AND($K61&gt;AY$7,$L61&gt;AY$7),0,AND($K61&lt;=AY$7,$L61&lt;=AY$7),1,AND($K61&lt;=AY$7,$L61&gt;AY$7),((AY$7-$K61)/($L61-$K61)))</f>
        <v>#REF!</v>
      </c>
      <c r="BA61" s="201" t="e">
        <f t="array" ref="BA61">_xlfn.IFS(AND($K61&gt;AZ$7,$L61&gt;AZ$7),0,AND($K61&lt;=AZ$7,$L61&lt;=AZ$7),1,AND($K61&lt;=AZ$7,$L61&gt;AZ$7),((AZ$7-$K61)/($L61-$K61)))</f>
        <v>#REF!</v>
      </c>
      <c r="BB61" s="201" t="e">
        <f t="array" ref="BB61">_xlfn.IFS(AND($K61&gt;BA$7,$L61&gt;BA$7),0,AND($K61&lt;=BA$7,$L61&lt;=BA$7),1,AND($K61&lt;=BA$7,$L61&gt;BA$7),((BA$7-$K61)/($L61-$K61)))</f>
        <v>#REF!</v>
      </c>
      <c r="BC61" s="201" t="e">
        <f t="array" ref="BC61">_xlfn.IFS(AND($K61&gt;BB$7,$L61&gt;BB$7),0,AND($K61&lt;=BB$7,$L61&lt;=BB$7),1,AND($K61&lt;=BB$7,$L61&gt;BB$7),((BB$7-$K61)/($L61-$K61)))</f>
        <v>#REF!</v>
      </c>
      <c r="BD61" s="201" t="e">
        <f t="array" ref="BD61">_xlfn.IFS(AND($K61&gt;BC$7,$L61&gt;BC$7),0,AND($K61&lt;=BC$7,$L61&lt;=BC$7),1,AND($K61&lt;=BC$7,$L61&gt;BC$7),((BC$7-$K61)/($L61-$K61)))</f>
        <v>#REF!</v>
      </c>
      <c r="BE61" s="201" t="e">
        <f t="array" ref="BE61">_xlfn.IFS(AND($K61&gt;BD$7,$L61&gt;BD$7),0,AND($K61&lt;=BD$7,$L61&lt;=BD$7),1,AND($K61&lt;=BD$7,$L61&gt;BD$7),((BD$7-$K61)/($L61-$K61)))</f>
        <v>#REF!</v>
      </c>
      <c r="BF61" s="201" t="e">
        <f t="array" ref="BF61">_xlfn.IFS(AND($K61&gt;BE$7,$L61&gt;BE$7),0,AND($K61&lt;=BE$7,$L61&lt;=BE$7),1,AND($K61&lt;=BE$7,$L61&gt;BE$7),((BE$7-$K61)/($L61-$K61)))</f>
        <v>#REF!</v>
      </c>
      <c r="BG61" s="201" t="e">
        <f t="array" ref="BG61">_xlfn.IFS(AND($K61&gt;BF$7,$L61&gt;BF$7),0,AND($K61&lt;=BF$7,$L61&lt;=BF$7),1,AND($K61&lt;=BF$7,$L61&gt;BF$7),((BF$7-$K61)/($L61-$K61)))</f>
        <v>#REF!</v>
      </c>
      <c r="BH61" s="201" t="e">
        <f t="array" ref="BH61">_xlfn.IFS(AND($K61&gt;BG$7,$L61&gt;BG$7),0,AND($K61&lt;=BG$7,$L61&lt;=BG$7),1,AND($K61&lt;=BG$7,$L61&gt;BG$7),((BG$7-$K61)/($L61-$K61)))</f>
        <v>#REF!</v>
      </c>
      <c r="BI61" s="201" t="e">
        <f t="array" ref="BI61">_xlfn.IFS(AND($K61&gt;BH$7,$L61&gt;BH$7),0,AND($K61&lt;=BH$7,$L61&lt;=BH$7),1,AND($K61&lt;=BH$7,$L61&gt;BH$7),((BH$7-$K61)/($L61-$K61)))</f>
        <v>#REF!</v>
      </c>
      <c r="BJ61" s="201" t="e">
        <f t="array" ref="BJ61">_xlfn.IFS(AND($K61&gt;BI$7,$L61&gt;BI$7),0,AND($K61&lt;=BI$7,$L61&lt;=BI$7),1,AND($K61&lt;=BI$7,$L61&gt;BI$7),((BI$7-$K61)/($L61-$K61)))</f>
        <v>#REF!</v>
      </c>
      <c r="BK61" s="201" t="e">
        <f t="array" ref="BK61">_xlfn.IFS(AND($K61&gt;BJ$7,$L61&gt;BJ$7),0,AND($K61&lt;=BJ$7,$L61&lt;=BJ$7),1,AND($K61&lt;=BJ$7,$L61&gt;BJ$7),((BJ$7-$K61)/($L61-$K61)))</f>
        <v>#REF!</v>
      </c>
      <c r="BL61" s="201" t="e">
        <f t="array" ref="BL61">_xlfn.IFS(AND($K61&gt;BK$7,$L61&gt;BK$7),0,AND($K61&lt;=BK$7,$L61&lt;=BK$7),1,AND($K61&lt;=BK$7,$L61&gt;BK$7),((BK$7-$K61)/($L61-$K61)))</f>
        <v>#REF!</v>
      </c>
      <c r="BM61" s="201" t="e">
        <f t="array" ref="BM61">_xlfn.IFS(AND($K61&gt;BL$7,$L61&gt;BL$7),0,AND($K61&lt;=BL$7,$L61&lt;=BL$7),1,AND($K61&lt;=BL$7,$L61&gt;BL$7),((BL$7-$K61)/($L61-$K61)))</f>
        <v>#REF!</v>
      </c>
      <c r="BN61" s="201" t="e">
        <f t="array" ref="BN61">_xlfn.IFS(AND($K61&gt;BM$7,$L61&gt;BM$7),0,AND($K61&lt;=BM$7,$L61&lt;=BM$7),1,AND($K61&lt;=BM$7,$L61&gt;BM$7),((BM$7-$K61)/($L61-$K61)))</f>
        <v>#REF!</v>
      </c>
    </row>
    <row r="62" spans="2:66" ht="15" customHeight="1" x14ac:dyDescent="0.3">
      <c r="B62" s="166" t="s">
        <v>161</v>
      </c>
      <c r="C62" s="166" t="s">
        <v>172</v>
      </c>
      <c r="D62" s="177"/>
      <c r="E62" s="170" t="str">
        <f t="shared" si="32"/>
        <v>Desenvolvimento da Transformação dos Processos</v>
      </c>
      <c r="F62" s="174" t="str">
        <f t="shared" si="35"/>
        <v>Diagnóstico de Maturidade do Processo</v>
      </c>
      <c r="G62" s="166" t="str">
        <f t="shared" si="38"/>
        <v>Diagnóstico de Maturidade do Processo</v>
      </c>
      <c r="H62" s="197" t="s">
        <v>173</v>
      </c>
      <c r="I62" s="166">
        <v>45873</v>
      </c>
      <c r="J62" s="166">
        <v>45877</v>
      </c>
      <c r="K62" s="166">
        <v>45873</v>
      </c>
      <c r="L62" s="166">
        <v>45877</v>
      </c>
      <c r="M62" s="167"/>
      <c r="N62" s="167" t="str">
        <f t="array" ref="N62">_xlfn.IFS(L62&lt;$M$3,"Concluído",AND(K62&gt;=$M$3,I62&lt;$M$3,L62&gt;$M$3),"Em andamento",AND(L62&gt;=$M$3,J62&lt;$M$3),"Atrasado",AND(L62&gt;=$M$3,J62&gt;=$M$3,I62&gt;$M$3,K62&lt;=$M$3),"Em andamento",AND(L62&gt;=$M$3,J62&gt;=$M$3,I62&lt;=$M$3,K62&lt;=$M$3),"Em andamento",AND(K62&gt;$M$3,I62&gt;$M$3),"Não iniciado",AND(L62&gt;=$M$3,J62&gt;=$M$3,K62&gt;=$M$3,I62&lt;$M$3),"Atrasado",AND(L62&gt;=$M$3,J62&gt;=$M$3,K62&gt;=$M$3,I62&gt;$M$3),"Não iniciado",AND($I62&lt;=$M$3,$K62&gt;$M$3),"Atrasado")</f>
        <v>Concluído</v>
      </c>
      <c r="O62" s="167">
        <f t="array" ref="O62">_xlfn.IFS(N62="Não iniciado",0,N62="Em andamento",1,N62="Concluído",2,N62="Atrasado",3)</f>
        <v>2</v>
      </c>
      <c r="P62" s="169"/>
      <c r="Q62" s="152">
        <f t="array" aca="1" ref="Q62" ca="1">_xlfn.IFS(AND($I62&lt;$N$3,$J62&lt;$N$3),1,AND($I62&lt;=$N$3,$J62&gt;=$N$3),0.5,AND($I62&gt;=$N$3,$J62&gt;=$N$3),0)</f>
        <v>1</v>
      </c>
      <c r="R62" s="152">
        <f t="array" aca="1" ref="R62" ca="1">_xlfn.IFS(AND($K62&lt;$N$3,$L62&lt;$N$3),1,AND($K62&lt;=$N$3,$L62&gt;=$N$3),0.5,AND($K62&gt;=$N$3,$L62&gt;=$N$3),0)</f>
        <v>1</v>
      </c>
      <c r="S62" s="201" t="e">
        <f t="array" ref="S62">_xlfn.IFS(AND($K62&gt;R$7,$L62&gt;R$7),0,AND($K62&lt;=R$7,$L62&lt;=R$7),1,AND($K62&lt;=R$7,$L62&gt;R$7),((R$7-$K62)/($L62-$K62)))</f>
        <v>#REF!</v>
      </c>
      <c r="T62" s="201" t="e">
        <f t="array" ref="T62">_xlfn.IFS(AND($K62&gt;S$7,$L62&gt;S$7),0,AND($K62&lt;=S$7,$L62&lt;=S$7),1,AND($K62&lt;=S$7,$L62&gt;S$7),((S$7-$K62)/($L62-$K62)))</f>
        <v>#REF!</v>
      </c>
      <c r="U62" s="201" t="e">
        <f t="array" ref="U62">_xlfn.IFS(AND($K62&gt;T$7,$L62&gt;T$7),0,AND($K62&lt;=T$7,$L62&lt;=T$7),1,AND($K62&lt;=T$7,$L62&gt;T$7),((T$7-$K62)/($L62-$K62)))</f>
        <v>#REF!</v>
      </c>
      <c r="V62" s="201" t="e">
        <f t="array" ref="V62">_xlfn.IFS(AND($K62&gt;U$7,$L62&gt;U$7),0,AND($K62&lt;=U$7,$L62&lt;=U$7),1,AND($K62&lt;=U$7,$L62&gt;U$7),((U$7-$K62)/($L62-$K62)))</f>
        <v>#REF!</v>
      </c>
      <c r="W62" s="201" t="e">
        <f t="array" ref="W62">_xlfn.IFS(AND($K62&gt;V$7,$L62&gt;V$7),0,AND($K62&lt;=V$7,$L62&lt;=V$7),1,AND($K62&lt;=V$7,$L62&gt;V$7),((V$7-$K62)/($L62-$K62)))</f>
        <v>#REF!</v>
      </c>
      <c r="X62" s="201" t="e">
        <f t="array" ref="X62">_xlfn.IFS(AND($K62&gt;W$7,$L62&gt;W$7),0,AND($K62&lt;=W$7,$L62&lt;=W$7),1,AND($K62&lt;=W$7,$L62&gt;W$7),((W$7-$K62)/($L62-$K62)))</f>
        <v>#REF!</v>
      </c>
      <c r="Y62" s="201" t="e">
        <f t="array" ref="Y62">_xlfn.IFS(AND($K62&gt;X$7,$L62&gt;X$7),0,AND($K62&lt;=X$7,$L62&lt;=X$7),1,AND($K62&lt;=X$7,$L62&gt;X$7),((X$7-$K62)/($L62-$K62)))</f>
        <v>#REF!</v>
      </c>
      <c r="Z62" s="201" t="e">
        <f t="array" ref="Z62">_xlfn.IFS(AND($K62&gt;Y$7,$L62&gt;Y$7),0,AND($K62&lt;=Y$7,$L62&lt;=Y$7),1,AND($K62&lt;=Y$7,$L62&gt;Y$7),((Y$7-$K62)/($L62-$K62)))</f>
        <v>#REF!</v>
      </c>
      <c r="AA62" s="201" t="e">
        <f t="array" ref="AA62">_xlfn.IFS(AND($K62&gt;Z$7,$L62&gt;Z$7),0,AND($K62&lt;=Z$7,$L62&lt;=Z$7),1,AND($K62&lt;=Z$7,$L62&gt;Z$7),((Z$7-$K62)/($L62-$K62)))</f>
        <v>#REF!</v>
      </c>
      <c r="AB62" s="201" t="e">
        <f t="array" ref="AB62">_xlfn.IFS(AND($K62&gt;AA$7,$L62&gt;AA$7),0,AND($K62&lt;=AA$7,$L62&lt;=AA$7),1,AND($K62&lt;=AA$7,$L62&gt;AA$7),((AA$7-$K62)/($L62-$K62)))</f>
        <v>#REF!</v>
      </c>
      <c r="AC62" s="201" t="e">
        <f t="array" ref="AC62">_xlfn.IFS(AND($K62&gt;AB$7,$L62&gt;AB$7),0,AND($K62&lt;=AB$7,$L62&lt;=AB$7),1,AND($K62&lt;=AB$7,$L62&gt;AB$7),((AB$7-$K62)/($L62-$K62)))</f>
        <v>#REF!</v>
      </c>
      <c r="AD62" s="201" t="e">
        <f t="array" ref="AD62">_xlfn.IFS(AND($K62&gt;AC$7,$L62&gt;AC$7),0,AND($K62&lt;=AC$7,$L62&lt;=AC$7),1,AND($K62&lt;=AC$7,$L62&gt;AC$7),((AC$7-$K62)/($L62-$K62)))</f>
        <v>#REF!</v>
      </c>
      <c r="AE62" s="201" t="e">
        <f t="array" ref="AE62">_xlfn.IFS(AND($K62&gt;AD$7,$L62&gt;AD$7),0,AND($K62&lt;=AD$7,$L62&lt;=AD$7),1,AND($K62&lt;=AD$7,$L62&gt;AD$7),((AD$7-$K62)/($L62-$K62)))</f>
        <v>#REF!</v>
      </c>
      <c r="AF62" s="201" t="e">
        <f t="array" ref="AF62">_xlfn.IFS(AND($K62&gt;AE$7,$L62&gt;AE$7),0,AND($K62&lt;=AE$7,$L62&lt;=AE$7),1,AND($K62&lt;=AE$7,$L62&gt;AE$7),((AE$7-$K62)/($L62-$K62)))</f>
        <v>#REF!</v>
      </c>
      <c r="AG62" s="201" t="e">
        <f t="array" ref="AG62">_xlfn.IFS(AND($K62&gt;AF$7,$L62&gt;AF$7),0,AND($K62&lt;=AF$7,$L62&lt;=AF$7),1,AND($K62&lt;=AF$7,$L62&gt;AF$7),((AF$7-$K62)/($L62-$K62)))</f>
        <v>#REF!</v>
      </c>
      <c r="AH62" s="201" t="e">
        <f t="array" ref="AH62">_xlfn.IFS(AND($K62&gt;AG$7,$L62&gt;AG$7),0,AND($K62&lt;=AG$7,$L62&lt;=AG$7),1,AND($K62&lt;=AG$7,$L62&gt;AG$7),((AG$7-$K62)/($L62-$K62)))</f>
        <v>#REF!</v>
      </c>
      <c r="AI62" s="201" t="e">
        <f t="array" ref="AI62">_xlfn.IFS(AND($K62&gt;AH$7,$L62&gt;AH$7),0,AND($K62&lt;=AH$7,$L62&lt;=AH$7),1,AND($K62&lt;=AH$7,$L62&gt;AH$7),((AH$7-$K62)/($L62-$K62)))</f>
        <v>#REF!</v>
      </c>
      <c r="AJ62" s="201" t="e">
        <f t="array" ref="AJ62">_xlfn.IFS(AND($K62&gt;AI$7,$L62&gt;AI$7),0,AND($K62&lt;=AI$7,$L62&lt;=AI$7),1,AND($K62&lt;=AI$7,$L62&gt;AI$7),((AI$7-$K62)/($L62-$K62)))</f>
        <v>#REF!</v>
      </c>
      <c r="AK62" s="201" t="e">
        <f t="array" ref="AK62">_xlfn.IFS(AND($K62&gt;AJ$7,$L62&gt;AJ$7),0,AND($K62&lt;=AJ$7,$L62&lt;=AJ$7),1,AND($K62&lt;=AJ$7,$L62&gt;AJ$7),((AJ$7-$K62)/($L62-$K62)))</f>
        <v>#REF!</v>
      </c>
      <c r="AL62" s="201" t="e">
        <f t="array" ref="AL62">_xlfn.IFS(AND($K62&gt;AK$7,$L62&gt;AK$7),0,AND($K62&lt;=AK$7,$L62&lt;=AK$7),1,AND($K62&lt;=AK$7,$L62&gt;AK$7),((AK$7-$K62)/($L62-$K62)))</f>
        <v>#REF!</v>
      </c>
      <c r="AM62" s="201" t="e">
        <f t="array" ref="AM62">_xlfn.IFS(AND($K62&gt;AL$7,$L62&gt;AL$7),0,AND($K62&lt;=AL$7,$L62&lt;=AL$7),1,AND($K62&lt;=AL$7,$L62&gt;AL$7),((AL$7-$K62)/($L62-$K62)))</f>
        <v>#REF!</v>
      </c>
      <c r="AN62" s="201" t="e">
        <f t="array" ref="AN62">_xlfn.IFS(AND($K62&gt;AM$7,$L62&gt;AM$7),0,AND($K62&lt;=AM$7,$L62&lt;=AM$7),1,AND($K62&lt;=AM$7,$L62&gt;AM$7),((AM$7-$K62)/($L62-$K62)))</f>
        <v>#REF!</v>
      </c>
      <c r="AO62" s="201" t="e">
        <f t="array" ref="AO62">_xlfn.IFS(AND($K62&gt;AN$7,$L62&gt;AN$7),0,AND($K62&lt;=AN$7,$L62&lt;=AN$7),1,AND($K62&lt;=AN$7,$L62&gt;AN$7),((AN$7-$K62)/($L62-$K62)))</f>
        <v>#REF!</v>
      </c>
      <c r="AP62" s="201" t="e">
        <f t="array" ref="AP62">_xlfn.IFS(AND($K62&gt;AO$7,$L62&gt;AO$7),0,AND($K62&lt;=AO$7,$L62&lt;=AO$7),1,AND($K62&lt;=AO$7,$L62&gt;AO$7),((AO$7-$K62)/($L62-$K62)))</f>
        <v>#REF!</v>
      </c>
      <c r="AQ62" s="201" t="e">
        <f t="array" ref="AQ62">_xlfn.IFS(AND($K62&gt;AP$7,$L62&gt;AP$7),0,AND($K62&lt;=AP$7,$L62&lt;=AP$7),1,AND($K62&lt;=AP$7,$L62&gt;AP$7),((AP$7-$K62)/($L62-$K62)))</f>
        <v>#REF!</v>
      </c>
      <c r="AR62" s="201" t="e">
        <f t="array" ref="AR62">_xlfn.IFS(AND($K62&gt;AQ$7,$L62&gt;AQ$7),0,AND($K62&lt;=AQ$7,$L62&lt;=AQ$7),1,AND($K62&lt;=AQ$7,$L62&gt;AQ$7),((AQ$7-$K62)/($L62-$K62)))</f>
        <v>#REF!</v>
      </c>
      <c r="AS62" s="201" t="e">
        <f t="array" ref="AS62">_xlfn.IFS(AND($K62&gt;AR$7,$L62&gt;AR$7),0,AND($K62&lt;=AR$7,$L62&lt;=AR$7),1,AND($K62&lt;=AR$7,$L62&gt;AR$7),((AR$7-$K62)/($L62-$K62)))</f>
        <v>#REF!</v>
      </c>
      <c r="AT62" s="201" t="e">
        <f t="array" ref="AT62">_xlfn.IFS(AND($K62&gt;AS$7,$L62&gt;AS$7),0,AND($K62&lt;=AS$7,$L62&lt;=AS$7),1,AND($K62&lt;=AS$7,$L62&gt;AS$7),((AS$7-$K62)/($L62-$K62)))</f>
        <v>#REF!</v>
      </c>
      <c r="AU62" s="201" t="e">
        <f t="array" ref="AU62">_xlfn.IFS(AND($K62&gt;AT$7,$L62&gt;AT$7),0,AND($K62&lt;=AT$7,$L62&lt;=AT$7),1,AND($K62&lt;=AT$7,$L62&gt;AT$7),((AT$7-$K62)/($L62-$K62)))</f>
        <v>#REF!</v>
      </c>
      <c r="AV62" s="201" t="e">
        <f t="array" ref="AV62">_xlfn.IFS(AND($K62&gt;AU$7,$L62&gt;AU$7),0,AND($K62&lt;=AU$7,$L62&lt;=AU$7),1,AND($K62&lt;=AU$7,$L62&gt;AU$7),((AU$7-$K62)/($L62-$K62)))</f>
        <v>#REF!</v>
      </c>
      <c r="AW62" s="201" t="e">
        <f t="array" ref="AW62">_xlfn.IFS(AND($K62&gt;AV$7,$L62&gt;AV$7),0,AND($K62&lt;=AV$7,$L62&lt;=AV$7),1,AND($K62&lt;=AV$7,$L62&gt;AV$7),((AV$7-$K62)/($L62-$K62)))</f>
        <v>#REF!</v>
      </c>
      <c r="AX62" s="201" t="e">
        <f t="array" ref="AX62">_xlfn.IFS(AND($K62&gt;AW$7,$L62&gt;AW$7),0,AND($K62&lt;=AW$7,$L62&lt;=AW$7),1,AND($K62&lt;=AW$7,$L62&gt;AW$7),((AW$7-$K62)/($L62-$K62)))</f>
        <v>#REF!</v>
      </c>
      <c r="AY62" s="201" t="e">
        <f t="array" ref="AY62">_xlfn.IFS(AND($K62&gt;AX$7,$L62&gt;AX$7),0,AND($K62&lt;=AX$7,$L62&lt;=AX$7),1,AND($K62&lt;=AX$7,$L62&gt;AX$7),((AX$7-$K62)/($L62-$K62)))</f>
        <v>#REF!</v>
      </c>
      <c r="AZ62" s="201" t="e">
        <f t="array" ref="AZ62">_xlfn.IFS(AND($K62&gt;AY$7,$L62&gt;AY$7),0,AND($K62&lt;=AY$7,$L62&lt;=AY$7),1,AND($K62&lt;=AY$7,$L62&gt;AY$7),((AY$7-$K62)/($L62-$K62)))</f>
        <v>#REF!</v>
      </c>
      <c r="BA62" s="201" t="e">
        <f t="array" ref="BA62">_xlfn.IFS(AND($K62&gt;AZ$7,$L62&gt;AZ$7),0,AND($K62&lt;=AZ$7,$L62&lt;=AZ$7),1,AND($K62&lt;=AZ$7,$L62&gt;AZ$7),((AZ$7-$K62)/($L62-$K62)))</f>
        <v>#REF!</v>
      </c>
      <c r="BB62" s="201" t="e">
        <f t="array" ref="BB62">_xlfn.IFS(AND($K62&gt;BA$7,$L62&gt;BA$7),0,AND($K62&lt;=BA$7,$L62&lt;=BA$7),1,AND($K62&lt;=BA$7,$L62&gt;BA$7),((BA$7-$K62)/($L62-$K62)))</f>
        <v>#REF!</v>
      </c>
      <c r="BC62" s="201" t="e">
        <f t="array" ref="BC62">_xlfn.IFS(AND($K62&gt;BB$7,$L62&gt;BB$7),0,AND($K62&lt;=BB$7,$L62&lt;=BB$7),1,AND($K62&lt;=BB$7,$L62&gt;BB$7),((BB$7-$K62)/($L62-$K62)))</f>
        <v>#REF!</v>
      </c>
      <c r="BD62" s="201" t="e">
        <f t="array" ref="BD62">_xlfn.IFS(AND($K62&gt;BC$7,$L62&gt;BC$7),0,AND($K62&lt;=BC$7,$L62&lt;=BC$7),1,AND($K62&lt;=BC$7,$L62&gt;BC$7),((BC$7-$K62)/($L62-$K62)))</f>
        <v>#REF!</v>
      </c>
      <c r="BE62" s="201" t="e">
        <f t="array" ref="BE62">_xlfn.IFS(AND($K62&gt;BD$7,$L62&gt;BD$7),0,AND($K62&lt;=BD$7,$L62&lt;=BD$7),1,AND($K62&lt;=BD$7,$L62&gt;BD$7),((BD$7-$K62)/($L62-$K62)))</f>
        <v>#REF!</v>
      </c>
      <c r="BF62" s="201" t="e">
        <f t="array" ref="BF62">_xlfn.IFS(AND($K62&gt;BE$7,$L62&gt;BE$7),0,AND($K62&lt;=BE$7,$L62&lt;=BE$7),1,AND($K62&lt;=BE$7,$L62&gt;BE$7),((BE$7-$K62)/($L62-$K62)))</f>
        <v>#REF!</v>
      </c>
      <c r="BG62" s="201" t="e">
        <f t="array" ref="BG62">_xlfn.IFS(AND($K62&gt;BF$7,$L62&gt;BF$7),0,AND($K62&lt;=BF$7,$L62&lt;=BF$7),1,AND($K62&lt;=BF$7,$L62&gt;BF$7),((BF$7-$K62)/($L62-$K62)))</f>
        <v>#REF!</v>
      </c>
      <c r="BH62" s="201" t="e">
        <f t="array" ref="BH62">_xlfn.IFS(AND($K62&gt;BG$7,$L62&gt;BG$7),0,AND($K62&lt;=BG$7,$L62&lt;=BG$7),1,AND($K62&lt;=BG$7,$L62&gt;BG$7),((BG$7-$K62)/($L62-$K62)))</f>
        <v>#REF!</v>
      </c>
      <c r="BI62" s="201" t="e">
        <f t="array" ref="BI62">_xlfn.IFS(AND($K62&gt;BH$7,$L62&gt;BH$7),0,AND($K62&lt;=BH$7,$L62&lt;=BH$7),1,AND($K62&lt;=BH$7,$L62&gt;BH$7),((BH$7-$K62)/($L62-$K62)))</f>
        <v>#REF!</v>
      </c>
      <c r="BJ62" s="201" t="e">
        <f t="array" ref="BJ62">_xlfn.IFS(AND($K62&gt;BI$7,$L62&gt;BI$7),0,AND($K62&lt;=BI$7,$L62&lt;=BI$7),1,AND($K62&lt;=BI$7,$L62&gt;BI$7),((BI$7-$K62)/($L62-$K62)))</f>
        <v>#REF!</v>
      </c>
      <c r="BK62" s="201" t="e">
        <f t="array" ref="BK62">_xlfn.IFS(AND($K62&gt;BJ$7,$L62&gt;BJ$7),0,AND($K62&lt;=BJ$7,$L62&lt;=BJ$7),1,AND($K62&lt;=BJ$7,$L62&gt;BJ$7),((BJ$7-$K62)/($L62-$K62)))</f>
        <v>#REF!</v>
      </c>
      <c r="BL62" s="201" t="e">
        <f t="array" ref="BL62">_xlfn.IFS(AND($K62&gt;BK$7,$L62&gt;BK$7),0,AND($K62&lt;=BK$7,$L62&lt;=BK$7),1,AND($K62&lt;=BK$7,$L62&gt;BK$7),((BK$7-$K62)/($L62-$K62)))</f>
        <v>#REF!</v>
      </c>
      <c r="BM62" s="201" t="e">
        <f t="array" ref="BM62">_xlfn.IFS(AND($K62&gt;BL$7,$L62&gt;BL$7),0,AND($K62&lt;=BL$7,$L62&lt;=BL$7),1,AND($K62&lt;=BL$7,$L62&gt;BL$7),((BL$7-$K62)/($L62-$K62)))</f>
        <v>#REF!</v>
      </c>
      <c r="BN62" s="201" t="e">
        <f t="array" ref="BN62">_xlfn.IFS(AND($K62&gt;BM$7,$L62&gt;BM$7),0,AND($K62&lt;=BM$7,$L62&lt;=BM$7),1,AND($K62&lt;=BM$7,$L62&gt;BM$7),((BM$7-$K62)/($L62-$K62)))</f>
        <v>#REF!</v>
      </c>
    </row>
    <row r="63" spans="2:66" ht="15" customHeight="1" x14ac:dyDescent="0.3">
      <c r="B63" s="166" t="s">
        <v>161</v>
      </c>
      <c r="C63" s="166" t="s">
        <v>174</v>
      </c>
      <c r="D63" s="177"/>
      <c r="E63" s="170" t="str">
        <f t="shared" si="32"/>
        <v>Desenvolvimento da Transformação dos Processos</v>
      </c>
      <c r="F63" s="174" t="str">
        <f t="shared" si="35"/>
        <v>Diagnóstico de Maturidade do Processo</v>
      </c>
      <c r="G63" s="166" t="str">
        <f t="shared" si="38"/>
        <v>Diagnóstico de Maturidade do Processo</v>
      </c>
      <c r="H63" s="197" t="s">
        <v>175</v>
      </c>
      <c r="I63" s="166">
        <v>45873</v>
      </c>
      <c r="J63" s="166">
        <v>45877</v>
      </c>
      <c r="K63" s="166">
        <v>45873</v>
      </c>
      <c r="L63" s="166">
        <v>45877</v>
      </c>
      <c r="M63" s="167"/>
      <c r="N63" s="167" t="str">
        <f t="array" ref="N63">_xlfn.IFS(L63&lt;$M$3,"Concluído",AND(K63&gt;=$M$3,I63&lt;$M$3,L63&gt;$M$3),"Em andamento",AND(L63&gt;=$M$3,J63&lt;$M$3),"Atrasado",AND(L63&gt;=$M$3,J63&gt;=$M$3,I63&gt;$M$3,K63&lt;=$M$3),"Em andamento",AND(L63&gt;=$M$3,J63&gt;=$M$3,I63&lt;=$M$3,K63&lt;=$M$3),"Em andamento",AND(K63&gt;$M$3,I63&gt;$M$3),"Não iniciado",AND(L63&gt;=$M$3,J63&gt;=$M$3,K63&gt;=$M$3,I63&lt;$M$3),"Atrasado",AND(L63&gt;=$M$3,J63&gt;=$M$3,K63&gt;=$M$3,I63&gt;$M$3),"Não iniciado",AND($I63&lt;=$M$3,$K63&gt;$M$3),"Atrasado")</f>
        <v>Concluído</v>
      </c>
      <c r="O63" s="167">
        <f t="array" ref="O63">_xlfn.IFS(N63="Não iniciado",0,N63="Em andamento",1,N63="Concluído",2,N63="Atrasado",3)</f>
        <v>2</v>
      </c>
      <c r="P63" s="169"/>
      <c r="Q63" s="152">
        <f t="array" aca="1" ref="Q63" ca="1">_xlfn.IFS(AND($I63&lt;$N$3,$J63&lt;$N$3),1,AND($I63&lt;=$N$3,$J63&gt;=$N$3),0.5,AND($I63&gt;=$N$3,$J63&gt;=$N$3),0)</f>
        <v>1</v>
      </c>
      <c r="R63" s="152">
        <f t="array" aca="1" ref="R63" ca="1">_xlfn.IFS(AND($K63&lt;$N$3,$L63&lt;$N$3),1,AND($K63&lt;=$N$3,$L63&gt;=$N$3),0.5,AND($K63&gt;=$N$3,$L63&gt;=$N$3),0)</f>
        <v>1</v>
      </c>
      <c r="S63" s="201" t="e">
        <f t="array" ref="S63">_xlfn.IFS(AND($K63&gt;R$7,$L63&gt;R$7),0,AND($K63&lt;=R$7,$L63&lt;=R$7),1,AND($K63&lt;=R$7,$L63&gt;R$7),((R$7-$K63)/($L63-$K63)))</f>
        <v>#REF!</v>
      </c>
      <c r="T63" s="201" t="e">
        <f t="array" ref="T63">_xlfn.IFS(AND($K63&gt;S$7,$L63&gt;S$7),0,AND($K63&lt;=S$7,$L63&lt;=S$7),1,AND($K63&lt;=S$7,$L63&gt;S$7),((S$7-$K63)/($L63-$K63)))</f>
        <v>#REF!</v>
      </c>
      <c r="U63" s="201" t="e">
        <f t="array" ref="U63">_xlfn.IFS(AND($K63&gt;T$7,$L63&gt;T$7),0,AND($K63&lt;=T$7,$L63&lt;=T$7),1,AND($K63&lt;=T$7,$L63&gt;T$7),((T$7-$K63)/($L63-$K63)))</f>
        <v>#REF!</v>
      </c>
      <c r="V63" s="201" t="e">
        <f t="array" ref="V63">_xlfn.IFS(AND($K63&gt;U$7,$L63&gt;U$7),0,AND($K63&lt;=U$7,$L63&lt;=U$7),1,AND($K63&lt;=U$7,$L63&gt;U$7),((U$7-$K63)/($L63-$K63)))</f>
        <v>#REF!</v>
      </c>
      <c r="W63" s="201" t="e">
        <f t="array" ref="W63">_xlfn.IFS(AND($K63&gt;V$7,$L63&gt;V$7),0,AND($K63&lt;=V$7,$L63&lt;=V$7),1,AND($K63&lt;=V$7,$L63&gt;V$7),((V$7-$K63)/($L63-$K63)))</f>
        <v>#REF!</v>
      </c>
      <c r="X63" s="201" t="e">
        <f t="array" ref="X63">_xlfn.IFS(AND($K63&gt;W$7,$L63&gt;W$7),0,AND($K63&lt;=W$7,$L63&lt;=W$7),1,AND($K63&lt;=W$7,$L63&gt;W$7),((W$7-$K63)/($L63-$K63)))</f>
        <v>#REF!</v>
      </c>
      <c r="Y63" s="201" t="e">
        <f t="array" ref="Y63">_xlfn.IFS(AND($K63&gt;X$7,$L63&gt;X$7),0,AND($K63&lt;=X$7,$L63&lt;=X$7),1,AND($K63&lt;=X$7,$L63&gt;X$7),((X$7-$K63)/($L63-$K63)))</f>
        <v>#REF!</v>
      </c>
      <c r="Z63" s="201" t="e">
        <f t="array" ref="Z63">_xlfn.IFS(AND($K63&gt;Y$7,$L63&gt;Y$7),0,AND($K63&lt;=Y$7,$L63&lt;=Y$7),1,AND($K63&lt;=Y$7,$L63&gt;Y$7),((Y$7-$K63)/($L63-$K63)))</f>
        <v>#REF!</v>
      </c>
      <c r="AA63" s="201" t="e">
        <f t="array" ref="AA63">_xlfn.IFS(AND($K63&gt;Z$7,$L63&gt;Z$7),0,AND($K63&lt;=Z$7,$L63&lt;=Z$7),1,AND($K63&lt;=Z$7,$L63&gt;Z$7),((Z$7-$K63)/($L63-$K63)))</f>
        <v>#REF!</v>
      </c>
      <c r="AB63" s="201" t="e">
        <f t="array" ref="AB63">_xlfn.IFS(AND($K63&gt;AA$7,$L63&gt;AA$7),0,AND($K63&lt;=AA$7,$L63&lt;=AA$7),1,AND($K63&lt;=AA$7,$L63&gt;AA$7),((AA$7-$K63)/($L63-$K63)))</f>
        <v>#REF!</v>
      </c>
      <c r="AC63" s="201" t="e">
        <f t="array" ref="AC63">_xlfn.IFS(AND($K63&gt;AB$7,$L63&gt;AB$7),0,AND($K63&lt;=AB$7,$L63&lt;=AB$7),1,AND($K63&lt;=AB$7,$L63&gt;AB$7),((AB$7-$K63)/($L63-$K63)))</f>
        <v>#REF!</v>
      </c>
      <c r="AD63" s="201" t="e">
        <f t="array" ref="AD63">_xlfn.IFS(AND($K63&gt;AC$7,$L63&gt;AC$7),0,AND($K63&lt;=AC$7,$L63&lt;=AC$7),1,AND($K63&lt;=AC$7,$L63&gt;AC$7),((AC$7-$K63)/($L63-$K63)))</f>
        <v>#REF!</v>
      </c>
      <c r="AE63" s="201" t="e">
        <f t="array" ref="AE63">_xlfn.IFS(AND($K63&gt;AD$7,$L63&gt;AD$7),0,AND($K63&lt;=AD$7,$L63&lt;=AD$7),1,AND($K63&lt;=AD$7,$L63&gt;AD$7),((AD$7-$K63)/($L63-$K63)))</f>
        <v>#REF!</v>
      </c>
      <c r="AF63" s="201" t="e">
        <f t="array" ref="AF63">_xlfn.IFS(AND($K63&gt;AE$7,$L63&gt;AE$7),0,AND($K63&lt;=AE$7,$L63&lt;=AE$7),1,AND($K63&lt;=AE$7,$L63&gt;AE$7),((AE$7-$K63)/($L63-$K63)))</f>
        <v>#REF!</v>
      </c>
      <c r="AG63" s="201" t="e">
        <f t="array" ref="AG63">_xlfn.IFS(AND($K63&gt;AF$7,$L63&gt;AF$7),0,AND($K63&lt;=AF$7,$L63&lt;=AF$7),1,AND($K63&lt;=AF$7,$L63&gt;AF$7),((AF$7-$K63)/($L63-$K63)))</f>
        <v>#REF!</v>
      </c>
      <c r="AH63" s="201" t="e">
        <f t="array" ref="AH63">_xlfn.IFS(AND($K63&gt;AG$7,$L63&gt;AG$7),0,AND($K63&lt;=AG$7,$L63&lt;=AG$7),1,AND($K63&lt;=AG$7,$L63&gt;AG$7),((AG$7-$K63)/($L63-$K63)))</f>
        <v>#REF!</v>
      </c>
      <c r="AI63" s="201" t="e">
        <f t="array" ref="AI63">_xlfn.IFS(AND($K63&gt;AH$7,$L63&gt;AH$7),0,AND($K63&lt;=AH$7,$L63&lt;=AH$7),1,AND($K63&lt;=AH$7,$L63&gt;AH$7),((AH$7-$K63)/($L63-$K63)))</f>
        <v>#REF!</v>
      </c>
      <c r="AJ63" s="201" t="e">
        <f t="array" ref="AJ63">_xlfn.IFS(AND($K63&gt;AI$7,$L63&gt;AI$7),0,AND($K63&lt;=AI$7,$L63&lt;=AI$7),1,AND($K63&lt;=AI$7,$L63&gt;AI$7),((AI$7-$K63)/($L63-$K63)))</f>
        <v>#REF!</v>
      </c>
      <c r="AK63" s="201" t="e">
        <f t="array" ref="AK63">_xlfn.IFS(AND($K63&gt;AJ$7,$L63&gt;AJ$7),0,AND($K63&lt;=AJ$7,$L63&lt;=AJ$7),1,AND($K63&lt;=AJ$7,$L63&gt;AJ$7),((AJ$7-$K63)/($L63-$K63)))</f>
        <v>#REF!</v>
      </c>
      <c r="AL63" s="201" t="e">
        <f t="array" ref="AL63">_xlfn.IFS(AND($K63&gt;AK$7,$L63&gt;AK$7),0,AND($K63&lt;=AK$7,$L63&lt;=AK$7),1,AND($K63&lt;=AK$7,$L63&gt;AK$7),((AK$7-$K63)/($L63-$K63)))</f>
        <v>#REF!</v>
      </c>
      <c r="AM63" s="201" t="e">
        <f t="array" ref="AM63">_xlfn.IFS(AND($K63&gt;AL$7,$L63&gt;AL$7),0,AND($K63&lt;=AL$7,$L63&lt;=AL$7),1,AND($K63&lt;=AL$7,$L63&gt;AL$7),((AL$7-$K63)/($L63-$K63)))</f>
        <v>#REF!</v>
      </c>
      <c r="AN63" s="201" t="e">
        <f t="array" ref="AN63">_xlfn.IFS(AND($K63&gt;AM$7,$L63&gt;AM$7),0,AND($K63&lt;=AM$7,$L63&lt;=AM$7),1,AND($K63&lt;=AM$7,$L63&gt;AM$7),((AM$7-$K63)/($L63-$K63)))</f>
        <v>#REF!</v>
      </c>
      <c r="AO63" s="201" t="e">
        <f t="array" ref="AO63">_xlfn.IFS(AND($K63&gt;AN$7,$L63&gt;AN$7),0,AND($K63&lt;=AN$7,$L63&lt;=AN$7),1,AND($K63&lt;=AN$7,$L63&gt;AN$7),((AN$7-$K63)/($L63-$K63)))</f>
        <v>#REF!</v>
      </c>
      <c r="AP63" s="201" t="e">
        <f t="array" ref="AP63">_xlfn.IFS(AND($K63&gt;AO$7,$L63&gt;AO$7),0,AND($K63&lt;=AO$7,$L63&lt;=AO$7),1,AND($K63&lt;=AO$7,$L63&gt;AO$7),((AO$7-$K63)/($L63-$K63)))</f>
        <v>#REF!</v>
      </c>
      <c r="AQ63" s="201" t="e">
        <f t="array" ref="AQ63">_xlfn.IFS(AND($K63&gt;AP$7,$L63&gt;AP$7),0,AND($K63&lt;=AP$7,$L63&lt;=AP$7),1,AND($K63&lt;=AP$7,$L63&gt;AP$7),((AP$7-$K63)/($L63-$K63)))</f>
        <v>#REF!</v>
      </c>
      <c r="AR63" s="201" t="e">
        <f t="array" ref="AR63">_xlfn.IFS(AND($K63&gt;AQ$7,$L63&gt;AQ$7),0,AND($K63&lt;=AQ$7,$L63&lt;=AQ$7),1,AND($K63&lt;=AQ$7,$L63&gt;AQ$7),((AQ$7-$K63)/($L63-$K63)))</f>
        <v>#REF!</v>
      </c>
      <c r="AS63" s="201" t="e">
        <f t="array" ref="AS63">_xlfn.IFS(AND($K63&gt;AR$7,$L63&gt;AR$7),0,AND($K63&lt;=AR$7,$L63&lt;=AR$7),1,AND($K63&lt;=AR$7,$L63&gt;AR$7),((AR$7-$K63)/($L63-$K63)))</f>
        <v>#REF!</v>
      </c>
      <c r="AT63" s="201" t="e">
        <f t="array" ref="AT63">_xlfn.IFS(AND($K63&gt;AS$7,$L63&gt;AS$7),0,AND($K63&lt;=AS$7,$L63&lt;=AS$7),1,AND($K63&lt;=AS$7,$L63&gt;AS$7),((AS$7-$K63)/($L63-$K63)))</f>
        <v>#REF!</v>
      </c>
      <c r="AU63" s="201" t="e">
        <f t="array" ref="AU63">_xlfn.IFS(AND($K63&gt;AT$7,$L63&gt;AT$7),0,AND($K63&lt;=AT$7,$L63&lt;=AT$7),1,AND($K63&lt;=AT$7,$L63&gt;AT$7),((AT$7-$K63)/($L63-$K63)))</f>
        <v>#REF!</v>
      </c>
      <c r="AV63" s="201" t="e">
        <f t="array" ref="AV63">_xlfn.IFS(AND($K63&gt;AU$7,$L63&gt;AU$7),0,AND($K63&lt;=AU$7,$L63&lt;=AU$7),1,AND($K63&lt;=AU$7,$L63&gt;AU$7),((AU$7-$K63)/($L63-$K63)))</f>
        <v>#REF!</v>
      </c>
      <c r="AW63" s="201" t="e">
        <f t="array" ref="AW63">_xlfn.IFS(AND($K63&gt;AV$7,$L63&gt;AV$7),0,AND($K63&lt;=AV$7,$L63&lt;=AV$7),1,AND($K63&lt;=AV$7,$L63&gt;AV$7),((AV$7-$K63)/($L63-$K63)))</f>
        <v>#REF!</v>
      </c>
      <c r="AX63" s="201" t="e">
        <f t="array" ref="AX63">_xlfn.IFS(AND($K63&gt;AW$7,$L63&gt;AW$7),0,AND($K63&lt;=AW$7,$L63&lt;=AW$7),1,AND($K63&lt;=AW$7,$L63&gt;AW$7),((AW$7-$K63)/($L63-$K63)))</f>
        <v>#REF!</v>
      </c>
      <c r="AY63" s="201" t="e">
        <f t="array" ref="AY63">_xlfn.IFS(AND($K63&gt;AX$7,$L63&gt;AX$7),0,AND($K63&lt;=AX$7,$L63&lt;=AX$7),1,AND($K63&lt;=AX$7,$L63&gt;AX$7),((AX$7-$K63)/($L63-$K63)))</f>
        <v>#REF!</v>
      </c>
      <c r="AZ63" s="201" t="e">
        <f t="array" ref="AZ63">_xlfn.IFS(AND($K63&gt;AY$7,$L63&gt;AY$7),0,AND($K63&lt;=AY$7,$L63&lt;=AY$7),1,AND($K63&lt;=AY$7,$L63&gt;AY$7),((AY$7-$K63)/($L63-$K63)))</f>
        <v>#REF!</v>
      </c>
      <c r="BA63" s="201" t="e">
        <f t="array" ref="BA63">_xlfn.IFS(AND($K63&gt;AZ$7,$L63&gt;AZ$7),0,AND($K63&lt;=AZ$7,$L63&lt;=AZ$7),1,AND($K63&lt;=AZ$7,$L63&gt;AZ$7),((AZ$7-$K63)/($L63-$K63)))</f>
        <v>#REF!</v>
      </c>
      <c r="BB63" s="201" t="e">
        <f t="array" ref="BB63">_xlfn.IFS(AND($K63&gt;BA$7,$L63&gt;BA$7),0,AND($K63&lt;=BA$7,$L63&lt;=BA$7),1,AND($K63&lt;=BA$7,$L63&gt;BA$7),((BA$7-$K63)/($L63-$K63)))</f>
        <v>#REF!</v>
      </c>
      <c r="BC63" s="201" t="e">
        <f t="array" ref="BC63">_xlfn.IFS(AND($K63&gt;BB$7,$L63&gt;BB$7),0,AND($K63&lt;=BB$7,$L63&lt;=BB$7),1,AND($K63&lt;=BB$7,$L63&gt;BB$7),((BB$7-$K63)/($L63-$K63)))</f>
        <v>#REF!</v>
      </c>
      <c r="BD63" s="201" t="e">
        <f t="array" ref="BD63">_xlfn.IFS(AND($K63&gt;BC$7,$L63&gt;BC$7),0,AND($K63&lt;=BC$7,$L63&lt;=BC$7),1,AND($K63&lt;=BC$7,$L63&gt;BC$7),((BC$7-$K63)/($L63-$K63)))</f>
        <v>#REF!</v>
      </c>
      <c r="BE63" s="201" t="e">
        <f t="array" ref="BE63">_xlfn.IFS(AND($K63&gt;BD$7,$L63&gt;BD$7),0,AND($K63&lt;=BD$7,$L63&lt;=BD$7),1,AND($K63&lt;=BD$7,$L63&gt;BD$7),((BD$7-$K63)/($L63-$K63)))</f>
        <v>#REF!</v>
      </c>
      <c r="BF63" s="201" t="e">
        <f t="array" ref="BF63">_xlfn.IFS(AND($K63&gt;BE$7,$L63&gt;BE$7),0,AND($K63&lt;=BE$7,$L63&lt;=BE$7),1,AND($K63&lt;=BE$7,$L63&gt;BE$7),((BE$7-$K63)/($L63-$K63)))</f>
        <v>#REF!</v>
      </c>
      <c r="BG63" s="201" t="e">
        <f t="array" ref="BG63">_xlfn.IFS(AND($K63&gt;BF$7,$L63&gt;BF$7),0,AND($K63&lt;=BF$7,$L63&lt;=BF$7),1,AND($K63&lt;=BF$7,$L63&gt;BF$7),((BF$7-$K63)/($L63-$K63)))</f>
        <v>#REF!</v>
      </c>
      <c r="BH63" s="201" t="e">
        <f t="array" ref="BH63">_xlfn.IFS(AND($K63&gt;BG$7,$L63&gt;BG$7),0,AND($K63&lt;=BG$7,$L63&lt;=BG$7),1,AND($K63&lt;=BG$7,$L63&gt;BG$7),((BG$7-$K63)/($L63-$K63)))</f>
        <v>#REF!</v>
      </c>
      <c r="BI63" s="201" t="e">
        <f t="array" ref="BI63">_xlfn.IFS(AND($K63&gt;BH$7,$L63&gt;BH$7),0,AND($K63&lt;=BH$7,$L63&lt;=BH$7),1,AND($K63&lt;=BH$7,$L63&gt;BH$7),((BH$7-$K63)/($L63-$K63)))</f>
        <v>#REF!</v>
      </c>
      <c r="BJ63" s="201" t="e">
        <f t="array" ref="BJ63">_xlfn.IFS(AND($K63&gt;BI$7,$L63&gt;BI$7),0,AND($K63&lt;=BI$7,$L63&lt;=BI$7),1,AND($K63&lt;=BI$7,$L63&gt;BI$7),((BI$7-$K63)/($L63-$K63)))</f>
        <v>#REF!</v>
      </c>
      <c r="BK63" s="201" t="e">
        <f t="array" ref="BK63">_xlfn.IFS(AND($K63&gt;BJ$7,$L63&gt;BJ$7),0,AND($K63&lt;=BJ$7,$L63&lt;=BJ$7),1,AND($K63&lt;=BJ$7,$L63&gt;BJ$7),((BJ$7-$K63)/($L63-$K63)))</f>
        <v>#REF!</v>
      </c>
      <c r="BL63" s="201" t="e">
        <f t="array" ref="BL63">_xlfn.IFS(AND($K63&gt;BK$7,$L63&gt;BK$7),0,AND($K63&lt;=BK$7,$L63&lt;=BK$7),1,AND($K63&lt;=BK$7,$L63&gt;BK$7),((BK$7-$K63)/($L63-$K63)))</f>
        <v>#REF!</v>
      </c>
      <c r="BM63" s="201" t="e">
        <f t="array" ref="BM63">_xlfn.IFS(AND($K63&gt;BL$7,$L63&gt;BL$7),0,AND($K63&lt;=BL$7,$L63&lt;=BL$7),1,AND($K63&lt;=BL$7,$L63&gt;BL$7),((BL$7-$K63)/($L63-$K63)))</f>
        <v>#REF!</v>
      </c>
      <c r="BN63" s="201" t="e">
        <f t="array" ref="BN63">_xlfn.IFS(AND($K63&gt;BM$7,$L63&gt;BM$7),0,AND($K63&lt;=BM$7,$L63&lt;=BM$7),1,AND($K63&lt;=BM$7,$L63&gt;BM$7),((BM$7-$K63)/($L63-$K63)))</f>
        <v>#REF!</v>
      </c>
    </row>
    <row r="64" spans="2:66" s="163" customFormat="1" ht="15" customHeight="1" x14ac:dyDescent="0.3">
      <c r="B64" s="166" t="s">
        <v>161</v>
      </c>
      <c r="C64" s="166" t="s">
        <v>176</v>
      </c>
      <c r="D64" s="177"/>
      <c r="E64" s="170" t="str">
        <f t="shared" si="32"/>
        <v>Desenvolvimento da Transformação dos Processos</v>
      </c>
      <c r="F64" s="174" t="str">
        <f t="shared" si="35"/>
        <v>Diagnóstico de Maturidade do Processo</v>
      </c>
      <c r="G64" s="166" t="str">
        <f t="shared" si="38"/>
        <v>Diagnóstico de Maturidade do Processo</v>
      </c>
      <c r="H64" s="197" t="s">
        <v>177</v>
      </c>
      <c r="I64" s="166">
        <v>45901</v>
      </c>
      <c r="J64" s="166">
        <v>45905</v>
      </c>
      <c r="K64" s="166">
        <v>45901</v>
      </c>
      <c r="L64" s="166">
        <v>45905</v>
      </c>
      <c r="M64" s="167"/>
      <c r="N64" s="167" t="str">
        <f t="array" ref="N64">_xlfn.IFS(L64&lt;$M$3,"Concluído",AND(K64&gt;=$M$3,I64&lt;$M$3,L64&gt;$M$3),"Em andamento",AND(L64&gt;=$M$3,J64&lt;$M$3),"Atrasado",AND(L64&gt;=$M$3,J64&gt;=$M$3,I64&gt;$M$3,K64&lt;=$M$3),"Em andamento",AND(L64&gt;=$M$3,J64&gt;=$M$3,I64&lt;=$M$3,K64&lt;=$M$3),"Em andamento",AND(K64&gt;$M$3,I64&gt;$M$3),"Não iniciado",AND(L64&gt;=$M$3,J64&gt;=$M$3,K64&gt;=$M$3,I64&lt;$M$3),"Atrasado",AND(L64&gt;=$M$3,J64&gt;=$M$3,K64&gt;=$M$3,I64&gt;$M$3),"Não iniciado",AND($I64&lt;=$M$3,$K64&gt;$M$3),"Atrasado")</f>
        <v>Concluído</v>
      </c>
      <c r="O64" s="167">
        <f t="array" ref="O64">_xlfn.IFS(N64="Não iniciado",0,N64="Em andamento",1,N64="Concluído",2,N64="Atrasado",3)</f>
        <v>2</v>
      </c>
      <c r="P64" s="169"/>
      <c r="Q64" s="152">
        <f t="array" aca="1" ref="Q64" ca="1">_xlfn.IFS(AND($I64&lt;$N$3,$J64&lt;$N$3),1,AND($I64&lt;=$N$3,$J64&gt;=$N$3),0.5,AND($I64&gt;=$N$3,$J64&gt;=$N$3),0)</f>
        <v>1</v>
      </c>
      <c r="R64" s="152">
        <f t="array" aca="1" ref="R64" ca="1">_xlfn.IFS(AND($K64&lt;$N$3,$L64&lt;$N$3),1,AND($K64&lt;=$N$3,$L64&gt;=$N$3),0.5,AND($K64&gt;=$N$3,$L64&gt;=$N$3),0)</f>
        <v>1</v>
      </c>
      <c r="S64" s="201" t="e">
        <f t="array" ref="S64">_xlfn.IFS(AND($K64&gt;R$7,$L64&gt;R$7),0,AND($K64&lt;=R$7,$L64&lt;=R$7),1,AND($K64&lt;=R$7,$L64&gt;R$7),((R$7-$K64)/($L64-$K64)))</f>
        <v>#REF!</v>
      </c>
      <c r="T64" s="201" t="e">
        <f t="array" ref="T64">_xlfn.IFS(AND($K64&gt;S$7,$L64&gt;S$7),0,AND($K64&lt;=S$7,$L64&lt;=S$7),1,AND($K64&lt;=S$7,$L64&gt;S$7),((S$7-$K64)/($L64-$K64)))</f>
        <v>#REF!</v>
      </c>
      <c r="U64" s="201" t="e">
        <f t="array" ref="U64">_xlfn.IFS(AND($K64&gt;T$7,$L64&gt;T$7),0,AND($K64&lt;=T$7,$L64&lt;=T$7),1,AND($K64&lt;=T$7,$L64&gt;T$7),((T$7-$K64)/($L64-$K64)))</f>
        <v>#REF!</v>
      </c>
      <c r="V64" s="201" t="e">
        <f t="array" ref="V64">_xlfn.IFS(AND($K64&gt;U$7,$L64&gt;U$7),0,AND($K64&lt;=U$7,$L64&lt;=U$7),1,AND($K64&lt;=U$7,$L64&gt;U$7),((U$7-$K64)/($L64-$K64)))</f>
        <v>#REF!</v>
      </c>
      <c r="W64" s="201" t="e">
        <f t="array" ref="W64">_xlfn.IFS(AND($K64&gt;V$7,$L64&gt;V$7),0,AND($K64&lt;=V$7,$L64&lt;=V$7),1,AND($K64&lt;=V$7,$L64&gt;V$7),((V$7-$K64)/($L64-$K64)))</f>
        <v>#REF!</v>
      </c>
      <c r="X64" s="201" t="e">
        <f t="array" ref="X64">_xlfn.IFS(AND($K64&gt;W$7,$L64&gt;W$7),0,AND($K64&lt;=W$7,$L64&lt;=W$7),1,AND($K64&lt;=W$7,$L64&gt;W$7),((W$7-$K64)/($L64-$K64)))</f>
        <v>#REF!</v>
      </c>
      <c r="Y64" s="201" t="e">
        <f t="array" ref="Y64">_xlfn.IFS(AND($K64&gt;X$7,$L64&gt;X$7),0,AND($K64&lt;=X$7,$L64&lt;=X$7),1,AND($K64&lt;=X$7,$L64&gt;X$7),((X$7-$K64)/($L64-$K64)))</f>
        <v>#REF!</v>
      </c>
      <c r="Z64" s="201" t="e">
        <f t="array" ref="Z64">_xlfn.IFS(AND($K64&gt;Y$7,$L64&gt;Y$7),0,AND($K64&lt;=Y$7,$L64&lt;=Y$7),1,AND($K64&lt;=Y$7,$L64&gt;Y$7),((Y$7-$K64)/($L64-$K64)))</f>
        <v>#REF!</v>
      </c>
      <c r="AA64" s="201" t="e">
        <f t="array" ref="AA64">_xlfn.IFS(AND($K64&gt;Z$7,$L64&gt;Z$7),0,AND($K64&lt;=Z$7,$L64&lt;=Z$7),1,AND($K64&lt;=Z$7,$L64&gt;Z$7),((Z$7-$K64)/($L64-$K64)))</f>
        <v>#REF!</v>
      </c>
      <c r="AB64" s="201" t="e">
        <f t="array" ref="AB64">_xlfn.IFS(AND($K64&gt;AA$7,$L64&gt;AA$7),0,AND($K64&lt;=AA$7,$L64&lt;=AA$7),1,AND($K64&lt;=AA$7,$L64&gt;AA$7),((AA$7-$K64)/($L64-$K64)))</f>
        <v>#REF!</v>
      </c>
      <c r="AC64" s="201" t="e">
        <f t="array" ref="AC64">_xlfn.IFS(AND($K64&gt;AB$7,$L64&gt;AB$7),0,AND($K64&lt;=AB$7,$L64&lt;=AB$7),1,AND($K64&lt;=AB$7,$L64&gt;AB$7),((AB$7-$K64)/($L64-$K64)))</f>
        <v>#REF!</v>
      </c>
      <c r="AD64" s="201" t="e">
        <f t="array" ref="AD64">_xlfn.IFS(AND($K64&gt;AC$7,$L64&gt;AC$7),0,AND($K64&lt;=AC$7,$L64&lt;=AC$7),1,AND($K64&lt;=AC$7,$L64&gt;AC$7),((AC$7-$K64)/($L64-$K64)))</f>
        <v>#REF!</v>
      </c>
      <c r="AE64" s="201" t="e">
        <f t="array" ref="AE64">_xlfn.IFS(AND($K64&gt;AD$7,$L64&gt;AD$7),0,AND($K64&lt;=AD$7,$L64&lt;=AD$7),1,AND($K64&lt;=AD$7,$L64&gt;AD$7),((AD$7-$K64)/($L64-$K64)))</f>
        <v>#REF!</v>
      </c>
      <c r="AF64" s="201" t="e">
        <f t="array" ref="AF64">_xlfn.IFS(AND($K64&gt;AE$7,$L64&gt;AE$7),0,AND($K64&lt;=AE$7,$L64&lt;=AE$7),1,AND($K64&lt;=AE$7,$L64&gt;AE$7),((AE$7-$K64)/($L64-$K64)))</f>
        <v>#REF!</v>
      </c>
      <c r="AG64" s="201" t="e">
        <f t="array" ref="AG64">_xlfn.IFS(AND($K64&gt;AF$7,$L64&gt;AF$7),0,AND($K64&lt;=AF$7,$L64&lt;=AF$7),1,AND($K64&lt;=AF$7,$L64&gt;AF$7),((AF$7-$K64)/($L64-$K64)))</f>
        <v>#REF!</v>
      </c>
      <c r="AH64" s="201" t="e">
        <f t="array" ref="AH64">_xlfn.IFS(AND($K64&gt;AG$7,$L64&gt;AG$7),0,AND($K64&lt;=AG$7,$L64&lt;=AG$7),1,AND($K64&lt;=AG$7,$L64&gt;AG$7),((AG$7-$K64)/($L64-$K64)))</f>
        <v>#REF!</v>
      </c>
      <c r="AI64" s="201" t="e">
        <f t="array" ref="AI64">_xlfn.IFS(AND($K64&gt;AH$7,$L64&gt;AH$7),0,AND($K64&lt;=AH$7,$L64&lt;=AH$7),1,AND($K64&lt;=AH$7,$L64&gt;AH$7),((AH$7-$K64)/($L64-$K64)))</f>
        <v>#REF!</v>
      </c>
      <c r="AJ64" s="201" t="e">
        <f t="array" ref="AJ64">_xlfn.IFS(AND($K64&gt;AI$7,$L64&gt;AI$7),0,AND($K64&lt;=AI$7,$L64&lt;=AI$7),1,AND($K64&lt;=AI$7,$L64&gt;AI$7),((AI$7-$K64)/($L64-$K64)))</f>
        <v>#REF!</v>
      </c>
      <c r="AK64" s="201" t="e">
        <f t="array" ref="AK64">_xlfn.IFS(AND($K64&gt;AJ$7,$L64&gt;AJ$7),0,AND($K64&lt;=AJ$7,$L64&lt;=AJ$7),1,AND($K64&lt;=AJ$7,$L64&gt;AJ$7),((AJ$7-$K64)/($L64-$K64)))</f>
        <v>#REF!</v>
      </c>
      <c r="AL64" s="201" t="e">
        <f t="array" ref="AL64">_xlfn.IFS(AND($K64&gt;AK$7,$L64&gt;AK$7),0,AND($K64&lt;=AK$7,$L64&lt;=AK$7),1,AND($K64&lt;=AK$7,$L64&gt;AK$7),((AK$7-$K64)/($L64-$K64)))</f>
        <v>#REF!</v>
      </c>
      <c r="AM64" s="201" t="e">
        <f t="array" ref="AM64">_xlfn.IFS(AND($K64&gt;AL$7,$L64&gt;AL$7),0,AND($K64&lt;=AL$7,$L64&lt;=AL$7),1,AND($K64&lt;=AL$7,$L64&gt;AL$7),((AL$7-$K64)/($L64-$K64)))</f>
        <v>#REF!</v>
      </c>
      <c r="AN64" s="201" t="e">
        <f t="array" ref="AN64">_xlfn.IFS(AND($K64&gt;AM$7,$L64&gt;AM$7),0,AND($K64&lt;=AM$7,$L64&lt;=AM$7),1,AND($K64&lt;=AM$7,$L64&gt;AM$7),((AM$7-$K64)/($L64-$K64)))</f>
        <v>#REF!</v>
      </c>
      <c r="AO64" s="201" t="e">
        <f t="array" ref="AO64">_xlfn.IFS(AND($K64&gt;AN$7,$L64&gt;AN$7),0,AND($K64&lt;=AN$7,$L64&lt;=AN$7),1,AND($K64&lt;=AN$7,$L64&gt;AN$7),((AN$7-$K64)/($L64-$K64)))</f>
        <v>#REF!</v>
      </c>
      <c r="AP64" s="201" t="e">
        <f t="array" ref="AP64">_xlfn.IFS(AND($K64&gt;AO$7,$L64&gt;AO$7),0,AND($K64&lt;=AO$7,$L64&lt;=AO$7),1,AND($K64&lt;=AO$7,$L64&gt;AO$7),((AO$7-$K64)/($L64-$K64)))</f>
        <v>#REF!</v>
      </c>
      <c r="AQ64" s="201" t="e">
        <f t="array" ref="AQ64">_xlfn.IFS(AND($K64&gt;AP$7,$L64&gt;AP$7),0,AND($K64&lt;=AP$7,$L64&lt;=AP$7),1,AND($K64&lt;=AP$7,$L64&gt;AP$7),((AP$7-$K64)/($L64-$K64)))</f>
        <v>#REF!</v>
      </c>
      <c r="AR64" s="201" t="e">
        <f t="array" ref="AR64">_xlfn.IFS(AND($K64&gt;AQ$7,$L64&gt;AQ$7),0,AND($K64&lt;=AQ$7,$L64&lt;=AQ$7),1,AND($K64&lt;=AQ$7,$L64&gt;AQ$7),((AQ$7-$K64)/($L64-$K64)))</f>
        <v>#REF!</v>
      </c>
      <c r="AS64" s="201" t="e">
        <f t="array" ref="AS64">_xlfn.IFS(AND($K64&gt;AR$7,$L64&gt;AR$7),0,AND($K64&lt;=AR$7,$L64&lt;=AR$7),1,AND($K64&lt;=AR$7,$L64&gt;AR$7),((AR$7-$K64)/($L64-$K64)))</f>
        <v>#REF!</v>
      </c>
      <c r="AT64" s="201" t="e">
        <f t="array" ref="AT64">_xlfn.IFS(AND($K64&gt;AS$7,$L64&gt;AS$7),0,AND($K64&lt;=AS$7,$L64&lt;=AS$7),1,AND($K64&lt;=AS$7,$L64&gt;AS$7),((AS$7-$K64)/($L64-$K64)))</f>
        <v>#REF!</v>
      </c>
      <c r="AU64" s="201" t="e">
        <f t="array" ref="AU64">_xlfn.IFS(AND($K64&gt;AT$7,$L64&gt;AT$7),0,AND($K64&lt;=AT$7,$L64&lt;=AT$7),1,AND($K64&lt;=AT$7,$L64&gt;AT$7),((AT$7-$K64)/($L64-$K64)))</f>
        <v>#REF!</v>
      </c>
      <c r="AV64" s="201" t="e">
        <f t="array" ref="AV64">_xlfn.IFS(AND($K64&gt;AU$7,$L64&gt;AU$7),0,AND($K64&lt;=AU$7,$L64&lt;=AU$7),1,AND($K64&lt;=AU$7,$L64&gt;AU$7),((AU$7-$K64)/($L64-$K64)))</f>
        <v>#REF!</v>
      </c>
      <c r="AW64" s="201" t="e">
        <f t="array" ref="AW64">_xlfn.IFS(AND($K64&gt;AV$7,$L64&gt;AV$7),0,AND($K64&lt;=AV$7,$L64&lt;=AV$7),1,AND($K64&lt;=AV$7,$L64&gt;AV$7),((AV$7-$K64)/($L64-$K64)))</f>
        <v>#REF!</v>
      </c>
      <c r="AX64" s="201" t="e">
        <f t="array" ref="AX64">_xlfn.IFS(AND($K64&gt;AW$7,$L64&gt;AW$7),0,AND($K64&lt;=AW$7,$L64&lt;=AW$7),1,AND($K64&lt;=AW$7,$L64&gt;AW$7),((AW$7-$K64)/($L64-$K64)))</f>
        <v>#REF!</v>
      </c>
      <c r="AY64" s="201" t="e">
        <f t="array" ref="AY64">_xlfn.IFS(AND($K64&gt;AX$7,$L64&gt;AX$7),0,AND($K64&lt;=AX$7,$L64&lt;=AX$7),1,AND($K64&lt;=AX$7,$L64&gt;AX$7),((AX$7-$K64)/($L64-$K64)))</f>
        <v>#REF!</v>
      </c>
      <c r="AZ64" s="201" t="e">
        <f t="array" ref="AZ64">_xlfn.IFS(AND($K64&gt;AY$7,$L64&gt;AY$7),0,AND($K64&lt;=AY$7,$L64&lt;=AY$7),1,AND($K64&lt;=AY$7,$L64&gt;AY$7),((AY$7-$K64)/($L64-$K64)))</f>
        <v>#REF!</v>
      </c>
      <c r="BA64" s="201" t="e">
        <f t="array" ref="BA64">_xlfn.IFS(AND($K64&gt;AZ$7,$L64&gt;AZ$7),0,AND($K64&lt;=AZ$7,$L64&lt;=AZ$7),1,AND($K64&lt;=AZ$7,$L64&gt;AZ$7),((AZ$7-$K64)/($L64-$K64)))</f>
        <v>#REF!</v>
      </c>
      <c r="BB64" s="201" t="e">
        <f t="array" ref="BB64">_xlfn.IFS(AND($K64&gt;BA$7,$L64&gt;BA$7),0,AND($K64&lt;=BA$7,$L64&lt;=BA$7),1,AND($K64&lt;=BA$7,$L64&gt;BA$7),((BA$7-$K64)/($L64-$K64)))</f>
        <v>#REF!</v>
      </c>
      <c r="BC64" s="201" t="e">
        <f t="array" ref="BC64">_xlfn.IFS(AND($K64&gt;BB$7,$L64&gt;BB$7),0,AND($K64&lt;=BB$7,$L64&lt;=BB$7),1,AND($K64&lt;=BB$7,$L64&gt;BB$7),((BB$7-$K64)/($L64-$K64)))</f>
        <v>#REF!</v>
      </c>
      <c r="BD64" s="201" t="e">
        <f t="array" ref="BD64">_xlfn.IFS(AND($K64&gt;BC$7,$L64&gt;BC$7),0,AND($K64&lt;=BC$7,$L64&lt;=BC$7),1,AND($K64&lt;=BC$7,$L64&gt;BC$7),((BC$7-$K64)/($L64-$K64)))</f>
        <v>#REF!</v>
      </c>
      <c r="BE64" s="201" t="e">
        <f t="array" ref="BE64">_xlfn.IFS(AND($K64&gt;BD$7,$L64&gt;BD$7),0,AND($K64&lt;=BD$7,$L64&lt;=BD$7),1,AND($K64&lt;=BD$7,$L64&gt;BD$7),((BD$7-$K64)/($L64-$K64)))</f>
        <v>#REF!</v>
      </c>
      <c r="BF64" s="201" t="e">
        <f t="array" ref="BF64">_xlfn.IFS(AND($K64&gt;BE$7,$L64&gt;BE$7),0,AND($K64&lt;=BE$7,$L64&lt;=BE$7),1,AND($K64&lt;=BE$7,$L64&gt;BE$7),((BE$7-$K64)/($L64-$K64)))</f>
        <v>#REF!</v>
      </c>
      <c r="BG64" s="201" t="e">
        <f t="array" ref="BG64">_xlfn.IFS(AND($K64&gt;BF$7,$L64&gt;BF$7),0,AND($K64&lt;=BF$7,$L64&lt;=BF$7),1,AND($K64&lt;=BF$7,$L64&gt;BF$7),((BF$7-$K64)/($L64-$K64)))</f>
        <v>#REF!</v>
      </c>
      <c r="BH64" s="201" t="e">
        <f t="array" ref="BH64">_xlfn.IFS(AND($K64&gt;BG$7,$L64&gt;BG$7),0,AND($K64&lt;=BG$7,$L64&lt;=BG$7),1,AND($K64&lt;=BG$7,$L64&gt;BG$7),((BG$7-$K64)/($L64-$K64)))</f>
        <v>#REF!</v>
      </c>
      <c r="BI64" s="201" t="e">
        <f t="array" ref="BI64">_xlfn.IFS(AND($K64&gt;BH$7,$L64&gt;BH$7),0,AND($K64&lt;=BH$7,$L64&lt;=BH$7),1,AND($K64&lt;=BH$7,$L64&gt;BH$7),((BH$7-$K64)/($L64-$K64)))</f>
        <v>#REF!</v>
      </c>
      <c r="BJ64" s="201" t="e">
        <f t="array" ref="BJ64">_xlfn.IFS(AND($K64&gt;BI$7,$L64&gt;BI$7),0,AND($K64&lt;=BI$7,$L64&lt;=BI$7),1,AND($K64&lt;=BI$7,$L64&gt;BI$7),((BI$7-$K64)/($L64-$K64)))</f>
        <v>#REF!</v>
      </c>
      <c r="BK64" s="201" t="e">
        <f t="array" ref="BK64">_xlfn.IFS(AND($K64&gt;BJ$7,$L64&gt;BJ$7),0,AND($K64&lt;=BJ$7,$L64&lt;=BJ$7),1,AND($K64&lt;=BJ$7,$L64&gt;BJ$7),((BJ$7-$K64)/($L64-$K64)))</f>
        <v>#REF!</v>
      </c>
      <c r="BL64" s="201" t="e">
        <f t="array" ref="BL64">_xlfn.IFS(AND($K64&gt;BK$7,$L64&gt;BK$7),0,AND($K64&lt;=BK$7,$L64&lt;=BK$7),1,AND($K64&lt;=BK$7,$L64&gt;BK$7),((BK$7-$K64)/($L64-$K64)))</f>
        <v>#REF!</v>
      </c>
      <c r="BM64" s="201" t="e">
        <f t="array" ref="BM64">_xlfn.IFS(AND($K64&gt;BL$7,$L64&gt;BL$7),0,AND($K64&lt;=BL$7,$L64&lt;=BL$7),1,AND($K64&lt;=BL$7,$L64&gt;BL$7),((BL$7-$K64)/($L64-$K64)))</f>
        <v>#REF!</v>
      </c>
      <c r="BN64" s="201" t="e">
        <f t="array" ref="BN64">_xlfn.IFS(AND($K64&gt;BM$7,$L64&gt;BM$7),0,AND($K64&lt;=BM$7,$L64&lt;=BM$7),1,AND($K64&lt;=BM$7,$L64&gt;BM$7),((BM$7-$K64)/($L64-$K64)))</f>
        <v>#REF!</v>
      </c>
    </row>
    <row r="65" spans="2:66" s="163" customFormat="1" ht="15" customHeight="1" x14ac:dyDescent="0.3">
      <c r="B65" s="166" t="s">
        <v>161</v>
      </c>
      <c r="C65" s="166" t="s">
        <v>178</v>
      </c>
      <c r="D65" s="177"/>
      <c r="E65" s="170" t="str">
        <f t="shared" si="32"/>
        <v>Desenvolvimento da Transformação dos Processos</v>
      </c>
      <c r="F65" s="174" t="str">
        <f t="shared" si="35"/>
        <v>Diagnóstico de Maturidade do Processo</v>
      </c>
      <c r="G65" s="166" t="str">
        <f t="shared" si="38"/>
        <v>Diagnóstico de Maturidade do Processo</v>
      </c>
      <c r="H65" s="197" t="s">
        <v>179</v>
      </c>
      <c r="I65" s="166">
        <v>45901</v>
      </c>
      <c r="J65" s="166">
        <v>45905</v>
      </c>
      <c r="K65" s="166">
        <v>45901</v>
      </c>
      <c r="L65" s="166">
        <v>45905</v>
      </c>
      <c r="M65" s="167"/>
      <c r="N65" s="167" t="str">
        <f t="array" ref="N65">_xlfn.IFS(L65&lt;$M$3,"Concluído",AND(K65&gt;=$M$3,I65&lt;$M$3,L65&gt;$M$3),"Em andamento",AND(L65&gt;=$M$3,J65&lt;$M$3),"Atrasado",AND(L65&gt;=$M$3,J65&gt;=$M$3,I65&gt;$M$3,K65&lt;=$M$3),"Em andamento",AND(L65&gt;=$M$3,J65&gt;=$M$3,I65&lt;=$M$3,K65&lt;=$M$3),"Em andamento",AND(K65&gt;$M$3,I65&gt;$M$3),"Não iniciado",AND(L65&gt;=$M$3,J65&gt;=$M$3,K65&gt;=$M$3,I65&lt;$M$3),"Atrasado",AND(L65&gt;=$M$3,J65&gt;=$M$3,K65&gt;=$M$3,I65&gt;$M$3),"Não iniciado",AND($I65&lt;=$M$3,$K65&gt;$M$3),"Atrasado")</f>
        <v>Concluído</v>
      </c>
      <c r="O65" s="167">
        <f t="array" ref="O65">_xlfn.IFS(N65="Não iniciado",0,N65="Em andamento",1,N65="Concluído",2,N65="Atrasado",3)</f>
        <v>2</v>
      </c>
      <c r="P65" s="169"/>
      <c r="Q65" s="152">
        <f t="array" aca="1" ref="Q65" ca="1">_xlfn.IFS(AND($I65&lt;$N$3,$J65&lt;$N$3),1,AND($I65&lt;=$N$3,$J65&gt;=$N$3),0.5,AND($I65&gt;=$N$3,$J65&gt;=$N$3),0)</f>
        <v>1</v>
      </c>
      <c r="R65" s="152">
        <f t="array" aca="1" ref="R65" ca="1">_xlfn.IFS(AND($K65&lt;$N$3,$L65&lt;$N$3),1,AND($K65&lt;=$N$3,$L65&gt;=$N$3),0.5,AND($K65&gt;=$N$3,$L65&gt;=$N$3),0)</f>
        <v>1</v>
      </c>
      <c r="S65" s="201" t="e">
        <f t="array" ref="S65">_xlfn.IFS(AND($K65&gt;R$7,$L65&gt;R$7),0,AND($K65&lt;=R$7,$L65&lt;=R$7),1,AND($K65&lt;=R$7,$L65&gt;R$7),((R$7-$K65)/($L65-$K65)))</f>
        <v>#REF!</v>
      </c>
      <c r="T65" s="201" t="e">
        <f t="array" ref="T65">_xlfn.IFS(AND($K65&gt;S$7,$L65&gt;S$7),0,AND($K65&lt;=S$7,$L65&lt;=S$7),1,AND($K65&lt;=S$7,$L65&gt;S$7),((S$7-$K65)/($L65-$K65)))</f>
        <v>#REF!</v>
      </c>
      <c r="U65" s="201" t="e">
        <f t="array" ref="U65">_xlfn.IFS(AND($K65&gt;T$7,$L65&gt;T$7),0,AND($K65&lt;=T$7,$L65&lt;=T$7),1,AND($K65&lt;=T$7,$L65&gt;T$7),((T$7-$K65)/($L65-$K65)))</f>
        <v>#REF!</v>
      </c>
      <c r="V65" s="201" t="e">
        <f t="array" ref="V65">_xlfn.IFS(AND($K65&gt;U$7,$L65&gt;U$7),0,AND($K65&lt;=U$7,$L65&lt;=U$7),1,AND($K65&lt;=U$7,$L65&gt;U$7),((U$7-$K65)/($L65-$K65)))</f>
        <v>#REF!</v>
      </c>
      <c r="W65" s="201" t="e">
        <f t="array" ref="W65">_xlfn.IFS(AND($K65&gt;V$7,$L65&gt;V$7),0,AND($K65&lt;=V$7,$L65&lt;=V$7),1,AND($K65&lt;=V$7,$L65&gt;V$7),((V$7-$K65)/($L65-$K65)))</f>
        <v>#REF!</v>
      </c>
      <c r="X65" s="201" t="e">
        <f t="array" ref="X65">_xlfn.IFS(AND($K65&gt;W$7,$L65&gt;W$7),0,AND($K65&lt;=W$7,$L65&lt;=W$7),1,AND($K65&lt;=W$7,$L65&gt;W$7),((W$7-$K65)/($L65-$K65)))</f>
        <v>#REF!</v>
      </c>
      <c r="Y65" s="201" t="e">
        <f t="array" ref="Y65">_xlfn.IFS(AND($K65&gt;X$7,$L65&gt;X$7),0,AND($K65&lt;=X$7,$L65&lt;=X$7),1,AND($K65&lt;=X$7,$L65&gt;X$7),((X$7-$K65)/($L65-$K65)))</f>
        <v>#REF!</v>
      </c>
      <c r="Z65" s="201" t="e">
        <f t="array" ref="Z65">_xlfn.IFS(AND($K65&gt;Y$7,$L65&gt;Y$7),0,AND($K65&lt;=Y$7,$L65&lt;=Y$7),1,AND($K65&lt;=Y$7,$L65&gt;Y$7),((Y$7-$K65)/($L65-$K65)))</f>
        <v>#REF!</v>
      </c>
      <c r="AA65" s="201" t="e">
        <f t="array" ref="AA65">_xlfn.IFS(AND($K65&gt;Z$7,$L65&gt;Z$7),0,AND($K65&lt;=Z$7,$L65&lt;=Z$7),1,AND($K65&lt;=Z$7,$L65&gt;Z$7),((Z$7-$K65)/($L65-$K65)))</f>
        <v>#REF!</v>
      </c>
      <c r="AB65" s="201" t="e">
        <f t="array" ref="AB65">_xlfn.IFS(AND($K65&gt;AA$7,$L65&gt;AA$7),0,AND($K65&lt;=AA$7,$L65&lt;=AA$7),1,AND($K65&lt;=AA$7,$L65&gt;AA$7),((AA$7-$K65)/($L65-$K65)))</f>
        <v>#REF!</v>
      </c>
      <c r="AC65" s="201" t="e">
        <f t="array" ref="AC65">_xlfn.IFS(AND($K65&gt;AB$7,$L65&gt;AB$7),0,AND($K65&lt;=AB$7,$L65&lt;=AB$7),1,AND($K65&lt;=AB$7,$L65&gt;AB$7),((AB$7-$K65)/($L65-$K65)))</f>
        <v>#REF!</v>
      </c>
      <c r="AD65" s="201" t="e">
        <f t="array" ref="AD65">_xlfn.IFS(AND($K65&gt;AC$7,$L65&gt;AC$7),0,AND($K65&lt;=AC$7,$L65&lt;=AC$7),1,AND($K65&lt;=AC$7,$L65&gt;AC$7),((AC$7-$K65)/($L65-$K65)))</f>
        <v>#REF!</v>
      </c>
      <c r="AE65" s="201" t="e">
        <f t="array" ref="AE65">_xlfn.IFS(AND($K65&gt;AD$7,$L65&gt;AD$7),0,AND($K65&lt;=AD$7,$L65&lt;=AD$7),1,AND($K65&lt;=AD$7,$L65&gt;AD$7),((AD$7-$K65)/($L65-$K65)))</f>
        <v>#REF!</v>
      </c>
      <c r="AF65" s="201" t="e">
        <f t="array" ref="AF65">_xlfn.IFS(AND($K65&gt;AE$7,$L65&gt;AE$7),0,AND($K65&lt;=AE$7,$L65&lt;=AE$7),1,AND($K65&lt;=AE$7,$L65&gt;AE$7),((AE$7-$K65)/($L65-$K65)))</f>
        <v>#REF!</v>
      </c>
      <c r="AG65" s="201" t="e">
        <f t="array" ref="AG65">_xlfn.IFS(AND($K65&gt;AF$7,$L65&gt;AF$7),0,AND($K65&lt;=AF$7,$L65&lt;=AF$7),1,AND($K65&lt;=AF$7,$L65&gt;AF$7),((AF$7-$K65)/($L65-$K65)))</f>
        <v>#REF!</v>
      </c>
      <c r="AH65" s="201" t="e">
        <f t="array" ref="AH65">_xlfn.IFS(AND($K65&gt;AG$7,$L65&gt;AG$7),0,AND($K65&lt;=AG$7,$L65&lt;=AG$7),1,AND($K65&lt;=AG$7,$L65&gt;AG$7),((AG$7-$K65)/($L65-$K65)))</f>
        <v>#REF!</v>
      </c>
      <c r="AI65" s="201" t="e">
        <f t="array" ref="AI65">_xlfn.IFS(AND($K65&gt;AH$7,$L65&gt;AH$7),0,AND($K65&lt;=AH$7,$L65&lt;=AH$7),1,AND($K65&lt;=AH$7,$L65&gt;AH$7),((AH$7-$K65)/($L65-$K65)))</f>
        <v>#REF!</v>
      </c>
      <c r="AJ65" s="201" t="e">
        <f t="array" ref="AJ65">_xlfn.IFS(AND($K65&gt;AI$7,$L65&gt;AI$7),0,AND($K65&lt;=AI$7,$L65&lt;=AI$7),1,AND($K65&lt;=AI$7,$L65&gt;AI$7),((AI$7-$K65)/($L65-$K65)))</f>
        <v>#REF!</v>
      </c>
      <c r="AK65" s="201" t="e">
        <f t="array" ref="AK65">_xlfn.IFS(AND($K65&gt;AJ$7,$L65&gt;AJ$7),0,AND($K65&lt;=AJ$7,$L65&lt;=AJ$7),1,AND($K65&lt;=AJ$7,$L65&gt;AJ$7),((AJ$7-$K65)/($L65-$K65)))</f>
        <v>#REF!</v>
      </c>
      <c r="AL65" s="201" t="e">
        <f t="array" ref="AL65">_xlfn.IFS(AND($K65&gt;AK$7,$L65&gt;AK$7),0,AND($K65&lt;=AK$7,$L65&lt;=AK$7),1,AND($K65&lt;=AK$7,$L65&gt;AK$7),((AK$7-$K65)/($L65-$K65)))</f>
        <v>#REF!</v>
      </c>
      <c r="AM65" s="201" t="e">
        <f t="array" ref="AM65">_xlfn.IFS(AND($K65&gt;AL$7,$L65&gt;AL$7),0,AND($K65&lt;=AL$7,$L65&lt;=AL$7),1,AND($K65&lt;=AL$7,$L65&gt;AL$7),((AL$7-$K65)/($L65-$K65)))</f>
        <v>#REF!</v>
      </c>
      <c r="AN65" s="201" t="e">
        <f t="array" ref="AN65">_xlfn.IFS(AND($K65&gt;AM$7,$L65&gt;AM$7),0,AND($K65&lt;=AM$7,$L65&lt;=AM$7),1,AND($K65&lt;=AM$7,$L65&gt;AM$7),((AM$7-$K65)/($L65-$K65)))</f>
        <v>#REF!</v>
      </c>
      <c r="AO65" s="201" t="e">
        <f t="array" ref="AO65">_xlfn.IFS(AND($K65&gt;AN$7,$L65&gt;AN$7),0,AND($K65&lt;=AN$7,$L65&lt;=AN$7),1,AND($K65&lt;=AN$7,$L65&gt;AN$7),((AN$7-$K65)/($L65-$K65)))</f>
        <v>#REF!</v>
      </c>
      <c r="AP65" s="201" t="e">
        <f t="array" ref="AP65">_xlfn.IFS(AND($K65&gt;AO$7,$L65&gt;AO$7),0,AND($K65&lt;=AO$7,$L65&lt;=AO$7),1,AND($K65&lt;=AO$7,$L65&gt;AO$7),((AO$7-$K65)/($L65-$K65)))</f>
        <v>#REF!</v>
      </c>
      <c r="AQ65" s="201" t="e">
        <f t="array" ref="AQ65">_xlfn.IFS(AND($K65&gt;AP$7,$L65&gt;AP$7),0,AND($K65&lt;=AP$7,$L65&lt;=AP$7),1,AND($K65&lt;=AP$7,$L65&gt;AP$7),((AP$7-$K65)/($L65-$K65)))</f>
        <v>#REF!</v>
      </c>
      <c r="AR65" s="201" t="e">
        <f t="array" ref="AR65">_xlfn.IFS(AND($K65&gt;AQ$7,$L65&gt;AQ$7),0,AND($K65&lt;=AQ$7,$L65&lt;=AQ$7),1,AND($K65&lt;=AQ$7,$L65&gt;AQ$7),((AQ$7-$K65)/($L65-$K65)))</f>
        <v>#REF!</v>
      </c>
      <c r="AS65" s="201" t="e">
        <f t="array" ref="AS65">_xlfn.IFS(AND($K65&gt;AR$7,$L65&gt;AR$7),0,AND($K65&lt;=AR$7,$L65&lt;=AR$7),1,AND($K65&lt;=AR$7,$L65&gt;AR$7),((AR$7-$K65)/($L65-$K65)))</f>
        <v>#REF!</v>
      </c>
      <c r="AT65" s="201" t="e">
        <f t="array" ref="AT65">_xlfn.IFS(AND($K65&gt;AS$7,$L65&gt;AS$7),0,AND($K65&lt;=AS$7,$L65&lt;=AS$7),1,AND($K65&lt;=AS$7,$L65&gt;AS$7),((AS$7-$K65)/($L65-$K65)))</f>
        <v>#REF!</v>
      </c>
      <c r="AU65" s="201" t="e">
        <f t="array" ref="AU65">_xlfn.IFS(AND($K65&gt;AT$7,$L65&gt;AT$7),0,AND($K65&lt;=AT$7,$L65&lt;=AT$7),1,AND($K65&lt;=AT$7,$L65&gt;AT$7),((AT$7-$K65)/($L65-$K65)))</f>
        <v>#REF!</v>
      </c>
      <c r="AV65" s="201" t="e">
        <f t="array" ref="AV65">_xlfn.IFS(AND($K65&gt;AU$7,$L65&gt;AU$7),0,AND($K65&lt;=AU$7,$L65&lt;=AU$7),1,AND($K65&lt;=AU$7,$L65&gt;AU$7),((AU$7-$K65)/($L65-$K65)))</f>
        <v>#REF!</v>
      </c>
      <c r="AW65" s="201" t="e">
        <f t="array" ref="AW65">_xlfn.IFS(AND($K65&gt;AV$7,$L65&gt;AV$7),0,AND($K65&lt;=AV$7,$L65&lt;=AV$7),1,AND($K65&lt;=AV$7,$L65&gt;AV$7),((AV$7-$K65)/($L65-$K65)))</f>
        <v>#REF!</v>
      </c>
      <c r="AX65" s="201" t="e">
        <f t="array" ref="AX65">_xlfn.IFS(AND($K65&gt;AW$7,$L65&gt;AW$7),0,AND($K65&lt;=AW$7,$L65&lt;=AW$7),1,AND($K65&lt;=AW$7,$L65&gt;AW$7),((AW$7-$K65)/($L65-$K65)))</f>
        <v>#REF!</v>
      </c>
      <c r="AY65" s="201" t="e">
        <f t="array" ref="AY65">_xlfn.IFS(AND($K65&gt;AX$7,$L65&gt;AX$7),0,AND($K65&lt;=AX$7,$L65&lt;=AX$7),1,AND($K65&lt;=AX$7,$L65&gt;AX$7),((AX$7-$K65)/($L65-$K65)))</f>
        <v>#REF!</v>
      </c>
      <c r="AZ65" s="201" t="e">
        <f t="array" ref="AZ65">_xlfn.IFS(AND($K65&gt;AY$7,$L65&gt;AY$7),0,AND($K65&lt;=AY$7,$L65&lt;=AY$7),1,AND($K65&lt;=AY$7,$L65&gt;AY$7),((AY$7-$K65)/($L65-$K65)))</f>
        <v>#REF!</v>
      </c>
      <c r="BA65" s="201" t="e">
        <f t="array" ref="BA65">_xlfn.IFS(AND($K65&gt;AZ$7,$L65&gt;AZ$7),0,AND($K65&lt;=AZ$7,$L65&lt;=AZ$7),1,AND($K65&lt;=AZ$7,$L65&gt;AZ$7),((AZ$7-$K65)/($L65-$K65)))</f>
        <v>#REF!</v>
      </c>
      <c r="BB65" s="201" t="e">
        <f t="array" ref="BB65">_xlfn.IFS(AND($K65&gt;BA$7,$L65&gt;BA$7),0,AND($K65&lt;=BA$7,$L65&lt;=BA$7),1,AND($K65&lt;=BA$7,$L65&gt;BA$7),((BA$7-$K65)/($L65-$K65)))</f>
        <v>#REF!</v>
      </c>
      <c r="BC65" s="201" t="e">
        <f t="array" ref="BC65">_xlfn.IFS(AND($K65&gt;BB$7,$L65&gt;BB$7),0,AND($K65&lt;=BB$7,$L65&lt;=BB$7),1,AND($K65&lt;=BB$7,$L65&gt;BB$7),((BB$7-$K65)/($L65-$K65)))</f>
        <v>#REF!</v>
      </c>
      <c r="BD65" s="201" t="e">
        <f t="array" ref="BD65">_xlfn.IFS(AND($K65&gt;BC$7,$L65&gt;BC$7),0,AND($K65&lt;=BC$7,$L65&lt;=BC$7),1,AND($K65&lt;=BC$7,$L65&gt;BC$7),((BC$7-$K65)/($L65-$K65)))</f>
        <v>#REF!</v>
      </c>
      <c r="BE65" s="201" t="e">
        <f t="array" ref="BE65">_xlfn.IFS(AND($K65&gt;BD$7,$L65&gt;BD$7),0,AND($K65&lt;=BD$7,$L65&lt;=BD$7),1,AND($K65&lt;=BD$7,$L65&gt;BD$7),((BD$7-$K65)/($L65-$K65)))</f>
        <v>#REF!</v>
      </c>
      <c r="BF65" s="201" t="e">
        <f t="array" ref="BF65">_xlfn.IFS(AND($K65&gt;BE$7,$L65&gt;BE$7),0,AND($K65&lt;=BE$7,$L65&lt;=BE$7),1,AND($K65&lt;=BE$7,$L65&gt;BE$7),((BE$7-$K65)/($L65-$K65)))</f>
        <v>#REF!</v>
      </c>
      <c r="BG65" s="201" t="e">
        <f t="array" ref="BG65">_xlfn.IFS(AND($K65&gt;BF$7,$L65&gt;BF$7),0,AND($K65&lt;=BF$7,$L65&lt;=BF$7),1,AND($K65&lt;=BF$7,$L65&gt;BF$7),((BF$7-$K65)/($L65-$K65)))</f>
        <v>#REF!</v>
      </c>
      <c r="BH65" s="201" t="e">
        <f t="array" ref="BH65">_xlfn.IFS(AND($K65&gt;BG$7,$L65&gt;BG$7),0,AND($K65&lt;=BG$7,$L65&lt;=BG$7),1,AND($K65&lt;=BG$7,$L65&gt;BG$7),((BG$7-$K65)/($L65-$K65)))</f>
        <v>#REF!</v>
      </c>
      <c r="BI65" s="201" t="e">
        <f t="array" ref="BI65">_xlfn.IFS(AND($K65&gt;BH$7,$L65&gt;BH$7),0,AND($K65&lt;=BH$7,$L65&lt;=BH$7),1,AND($K65&lt;=BH$7,$L65&gt;BH$7),((BH$7-$K65)/($L65-$K65)))</f>
        <v>#REF!</v>
      </c>
      <c r="BJ65" s="201" t="e">
        <f t="array" ref="BJ65">_xlfn.IFS(AND($K65&gt;BI$7,$L65&gt;BI$7),0,AND($K65&lt;=BI$7,$L65&lt;=BI$7),1,AND($K65&lt;=BI$7,$L65&gt;BI$7),((BI$7-$K65)/($L65-$K65)))</f>
        <v>#REF!</v>
      </c>
      <c r="BK65" s="201" t="e">
        <f t="array" ref="BK65">_xlfn.IFS(AND($K65&gt;BJ$7,$L65&gt;BJ$7),0,AND($K65&lt;=BJ$7,$L65&lt;=BJ$7),1,AND($K65&lt;=BJ$7,$L65&gt;BJ$7),((BJ$7-$K65)/($L65-$K65)))</f>
        <v>#REF!</v>
      </c>
      <c r="BL65" s="201" t="e">
        <f t="array" ref="BL65">_xlfn.IFS(AND($K65&gt;BK$7,$L65&gt;BK$7),0,AND($K65&lt;=BK$7,$L65&lt;=BK$7),1,AND($K65&lt;=BK$7,$L65&gt;BK$7),((BK$7-$K65)/($L65-$K65)))</f>
        <v>#REF!</v>
      </c>
      <c r="BM65" s="201" t="e">
        <f t="array" ref="BM65">_xlfn.IFS(AND($K65&gt;BL$7,$L65&gt;BL$7),0,AND($K65&lt;=BL$7,$L65&lt;=BL$7),1,AND($K65&lt;=BL$7,$L65&gt;BL$7),((BL$7-$K65)/($L65-$K65)))</f>
        <v>#REF!</v>
      </c>
      <c r="BN65" s="201" t="e">
        <f t="array" ref="BN65">_xlfn.IFS(AND($K65&gt;BM$7,$L65&gt;BM$7),0,AND($K65&lt;=BM$7,$L65&lt;=BM$7),1,AND($K65&lt;=BM$7,$L65&gt;BM$7),((BM$7-$K65)/($L65-$K65)))</f>
        <v>#REF!</v>
      </c>
    </row>
    <row r="66" spans="2:66" ht="15" customHeight="1" x14ac:dyDescent="0.3">
      <c r="B66" s="166" t="s">
        <v>161</v>
      </c>
      <c r="C66" s="166" t="s">
        <v>180</v>
      </c>
      <c r="D66" s="177"/>
      <c r="E66" s="170" t="str">
        <f t="shared" si="32"/>
        <v>Desenvolvimento da Transformação dos Processos</v>
      </c>
      <c r="F66" s="174" t="str">
        <f t="shared" si="35"/>
        <v>Diagnóstico de Maturidade do Processo</v>
      </c>
      <c r="G66" s="166" t="str">
        <f t="shared" si="38"/>
        <v>Diagnóstico de Maturidade do Processo</v>
      </c>
      <c r="H66" s="197" t="s">
        <v>181</v>
      </c>
      <c r="I66" s="166">
        <v>45901</v>
      </c>
      <c r="J66" s="166">
        <v>45905</v>
      </c>
      <c r="K66" s="166">
        <v>45901</v>
      </c>
      <c r="L66" s="166">
        <v>45905</v>
      </c>
      <c r="M66" s="167"/>
      <c r="N66" s="167" t="str">
        <f t="array" ref="N66">_xlfn.IFS(L66&lt;$M$3,"Concluído",AND(K66&gt;=$M$3,I66&lt;$M$3,L66&gt;$M$3),"Em andamento",AND(L66&gt;=$M$3,J66&lt;$M$3),"Atrasado",AND(L66&gt;=$M$3,J66&gt;=$M$3,I66&gt;$M$3,K66&lt;=$M$3),"Em andamento",AND(L66&gt;=$M$3,J66&gt;=$M$3,I66&lt;=$M$3,K66&lt;=$M$3),"Em andamento",AND(K66&gt;$M$3,I66&gt;$M$3),"Não iniciado",AND(L66&gt;=$M$3,J66&gt;=$M$3,K66&gt;=$M$3,I66&lt;$M$3),"Atrasado",AND(L66&gt;=$M$3,J66&gt;=$M$3,K66&gt;=$M$3,I66&gt;$M$3),"Não iniciado",AND($I66&lt;=$M$3,$K66&gt;$M$3),"Atrasado")</f>
        <v>Concluído</v>
      </c>
      <c r="O66" s="167">
        <f t="array" ref="O66">_xlfn.IFS(N66="Não iniciado",0,N66="Em andamento",1,N66="Concluído",2,N66="Atrasado",3)</f>
        <v>2</v>
      </c>
      <c r="P66" s="169"/>
      <c r="Q66" s="152">
        <f t="array" aca="1" ref="Q66" ca="1">_xlfn.IFS(AND($I66&lt;$N$3,$J66&lt;$N$3),1,AND($I66&lt;=$N$3,$J66&gt;=$N$3),0.5,AND($I66&gt;=$N$3,$J66&gt;=$N$3),0)</f>
        <v>1</v>
      </c>
      <c r="R66" s="152">
        <f t="array" aca="1" ref="R66" ca="1">_xlfn.IFS(AND($K66&lt;$N$3,$L66&lt;$N$3),1,AND($K66&lt;=$N$3,$L66&gt;=$N$3),0.5,AND($K66&gt;=$N$3,$L66&gt;=$N$3),0)</f>
        <v>1</v>
      </c>
      <c r="S66" s="201" t="e">
        <f t="array" ref="S66">_xlfn.IFS(AND($K66&gt;R$7,$L66&gt;R$7),0,AND($K66&lt;=R$7,$L66&lt;=R$7),1,AND($K66&lt;=R$7,$L66&gt;R$7),((R$7-$K66)/($L66-$K66)))</f>
        <v>#REF!</v>
      </c>
      <c r="T66" s="201" t="e">
        <f t="array" ref="T66">_xlfn.IFS(AND($K66&gt;S$7,$L66&gt;S$7),0,AND($K66&lt;=S$7,$L66&lt;=S$7),1,AND($K66&lt;=S$7,$L66&gt;S$7),((S$7-$K66)/($L66-$K66)))</f>
        <v>#REF!</v>
      </c>
      <c r="U66" s="201" t="e">
        <f t="array" ref="U66">_xlfn.IFS(AND($K66&gt;T$7,$L66&gt;T$7),0,AND($K66&lt;=T$7,$L66&lt;=T$7),1,AND($K66&lt;=T$7,$L66&gt;T$7),((T$7-$K66)/($L66-$K66)))</f>
        <v>#REF!</v>
      </c>
      <c r="V66" s="201" t="e">
        <f t="array" ref="V66">_xlfn.IFS(AND($K66&gt;U$7,$L66&gt;U$7),0,AND($K66&lt;=U$7,$L66&lt;=U$7),1,AND($K66&lt;=U$7,$L66&gt;U$7),((U$7-$K66)/($L66-$K66)))</f>
        <v>#REF!</v>
      </c>
      <c r="W66" s="201" t="e">
        <f t="array" ref="W66">_xlfn.IFS(AND($K66&gt;V$7,$L66&gt;V$7),0,AND($K66&lt;=V$7,$L66&lt;=V$7),1,AND($K66&lt;=V$7,$L66&gt;V$7),((V$7-$K66)/($L66-$K66)))</f>
        <v>#REF!</v>
      </c>
      <c r="X66" s="201" t="e">
        <f t="array" ref="X66">_xlfn.IFS(AND($K66&gt;W$7,$L66&gt;W$7),0,AND($K66&lt;=W$7,$L66&lt;=W$7),1,AND($K66&lt;=W$7,$L66&gt;W$7),((W$7-$K66)/($L66-$K66)))</f>
        <v>#REF!</v>
      </c>
      <c r="Y66" s="201" t="e">
        <f t="array" ref="Y66">_xlfn.IFS(AND($K66&gt;X$7,$L66&gt;X$7),0,AND($K66&lt;=X$7,$L66&lt;=X$7),1,AND($K66&lt;=X$7,$L66&gt;X$7),((X$7-$K66)/($L66-$K66)))</f>
        <v>#REF!</v>
      </c>
      <c r="Z66" s="201" t="e">
        <f t="array" ref="Z66">_xlfn.IFS(AND($K66&gt;Y$7,$L66&gt;Y$7),0,AND($K66&lt;=Y$7,$L66&lt;=Y$7),1,AND($K66&lt;=Y$7,$L66&gt;Y$7),((Y$7-$K66)/($L66-$K66)))</f>
        <v>#REF!</v>
      </c>
      <c r="AA66" s="201" t="e">
        <f t="array" ref="AA66">_xlfn.IFS(AND($K66&gt;Z$7,$L66&gt;Z$7),0,AND($K66&lt;=Z$7,$L66&lt;=Z$7),1,AND($K66&lt;=Z$7,$L66&gt;Z$7),((Z$7-$K66)/($L66-$K66)))</f>
        <v>#REF!</v>
      </c>
      <c r="AB66" s="201" t="e">
        <f t="array" ref="AB66">_xlfn.IFS(AND($K66&gt;AA$7,$L66&gt;AA$7),0,AND($K66&lt;=AA$7,$L66&lt;=AA$7),1,AND($K66&lt;=AA$7,$L66&gt;AA$7),((AA$7-$K66)/($L66-$K66)))</f>
        <v>#REF!</v>
      </c>
      <c r="AC66" s="201" t="e">
        <f t="array" ref="AC66">_xlfn.IFS(AND($K66&gt;AB$7,$L66&gt;AB$7),0,AND($K66&lt;=AB$7,$L66&lt;=AB$7),1,AND($K66&lt;=AB$7,$L66&gt;AB$7),((AB$7-$K66)/($L66-$K66)))</f>
        <v>#REF!</v>
      </c>
      <c r="AD66" s="201" t="e">
        <f t="array" ref="AD66">_xlfn.IFS(AND($K66&gt;AC$7,$L66&gt;AC$7),0,AND($K66&lt;=AC$7,$L66&lt;=AC$7),1,AND($K66&lt;=AC$7,$L66&gt;AC$7),((AC$7-$K66)/($L66-$K66)))</f>
        <v>#REF!</v>
      </c>
      <c r="AE66" s="201" t="e">
        <f t="array" ref="AE66">_xlfn.IFS(AND($K66&gt;AD$7,$L66&gt;AD$7),0,AND($K66&lt;=AD$7,$L66&lt;=AD$7),1,AND($K66&lt;=AD$7,$L66&gt;AD$7),((AD$7-$K66)/($L66-$K66)))</f>
        <v>#REF!</v>
      </c>
      <c r="AF66" s="201" t="e">
        <f t="array" ref="AF66">_xlfn.IFS(AND($K66&gt;AE$7,$L66&gt;AE$7),0,AND($K66&lt;=AE$7,$L66&lt;=AE$7),1,AND($K66&lt;=AE$7,$L66&gt;AE$7),((AE$7-$K66)/($L66-$K66)))</f>
        <v>#REF!</v>
      </c>
      <c r="AG66" s="201" t="e">
        <f t="array" ref="AG66">_xlfn.IFS(AND($K66&gt;AF$7,$L66&gt;AF$7),0,AND($K66&lt;=AF$7,$L66&lt;=AF$7),1,AND($K66&lt;=AF$7,$L66&gt;AF$7),((AF$7-$K66)/($L66-$K66)))</f>
        <v>#REF!</v>
      </c>
      <c r="AH66" s="201" t="e">
        <f t="array" ref="AH66">_xlfn.IFS(AND($K66&gt;AG$7,$L66&gt;AG$7),0,AND($K66&lt;=AG$7,$L66&lt;=AG$7),1,AND($K66&lt;=AG$7,$L66&gt;AG$7),((AG$7-$K66)/($L66-$K66)))</f>
        <v>#REF!</v>
      </c>
      <c r="AI66" s="201" t="e">
        <f t="array" ref="AI66">_xlfn.IFS(AND($K66&gt;AH$7,$L66&gt;AH$7),0,AND($K66&lt;=AH$7,$L66&lt;=AH$7),1,AND($K66&lt;=AH$7,$L66&gt;AH$7),((AH$7-$K66)/($L66-$K66)))</f>
        <v>#REF!</v>
      </c>
      <c r="AJ66" s="201" t="e">
        <f t="array" ref="AJ66">_xlfn.IFS(AND($K66&gt;AI$7,$L66&gt;AI$7),0,AND($K66&lt;=AI$7,$L66&lt;=AI$7),1,AND($K66&lt;=AI$7,$L66&gt;AI$7),((AI$7-$K66)/($L66-$K66)))</f>
        <v>#REF!</v>
      </c>
      <c r="AK66" s="201" t="e">
        <f t="array" ref="AK66">_xlfn.IFS(AND($K66&gt;AJ$7,$L66&gt;AJ$7),0,AND($K66&lt;=AJ$7,$L66&lt;=AJ$7),1,AND($K66&lt;=AJ$7,$L66&gt;AJ$7),((AJ$7-$K66)/($L66-$K66)))</f>
        <v>#REF!</v>
      </c>
      <c r="AL66" s="201" t="e">
        <f t="array" ref="AL66">_xlfn.IFS(AND($K66&gt;AK$7,$L66&gt;AK$7),0,AND($K66&lt;=AK$7,$L66&lt;=AK$7),1,AND($K66&lt;=AK$7,$L66&gt;AK$7),((AK$7-$K66)/($L66-$K66)))</f>
        <v>#REF!</v>
      </c>
      <c r="AM66" s="201" t="e">
        <f t="array" ref="AM66">_xlfn.IFS(AND($K66&gt;AL$7,$L66&gt;AL$7),0,AND($K66&lt;=AL$7,$L66&lt;=AL$7),1,AND($K66&lt;=AL$7,$L66&gt;AL$7),((AL$7-$K66)/($L66-$K66)))</f>
        <v>#REF!</v>
      </c>
      <c r="AN66" s="201" t="e">
        <f t="array" ref="AN66">_xlfn.IFS(AND($K66&gt;AM$7,$L66&gt;AM$7),0,AND($K66&lt;=AM$7,$L66&lt;=AM$7),1,AND($K66&lt;=AM$7,$L66&gt;AM$7),((AM$7-$K66)/($L66-$K66)))</f>
        <v>#REF!</v>
      </c>
      <c r="AO66" s="201" t="e">
        <f t="array" ref="AO66">_xlfn.IFS(AND($K66&gt;AN$7,$L66&gt;AN$7),0,AND($K66&lt;=AN$7,$L66&lt;=AN$7),1,AND($K66&lt;=AN$7,$L66&gt;AN$7),((AN$7-$K66)/($L66-$K66)))</f>
        <v>#REF!</v>
      </c>
      <c r="AP66" s="201" t="e">
        <f t="array" ref="AP66">_xlfn.IFS(AND($K66&gt;AO$7,$L66&gt;AO$7),0,AND($K66&lt;=AO$7,$L66&lt;=AO$7),1,AND($K66&lt;=AO$7,$L66&gt;AO$7),((AO$7-$K66)/($L66-$K66)))</f>
        <v>#REF!</v>
      </c>
      <c r="AQ66" s="201" t="e">
        <f t="array" ref="AQ66">_xlfn.IFS(AND($K66&gt;AP$7,$L66&gt;AP$7),0,AND($K66&lt;=AP$7,$L66&lt;=AP$7),1,AND($K66&lt;=AP$7,$L66&gt;AP$7),((AP$7-$K66)/($L66-$K66)))</f>
        <v>#REF!</v>
      </c>
      <c r="AR66" s="201" t="e">
        <f t="array" ref="AR66">_xlfn.IFS(AND($K66&gt;AQ$7,$L66&gt;AQ$7),0,AND($K66&lt;=AQ$7,$L66&lt;=AQ$7),1,AND($K66&lt;=AQ$7,$L66&gt;AQ$7),((AQ$7-$K66)/($L66-$K66)))</f>
        <v>#REF!</v>
      </c>
      <c r="AS66" s="201" t="e">
        <f t="array" ref="AS66">_xlfn.IFS(AND($K66&gt;AR$7,$L66&gt;AR$7),0,AND($K66&lt;=AR$7,$L66&lt;=AR$7),1,AND($K66&lt;=AR$7,$L66&gt;AR$7),((AR$7-$K66)/($L66-$K66)))</f>
        <v>#REF!</v>
      </c>
      <c r="AT66" s="201" t="e">
        <f t="array" ref="AT66">_xlfn.IFS(AND($K66&gt;AS$7,$L66&gt;AS$7),0,AND($K66&lt;=AS$7,$L66&lt;=AS$7),1,AND($K66&lt;=AS$7,$L66&gt;AS$7),((AS$7-$K66)/($L66-$K66)))</f>
        <v>#REF!</v>
      </c>
      <c r="AU66" s="201" t="e">
        <f t="array" ref="AU66">_xlfn.IFS(AND($K66&gt;AT$7,$L66&gt;AT$7),0,AND($K66&lt;=AT$7,$L66&lt;=AT$7),1,AND($K66&lt;=AT$7,$L66&gt;AT$7),((AT$7-$K66)/($L66-$K66)))</f>
        <v>#REF!</v>
      </c>
      <c r="AV66" s="201" t="e">
        <f t="array" ref="AV66">_xlfn.IFS(AND($K66&gt;AU$7,$L66&gt;AU$7),0,AND($K66&lt;=AU$7,$L66&lt;=AU$7),1,AND($K66&lt;=AU$7,$L66&gt;AU$7),((AU$7-$K66)/($L66-$K66)))</f>
        <v>#REF!</v>
      </c>
      <c r="AW66" s="201" t="e">
        <f t="array" ref="AW66">_xlfn.IFS(AND($K66&gt;AV$7,$L66&gt;AV$7),0,AND($K66&lt;=AV$7,$L66&lt;=AV$7),1,AND($K66&lt;=AV$7,$L66&gt;AV$7),((AV$7-$K66)/($L66-$K66)))</f>
        <v>#REF!</v>
      </c>
      <c r="AX66" s="201" t="e">
        <f t="array" ref="AX66">_xlfn.IFS(AND($K66&gt;AW$7,$L66&gt;AW$7),0,AND($K66&lt;=AW$7,$L66&lt;=AW$7),1,AND($K66&lt;=AW$7,$L66&gt;AW$7),((AW$7-$K66)/($L66-$K66)))</f>
        <v>#REF!</v>
      </c>
      <c r="AY66" s="201" t="e">
        <f t="array" ref="AY66">_xlfn.IFS(AND($K66&gt;AX$7,$L66&gt;AX$7),0,AND($K66&lt;=AX$7,$L66&lt;=AX$7),1,AND($K66&lt;=AX$7,$L66&gt;AX$7),((AX$7-$K66)/($L66-$K66)))</f>
        <v>#REF!</v>
      </c>
      <c r="AZ66" s="201" t="e">
        <f t="array" ref="AZ66">_xlfn.IFS(AND($K66&gt;AY$7,$L66&gt;AY$7),0,AND($K66&lt;=AY$7,$L66&lt;=AY$7),1,AND($K66&lt;=AY$7,$L66&gt;AY$7),((AY$7-$K66)/($L66-$K66)))</f>
        <v>#REF!</v>
      </c>
      <c r="BA66" s="201" t="e">
        <f t="array" ref="BA66">_xlfn.IFS(AND($K66&gt;AZ$7,$L66&gt;AZ$7),0,AND($K66&lt;=AZ$7,$L66&lt;=AZ$7),1,AND($K66&lt;=AZ$7,$L66&gt;AZ$7),((AZ$7-$K66)/($L66-$K66)))</f>
        <v>#REF!</v>
      </c>
      <c r="BB66" s="201" t="e">
        <f t="array" ref="BB66">_xlfn.IFS(AND($K66&gt;BA$7,$L66&gt;BA$7),0,AND($K66&lt;=BA$7,$L66&lt;=BA$7),1,AND($K66&lt;=BA$7,$L66&gt;BA$7),((BA$7-$K66)/($L66-$K66)))</f>
        <v>#REF!</v>
      </c>
      <c r="BC66" s="201" t="e">
        <f t="array" ref="BC66">_xlfn.IFS(AND($K66&gt;BB$7,$L66&gt;BB$7),0,AND($K66&lt;=BB$7,$L66&lt;=BB$7),1,AND($K66&lt;=BB$7,$L66&gt;BB$7),((BB$7-$K66)/($L66-$K66)))</f>
        <v>#REF!</v>
      </c>
      <c r="BD66" s="201" t="e">
        <f t="array" ref="BD66">_xlfn.IFS(AND($K66&gt;BC$7,$L66&gt;BC$7),0,AND($K66&lt;=BC$7,$L66&lt;=BC$7),1,AND($K66&lt;=BC$7,$L66&gt;BC$7),((BC$7-$K66)/($L66-$K66)))</f>
        <v>#REF!</v>
      </c>
      <c r="BE66" s="201" t="e">
        <f t="array" ref="BE66">_xlfn.IFS(AND($K66&gt;BD$7,$L66&gt;BD$7),0,AND($K66&lt;=BD$7,$L66&lt;=BD$7),1,AND($K66&lt;=BD$7,$L66&gt;BD$7),((BD$7-$K66)/($L66-$K66)))</f>
        <v>#REF!</v>
      </c>
      <c r="BF66" s="201" t="e">
        <f t="array" ref="BF66">_xlfn.IFS(AND($K66&gt;BE$7,$L66&gt;BE$7),0,AND($K66&lt;=BE$7,$L66&lt;=BE$7),1,AND($K66&lt;=BE$7,$L66&gt;BE$7),((BE$7-$K66)/($L66-$K66)))</f>
        <v>#REF!</v>
      </c>
      <c r="BG66" s="201" t="e">
        <f t="array" ref="BG66">_xlfn.IFS(AND($K66&gt;BF$7,$L66&gt;BF$7),0,AND($K66&lt;=BF$7,$L66&lt;=BF$7),1,AND($K66&lt;=BF$7,$L66&gt;BF$7),((BF$7-$K66)/($L66-$K66)))</f>
        <v>#REF!</v>
      </c>
      <c r="BH66" s="201" t="e">
        <f t="array" ref="BH66">_xlfn.IFS(AND($K66&gt;BG$7,$L66&gt;BG$7),0,AND($K66&lt;=BG$7,$L66&lt;=BG$7),1,AND($K66&lt;=BG$7,$L66&gt;BG$7),((BG$7-$K66)/($L66-$K66)))</f>
        <v>#REF!</v>
      </c>
      <c r="BI66" s="201" t="e">
        <f t="array" ref="BI66">_xlfn.IFS(AND($K66&gt;BH$7,$L66&gt;BH$7),0,AND($K66&lt;=BH$7,$L66&lt;=BH$7),1,AND($K66&lt;=BH$7,$L66&gt;BH$7),((BH$7-$K66)/($L66-$K66)))</f>
        <v>#REF!</v>
      </c>
      <c r="BJ66" s="201" t="e">
        <f t="array" ref="BJ66">_xlfn.IFS(AND($K66&gt;BI$7,$L66&gt;BI$7),0,AND($K66&lt;=BI$7,$L66&lt;=BI$7),1,AND($K66&lt;=BI$7,$L66&gt;BI$7),((BI$7-$K66)/($L66-$K66)))</f>
        <v>#REF!</v>
      </c>
      <c r="BK66" s="201" t="e">
        <f t="array" ref="BK66">_xlfn.IFS(AND($K66&gt;BJ$7,$L66&gt;BJ$7),0,AND($K66&lt;=BJ$7,$L66&lt;=BJ$7),1,AND($K66&lt;=BJ$7,$L66&gt;BJ$7),((BJ$7-$K66)/($L66-$K66)))</f>
        <v>#REF!</v>
      </c>
      <c r="BL66" s="201" t="e">
        <f t="array" ref="BL66">_xlfn.IFS(AND($K66&gt;BK$7,$L66&gt;BK$7),0,AND($K66&lt;=BK$7,$L66&lt;=BK$7),1,AND($K66&lt;=BK$7,$L66&gt;BK$7),((BK$7-$K66)/($L66-$K66)))</f>
        <v>#REF!</v>
      </c>
      <c r="BM66" s="201" t="e">
        <f t="array" ref="BM66">_xlfn.IFS(AND($K66&gt;BL$7,$L66&gt;BL$7),0,AND($K66&lt;=BL$7,$L66&lt;=BL$7),1,AND($K66&lt;=BL$7,$L66&gt;BL$7),((BL$7-$K66)/($L66-$K66)))</f>
        <v>#REF!</v>
      </c>
      <c r="BN66" s="201" t="e">
        <f t="array" ref="BN66">_xlfn.IFS(AND($K66&gt;BM$7,$L66&gt;BM$7),0,AND($K66&lt;=BM$7,$L66&lt;=BM$7),1,AND($K66&lt;=BM$7,$L66&gt;BM$7),((BM$7-$K66)/($L66-$K66)))</f>
        <v>#REF!</v>
      </c>
    </row>
    <row r="67" spans="2:66" ht="15" customHeight="1" x14ac:dyDescent="0.3">
      <c r="B67" s="166" t="s">
        <v>161</v>
      </c>
      <c r="C67" s="166" t="s">
        <v>182</v>
      </c>
      <c r="D67" s="177"/>
      <c r="E67" s="170" t="str">
        <f t="shared" si="32"/>
        <v>Desenvolvimento da Transformação dos Processos</v>
      </c>
      <c r="F67" s="174" t="str">
        <f t="shared" si="35"/>
        <v>Diagnóstico de Maturidade do Processo</v>
      </c>
      <c r="G67" s="166" t="str">
        <f t="shared" si="38"/>
        <v>Diagnóstico de Maturidade do Processo</v>
      </c>
      <c r="H67" s="197" t="s">
        <v>183</v>
      </c>
      <c r="I67" s="166">
        <v>45929</v>
      </c>
      <c r="J67" s="166">
        <v>45933</v>
      </c>
      <c r="K67" s="166">
        <v>45929</v>
      </c>
      <c r="L67" s="166">
        <v>45933</v>
      </c>
      <c r="M67" s="167"/>
      <c r="N67" s="167" t="str">
        <f t="array" ref="N67">_xlfn.IFS(L67&lt;$M$3,"Concluído",AND(K67&gt;=$M$3,I67&lt;$M$3,L67&gt;$M$3),"Em andamento",AND(L67&gt;=$M$3,J67&lt;$M$3),"Atrasado",AND(L67&gt;=$M$3,J67&gt;=$M$3,I67&gt;$M$3,K67&lt;=$M$3),"Em andamento",AND(L67&gt;=$M$3,J67&gt;=$M$3,I67&lt;=$M$3,K67&lt;=$M$3),"Em andamento",AND(K67&gt;$M$3,I67&gt;$M$3),"Não iniciado",AND(L67&gt;=$M$3,J67&gt;=$M$3,K67&gt;=$M$3,I67&lt;$M$3),"Atrasado",AND(L67&gt;=$M$3,J67&gt;=$M$3,K67&gt;=$M$3,I67&gt;$M$3),"Não iniciado",AND($I67&lt;=$M$3,$K67&gt;$M$3),"Atrasado")</f>
        <v>Concluído</v>
      </c>
      <c r="O67" s="167">
        <f t="array" ref="O67">_xlfn.IFS(N67="Não iniciado",0,N67="Em andamento",1,N67="Concluído",2,N67="Atrasado",3)</f>
        <v>2</v>
      </c>
      <c r="P67" s="169"/>
      <c r="Q67" s="152">
        <f t="array" aca="1" ref="Q67" ca="1">_xlfn.IFS(AND($I67&lt;$N$3,$J67&lt;$N$3),1,AND($I67&lt;=$N$3,$J67&gt;=$N$3),0.5,AND($I67&gt;=$N$3,$J67&gt;=$N$3),0)</f>
        <v>1</v>
      </c>
      <c r="R67" s="152">
        <f t="array" aca="1" ref="R67" ca="1">_xlfn.IFS(AND($K67&lt;$N$3,$L67&lt;$N$3),1,AND($K67&lt;=$N$3,$L67&gt;=$N$3),0.5,AND($K67&gt;=$N$3,$L67&gt;=$N$3),0)</f>
        <v>1</v>
      </c>
      <c r="S67" s="201" t="e">
        <f t="array" ref="S67">_xlfn.IFS(AND($K67&gt;R$7,$L67&gt;R$7),0,AND($K67&lt;=R$7,$L67&lt;=R$7),1,AND($K67&lt;=R$7,$L67&gt;R$7),((R$7-$K67)/($L67-$K67)))</f>
        <v>#REF!</v>
      </c>
      <c r="T67" s="201" t="e">
        <f t="array" ref="T67">_xlfn.IFS(AND($K67&gt;S$7,$L67&gt;S$7),0,AND($K67&lt;=S$7,$L67&lt;=S$7),1,AND($K67&lt;=S$7,$L67&gt;S$7),((S$7-$K67)/($L67-$K67)))</f>
        <v>#REF!</v>
      </c>
      <c r="U67" s="201" t="e">
        <f t="array" ref="U67">_xlfn.IFS(AND($K67&gt;T$7,$L67&gt;T$7),0,AND($K67&lt;=T$7,$L67&lt;=T$7),1,AND($K67&lt;=T$7,$L67&gt;T$7),((T$7-$K67)/($L67-$K67)))</f>
        <v>#REF!</v>
      </c>
      <c r="V67" s="201" t="e">
        <f t="array" ref="V67">_xlfn.IFS(AND($K67&gt;U$7,$L67&gt;U$7),0,AND($K67&lt;=U$7,$L67&lt;=U$7),1,AND($K67&lt;=U$7,$L67&gt;U$7),((U$7-$K67)/($L67-$K67)))</f>
        <v>#REF!</v>
      </c>
      <c r="W67" s="201" t="e">
        <f t="array" ref="W67">_xlfn.IFS(AND($K67&gt;V$7,$L67&gt;V$7),0,AND($K67&lt;=V$7,$L67&lt;=V$7),1,AND($K67&lt;=V$7,$L67&gt;V$7),((V$7-$K67)/($L67-$K67)))</f>
        <v>#REF!</v>
      </c>
      <c r="X67" s="201" t="e">
        <f t="array" ref="X67">_xlfn.IFS(AND($K67&gt;W$7,$L67&gt;W$7),0,AND($K67&lt;=W$7,$L67&lt;=W$7),1,AND($K67&lt;=W$7,$L67&gt;W$7),((W$7-$K67)/($L67-$K67)))</f>
        <v>#REF!</v>
      </c>
      <c r="Y67" s="201" t="e">
        <f t="array" ref="Y67">_xlfn.IFS(AND($K67&gt;X$7,$L67&gt;X$7),0,AND($K67&lt;=X$7,$L67&lt;=X$7),1,AND($K67&lt;=X$7,$L67&gt;X$7),((X$7-$K67)/($L67-$K67)))</f>
        <v>#REF!</v>
      </c>
      <c r="Z67" s="201" t="e">
        <f t="array" ref="Z67">_xlfn.IFS(AND($K67&gt;Y$7,$L67&gt;Y$7),0,AND($K67&lt;=Y$7,$L67&lt;=Y$7),1,AND($K67&lt;=Y$7,$L67&gt;Y$7),((Y$7-$K67)/($L67-$K67)))</f>
        <v>#REF!</v>
      </c>
      <c r="AA67" s="201" t="e">
        <f t="array" ref="AA67">_xlfn.IFS(AND($K67&gt;Z$7,$L67&gt;Z$7),0,AND($K67&lt;=Z$7,$L67&lt;=Z$7),1,AND($K67&lt;=Z$7,$L67&gt;Z$7),((Z$7-$K67)/($L67-$K67)))</f>
        <v>#REF!</v>
      </c>
      <c r="AB67" s="201" t="e">
        <f t="array" ref="AB67">_xlfn.IFS(AND($K67&gt;AA$7,$L67&gt;AA$7),0,AND($K67&lt;=AA$7,$L67&lt;=AA$7),1,AND($K67&lt;=AA$7,$L67&gt;AA$7),((AA$7-$K67)/($L67-$K67)))</f>
        <v>#REF!</v>
      </c>
      <c r="AC67" s="201" t="e">
        <f t="array" ref="AC67">_xlfn.IFS(AND($K67&gt;AB$7,$L67&gt;AB$7),0,AND($K67&lt;=AB$7,$L67&lt;=AB$7),1,AND($K67&lt;=AB$7,$L67&gt;AB$7),((AB$7-$K67)/($L67-$K67)))</f>
        <v>#REF!</v>
      </c>
      <c r="AD67" s="201" t="e">
        <f t="array" ref="AD67">_xlfn.IFS(AND($K67&gt;AC$7,$L67&gt;AC$7),0,AND($K67&lt;=AC$7,$L67&lt;=AC$7),1,AND($K67&lt;=AC$7,$L67&gt;AC$7),((AC$7-$K67)/($L67-$K67)))</f>
        <v>#REF!</v>
      </c>
      <c r="AE67" s="201" t="e">
        <f t="array" ref="AE67">_xlfn.IFS(AND($K67&gt;AD$7,$L67&gt;AD$7),0,AND($K67&lt;=AD$7,$L67&lt;=AD$7),1,AND($K67&lt;=AD$7,$L67&gt;AD$7),((AD$7-$K67)/($L67-$K67)))</f>
        <v>#REF!</v>
      </c>
      <c r="AF67" s="201" t="e">
        <f t="array" ref="AF67">_xlfn.IFS(AND($K67&gt;AE$7,$L67&gt;AE$7),0,AND($K67&lt;=AE$7,$L67&lt;=AE$7),1,AND($K67&lt;=AE$7,$L67&gt;AE$7),((AE$7-$K67)/($L67-$K67)))</f>
        <v>#REF!</v>
      </c>
      <c r="AG67" s="201" t="e">
        <f t="array" ref="AG67">_xlfn.IFS(AND($K67&gt;AF$7,$L67&gt;AF$7),0,AND($K67&lt;=AF$7,$L67&lt;=AF$7),1,AND($K67&lt;=AF$7,$L67&gt;AF$7),((AF$7-$K67)/($L67-$K67)))</f>
        <v>#REF!</v>
      </c>
      <c r="AH67" s="201" t="e">
        <f t="array" ref="AH67">_xlfn.IFS(AND($K67&gt;AG$7,$L67&gt;AG$7),0,AND($K67&lt;=AG$7,$L67&lt;=AG$7),1,AND($K67&lt;=AG$7,$L67&gt;AG$7),((AG$7-$K67)/($L67-$K67)))</f>
        <v>#REF!</v>
      </c>
      <c r="AI67" s="201" t="e">
        <f t="array" ref="AI67">_xlfn.IFS(AND($K67&gt;AH$7,$L67&gt;AH$7),0,AND($K67&lt;=AH$7,$L67&lt;=AH$7),1,AND($K67&lt;=AH$7,$L67&gt;AH$7),((AH$7-$K67)/($L67-$K67)))</f>
        <v>#REF!</v>
      </c>
      <c r="AJ67" s="201" t="e">
        <f t="array" ref="AJ67">_xlfn.IFS(AND($K67&gt;AI$7,$L67&gt;AI$7),0,AND($K67&lt;=AI$7,$L67&lt;=AI$7),1,AND($K67&lt;=AI$7,$L67&gt;AI$7),((AI$7-$K67)/($L67-$K67)))</f>
        <v>#REF!</v>
      </c>
      <c r="AK67" s="201" t="e">
        <f t="array" ref="AK67">_xlfn.IFS(AND($K67&gt;AJ$7,$L67&gt;AJ$7),0,AND($K67&lt;=AJ$7,$L67&lt;=AJ$7),1,AND($K67&lt;=AJ$7,$L67&gt;AJ$7),((AJ$7-$K67)/($L67-$K67)))</f>
        <v>#REF!</v>
      </c>
      <c r="AL67" s="201" t="e">
        <f t="array" ref="AL67">_xlfn.IFS(AND($K67&gt;AK$7,$L67&gt;AK$7),0,AND($K67&lt;=AK$7,$L67&lt;=AK$7),1,AND($K67&lt;=AK$7,$L67&gt;AK$7),((AK$7-$K67)/($L67-$K67)))</f>
        <v>#REF!</v>
      </c>
      <c r="AM67" s="201" t="e">
        <f t="array" ref="AM67">_xlfn.IFS(AND($K67&gt;AL$7,$L67&gt;AL$7),0,AND($K67&lt;=AL$7,$L67&lt;=AL$7),1,AND($K67&lt;=AL$7,$L67&gt;AL$7),((AL$7-$K67)/($L67-$K67)))</f>
        <v>#REF!</v>
      </c>
      <c r="AN67" s="201" t="e">
        <f t="array" ref="AN67">_xlfn.IFS(AND($K67&gt;AM$7,$L67&gt;AM$7),0,AND($K67&lt;=AM$7,$L67&lt;=AM$7),1,AND($K67&lt;=AM$7,$L67&gt;AM$7),((AM$7-$K67)/($L67-$K67)))</f>
        <v>#REF!</v>
      </c>
      <c r="AO67" s="201" t="e">
        <f t="array" ref="AO67">_xlfn.IFS(AND($K67&gt;AN$7,$L67&gt;AN$7),0,AND($K67&lt;=AN$7,$L67&lt;=AN$7),1,AND($K67&lt;=AN$7,$L67&gt;AN$7),((AN$7-$K67)/($L67-$K67)))</f>
        <v>#REF!</v>
      </c>
      <c r="AP67" s="201" t="e">
        <f t="array" ref="AP67">_xlfn.IFS(AND($K67&gt;AO$7,$L67&gt;AO$7),0,AND($K67&lt;=AO$7,$L67&lt;=AO$7),1,AND($K67&lt;=AO$7,$L67&gt;AO$7),((AO$7-$K67)/($L67-$K67)))</f>
        <v>#REF!</v>
      </c>
      <c r="AQ67" s="201" t="e">
        <f t="array" ref="AQ67">_xlfn.IFS(AND($K67&gt;AP$7,$L67&gt;AP$7),0,AND($K67&lt;=AP$7,$L67&lt;=AP$7),1,AND($K67&lt;=AP$7,$L67&gt;AP$7),((AP$7-$K67)/($L67-$K67)))</f>
        <v>#REF!</v>
      </c>
      <c r="AR67" s="201" t="e">
        <f t="array" ref="AR67">_xlfn.IFS(AND($K67&gt;AQ$7,$L67&gt;AQ$7),0,AND($K67&lt;=AQ$7,$L67&lt;=AQ$7),1,AND($K67&lt;=AQ$7,$L67&gt;AQ$7),((AQ$7-$K67)/($L67-$K67)))</f>
        <v>#REF!</v>
      </c>
      <c r="AS67" s="201" t="e">
        <f t="array" ref="AS67">_xlfn.IFS(AND($K67&gt;AR$7,$L67&gt;AR$7),0,AND($K67&lt;=AR$7,$L67&lt;=AR$7),1,AND($K67&lt;=AR$7,$L67&gt;AR$7),((AR$7-$K67)/($L67-$K67)))</f>
        <v>#REF!</v>
      </c>
      <c r="AT67" s="201" t="e">
        <f t="array" ref="AT67">_xlfn.IFS(AND($K67&gt;AS$7,$L67&gt;AS$7),0,AND($K67&lt;=AS$7,$L67&lt;=AS$7),1,AND($K67&lt;=AS$7,$L67&gt;AS$7),((AS$7-$K67)/($L67-$K67)))</f>
        <v>#REF!</v>
      </c>
      <c r="AU67" s="201" t="e">
        <f t="array" ref="AU67">_xlfn.IFS(AND($K67&gt;AT$7,$L67&gt;AT$7),0,AND($K67&lt;=AT$7,$L67&lt;=AT$7),1,AND($K67&lt;=AT$7,$L67&gt;AT$7),((AT$7-$K67)/($L67-$K67)))</f>
        <v>#REF!</v>
      </c>
      <c r="AV67" s="201" t="e">
        <f t="array" ref="AV67">_xlfn.IFS(AND($K67&gt;AU$7,$L67&gt;AU$7),0,AND($K67&lt;=AU$7,$L67&lt;=AU$7),1,AND($K67&lt;=AU$7,$L67&gt;AU$7),((AU$7-$K67)/($L67-$K67)))</f>
        <v>#REF!</v>
      </c>
      <c r="AW67" s="201" t="e">
        <f t="array" ref="AW67">_xlfn.IFS(AND($K67&gt;AV$7,$L67&gt;AV$7),0,AND($K67&lt;=AV$7,$L67&lt;=AV$7),1,AND($K67&lt;=AV$7,$L67&gt;AV$7),((AV$7-$K67)/($L67-$K67)))</f>
        <v>#REF!</v>
      </c>
      <c r="AX67" s="201" t="e">
        <f t="array" ref="AX67">_xlfn.IFS(AND($K67&gt;AW$7,$L67&gt;AW$7),0,AND($K67&lt;=AW$7,$L67&lt;=AW$7),1,AND($K67&lt;=AW$7,$L67&gt;AW$7),((AW$7-$K67)/($L67-$K67)))</f>
        <v>#REF!</v>
      </c>
      <c r="AY67" s="201" t="e">
        <f t="array" ref="AY67">_xlfn.IFS(AND($K67&gt;AX$7,$L67&gt;AX$7),0,AND($K67&lt;=AX$7,$L67&lt;=AX$7),1,AND($K67&lt;=AX$7,$L67&gt;AX$7),((AX$7-$K67)/($L67-$K67)))</f>
        <v>#REF!</v>
      </c>
      <c r="AZ67" s="201" t="e">
        <f t="array" ref="AZ67">_xlfn.IFS(AND($K67&gt;AY$7,$L67&gt;AY$7),0,AND($K67&lt;=AY$7,$L67&lt;=AY$7),1,AND($K67&lt;=AY$7,$L67&gt;AY$7),((AY$7-$K67)/($L67-$K67)))</f>
        <v>#REF!</v>
      </c>
      <c r="BA67" s="201" t="e">
        <f t="array" ref="BA67">_xlfn.IFS(AND($K67&gt;AZ$7,$L67&gt;AZ$7),0,AND($K67&lt;=AZ$7,$L67&lt;=AZ$7),1,AND($K67&lt;=AZ$7,$L67&gt;AZ$7),((AZ$7-$K67)/($L67-$K67)))</f>
        <v>#REF!</v>
      </c>
      <c r="BB67" s="201" t="e">
        <f t="array" ref="BB67">_xlfn.IFS(AND($K67&gt;BA$7,$L67&gt;BA$7),0,AND($K67&lt;=BA$7,$L67&lt;=BA$7),1,AND($K67&lt;=BA$7,$L67&gt;BA$7),((BA$7-$K67)/($L67-$K67)))</f>
        <v>#REF!</v>
      </c>
      <c r="BC67" s="201" t="e">
        <f t="array" ref="BC67">_xlfn.IFS(AND($K67&gt;BB$7,$L67&gt;BB$7),0,AND($K67&lt;=BB$7,$L67&lt;=BB$7),1,AND($K67&lt;=BB$7,$L67&gt;BB$7),((BB$7-$K67)/($L67-$K67)))</f>
        <v>#REF!</v>
      </c>
      <c r="BD67" s="201" t="e">
        <f t="array" ref="BD67">_xlfn.IFS(AND($K67&gt;BC$7,$L67&gt;BC$7),0,AND($K67&lt;=BC$7,$L67&lt;=BC$7),1,AND($K67&lt;=BC$7,$L67&gt;BC$7),((BC$7-$K67)/($L67-$K67)))</f>
        <v>#REF!</v>
      </c>
      <c r="BE67" s="201" t="e">
        <f t="array" ref="BE67">_xlfn.IFS(AND($K67&gt;BD$7,$L67&gt;BD$7),0,AND($K67&lt;=BD$7,$L67&lt;=BD$7),1,AND($K67&lt;=BD$7,$L67&gt;BD$7),((BD$7-$K67)/($L67-$K67)))</f>
        <v>#REF!</v>
      </c>
      <c r="BF67" s="201" t="e">
        <f t="array" ref="BF67">_xlfn.IFS(AND($K67&gt;BE$7,$L67&gt;BE$7),0,AND($K67&lt;=BE$7,$L67&lt;=BE$7),1,AND($K67&lt;=BE$7,$L67&gt;BE$7),((BE$7-$K67)/($L67-$K67)))</f>
        <v>#REF!</v>
      </c>
      <c r="BG67" s="201" t="e">
        <f t="array" ref="BG67">_xlfn.IFS(AND($K67&gt;BF$7,$L67&gt;BF$7),0,AND($K67&lt;=BF$7,$L67&lt;=BF$7),1,AND($K67&lt;=BF$7,$L67&gt;BF$7),((BF$7-$K67)/($L67-$K67)))</f>
        <v>#REF!</v>
      </c>
      <c r="BH67" s="201" t="e">
        <f t="array" ref="BH67">_xlfn.IFS(AND($K67&gt;BG$7,$L67&gt;BG$7),0,AND($K67&lt;=BG$7,$L67&lt;=BG$7),1,AND($K67&lt;=BG$7,$L67&gt;BG$7),((BG$7-$K67)/($L67-$K67)))</f>
        <v>#REF!</v>
      </c>
      <c r="BI67" s="201" t="e">
        <f t="array" ref="BI67">_xlfn.IFS(AND($K67&gt;BH$7,$L67&gt;BH$7),0,AND($K67&lt;=BH$7,$L67&lt;=BH$7),1,AND($K67&lt;=BH$7,$L67&gt;BH$7),((BH$7-$K67)/($L67-$K67)))</f>
        <v>#REF!</v>
      </c>
      <c r="BJ67" s="201" t="e">
        <f t="array" ref="BJ67">_xlfn.IFS(AND($K67&gt;BI$7,$L67&gt;BI$7),0,AND($K67&lt;=BI$7,$L67&lt;=BI$7),1,AND($K67&lt;=BI$7,$L67&gt;BI$7),((BI$7-$K67)/($L67-$K67)))</f>
        <v>#REF!</v>
      </c>
      <c r="BK67" s="201" t="e">
        <f t="array" ref="BK67">_xlfn.IFS(AND($K67&gt;BJ$7,$L67&gt;BJ$7),0,AND($K67&lt;=BJ$7,$L67&lt;=BJ$7),1,AND($K67&lt;=BJ$7,$L67&gt;BJ$7),((BJ$7-$K67)/($L67-$K67)))</f>
        <v>#REF!</v>
      </c>
      <c r="BL67" s="201" t="e">
        <f t="array" ref="BL67">_xlfn.IFS(AND($K67&gt;BK$7,$L67&gt;BK$7),0,AND($K67&lt;=BK$7,$L67&lt;=BK$7),1,AND($K67&lt;=BK$7,$L67&gt;BK$7),((BK$7-$K67)/($L67-$K67)))</f>
        <v>#REF!</v>
      </c>
      <c r="BM67" s="201" t="e">
        <f t="array" ref="BM67">_xlfn.IFS(AND($K67&gt;BL$7,$L67&gt;BL$7),0,AND($K67&lt;=BL$7,$L67&lt;=BL$7),1,AND($K67&lt;=BL$7,$L67&gt;BL$7),((BL$7-$K67)/($L67-$K67)))</f>
        <v>#REF!</v>
      </c>
      <c r="BN67" s="201" t="e">
        <f t="array" ref="BN67">_xlfn.IFS(AND($K67&gt;BM$7,$L67&gt;BM$7),0,AND($K67&lt;=BM$7,$L67&lt;=BM$7),1,AND($K67&lt;=BM$7,$L67&gt;BM$7),((BM$7-$K67)/($L67-$K67)))</f>
        <v>#REF!</v>
      </c>
    </row>
    <row r="68" spans="2:66" ht="15" customHeight="1" x14ac:dyDescent="0.3">
      <c r="B68" s="166" t="s">
        <v>161</v>
      </c>
      <c r="C68" s="166" t="s">
        <v>184</v>
      </c>
      <c r="D68" s="177"/>
      <c r="E68" s="170" t="str">
        <f t="shared" si="32"/>
        <v>Desenvolvimento da Transformação dos Processos</v>
      </c>
      <c r="F68" s="174" t="str">
        <f t="shared" si="35"/>
        <v>Diagnóstico de Maturidade do Processo</v>
      </c>
      <c r="G68" s="166" t="str">
        <f t="shared" si="38"/>
        <v>Diagnóstico de Maturidade do Processo</v>
      </c>
      <c r="H68" s="197" t="s">
        <v>185</v>
      </c>
      <c r="I68" s="166">
        <v>45929</v>
      </c>
      <c r="J68" s="166">
        <v>45933</v>
      </c>
      <c r="K68" s="166">
        <v>45929</v>
      </c>
      <c r="L68" s="166">
        <v>45933</v>
      </c>
      <c r="M68" s="167"/>
      <c r="N68" s="167" t="str">
        <f t="array" ref="N68">_xlfn.IFS(L68&lt;$M$3,"Concluído",AND(K68&gt;=$M$3,I68&lt;$M$3,L68&gt;$M$3),"Em andamento",AND(L68&gt;=$M$3,J68&lt;$M$3),"Atrasado",AND(L68&gt;=$M$3,J68&gt;=$M$3,I68&gt;$M$3,K68&lt;=$M$3),"Em andamento",AND(L68&gt;=$M$3,J68&gt;=$M$3,I68&lt;=$M$3,K68&lt;=$M$3),"Em andamento",AND(K68&gt;$M$3,I68&gt;$M$3),"Não iniciado",AND(L68&gt;=$M$3,J68&gt;=$M$3,K68&gt;=$M$3,I68&lt;$M$3),"Atrasado",AND(L68&gt;=$M$3,J68&gt;=$M$3,K68&gt;=$M$3,I68&gt;$M$3),"Não iniciado",AND($I68&lt;=$M$3,$K68&gt;$M$3),"Atrasado")</f>
        <v>Concluído</v>
      </c>
      <c r="O68" s="167">
        <f t="array" ref="O68">_xlfn.IFS(N68="Não iniciado",0,N68="Em andamento",1,N68="Concluído",2,N68="Atrasado",3)</f>
        <v>2</v>
      </c>
      <c r="P68" s="169"/>
      <c r="Q68" s="152">
        <f t="array" aca="1" ref="Q68" ca="1">_xlfn.IFS(AND($I68&lt;$N$3,$J68&lt;$N$3),1,AND($I68&lt;=$N$3,$J68&gt;=$N$3),0.5,AND($I68&gt;=$N$3,$J68&gt;=$N$3),0)</f>
        <v>1</v>
      </c>
      <c r="R68" s="152">
        <f t="array" aca="1" ref="R68" ca="1">_xlfn.IFS(AND($K68&lt;$N$3,$L68&lt;$N$3),1,AND($K68&lt;=$N$3,$L68&gt;=$N$3),0.5,AND($K68&gt;=$N$3,$L68&gt;=$N$3),0)</f>
        <v>1</v>
      </c>
      <c r="S68" s="201" t="e">
        <f t="array" ref="S68">_xlfn.IFS(AND($K68&gt;R$7,$L68&gt;R$7),0,AND($K68&lt;=R$7,$L68&lt;=R$7),1,AND($K68&lt;=R$7,$L68&gt;R$7),((R$7-$K68)/($L68-$K68)))</f>
        <v>#REF!</v>
      </c>
      <c r="T68" s="201" t="e">
        <f t="array" ref="T68">_xlfn.IFS(AND($K68&gt;S$7,$L68&gt;S$7),0,AND($K68&lt;=S$7,$L68&lt;=S$7),1,AND($K68&lt;=S$7,$L68&gt;S$7),((S$7-$K68)/($L68-$K68)))</f>
        <v>#REF!</v>
      </c>
      <c r="U68" s="201" t="e">
        <f t="array" ref="U68">_xlfn.IFS(AND($K68&gt;T$7,$L68&gt;T$7),0,AND($K68&lt;=T$7,$L68&lt;=T$7),1,AND($K68&lt;=T$7,$L68&gt;T$7),((T$7-$K68)/($L68-$K68)))</f>
        <v>#REF!</v>
      </c>
      <c r="V68" s="201" t="e">
        <f t="array" ref="V68">_xlfn.IFS(AND($K68&gt;U$7,$L68&gt;U$7),0,AND($K68&lt;=U$7,$L68&lt;=U$7),1,AND($K68&lt;=U$7,$L68&gt;U$7),((U$7-$K68)/($L68-$K68)))</f>
        <v>#REF!</v>
      </c>
      <c r="W68" s="201" t="e">
        <f t="array" ref="W68">_xlfn.IFS(AND($K68&gt;V$7,$L68&gt;V$7),0,AND($K68&lt;=V$7,$L68&lt;=V$7),1,AND($K68&lt;=V$7,$L68&gt;V$7),((V$7-$K68)/($L68-$K68)))</f>
        <v>#REF!</v>
      </c>
      <c r="X68" s="201" t="e">
        <f t="array" ref="X68">_xlfn.IFS(AND($K68&gt;W$7,$L68&gt;W$7),0,AND($K68&lt;=W$7,$L68&lt;=W$7),1,AND($K68&lt;=W$7,$L68&gt;W$7),((W$7-$K68)/($L68-$K68)))</f>
        <v>#REF!</v>
      </c>
      <c r="Y68" s="201" t="e">
        <f t="array" ref="Y68">_xlfn.IFS(AND($K68&gt;X$7,$L68&gt;X$7),0,AND($K68&lt;=X$7,$L68&lt;=X$7),1,AND($K68&lt;=X$7,$L68&gt;X$7),((X$7-$K68)/($L68-$K68)))</f>
        <v>#REF!</v>
      </c>
      <c r="Z68" s="201" t="e">
        <f t="array" ref="Z68">_xlfn.IFS(AND($K68&gt;Y$7,$L68&gt;Y$7),0,AND($K68&lt;=Y$7,$L68&lt;=Y$7),1,AND($K68&lt;=Y$7,$L68&gt;Y$7),((Y$7-$K68)/($L68-$K68)))</f>
        <v>#REF!</v>
      </c>
      <c r="AA68" s="201" t="e">
        <f t="array" ref="AA68">_xlfn.IFS(AND($K68&gt;Z$7,$L68&gt;Z$7),0,AND($K68&lt;=Z$7,$L68&lt;=Z$7),1,AND($K68&lt;=Z$7,$L68&gt;Z$7),((Z$7-$K68)/($L68-$K68)))</f>
        <v>#REF!</v>
      </c>
      <c r="AB68" s="201" t="e">
        <f t="array" ref="AB68">_xlfn.IFS(AND($K68&gt;AA$7,$L68&gt;AA$7),0,AND($K68&lt;=AA$7,$L68&lt;=AA$7),1,AND($K68&lt;=AA$7,$L68&gt;AA$7),((AA$7-$K68)/($L68-$K68)))</f>
        <v>#REF!</v>
      </c>
      <c r="AC68" s="201" t="e">
        <f t="array" ref="AC68">_xlfn.IFS(AND($K68&gt;AB$7,$L68&gt;AB$7),0,AND($K68&lt;=AB$7,$L68&lt;=AB$7),1,AND($K68&lt;=AB$7,$L68&gt;AB$7),((AB$7-$K68)/($L68-$K68)))</f>
        <v>#REF!</v>
      </c>
      <c r="AD68" s="201" t="e">
        <f t="array" ref="AD68">_xlfn.IFS(AND($K68&gt;AC$7,$L68&gt;AC$7),0,AND($K68&lt;=AC$7,$L68&lt;=AC$7),1,AND($K68&lt;=AC$7,$L68&gt;AC$7),((AC$7-$K68)/($L68-$K68)))</f>
        <v>#REF!</v>
      </c>
      <c r="AE68" s="201" t="e">
        <f t="array" ref="AE68">_xlfn.IFS(AND($K68&gt;AD$7,$L68&gt;AD$7),0,AND($K68&lt;=AD$7,$L68&lt;=AD$7),1,AND($K68&lt;=AD$7,$L68&gt;AD$7),((AD$7-$K68)/($L68-$K68)))</f>
        <v>#REF!</v>
      </c>
      <c r="AF68" s="201" t="e">
        <f t="array" ref="AF68">_xlfn.IFS(AND($K68&gt;AE$7,$L68&gt;AE$7),0,AND($K68&lt;=AE$7,$L68&lt;=AE$7),1,AND($K68&lt;=AE$7,$L68&gt;AE$7),((AE$7-$K68)/($L68-$K68)))</f>
        <v>#REF!</v>
      </c>
      <c r="AG68" s="201" t="e">
        <f t="array" ref="AG68">_xlfn.IFS(AND($K68&gt;AF$7,$L68&gt;AF$7),0,AND($K68&lt;=AF$7,$L68&lt;=AF$7),1,AND($K68&lt;=AF$7,$L68&gt;AF$7),((AF$7-$K68)/($L68-$K68)))</f>
        <v>#REF!</v>
      </c>
      <c r="AH68" s="201" t="e">
        <f t="array" ref="AH68">_xlfn.IFS(AND($K68&gt;AG$7,$L68&gt;AG$7),0,AND($K68&lt;=AG$7,$L68&lt;=AG$7),1,AND($K68&lt;=AG$7,$L68&gt;AG$7),((AG$7-$K68)/($L68-$K68)))</f>
        <v>#REF!</v>
      </c>
      <c r="AI68" s="201" t="e">
        <f t="array" ref="AI68">_xlfn.IFS(AND($K68&gt;AH$7,$L68&gt;AH$7),0,AND($K68&lt;=AH$7,$L68&lt;=AH$7),1,AND($K68&lt;=AH$7,$L68&gt;AH$7),((AH$7-$K68)/($L68-$K68)))</f>
        <v>#REF!</v>
      </c>
      <c r="AJ68" s="201" t="e">
        <f t="array" ref="AJ68">_xlfn.IFS(AND($K68&gt;AI$7,$L68&gt;AI$7),0,AND($K68&lt;=AI$7,$L68&lt;=AI$7),1,AND($K68&lt;=AI$7,$L68&gt;AI$7),((AI$7-$K68)/($L68-$K68)))</f>
        <v>#REF!</v>
      </c>
      <c r="AK68" s="201" t="e">
        <f t="array" ref="AK68">_xlfn.IFS(AND($K68&gt;AJ$7,$L68&gt;AJ$7),0,AND($K68&lt;=AJ$7,$L68&lt;=AJ$7),1,AND($K68&lt;=AJ$7,$L68&gt;AJ$7),((AJ$7-$K68)/($L68-$K68)))</f>
        <v>#REF!</v>
      </c>
      <c r="AL68" s="201" t="e">
        <f t="array" ref="AL68">_xlfn.IFS(AND($K68&gt;AK$7,$L68&gt;AK$7),0,AND($K68&lt;=AK$7,$L68&lt;=AK$7),1,AND($K68&lt;=AK$7,$L68&gt;AK$7),((AK$7-$K68)/($L68-$K68)))</f>
        <v>#REF!</v>
      </c>
      <c r="AM68" s="201" t="e">
        <f t="array" ref="AM68">_xlfn.IFS(AND($K68&gt;AL$7,$L68&gt;AL$7),0,AND($K68&lt;=AL$7,$L68&lt;=AL$7),1,AND($K68&lt;=AL$7,$L68&gt;AL$7),((AL$7-$K68)/($L68-$K68)))</f>
        <v>#REF!</v>
      </c>
      <c r="AN68" s="201" t="e">
        <f t="array" ref="AN68">_xlfn.IFS(AND($K68&gt;AM$7,$L68&gt;AM$7),0,AND($K68&lt;=AM$7,$L68&lt;=AM$7),1,AND($K68&lt;=AM$7,$L68&gt;AM$7),((AM$7-$K68)/($L68-$K68)))</f>
        <v>#REF!</v>
      </c>
      <c r="AO68" s="201" t="e">
        <f t="array" ref="AO68">_xlfn.IFS(AND($K68&gt;AN$7,$L68&gt;AN$7),0,AND($K68&lt;=AN$7,$L68&lt;=AN$7),1,AND($K68&lt;=AN$7,$L68&gt;AN$7),((AN$7-$K68)/($L68-$K68)))</f>
        <v>#REF!</v>
      </c>
      <c r="AP68" s="201" t="e">
        <f t="array" ref="AP68">_xlfn.IFS(AND($K68&gt;AO$7,$L68&gt;AO$7),0,AND($K68&lt;=AO$7,$L68&lt;=AO$7),1,AND($K68&lt;=AO$7,$L68&gt;AO$7),((AO$7-$K68)/($L68-$K68)))</f>
        <v>#REF!</v>
      </c>
      <c r="AQ68" s="201" t="e">
        <f t="array" ref="AQ68">_xlfn.IFS(AND($K68&gt;AP$7,$L68&gt;AP$7),0,AND($K68&lt;=AP$7,$L68&lt;=AP$7),1,AND($K68&lt;=AP$7,$L68&gt;AP$7),((AP$7-$K68)/($L68-$K68)))</f>
        <v>#REF!</v>
      </c>
      <c r="AR68" s="201" t="e">
        <f t="array" ref="AR68">_xlfn.IFS(AND($K68&gt;AQ$7,$L68&gt;AQ$7),0,AND($K68&lt;=AQ$7,$L68&lt;=AQ$7),1,AND($K68&lt;=AQ$7,$L68&gt;AQ$7),((AQ$7-$K68)/($L68-$K68)))</f>
        <v>#REF!</v>
      </c>
      <c r="AS68" s="201" t="e">
        <f t="array" ref="AS68">_xlfn.IFS(AND($K68&gt;AR$7,$L68&gt;AR$7),0,AND($K68&lt;=AR$7,$L68&lt;=AR$7),1,AND($K68&lt;=AR$7,$L68&gt;AR$7),((AR$7-$K68)/($L68-$K68)))</f>
        <v>#REF!</v>
      </c>
      <c r="AT68" s="201" t="e">
        <f t="array" ref="AT68">_xlfn.IFS(AND($K68&gt;AS$7,$L68&gt;AS$7),0,AND($K68&lt;=AS$7,$L68&lt;=AS$7),1,AND($K68&lt;=AS$7,$L68&gt;AS$7),((AS$7-$K68)/($L68-$K68)))</f>
        <v>#REF!</v>
      </c>
      <c r="AU68" s="201" t="e">
        <f t="array" ref="AU68">_xlfn.IFS(AND($K68&gt;AT$7,$L68&gt;AT$7),0,AND($K68&lt;=AT$7,$L68&lt;=AT$7),1,AND($K68&lt;=AT$7,$L68&gt;AT$7),((AT$7-$K68)/($L68-$K68)))</f>
        <v>#REF!</v>
      </c>
      <c r="AV68" s="201" t="e">
        <f t="array" ref="AV68">_xlfn.IFS(AND($K68&gt;AU$7,$L68&gt;AU$7),0,AND($K68&lt;=AU$7,$L68&lt;=AU$7),1,AND($K68&lt;=AU$7,$L68&gt;AU$7),((AU$7-$K68)/($L68-$K68)))</f>
        <v>#REF!</v>
      </c>
      <c r="AW68" s="201" t="e">
        <f t="array" ref="AW68">_xlfn.IFS(AND($K68&gt;AV$7,$L68&gt;AV$7),0,AND($K68&lt;=AV$7,$L68&lt;=AV$7),1,AND($K68&lt;=AV$7,$L68&gt;AV$7),((AV$7-$K68)/($L68-$K68)))</f>
        <v>#REF!</v>
      </c>
      <c r="AX68" s="201" t="e">
        <f t="array" ref="AX68">_xlfn.IFS(AND($K68&gt;AW$7,$L68&gt;AW$7),0,AND($K68&lt;=AW$7,$L68&lt;=AW$7),1,AND($K68&lt;=AW$7,$L68&gt;AW$7),((AW$7-$K68)/($L68-$K68)))</f>
        <v>#REF!</v>
      </c>
      <c r="AY68" s="201" t="e">
        <f t="array" ref="AY68">_xlfn.IFS(AND($K68&gt;AX$7,$L68&gt;AX$7),0,AND($K68&lt;=AX$7,$L68&lt;=AX$7),1,AND($K68&lt;=AX$7,$L68&gt;AX$7),((AX$7-$K68)/($L68-$K68)))</f>
        <v>#REF!</v>
      </c>
      <c r="AZ68" s="201" t="e">
        <f t="array" ref="AZ68">_xlfn.IFS(AND($K68&gt;AY$7,$L68&gt;AY$7),0,AND($K68&lt;=AY$7,$L68&lt;=AY$7),1,AND($K68&lt;=AY$7,$L68&gt;AY$7),((AY$7-$K68)/($L68-$K68)))</f>
        <v>#REF!</v>
      </c>
      <c r="BA68" s="201" t="e">
        <f t="array" ref="BA68">_xlfn.IFS(AND($K68&gt;AZ$7,$L68&gt;AZ$7),0,AND($K68&lt;=AZ$7,$L68&lt;=AZ$7),1,AND($K68&lt;=AZ$7,$L68&gt;AZ$7),((AZ$7-$K68)/($L68-$K68)))</f>
        <v>#REF!</v>
      </c>
      <c r="BB68" s="201" t="e">
        <f t="array" ref="BB68">_xlfn.IFS(AND($K68&gt;BA$7,$L68&gt;BA$7),0,AND($K68&lt;=BA$7,$L68&lt;=BA$7),1,AND($K68&lt;=BA$7,$L68&gt;BA$7),((BA$7-$K68)/($L68-$K68)))</f>
        <v>#REF!</v>
      </c>
      <c r="BC68" s="201" t="e">
        <f t="array" ref="BC68">_xlfn.IFS(AND($K68&gt;BB$7,$L68&gt;BB$7),0,AND($K68&lt;=BB$7,$L68&lt;=BB$7),1,AND($K68&lt;=BB$7,$L68&gt;BB$7),((BB$7-$K68)/($L68-$K68)))</f>
        <v>#REF!</v>
      </c>
      <c r="BD68" s="201" t="e">
        <f t="array" ref="BD68">_xlfn.IFS(AND($K68&gt;BC$7,$L68&gt;BC$7),0,AND($K68&lt;=BC$7,$L68&lt;=BC$7),1,AND($K68&lt;=BC$7,$L68&gt;BC$7),((BC$7-$K68)/($L68-$K68)))</f>
        <v>#REF!</v>
      </c>
      <c r="BE68" s="201" t="e">
        <f t="array" ref="BE68">_xlfn.IFS(AND($K68&gt;BD$7,$L68&gt;BD$7),0,AND($K68&lt;=BD$7,$L68&lt;=BD$7),1,AND($K68&lt;=BD$7,$L68&gt;BD$7),((BD$7-$K68)/($L68-$K68)))</f>
        <v>#REF!</v>
      </c>
      <c r="BF68" s="201" t="e">
        <f t="array" ref="BF68">_xlfn.IFS(AND($K68&gt;BE$7,$L68&gt;BE$7),0,AND($K68&lt;=BE$7,$L68&lt;=BE$7),1,AND($K68&lt;=BE$7,$L68&gt;BE$7),((BE$7-$K68)/($L68-$K68)))</f>
        <v>#REF!</v>
      </c>
      <c r="BG68" s="201" t="e">
        <f t="array" ref="BG68">_xlfn.IFS(AND($K68&gt;BF$7,$L68&gt;BF$7),0,AND($K68&lt;=BF$7,$L68&lt;=BF$7),1,AND($K68&lt;=BF$7,$L68&gt;BF$7),((BF$7-$K68)/($L68-$K68)))</f>
        <v>#REF!</v>
      </c>
      <c r="BH68" s="201" t="e">
        <f t="array" ref="BH68">_xlfn.IFS(AND($K68&gt;BG$7,$L68&gt;BG$7),0,AND($K68&lt;=BG$7,$L68&lt;=BG$7),1,AND($K68&lt;=BG$7,$L68&gt;BG$7),((BG$7-$K68)/($L68-$K68)))</f>
        <v>#REF!</v>
      </c>
      <c r="BI68" s="201" t="e">
        <f t="array" ref="BI68">_xlfn.IFS(AND($K68&gt;BH$7,$L68&gt;BH$7),0,AND($K68&lt;=BH$7,$L68&lt;=BH$7),1,AND($K68&lt;=BH$7,$L68&gt;BH$7),((BH$7-$K68)/($L68-$K68)))</f>
        <v>#REF!</v>
      </c>
      <c r="BJ68" s="201" t="e">
        <f t="array" ref="BJ68">_xlfn.IFS(AND($K68&gt;BI$7,$L68&gt;BI$7),0,AND($K68&lt;=BI$7,$L68&lt;=BI$7),1,AND($K68&lt;=BI$7,$L68&gt;BI$7),((BI$7-$K68)/($L68-$K68)))</f>
        <v>#REF!</v>
      </c>
      <c r="BK68" s="201" t="e">
        <f t="array" ref="BK68">_xlfn.IFS(AND($K68&gt;BJ$7,$L68&gt;BJ$7),0,AND($K68&lt;=BJ$7,$L68&lt;=BJ$7),1,AND($K68&lt;=BJ$7,$L68&gt;BJ$7),((BJ$7-$K68)/($L68-$K68)))</f>
        <v>#REF!</v>
      </c>
      <c r="BL68" s="201" t="e">
        <f t="array" ref="BL68">_xlfn.IFS(AND($K68&gt;BK$7,$L68&gt;BK$7),0,AND($K68&lt;=BK$7,$L68&lt;=BK$7),1,AND($K68&lt;=BK$7,$L68&gt;BK$7),((BK$7-$K68)/($L68-$K68)))</f>
        <v>#REF!</v>
      </c>
      <c r="BM68" s="201" t="e">
        <f t="array" ref="BM68">_xlfn.IFS(AND($K68&gt;BL$7,$L68&gt;BL$7),0,AND($K68&lt;=BL$7,$L68&lt;=BL$7),1,AND($K68&lt;=BL$7,$L68&gt;BL$7),((BL$7-$K68)/($L68-$K68)))</f>
        <v>#REF!</v>
      </c>
      <c r="BN68" s="201" t="e">
        <f t="array" ref="BN68">_xlfn.IFS(AND($K68&gt;BM$7,$L68&gt;BM$7),0,AND($K68&lt;=BM$7,$L68&lt;=BM$7),1,AND($K68&lt;=BM$7,$L68&gt;BM$7),((BM$7-$K68)/($L68-$K68)))</f>
        <v>#REF!</v>
      </c>
    </row>
    <row r="69" spans="2:66" ht="15" customHeight="1" x14ac:dyDescent="0.3">
      <c r="B69" s="166" t="s">
        <v>161</v>
      </c>
      <c r="C69" s="166" t="s">
        <v>186</v>
      </c>
      <c r="D69" s="177"/>
      <c r="E69" s="170" t="str">
        <f t="shared" si="32"/>
        <v>Desenvolvimento da Transformação dos Processos</v>
      </c>
      <c r="F69" s="174" t="str">
        <f t="shared" si="35"/>
        <v>Diagnóstico de Maturidade do Processo</v>
      </c>
      <c r="G69" s="166" t="str">
        <f t="shared" si="38"/>
        <v>Diagnóstico de Maturidade do Processo</v>
      </c>
      <c r="H69" s="197" t="s">
        <v>187</v>
      </c>
      <c r="I69" s="166">
        <v>45929</v>
      </c>
      <c r="J69" s="166">
        <v>45933</v>
      </c>
      <c r="K69" s="166">
        <v>45929</v>
      </c>
      <c r="L69" s="166">
        <v>45933</v>
      </c>
      <c r="M69" s="167"/>
      <c r="N69" s="167" t="str">
        <f t="array" ref="N69">_xlfn.IFS(L69&lt;$M$3,"Concluído",AND(K69&gt;=$M$3,I69&lt;$M$3,L69&gt;$M$3),"Em andamento",AND(L69&gt;=$M$3,J69&lt;$M$3),"Atrasado",AND(L69&gt;=$M$3,J69&gt;=$M$3,I69&gt;$M$3,K69&lt;=$M$3),"Em andamento",AND(L69&gt;=$M$3,J69&gt;=$M$3,I69&lt;=$M$3,K69&lt;=$M$3),"Em andamento",AND(K69&gt;$M$3,I69&gt;$M$3),"Não iniciado",AND(L69&gt;=$M$3,J69&gt;=$M$3,K69&gt;=$M$3,I69&lt;$M$3),"Atrasado",AND(L69&gt;=$M$3,J69&gt;=$M$3,K69&gt;=$M$3,I69&gt;$M$3),"Não iniciado",AND($I69&lt;=$M$3,$K69&gt;$M$3),"Atrasado")</f>
        <v>Concluído</v>
      </c>
      <c r="O69" s="167">
        <f t="array" ref="O69">_xlfn.IFS(N69="Não iniciado",0,N69="Em andamento",1,N69="Concluído",2,N69="Atrasado",3)</f>
        <v>2</v>
      </c>
      <c r="P69" s="169"/>
      <c r="Q69" s="152">
        <f t="array" aca="1" ref="Q69" ca="1">_xlfn.IFS(AND($I69&lt;$N$3,$J69&lt;$N$3),1,AND($I69&lt;=$N$3,$J69&gt;=$N$3),0.5,AND($I69&gt;=$N$3,$J69&gt;=$N$3),0)</f>
        <v>1</v>
      </c>
      <c r="R69" s="152">
        <f t="array" aca="1" ref="R69" ca="1">_xlfn.IFS(AND($K69&lt;$N$3,$L69&lt;$N$3),1,AND($K69&lt;=$N$3,$L69&gt;=$N$3),0.5,AND($K69&gt;=$N$3,$L69&gt;=$N$3),0)</f>
        <v>1</v>
      </c>
      <c r="S69" s="201" t="e">
        <f t="array" ref="S69">_xlfn.IFS(AND($K69&gt;R$7,$L69&gt;R$7),0,AND($K69&lt;=R$7,$L69&lt;=R$7),1,AND($K69&lt;=R$7,$L69&gt;R$7),((R$7-$K69)/($L69-$K69)))</f>
        <v>#REF!</v>
      </c>
      <c r="T69" s="201" t="e">
        <f t="array" ref="T69">_xlfn.IFS(AND($K69&gt;S$7,$L69&gt;S$7),0,AND($K69&lt;=S$7,$L69&lt;=S$7),1,AND($K69&lt;=S$7,$L69&gt;S$7),((S$7-$K69)/($L69-$K69)))</f>
        <v>#REF!</v>
      </c>
      <c r="U69" s="201" t="e">
        <f t="array" ref="U69">_xlfn.IFS(AND($K69&gt;T$7,$L69&gt;T$7),0,AND($K69&lt;=T$7,$L69&lt;=T$7),1,AND($K69&lt;=T$7,$L69&gt;T$7),((T$7-$K69)/($L69-$K69)))</f>
        <v>#REF!</v>
      </c>
      <c r="V69" s="201" t="e">
        <f t="array" ref="V69">_xlfn.IFS(AND($K69&gt;U$7,$L69&gt;U$7),0,AND($K69&lt;=U$7,$L69&lt;=U$7),1,AND($K69&lt;=U$7,$L69&gt;U$7),((U$7-$K69)/($L69-$K69)))</f>
        <v>#REF!</v>
      </c>
      <c r="W69" s="201" t="e">
        <f t="array" ref="W69">_xlfn.IFS(AND($K69&gt;V$7,$L69&gt;V$7),0,AND($K69&lt;=V$7,$L69&lt;=V$7),1,AND($K69&lt;=V$7,$L69&gt;V$7),((V$7-$K69)/($L69-$K69)))</f>
        <v>#REF!</v>
      </c>
      <c r="X69" s="201" t="e">
        <f t="array" ref="X69">_xlfn.IFS(AND($K69&gt;W$7,$L69&gt;W$7),0,AND($K69&lt;=W$7,$L69&lt;=W$7),1,AND($K69&lt;=W$7,$L69&gt;W$7),((W$7-$K69)/($L69-$K69)))</f>
        <v>#REF!</v>
      </c>
      <c r="Y69" s="201" t="e">
        <f t="array" ref="Y69">_xlfn.IFS(AND($K69&gt;X$7,$L69&gt;X$7),0,AND($K69&lt;=X$7,$L69&lt;=X$7),1,AND($K69&lt;=X$7,$L69&gt;X$7),((X$7-$K69)/($L69-$K69)))</f>
        <v>#REF!</v>
      </c>
      <c r="Z69" s="201" t="e">
        <f t="array" ref="Z69">_xlfn.IFS(AND($K69&gt;Y$7,$L69&gt;Y$7),0,AND($K69&lt;=Y$7,$L69&lt;=Y$7),1,AND($K69&lt;=Y$7,$L69&gt;Y$7),((Y$7-$K69)/($L69-$K69)))</f>
        <v>#REF!</v>
      </c>
      <c r="AA69" s="201" t="e">
        <f t="array" ref="AA69">_xlfn.IFS(AND($K69&gt;Z$7,$L69&gt;Z$7),0,AND($K69&lt;=Z$7,$L69&lt;=Z$7),1,AND($K69&lt;=Z$7,$L69&gt;Z$7),((Z$7-$K69)/($L69-$K69)))</f>
        <v>#REF!</v>
      </c>
      <c r="AB69" s="201" t="e">
        <f t="array" ref="AB69">_xlfn.IFS(AND($K69&gt;AA$7,$L69&gt;AA$7),0,AND($K69&lt;=AA$7,$L69&lt;=AA$7),1,AND($K69&lt;=AA$7,$L69&gt;AA$7),((AA$7-$K69)/($L69-$K69)))</f>
        <v>#REF!</v>
      </c>
      <c r="AC69" s="201" t="e">
        <f t="array" ref="AC69">_xlfn.IFS(AND($K69&gt;AB$7,$L69&gt;AB$7),0,AND($K69&lt;=AB$7,$L69&lt;=AB$7),1,AND($K69&lt;=AB$7,$L69&gt;AB$7),((AB$7-$K69)/($L69-$K69)))</f>
        <v>#REF!</v>
      </c>
      <c r="AD69" s="201" t="e">
        <f t="array" ref="AD69">_xlfn.IFS(AND($K69&gt;AC$7,$L69&gt;AC$7),0,AND($K69&lt;=AC$7,$L69&lt;=AC$7),1,AND($K69&lt;=AC$7,$L69&gt;AC$7),((AC$7-$K69)/($L69-$K69)))</f>
        <v>#REF!</v>
      </c>
      <c r="AE69" s="201" t="e">
        <f t="array" ref="AE69">_xlfn.IFS(AND($K69&gt;AD$7,$L69&gt;AD$7),0,AND($K69&lt;=AD$7,$L69&lt;=AD$7),1,AND($K69&lt;=AD$7,$L69&gt;AD$7),((AD$7-$K69)/($L69-$K69)))</f>
        <v>#REF!</v>
      </c>
      <c r="AF69" s="201" t="e">
        <f t="array" ref="AF69">_xlfn.IFS(AND($K69&gt;AE$7,$L69&gt;AE$7),0,AND($K69&lt;=AE$7,$L69&lt;=AE$7),1,AND($K69&lt;=AE$7,$L69&gt;AE$7),((AE$7-$K69)/($L69-$K69)))</f>
        <v>#REF!</v>
      </c>
      <c r="AG69" s="201" t="e">
        <f t="array" ref="AG69">_xlfn.IFS(AND($K69&gt;AF$7,$L69&gt;AF$7),0,AND($K69&lt;=AF$7,$L69&lt;=AF$7),1,AND($K69&lt;=AF$7,$L69&gt;AF$7),((AF$7-$K69)/($L69-$K69)))</f>
        <v>#REF!</v>
      </c>
      <c r="AH69" s="201" t="e">
        <f t="array" ref="AH69">_xlfn.IFS(AND($K69&gt;AG$7,$L69&gt;AG$7),0,AND($K69&lt;=AG$7,$L69&lt;=AG$7),1,AND($K69&lt;=AG$7,$L69&gt;AG$7),((AG$7-$K69)/($L69-$K69)))</f>
        <v>#REF!</v>
      </c>
      <c r="AI69" s="201" t="e">
        <f t="array" ref="AI69">_xlfn.IFS(AND($K69&gt;AH$7,$L69&gt;AH$7),0,AND($K69&lt;=AH$7,$L69&lt;=AH$7),1,AND($K69&lt;=AH$7,$L69&gt;AH$7),((AH$7-$K69)/($L69-$K69)))</f>
        <v>#REF!</v>
      </c>
      <c r="AJ69" s="201" t="e">
        <f t="array" ref="AJ69">_xlfn.IFS(AND($K69&gt;AI$7,$L69&gt;AI$7),0,AND($K69&lt;=AI$7,$L69&lt;=AI$7),1,AND($K69&lt;=AI$7,$L69&gt;AI$7),((AI$7-$K69)/($L69-$K69)))</f>
        <v>#REF!</v>
      </c>
      <c r="AK69" s="201" t="e">
        <f t="array" ref="AK69">_xlfn.IFS(AND($K69&gt;AJ$7,$L69&gt;AJ$7),0,AND($K69&lt;=AJ$7,$L69&lt;=AJ$7),1,AND($K69&lt;=AJ$7,$L69&gt;AJ$7),((AJ$7-$K69)/($L69-$K69)))</f>
        <v>#REF!</v>
      </c>
      <c r="AL69" s="201" t="e">
        <f t="array" ref="AL69">_xlfn.IFS(AND($K69&gt;AK$7,$L69&gt;AK$7),0,AND($K69&lt;=AK$7,$L69&lt;=AK$7),1,AND($K69&lt;=AK$7,$L69&gt;AK$7),((AK$7-$K69)/($L69-$K69)))</f>
        <v>#REF!</v>
      </c>
      <c r="AM69" s="201" t="e">
        <f t="array" ref="AM69">_xlfn.IFS(AND($K69&gt;AL$7,$L69&gt;AL$7),0,AND($K69&lt;=AL$7,$L69&lt;=AL$7),1,AND($K69&lt;=AL$7,$L69&gt;AL$7),((AL$7-$K69)/($L69-$K69)))</f>
        <v>#REF!</v>
      </c>
      <c r="AN69" s="201" t="e">
        <f t="array" ref="AN69">_xlfn.IFS(AND($K69&gt;AM$7,$L69&gt;AM$7),0,AND($K69&lt;=AM$7,$L69&lt;=AM$7),1,AND($K69&lt;=AM$7,$L69&gt;AM$7),((AM$7-$K69)/($L69-$K69)))</f>
        <v>#REF!</v>
      </c>
      <c r="AO69" s="201" t="e">
        <f t="array" ref="AO69">_xlfn.IFS(AND($K69&gt;AN$7,$L69&gt;AN$7),0,AND($K69&lt;=AN$7,$L69&lt;=AN$7),1,AND($K69&lt;=AN$7,$L69&gt;AN$7),((AN$7-$K69)/($L69-$K69)))</f>
        <v>#REF!</v>
      </c>
      <c r="AP69" s="201" t="e">
        <f t="array" ref="AP69">_xlfn.IFS(AND($K69&gt;AO$7,$L69&gt;AO$7),0,AND($K69&lt;=AO$7,$L69&lt;=AO$7),1,AND($K69&lt;=AO$7,$L69&gt;AO$7),((AO$7-$K69)/($L69-$K69)))</f>
        <v>#REF!</v>
      </c>
      <c r="AQ69" s="201" t="e">
        <f t="array" ref="AQ69">_xlfn.IFS(AND($K69&gt;AP$7,$L69&gt;AP$7),0,AND($K69&lt;=AP$7,$L69&lt;=AP$7),1,AND($K69&lt;=AP$7,$L69&gt;AP$7),((AP$7-$K69)/($L69-$K69)))</f>
        <v>#REF!</v>
      </c>
      <c r="AR69" s="201" t="e">
        <f t="array" ref="AR69">_xlfn.IFS(AND($K69&gt;AQ$7,$L69&gt;AQ$7),0,AND($K69&lt;=AQ$7,$L69&lt;=AQ$7),1,AND($K69&lt;=AQ$7,$L69&gt;AQ$7),((AQ$7-$K69)/($L69-$K69)))</f>
        <v>#REF!</v>
      </c>
      <c r="AS69" s="201" t="e">
        <f t="array" ref="AS69">_xlfn.IFS(AND($K69&gt;AR$7,$L69&gt;AR$7),0,AND($K69&lt;=AR$7,$L69&lt;=AR$7),1,AND($K69&lt;=AR$7,$L69&gt;AR$7),((AR$7-$K69)/($L69-$K69)))</f>
        <v>#REF!</v>
      </c>
      <c r="AT69" s="201" t="e">
        <f t="array" ref="AT69">_xlfn.IFS(AND($K69&gt;AS$7,$L69&gt;AS$7),0,AND($K69&lt;=AS$7,$L69&lt;=AS$7),1,AND($K69&lt;=AS$7,$L69&gt;AS$7),((AS$7-$K69)/($L69-$K69)))</f>
        <v>#REF!</v>
      </c>
      <c r="AU69" s="201" t="e">
        <f t="array" ref="AU69">_xlfn.IFS(AND($K69&gt;AT$7,$L69&gt;AT$7),0,AND($K69&lt;=AT$7,$L69&lt;=AT$7),1,AND($K69&lt;=AT$7,$L69&gt;AT$7),((AT$7-$K69)/($L69-$K69)))</f>
        <v>#REF!</v>
      </c>
      <c r="AV69" s="201" t="e">
        <f t="array" ref="AV69">_xlfn.IFS(AND($K69&gt;AU$7,$L69&gt;AU$7),0,AND($K69&lt;=AU$7,$L69&lt;=AU$7),1,AND($K69&lt;=AU$7,$L69&gt;AU$7),((AU$7-$K69)/($L69-$K69)))</f>
        <v>#REF!</v>
      </c>
      <c r="AW69" s="201" t="e">
        <f t="array" ref="AW69">_xlfn.IFS(AND($K69&gt;AV$7,$L69&gt;AV$7),0,AND($K69&lt;=AV$7,$L69&lt;=AV$7),1,AND($K69&lt;=AV$7,$L69&gt;AV$7),((AV$7-$K69)/($L69-$K69)))</f>
        <v>#REF!</v>
      </c>
      <c r="AX69" s="201" t="e">
        <f t="array" ref="AX69">_xlfn.IFS(AND($K69&gt;AW$7,$L69&gt;AW$7),0,AND($K69&lt;=AW$7,$L69&lt;=AW$7),1,AND($K69&lt;=AW$7,$L69&gt;AW$7),((AW$7-$K69)/($L69-$K69)))</f>
        <v>#REF!</v>
      </c>
      <c r="AY69" s="201" t="e">
        <f t="array" ref="AY69">_xlfn.IFS(AND($K69&gt;AX$7,$L69&gt;AX$7),0,AND($K69&lt;=AX$7,$L69&lt;=AX$7),1,AND($K69&lt;=AX$7,$L69&gt;AX$7),((AX$7-$K69)/($L69-$K69)))</f>
        <v>#REF!</v>
      </c>
      <c r="AZ69" s="201" t="e">
        <f t="array" ref="AZ69">_xlfn.IFS(AND($K69&gt;AY$7,$L69&gt;AY$7),0,AND($K69&lt;=AY$7,$L69&lt;=AY$7),1,AND($K69&lt;=AY$7,$L69&gt;AY$7),((AY$7-$K69)/($L69-$K69)))</f>
        <v>#REF!</v>
      </c>
      <c r="BA69" s="201" t="e">
        <f t="array" ref="BA69">_xlfn.IFS(AND($K69&gt;AZ$7,$L69&gt;AZ$7),0,AND($K69&lt;=AZ$7,$L69&lt;=AZ$7),1,AND($K69&lt;=AZ$7,$L69&gt;AZ$7),((AZ$7-$K69)/($L69-$K69)))</f>
        <v>#REF!</v>
      </c>
      <c r="BB69" s="201" t="e">
        <f t="array" ref="BB69">_xlfn.IFS(AND($K69&gt;BA$7,$L69&gt;BA$7),0,AND($K69&lt;=BA$7,$L69&lt;=BA$7),1,AND($K69&lt;=BA$7,$L69&gt;BA$7),((BA$7-$K69)/($L69-$K69)))</f>
        <v>#REF!</v>
      </c>
      <c r="BC69" s="201" t="e">
        <f t="array" ref="BC69">_xlfn.IFS(AND($K69&gt;BB$7,$L69&gt;BB$7),0,AND($K69&lt;=BB$7,$L69&lt;=BB$7),1,AND($K69&lt;=BB$7,$L69&gt;BB$7),((BB$7-$K69)/($L69-$K69)))</f>
        <v>#REF!</v>
      </c>
      <c r="BD69" s="201" t="e">
        <f t="array" ref="BD69">_xlfn.IFS(AND($K69&gt;BC$7,$L69&gt;BC$7),0,AND($K69&lt;=BC$7,$L69&lt;=BC$7),1,AND($K69&lt;=BC$7,$L69&gt;BC$7),((BC$7-$K69)/($L69-$K69)))</f>
        <v>#REF!</v>
      </c>
      <c r="BE69" s="201" t="e">
        <f t="array" ref="BE69">_xlfn.IFS(AND($K69&gt;BD$7,$L69&gt;BD$7),0,AND($K69&lt;=BD$7,$L69&lt;=BD$7),1,AND($K69&lt;=BD$7,$L69&gt;BD$7),((BD$7-$K69)/($L69-$K69)))</f>
        <v>#REF!</v>
      </c>
      <c r="BF69" s="201" t="e">
        <f t="array" ref="BF69">_xlfn.IFS(AND($K69&gt;BE$7,$L69&gt;BE$7),0,AND($K69&lt;=BE$7,$L69&lt;=BE$7),1,AND($K69&lt;=BE$7,$L69&gt;BE$7),((BE$7-$K69)/($L69-$K69)))</f>
        <v>#REF!</v>
      </c>
      <c r="BG69" s="201" t="e">
        <f t="array" ref="BG69">_xlfn.IFS(AND($K69&gt;BF$7,$L69&gt;BF$7),0,AND($K69&lt;=BF$7,$L69&lt;=BF$7),1,AND($K69&lt;=BF$7,$L69&gt;BF$7),((BF$7-$K69)/($L69-$K69)))</f>
        <v>#REF!</v>
      </c>
      <c r="BH69" s="201" t="e">
        <f t="array" ref="BH69">_xlfn.IFS(AND($K69&gt;BG$7,$L69&gt;BG$7),0,AND($K69&lt;=BG$7,$L69&lt;=BG$7),1,AND($K69&lt;=BG$7,$L69&gt;BG$7),((BG$7-$K69)/($L69-$K69)))</f>
        <v>#REF!</v>
      </c>
      <c r="BI69" s="201" t="e">
        <f t="array" ref="BI69">_xlfn.IFS(AND($K69&gt;BH$7,$L69&gt;BH$7),0,AND($K69&lt;=BH$7,$L69&lt;=BH$7),1,AND($K69&lt;=BH$7,$L69&gt;BH$7),((BH$7-$K69)/($L69-$K69)))</f>
        <v>#REF!</v>
      </c>
      <c r="BJ69" s="201" t="e">
        <f t="array" ref="BJ69">_xlfn.IFS(AND($K69&gt;BI$7,$L69&gt;BI$7),0,AND($K69&lt;=BI$7,$L69&lt;=BI$7),1,AND($K69&lt;=BI$7,$L69&gt;BI$7),((BI$7-$K69)/($L69-$K69)))</f>
        <v>#REF!</v>
      </c>
      <c r="BK69" s="201" t="e">
        <f t="array" ref="BK69">_xlfn.IFS(AND($K69&gt;BJ$7,$L69&gt;BJ$7),0,AND($K69&lt;=BJ$7,$L69&lt;=BJ$7),1,AND($K69&lt;=BJ$7,$L69&gt;BJ$7),((BJ$7-$K69)/($L69-$K69)))</f>
        <v>#REF!</v>
      </c>
      <c r="BL69" s="201" t="e">
        <f t="array" ref="BL69">_xlfn.IFS(AND($K69&gt;BK$7,$L69&gt;BK$7),0,AND($K69&lt;=BK$7,$L69&lt;=BK$7),1,AND($K69&lt;=BK$7,$L69&gt;BK$7),((BK$7-$K69)/($L69-$K69)))</f>
        <v>#REF!</v>
      </c>
      <c r="BM69" s="201" t="e">
        <f t="array" ref="BM69">_xlfn.IFS(AND($K69&gt;BL$7,$L69&gt;BL$7),0,AND($K69&lt;=BL$7,$L69&lt;=BL$7),1,AND($K69&lt;=BL$7,$L69&gt;BL$7),((BL$7-$K69)/($L69-$K69)))</f>
        <v>#REF!</v>
      </c>
      <c r="BN69" s="201" t="e">
        <f t="array" ref="BN69">_xlfn.IFS(AND($K69&gt;BM$7,$L69&gt;BM$7),0,AND($K69&lt;=BM$7,$L69&lt;=BM$7),1,AND($K69&lt;=BM$7,$L69&gt;BM$7),((BM$7-$K69)/($L69-$K69)))</f>
        <v>#REF!</v>
      </c>
    </row>
    <row r="70" spans="2:66" ht="26.55" customHeight="1" x14ac:dyDescent="0.3">
      <c r="B70" s="166" t="s">
        <v>161</v>
      </c>
      <c r="C70" s="166" t="s">
        <v>188</v>
      </c>
      <c r="D70" s="177"/>
      <c r="E70" s="170" t="str">
        <f t="shared" si="32"/>
        <v>Desenvolvimento da Transformação dos Processos</v>
      </c>
      <c r="F70" s="174" t="str">
        <f t="shared" si="35"/>
        <v>Diagnóstico de Maturidade do Processo</v>
      </c>
      <c r="G70" s="166" t="str">
        <f t="shared" si="38"/>
        <v>Diagnóstico de Maturidade do Processo</v>
      </c>
      <c r="H70" s="197" t="s">
        <v>189</v>
      </c>
      <c r="I70" s="166">
        <v>45957</v>
      </c>
      <c r="J70" s="166">
        <v>45961</v>
      </c>
      <c r="K70" s="166">
        <v>45957</v>
      </c>
      <c r="L70" s="166">
        <v>45961</v>
      </c>
      <c r="M70" s="167"/>
      <c r="N70" s="167" t="str">
        <f t="array" ref="N70">_xlfn.IFS(L70&lt;$M$3,"Concluído",AND(K70&gt;=$M$3,I70&lt;$M$3,L70&gt;$M$3),"Em andamento",AND(L70&gt;=$M$3,J70&lt;$M$3),"Atrasado",AND(L70&gt;=$M$3,J70&gt;=$M$3,I70&gt;$M$3,K70&lt;=$M$3),"Em andamento",AND(L70&gt;=$M$3,J70&gt;=$M$3,I70&lt;=$M$3,K70&lt;=$M$3),"Em andamento",AND(K70&gt;$M$3,I70&gt;$M$3),"Não iniciado",AND(L70&gt;=$M$3,J70&gt;=$M$3,K70&gt;=$M$3,I70&lt;$M$3),"Atrasado",AND(L70&gt;=$M$3,J70&gt;=$M$3,K70&gt;=$M$3,I70&gt;$M$3),"Não iniciado",AND($I70&lt;=$M$3,$K70&gt;$M$3),"Atrasado")</f>
        <v>Concluído</v>
      </c>
      <c r="O70" s="167">
        <f t="array" ref="O70">_xlfn.IFS(N70="Não iniciado",0,N70="Em andamento",1,N70="Concluído",2,N70="Atrasado",3)</f>
        <v>2</v>
      </c>
      <c r="P70" s="169"/>
      <c r="Q70" s="152">
        <f t="array" aca="1" ref="Q70" ca="1">_xlfn.IFS(AND($I70&lt;$N$3,$J70&lt;$N$3),1,AND($I70&lt;=$N$3,$J70&gt;=$N$3),0.5,AND($I70&gt;=$N$3,$J70&gt;=$N$3),0)</f>
        <v>1</v>
      </c>
      <c r="R70" s="152">
        <f t="array" aca="1" ref="R70" ca="1">_xlfn.IFS(AND($K70&lt;$N$3,$L70&lt;$N$3),1,AND($K70&lt;=$N$3,$L70&gt;=$N$3),0.5,AND($K70&gt;=$N$3,$L70&gt;=$N$3),0)</f>
        <v>1</v>
      </c>
      <c r="S70" s="201" t="e">
        <f t="array" ref="S70">_xlfn.IFS(AND($K70&gt;R$7,$L70&gt;R$7),0,AND($K70&lt;=R$7,$L70&lt;=R$7),1,AND($K70&lt;=R$7,$L70&gt;R$7),((R$7-$K70)/($L70-$K70)))</f>
        <v>#REF!</v>
      </c>
      <c r="T70" s="201" t="e">
        <f t="array" ref="T70">_xlfn.IFS(AND($K70&gt;S$7,$L70&gt;S$7),0,AND($K70&lt;=S$7,$L70&lt;=S$7),1,AND($K70&lt;=S$7,$L70&gt;S$7),((S$7-$K70)/($L70-$K70)))</f>
        <v>#REF!</v>
      </c>
      <c r="U70" s="201" t="e">
        <f t="array" ref="U70">_xlfn.IFS(AND($K70&gt;T$7,$L70&gt;T$7),0,AND($K70&lt;=T$7,$L70&lt;=T$7),1,AND($K70&lt;=T$7,$L70&gt;T$7),((T$7-$K70)/($L70-$K70)))</f>
        <v>#REF!</v>
      </c>
      <c r="V70" s="201" t="e">
        <f t="array" ref="V70">_xlfn.IFS(AND($K70&gt;U$7,$L70&gt;U$7),0,AND($K70&lt;=U$7,$L70&lt;=U$7),1,AND($K70&lt;=U$7,$L70&gt;U$7),((U$7-$K70)/($L70-$K70)))</f>
        <v>#REF!</v>
      </c>
      <c r="W70" s="201" t="e">
        <f t="array" ref="W70">_xlfn.IFS(AND($K70&gt;V$7,$L70&gt;V$7),0,AND($K70&lt;=V$7,$L70&lt;=V$7),1,AND($K70&lt;=V$7,$L70&gt;V$7),((V$7-$K70)/($L70-$K70)))</f>
        <v>#REF!</v>
      </c>
      <c r="X70" s="201" t="e">
        <f t="array" ref="X70">_xlfn.IFS(AND($K70&gt;W$7,$L70&gt;W$7),0,AND($K70&lt;=W$7,$L70&lt;=W$7),1,AND($K70&lt;=W$7,$L70&gt;W$7),((W$7-$K70)/($L70-$K70)))</f>
        <v>#REF!</v>
      </c>
      <c r="Y70" s="201" t="e">
        <f t="array" ref="Y70">_xlfn.IFS(AND($K70&gt;X$7,$L70&gt;X$7),0,AND($K70&lt;=X$7,$L70&lt;=X$7),1,AND($K70&lt;=X$7,$L70&gt;X$7),((X$7-$K70)/($L70-$K70)))</f>
        <v>#REF!</v>
      </c>
      <c r="Z70" s="201" t="e">
        <f t="array" ref="Z70">_xlfn.IFS(AND($K70&gt;Y$7,$L70&gt;Y$7),0,AND($K70&lt;=Y$7,$L70&lt;=Y$7),1,AND($K70&lt;=Y$7,$L70&gt;Y$7),((Y$7-$K70)/($L70-$K70)))</f>
        <v>#REF!</v>
      </c>
      <c r="AA70" s="201" t="e">
        <f t="array" ref="AA70">_xlfn.IFS(AND($K70&gt;Z$7,$L70&gt;Z$7),0,AND($K70&lt;=Z$7,$L70&lt;=Z$7),1,AND($K70&lt;=Z$7,$L70&gt;Z$7),((Z$7-$K70)/($L70-$K70)))</f>
        <v>#REF!</v>
      </c>
      <c r="AB70" s="201" t="e">
        <f t="array" ref="AB70">_xlfn.IFS(AND($K70&gt;AA$7,$L70&gt;AA$7),0,AND($K70&lt;=AA$7,$L70&lt;=AA$7),1,AND($K70&lt;=AA$7,$L70&gt;AA$7),((AA$7-$K70)/($L70-$K70)))</f>
        <v>#REF!</v>
      </c>
      <c r="AC70" s="201" t="e">
        <f t="array" ref="AC70">_xlfn.IFS(AND($K70&gt;AB$7,$L70&gt;AB$7),0,AND($K70&lt;=AB$7,$L70&lt;=AB$7),1,AND($K70&lt;=AB$7,$L70&gt;AB$7),((AB$7-$K70)/($L70-$K70)))</f>
        <v>#REF!</v>
      </c>
      <c r="AD70" s="201" t="e">
        <f t="array" ref="AD70">_xlfn.IFS(AND($K70&gt;AC$7,$L70&gt;AC$7),0,AND($K70&lt;=AC$7,$L70&lt;=AC$7),1,AND($K70&lt;=AC$7,$L70&gt;AC$7),((AC$7-$K70)/($L70-$K70)))</f>
        <v>#REF!</v>
      </c>
      <c r="AE70" s="201" t="e">
        <f t="array" ref="AE70">_xlfn.IFS(AND($K70&gt;AD$7,$L70&gt;AD$7),0,AND($K70&lt;=AD$7,$L70&lt;=AD$7),1,AND($K70&lt;=AD$7,$L70&gt;AD$7),((AD$7-$K70)/($L70-$K70)))</f>
        <v>#REF!</v>
      </c>
      <c r="AF70" s="201" t="e">
        <f t="array" ref="AF70">_xlfn.IFS(AND($K70&gt;AE$7,$L70&gt;AE$7),0,AND($K70&lt;=AE$7,$L70&lt;=AE$7),1,AND($K70&lt;=AE$7,$L70&gt;AE$7),((AE$7-$K70)/($L70-$K70)))</f>
        <v>#REF!</v>
      </c>
      <c r="AG70" s="201" t="e">
        <f t="array" ref="AG70">_xlfn.IFS(AND($K70&gt;AF$7,$L70&gt;AF$7),0,AND($K70&lt;=AF$7,$L70&lt;=AF$7),1,AND($K70&lt;=AF$7,$L70&gt;AF$7),((AF$7-$K70)/($L70-$K70)))</f>
        <v>#REF!</v>
      </c>
      <c r="AH70" s="201" t="e">
        <f t="array" ref="AH70">_xlfn.IFS(AND($K70&gt;AG$7,$L70&gt;AG$7),0,AND($K70&lt;=AG$7,$L70&lt;=AG$7),1,AND($K70&lt;=AG$7,$L70&gt;AG$7),((AG$7-$K70)/($L70-$K70)))</f>
        <v>#REF!</v>
      </c>
      <c r="AI70" s="201" t="e">
        <f t="array" ref="AI70">_xlfn.IFS(AND($K70&gt;AH$7,$L70&gt;AH$7),0,AND($K70&lt;=AH$7,$L70&lt;=AH$7),1,AND($K70&lt;=AH$7,$L70&gt;AH$7),((AH$7-$K70)/($L70-$K70)))</f>
        <v>#REF!</v>
      </c>
      <c r="AJ70" s="201" t="e">
        <f t="array" ref="AJ70">_xlfn.IFS(AND($K70&gt;AI$7,$L70&gt;AI$7),0,AND($K70&lt;=AI$7,$L70&lt;=AI$7),1,AND($K70&lt;=AI$7,$L70&gt;AI$7),((AI$7-$K70)/($L70-$K70)))</f>
        <v>#REF!</v>
      </c>
      <c r="AK70" s="201" t="e">
        <f t="array" ref="AK70">_xlfn.IFS(AND($K70&gt;AJ$7,$L70&gt;AJ$7),0,AND($K70&lt;=AJ$7,$L70&lt;=AJ$7),1,AND($K70&lt;=AJ$7,$L70&gt;AJ$7),((AJ$7-$K70)/($L70-$K70)))</f>
        <v>#REF!</v>
      </c>
      <c r="AL70" s="201" t="e">
        <f t="array" ref="AL70">_xlfn.IFS(AND($K70&gt;AK$7,$L70&gt;AK$7),0,AND($K70&lt;=AK$7,$L70&lt;=AK$7),1,AND($K70&lt;=AK$7,$L70&gt;AK$7),((AK$7-$K70)/($L70-$K70)))</f>
        <v>#REF!</v>
      </c>
      <c r="AM70" s="201" t="e">
        <f t="array" ref="AM70">_xlfn.IFS(AND($K70&gt;AL$7,$L70&gt;AL$7),0,AND($K70&lt;=AL$7,$L70&lt;=AL$7),1,AND($K70&lt;=AL$7,$L70&gt;AL$7),((AL$7-$K70)/($L70-$K70)))</f>
        <v>#REF!</v>
      </c>
      <c r="AN70" s="201" t="e">
        <f t="array" ref="AN70">_xlfn.IFS(AND($K70&gt;AM$7,$L70&gt;AM$7),0,AND($K70&lt;=AM$7,$L70&lt;=AM$7),1,AND($K70&lt;=AM$7,$L70&gt;AM$7),((AM$7-$K70)/($L70-$K70)))</f>
        <v>#REF!</v>
      </c>
      <c r="AO70" s="201" t="e">
        <f t="array" ref="AO70">_xlfn.IFS(AND($K70&gt;AN$7,$L70&gt;AN$7),0,AND($K70&lt;=AN$7,$L70&lt;=AN$7),1,AND($K70&lt;=AN$7,$L70&gt;AN$7),((AN$7-$K70)/($L70-$K70)))</f>
        <v>#REF!</v>
      </c>
      <c r="AP70" s="201" t="e">
        <f t="array" ref="AP70">_xlfn.IFS(AND($K70&gt;AO$7,$L70&gt;AO$7),0,AND($K70&lt;=AO$7,$L70&lt;=AO$7),1,AND($K70&lt;=AO$7,$L70&gt;AO$7),((AO$7-$K70)/($L70-$K70)))</f>
        <v>#REF!</v>
      </c>
      <c r="AQ70" s="201" t="e">
        <f t="array" ref="AQ70">_xlfn.IFS(AND($K70&gt;AP$7,$L70&gt;AP$7),0,AND($K70&lt;=AP$7,$L70&lt;=AP$7),1,AND($K70&lt;=AP$7,$L70&gt;AP$7),((AP$7-$K70)/($L70-$K70)))</f>
        <v>#REF!</v>
      </c>
      <c r="AR70" s="201" t="e">
        <f t="array" ref="AR70">_xlfn.IFS(AND($K70&gt;AQ$7,$L70&gt;AQ$7),0,AND($K70&lt;=AQ$7,$L70&lt;=AQ$7),1,AND($K70&lt;=AQ$7,$L70&gt;AQ$7),((AQ$7-$K70)/($L70-$K70)))</f>
        <v>#REF!</v>
      </c>
      <c r="AS70" s="201" t="e">
        <f t="array" ref="AS70">_xlfn.IFS(AND($K70&gt;AR$7,$L70&gt;AR$7),0,AND($K70&lt;=AR$7,$L70&lt;=AR$7),1,AND($K70&lt;=AR$7,$L70&gt;AR$7),((AR$7-$K70)/($L70-$K70)))</f>
        <v>#REF!</v>
      </c>
      <c r="AT70" s="201" t="e">
        <f t="array" ref="AT70">_xlfn.IFS(AND($K70&gt;AS$7,$L70&gt;AS$7),0,AND($K70&lt;=AS$7,$L70&lt;=AS$7),1,AND($K70&lt;=AS$7,$L70&gt;AS$7),((AS$7-$K70)/($L70-$K70)))</f>
        <v>#REF!</v>
      </c>
      <c r="AU70" s="201" t="e">
        <f t="array" ref="AU70">_xlfn.IFS(AND($K70&gt;AT$7,$L70&gt;AT$7),0,AND($K70&lt;=AT$7,$L70&lt;=AT$7),1,AND($K70&lt;=AT$7,$L70&gt;AT$7),((AT$7-$K70)/($L70-$K70)))</f>
        <v>#REF!</v>
      </c>
      <c r="AV70" s="201" t="e">
        <f t="array" ref="AV70">_xlfn.IFS(AND($K70&gt;AU$7,$L70&gt;AU$7),0,AND($K70&lt;=AU$7,$L70&lt;=AU$7),1,AND($K70&lt;=AU$7,$L70&gt;AU$7),((AU$7-$K70)/($L70-$K70)))</f>
        <v>#REF!</v>
      </c>
      <c r="AW70" s="201" t="e">
        <f t="array" ref="AW70">_xlfn.IFS(AND($K70&gt;AV$7,$L70&gt;AV$7),0,AND($K70&lt;=AV$7,$L70&lt;=AV$7),1,AND($K70&lt;=AV$7,$L70&gt;AV$7),((AV$7-$K70)/($L70-$K70)))</f>
        <v>#REF!</v>
      </c>
      <c r="AX70" s="201" t="e">
        <f t="array" ref="AX70">_xlfn.IFS(AND($K70&gt;AW$7,$L70&gt;AW$7),0,AND($K70&lt;=AW$7,$L70&lt;=AW$7),1,AND($K70&lt;=AW$7,$L70&gt;AW$7),((AW$7-$K70)/($L70-$K70)))</f>
        <v>#REF!</v>
      </c>
      <c r="AY70" s="201" t="e">
        <f t="array" ref="AY70">_xlfn.IFS(AND($K70&gt;AX$7,$L70&gt;AX$7),0,AND($K70&lt;=AX$7,$L70&lt;=AX$7),1,AND($K70&lt;=AX$7,$L70&gt;AX$7),((AX$7-$K70)/($L70-$K70)))</f>
        <v>#REF!</v>
      </c>
      <c r="AZ70" s="201" t="e">
        <f t="array" ref="AZ70">_xlfn.IFS(AND($K70&gt;AY$7,$L70&gt;AY$7),0,AND($K70&lt;=AY$7,$L70&lt;=AY$7),1,AND($K70&lt;=AY$7,$L70&gt;AY$7),((AY$7-$K70)/($L70-$K70)))</f>
        <v>#REF!</v>
      </c>
      <c r="BA70" s="201" t="e">
        <f t="array" ref="BA70">_xlfn.IFS(AND($K70&gt;AZ$7,$L70&gt;AZ$7),0,AND($K70&lt;=AZ$7,$L70&lt;=AZ$7),1,AND($K70&lt;=AZ$7,$L70&gt;AZ$7),((AZ$7-$K70)/($L70-$K70)))</f>
        <v>#REF!</v>
      </c>
      <c r="BB70" s="201" t="e">
        <f t="array" ref="BB70">_xlfn.IFS(AND($K70&gt;BA$7,$L70&gt;BA$7),0,AND($K70&lt;=BA$7,$L70&lt;=BA$7),1,AND($K70&lt;=BA$7,$L70&gt;BA$7),((BA$7-$K70)/($L70-$K70)))</f>
        <v>#REF!</v>
      </c>
      <c r="BC70" s="201" t="e">
        <f t="array" ref="BC70">_xlfn.IFS(AND($K70&gt;BB$7,$L70&gt;BB$7),0,AND($K70&lt;=BB$7,$L70&lt;=BB$7),1,AND($K70&lt;=BB$7,$L70&gt;BB$7),((BB$7-$K70)/($L70-$K70)))</f>
        <v>#REF!</v>
      </c>
      <c r="BD70" s="201" t="e">
        <f t="array" ref="BD70">_xlfn.IFS(AND($K70&gt;BC$7,$L70&gt;BC$7),0,AND($K70&lt;=BC$7,$L70&lt;=BC$7),1,AND($K70&lt;=BC$7,$L70&gt;BC$7),((BC$7-$K70)/($L70-$K70)))</f>
        <v>#REF!</v>
      </c>
      <c r="BE70" s="201" t="e">
        <f t="array" ref="BE70">_xlfn.IFS(AND($K70&gt;BD$7,$L70&gt;BD$7),0,AND($K70&lt;=BD$7,$L70&lt;=BD$7),1,AND($K70&lt;=BD$7,$L70&gt;BD$7),((BD$7-$K70)/($L70-$K70)))</f>
        <v>#REF!</v>
      </c>
      <c r="BF70" s="201" t="e">
        <f t="array" ref="BF70">_xlfn.IFS(AND($K70&gt;BE$7,$L70&gt;BE$7),0,AND($K70&lt;=BE$7,$L70&lt;=BE$7),1,AND($K70&lt;=BE$7,$L70&gt;BE$7),((BE$7-$K70)/($L70-$K70)))</f>
        <v>#REF!</v>
      </c>
      <c r="BG70" s="201" t="e">
        <f t="array" ref="BG70">_xlfn.IFS(AND($K70&gt;BF$7,$L70&gt;BF$7),0,AND($K70&lt;=BF$7,$L70&lt;=BF$7),1,AND($K70&lt;=BF$7,$L70&gt;BF$7),((BF$7-$K70)/($L70-$K70)))</f>
        <v>#REF!</v>
      </c>
      <c r="BH70" s="201" t="e">
        <f t="array" ref="BH70">_xlfn.IFS(AND($K70&gt;BG$7,$L70&gt;BG$7),0,AND($K70&lt;=BG$7,$L70&lt;=BG$7),1,AND($K70&lt;=BG$7,$L70&gt;BG$7),((BG$7-$K70)/($L70-$K70)))</f>
        <v>#REF!</v>
      </c>
      <c r="BI70" s="201" t="e">
        <f t="array" ref="BI70">_xlfn.IFS(AND($K70&gt;BH$7,$L70&gt;BH$7),0,AND($K70&lt;=BH$7,$L70&lt;=BH$7),1,AND($K70&lt;=BH$7,$L70&gt;BH$7),((BH$7-$K70)/($L70-$K70)))</f>
        <v>#REF!</v>
      </c>
      <c r="BJ70" s="201" t="e">
        <f t="array" ref="BJ70">_xlfn.IFS(AND($K70&gt;BI$7,$L70&gt;BI$7),0,AND($K70&lt;=BI$7,$L70&lt;=BI$7),1,AND($K70&lt;=BI$7,$L70&gt;BI$7),((BI$7-$K70)/($L70-$K70)))</f>
        <v>#REF!</v>
      </c>
      <c r="BK70" s="201" t="e">
        <f t="array" ref="BK70">_xlfn.IFS(AND($K70&gt;BJ$7,$L70&gt;BJ$7),0,AND($K70&lt;=BJ$7,$L70&lt;=BJ$7),1,AND($K70&lt;=BJ$7,$L70&gt;BJ$7),((BJ$7-$K70)/($L70-$K70)))</f>
        <v>#REF!</v>
      </c>
      <c r="BL70" s="201" t="e">
        <f t="array" ref="BL70">_xlfn.IFS(AND($K70&gt;BK$7,$L70&gt;BK$7),0,AND($K70&lt;=BK$7,$L70&lt;=BK$7),1,AND($K70&lt;=BK$7,$L70&gt;BK$7),((BK$7-$K70)/($L70-$K70)))</f>
        <v>#REF!</v>
      </c>
      <c r="BM70" s="201" t="e">
        <f t="array" ref="BM70">_xlfn.IFS(AND($K70&gt;BL$7,$L70&gt;BL$7),0,AND($K70&lt;=BL$7,$L70&lt;=BL$7),1,AND($K70&lt;=BL$7,$L70&gt;BL$7),((BL$7-$K70)/($L70-$K70)))</f>
        <v>#REF!</v>
      </c>
      <c r="BN70" s="201" t="e">
        <f t="array" ref="BN70">_xlfn.IFS(AND($K70&gt;BM$7,$L70&gt;BM$7),0,AND($K70&lt;=BM$7,$L70&lt;=BM$7),1,AND($K70&lt;=BM$7,$L70&gt;BM$7),((BM$7-$K70)/($L70-$K70)))</f>
        <v>#REF!</v>
      </c>
    </row>
    <row r="71" spans="2:66" ht="27.6" customHeight="1" x14ac:dyDescent="0.3">
      <c r="B71" s="166" t="s">
        <v>161</v>
      </c>
      <c r="C71" s="166" t="s">
        <v>190</v>
      </c>
      <c r="D71" s="177"/>
      <c r="E71" s="170" t="str">
        <f t="shared" si="32"/>
        <v>Desenvolvimento da Transformação dos Processos</v>
      </c>
      <c r="F71" s="174" t="str">
        <f t="shared" si="35"/>
        <v>Diagnóstico de Maturidade do Processo</v>
      </c>
      <c r="G71" s="166" t="str">
        <f t="shared" si="38"/>
        <v>Diagnóstico de Maturidade do Processo</v>
      </c>
      <c r="H71" s="197" t="s">
        <v>191</v>
      </c>
      <c r="I71" s="166">
        <v>45957</v>
      </c>
      <c r="J71" s="166">
        <v>45961</v>
      </c>
      <c r="K71" s="166">
        <v>45957</v>
      </c>
      <c r="L71" s="166">
        <v>45961</v>
      </c>
      <c r="M71" s="167"/>
      <c r="N71" s="167" t="str">
        <f t="array" ref="N71">_xlfn.IFS(L71&lt;$M$3,"Concluído",AND(K71&gt;=$M$3,I71&lt;$M$3,L71&gt;$M$3),"Em andamento",AND(L71&gt;=$M$3,J71&lt;$M$3),"Atrasado",AND(L71&gt;=$M$3,J71&gt;=$M$3,I71&gt;$M$3,K71&lt;=$M$3),"Em andamento",AND(L71&gt;=$M$3,J71&gt;=$M$3,I71&lt;=$M$3,K71&lt;=$M$3),"Em andamento",AND(K71&gt;$M$3,I71&gt;$M$3),"Não iniciado",AND(L71&gt;=$M$3,J71&gt;=$M$3,K71&gt;=$M$3,I71&lt;$M$3),"Atrasado",AND(L71&gt;=$M$3,J71&gt;=$M$3,K71&gt;=$M$3,I71&gt;$M$3),"Não iniciado",AND($I71&lt;=$M$3,$K71&gt;$M$3),"Atrasado")</f>
        <v>Concluído</v>
      </c>
      <c r="O71" s="167">
        <f t="array" ref="O71">_xlfn.IFS(N71="Não iniciado",0,N71="Em andamento",1,N71="Concluído",2,N71="Atrasado",3)</f>
        <v>2</v>
      </c>
      <c r="P71" s="169"/>
      <c r="Q71" s="152">
        <f t="array" aca="1" ref="Q71" ca="1">_xlfn.IFS(AND($I71&lt;$N$3,$J71&lt;$N$3),1,AND($I71&lt;=$N$3,$J71&gt;=$N$3),0.5,AND($I71&gt;=$N$3,$J71&gt;=$N$3),0)</f>
        <v>1</v>
      </c>
      <c r="R71" s="152">
        <f t="array" aca="1" ref="R71" ca="1">_xlfn.IFS(AND($K71&lt;$N$3,$L71&lt;$N$3),1,AND($K71&lt;=$N$3,$L71&gt;=$N$3),0.5,AND($K71&gt;=$N$3,$L71&gt;=$N$3),0)</f>
        <v>1</v>
      </c>
      <c r="S71" s="201" t="e">
        <f t="array" ref="S71">_xlfn.IFS(AND($K71&gt;R$7,$L71&gt;R$7),0,AND($K71&lt;=R$7,$L71&lt;=R$7),1,AND($K71&lt;=R$7,$L71&gt;R$7),((R$7-$K71)/($L71-$K71)))</f>
        <v>#REF!</v>
      </c>
      <c r="T71" s="201" t="e">
        <f t="array" ref="T71">_xlfn.IFS(AND($K71&gt;S$7,$L71&gt;S$7),0,AND($K71&lt;=S$7,$L71&lt;=S$7),1,AND($K71&lt;=S$7,$L71&gt;S$7),((S$7-$K71)/($L71-$K71)))</f>
        <v>#REF!</v>
      </c>
      <c r="U71" s="201" t="e">
        <f t="array" ref="U71">_xlfn.IFS(AND($K71&gt;T$7,$L71&gt;T$7),0,AND($K71&lt;=T$7,$L71&lt;=T$7),1,AND($K71&lt;=T$7,$L71&gt;T$7),((T$7-$K71)/($L71-$K71)))</f>
        <v>#REF!</v>
      </c>
      <c r="V71" s="201" t="e">
        <f t="array" ref="V71">_xlfn.IFS(AND($K71&gt;U$7,$L71&gt;U$7),0,AND($K71&lt;=U$7,$L71&lt;=U$7),1,AND($K71&lt;=U$7,$L71&gt;U$7),((U$7-$K71)/($L71-$K71)))</f>
        <v>#REF!</v>
      </c>
      <c r="W71" s="201" t="e">
        <f t="array" ref="W71">_xlfn.IFS(AND($K71&gt;V$7,$L71&gt;V$7),0,AND($K71&lt;=V$7,$L71&lt;=V$7),1,AND($K71&lt;=V$7,$L71&gt;V$7),((V$7-$K71)/($L71-$K71)))</f>
        <v>#REF!</v>
      </c>
      <c r="X71" s="201" t="e">
        <f t="array" ref="X71">_xlfn.IFS(AND($K71&gt;W$7,$L71&gt;W$7),0,AND($K71&lt;=W$7,$L71&lt;=W$7),1,AND($K71&lt;=W$7,$L71&gt;W$7),((W$7-$K71)/($L71-$K71)))</f>
        <v>#REF!</v>
      </c>
      <c r="Y71" s="201" t="e">
        <f t="array" ref="Y71">_xlfn.IFS(AND($K71&gt;X$7,$L71&gt;X$7),0,AND($K71&lt;=X$7,$L71&lt;=X$7),1,AND($K71&lt;=X$7,$L71&gt;X$7),((X$7-$K71)/($L71-$K71)))</f>
        <v>#REF!</v>
      </c>
      <c r="Z71" s="201" t="e">
        <f t="array" ref="Z71">_xlfn.IFS(AND($K71&gt;Y$7,$L71&gt;Y$7),0,AND($K71&lt;=Y$7,$L71&lt;=Y$7),1,AND($K71&lt;=Y$7,$L71&gt;Y$7),((Y$7-$K71)/($L71-$K71)))</f>
        <v>#REF!</v>
      </c>
      <c r="AA71" s="201" t="e">
        <f t="array" ref="AA71">_xlfn.IFS(AND($K71&gt;Z$7,$L71&gt;Z$7),0,AND($K71&lt;=Z$7,$L71&lt;=Z$7),1,AND($K71&lt;=Z$7,$L71&gt;Z$7),((Z$7-$K71)/($L71-$K71)))</f>
        <v>#REF!</v>
      </c>
      <c r="AB71" s="201" t="e">
        <f t="array" ref="AB71">_xlfn.IFS(AND($K71&gt;AA$7,$L71&gt;AA$7),0,AND($K71&lt;=AA$7,$L71&lt;=AA$7),1,AND($K71&lt;=AA$7,$L71&gt;AA$7),((AA$7-$K71)/($L71-$K71)))</f>
        <v>#REF!</v>
      </c>
      <c r="AC71" s="201" t="e">
        <f t="array" ref="AC71">_xlfn.IFS(AND($K71&gt;AB$7,$L71&gt;AB$7),0,AND($K71&lt;=AB$7,$L71&lt;=AB$7),1,AND($K71&lt;=AB$7,$L71&gt;AB$7),((AB$7-$K71)/($L71-$K71)))</f>
        <v>#REF!</v>
      </c>
      <c r="AD71" s="201" t="e">
        <f t="array" ref="AD71">_xlfn.IFS(AND($K71&gt;AC$7,$L71&gt;AC$7),0,AND($K71&lt;=AC$7,$L71&lt;=AC$7),1,AND($K71&lt;=AC$7,$L71&gt;AC$7),((AC$7-$K71)/($L71-$K71)))</f>
        <v>#REF!</v>
      </c>
      <c r="AE71" s="201" t="e">
        <f t="array" ref="AE71">_xlfn.IFS(AND($K71&gt;AD$7,$L71&gt;AD$7),0,AND($K71&lt;=AD$7,$L71&lt;=AD$7),1,AND($K71&lt;=AD$7,$L71&gt;AD$7),((AD$7-$K71)/($L71-$K71)))</f>
        <v>#REF!</v>
      </c>
      <c r="AF71" s="201" t="e">
        <f t="array" ref="AF71">_xlfn.IFS(AND($K71&gt;AE$7,$L71&gt;AE$7),0,AND($K71&lt;=AE$7,$L71&lt;=AE$7),1,AND($K71&lt;=AE$7,$L71&gt;AE$7),((AE$7-$K71)/($L71-$K71)))</f>
        <v>#REF!</v>
      </c>
      <c r="AG71" s="201" t="e">
        <f t="array" ref="AG71">_xlfn.IFS(AND($K71&gt;AF$7,$L71&gt;AF$7),0,AND($K71&lt;=AF$7,$L71&lt;=AF$7),1,AND($K71&lt;=AF$7,$L71&gt;AF$7),((AF$7-$K71)/($L71-$K71)))</f>
        <v>#REF!</v>
      </c>
      <c r="AH71" s="201" t="e">
        <f t="array" ref="AH71">_xlfn.IFS(AND($K71&gt;AG$7,$L71&gt;AG$7),0,AND($K71&lt;=AG$7,$L71&lt;=AG$7),1,AND($K71&lt;=AG$7,$L71&gt;AG$7),((AG$7-$K71)/($L71-$K71)))</f>
        <v>#REF!</v>
      </c>
      <c r="AI71" s="201" t="e">
        <f t="array" ref="AI71">_xlfn.IFS(AND($K71&gt;AH$7,$L71&gt;AH$7),0,AND($K71&lt;=AH$7,$L71&lt;=AH$7),1,AND($K71&lt;=AH$7,$L71&gt;AH$7),((AH$7-$K71)/($L71-$K71)))</f>
        <v>#REF!</v>
      </c>
      <c r="AJ71" s="201" t="e">
        <f t="array" ref="AJ71">_xlfn.IFS(AND($K71&gt;AI$7,$L71&gt;AI$7),0,AND($K71&lt;=AI$7,$L71&lt;=AI$7),1,AND($K71&lt;=AI$7,$L71&gt;AI$7),((AI$7-$K71)/($L71-$K71)))</f>
        <v>#REF!</v>
      </c>
      <c r="AK71" s="201" t="e">
        <f t="array" ref="AK71">_xlfn.IFS(AND($K71&gt;AJ$7,$L71&gt;AJ$7),0,AND($K71&lt;=AJ$7,$L71&lt;=AJ$7),1,AND($K71&lt;=AJ$7,$L71&gt;AJ$7),((AJ$7-$K71)/($L71-$K71)))</f>
        <v>#REF!</v>
      </c>
      <c r="AL71" s="201" t="e">
        <f t="array" ref="AL71">_xlfn.IFS(AND($K71&gt;AK$7,$L71&gt;AK$7),0,AND($K71&lt;=AK$7,$L71&lt;=AK$7),1,AND($K71&lt;=AK$7,$L71&gt;AK$7),((AK$7-$K71)/($L71-$K71)))</f>
        <v>#REF!</v>
      </c>
      <c r="AM71" s="201" t="e">
        <f t="array" ref="AM71">_xlfn.IFS(AND($K71&gt;AL$7,$L71&gt;AL$7),0,AND($K71&lt;=AL$7,$L71&lt;=AL$7),1,AND($K71&lt;=AL$7,$L71&gt;AL$7),((AL$7-$K71)/($L71-$K71)))</f>
        <v>#REF!</v>
      </c>
      <c r="AN71" s="201" t="e">
        <f t="array" ref="AN71">_xlfn.IFS(AND($K71&gt;AM$7,$L71&gt;AM$7),0,AND($K71&lt;=AM$7,$L71&lt;=AM$7),1,AND($K71&lt;=AM$7,$L71&gt;AM$7),((AM$7-$K71)/($L71-$K71)))</f>
        <v>#REF!</v>
      </c>
      <c r="AO71" s="201" t="e">
        <f t="array" ref="AO71">_xlfn.IFS(AND($K71&gt;AN$7,$L71&gt;AN$7),0,AND($K71&lt;=AN$7,$L71&lt;=AN$7),1,AND($K71&lt;=AN$7,$L71&gt;AN$7),((AN$7-$K71)/($L71-$K71)))</f>
        <v>#REF!</v>
      </c>
      <c r="AP71" s="201" t="e">
        <f t="array" ref="AP71">_xlfn.IFS(AND($K71&gt;AO$7,$L71&gt;AO$7),0,AND($K71&lt;=AO$7,$L71&lt;=AO$7),1,AND($K71&lt;=AO$7,$L71&gt;AO$7),((AO$7-$K71)/($L71-$K71)))</f>
        <v>#REF!</v>
      </c>
      <c r="AQ71" s="201" t="e">
        <f t="array" ref="AQ71">_xlfn.IFS(AND($K71&gt;AP$7,$L71&gt;AP$7),0,AND($K71&lt;=AP$7,$L71&lt;=AP$7),1,AND($K71&lt;=AP$7,$L71&gt;AP$7),((AP$7-$K71)/($L71-$K71)))</f>
        <v>#REF!</v>
      </c>
      <c r="AR71" s="201" t="e">
        <f t="array" ref="AR71">_xlfn.IFS(AND($K71&gt;AQ$7,$L71&gt;AQ$7),0,AND($K71&lt;=AQ$7,$L71&lt;=AQ$7),1,AND($K71&lt;=AQ$7,$L71&gt;AQ$7),((AQ$7-$K71)/($L71-$K71)))</f>
        <v>#REF!</v>
      </c>
      <c r="AS71" s="201" t="e">
        <f t="array" ref="AS71">_xlfn.IFS(AND($K71&gt;AR$7,$L71&gt;AR$7),0,AND($K71&lt;=AR$7,$L71&lt;=AR$7),1,AND($K71&lt;=AR$7,$L71&gt;AR$7),((AR$7-$K71)/($L71-$K71)))</f>
        <v>#REF!</v>
      </c>
      <c r="AT71" s="201" t="e">
        <f t="array" ref="AT71">_xlfn.IFS(AND($K71&gt;AS$7,$L71&gt;AS$7),0,AND($K71&lt;=AS$7,$L71&lt;=AS$7),1,AND($K71&lt;=AS$7,$L71&gt;AS$7),((AS$7-$K71)/($L71-$K71)))</f>
        <v>#REF!</v>
      </c>
      <c r="AU71" s="201" t="e">
        <f t="array" ref="AU71">_xlfn.IFS(AND($K71&gt;AT$7,$L71&gt;AT$7),0,AND($K71&lt;=AT$7,$L71&lt;=AT$7),1,AND($K71&lt;=AT$7,$L71&gt;AT$7),((AT$7-$K71)/($L71-$K71)))</f>
        <v>#REF!</v>
      </c>
      <c r="AV71" s="201" t="e">
        <f t="array" ref="AV71">_xlfn.IFS(AND($K71&gt;AU$7,$L71&gt;AU$7),0,AND($K71&lt;=AU$7,$L71&lt;=AU$7),1,AND($K71&lt;=AU$7,$L71&gt;AU$7),((AU$7-$K71)/($L71-$K71)))</f>
        <v>#REF!</v>
      </c>
      <c r="AW71" s="201" t="e">
        <f t="array" ref="AW71">_xlfn.IFS(AND($K71&gt;AV$7,$L71&gt;AV$7),0,AND($K71&lt;=AV$7,$L71&lt;=AV$7),1,AND($K71&lt;=AV$7,$L71&gt;AV$7),((AV$7-$K71)/($L71-$K71)))</f>
        <v>#REF!</v>
      </c>
      <c r="AX71" s="201" t="e">
        <f t="array" ref="AX71">_xlfn.IFS(AND($K71&gt;AW$7,$L71&gt;AW$7),0,AND($K71&lt;=AW$7,$L71&lt;=AW$7),1,AND($K71&lt;=AW$7,$L71&gt;AW$7),((AW$7-$K71)/($L71-$K71)))</f>
        <v>#REF!</v>
      </c>
      <c r="AY71" s="201" t="e">
        <f t="array" ref="AY71">_xlfn.IFS(AND($K71&gt;AX$7,$L71&gt;AX$7),0,AND($K71&lt;=AX$7,$L71&lt;=AX$7),1,AND($K71&lt;=AX$7,$L71&gt;AX$7),((AX$7-$K71)/($L71-$K71)))</f>
        <v>#REF!</v>
      </c>
      <c r="AZ71" s="201" t="e">
        <f t="array" ref="AZ71">_xlfn.IFS(AND($K71&gt;AY$7,$L71&gt;AY$7),0,AND($K71&lt;=AY$7,$L71&lt;=AY$7),1,AND($K71&lt;=AY$7,$L71&gt;AY$7),((AY$7-$K71)/($L71-$K71)))</f>
        <v>#REF!</v>
      </c>
      <c r="BA71" s="201" t="e">
        <f t="array" ref="BA71">_xlfn.IFS(AND($K71&gt;AZ$7,$L71&gt;AZ$7),0,AND($K71&lt;=AZ$7,$L71&lt;=AZ$7),1,AND($K71&lt;=AZ$7,$L71&gt;AZ$7),((AZ$7-$K71)/($L71-$K71)))</f>
        <v>#REF!</v>
      </c>
      <c r="BB71" s="201" t="e">
        <f t="array" ref="BB71">_xlfn.IFS(AND($K71&gt;BA$7,$L71&gt;BA$7),0,AND($K71&lt;=BA$7,$L71&lt;=BA$7),1,AND($K71&lt;=BA$7,$L71&gt;BA$7),((BA$7-$K71)/($L71-$K71)))</f>
        <v>#REF!</v>
      </c>
      <c r="BC71" s="201" t="e">
        <f t="array" ref="BC71">_xlfn.IFS(AND($K71&gt;BB$7,$L71&gt;BB$7),0,AND($K71&lt;=BB$7,$L71&lt;=BB$7),1,AND($K71&lt;=BB$7,$L71&gt;BB$7),((BB$7-$K71)/($L71-$K71)))</f>
        <v>#REF!</v>
      </c>
      <c r="BD71" s="201" t="e">
        <f t="array" ref="BD71">_xlfn.IFS(AND($K71&gt;BC$7,$L71&gt;BC$7),0,AND($K71&lt;=BC$7,$L71&lt;=BC$7),1,AND($K71&lt;=BC$7,$L71&gt;BC$7),((BC$7-$K71)/($L71-$K71)))</f>
        <v>#REF!</v>
      </c>
      <c r="BE71" s="201" t="e">
        <f t="array" ref="BE71">_xlfn.IFS(AND($K71&gt;BD$7,$L71&gt;BD$7),0,AND($K71&lt;=BD$7,$L71&lt;=BD$7),1,AND($K71&lt;=BD$7,$L71&gt;BD$7),((BD$7-$K71)/($L71-$K71)))</f>
        <v>#REF!</v>
      </c>
      <c r="BF71" s="201" t="e">
        <f t="array" ref="BF71">_xlfn.IFS(AND($K71&gt;BE$7,$L71&gt;BE$7),0,AND($K71&lt;=BE$7,$L71&lt;=BE$7),1,AND($K71&lt;=BE$7,$L71&gt;BE$7),((BE$7-$K71)/($L71-$K71)))</f>
        <v>#REF!</v>
      </c>
      <c r="BG71" s="201" t="e">
        <f t="array" ref="BG71">_xlfn.IFS(AND($K71&gt;BF$7,$L71&gt;BF$7),0,AND($K71&lt;=BF$7,$L71&lt;=BF$7),1,AND($K71&lt;=BF$7,$L71&gt;BF$7),((BF$7-$K71)/($L71-$K71)))</f>
        <v>#REF!</v>
      </c>
      <c r="BH71" s="201" t="e">
        <f t="array" ref="BH71">_xlfn.IFS(AND($K71&gt;BG$7,$L71&gt;BG$7),0,AND($K71&lt;=BG$7,$L71&lt;=BG$7),1,AND($K71&lt;=BG$7,$L71&gt;BG$7),((BG$7-$K71)/($L71-$K71)))</f>
        <v>#REF!</v>
      </c>
      <c r="BI71" s="201" t="e">
        <f t="array" ref="BI71">_xlfn.IFS(AND($K71&gt;BH$7,$L71&gt;BH$7),0,AND($K71&lt;=BH$7,$L71&lt;=BH$7),1,AND($K71&lt;=BH$7,$L71&gt;BH$7),((BH$7-$K71)/($L71-$K71)))</f>
        <v>#REF!</v>
      </c>
      <c r="BJ71" s="201" t="e">
        <f t="array" ref="BJ71">_xlfn.IFS(AND($K71&gt;BI$7,$L71&gt;BI$7),0,AND($K71&lt;=BI$7,$L71&lt;=BI$7),1,AND($K71&lt;=BI$7,$L71&gt;BI$7),((BI$7-$K71)/($L71-$K71)))</f>
        <v>#REF!</v>
      </c>
      <c r="BK71" s="201" t="e">
        <f t="array" ref="BK71">_xlfn.IFS(AND($K71&gt;BJ$7,$L71&gt;BJ$7),0,AND($K71&lt;=BJ$7,$L71&lt;=BJ$7),1,AND($K71&lt;=BJ$7,$L71&gt;BJ$7),((BJ$7-$K71)/($L71-$K71)))</f>
        <v>#REF!</v>
      </c>
      <c r="BL71" s="201" t="e">
        <f t="array" ref="BL71">_xlfn.IFS(AND($K71&gt;BK$7,$L71&gt;BK$7),0,AND($K71&lt;=BK$7,$L71&lt;=BK$7),1,AND($K71&lt;=BK$7,$L71&gt;BK$7),((BK$7-$K71)/($L71-$K71)))</f>
        <v>#REF!</v>
      </c>
      <c r="BM71" s="201" t="e">
        <f t="array" ref="BM71">_xlfn.IFS(AND($K71&gt;BL$7,$L71&gt;BL$7),0,AND($K71&lt;=BL$7,$L71&lt;=BL$7),1,AND($K71&lt;=BL$7,$L71&gt;BL$7),((BL$7-$K71)/($L71-$K71)))</f>
        <v>#REF!</v>
      </c>
      <c r="BN71" s="201" t="e">
        <f t="array" ref="BN71">_xlfn.IFS(AND($K71&gt;BM$7,$L71&gt;BM$7),0,AND($K71&lt;=BM$7,$L71&lt;=BM$7),1,AND($K71&lt;=BM$7,$L71&gt;BM$7),((BM$7-$K71)/($L71-$K71)))</f>
        <v>#REF!</v>
      </c>
    </row>
    <row r="72" spans="2:66" ht="15" customHeight="1" x14ac:dyDescent="0.3">
      <c r="B72" s="166" t="s">
        <v>161</v>
      </c>
      <c r="C72" s="166" t="s">
        <v>192</v>
      </c>
      <c r="D72" s="177"/>
      <c r="E72" s="170" t="str">
        <f t="shared" si="32"/>
        <v>Desenvolvimento da Transformação dos Processos</v>
      </c>
      <c r="F72" s="174" t="str">
        <f t="shared" si="35"/>
        <v>Diagnóstico de Maturidade do Processo</v>
      </c>
      <c r="G72" s="166" t="str">
        <f t="shared" si="38"/>
        <v>Diagnóstico de Maturidade do Processo</v>
      </c>
      <c r="H72" s="197" t="s">
        <v>193</v>
      </c>
      <c r="I72" s="166">
        <v>45957</v>
      </c>
      <c r="J72" s="166">
        <v>45961</v>
      </c>
      <c r="K72" s="166">
        <v>45957</v>
      </c>
      <c r="L72" s="166">
        <v>45961</v>
      </c>
      <c r="M72" s="167"/>
      <c r="N72" s="167" t="str">
        <f t="array" ref="N72">_xlfn.IFS(L72&lt;$M$3,"Concluído",AND(K72&gt;=$M$3,I72&lt;$M$3,L72&gt;$M$3),"Em andamento",AND(L72&gt;=$M$3,J72&lt;$M$3),"Atrasado",AND(L72&gt;=$M$3,J72&gt;=$M$3,I72&gt;$M$3,K72&lt;=$M$3),"Em andamento",AND(L72&gt;=$M$3,J72&gt;=$M$3,I72&lt;=$M$3,K72&lt;=$M$3),"Em andamento",AND(K72&gt;$M$3,I72&gt;$M$3),"Não iniciado",AND(L72&gt;=$M$3,J72&gt;=$M$3,K72&gt;=$M$3,I72&lt;$M$3),"Atrasado",AND(L72&gt;=$M$3,J72&gt;=$M$3,K72&gt;=$M$3,I72&gt;$M$3),"Não iniciado",AND($I72&lt;=$M$3,$K72&gt;$M$3),"Atrasado")</f>
        <v>Concluído</v>
      </c>
      <c r="O72" s="167">
        <f t="array" ref="O72">_xlfn.IFS(N72="Não iniciado",0,N72="Em andamento",1,N72="Concluído",2,N72="Atrasado",3)</f>
        <v>2</v>
      </c>
      <c r="P72" s="169"/>
      <c r="Q72" s="152">
        <f t="array" aca="1" ref="Q72" ca="1">_xlfn.IFS(AND($I72&lt;$N$3,$J72&lt;$N$3),1,AND($I72&lt;=$N$3,$J72&gt;=$N$3),0.5,AND($I72&gt;=$N$3,$J72&gt;=$N$3),0)</f>
        <v>1</v>
      </c>
      <c r="R72" s="152">
        <f t="array" aca="1" ref="R72" ca="1">_xlfn.IFS(AND($K72&lt;$N$3,$L72&lt;$N$3),1,AND($K72&lt;=$N$3,$L72&gt;=$N$3),0.5,AND($K72&gt;=$N$3,$L72&gt;=$N$3),0)</f>
        <v>1</v>
      </c>
      <c r="S72" s="201" t="e">
        <f t="array" ref="S72">_xlfn.IFS(AND($K72&gt;R$7,$L72&gt;R$7),0,AND($K72&lt;=R$7,$L72&lt;=R$7),1,AND($K72&lt;=R$7,$L72&gt;R$7),((R$7-$K72)/($L72-$K72)))</f>
        <v>#REF!</v>
      </c>
      <c r="T72" s="201" t="e">
        <f t="array" ref="T72">_xlfn.IFS(AND($K72&gt;S$7,$L72&gt;S$7),0,AND($K72&lt;=S$7,$L72&lt;=S$7),1,AND($K72&lt;=S$7,$L72&gt;S$7),((S$7-$K72)/($L72-$K72)))</f>
        <v>#REF!</v>
      </c>
      <c r="U72" s="201" t="e">
        <f t="array" ref="U72">_xlfn.IFS(AND($K72&gt;T$7,$L72&gt;T$7),0,AND($K72&lt;=T$7,$L72&lt;=T$7),1,AND($K72&lt;=T$7,$L72&gt;T$7),((T$7-$K72)/($L72-$K72)))</f>
        <v>#REF!</v>
      </c>
      <c r="V72" s="201" t="e">
        <f t="array" ref="V72">_xlfn.IFS(AND($K72&gt;U$7,$L72&gt;U$7),0,AND($K72&lt;=U$7,$L72&lt;=U$7),1,AND($K72&lt;=U$7,$L72&gt;U$7),((U$7-$K72)/($L72-$K72)))</f>
        <v>#REF!</v>
      </c>
      <c r="W72" s="201" t="e">
        <f t="array" ref="W72">_xlfn.IFS(AND($K72&gt;V$7,$L72&gt;V$7),0,AND($K72&lt;=V$7,$L72&lt;=V$7),1,AND($K72&lt;=V$7,$L72&gt;V$7),((V$7-$K72)/($L72-$K72)))</f>
        <v>#REF!</v>
      </c>
      <c r="X72" s="201" t="e">
        <f t="array" ref="X72">_xlfn.IFS(AND($K72&gt;W$7,$L72&gt;W$7),0,AND($K72&lt;=W$7,$L72&lt;=W$7),1,AND($K72&lt;=W$7,$L72&gt;W$7),((W$7-$K72)/($L72-$K72)))</f>
        <v>#REF!</v>
      </c>
      <c r="Y72" s="201" t="e">
        <f t="array" ref="Y72">_xlfn.IFS(AND($K72&gt;X$7,$L72&gt;X$7),0,AND($K72&lt;=X$7,$L72&lt;=X$7),1,AND($K72&lt;=X$7,$L72&gt;X$7),((X$7-$K72)/($L72-$K72)))</f>
        <v>#REF!</v>
      </c>
      <c r="Z72" s="201" t="e">
        <f t="array" ref="Z72">_xlfn.IFS(AND($K72&gt;Y$7,$L72&gt;Y$7),0,AND($K72&lt;=Y$7,$L72&lt;=Y$7),1,AND($K72&lt;=Y$7,$L72&gt;Y$7),((Y$7-$K72)/($L72-$K72)))</f>
        <v>#REF!</v>
      </c>
      <c r="AA72" s="201" t="e">
        <f t="array" ref="AA72">_xlfn.IFS(AND($K72&gt;Z$7,$L72&gt;Z$7),0,AND($K72&lt;=Z$7,$L72&lt;=Z$7),1,AND($K72&lt;=Z$7,$L72&gt;Z$7),((Z$7-$K72)/($L72-$K72)))</f>
        <v>#REF!</v>
      </c>
      <c r="AB72" s="201" t="e">
        <f t="array" ref="AB72">_xlfn.IFS(AND($K72&gt;AA$7,$L72&gt;AA$7),0,AND($K72&lt;=AA$7,$L72&lt;=AA$7),1,AND($K72&lt;=AA$7,$L72&gt;AA$7),((AA$7-$K72)/($L72-$K72)))</f>
        <v>#REF!</v>
      </c>
      <c r="AC72" s="201" t="e">
        <f t="array" ref="AC72">_xlfn.IFS(AND($K72&gt;AB$7,$L72&gt;AB$7),0,AND($K72&lt;=AB$7,$L72&lt;=AB$7),1,AND($K72&lt;=AB$7,$L72&gt;AB$7),((AB$7-$K72)/($L72-$K72)))</f>
        <v>#REF!</v>
      </c>
      <c r="AD72" s="201" t="e">
        <f t="array" ref="AD72">_xlfn.IFS(AND($K72&gt;AC$7,$L72&gt;AC$7),0,AND($K72&lt;=AC$7,$L72&lt;=AC$7),1,AND($K72&lt;=AC$7,$L72&gt;AC$7),((AC$7-$K72)/($L72-$K72)))</f>
        <v>#REF!</v>
      </c>
      <c r="AE72" s="201" t="e">
        <f t="array" ref="AE72">_xlfn.IFS(AND($K72&gt;AD$7,$L72&gt;AD$7),0,AND($K72&lt;=AD$7,$L72&lt;=AD$7),1,AND($K72&lt;=AD$7,$L72&gt;AD$7),((AD$7-$K72)/($L72-$K72)))</f>
        <v>#REF!</v>
      </c>
      <c r="AF72" s="201" t="e">
        <f t="array" ref="AF72">_xlfn.IFS(AND($K72&gt;AE$7,$L72&gt;AE$7),0,AND($K72&lt;=AE$7,$L72&lt;=AE$7),1,AND($K72&lt;=AE$7,$L72&gt;AE$7),((AE$7-$K72)/($L72-$K72)))</f>
        <v>#REF!</v>
      </c>
      <c r="AG72" s="201" t="e">
        <f t="array" ref="AG72">_xlfn.IFS(AND($K72&gt;AF$7,$L72&gt;AF$7),0,AND($K72&lt;=AF$7,$L72&lt;=AF$7),1,AND($K72&lt;=AF$7,$L72&gt;AF$7),((AF$7-$K72)/($L72-$K72)))</f>
        <v>#REF!</v>
      </c>
      <c r="AH72" s="201" t="e">
        <f t="array" ref="AH72">_xlfn.IFS(AND($K72&gt;AG$7,$L72&gt;AG$7),0,AND($K72&lt;=AG$7,$L72&lt;=AG$7),1,AND($K72&lt;=AG$7,$L72&gt;AG$7),((AG$7-$K72)/($L72-$K72)))</f>
        <v>#REF!</v>
      </c>
      <c r="AI72" s="201" t="e">
        <f t="array" ref="AI72">_xlfn.IFS(AND($K72&gt;AH$7,$L72&gt;AH$7),0,AND($K72&lt;=AH$7,$L72&lt;=AH$7),1,AND($K72&lt;=AH$7,$L72&gt;AH$7),((AH$7-$K72)/($L72-$K72)))</f>
        <v>#REF!</v>
      </c>
      <c r="AJ72" s="201" t="e">
        <f t="array" ref="AJ72">_xlfn.IFS(AND($K72&gt;AI$7,$L72&gt;AI$7),0,AND($K72&lt;=AI$7,$L72&lt;=AI$7),1,AND($K72&lt;=AI$7,$L72&gt;AI$7),((AI$7-$K72)/($L72-$K72)))</f>
        <v>#REF!</v>
      </c>
      <c r="AK72" s="201" t="e">
        <f t="array" ref="AK72">_xlfn.IFS(AND($K72&gt;AJ$7,$L72&gt;AJ$7),0,AND($K72&lt;=AJ$7,$L72&lt;=AJ$7),1,AND($K72&lt;=AJ$7,$L72&gt;AJ$7),((AJ$7-$K72)/($L72-$K72)))</f>
        <v>#REF!</v>
      </c>
      <c r="AL72" s="201" t="e">
        <f t="array" ref="AL72">_xlfn.IFS(AND($K72&gt;AK$7,$L72&gt;AK$7),0,AND($K72&lt;=AK$7,$L72&lt;=AK$7),1,AND($K72&lt;=AK$7,$L72&gt;AK$7),((AK$7-$K72)/($L72-$K72)))</f>
        <v>#REF!</v>
      </c>
      <c r="AM72" s="201" t="e">
        <f t="array" ref="AM72">_xlfn.IFS(AND($K72&gt;AL$7,$L72&gt;AL$7),0,AND($K72&lt;=AL$7,$L72&lt;=AL$7),1,AND($K72&lt;=AL$7,$L72&gt;AL$7),((AL$7-$K72)/($L72-$K72)))</f>
        <v>#REF!</v>
      </c>
      <c r="AN72" s="201" t="e">
        <f t="array" ref="AN72">_xlfn.IFS(AND($K72&gt;AM$7,$L72&gt;AM$7),0,AND($K72&lt;=AM$7,$L72&lt;=AM$7),1,AND($K72&lt;=AM$7,$L72&gt;AM$7),((AM$7-$K72)/($L72-$K72)))</f>
        <v>#REF!</v>
      </c>
      <c r="AO72" s="201" t="e">
        <f t="array" ref="AO72">_xlfn.IFS(AND($K72&gt;AN$7,$L72&gt;AN$7),0,AND($K72&lt;=AN$7,$L72&lt;=AN$7),1,AND($K72&lt;=AN$7,$L72&gt;AN$7),((AN$7-$K72)/($L72-$K72)))</f>
        <v>#REF!</v>
      </c>
      <c r="AP72" s="201" t="e">
        <f t="array" ref="AP72">_xlfn.IFS(AND($K72&gt;AO$7,$L72&gt;AO$7),0,AND($K72&lt;=AO$7,$L72&lt;=AO$7),1,AND($K72&lt;=AO$7,$L72&gt;AO$7),((AO$7-$K72)/($L72-$K72)))</f>
        <v>#REF!</v>
      </c>
      <c r="AQ72" s="201" t="e">
        <f t="array" ref="AQ72">_xlfn.IFS(AND($K72&gt;AP$7,$L72&gt;AP$7),0,AND($K72&lt;=AP$7,$L72&lt;=AP$7),1,AND($K72&lt;=AP$7,$L72&gt;AP$7),((AP$7-$K72)/($L72-$K72)))</f>
        <v>#REF!</v>
      </c>
      <c r="AR72" s="201" t="e">
        <f t="array" ref="AR72">_xlfn.IFS(AND($K72&gt;AQ$7,$L72&gt;AQ$7),0,AND($K72&lt;=AQ$7,$L72&lt;=AQ$7),1,AND($K72&lt;=AQ$7,$L72&gt;AQ$7),((AQ$7-$K72)/($L72-$K72)))</f>
        <v>#REF!</v>
      </c>
      <c r="AS72" s="201" t="e">
        <f t="array" ref="AS72">_xlfn.IFS(AND($K72&gt;AR$7,$L72&gt;AR$7),0,AND($K72&lt;=AR$7,$L72&lt;=AR$7),1,AND($K72&lt;=AR$7,$L72&gt;AR$7),((AR$7-$K72)/($L72-$K72)))</f>
        <v>#REF!</v>
      </c>
      <c r="AT72" s="201" t="e">
        <f t="array" ref="AT72">_xlfn.IFS(AND($K72&gt;AS$7,$L72&gt;AS$7),0,AND($K72&lt;=AS$7,$L72&lt;=AS$7),1,AND($K72&lt;=AS$7,$L72&gt;AS$7),((AS$7-$K72)/($L72-$K72)))</f>
        <v>#REF!</v>
      </c>
      <c r="AU72" s="201" t="e">
        <f t="array" ref="AU72">_xlfn.IFS(AND($K72&gt;AT$7,$L72&gt;AT$7),0,AND($K72&lt;=AT$7,$L72&lt;=AT$7),1,AND($K72&lt;=AT$7,$L72&gt;AT$7),((AT$7-$K72)/($L72-$K72)))</f>
        <v>#REF!</v>
      </c>
      <c r="AV72" s="201" t="e">
        <f t="array" ref="AV72">_xlfn.IFS(AND($K72&gt;AU$7,$L72&gt;AU$7),0,AND($K72&lt;=AU$7,$L72&lt;=AU$7),1,AND($K72&lt;=AU$7,$L72&gt;AU$7),((AU$7-$K72)/($L72-$K72)))</f>
        <v>#REF!</v>
      </c>
      <c r="AW72" s="201" t="e">
        <f t="array" ref="AW72">_xlfn.IFS(AND($K72&gt;AV$7,$L72&gt;AV$7),0,AND($K72&lt;=AV$7,$L72&lt;=AV$7),1,AND($K72&lt;=AV$7,$L72&gt;AV$7),((AV$7-$K72)/($L72-$K72)))</f>
        <v>#REF!</v>
      </c>
      <c r="AX72" s="201" t="e">
        <f t="array" ref="AX72">_xlfn.IFS(AND($K72&gt;AW$7,$L72&gt;AW$7),0,AND($K72&lt;=AW$7,$L72&lt;=AW$7),1,AND($K72&lt;=AW$7,$L72&gt;AW$7),((AW$7-$K72)/($L72-$K72)))</f>
        <v>#REF!</v>
      </c>
      <c r="AY72" s="201" t="e">
        <f t="array" ref="AY72">_xlfn.IFS(AND($K72&gt;AX$7,$L72&gt;AX$7),0,AND($K72&lt;=AX$7,$L72&lt;=AX$7),1,AND($K72&lt;=AX$7,$L72&gt;AX$7),((AX$7-$K72)/($L72-$K72)))</f>
        <v>#REF!</v>
      </c>
      <c r="AZ72" s="201" t="e">
        <f t="array" ref="AZ72">_xlfn.IFS(AND($K72&gt;AY$7,$L72&gt;AY$7),0,AND($K72&lt;=AY$7,$L72&lt;=AY$7),1,AND($K72&lt;=AY$7,$L72&gt;AY$7),((AY$7-$K72)/($L72-$K72)))</f>
        <v>#REF!</v>
      </c>
      <c r="BA72" s="201" t="e">
        <f t="array" ref="BA72">_xlfn.IFS(AND($K72&gt;AZ$7,$L72&gt;AZ$7),0,AND($K72&lt;=AZ$7,$L72&lt;=AZ$7),1,AND($K72&lt;=AZ$7,$L72&gt;AZ$7),((AZ$7-$K72)/($L72-$K72)))</f>
        <v>#REF!</v>
      </c>
      <c r="BB72" s="201" t="e">
        <f t="array" ref="BB72">_xlfn.IFS(AND($K72&gt;BA$7,$L72&gt;BA$7),0,AND($K72&lt;=BA$7,$L72&lt;=BA$7),1,AND($K72&lt;=BA$7,$L72&gt;BA$7),((BA$7-$K72)/($L72-$K72)))</f>
        <v>#REF!</v>
      </c>
      <c r="BC72" s="201" t="e">
        <f t="array" ref="BC72">_xlfn.IFS(AND($K72&gt;BB$7,$L72&gt;BB$7),0,AND($K72&lt;=BB$7,$L72&lt;=BB$7),1,AND($K72&lt;=BB$7,$L72&gt;BB$7),((BB$7-$K72)/($L72-$K72)))</f>
        <v>#REF!</v>
      </c>
      <c r="BD72" s="201" t="e">
        <f t="array" ref="BD72">_xlfn.IFS(AND($K72&gt;BC$7,$L72&gt;BC$7),0,AND($K72&lt;=BC$7,$L72&lt;=BC$7),1,AND($K72&lt;=BC$7,$L72&gt;BC$7),((BC$7-$K72)/($L72-$K72)))</f>
        <v>#REF!</v>
      </c>
      <c r="BE72" s="201" t="e">
        <f t="array" ref="BE72">_xlfn.IFS(AND($K72&gt;BD$7,$L72&gt;BD$7),0,AND($K72&lt;=BD$7,$L72&lt;=BD$7),1,AND($K72&lt;=BD$7,$L72&gt;BD$7),((BD$7-$K72)/($L72-$K72)))</f>
        <v>#REF!</v>
      </c>
      <c r="BF72" s="201" t="e">
        <f t="array" ref="BF72">_xlfn.IFS(AND($K72&gt;BE$7,$L72&gt;BE$7),0,AND($K72&lt;=BE$7,$L72&lt;=BE$7),1,AND($K72&lt;=BE$7,$L72&gt;BE$7),((BE$7-$K72)/($L72-$K72)))</f>
        <v>#REF!</v>
      </c>
      <c r="BG72" s="201" t="e">
        <f t="array" ref="BG72">_xlfn.IFS(AND($K72&gt;BF$7,$L72&gt;BF$7),0,AND($K72&lt;=BF$7,$L72&lt;=BF$7),1,AND($K72&lt;=BF$7,$L72&gt;BF$7),((BF$7-$K72)/($L72-$K72)))</f>
        <v>#REF!</v>
      </c>
      <c r="BH72" s="201" t="e">
        <f t="array" ref="BH72">_xlfn.IFS(AND($K72&gt;BG$7,$L72&gt;BG$7),0,AND($K72&lt;=BG$7,$L72&lt;=BG$7),1,AND($K72&lt;=BG$7,$L72&gt;BG$7),((BG$7-$K72)/($L72-$K72)))</f>
        <v>#REF!</v>
      </c>
      <c r="BI72" s="201" t="e">
        <f t="array" ref="BI72">_xlfn.IFS(AND($K72&gt;BH$7,$L72&gt;BH$7),0,AND($K72&lt;=BH$7,$L72&lt;=BH$7),1,AND($K72&lt;=BH$7,$L72&gt;BH$7),((BH$7-$K72)/($L72-$K72)))</f>
        <v>#REF!</v>
      </c>
      <c r="BJ72" s="201" t="e">
        <f t="array" ref="BJ72">_xlfn.IFS(AND($K72&gt;BI$7,$L72&gt;BI$7),0,AND($K72&lt;=BI$7,$L72&lt;=BI$7),1,AND($K72&lt;=BI$7,$L72&gt;BI$7),((BI$7-$K72)/($L72-$K72)))</f>
        <v>#REF!</v>
      </c>
      <c r="BK72" s="201" t="e">
        <f t="array" ref="BK72">_xlfn.IFS(AND($K72&gt;BJ$7,$L72&gt;BJ$7),0,AND($K72&lt;=BJ$7,$L72&lt;=BJ$7),1,AND($K72&lt;=BJ$7,$L72&gt;BJ$7),((BJ$7-$K72)/($L72-$K72)))</f>
        <v>#REF!</v>
      </c>
      <c r="BL72" s="201" t="e">
        <f t="array" ref="BL72">_xlfn.IFS(AND($K72&gt;BK$7,$L72&gt;BK$7),0,AND($K72&lt;=BK$7,$L72&lt;=BK$7),1,AND($K72&lt;=BK$7,$L72&gt;BK$7),((BK$7-$K72)/($L72-$K72)))</f>
        <v>#REF!</v>
      </c>
      <c r="BM72" s="201" t="e">
        <f t="array" ref="BM72">_xlfn.IFS(AND($K72&gt;BL$7,$L72&gt;BL$7),0,AND($K72&lt;=BL$7,$L72&lt;=BL$7),1,AND($K72&lt;=BL$7,$L72&gt;BL$7),((BL$7-$K72)/($L72-$K72)))</f>
        <v>#REF!</v>
      </c>
      <c r="BN72" s="201" t="e">
        <f t="array" ref="BN72">_xlfn.IFS(AND($K72&gt;BM$7,$L72&gt;BM$7),0,AND($K72&lt;=BM$7,$L72&lt;=BM$7),1,AND($K72&lt;=BM$7,$L72&gt;BM$7),((BM$7-$K72)/($L72-$K72)))</f>
        <v>#REF!</v>
      </c>
    </row>
    <row r="73" spans="2:66" ht="15" customHeight="1" x14ac:dyDescent="0.3">
      <c r="B73" s="166" t="s">
        <v>161</v>
      </c>
      <c r="C73" s="166" t="s">
        <v>194</v>
      </c>
      <c r="D73" s="177"/>
      <c r="E73" s="170" t="str">
        <f t="shared" si="32"/>
        <v>Desenvolvimento da Transformação dos Processos</v>
      </c>
      <c r="F73" s="174" t="str">
        <f t="shared" si="35"/>
        <v>Diagnóstico de Maturidade do Processo</v>
      </c>
      <c r="G73" s="166" t="str">
        <f t="shared" si="38"/>
        <v>Diagnóstico de Maturidade do Processo</v>
      </c>
      <c r="H73" s="197" t="s">
        <v>195</v>
      </c>
      <c r="I73" s="166">
        <v>45985</v>
      </c>
      <c r="J73" s="166">
        <v>45989</v>
      </c>
      <c r="K73" s="166">
        <v>45985</v>
      </c>
      <c r="L73" s="166">
        <v>45989</v>
      </c>
      <c r="M73" s="167"/>
      <c r="N73" s="167" t="str">
        <f t="array" ref="N73">_xlfn.IFS(L73&lt;$M$3,"Concluído",AND(K73&gt;=$M$3,I73&lt;$M$3,L73&gt;$M$3),"Em andamento",AND(L73&gt;=$M$3,J73&lt;$M$3),"Atrasado",AND(L73&gt;=$M$3,J73&gt;=$M$3,I73&gt;$M$3,K73&lt;=$M$3),"Em andamento",AND(L73&gt;=$M$3,J73&gt;=$M$3,I73&lt;=$M$3,K73&lt;=$M$3),"Em andamento",AND(K73&gt;$M$3,I73&gt;$M$3),"Não iniciado",AND(L73&gt;=$M$3,J73&gt;=$M$3,K73&gt;=$M$3,I73&lt;$M$3),"Atrasado",AND(L73&gt;=$M$3,J73&gt;=$M$3,K73&gt;=$M$3,I73&gt;$M$3),"Não iniciado",AND($I73&lt;=$M$3,$K73&gt;$M$3),"Atrasado")</f>
        <v>Concluído</v>
      </c>
      <c r="O73" s="167">
        <f t="array" ref="O73">_xlfn.IFS(N73="Não iniciado",0,N73="Em andamento",1,N73="Concluído",2,N73="Atrasado",3)</f>
        <v>2</v>
      </c>
      <c r="P73" s="169"/>
      <c r="Q73" s="152">
        <f t="array" aca="1" ref="Q73" ca="1">_xlfn.IFS(AND($I73&lt;$N$3,$J73&lt;$N$3),1,AND($I73&lt;=$N$3,$J73&gt;=$N$3),0.5,AND($I73&gt;=$N$3,$J73&gt;=$N$3),0)</f>
        <v>1</v>
      </c>
      <c r="R73" s="152">
        <f t="array" aca="1" ref="R73" ca="1">_xlfn.IFS(AND($K73&lt;$N$3,$L73&lt;$N$3),1,AND($K73&lt;=$N$3,$L73&gt;=$N$3),0.5,AND($K73&gt;=$N$3,$L73&gt;=$N$3),0)</f>
        <v>1</v>
      </c>
      <c r="S73" s="201" t="e">
        <f t="array" ref="S73">_xlfn.IFS(AND($K73&gt;R$7,$L73&gt;R$7),0,AND($K73&lt;=R$7,$L73&lt;=R$7),1,AND($K73&lt;=R$7,$L73&gt;R$7),((R$7-$K73)/($L73-$K73)))</f>
        <v>#REF!</v>
      </c>
      <c r="T73" s="201" t="e">
        <f t="array" ref="T73">_xlfn.IFS(AND($K73&gt;S$7,$L73&gt;S$7),0,AND($K73&lt;=S$7,$L73&lt;=S$7),1,AND($K73&lt;=S$7,$L73&gt;S$7),((S$7-$K73)/($L73-$K73)))</f>
        <v>#REF!</v>
      </c>
      <c r="U73" s="201" t="e">
        <f t="array" ref="U73">_xlfn.IFS(AND($K73&gt;T$7,$L73&gt;T$7),0,AND($K73&lt;=T$7,$L73&lt;=T$7),1,AND($K73&lt;=T$7,$L73&gt;T$7),((T$7-$K73)/($L73-$K73)))</f>
        <v>#REF!</v>
      </c>
      <c r="V73" s="201" t="e">
        <f t="array" ref="V73">_xlfn.IFS(AND($K73&gt;U$7,$L73&gt;U$7),0,AND($K73&lt;=U$7,$L73&lt;=U$7),1,AND($K73&lt;=U$7,$L73&gt;U$7),((U$7-$K73)/($L73-$K73)))</f>
        <v>#REF!</v>
      </c>
      <c r="W73" s="201" t="e">
        <f t="array" ref="W73">_xlfn.IFS(AND($K73&gt;V$7,$L73&gt;V$7),0,AND($K73&lt;=V$7,$L73&lt;=V$7),1,AND($K73&lt;=V$7,$L73&gt;V$7),((V$7-$K73)/($L73-$K73)))</f>
        <v>#REF!</v>
      </c>
      <c r="X73" s="201" t="e">
        <f t="array" ref="X73">_xlfn.IFS(AND($K73&gt;W$7,$L73&gt;W$7),0,AND($K73&lt;=W$7,$L73&lt;=W$7),1,AND($K73&lt;=W$7,$L73&gt;W$7),((W$7-$K73)/($L73-$K73)))</f>
        <v>#REF!</v>
      </c>
      <c r="Y73" s="201" t="e">
        <f t="array" ref="Y73">_xlfn.IFS(AND($K73&gt;X$7,$L73&gt;X$7),0,AND($K73&lt;=X$7,$L73&lt;=X$7),1,AND($K73&lt;=X$7,$L73&gt;X$7),((X$7-$K73)/($L73-$K73)))</f>
        <v>#REF!</v>
      </c>
      <c r="Z73" s="201" t="e">
        <f t="array" ref="Z73">_xlfn.IFS(AND($K73&gt;Y$7,$L73&gt;Y$7),0,AND($K73&lt;=Y$7,$L73&lt;=Y$7),1,AND($K73&lt;=Y$7,$L73&gt;Y$7),((Y$7-$K73)/($L73-$K73)))</f>
        <v>#REF!</v>
      </c>
      <c r="AA73" s="201" t="e">
        <f t="array" ref="AA73">_xlfn.IFS(AND($K73&gt;Z$7,$L73&gt;Z$7),0,AND($K73&lt;=Z$7,$L73&lt;=Z$7),1,AND($K73&lt;=Z$7,$L73&gt;Z$7),((Z$7-$K73)/($L73-$K73)))</f>
        <v>#REF!</v>
      </c>
      <c r="AB73" s="201" t="e">
        <f t="array" ref="AB73">_xlfn.IFS(AND($K73&gt;AA$7,$L73&gt;AA$7),0,AND($K73&lt;=AA$7,$L73&lt;=AA$7),1,AND($K73&lt;=AA$7,$L73&gt;AA$7),((AA$7-$K73)/($L73-$K73)))</f>
        <v>#REF!</v>
      </c>
      <c r="AC73" s="201" t="e">
        <f t="array" ref="AC73">_xlfn.IFS(AND($K73&gt;AB$7,$L73&gt;AB$7),0,AND($K73&lt;=AB$7,$L73&lt;=AB$7),1,AND($K73&lt;=AB$7,$L73&gt;AB$7),((AB$7-$K73)/($L73-$K73)))</f>
        <v>#REF!</v>
      </c>
      <c r="AD73" s="201" t="e">
        <f t="array" ref="AD73">_xlfn.IFS(AND($K73&gt;AC$7,$L73&gt;AC$7),0,AND($K73&lt;=AC$7,$L73&lt;=AC$7),1,AND($K73&lt;=AC$7,$L73&gt;AC$7),((AC$7-$K73)/($L73-$K73)))</f>
        <v>#REF!</v>
      </c>
      <c r="AE73" s="201" t="e">
        <f t="array" ref="AE73">_xlfn.IFS(AND($K73&gt;AD$7,$L73&gt;AD$7),0,AND($K73&lt;=AD$7,$L73&lt;=AD$7),1,AND($K73&lt;=AD$7,$L73&gt;AD$7),((AD$7-$K73)/($L73-$K73)))</f>
        <v>#REF!</v>
      </c>
      <c r="AF73" s="201" t="e">
        <f t="array" ref="AF73">_xlfn.IFS(AND($K73&gt;AE$7,$L73&gt;AE$7),0,AND($K73&lt;=AE$7,$L73&lt;=AE$7),1,AND($K73&lt;=AE$7,$L73&gt;AE$7),((AE$7-$K73)/($L73-$K73)))</f>
        <v>#REF!</v>
      </c>
      <c r="AG73" s="201" t="e">
        <f t="array" ref="AG73">_xlfn.IFS(AND($K73&gt;AF$7,$L73&gt;AF$7),0,AND($K73&lt;=AF$7,$L73&lt;=AF$7),1,AND($K73&lt;=AF$7,$L73&gt;AF$7),((AF$7-$K73)/($L73-$K73)))</f>
        <v>#REF!</v>
      </c>
      <c r="AH73" s="201" t="e">
        <f t="array" ref="AH73">_xlfn.IFS(AND($K73&gt;AG$7,$L73&gt;AG$7),0,AND($K73&lt;=AG$7,$L73&lt;=AG$7),1,AND($K73&lt;=AG$7,$L73&gt;AG$7),((AG$7-$K73)/($L73-$K73)))</f>
        <v>#REF!</v>
      </c>
      <c r="AI73" s="201" t="e">
        <f t="array" ref="AI73">_xlfn.IFS(AND($K73&gt;AH$7,$L73&gt;AH$7),0,AND($K73&lt;=AH$7,$L73&lt;=AH$7),1,AND($K73&lt;=AH$7,$L73&gt;AH$7),((AH$7-$K73)/($L73-$K73)))</f>
        <v>#REF!</v>
      </c>
      <c r="AJ73" s="201" t="e">
        <f t="array" ref="AJ73">_xlfn.IFS(AND($K73&gt;AI$7,$L73&gt;AI$7),0,AND($K73&lt;=AI$7,$L73&lt;=AI$7),1,AND($K73&lt;=AI$7,$L73&gt;AI$7),((AI$7-$K73)/($L73-$K73)))</f>
        <v>#REF!</v>
      </c>
      <c r="AK73" s="201" t="e">
        <f t="array" ref="AK73">_xlfn.IFS(AND($K73&gt;AJ$7,$L73&gt;AJ$7),0,AND($K73&lt;=AJ$7,$L73&lt;=AJ$7),1,AND($K73&lt;=AJ$7,$L73&gt;AJ$7),((AJ$7-$K73)/($L73-$K73)))</f>
        <v>#REF!</v>
      </c>
      <c r="AL73" s="201" t="e">
        <f t="array" ref="AL73">_xlfn.IFS(AND($K73&gt;AK$7,$L73&gt;AK$7),0,AND($K73&lt;=AK$7,$L73&lt;=AK$7),1,AND($K73&lt;=AK$7,$L73&gt;AK$7),((AK$7-$K73)/($L73-$K73)))</f>
        <v>#REF!</v>
      </c>
      <c r="AM73" s="201" t="e">
        <f t="array" ref="AM73">_xlfn.IFS(AND($K73&gt;AL$7,$L73&gt;AL$7),0,AND($K73&lt;=AL$7,$L73&lt;=AL$7),1,AND($K73&lt;=AL$7,$L73&gt;AL$7),((AL$7-$K73)/($L73-$K73)))</f>
        <v>#REF!</v>
      </c>
      <c r="AN73" s="201" t="e">
        <f t="array" ref="AN73">_xlfn.IFS(AND($K73&gt;AM$7,$L73&gt;AM$7),0,AND($K73&lt;=AM$7,$L73&lt;=AM$7),1,AND($K73&lt;=AM$7,$L73&gt;AM$7),((AM$7-$K73)/($L73-$K73)))</f>
        <v>#REF!</v>
      </c>
      <c r="AO73" s="201" t="e">
        <f t="array" ref="AO73">_xlfn.IFS(AND($K73&gt;AN$7,$L73&gt;AN$7),0,AND($K73&lt;=AN$7,$L73&lt;=AN$7),1,AND($K73&lt;=AN$7,$L73&gt;AN$7),((AN$7-$K73)/($L73-$K73)))</f>
        <v>#REF!</v>
      </c>
      <c r="AP73" s="201" t="e">
        <f t="array" ref="AP73">_xlfn.IFS(AND($K73&gt;AO$7,$L73&gt;AO$7),0,AND($K73&lt;=AO$7,$L73&lt;=AO$7),1,AND($K73&lt;=AO$7,$L73&gt;AO$7),((AO$7-$K73)/($L73-$K73)))</f>
        <v>#REF!</v>
      </c>
      <c r="AQ73" s="201" t="e">
        <f t="array" ref="AQ73">_xlfn.IFS(AND($K73&gt;AP$7,$L73&gt;AP$7),0,AND($K73&lt;=AP$7,$L73&lt;=AP$7),1,AND($K73&lt;=AP$7,$L73&gt;AP$7),((AP$7-$K73)/($L73-$K73)))</f>
        <v>#REF!</v>
      </c>
      <c r="AR73" s="201" t="e">
        <f t="array" ref="AR73">_xlfn.IFS(AND($K73&gt;AQ$7,$L73&gt;AQ$7),0,AND($K73&lt;=AQ$7,$L73&lt;=AQ$7),1,AND($K73&lt;=AQ$7,$L73&gt;AQ$7),((AQ$7-$K73)/($L73-$K73)))</f>
        <v>#REF!</v>
      </c>
      <c r="AS73" s="201" t="e">
        <f t="array" ref="AS73">_xlfn.IFS(AND($K73&gt;AR$7,$L73&gt;AR$7),0,AND($K73&lt;=AR$7,$L73&lt;=AR$7),1,AND($K73&lt;=AR$7,$L73&gt;AR$7),((AR$7-$K73)/($L73-$K73)))</f>
        <v>#REF!</v>
      </c>
      <c r="AT73" s="201" t="e">
        <f t="array" ref="AT73">_xlfn.IFS(AND($K73&gt;AS$7,$L73&gt;AS$7),0,AND($K73&lt;=AS$7,$L73&lt;=AS$7),1,AND($K73&lt;=AS$7,$L73&gt;AS$7),((AS$7-$K73)/($L73-$K73)))</f>
        <v>#REF!</v>
      </c>
      <c r="AU73" s="201" t="e">
        <f t="array" ref="AU73">_xlfn.IFS(AND($K73&gt;AT$7,$L73&gt;AT$7),0,AND($K73&lt;=AT$7,$L73&lt;=AT$7),1,AND($K73&lt;=AT$7,$L73&gt;AT$7),((AT$7-$K73)/($L73-$K73)))</f>
        <v>#REF!</v>
      </c>
      <c r="AV73" s="201" t="e">
        <f t="array" ref="AV73">_xlfn.IFS(AND($K73&gt;AU$7,$L73&gt;AU$7),0,AND($K73&lt;=AU$7,$L73&lt;=AU$7),1,AND($K73&lt;=AU$7,$L73&gt;AU$7),((AU$7-$K73)/($L73-$K73)))</f>
        <v>#REF!</v>
      </c>
      <c r="AW73" s="201" t="e">
        <f t="array" ref="AW73">_xlfn.IFS(AND($K73&gt;AV$7,$L73&gt;AV$7),0,AND($K73&lt;=AV$7,$L73&lt;=AV$7),1,AND($K73&lt;=AV$7,$L73&gt;AV$7),((AV$7-$K73)/($L73-$K73)))</f>
        <v>#REF!</v>
      </c>
      <c r="AX73" s="201" t="e">
        <f t="array" ref="AX73">_xlfn.IFS(AND($K73&gt;AW$7,$L73&gt;AW$7),0,AND($K73&lt;=AW$7,$L73&lt;=AW$7),1,AND($K73&lt;=AW$7,$L73&gt;AW$7),((AW$7-$K73)/($L73-$K73)))</f>
        <v>#REF!</v>
      </c>
      <c r="AY73" s="201" t="e">
        <f t="array" ref="AY73">_xlfn.IFS(AND($K73&gt;AX$7,$L73&gt;AX$7),0,AND($K73&lt;=AX$7,$L73&lt;=AX$7),1,AND($K73&lt;=AX$7,$L73&gt;AX$7),((AX$7-$K73)/($L73-$K73)))</f>
        <v>#REF!</v>
      </c>
      <c r="AZ73" s="201" t="e">
        <f t="array" ref="AZ73">_xlfn.IFS(AND($K73&gt;AY$7,$L73&gt;AY$7),0,AND($K73&lt;=AY$7,$L73&lt;=AY$7),1,AND($K73&lt;=AY$7,$L73&gt;AY$7),((AY$7-$K73)/($L73-$K73)))</f>
        <v>#REF!</v>
      </c>
      <c r="BA73" s="201" t="e">
        <f t="array" ref="BA73">_xlfn.IFS(AND($K73&gt;AZ$7,$L73&gt;AZ$7),0,AND($K73&lt;=AZ$7,$L73&lt;=AZ$7),1,AND($K73&lt;=AZ$7,$L73&gt;AZ$7),((AZ$7-$K73)/($L73-$K73)))</f>
        <v>#REF!</v>
      </c>
      <c r="BB73" s="201" t="e">
        <f t="array" ref="BB73">_xlfn.IFS(AND($K73&gt;BA$7,$L73&gt;BA$7),0,AND($K73&lt;=BA$7,$L73&lt;=BA$7),1,AND($K73&lt;=BA$7,$L73&gt;BA$7),((BA$7-$K73)/($L73-$K73)))</f>
        <v>#REF!</v>
      </c>
      <c r="BC73" s="201" t="e">
        <f t="array" ref="BC73">_xlfn.IFS(AND($K73&gt;BB$7,$L73&gt;BB$7),0,AND($K73&lt;=BB$7,$L73&lt;=BB$7),1,AND($K73&lt;=BB$7,$L73&gt;BB$7),((BB$7-$K73)/($L73-$K73)))</f>
        <v>#REF!</v>
      </c>
      <c r="BD73" s="201" t="e">
        <f t="array" ref="BD73">_xlfn.IFS(AND($K73&gt;BC$7,$L73&gt;BC$7),0,AND($K73&lt;=BC$7,$L73&lt;=BC$7),1,AND($K73&lt;=BC$7,$L73&gt;BC$7),((BC$7-$K73)/($L73-$K73)))</f>
        <v>#REF!</v>
      </c>
      <c r="BE73" s="201" t="e">
        <f t="array" ref="BE73">_xlfn.IFS(AND($K73&gt;BD$7,$L73&gt;BD$7),0,AND($K73&lt;=BD$7,$L73&lt;=BD$7),1,AND($K73&lt;=BD$7,$L73&gt;BD$7),((BD$7-$K73)/($L73-$K73)))</f>
        <v>#REF!</v>
      </c>
      <c r="BF73" s="201" t="e">
        <f t="array" ref="BF73">_xlfn.IFS(AND($K73&gt;BE$7,$L73&gt;BE$7),0,AND($K73&lt;=BE$7,$L73&lt;=BE$7),1,AND($K73&lt;=BE$7,$L73&gt;BE$7),((BE$7-$K73)/($L73-$K73)))</f>
        <v>#REF!</v>
      </c>
      <c r="BG73" s="201" t="e">
        <f t="array" ref="BG73">_xlfn.IFS(AND($K73&gt;BF$7,$L73&gt;BF$7),0,AND($K73&lt;=BF$7,$L73&lt;=BF$7),1,AND($K73&lt;=BF$7,$L73&gt;BF$7),((BF$7-$K73)/($L73-$K73)))</f>
        <v>#REF!</v>
      </c>
      <c r="BH73" s="201" t="e">
        <f t="array" ref="BH73">_xlfn.IFS(AND($K73&gt;BG$7,$L73&gt;BG$7),0,AND($K73&lt;=BG$7,$L73&lt;=BG$7),1,AND($K73&lt;=BG$7,$L73&gt;BG$7),((BG$7-$K73)/($L73-$K73)))</f>
        <v>#REF!</v>
      </c>
      <c r="BI73" s="201" t="e">
        <f t="array" ref="BI73">_xlfn.IFS(AND($K73&gt;BH$7,$L73&gt;BH$7),0,AND($K73&lt;=BH$7,$L73&lt;=BH$7),1,AND($K73&lt;=BH$7,$L73&gt;BH$7),((BH$7-$K73)/($L73-$K73)))</f>
        <v>#REF!</v>
      </c>
      <c r="BJ73" s="201" t="e">
        <f t="array" ref="BJ73">_xlfn.IFS(AND($K73&gt;BI$7,$L73&gt;BI$7),0,AND($K73&lt;=BI$7,$L73&lt;=BI$7),1,AND($K73&lt;=BI$7,$L73&gt;BI$7),((BI$7-$K73)/($L73-$K73)))</f>
        <v>#REF!</v>
      </c>
      <c r="BK73" s="201" t="e">
        <f t="array" ref="BK73">_xlfn.IFS(AND($K73&gt;BJ$7,$L73&gt;BJ$7),0,AND($K73&lt;=BJ$7,$L73&lt;=BJ$7),1,AND($K73&lt;=BJ$7,$L73&gt;BJ$7),((BJ$7-$K73)/($L73-$K73)))</f>
        <v>#REF!</v>
      </c>
      <c r="BL73" s="201" t="e">
        <f t="array" ref="BL73">_xlfn.IFS(AND($K73&gt;BK$7,$L73&gt;BK$7),0,AND($K73&lt;=BK$7,$L73&lt;=BK$7),1,AND($K73&lt;=BK$7,$L73&gt;BK$7),((BK$7-$K73)/($L73-$K73)))</f>
        <v>#REF!</v>
      </c>
      <c r="BM73" s="201" t="e">
        <f t="array" ref="BM73">_xlfn.IFS(AND($K73&gt;BL$7,$L73&gt;BL$7),0,AND($K73&lt;=BL$7,$L73&lt;=BL$7),1,AND($K73&lt;=BL$7,$L73&gt;BL$7),((BL$7-$K73)/($L73-$K73)))</f>
        <v>#REF!</v>
      </c>
      <c r="BN73" s="201" t="e">
        <f t="array" ref="BN73">_xlfn.IFS(AND($K73&gt;BM$7,$L73&gt;BM$7),0,AND($K73&lt;=BM$7,$L73&lt;=BM$7),1,AND($K73&lt;=BM$7,$L73&gt;BM$7),((BM$7-$K73)/($L73-$K73)))</f>
        <v>#REF!</v>
      </c>
    </row>
    <row r="74" spans="2:66" ht="15" customHeight="1" collapsed="1" x14ac:dyDescent="0.3">
      <c r="B74" s="166" t="s">
        <v>161</v>
      </c>
      <c r="C74" s="166" t="s">
        <v>196</v>
      </c>
      <c r="D74" s="177"/>
      <c r="E74" s="170" t="str">
        <f t="shared" si="32"/>
        <v>Desenvolvimento da Transformação dos Processos</v>
      </c>
      <c r="F74" s="174" t="str">
        <f t="shared" si="35"/>
        <v>Diagnóstico de Maturidade do Processo</v>
      </c>
      <c r="G74" s="166" t="str">
        <f t="shared" si="38"/>
        <v>Diagnóstico de Maturidade do Processo</v>
      </c>
      <c r="H74" s="197" t="s">
        <v>197</v>
      </c>
      <c r="I74" s="166">
        <v>45985</v>
      </c>
      <c r="J74" s="166">
        <v>45989</v>
      </c>
      <c r="K74" s="166">
        <v>45985</v>
      </c>
      <c r="L74" s="166">
        <v>45989</v>
      </c>
      <c r="M74" s="167"/>
      <c r="N74" s="167" t="str">
        <f t="array" ref="N74">_xlfn.IFS(L74&lt;$M$3,"Concluído",AND(K74&gt;=$M$3,I74&lt;$M$3,L74&gt;$M$3),"Em andamento",AND(L74&gt;=$M$3,J74&lt;$M$3),"Atrasado",AND(L74&gt;=$M$3,J74&gt;=$M$3,I74&gt;$M$3,K74&lt;=$M$3),"Em andamento",AND(L74&gt;=$M$3,J74&gt;=$M$3,I74&lt;=$M$3,K74&lt;=$M$3),"Em andamento",AND(K74&gt;$M$3,I74&gt;$M$3),"Não iniciado",AND(L74&gt;=$M$3,J74&gt;=$M$3,K74&gt;=$M$3,I74&lt;$M$3),"Atrasado",AND(L74&gt;=$M$3,J74&gt;=$M$3,K74&gt;=$M$3,I74&gt;$M$3),"Não iniciado",AND($I74&lt;=$M$3,$K74&gt;$M$3),"Atrasado")</f>
        <v>Concluído</v>
      </c>
      <c r="O74" s="167">
        <f t="array" ref="O74">_xlfn.IFS(N74="Não iniciado",0,N74="Em andamento",1,N74="Concluído",2,N74="Atrasado",3)</f>
        <v>2</v>
      </c>
      <c r="P74" s="169"/>
      <c r="Q74" s="152">
        <f t="array" aca="1" ref="Q74" ca="1">_xlfn.IFS(AND($I74&lt;$N$3,$J74&lt;$N$3),1,AND($I74&lt;=$N$3,$J74&gt;=$N$3),0.5,AND($I74&gt;=$N$3,$J74&gt;=$N$3),0)</f>
        <v>1</v>
      </c>
      <c r="R74" s="152">
        <f t="array" aca="1" ref="R74" ca="1">_xlfn.IFS(AND($K74&lt;$N$3,$L74&lt;$N$3),1,AND($K74&lt;=$N$3,$L74&gt;=$N$3),0.5,AND($K74&gt;=$N$3,$L74&gt;=$N$3),0)</f>
        <v>1</v>
      </c>
      <c r="S74" s="201" t="e">
        <f t="array" ref="S74">_xlfn.IFS(AND($K74&gt;R$7,$L74&gt;R$7),0,AND($K74&lt;=R$7,$L74&lt;=R$7),1,AND($K74&lt;=R$7,$L74&gt;R$7),((R$7-$K74)/($L74-$K74)))</f>
        <v>#REF!</v>
      </c>
      <c r="T74" s="201" t="e">
        <f t="array" ref="T74">_xlfn.IFS(AND($K74&gt;S$7,$L74&gt;S$7),0,AND($K74&lt;=S$7,$L74&lt;=S$7),1,AND($K74&lt;=S$7,$L74&gt;S$7),((S$7-$K74)/($L74-$K74)))</f>
        <v>#REF!</v>
      </c>
      <c r="U74" s="201" t="e">
        <f t="array" ref="U74">_xlfn.IFS(AND($K74&gt;T$7,$L74&gt;T$7),0,AND($K74&lt;=T$7,$L74&lt;=T$7),1,AND($K74&lt;=T$7,$L74&gt;T$7),((T$7-$K74)/($L74-$K74)))</f>
        <v>#REF!</v>
      </c>
      <c r="V74" s="201" t="e">
        <f t="array" ref="V74">_xlfn.IFS(AND($K74&gt;U$7,$L74&gt;U$7),0,AND($K74&lt;=U$7,$L74&lt;=U$7),1,AND($K74&lt;=U$7,$L74&gt;U$7),((U$7-$K74)/($L74-$K74)))</f>
        <v>#REF!</v>
      </c>
      <c r="W74" s="201" t="e">
        <f t="array" ref="W74">_xlfn.IFS(AND($K74&gt;V$7,$L74&gt;V$7),0,AND($K74&lt;=V$7,$L74&lt;=V$7),1,AND($K74&lt;=V$7,$L74&gt;V$7),((V$7-$K74)/($L74-$K74)))</f>
        <v>#REF!</v>
      </c>
      <c r="X74" s="201" t="e">
        <f t="array" ref="X74">_xlfn.IFS(AND($K74&gt;W$7,$L74&gt;W$7),0,AND($K74&lt;=W$7,$L74&lt;=W$7),1,AND($K74&lt;=W$7,$L74&gt;W$7),((W$7-$K74)/($L74-$K74)))</f>
        <v>#REF!</v>
      </c>
      <c r="Y74" s="201" t="e">
        <f t="array" ref="Y74">_xlfn.IFS(AND($K74&gt;X$7,$L74&gt;X$7),0,AND($K74&lt;=X$7,$L74&lt;=X$7),1,AND($K74&lt;=X$7,$L74&gt;X$7),((X$7-$K74)/($L74-$K74)))</f>
        <v>#REF!</v>
      </c>
      <c r="Z74" s="201" t="e">
        <f t="array" ref="Z74">_xlfn.IFS(AND($K74&gt;Y$7,$L74&gt;Y$7),0,AND($K74&lt;=Y$7,$L74&lt;=Y$7),1,AND($K74&lt;=Y$7,$L74&gt;Y$7),((Y$7-$K74)/($L74-$K74)))</f>
        <v>#REF!</v>
      </c>
      <c r="AA74" s="201" t="e">
        <f t="array" ref="AA74">_xlfn.IFS(AND($K74&gt;Z$7,$L74&gt;Z$7),0,AND($K74&lt;=Z$7,$L74&lt;=Z$7),1,AND($K74&lt;=Z$7,$L74&gt;Z$7),((Z$7-$K74)/($L74-$K74)))</f>
        <v>#REF!</v>
      </c>
      <c r="AB74" s="201" t="e">
        <f t="array" ref="AB74">_xlfn.IFS(AND($K74&gt;AA$7,$L74&gt;AA$7),0,AND($K74&lt;=AA$7,$L74&lt;=AA$7),1,AND($K74&lt;=AA$7,$L74&gt;AA$7),((AA$7-$K74)/($L74-$K74)))</f>
        <v>#REF!</v>
      </c>
      <c r="AC74" s="201" t="e">
        <f t="array" ref="AC74">_xlfn.IFS(AND($K74&gt;AB$7,$L74&gt;AB$7),0,AND($K74&lt;=AB$7,$L74&lt;=AB$7),1,AND($K74&lt;=AB$7,$L74&gt;AB$7),((AB$7-$K74)/($L74-$K74)))</f>
        <v>#REF!</v>
      </c>
      <c r="AD74" s="201" t="e">
        <f t="array" ref="AD74">_xlfn.IFS(AND($K74&gt;AC$7,$L74&gt;AC$7),0,AND($K74&lt;=AC$7,$L74&lt;=AC$7),1,AND($K74&lt;=AC$7,$L74&gt;AC$7),((AC$7-$K74)/($L74-$K74)))</f>
        <v>#REF!</v>
      </c>
      <c r="AE74" s="201" t="e">
        <f t="array" ref="AE74">_xlfn.IFS(AND($K74&gt;AD$7,$L74&gt;AD$7),0,AND($K74&lt;=AD$7,$L74&lt;=AD$7),1,AND($K74&lt;=AD$7,$L74&gt;AD$7),((AD$7-$K74)/($L74-$K74)))</f>
        <v>#REF!</v>
      </c>
      <c r="AF74" s="201" t="e">
        <f t="array" ref="AF74">_xlfn.IFS(AND($K74&gt;AE$7,$L74&gt;AE$7),0,AND($K74&lt;=AE$7,$L74&lt;=AE$7),1,AND($K74&lt;=AE$7,$L74&gt;AE$7),((AE$7-$K74)/($L74-$K74)))</f>
        <v>#REF!</v>
      </c>
      <c r="AG74" s="201" t="e">
        <f t="array" ref="AG74">_xlfn.IFS(AND($K74&gt;AF$7,$L74&gt;AF$7),0,AND($K74&lt;=AF$7,$L74&lt;=AF$7),1,AND($K74&lt;=AF$7,$L74&gt;AF$7),((AF$7-$K74)/($L74-$K74)))</f>
        <v>#REF!</v>
      </c>
      <c r="AH74" s="201" t="e">
        <f t="array" ref="AH74">_xlfn.IFS(AND($K74&gt;AG$7,$L74&gt;AG$7),0,AND($K74&lt;=AG$7,$L74&lt;=AG$7),1,AND($K74&lt;=AG$7,$L74&gt;AG$7),((AG$7-$K74)/($L74-$K74)))</f>
        <v>#REF!</v>
      </c>
      <c r="AI74" s="201" t="e">
        <f t="array" ref="AI74">_xlfn.IFS(AND($K74&gt;AH$7,$L74&gt;AH$7),0,AND($K74&lt;=AH$7,$L74&lt;=AH$7),1,AND($K74&lt;=AH$7,$L74&gt;AH$7),((AH$7-$K74)/($L74-$K74)))</f>
        <v>#REF!</v>
      </c>
      <c r="AJ74" s="201" t="e">
        <f t="array" ref="AJ74">_xlfn.IFS(AND($K74&gt;AI$7,$L74&gt;AI$7),0,AND($K74&lt;=AI$7,$L74&lt;=AI$7),1,AND($K74&lt;=AI$7,$L74&gt;AI$7),((AI$7-$K74)/($L74-$K74)))</f>
        <v>#REF!</v>
      </c>
      <c r="AK74" s="201" t="e">
        <f t="array" ref="AK74">_xlfn.IFS(AND($K74&gt;AJ$7,$L74&gt;AJ$7),0,AND($K74&lt;=AJ$7,$L74&lt;=AJ$7),1,AND($K74&lt;=AJ$7,$L74&gt;AJ$7),((AJ$7-$K74)/($L74-$K74)))</f>
        <v>#REF!</v>
      </c>
      <c r="AL74" s="201" t="e">
        <f t="array" ref="AL74">_xlfn.IFS(AND($K74&gt;AK$7,$L74&gt;AK$7),0,AND($K74&lt;=AK$7,$L74&lt;=AK$7),1,AND($K74&lt;=AK$7,$L74&gt;AK$7),((AK$7-$K74)/($L74-$K74)))</f>
        <v>#REF!</v>
      </c>
      <c r="AM74" s="201" t="e">
        <f t="array" ref="AM74">_xlfn.IFS(AND($K74&gt;AL$7,$L74&gt;AL$7),0,AND($K74&lt;=AL$7,$L74&lt;=AL$7),1,AND($K74&lt;=AL$7,$L74&gt;AL$7),((AL$7-$K74)/($L74-$K74)))</f>
        <v>#REF!</v>
      </c>
      <c r="AN74" s="201" t="e">
        <f t="array" ref="AN74">_xlfn.IFS(AND($K74&gt;AM$7,$L74&gt;AM$7),0,AND($K74&lt;=AM$7,$L74&lt;=AM$7),1,AND($K74&lt;=AM$7,$L74&gt;AM$7),((AM$7-$K74)/($L74-$K74)))</f>
        <v>#REF!</v>
      </c>
      <c r="AO74" s="201" t="e">
        <f t="array" ref="AO74">_xlfn.IFS(AND($K74&gt;AN$7,$L74&gt;AN$7),0,AND($K74&lt;=AN$7,$L74&lt;=AN$7),1,AND($K74&lt;=AN$7,$L74&gt;AN$7),((AN$7-$K74)/($L74-$K74)))</f>
        <v>#REF!</v>
      </c>
      <c r="AP74" s="201" t="e">
        <f t="array" ref="AP74">_xlfn.IFS(AND($K74&gt;AO$7,$L74&gt;AO$7),0,AND($K74&lt;=AO$7,$L74&lt;=AO$7),1,AND($K74&lt;=AO$7,$L74&gt;AO$7),((AO$7-$K74)/($L74-$K74)))</f>
        <v>#REF!</v>
      </c>
      <c r="AQ74" s="201" t="e">
        <f t="array" ref="AQ74">_xlfn.IFS(AND($K74&gt;AP$7,$L74&gt;AP$7),0,AND($K74&lt;=AP$7,$L74&lt;=AP$7),1,AND($K74&lt;=AP$7,$L74&gt;AP$7),((AP$7-$K74)/($L74-$K74)))</f>
        <v>#REF!</v>
      </c>
      <c r="AR74" s="201" t="e">
        <f t="array" ref="AR74">_xlfn.IFS(AND($K74&gt;AQ$7,$L74&gt;AQ$7),0,AND($K74&lt;=AQ$7,$L74&lt;=AQ$7),1,AND($K74&lt;=AQ$7,$L74&gt;AQ$7),((AQ$7-$K74)/($L74-$K74)))</f>
        <v>#REF!</v>
      </c>
      <c r="AS74" s="201" t="e">
        <f t="array" ref="AS74">_xlfn.IFS(AND($K74&gt;AR$7,$L74&gt;AR$7),0,AND($K74&lt;=AR$7,$L74&lt;=AR$7),1,AND($K74&lt;=AR$7,$L74&gt;AR$7),((AR$7-$K74)/($L74-$K74)))</f>
        <v>#REF!</v>
      </c>
      <c r="AT74" s="201" t="e">
        <f t="array" ref="AT74">_xlfn.IFS(AND($K74&gt;AS$7,$L74&gt;AS$7),0,AND($K74&lt;=AS$7,$L74&lt;=AS$7),1,AND($K74&lt;=AS$7,$L74&gt;AS$7),((AS$7-$K74)/($L74-$K74)))</f>
        <v>#REF!</v>
      </c>
      <c r="AU74" s="201" t="e">
        <f t="array" ref="AU74">_xlfn.IFS(AND($K74&gt;AT$7,$L74&gt;AT$7),0,AND($K74&lt;=AT$7,$L74&lt;=AT$7),1,AND($K74&lt;=AT$7,$L74&gt;AT$7),((AT$7-$K74)/($L74-$K74)))</f>
        <v>#REF!</v>
      </c>
      <c r="AV74" s="201" t="e">
        <f t="array" ref="AV74">_xlfn.IFS(AND($K74&gt;AU$7,$L74&gt;AU$7),0,AND($K74&lt;=AU$7,$L74&lt;=AU$7),1,AND($K74&lt;=AU$7,$L74&gt;AU$7),((AU$7-$K74)/($L74-$K74)))</f>
        <v>#REF!</v>
      </c>
      <c r="AW74" s="201" t="e">
        <f t="array" ref="AW74">_xlfn.IFS(AND($K74&gt;AV$7,$L74&gt;AV$7),0,AND($K74&lt;=AV$7,$L74&lt;=AV$7),1,AND($K74&lt;=AV$7,$L74&gt;AV$7),((AV$7-$K74)/($L74-$K74)))</f>
        <v>#REF!</v>
      </c>
      <c r="AX74" s="201" t="e">
        <f t="array" ref="AX74">_xlfn.IFS(AND($K74&gt;AW$7,$L74&gt;AW$7),0,AND($K74&lt;=AW$7,$L74&lt;=AW$7),1,AND($K74&lt;=AW$7,$L74&gt;AW$7),((AW$7-$K74)/($L74-$K74)))</f>
        <v>#REF!</v>
      </c>
      <c r="AY74" s="201" t="e">
        <f t="array" ref="AY74">_xlfn.IFS(AND($K74&gt;AX$7,$L74&gt;AX$7),0,AND($K74&lt;=AX$7,$L74&lt;=AX$7),1,AND($K74&lt;=AX$7,$L74&gt;AX$7),((AX$7-$K74)/($L74-$K74)))</f>
        <v>#REF!</v>
      </c>
      <c r="AZ74" s="201" t="e">
        <f t="array" ref="AZ74">_xlfn.IFS(AND($K74&gt;AY$7,$L74&gt;AY$7),0,AND($K74&lt;=AY$7,$L74&lt;=AY$7),1,AND($K74&lt;=AY$7,$L74&gt;AY$7),((AY$7-$K74)/($L74-$K74)))</f>
        <v>#REF!</v>
      </c>
      <c r="BA74" s="201" t="e">
        <f t="array" ref="BA74">_xlfn.IFS(AND($K74&gt;AZ$7,$L74&gt;AZ$7),0,AND($K74&lt;=AZ$7,$L74&lt;=AZ$7),1,AND($K74&lt;=AZ$7,$L74&gt;AZ$7),((AZ$7-$K74)/($L74-$K74)))</f>
        <v>#REF!</v>
      </c>
      <c r="BB74" s="201" t="e">
        <f t="array" ref="BB74">_xlfn.IFS(AND($K74&gt;BA$7,$L74&gt;BA$7),0,AND($K74&lt;=BA$7,$L74&lt;=BA$7),1,AND($K74&lt;=BA$7,$L74&gt;BA$7),((BA$7-$K74)/($L74-$K74)))</f>
        <v>#REF!</v>
      </c>
      <c r="BC74" s="201" t="e">
        <f t="array" ref="BC74">_xlfn.IFS(AND($K74&gt;BB$7,$L74&gt;BB$7),0,AND($K74&lt;=BB$7,$L74&lt;=BB$7),1,AND($K74&lt;=BB$7,$L74&gt;BB$7),((BB$7-$K74)/($L74-$K74)))</f>
        <v>#REF!</v>
      </c>
      <c r="BD74" s="201" t="e">
        <f t="array" ref="BD74">_xlfn.IFS(AND($K74&gt;BC$7,$L74&gt;BC$7),0,AND($K74&lt;=BC$7,$L74&lt;=BC$7),1,AND($K74&lt;=BC$7,$L74&gt;BC$7),((BC$7-$K74)/($L74-$K74)))</f>
        <v>#REF!</v>
      </c>
      <c r="BE74" s="201" t="e">
        <f t="array" ref="BE74">_xlfn.IFS(AND($K74&gt;BD$7,$L74&gt;BD$7),0,AND($K74&lt;=BD$7,$L74&lt;=BD$7),1,AND($K74&lt;=BD$7,$L74&gt;BD$7),((BD$7-$K74)/($L74-$K74)))</f>
        <v>#REF!</v>
      </c>
      <c r="BF74" s="201" t="e">
        <f t="array" ref="BF74">_xlfn.IFS(AND($K74&gt;BE$7,$L74&gt;BE$7),0,AND($K74&lt;=BE$7,$L74&lt;=BE$7),1,AND($K74&lt;=BE$7,$L74&gt;BE$7),((BE$7-$K74)/($L74-$K74)))</f>
        <v>#REF!</v>
      </c>
      <c r="BG74" s="201" t="e">
        <f t="array" ref="BG74">_xlfn.IFS(AND($K74&gt;BF$7,$L74&gt;BF$7),0,AND($K74&lt;=BF$7,$L74&lt;=BF$7),1,AND($K74&lt;=BF$7,$L74&gt;BF$7),((BF$7-$K74)/($L74-$K74)))</f>
        <v>#REF!</v>
      </c>
      <c r="BH74" s="201" t="e">
        <f t="array" ref="BH74">_xlfn.IFS(AND($K74&gt;BG$7,$L74&gt;BG$7),0,AND($K74&lt;=BG$7,$L74&lt;=BG$7),1,AND($K74&lt;=BG$7,$L74&gt;BG$7),((BG$7-$K74)/($L74-$K74)))</f>
        <v>#REF!</v>
      </c>
      <c r="BI74" s="201" t="e">
        <f t="array" ref="BI74">_xlfn.IFS(AND($K74&gt;BH$7,$L74&gt;BH$7),0,AND($K74&lt;=BH$7,$L74&lt;=BH$7),1,AND($K74&lt;=BH$7,$L74&gt;BH$7),((BH$7-$K74)/($L74-$K74)))</f>
        <v>#REF!</v>
      </c>
      <c r="BJ74" s="201" t="e">
        <f t="array" ref="BJ74">_xlfn.IFS(AND($K74&gt;BI$7,$L74&gt;BI$7),0,AND($K74&lt;=BI$7,$L74&lt;=BI$7),1,AND($K74&lt;=BI$7,$L74&gt;BI$7),((BI$7-$K74)/($L74-$K74)))</f>
        <v>#REF!</v>
      </c>
      <c r="BK74" s="201" t="e">
        <f t="array" ref="BK74">_xlfn.IFS(AND($K74&gt;BJ$7,$L74&gt;BJ$7),0,AND($K74&lt;=BJ$7,$L74&lt;=BJ$7),1,AND($K74&lt;=BJ$7,$L74&gt;BJ$7),((BJ$7-$K74)/($L74-$K74)))</f>
        <v>#REF!</v>
      </c>
      <c r="BL74" s="201" t="e">
        <f t="array" ref="BL74">_xlfn.IFS(AND($K74&gt;BK$7,$L74&gt;BK$7),0,AND($K74&lt;=BK$7,$L74&lt;=BK$7),1,AND($K74&lt;=BK$7,$L74&gt;BK$7),((BK$7-$K74)/($L74-$K74)))</f>
        <v>#REF!</v>
      </c>
      <c r="BM74" s="201" t="e">
        <f t="array" ref="BM74">_xlfn.IFS(AND($K74&gt;BL$7,$L74&gt;BL$7),0,AND($K74&lt;=BL$7,$L74&lt;=BL$7),1,AND($K74&lt;=BL$7,$L74&gt;BL$7),((BL$7-$K74)/($L74-$K74)))</f>
        <v>#REF!</v>
      </c>
      <c r="BN74" s="201" t="e">
        <f t="array" ref="BN74">_xlfn.IFS(AND($K74&gt;BM$7,$L74&gt;BM$7),0,AND($K74&lt;=BM$7,$L74&lt;=BM$7),1,AND($K74&lt;=BM$7,$L74&gt;BM$7),((BM$7-$K74)/($L74-$K74)))</f>
        <v>#REF!</v>
      </c>
    </row>
    <row r="75" spans="2:66" ht="15" customHeight="1" x14ac:dyDescent="0.3">
      <c r="B75" s="166" t="s">
        <v>161</v>
      </c>
      <c r="C75" s="166" t="s">
        <v>198</v>
      </c>
      <c r="D75" s="177"/>
      <c r="E75" s="170" t="str">
        <f t="shared" si="32"/>
        <v>Desenvolvimento da Transformação dos Processos</v>
      </c>
      <c r="F75" s="174" t="str">
        <f t="shared" si="35"/>
        <v>Diagnóstico de Maturidade do Processo</v>
      </c>
      <c r="G75" s="166" t="str">
        <f t="shared" si="38"/>
        <v>Diagnóstico de Maturidade do Processo</v>
      </c>
      <c r="H75" s="197" t="s">
        <v>199</v>
      </c>
      <c r="I75" s="166">
        <v>45985</v>
      </c>
      <c r="J75" s="166">
        <v>45989</v>
      </c>
      <c r="K75" s="166">
        <v>45985</v>
      </c>
      <c r="L75" s="166">
        <v>45989</v>
      </c>
      <c r="M75" s="167"/>
      <c r="N75" s="167" t="str">
        <f t="array" ref="N75">_xlfn.IFS(L75&lt;$M$3,"Concluído",AND(K75&gt;=$M$3,I75&lt;$M$3,L75&gt;$M$3),"Em andamento",AND(L75&gt;=$M$3,J75&lt;$M$3),"Atrasado",AND(L75&gt;=$M$3,J75&gt;=$M$3,I75&gt;$M$3,K75&lt;=$M$3),"Em andamento",AND(L75&gt;=$M$3,J75&gt;=$M$3,I75&lt;=$M$3,K75&lt;=$M$3),"Em andamento",AND(K75&gt;$M$3,I75&gt;$M$3),"Não iniciado",AND(L75&gt;=$M$3,J75&gt;=$M$3,K75&gt;=$M$3,I75&lt;$M$3),"Atrasado",AND(L75&gt;=$M$3,J75&gt;=$M$3,K75&gt;=$M$3,I75&gt;$M$3),"Não iniciado",AND($I75&lt;=$M$3,$K75&gt;$M$3),"Atrasado")</f>
        <v>Concluído</v>
      </c>
      <c r="O75" s="167">
        <f t="array" ref="O75">_xlfn.IFS(N75="Não iniciado",0,N75="Em andamento",1,N75="Concluído",2,N75="Atrasado",3)</f>
        <v>2</v>
      </c>
      <c r="P75" s="169"/>
      <c r="Q75" s="152">
        <f t="array" aca="1" ref="Q75" ca="1">_xlfn.IFS(AND($I75&lt;$N$3,$J75&lt;$N$3),1,AND($I75&lt;=$N$3,$J75&gt;=$N$3),0.5,AND($I75&gt;=$N$3,$J75&gt;=$N$3),0)</f>
        <v>1</v>
      </c>
      <c r="R75" s="152">
        <f t="array" aca="1" ref="R75" ca="1">_xlfn.IFS(AND($K75&lt;$N$3,$L75&lt;$N$3),1,AND($K75&lt;=$N$3,$L75&gt;=$N$3),0.5,AND($K75&gt;=$N$3,$L75&gt;=$N$3),0)</f>
        <v>1</v>
      </c>
      <c r="S75" s="201" t="e">
        <f t="array" ref="S75">_xlfn.IFS(AND($K75&gt;R$7,$L75&gt;R$7),0,AND($K75&lt;=R$7,$L75&lt;=R$7),1,AND($K75&lt;=R$7,$L75&gt;R$7),((R$7-$K75)/($L75-$K75)))</f>
        <v>#REF!</v>
      </c>
      <c r="T75" s="201" t="e">
        <f t="array" ref="T75">_xlfn.IFS(AND($K75&gt;S$7,$L75&gt;S$7),0,AND($K75&lt;=S$7,$L75&lt;=S$7),1,AND($K75&lt;=S$7,$L75&gt;S$7),((S$7-$K75)/($L75-$K75)))</f>
        <v>#REF!</v>
      </c>
      <c r="U75" s="201" t="e">
        <f t="array" ref="U75">_xlfn.IFS(AND($K75&gt;T$7,$L75&gt;T$7),0,AND($K75&lt;=T$7,$L75&lt;=T$7),1,AND($K75&lt;=T$7,$L75&gt;T$7),((T$7-$K75)/($L75-$K75)))</f>
        <v>#REF!</v>
      </c>
      <c r="V75" s="201" t="e">
        <f t="array" ref="V75">_xlfn.IFS(AND($K75&gt;U$7,$L75&gt;U$7),0,AND($K75&lt;=U$7,$L75&lt;=U$7),1,AND($K75&lt;=U$7,$L75&gt;U$7),((U$7-$K75)/($L75-$K75)))</f>
        <v>#REF!</v>
      </c>
      <c r="W75" s="201" t="e">
        <f t="array" ref="W75">_xlfn.IFS(AND($K75&gt;V$7,$L75&gt;V$7),0,AND($K75&lt;=V$7,$L75&lt;=V$7),1,AND($K75&lt;=V$7,$L75&gt;V$7),((V$7-$K75)/($L75-$K75)))</f>
        <v>#REF!</v>
      </c>
      <c r="X75" s="201" t="e">
        <f t="array" ref="X75">_xlfn.IFS(AND($K75&gt;W$7,$L75&gt;W$7),0,AND($K75&lt;=W$7,$L75&lt;=W$7),1,AND($K75&lt;=W$7,$L75&gt;W$7),((W$7-$K75)/($L75-$K75)))</f>
        <v>#REF!</v>
      </c>
      <c r="Y75" s="201" t="e">
        <f t="array" ref="Y75">_xlfn.IFS(AND($K75&gt;X$7,$L75&gt;X$7),0,AND($K75&lt;=X$7,$L75&lt;=X$7),1,AND($K75&lt;=X$7,$L75&gt;X$7),((X$7-$K75)/($L75-$K75)))</f>
        <v>#REF!</v>
      </c>
      <c r="Z75" s="201" t="e">
        <f t="array" ref="Z75">_xlfn.IFS(AND($K75&gt;Y$7,$L75&gt;Y$7),0,AND($K75&lt;=Y$7,$L75&lt;=Y$7),1,AND($K75&lt;=Y$7,$L75&gt;Y$7),((Y$7-$K75)/($L75-$K75)))</f>
        <v>#REF!</v>
      </c>
      <c r="AA75" s="201" t="e">
        <f t="array" ref="AA75">_xlfn.IFS(AND($K75&gt;Z$7,$L75&gt;Z$7),0,AND($K75&lt;=Z$7,$L75&lt;=Z$7),1,AND($K75&lt;=Z$7,$L75&gt;Z$7),((Z$7-$K75)/($L75-$K75)))</f>
        <v>#REF!</v>
      </c>
      <c r="AB75" s="201" t="e">
        <f t="array" ref="AB75">_xlfn.IFS(AND($K75&gt;AA$7,$L75&gt;AA$7),0,AND($K75&lt;=AA$7,$L75&lt;=AA$7),1,AND($K75&lt;=AA$7,$L75&gt;AA$7),((AA$7-$K75)/($L75-$K75)))</f>
        <v>#REF!</v>
      </c>
      <c r="AC75" s="201" t="e">
        <f t="array" ref="AC75">_xlfn.IFS(AND($K75&gt;AB$7,$L75&gt;AB$7),0,AND($K75&lt;=AB$7,$L75&lt;=AB$7),1,AND($K75&lt;=AB$7,$L75&gt;AB$7),((AB$7-$K75)/($L75-$K75)))</f>
        <v>#REF!</v>
      </c>
      <c r="AD75" s="201" t="e">
        <f t="array" ref="AD75">_xlfn.IFS(AND($K75&gt;AC$7,$L75&gt;AC$7),0,AND($K75&lt;=AC$7,$L75&lt;=AC$7),1,AND($K75&lt;=AC$7,$L75&gt;AC$7),((AC$7-$K75)/($L75-$K75)))</f>
        <v>#REF!</v>
      </c>
      <c r="AE75" s="201" t="e">
        <f t="array" ref="AE75">_xlfn.IFS(AND($K75&gt;AD$7,$L75&gt;AD$7),0,AND($K75&lt;=AD$7,$L75&lt;=AD$7),1,AND($K75&lt;=AD$7,$L75&gt;AD$7),((AD$7-$K75)/($L75-$K75)))</f>
        <v>#REF!</v>
      </c>
      <c r="AF75" s="201" t="e">
        <f t="array" ref="AF75">_xlfn.IFS(AND($K75&gt;AE$7,$L75&gt;AE$7),0,AND($K75&lt;=AE$7,$L75&lt;=AE$7),1,AND($K75&lt;=AE$7,$L75&gt;AE$7),((AE$7-$K75)/($L75-$K75)))</f>
        <v>#REF!</v>
      </c>
      <c r="AG75" s="201" t="e">
        <f t="array" ref="AG75">_xlfn.IFS(AND($K75&gt;AF$7,$L75&gt;AF$7),0,AND($K75&lt;=AF$7,$L75&lt;=AF$7),1,AND($K75&lt;=AF$7,$L75&gt;AF$7),((AF$7-$K75)/($L75-$K75)))</f>
        <v>#REF!</v>
      </c>
      <c r="AH75" s="201" t="e">
        <f t="array" ref="AH75">_xlfn.IFS(AND($K75&gt;AG$7,$L75&gt;AG$7),0,AND($K75&lt;=AG$7,$L75&lt;=AG$7),1,AND($K75&lt;=AG$7,$L75&gt;AG$7),((AG$7-$K75)/($L75-$K75)))</f>
        <v>#REF!</v>
      </c>
      <c r="AI75" s="201" t="e">
        <f t="array" ref="AI75">_xlfn.IFS(AND($K75&gt;AH$7,$L75&gt;AH$7),0,AND($K75&lt;=AH$7,$L75&lt;=AH$7),1,AND($K75&lt;=AH$7,$L75&gt;AH$7),((AH$7-$K75)/($L75-$K75)))</f>
        <v>#REF!</v>
      </c>
      <c r="AJ75" s="201" t="e">
        <f t="array" ref="AJ75">_xlfn.IFS(AND($K75&gt;AI$7,$L75&gt;AI$7),0,AND($K75&lt;=AI$7,$L75&lt;=AI$7),1,AND($K75&lt;=AI$7,$L75&gt;AI$7),((AI$7-$K75)/($L75-$K75)))</f>
        <v>#REF!</v>
      </c>
      <c r="AK75" s="201" t="e">
        <f t="array" ref="AK75">_xlfn.IFS(AND($K75&gt;AJ$7,$L75&gt;AJ$7),0,AND($K75&lt;=AJ$7,$L75&lt;=AJ$7),1,AND($K75&lt;=AJ$7,$L75&gt;AJ$7),((AJ$7-$K75)/($L75-$K75)))</f>
        <v>#REF!</v>
      </c>
      <c r="AL75" s="201" t="e">
        <f t="array" ref="AL75">_xlfn.IFS(AND($K75&gt;AK$7,$L75&gt;AK$7),0,AND($K75&lt;=AK$7,$L75&lt;=AK$7),1,AND($K75&lt;=AK$7,$L75&gt;AK$7),((AK$7-$K75)/($L75-$K75)))</f>
        <v>#REF!</v>
      </c>
      <c r="AM75" s="201" t="e">
        <f t="array" ref="AM75">_xlfn.IFS(AND($K75&gt;AL$7,$L75&gt;AL$7),0,AND($K75&lt;=AL$7,$L75&lt;=AL$7),1,AND($K75&lt;=AL$7,$L75&gt;AL$7),((AL$7-$K75)/($L75-$K75)))</f>
        <v>#REF!</v>
      </c>
      <c r="AN75" s="201" t="e">
        <f t="array" ref="AN75">_xlfn.IFS(AND($K75&gt;AM$7,$L75&gt;AM$7),0,AND($K75&lt;=AM$7,$L75&lt;=AM$7),1,AND($K75&lt;=AM$7,$L75&gt;AM$7),((AM$7-$K75)/($L75-$K75)))</f>
        <v>#REF!</v>
      </c>
      <c r="AO75" s="201" t="e">
        <f t="array" ref="AO75">_xlfn.IFS(AND($K75&gt;AN$7,$L75&gt;AN$7),0,AND($K75&lt;=AN$7,$L75&lt;=AN$7),1,AND($K75&lt;=AN$7,$L75&gt;AN$7),((AN$7-$K75)/($L75-$K75)))</f>
        <v>#REF!</v>
      </c>
      <c r="AP75" s="201" t="e">
        <f t="array" ref="AP75">_xlfn.IFS(AND($K75&gt;AO$7,$L75&gt;AO$7),0,AND($K75&lt;=AO$7,$L75&lt;=AO$7),1,AND($K75&lt;=AO$7,$L75&gt;AO$7),((AO$7-$K75)/($L75-$K75)))</f>
        <v>#REF!</v>
      </c>
      <c r="AQ75" s="201" t="e">
        <f t="array" ref="AQ75">_xlfn.IFS(AND($K75&gt;AP$7,$L75&gt;AP$7),0,AND($K75&lt;=AP$7,$L75&lt;=AP$7),1,AND($K75&lt;=AP$7,$L75&gt;AP$7),((AP$7-$K75)/($L75-$K75)))</f>
        <v>#REF!</v>
      </c>
      <c r="AR75" s="201" t="e">
        <f t="array" ref="AR75">_xlfn.IFS(AND($K75&gt;AQ$7,$L75&gt;AQ$7),0,AND($K75&lt;=AQ$7,$L75&lt;=AQ$7),1,AND($K75&lt;=AQ$7,$L75&gt;AQ$7),((AQ$7-$K75)/($L75-$K75)))</f>
        <v>#REF!</v>
      </c>
      <c r="AS75" s="201" t="e">
        <f t="array" ref="AS75">_xlfn.IFS(AND($K75&gt;AR$7,$L75&gt;AR$7),0,AND($K75&lt;=AR$7,$L75&lt;=AR$7),1,AND($K75&lt;=AR$7,$L75&gt;AR$7),((AR$7-$K75)/($L75-$K75)))</f>
        <v>#REF!</v>
      </c>
      <c r="AT75" s="201" t="e">
        <f t="array" ref="AT75">_xlfn.IFS(AND($K75&gt;AS$7,$L75&gt;AS$7),0,AND($K75&lt;=AS$7,$L75&lt;=AS$7),1,AND($K75&lt;=AS$7,$L75&gt;AS$7),((AS$7-$K75)/($L75-$K75)))</f>
        <v>#REF!</v>
      </c>
      <c r="AU75" s="201" t="e">
        <f t="array" ref="AU75">_xlfn.IFS(AND($K75&gt;AT$7,$L75&gt;AT$7),0,AND($K75&lt;=AT$7,$L75&lt;=AT$7),1,AND($K75&lt;=AT$7,$L75&gt;AT$7),((AT$7-$K75)/($L75-$K75)))</f>
        <v>#REF!</v>
      </c>
      <c r="AV75" s="201" t="e">
        <f t="array" ref="AV75">_xlfn.IFS(AND($K75&gt;AU$7,$L75&gt;AU$7),0,AND($K75&lt;=AU$7,$L75&lt;=AU$7),1,AND($K75&lt;=AU$7,$L75&gt;AU$7),((AU$7-$K75)/($L75-$K75)))</f>
        <v>#REF!</v>
      </c>
      <c r="AW75" s="201" t="e">
        <f t="array" ref="AW75">_xlfn.IFS(AND($K75&gt;AV$7,$L75&gt;AV$7),0,AND($K75&lt;=AV$7,$L75&lt;=AV$7),1,AND($K75&lt;=AV$7,$L75&gt;AV$7),((AV$7-$K75)/($L75-$K75)))</f>
        <v>#REF!</v>
      </c>
      <c r="AX75" s="201" t="e">
        <f t="array" ref="AX75">_xlfn.IFS(AND($K75&gt;AW$7,$L75&gt;AW$7),0,AND($K75&lt;=AW$7,$L75&lt;=AW$7),1,AND($K75&lt;=AW$7,$L75&gt;AW$7),((AW$7-$K75)/($L75-$K75)))</f>
        <v>#REF!</v>
      </c>
      <c r="AY75" s="201" t="e">
        <f t="array" ref="AY75">_xlfn.IFS(AND($K75&gt;AX$7,$L75&gt;AX$7),0,AND($K75&lt;=AX$7,$L75&lt;=AX$7),1,AND($K75&lt;=AX$7,$L75&gt;AX$7),((AX$7-$K75)/($L75-$K75)))</f>
        <v>#REF!</v>
      </c>
      <c r="AZ75" s="201" t="e">
        <f t="array" ref="AZ75">_xlfn.IFS(AND($K75&gt;AY$7,$L75&gt;AY$7),0,AND($K75&lt;=AY$7,$L75&lt;=AY$7),1,AND($K75&lt;=AY$7,$L75&gt;AY$7),((AY$7-$K75)/($L75-$K75)))</f>
        <v>#REF!</v>
      </c>
      <c r="BA75" s="201" t="e">
        <f t="array" ref="BA75">_xlfn.IFS(AND($K75&gt;AZ$7,$L75&gt;AZ$7),0,AND($K75&lt;=AZ$7,$L75&lt;=AZ$7),1,AND($K75&lt;=AZ$7,$L75&gt;AZ$7),((AZ$7-$K75)/($L75-$K75)))</f>
        <v>#REF!</v>
      </c>
      <c r="BB75" s="201" t="e">
        <f t="array" ref="BB75">_xlfn.IFS(AND($K75&gt;BA$7,$L75&gt;BA$7),0,AND($K75&lt;=BA$7,$L75&lt;=BA$7),1,AND($K75&lt;=BA$7,$L75&gt;BA$7),((BA$7-$K75)/($L75-$K75)))</f>
        <v>#REF!</v>
      </c>
      <c r="BC75" s="201" t="e">
        <f t="array" ref="BC75">_xlfn.IFS(AND($K75&gt;BB$7,$L75&gt;BB$7),0,AND($K75&lt;=BB$7,$L75&lt;=BB$7),1,AND($K75&lt;=BB$7,$L75&gt;BB$7),((BB$7-$K75)/($L75-$K75)))</f>
        <v>#REF!</v>
      </c>
      <c r="BD75" s="201" t="e">
        <f t="array" ref="BD75">_xlfn.IFS(AND($K75&gt;BC$7,$L75&gt;BC$7),0,AND($K75&lt;=BC$7,$L75&lt;=BC$7),1,AND($K75&lt;=BC$7,$L75&gt;BC$7),((BC$7-$K75)/($L75-$K75)))</f>
        <v>#REF!</v>
      </c>
      <c r="BE75" s="201" t="e">
        <f t="array" ref="BE75">_xlfn.IFS(AND($K75&gt;BD$7,$L75&gt;BD$7),0,AND($K75&lt;=BD$7,$L75&lt;=BD$7),1,AND($K75&lt;=BD$7,$L75&gt;BD$7),((BD$7-$K75)/($L75-$K75)))</f>
        <v>#REF!</v>
      </c>
      <c r="BF75" s="201" t="e">
        <f t="array" ref="BF75">_xlfn.IFS(AND($K75&gt;BE$7,$L75&gt;BE$7),0,AND($K75&lt;=BE$7,$L75&lt;=BE$7),1,AND($K75&lt;=BE$7,$L75&gt;BE$7),((BE$7-$K75)/($L75-$K75)))</f>
        <v>#REF!</v>
      </c>
      <c r="BG75" s="201" t="e">
        <f t="array" ref="BG75">_xlfn.IFS(AND($K75&gt;BF$7,$L75&gt;BF$7),0,AND($K75&lt;=BF$7,$L75&lt;=BF$7),1,AND($K75&lt;=BF$7,$L75&gt;BF$7),((BF$7-$K75)/($L75-$K75)))</f>
        <v>#REF!</v>
      </c>
      <c r="BH75" s="201" t="e">
        <f t="array" ref="BH75">_xlfn.IFS(AND($K75&gt;BG$7,$L75&gt;BG$7),0,AND($K75&lt;=BG$7,$L75&lt;=BG$7),1,AND($K75&lt;=BG$7,$L75&gt;BG$7),((BG$7-$K75)/($L75-$K75)))</f>
        <v>#REF!</v>
      </c>
      <c r="BI75" s="201" t="e">
        <f t="array" ref="BI75">_xlfn.IFS(AND($K75&gt;BH$7,$L75&gt;BH$7),0,AND($K75&lt;=BH$7,$L75&lt;=BH$7),1,AND($K75&lt;=BH$7,$L75&gt;BH$7),((BH$7-$K75)/($L75-$K75)))</f>
        <v>#REF!</v>
      </c>
      <c r="BJ75" s="201" t="e">
        <f t="array" ref="BJ75">_xlfn.IFS(AND($K75&gt;BI$7,$L75&gt;BI$7),0,AND($K75&lt;=BI$7,$L75&lt;=BI$7),1,AND($K75&lt;=BI$7,$L75&gt;BI$7),((BI$7-$K75)/($L75-$K75)))</f>
        <v>#REF!</v>
      </c>
      <c r="BK75" s="201" t="e">
        <f t="array" ref="BK75">_xlfn.IFS(AND($K75&gt;BJ$7,$L75&gt;BJ$7),0,AND($K75&lt;=BJ$7,$L75&lt;=BJ$7),1,AND($K75&lt;=BJ$7,$L75&gt;BJ$7),((BJ$7-$K75)/($L75-$K75)))</f>
        <v>#REF!</v>
      </c>
      <c r="BL75" s="201" t="e">
        <f t="array" ref="BL75">_xlfn.IFS(AND($K75&gt;BK$7,$L75&gt;BK$7),0,AND($K75&lt;=BK$7,$L75&lt;=BK$7),1,AND($K75&lt;=BK$7,$L75&gt;BK$7),((BK$7-$K75)/($L75-$K75)))</f>
        <v>#REF!</v>
      </c>
      <c r="BM75" s="201" t="e">
        <f t="array" ref="BM75">_xlfn.IFS(AND($K75&gt;BL$7,$L75&gt;BL$7),0,AND($K75&lt;=BL$7,$L75&lt;=BL$7),1,AND($K75&lt;=BL$7,$L75&gt;BL$7),((BL$7-$K75)/($L75-$K75)))</f>
        <v>#REF!</v>
      </c>
      <c r="BN75" s="201" t="e">
        <f t="array" ref="BN75">_xlfn.IFS(AND($K75&gt;BM$7,$L75&gt;BM$7),0,AND($K75&lt;=BM$7,$L75&lt;=BM$7),1,AND($K75&lt;=BM$7,$L75&gt;BM$7),((BM$7-$K75)/($L75-$K75)))</f>
        <v>#REF!</v>
      </c>
    </row>
    <row r="76" spans="2:66" ht="15" customHeight="1" x14ac:dyDescent="0.3">
      <c r="B76" s="170" t="str">
        <f t="array" ref="B76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3</v>
      </c>
      <c r="C76" s="170" t="s">
        <v>200</v>
      </c>
      <c r="D76" s="177" t="str">
        <f>$H$11</f>
        <v>Arquitetura de projetos GERDAU</v>
      </c>
      <c r="E76" s="170" t="str">
        <f t="shared" si="32"/>
        <v>Desenvolvimento da Transformação dos Processos</v>
      </c>
      <c r="F76" s="170" t="s">
        <v>74</v>
      </c>
      <c r="G76" s="170" t="s">
        <v>74</v>
      </c>
      <c r="H76" s="194" t="s">
        <v>201</v>
      </c>
      <c r="I76" s="170">
        <f>I77</f>
        <v>45736</v>
      </c>
      <c r="J76" s="170">
        <f>J77</f>
        <v>45996</v>
      </c>
      <c r="K76" s="170">
        <f>K77</f>
        <v>45736</v>
      </c>
      <c r="L76" s="170">
        <f>L77</f>
        <v>45996</v>
      </c>
      <c r="M76" s="171"/>
      <c r="N76" s="171" t="str">
        <f t="array" ref="N76">_xlfn.IFS(L76&lt;$M$3,"Concluído",AND(K76&gt;=$M$3,I76&lt;$M$3,L76&gt;$M$3),"Em andamento",AND(L76&gt;=$M$3,J76&lt;$M$3),"Atrasado",AND(L76&gt;=$M$3,J76&gt;=$M$3,I76&gt;$M$3,K76&lt;=$M$3),"Em andamento",AND(L76&gt;=$M$3,J76&gt;=$M$3,I76&lt;=$M$3,K76&lt;=$M$3),"Em andamento",AND(K76&gt;$M$3,I76&gt;$M$3),"Não iniciado",AND(L76&gt;=$M$3,J76&gt;=$M$3,K76&gt;=$M$3,I76&lt;$M$3),"Atrasado",AND(L76&gt;=$M$3,J76&gt;=$M$3,K76&gt;=$M$3,I76&gt;$M$3),"Não iniciado",AND($I76&lt;=$M$3,$K76&gt;$M$3),"Atrasado")</f>
        <v>Concluído</v>
      </c>
      <c r="O76" s="171">
        <f t="array" ref="O76">_xlfn.IFS(N76="Não iniciado",0,N76="Em andamento",1,N76="Concluído",2,N76="Atrasado",3)</f>
        <v>2</v>
      </c>
      <c r="P76" s="172"/>
      <c r="Q76" s="173">
        <f t="shared" ref="Q76:AV76" ca="1" si="39">Q77</f>
        <v>1</v>
      </c>
      <c r="R76" s="173">
        <f t="shared" ca="1" si="39"/>
        <v>1</v>
      </c>
      <c r="S76" s="173" t="e">
        <f t="shared" si="39"/>
        <v>#REF!</v>
      </c>
      <c r="T76" s="173" t="e">
        <f t="shared" si="39"/>
        <v>#REF!</v>
      </c>
      <c r="U76" s="173" t="e">
        <f t="shared" si="39"/>
        <v>#REF!</v>
      </c>
      <c r="V76" s="173" t="e">
        <f t="shared" si="39"/>
        <v>#REF!</v>
      </c>
      <c r="W76" s="173" t="e">
        <f t="shared" si="39"/>
        <v>#REF!</v>
      </c>
      <c r="X76" s="173" t="e">
        <f t="shared" si="39"/>
        <v>#REF!</v>
      </c>
      <c r="Y76" s="173" t="e">
        <f t="shared" si="39"/>
        <v>#REF!</v>
      </c>
      <c r="Z76" s="173" t="e">
        <f t="shared" si="39"/>
        <v>#REF!</v>
      </c>
      <c r="AA76" s="173" t="e">
        <f t="shared" si="39"/>
        <v>#REF!</v>
      </c>
      <c r="AB76" s="173" t="e">
        <f t="shared" si="39"/>
        <v>#REF!</v>
      </c>
      <c r="AC76" s="173" t="e">
        <f t="shared" si="39"/>
        <v>#REF!</v>
      </c>
      <c r="AD76" s="173" t="e">
        <f t="shared" si="39"/>
        <v>#REF!</v>
      </c>
      <c r="AE76" s="173" t="e">
        <f t="shared" si="39"/>
        <v>#REF!</v>
      </c>
      <c r="AF76" s="173" t="e">
        <f t="shared" si="39"/>
        <v>#REF!</v>
      </c>
      <c r="AG76" s="173" t="e">
        <f t="shared" si="39"/>
        <v>#REF!</v>
      </c>
      <c r="AH76" s="173" t="e">
        <f t="shared" si="39"/>
        <v>#REF!</v>
      </c>
      <c r="AI76" s="173" t="e">
        <f t="shared" si="39"/>
        <v>#REF!</v>
      </c>
      <c r="AJ76" s="173" t="e">
        <f t="shared" si="39"/>
        <v>#REF!</v>
      </c>
      <c r="AK76" s="173" t="e">
        <f t="shared" si="39"/>
        <v>#REF!</v>
      </c>
      <c r="AL76" s="173" t="e">
        <f t="shared" si="39"/>
        <v>#REF!</v>
      </c>
      <c r="AM76" s="173" t="e">
        <f t="shared" si="39"/>
        <v>#REF!</v>
      </c>
      <c r="AN76" s="173" t="e">
        <f t="shared" si="39"/>
        <v>#REF!</v>
      </c>
      <c r="AO76" s="173" t="e">
        <f t="shared" si="39"/>
        <v>#REF!</v>
      </c>
      <c r="AP76" s="173" t="e">
        <f t="shared" si="39"/>
        <v>#REF!</v>
      </c>
      <c r="AQ76" s="173" t="e">
        <f t="shared" si="39"/>
        <v>#REF!</v>
      </c>
      <c r="AR76" s="173" t="e">
        <f t="shared" si="39"/>
        <v>#REF!</v>
      </c>
      <c r="AS76" s="173" t="e">
        <f t="shared" si="39"/>
        <v>#REF!</v>
      </c>
      <c r="AT76" s="173" t="e">
        <f t="shared" si="39"/>
        <v>#REF!</v>
      </c>
      <c r="AU76" s="173" t="e">
        <f t="shared" si="39"/>
        <v>#REF!</v>
      </c>
      <c r="AV76" s="173" t="e">
        <f t="shared" si="39"/>
        <v>#REF!</v>
      </c>
      <c r="AW76" s="173" t="e">
        <f t="shared" ref="AW76:BN76" si="40">AW77</f>
        <v>#REF!</v>
      </c>
      <c r="AX76" s="173" t="e">
        <f t="shared" si="40"/>
        <v>#REF!</v>
      </c>
      <c r="AY76" s="173" t="e">
        <f t="shared" si="40"/>
        <v>#REF!</v>
      </c>
      <c r="AZ76" s="173" t="e">
        <f t="shared" si="40"/>
        <v>#REF!</v>
      </c>
      <c r="BA76" s="173" t="e">
        <f t="shared" si="40"/>
        <v>#REF!</v>
      </c>
      <c r="BB76" s="173" t="e">
        <f t="shared" si="40"/>
        <v>#REF!</v>
      </c>
      <c r="BC76" s="173" t="e">
        <f t="shared" si="40"/>
        <v>#REF!</v>
      </c>
      <c r="BD76" s="173" t="e">
        <f t="shared" si="40"/>
        <v>#REF!</v>
      </c>
      <c r="BE76" s="173" t="e">
        <f t="shared" si="40"/>
        <v>#REF!</v>
      </c>
      <c r="BF76" s="173" t="e">
        <f t="shared" si="40"/>
        <v>#REF!</v>
      </c>
      <c r="BG76" s="173" t="e">
        <f t="shared" si="40"/>
        <v>#REF!</v>
      </c>
      <c r="BH76" s="173" t="e">
        <f t="shared" si="40"/>
        <v>#REF!</v>
      </c>
      <c r="BI76" s="173" t="e">
        <f t="shared" si="40"/>
        <v>#REF!</v>
      </c>
      <c r="BJ76" s="173" t="e">
        <f t="shared" si="40"/>
        <v>#REF!</v>
      </c>
      <c r="BK76" s="173" t="e">
        <f t="shared" si="40"/>
        <v>#REF!</v>
      </c>
      <c r="BL76" s="173" t="e">
        <f t="shared" si="40"/>
        <v>#REF!</v>
      </c>
      <c r="BM76" s="173" t="e">
        <f t="shared" si="40"/>
        <v>#REF!</v>
      </c>
      <c r="BN76" s="173" t="e">
        <f t="shared" si="40"/>
        <v>#REF!</v>
      </c>
    </row>
    <row r="77" spans="2:66" x14ac:dyDescent="0.3">
      <c r="B77" s="174" t="str">
        <f t="array" ref="B77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77" s="174" t="s">
        <v>202</v>
      </c>
      <c r="D77" s="177"/>
      <c r="E77" s="170" t="str">
        <f t="shared" si="32"/>
        <v>Desenvolvimento da Transformação dos Processos</v>
      </c>
      <c r="F77" s="174" t="str">
        <f t="shared" ref="F77:F107" si="41">$H$76</f>
        <v>Modelagem To Be</v>
      </c>
      <c r="G77" s="174"/>
      <c r="H77" s="195" t="s">
        <v>201</v>
      </c>
      <c r="I77" s="174">
        <f>MIN(I78:I107)</f>
        <v>45736</v>
      </c>
      <c r="J77" s="174">
        <f>MAX(J78:J107)</f>
        <v>45996</v>
      </c>
      <c r="K77" s="174">
        <f>MIN(K78:K107)</f>
        <v>45736</v>
      </c>
      <c r="L77" s="174">
        <f>MAX(L78:L107)</f>
        <v>45996</v>
      </c>
      <c r="M77" s="175"/>
      <c r="N77" s="175" t="str">
        <f t="array" ref="N77">_xlfn.IFS(L77&lt;$M$3,"Concluído",AND(K77&gt;=$M$3,I77&lt;$M$3,L77&gt;$M$3),"Em andamento",AND(L77&gt;=$M$3,J77&lt;$M$3),"Atrasado",AND(L77&gt;=$M$3,J77&gt;=$M$3,I77&gt;$M$3,K77&lt;=$M$3),"Em andamento",AND(L77&gt;=$M$3,J77&gt;=$M$3,I77&lt;=$M$3,K77&lt;=$M$3),"Em andamento",AND(K77&gt;$M$3,I77&gt;$M$3),"Não iniciado",AND(L77&gt;=$M$3,J77&gt;=$M$3,K77&gt;=$M$3,I77&lt;$M$3),"Atrasado",AND(L77&gt;=$M$3,J77&gt;=$M$3,K77&gt;=$M$3,I77&gt;$M$3),"Não iniciado",AND($I77&lt;=$M$3,$K77&gt;$M$3),"Atrasado")</f>
        <v>Concluído</v>
      </c>
      <c r="O77" s="175">
        <f t="array" ref="O77">_xlfn.IFS(N77="Não iniciado",0,N77="Em andamento",1,N77="Concluído",2,N77="Atrasado",3)</f>
        <v>2</v>
      </c>
      <c r="P77" s="176"/>
      <c r="Q77" s="156">
        <f t="shared" ref="Q77:AV77" ca="1" si="42">AVERAGE(Q78:Q107)</f>
        <v>1</v>
      </c>
      <c r="R77" s="156">
        <f t="shared" ca="1" si="42"/>
        <v>1</v>
      </c>
      <c r="S77" s="205" t="e">
        <f t="shared" si="42"/>
        <v>#REF!</v>
      </c>
      <c r="T77" s="205" t="e">
        <f t="shared" si="42"/>
        <v>#REF!</v>
      </c>
      <c r="U77" s="205" t="e">
        <f t="shared" si="42"/>
        <v>#REF!</v>
      </c>
      <c r="V77" s="205" t="e">
        <f t="shared" si="42"/>
        <v>#REF!</v>
      </c>
      <c r="W77" s="205" t="e">
        <f t="shared" si="42"/>
        <v>#REF!</v>
      </c>
      <c r="X77" s="205" t="e">
        <f t="shared" si="42"/>
        <v>#REF!</v>
      </c>
      <c r="Y77" s="205" t="e">
        <f t="shared" si="42"/>
        <v>#REF!</v>
      </c>
      <c r="Z77" s="205" t="e">
        <f t="shared" si="42"/>
        <v>#REF!</v>
      </c>
      <c r="AA77" s="205" t="e">
        <f t="shared" si="42"/>
        <v>#REF!</v>
      </c>
      <c r="AB77" s="205" t="e">
        <f t="shared" si="42"/>
        <v>#REF!</v>
      </c>
      <c r="AC77" s="205" t="e">
        <f t="shared" si="42"/>
        <v>#REF!</v>
      </c>
      <c r="AD77" s="205" t="e">
        <f t="shared" si="42"/>
        <v>#REF!</v>
      </c>
      <c r="AE77" s="205" t="e">
        <f t="shared" si="42"/>
        <v>#REF!</v>
      </c>
      <c r="AF77" s="205" t="e">
        <f t="shared" si="42"/>
        <v>#REF!</v>
      </c>
      <c r="AG77" s="205" t="e">
        <f t="shared" si="42"/>
        <v>#REF!</v>
      </c>
      <c r="AH77" s="205" t="e">
        <f t="shared" si="42"/>
        <v>#REF!</v>
      </c>
      <c r="AI77" s="205" t="e">
        <f t="shared" si="42"/>
        <v>#REF!</v>
      </c>
      <c r="AJ77" s="205" t="e">
        <f t="shared" si="42"/>
        <v>#REF!</v>
      </c>
      <c r="AK77" s="205" t="e">
        <f t="shared" si="42"/>
        <v>#REF!</v>
      </c>
      <c r="AL77" s="205" t="e">
        <f t="shared" si="42"/>
        <v>#REF!</v>
      </c>
      <c r="AM77" s="205" t="e">
        <f t="shared" si="42"/>
        <v>#REF!</v>
      </c>
      <c r="AN77" s="205" t="e">
        <f t="shared" si="42"/>
        <v>#REF!</v>
      </c>
      <c r="AO77" s="205" t="e">
        <f t="shared" si="42"/>
        <v>#REF!</v>
      </c>
      <c r="AP77" s="205" t="e">
        <f t="shared" si="42"/>
        <v>#REF!</v>
      </c>
      <c r="AQ77" s="205" t="e">
        <f t="shared" si="42"/>
        <v>#REF!</v>
      </c>
      <c r="AR77" s="205" t="e">
        <f t="shared" si="42"/>
        <v>#REF!</v>
      </c>
      <c r="AS77" s="205" t="e">
        <f t="shared" si="42"/>
        <v>#REF!</v>
      </c>
      <c r="AT77" s="205" t="e">
        <f t="shared" si="42"/>
        <v>#REF!</v>
      </c>
      <c r="AU77" s="205" t="e">
        <f t="shared" si="42"/>
        <v>#REF!</v>
      </c>
      <c r="AV77" s="205" t="e">
        <f t="shared" si="42"/>
        <v>#REF!</v>
      </c>
      <c r="AW77" s="205" t="e">
        <f t="shared" ref="AW77:BN77" si="43">AVERAGE(AW78:AW107)</f>
        <v>#REF!</v>
      </c>
      <c r="AX77" s="205" t="e">
        <f t="shared" si="43"/>
        <v>#REF!</v>
      </c>
      <c r="AY77" s="205" t="e">
        <f t="shared" si="43"/>
        <v>#REF!</v>
      </c>
      <c r="AZ77" s="205" t="e">
        <f t="shared" si="43"/>
        <v>#REF!</v>
      </c>
      <c r="BA77" s="205" t="e">
        <f t="shared" si="43"/>
        <v>#REF!</v>
      </c>
      <c r="BB77" s="205" t="e">
        <f t="shared" si="43"/>
        <v>#REF!</v>
      </c>
      <c r="BC77" s="205" t="e">
        <f t="shared" si="43"/>
        <v>#REF!</v>
      </c>
      <c r="BD77" s="205" t="e">
        <f t="shared" si="43"/>
        <v>#REF!</v>
      </c>
      <c r="BE77" s="205" t="e">
        <f t="shared" si="43"/>
        <v>#REF!</v>
      </c>
      <c r="BF77" s="205" t="e">
        <f t="shared" si="43"/>
        <v>#REF!</v>
      </c>
      <c r="BG77" s="205" t="e">
        <f t="shared" si="43"/>
        <v>#REF!</v>
      </c>
      <c r="BH77" s="205" t="e">
        <f t="shared" si="43"/>
        <v>#REF!</v>
      </c>
      <c r="BI77" s="205" t="e">
        <f t="shared" si="43"/>
        <v>#REF!</v>
      </c>
      <c r="BJ77" s="205" t="e">
        <f t="shared" si="43"/>
        <v>#REF!</v>
      </c>
      <c r="BK77" s="205" t="e">
        <f t="shared" si="43"/>
        <v>#REF!</v>
      </c>
      <c r="BL77" s="205" t="e">
        <f t="shared" si="43"/>
        <v>#REF!</v>
      </c>
      <c r="BM77" s="205" t="e">
        <f t="shared" si="43"/>
        <v>#REF!</v>
      </c>
      <c r="BN77" s="205" t="e">
        <f t="shared" si="43"/>
        <v>#REF!</v>
      </c>
    </row>
    <row r="78" spans="2:66" ht="15" customHeight="1" x14ac:dyDescent="0.3">
      <c r="B78" s="166" t="str">
        <f t="array" ref="B78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78" s="166" t="s">
        <v>203</v>
      </c>
      <c r="D78" s="177"/>
      <c r="E78" s="170" t="str">
        <f t="shared" ref="E78:E109" si="44">$H$45</f>
        <v>Desenvolvimento da Transformação dos Processos</v>
      </c>
      <c r="F78" s="174" t="str">
        <f t="shared" si="41"/>
        <v>Modelagem To Be</v>
      </c>
      <c r="G78" s="166" t="str">
        <f t="shared" ref="G78:G107" si="45">$H$77</f>
        <v>Modelagem To Be</v>
      </c>
      <c r="H78" s="197" t="s">
        <v>204</v>
      </c>
      <c r="I78" s="166">
        <v>45736</v>
      </c>
      <c r="J78" s="40">
        <v>45744</v>
      </c>
      <c r="K78" s="166">
        <v>45736</v>
      </c>
      <c r="L78" s="40">
        <v>45744</v>
      </c>
      <c r="M78" s="167"/>
      <c r="N78" s="167" t="str">
        <f t="array" ref="N78">_xlfn.IFS(L78&lt;$M$3,"Concluído",AND(K78&gt;=$M$3,I78&lt;$M$3,L78&gt;$M$3),"Em andamento",AND(L78&gt;=$M$3,J78&lt;$M$3),"Atrasado",AND(L78&gt;=$M$3,J78&gt;=$M$3,I78&gt;$M$3,K78&lt;=$M$3),"Em andamento",AND(L78&gt;=$M$3,J78&gt;=$M$3,I78&lt;=$M$3,K78&lt;=$M$3),"Em andamento",AND(K78&gt;$M$3,I78&gt;$M$3),"Não iniciado",AND(L78&gt;=$M$3,J78&gt;=$M$3,K78&gt;=$M$3,I78&lt;$M$3),"Atrasado",AND(L78&gt;=$M$3,J78&gt;=$M$3,K78&gt;=$M$3,I78&gt;$M$3),"Não iniciado",AND($I78&lt;=$M$3,$K78&gt;$M$3),"Atrasado")</f>
        <v>Concluído</v>
      </c>
      <c r="O78" s="167">
        <f t="array" ref="O78">_xlfn.IFS(N78="Não iniciado",0,N78="Em andamento",1,N78="Concluído",2,N78="Atrasado",3)</f>
        <v>2</v>
      </c>
      <c r="P78" s="169"/>
      <c r="Q78" s="152">
        <f t="array" aca="1" ref="Q78" ca="1">_xlfn.IFS(AND($I78&lt;$N$3,$J78&lt;$N$3),1,AND($I78&lt;=$N$3,$J78&gt;=$N$3),0.5,AND($I78&gt;=$N$3,$J78&gt;=$N$3),0)</f>
        <v>1</v>
      </c>
      <c r="R78" s="152">
        <f t="array" aca="1" ref="R78" ca="1">_xlfn.IFS(AND($K78&lt;$N$3,$L78&lt;$N$3),1,AND($K78&lt;=$N$3,$L78&gt;=$N$3),0.5,AND($K78&gt;=$N$3,$L78&gt;=$N$3),0)</f>
        <v>1</v>
      </c>
      <c r="S78" s="201" t="e">
        <f t="array" ref="S78">_xlfn.IFS(AND($K78&gt;R$7,$L78&gt;R$7),0,AND($K78&lt;=R$7,$L78&lt;=R$7),1,AND($K78&lt;=R$7,$L78&gt;R$7),((R$7-$K78)/($L78-$K78)))</f>
        <v>#REF!</v>
      </c>
      <c r="T78" s="201" t="e">
        <f t="array" ref="T78">_xlfn.IFS(AND($K78&gt;S$7,$L78&gt;S$7),0,AND($K78&lt;=S$7,$L78&lt;=S$7),1,AND($K78&lt;=S$7,$L78&gt;S$7),((S$7-$K78)/($L78-$K78)))</f>
        <v>#REF!</v>
      </c>
      <c r="U78" s="201" t="e">
        <f t="array" ref="U78">_xlfn.IFS(AND($K78&gt;T$7,$L78&gt;T$7),0,AND($K78&lt;=T$7,$L78&lt;=T$7),1,AND($K78&lt;=T$7,$L78&gt;T$7),((T$7-$K78)/($L78-$K78)))</f>
        <v>#REF!</v>
      </c>
      <c r="V78" s="201" t="e">
        <f t="array" ref="V78">_xlfn.IFS(AND($K78&gt;U$7,$L78&gt;U$7),0,AND($K78&lt;=U$7,$L78&lt;=U$7),1,AND($K78&lt;=U$7,$L78&gt;U$7),((U$7-$K78)/($L78-$K78)))</f>
        <v>#REF!</v>
      </c>
      <c r="W78" s="201" t="e">
        <f t="array" ref="W78">_xlfn.IFS(AND($K78&gt;V$7,$L78&gt;V$7),0,AND($K78&lt;=V$7,$L78&lt;=V$7),1,AND($K78&lt;=V$7,$L78&gt;V$7),((V$7-$K78)/($L78-$K78)))</f>
        <v>#REF!</v>
      </c>
      <c r="X78" s="201" t="e">
        <f t="array" ref="X78">_xlfn.IFS(AND($K78&gt;W$7,$L78&gt;W$7),0,AND($K78&lt;=W$7,$L78&lt;=W$7),1,AND($K78&lt;=W$7,$L78&gt;W$7),((W$7-$K78)/($L78-$K78)))</f>
        <v>#REF!</v>
      </c>
      <c r="Y78" s="201" t="e">
        <f t="array" ref="Y78">_xlfn.IFS(AND($K78&gt;X$7,$L78&gt;X$7),0,AND($K78&lt;=X$7,$L78&lt;=X$7),1,AND($K78&lt;=X$7,$L78&gt;X$7),((X$7-$K78)/($L78-$K78)))</f>
        <v>#REF!</v>
      </c>
      <c r="Z78" s="201" t="e">
        <f t="array" ref="Z78">_xlfn.IFS(AND($K78&gt;Y$7,$L78&gt;Y$7),0,AND($K78&lt;=Y$7,$L78&lt;=Y$7),1,AND($K78&lt;=Y$7,$L78&gt;Y$7),((Y$7-$K78)/($L78-$K78)))</f>
        <v>#REF!</v>
      </c>
      <c r="AA78" s="201" t="e">
        <f t="array" ref="AA78">_xlfn.IFS(AND($K78&gt;Z$7,$L78&gt;Z$7),0,AND($K78&lt;=Z$7,$L78&lt;=Z$7),1,AND($K78&lt;=Z$7,$L78&gt;Z$7),((Z$7-$K78)/($L78-$K78)))</f>
        <v>#REF!</v>
      </c>
      <c r="AB78" s="201" t="e">
        <f t="array" ref="AB78">_xlfn.IFS(AND($K78&gt;AA$7,$L78&gt;AA$7),0,AND($K78&lt;=AA$7,$L78&lt;=AA$7),1,AND($K78&lt;=AA$7,$L78&gt;AA$7),((AA$7-$K78)/($L78-$K78)))</f>
        <v>#REF!</v>
      </c>
      <c r="AC78" s="201" t="e">
        <f t="array" ref="AC78">_xlfn.IFS(AND($K78&gt;AB$7,$L78&gt;AB$7),0,AND($K78&lt;=AB$7,$L78&lt;=AB$7),1,AND($K78&lt;=AB$7,$L78&gt;AB$7),((AB$7-$K78)/($L78-$K78)))</f>
        <v>#REF!</v>
      </c>
      <c r="AD78" s="201" t="e">
        <f t="array" ref="AD78">_xlfn.IFS(AND($K78&gt;AC$7,$L78&gt;AC$7),0,AND($K78&lt;=AC$7,$L78&lt;=AC$7),1,AND($K78&lt;=AC$7,$L78&gt;AC$7),((AC$7-$K78)/($L78-$K78)))</f>
        <v>#REF!</v>
      </c>
      <c r="AE78" s="201" t="e">
        <f t="array" ref="AE78">_xlfn.IFS(AND($K78&gt;AD$7,$L78&gt;AD$7),0,AND($K78&lt;=AD$7,$L78&lt;=AD$7),1,AND($K78&lt;=AD$7,$L78&gt;AD$7),((AD$7-$K78)/($L78-$K78)))</f>
        <v>#REF!</v>
      </c>
      <c r="AF78" s="201" t="e">
        <f t="array" ref="AF78">_xlfn.IFS(AND($K78&gt;AE$7,$L78&gt;AE$7),0,AND($K78&lt;=AE$7,$L78&lt;=AE$7),1,AND($K78&lt;=AE$7,$L78&gt;AE$7),((AE$7-$K78)/($L78-$K78)))</f>
        <v>#REF!</v>
      </c>
      <c r="AG78" s="201" t="e">
        <f t="array" ref="AG78">_xlfn.IFS(AND($K78&gt;AF$7,$L78&gt;AF$7),0,AND($K78&lt;=AF$7,$L78&lt;=AF$7),1,AND($K78&lt;=AF$7,$L78&gt;AF$7),((AF$7-$K78)/($L78-$K78)))</f>
        <v>#REF!</v>
      </c>
      <c r="AH78" s="201" t="e">
        <f t="array" ref="AH78">_xlfn.IFS(AND($K78&gt;AG$7,$L78&gt;AG$7),0,AND($K78&lt;=AG$7,$L78&lt;=AG$7),1,AND($K78&lt;=AG$7,$L78&gt;AG$7),((AG$7-$K78)/($L78-$K78)))</f>
        <v>#REF!</v>
      </c>
      <c r="AI78" s="201" t="e">
        <f t="array" ref="AI78">_xlfn.IFS(AND($K78&gt;AH$7,$L78&gt;AH$7),0,AND($K78&lt;=AH$7,$L78&lt;=AH$7),1,AND($K78&lt;=AH$7,$L78&gt;AH$7),((AH$7-$K78)/($L78-$K78)))</f>
        <v>#REF!</v>
      </c>
      <c r="AJ78" s="201" t="e">
        <f t="array" ref="AJ78">_xlfn.IFS(AND($K78&gt;AI$7,$L78&gt;AI$7),0,AND($K78&lt;=AI$7,$L78&lt;=AI$7),1,AND($K78&lt;=AI$7,$L78&gt;AI$7),((AI$7-$K78)/($L78-$K78)))</f>
        <v>#REF!</v>
      </c>
      <c r="AK78" s="201" t="e">
        <f t="array" ref="AK78">_xlfn.IFS(AND($K78&gt;AJ$7,$L78&gt;AJ$7),0,AND($K78&lt;=AJ$7,$L78&lt;=AJ$7),1,AND($K78&lt;=AJ$7,$L78&gt;AJ$7),((AJ$7-$K78)/($L78-$K78)))</f>
        <v>#REF!</v>
      </c>
      <c r="AL78" s="201" t="e">
        <f t="array" ref="AL78">_xlfn.IFS(AND($K78&gt;AK$7,$L78&gt;AK$7),0,AND($K78&lt;=AK$7,$L78&lt;=AK$7),1,AND($K78&lt;=AK$7,$L78&gt;AK$7),((AK$7-$K78)/($L78-$K78)))</f>
        <v>#REF!</v>
      </c>
      <c r="AM78" s="201" t="e">
        <f t="array" ref="AM78">_xlfn.IFS(AND($K78&gt;AL$7,$L78&gt;AL$7),0,AND($K78&lt;=AL$7,$L78&lt;=AL$7),1,AND($K78&lt;=AL$7,$L78&gt;AL$7),((AL$7-$K78)/($L78-$K78)))</f>
        <v>#REF!</v>
      </c>
      <c r="AN78" s="201" t="e">
        <f t="array" ref="AN78">_xlfn.IFS(AND($K78&gt;AM$7,$L78&gt;AM$7),0,AND($K78&lt;=AM$7,$L78&lt;=AM$7),1,AND($K78&lt;=AM$7,$L78&gt;AM$7),((AM$7-$K78)/($L78-$K78)))</f>
        <v>#REF!</v>
      </c>
      <c r="AO78" s="201" t="e">
        <f t="array" ref="AO78">_xlfn.IFS(AND($K78&gt;AN$7,$L78&gt;AN$7),0,AND($K78&lt;=AN$7,$L78&lt;=AN$7),1,AND($K78&lt;=AN$7,$L78&gt;AN$7),((AN$7-$K78)/($L78-$K78)))</f>
        <v>#REF!</v>
      </c>
      <c r="AP78" s="201" t="e">
        <f t="array" ref="AP78">_xlfn.IFS(AND($K78&gt;AO$7,$L78&gt;AO$7),0,AND($K78&lt;=AO$7,$L78&lt;=AO$7),1,AND($K78&lt;=AO$7,$L78&gt;AO$7),((AO$7-$K78)/($L78-$K78)))</f>
        <v>#REF!</v>
      </c>
      <c r="AQ78" s="201" t="e">
        <f t="array" ref="AQ78">_xlfn.IFS(AND($K78&gt;AP$7,$L78&gt;AP$7),0,AND($K78&lt;=AP$7,$L78&lt;=AP$7),1,AND($K78&lt;=AP$7,$L78&gt;AP$7),((AP$7-$K78)/($L78-$K78)))</f>
        <v>#REF!</v>
      </c>
      <c r="AR78" s="201" t="e">
        <f t="array" ref="AR78">_xlfn.IFS(AND($K78&gt;AQ$7,$L78&gt;AQ$7),0,AND($K78&lt;=AQ$7,$L78&lt;=AQ$7),1,AND($K78&lt;=AQ$7,$L78&gt;AQ$7),((AQ$7-$K78)/($L78-$K78)))</f>
        <v>#REF!</v>
      </c>
      <c r="AS78" s="201" t="e">
        <f t="array" ref="AS78">_xlfn.IFS(AND($K78&gt;AR$7,$L78&gt;AR$7),0,AND($K78&lt;=AR$7,$L78&lt;=AR$7),1,AND($K78&lt;=AR$7,$L78&gt;AR$7),((AR$7-$K78)/($L78-$K78)))</f>
        <v>#REF!</v>
      </c>
      <c r="AT78" s="201" t="e">
        <f t="array" ref="AT78">_xlfn.IFS(AND($K78&gt;AS$7,$L78&gt;AS$7),0,AND($K78&lt;=AS$7,$L78&lt;=AS$7),1,AND($K78&lt;=AS$7,$L78&gt;AS$7),((AS$7-$K78)/($L78-$K78)))</f>
        <v>#REF!</v>
      </c>
      <c r="AU78" s="201" t="e">
        <f t="array" ref="AU78">_xlfn.IFS(AND($K78&gt;AT$7,$L78&gt;AT$7),0,AND($K78&lt;=AT$7,$L78&lt;=AT$7),1,AND($K78&lt;=AT$7,$L78&gt;AT$7),((AT$7-$K78)/($L78-$K78)))</f>
        <v>#REF!</v>
      </c>
      <c r="AV78" s="201" t="e">
        <f t="array" ref="AV78">_xlfn.IFS(AND($K78&gt;AU$7,$L78&gt;AU$7),0,AND($K78&lt;=AU$7,$L78&lt;=AU$7),1,AND($K78&lt;=AU$7,$L78&gt;AU$7),((AU$7-$K78)/($L78-$K78)))</f>
        <v>#REF!</v>
      </c>
      <c r="AW78" s="201" t="e">
        <f t="array" ref="AW78">_xlfn.IFS(AND($K78&gt;AV$7,$L78&gt;AV$7),0,AND($K78&lt;=AV$7,$L78&lt;=AV$7),1,AND($K78&lt;=AV$7,$L78&gt;AV$7),((AV$7-$K78)/($L78-$K78)))</f>
        <v>#REF!</v>
      </c>
      <c r="AX78" s="201" t="e">
        <f t="array" ref="AX78">_xlfn.IFS(AND($K78&gt;AW$7,$L78&gt;AW$7),0,AND($K78&lt;=AW$7,$L78&lt;=AW$7),1,AND($K78&lt;=AW$7,$L78&gt;AW$7),((AW$7-$K78)/($L78-$K78)))</f>
        <v>#REF!</v>
      </c>
      <c r="AY78" s="201" t="e">
        <f t="array" ref="AY78">_xlfn.IFS(AND($K78&gt;AX$7,$L78&gt;AX$7),0,AND($K78&lt;=AX$7,$L78&lt;=AX$7),1,AND($K78&lt;=AX$7,$L78&gt;AX$7),((AX$7-$K78)/($L78-$K78)))</f>
        <v>#REF!</v>
      </c>
      <c r="AZ78" s="201" t="e">
        <f t="array" ref="AZ78">_xlfn.IFS(AND($K78&gt;AY$7,$L78&gt;AY$7),0,AND($K78&lt;=AY$7,$L78&lt;=AY$7),1,AND($K78&lt;=AY$7,$L78&gt;AY$7),((AY$7-$K78)/($L78-$K78)))</f>
        <v>#REF!</v>
      </c>
      <c r="BA78" s="201" t="e">
        <f t="array" ref="BA78">_xlfn.IFS(AND($K78&gt;AZ$7,$L78&gt;AZ$7),0,AND($K78&lt;=AZ$7,$L78&lt;=AZ$7),1,AND($K78&lt;=AZ$7,$L78&gt;AZ$7),((AZ$7-$K78)/($L78-$K78)))</f>
        <v>#REF!</v>
      </c>
      <c r="BB78" s="201" t="e">
        <f t="array" ref="BB78">_xlfn.IFS(AND($K78&gt;BA$7,$L78&gt;BA$7),0,AND($K78&lt;=BA$7,$L78&lt;=BA$7),1,AND($K78&lt;=BA$7,$L78&gt;BA$7),((BA$7-$K78)/($L78-$K78)))</f>
        <v>#REF!</v>
      </c>
      <c r="BC78" s="201" t="e">
        <f t="array" ref="BC78">_xlfn.IFS(AND($K78&gt;BB$7,$L78&gt;BB$7),0,AND($K78&lt;=BB$7,$L78&lt;=BB$7),1,AND($K78&lt;=BB$7,$L78&gt;BB$7),((BB$7-$K78)/($L78-$K78)))</f>
        <v>#REF!</v>
      </c>
      <c r="BD78" s="201" t="e">
        <f t="array" ref="BD78">_xlfn.IFS(AND($K78&gt;BC$7,$L78&gt;BC$7),0,AND($K78&lt;=BC$7,$L78&lt;=BC$7),1,AND($K78&lt;=BC$7,$L78&gt;BC$7),((BC$7-$K78)/($L78-$K78)))</f>
        <v>#REF!</v>
      </c>
      <c r="BE78" s="201" t="e">
        <f t="array" ref="BE78">_xlfn.IFS(AND($K78&gt;BD$7,$L78&gt;BD$7),0,AND($K78&lt;=BD$7,$L78&lt;=BD$7),1,AND($K78&lt;=BD$7,$L78&gt;BD$7),((BD$7-$K78)/($L78-$K78)))</f>
        <v>#REF!</v>
      </c>
      <c r="BF78" s="201" t="e">
        <f t="array" ref="BF78">_xlfn.IFS(AND($K78&gt;BE$7,$L78&gt;BE$7),0,AND($K78&lt;=BE$7,$L78&lt;=BE$7),1,AND($K78&lt;=BE$7,$L78&gt;BE$7),((BE$7-$K78)/($L78-$K78)))</f>
        <v>#REF!</v>
      </c>
      <c r="BG78" s="201" t="e">
        <f t="array" ref="BG78">_xlfn.IFS(AND($K78&gt;BF$7,$L78&gt;BF$7),0,AND($K78&lt;=BF$7,$L78&lt;=BF$7),1,AND($K78&lt;=BF$7,$L78&gt;BF$7),((BF$7-$K78)/($L78-$K78)))</f>
        <v>#REF!</v>
      </c>
      <c r="BH78" s="201" t="e">
        <f t="array" ref="BH78">_xlfn.IFS(AND($K78&gt;BG$7,$L78&gt;BG$7),0,AND($K78&lt;=BG$7,$L78&lt;=BG$7),1,AND($K78&lt;=BG$7,$L78&gt;BG$7),((BG$7-$K78)/($L78-$K78)))</f>
        <v>#REF!</v>
      </c>
      <c r="BI78" s="201" t="e">
        <f t="array" ref="BI78">_xlfn.IFS(AND($K78&gt;BH$7,$L78&gt;BH$7),0,AND($K78&lt;=BH$7,$L78&lt;=BH$7),1,AND($K78&lt;=BH$7,$L78&gt;BH$7),((BH$7-$K78)/($L78-$K78)))</f>
        <v>#REF!</v>
      </c>
      <c r="BJ78" s="201" t="e">
        <f t="array" ref="BJ78">_xlfn.IFS(AND($K78&gt;BI$7,$L78&gt;BI$7),0,AND($K78&lt;=BI$7,$L78&lt;=BI$7),1,AND($K78&lt;=BI$7,$L78&gt;BI$7),((BI$7-$K78)/($L78-$K78)))</f>
        <v>#REF!</v>
      </c>
      <c r="BK78" s="201" t="e">
        <f t="array" ref="BK78">_xlfn.IFS(AND($K78&gt;BJ$7,$L78&gt;BJ$7),0,AND($K78&lt;=BJ$7,$L78&lt;=BJ$7),1,AND($K78&lt;=BJ$7,$L78&gt;BJ$7),((BJ$7-$K78)/($L78-$K78)))</f>
        <v>#REF!</v>
      </c>
      <c r="BL78" s="201" t="e">
        <f t="array" ref="BL78">_xlfn.IFS(AND($K78&gt;BK$7,$L78&gt;BK$7),0,AND($K78&lt;=BK$7,$L78&lt;=BK$7),1,AND($K78&lt;=BK$7,$L78&gt;BK$7),((BK$7-$K78)/($L78-$K78)))</f>
        <v>#REF!</v>
      </c>
      <c r="BM78" s="201" t="e">
        <f t="array" ref="BM78">_xlfn.IFS(AND($K78&gt;BL$7,$L78&gt;BL$7),0,AND($K78&lt;=BL$7,$L78&lt;=BL$7),1,AND($K78&lt;=BL$7,$L78&gt;BL$7),((BL$7-$K78)/($L78-$K78)))</f>
        <v>#REF!</v>
      </c>
      <c r="BN78" s="201" t="e">
        <f t="array" ref="BN78">_xlfn.IFS(AND($K78&gt;BM$7,$L78&gt;BM$7),0,AND($K78&lt;=BM$7,$L78&lt;=BM$7),1,AND($K78&lt;=BM$7,$L78&gt;BM$7),((BM$7-$K78)/($L78-$K78)))</f>
        <v>#REF!</v>
      </c>
    </row>
    <row r="79" spans="2:66" ht="15" customHeight="1" x14ac:dyDescent="0.3">
      <c r="B79" s="166" t="str">
        <f t="array" ref="B79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79" s="166" t="s">
        <v>205</v>
      </c>
      <c r="D79" s="177"/>
      <c r="E79" s="170" t="str">
        <f t="shared" si="44"/>
        <v>Desenvolvimento da Transformação dos Processos</v>
      </c>
      <c r="F79" s="174" t="str">
        <f t="shared" si="41"/>
        <v>Modelagem To Be</v>
      </c>
      <c r="G79" s="166" t="str">
        <f t="shared" si="45"/>
        <v>Modelagem To Be</v>
      </c>
      <c r="H79" s="197" t="s">
        <v>206</v>
      </c>
      <c r="I79" s="166">
        <v>45740</v>
      </c>
      <c r="J79" s="40">
        <v>45744</v>
      </c>
      <c r="K79" s="166">
        <v>45740</v>
      </c>
      <c r="L79" s="40">
        <v>45744</v>
      </c>
      <c r="M79" s="167"/>
      <c r="N79" s="167" t="str">
        <f t="array" ref="N79">_xlfn.IFS(L79&lt;$M$3,"Concluído",AND(K79&gt;=$M$3,I79&lt;$M$3,L79&gt;$M$3),"Em andamento",AND(L79&gt;=$M$3,J79&lt;$M$3),"Atrasado",AND(L79&gt;=$M$3,J79&gt;=$M$3,I79&gt;$M$3,K79&lt;=$M$3),"Em andamento",AND(L79&gt;=$M$3,J79&gt;=$M$3,I79&lt;=$M$3,K79&lt;=$M$3),"Em andamento",AND(K79&gt;$M$3,I79&gt;$M$3),"Não iniciado",AND(L79&gt;=$M$3,J79&gt;=$M$3,K79&gt;=$M$3,I79&lt;$M$3),"Atrasado",AND(L79&gt;=$M$3,J79&gt;=$M$3,K79&gt;=$M$3,I79&gt;$M$3),"Não iniciado",AND($I79&lt;=$M$3,$K79&gt;$M$3),"Atrasado")</f>
        <v>Concluído</v>
      </c>
      <c r="O79" s="167">
        <f t="array" ref="O79">_xlfn.IFS(N79="Não iniciado",0,N79="Em andamento",1,N79="Concluído",2,N79="Atrasado",3)</f>
        <v>2</v>
      </c>
      <c r="P79" s="169"/>
      <c r="Q79" s="152">
        <f t="array" aca="1" ref="Q79" ca="1">_xlfn.IFS(AND($I79&lt;$N$3,$J79&lt;$N$3),1,AND($I79&lt;=$N$3,$J79&gt;=$N$3),0.5,AND($I79&gt;=$N$3,$J79&gt;=$N$3),0)</f>
        <v>1</v>
      </c>
      <c r="R79" s="152">
        <f t="array" aca="1" ref="R79" ca="1">_xlfn.IFS(AND($K79&lt;$N$3,$L79&lt;$N$3),1,AND($K79&lt;=$N$3,$L79&gt;=$N$3),0.5,AND($K79&gt;=$N$3,$L79&gt;=$N$3),0)</f>
        <v>1</v>
      </c>
      <c r="S79" s="201" t="e">
        <f t="array" ref="S79">_xlfn.IFS(AND($K79&gt;R$7,$L79&gt;R$7),0,AND($K79&lt;=R$7,$L79&lt;=R$7),1,AND($K79&lt;=R$7,$L79&gt;R$7),((R$7-$K79)/($L79-$K79)))</f>
        <v>#REF!</v>
      </c>
      <c r="T79" s="201" t="e">
        <f t="array" ref="T79">_xlfn.IFS(AND($K79&gt;S$7,$L79&gt;S$7),0,AND($K79&lt;=S$7,$L79&lt;=S$7),1,AND($K79&lt;=S$7,$L79&gt;S$7),((S$7-$K79)/($L79-$K79)))</f>
        <v>#REF!</v>
      </c>
      <c r="U79" s="201" t="e">
        <f t="array" ref="U79">_xlfn.IFS(AND($K79&gt;T$7,$L79&gt;T$7),0,AND($K79&lt;=T$7,$L79&lt;=T$7),1,AND($K79&lt;=T$7,$L79&gt;T$7),((T$7-$K79)/($L79-$K79)))</f>
        <v>#REF!</v>
      </c>
      <c r="V79" s="201" t="e">
        <f t="array" ref="V79">_xlfn.IFS(AND($K79&gt;U$7,$L79&gt;U$7),0,AND($K79&lt;=U$7,$L79&lt;=U$7),1,AND($K79&lt;=U$7,$L79&gt;U$7),((U$7-$K79)/($L79-$K79)))</f>
        <v>#REF!</v>
      </c>
      <c r="W79" s="201" t="e">
        <f t="array" ref="W79">_xlfn.IFS(AND($K79&gt;V$7,$L79&gt;V$7),0,AND($K79&lt;=V$7,$L79&lt;=V$7),1,AND($K79&lt;=V$7,$L79&gt;V$7),((V$7-$K79)/($L79-$K79)))</f>
        <v>#REF!</v>
      </c>
      <c r="X79" s="201" t="e">
        <f t="array" ref="X79">_xlfn.IFS(AND($K79&gt;W$7,$L79&gt;W$7),0,AND($K79&lt;=W$7,$L79&lt;=W$7),1,AND($K79&lt;=W$7,$L79&gt;W$7),((W$7-$K79)/($L79-$K79)))</f>
        <v>#REF!</v>
      </c>
      <c r="Y79" s="201" t="e">
        <f t="array" ref="Y79">_xlfn.IFS(AND($K79&gt;X$7,$L79&gt;X$7),0,AND($K79&lt;=X$7,$L79&lt;=X$7),1,AND($K79&lt;=X$7,$L79&gt;X$7),((X$7-$K79)/($L79-$K79)))</f>
        <v>#REF!</v>
      </c>
      <c r="Z79" s="201" t="e">
        <f t="array" ref="Z79">_xlfn.IFS(AND($K79&gt;Y$7,$L79&gt;Y$7),0,AND($K79&lt;=Y$7,$L79&lt;=Y$7),1,AND($K79&lt;=Y$7,$L79&gt;Y$7),((Y$7-$K79)/($L79-$K79)))</f>
        <v>#REF!</v>
      </c>
      <c r="AA79" s="201" t="e">
        <f t="array" ref="AA79">_xlfn.IFS(AND($K79&gt;Z$7,$L79&gt;Z$7),0,AND($K79&lt;=Z$7,$L79&lt;=Z$7),1,AND($K79&lt;=Z$7,$L79&gt;Z$7),((Z$7-$K79)/($L79-$K79)))</f>
        <v>#REF!</v>
      </c>
      <c r="AB79" s="201" t="e">
        <f t="array" ref="AB79">_xlfn.IFS(AND($K79&gt;AA$7,$L79&gt;AA$7),0,AND($K79&lt;=AA$7,$L79&lt;=AA$7),1,AND($K79&lt;=AA$7,$L79&gt;AA$7),((AA$7-$K79)/($L79-$K79)))</f>
        <v>#REF!</v>
      </c>
      <c r="AC79" s="201" t="e">
        <f t="array" ref="AC79">_xlfn.IFS(AND($K79&gt;AB$7,$L79&gt;AB$7),0,AND($K79&lt;=AB$7,$L79&lt;=AB$7),1,AND($K79&lt;=AB$7,$L79&gt;AB$7),((AB$7-$K79)/($L79-$K79)))</f>
        <v>#REF!</v>
      </c>
      <c r="AD79" s="201" t="e">
        <f t="array" ref="AD79">_xlfn.IFS(AND($K79&gt;AC$7,$L79&gt;AC$7),0,AND($K79&lt;=AC$7,$L79&lt;=AC$7),1,AND($K79&lt;=AC$7,$L79&gt;AC$7),((AC$7-$K79)/($L79-$K79)))</f>
        <v>#REF!</v>
      </c>
      <c r="AE79" s="201" t="e">
        <f t="array" ref="AE79">_xlfn.IFS(AND($K79&gt;AD$7,$L79&gt;AD$7),0,AND($K79&lt;=AD$7,$L79&lt;=AD$7),1,AND($K79&lt;=AD$7,$L79&gt;AD$7),((AD$7-$K79)/($L79-$K79)))</f>
        <v>#REF!</v>
      </c>
      <c r="AF79" s="201" t="e">
        <f t="array" ref="AF79">_xlfn.IFS(AND($K79&gt;AE$7,$L79&gt;AE$7),0,AND($K79&lt;=AE$7,$L79&lt;=AE$7),1,AND($K79&lt;=AE$7,$L79&gt;AE$7),((AE$7-$K79)/($L79-$K79)))</f>
        <v>#REF!</v>
      </c>
      <c r="AG79" s="201" t="e">
        <f t="array" ref="AG79">_xlfn.IFS(AND($K79&gt;AF$7,$L79&gt;AF$7),0,AND($K79&lt;=AF$7,$L79&lt;=AF$7),1,AND($K79&lt;=AF$7,$L79&gt;AF$7),((AF$7-$K79)/($L79-$K79)))</f>
        <v>#REF!</v>
      </c>
      <c r="AH79" s="201" t="e">
        <f t="array" ref="AH79">_xlfn.IFS(AND($K79&gt;AG$7,$L79&gt;AG$7),0,AND($K79&lt;=AG$7,$L79&lt;=AG$7),1,AND($K79&lt;=AG$7,$L79&gt;AG$7),((AG$7-$K79)/($L79-$K79)))</f>
        <v>#REF!</v>
      </c>
      <c r="AI79" s="201" t="e">
        <f t="array" ref="AI79">_xlfn.IFS(AND($K79&gt;AH$7,$L79&gt;AH$7),0,AND($K79&lt;=AH$7,$L79&lt;=AH$7),1,AND($K79&lt;=AH$7,$L79&gt;AH$7),((AH$7-$K79)/($L79-$K79)))</f>
        <v>#REF!</v>
      </c>
      <c r="AJ79" s="201" t="e">
        <f t="array" ref="AJ79">_xlfn.IFS(AND($K79&gt;AI$7,$L79&gt;AI$7),0,AND($K79&lt;=AI$7,$L79&lt;=AI$7),1,AND($K79&lt;=AI$7,$L79&gt;AI$7),((AI$7-$K79)/($L79-$K79)))</f>
        <v>#REF!</v>
      </c>
      <c r="AK79" s="201" t="e">
        <f t="array" ref="AK79">_xlfn.IFS(AND($K79&gt;AJ$7,$L79&gt;AJ$7),0,AND($K79&lt;=AJ$7,$L79&lt;=AJ$7),1,AND($K79&lt;=AJ$7,$L79&gt;AJ$7),((AJ$7-$K79)/($L79-$K79)))</f>
        <v>#REF!</v>
      </c>
      <c r="AL79" s="201" t="e">
        <f t="array" ref="AL79">_xlfn.IFS(AND($K79&gt;AK$7,$L79&gt;AK$7),0,AND($K79&lt;=AK$7,$L79&lt;=AK$7),1,AND($K79&lt;=AK$7,$L79&gt;AK$7),((AK$7-$K79)/($L79-$K79)))</f>
        <v>#REF!</v>
      </c>
      <c r="AM79" s="201" t="e">
        <f t="array" ref="AM79">_xlfn.IFS(AND($K79&gt;AL$7,$L79&gt;AL$7),0,AND($K79&lt;=AL$7,$L79&lt;=AL$7),1,AND($K79&lt;=AL$7,$L79&gt;AL$7),((AL$7-$K79)/($L79-$K79)))</f>
        <v>#REF!</v>
      </c>
      <c r="AN79" s="201" t="e">
        <f t="array" ref="AN79">_xlfn.IFS(AND($K79&gt;AM$7,$L79&gt;AM$7),0,AND($K79&lt;=AM$7,$L79&lt;=AM$7),1,AND($K79&lt;=AM$7,$L79&gt;AM$7),((AM$7-$K79)/($L79-$K79)))</f>
        <v>#REF!</v>
      </c>
      <c r="AO79" s="201" t="e">
        <f t="array" ref="AO79">_xlfn.IFS(AND($K79&gt;AN$7,$L79&gt;AN$7),0,AND($K79&lt;=AN$7,$L79&lt;=AN$7),1,AND($K79&lt;=AN$7,$L79&gt;AN$7),((AN$7-$K79)/($L79-$K79)))</f>
        <v>#REF!</v>
      </c>
      <c r="AP79" s="201" t="e">
        <f t="array" ref="AP79">_xlfn.IFS(AND($K79&gt;AO$7,$L79&gt;AO$7),0,AND($K79&lt;=AO$7,$L79&lt;=AO$7),1,AND($K79&lt;=AO$7,$L79&gt;AO$7),((AO$7-$K79)/($L79-$K79)))</f>
        <v>#REF!</v>
      </c>
      <c r="AQ79" s="201" t="e">
        <f t="array" ref="AQ79">_xlfn.IFS(AND($K79&gt;AP$7,$L79&gt;AP$7),0,AND($K79&lt;=AP$7,$L79&lt;=AP$7),1,AND($K79&lt;=AP$7,$L79&gt;AP$7),((AP$7-$K79)/($L79-$K79)))</f>
        <v>#REF!</v>
      </c>
      <c r="AR79" s="201" t="e">
        <f t="array" ref="AR79">_xlfn.IFS(AND($K79&gt;AQ$7,$L79&gt;AQ$7),0,AND($K79&lt;=AQ$7,$L79&lt;=AQ$7),1,AND($K79&lt;=AQ$7,$L79&gt;AQ$7),((AQ$7-$K79)/($L79-$K79)))</f>
        <v>#REF!</v>
      </c>
      <c r="AS79" s="201" t="e">
        <f t="array" ref="AS79">_xlfn.IFS(AND($K79&gt;AR$7,$L79&gt;AR$7),0,AND($K79&lt;=AR$7,$L79&lt;=AR$7),1,AND($K79&lt;=AR$7,$L79&gt;AR$7),((AR$7-$K79)/($L79-$K79)))</f>
        <v>#REF!</v>
      </c>
      <c r="AT79" s="201" t="e">
        <f t="array" ref="AT79">_xlfn.IFS(AND($K79&gt;AS$7,$L79&gt;AS$7),0,AND($K79&lt;=AS$7,$L79&lt;=AS$7),1,AND($K79&lt;=AS$7,$L79&gt;AS$7),((AS$7-$K79)/($L79-$K79)))</f>
        <v>#REF!</v>
      </c>
      <c r="AU79" s="201" t="e">
        <f t="array" ref="AU79">_xlfn.IFS(AND($K79&gt;AT$7,$L79&gt;AT$7),0,AND($K79&lt;=AT$7,$L79&lt;=AT$7),1,AND($K79&lt;=AT$7,$L79&gt;AT$7),((AT$7-$K79)/($L79-$K79)))</f>
        <v>#REF!</v>
      </c>
      <c r="AV79" s="201" t="e">
        <f t="array" ref="AV79">_xlfn.IFS(AND($K79&gt;AU$7,$L79&gt;AU$7),0,AND($K79&lt;=AU$7,$L79&lt;=AU$7),1,AND($K79&lt;=AU$7,$L79&gt;AU$7),((AU$7-$K79)/($L79-$K79)))</f>
        <v>#REF!</v>
      </c>
      <c r="AW79" s="201" t="e">
        <f t="array" ref="AW79">_xlfn.IFS(AND($K79&gt;AV$7,$L79&gt;AV$7),0,AND($K79&lt;=AV$7,$L79&lt;=AV$7),1,AND($K79&lt;=AV$7,$L79&gt;AV$7),((AV$7-$K79)/($L79-$K79)))</f>
        <v>#REF!</v>
      </c>
      <c r="AX79" s="201" t="e">
        <f t="array" ref="AX79">_xlfn.IFS(AND($K79&gt;AW$7,$L79&gt;AW$7),0,AND($K79&lt;=AW$7,$L79&lt;=AW$7),1,AND($K79&lt;=AW$7,$L79&gt;AW$7),((AW$7-$K79)/($L79-$K79)))</f>
        <v>#REF!</v>
      </c>
      <c r="AY79" s="201" t="e">
        <f t="array" ref="AY79">_xlfn.IFS(AND($K79&gt;AX$7,$L79&gt;AX$7),0,AND($K79&lt;=AX$7,$L79&lt;=AX$7),1,AND($K79&lt;=AX$7,$L79&gt;AX$7),((AX$7-$K79)/($L79-$K79)))</f>
        <v>#REF!</v>
      </c>
      <c r="AZ79" s="201" t="e">
        <f t="array" ref="AZ79">_xlfn.IFS(AND($K79&gt;AY$7,$L79&gt;AY$7),0,AND($K79&lt;=AY$7,$L79&lt;=AY$7),1,AND($K79&lt;=AY$7,$L79&gt;AY$7),((AY$7-$K79)/($L79-$K79)))</f>
        <v>#REF!</v>
      </c>
      <c r="BA79" s="201" t="e">
        <f t="array" ref="BA79">_xlfn.IFS(AND($K79&gt;AZ$7,$L79&gt;AZ$7),0,AND($K79&lt;=AZ$7,$L79&lt;=AZ$7),1,AND($K79&lt;=AZ$7,$L79&gt;AZ$7),((AZ$7-$K79)/($L79-$K79)))</f>
        <v>#REF!</v>
      </c>
      <c r="BB79" s="201" t="e">
        <f t="array" ref="BB79">_xlfn.IFS(AND($K79&gt;BA$7,$L79&gt;BA$7),0,AND($K79&lt;=BA$7,$L79&lt;=BA$7),1,AND($K79&lt;=BA$7,$L79&gt;BA$7),((BA$7-$K79)/($L79-$K79)))</f>
        <v>#REF!</v>
      </c>
      <c r="BC79" s="201" t="e">
        <f t="array" ref="BC79">_xlfn.IFS(AND($K79&gt;BB$7,$L79&gt;BB$7),0,AND($K79&lt;=BB$7,$L79&lt;=BB$7),1,AND($K79&lt;=BB$7,$L79&gt;BB$7),((BB$7-$K79)/($L79-$K79)))</f>
        <v>#REF!</v>
      </c>
      <c r="BD79" s="201" t="e">
        <f t="array" ref="BD79">_xlfn.IFS(AND($K79&gt;BC$7,$L79&gt;BC$7),0,AND($K79&lt;=BC$7,$L79&lt;=BC$7),1,AND($K79&lt;=BC$7,$L79&gt;BC$7),((BC$7-$K79)/($L79-$K79)))</f>
        <v>#REF!</v>
      </c>
      <c r="BE79" s="201" t="e">
        <f t="array" ref="BE79">_xlfn.IFS(AND($K79&gt;BD$7,$L79&gt;BD$7),0,AND($K79&lt;=BD$7,$L79&lt;=BD$7),1,AND($K79&lt;=BD$7,$L79&gt;BD$7),((BD$7-$K79)/($L79-$K79)))</f>
        <v>#REF!</v>
      </c>
      <c r="BF79" s="201" t="e">
        <f t="array" ref="BF79">_xlfn.IFS(AND($K79&gt;BE$7,$L79&gt;BE$7),0,AND($K79&lt;=BE$7,$L79&lt;=BE$7),1,AND($K79&lt;=BE$7,$L79&gt;BE$7),((BE$7-$K79)/($L79-$K79)))</f>
        <v>#REF!</v>
      </c>
      <c r="BG79" s="201" t="e">
        <f t="array" ref="BG79">_xlfn.IFS(AND($K79&gt;BF$7,$L79&gt;BF$7),0,AND($K79&lt;=BF$7,$L79&lt;=BF$7),1,AND($K79&lt;=BF$7,$L79&gt;BF$7),((BF$7-$K79)/($L79-$K79)))</f>
        <v>#REF!</v>
      </c>
      <c r="BH79" s="201" t="e">
        <f t="array" ref="BH79">_xlfn.IFS(AND($K79&gt;BG$7,$L79&gt;BG$7),0,AND($K79&lt;=BG$7,$L79&lt;=BG$7),1,AND($K79&lt;=BG$7,$L79&gt;BG$7),((BG$7-$K79)/($L79-$K79)))</f>
        <v>#REF!</v>
      </c>
      <c r="BI79" s="201" t="e">
        <f t="array" ref="BI79">_xlfn.IFS(AND($K79&gt;BH$7,$L79&gt;BH$7),0,AND($K79&lt;=BH$7,$L79&lt;=BH$7),1,AND($K79&lt;=BH$7,$L79&gt;BH$7),((BH$7-$K79)/($L79-$K79)))</f>
        <v>#REF!</v>
      </c>
      <c r="BJ79" s="201" t="e">
        <f t="array" ref="BJ79">_xlfn.IFS(AND($K79&gt;BI$7,$L79&gt;BI$7),0,AND($K79&lt;=BI$7,$L79&lt;=BI$7),1,AND($K79&lt;=BI$7,$L79&gt;BI$7),((BI$7-$K79)/($L79-$K79)))</f>
        <v>#REF!</v>
      </c>
      <c r="BK79" s="201" t="e">
        <f t="array" ref="BK79">_xlfn.IFS(AND($K79&gt;BJ$7,$L79&gt;BJ$7),0,AND($K79&lt;=BJ$7,$L79&lt;=BJ$7),1,AND($K79&lt;=BJ$7,$L79&gt;BJ$7),((BJ$7-$K79)/($L79-$K79)))</f>
        <v>#REF!</v>
      </c>
      <c r="BL79" s="201" t="e">
        <f t="array" ref="BL79">_xlfn.IFS(AND($K79&gt;BK$7,$L79&gt;BK$7),0,AND($K79&lt;=BK$7,$L79&lt;=BK$7),1,AND($K79&lt;=BK$7,$L79&gt;BK$7),((BK$7-$K79)/($L79-$K79)))</f>
        <v>#REF!</v>
      </c>
      <c r="BM79" s="201" t="e">
        <f t="array" ref="BM79">_xlfn.IFS(AND($K79&gt;BL$7,$L79&gt;BL$7),0,AND($K79&lt;=BL$7,$L79&lt;=BL$7),1,AND($K79&lt;=BL$7,$L79&gt;BL$7),((BL$7-$K79)/($L79-$K79)))</f>
        <v>#REF!</v>
      </c>
      <c r="BN79" s="201" t="e">
        <f t="array" ref="BN79">_xlfn.IFS(AND($K79&gt;BM$7,$L79&gt;BM$7),0,AND($K79&lt;=BM$7,$L79&lt;=BM$7),1,AND($K79&lt;=BM$7,$L79&gt;BM$7),((BM$7-$K79)/($L79-$K79)))</f>
        <v>#REF!</v>
      </c>
    </row>
    <row r="80" spans="2:66" ht="15" customHeight="1" x14ac:dyDescent="0.3">
      <c r="B80" s="166" t="str">
        <f t="array" ref="B80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80" s="166" t="s">
        <v>207</v>
      </c>
      <c r="D80" s="177"/>
      <c r="E80" s="170" t="str">
        <f t="shared" si="44"/>
        <v>Desenvolvimento da Transformação dos Processos</v>
      </c>
      <c r="F80" s="174" t="str">
        <f t="shared" si="41"/>
        <v>Modelagem To Be</v>
      </c>
      <c r="G80" s="166" t="str">
        <f t="shared" si="45"/>
        <v>Modelagem To Be</v>
      </c>
      <c r="H80" s="197" t="s">
        <v>208</v>
      </c>
      <c r="I80" s="166">
        <v>45736</v>
      </c>
      <c r="J80" s="40">
        <v>45744</v>
      </c>
      <c r="K80" s="166">
        <v>45736</v>
      </c>
      <c r="L80" s="40">
        <v>45744</v>
      </c>
      <c r="M80" s="167"/>
      <c r="N80" s="167" t="str">
        <f t="array" ref="N80">_xlfn.IFS(L80&lt;$M$3,"Concluído",AND(K80&gt;=$M$3,I80&lt;$M$3,L80&gt;$M$3),"Em andamento",AND(L80&gt;=$M$3,J80&lt;$M$3),"Atrasado",AND(L80&gt;=$M$3,J80&gt;=$M$3,I80&gt;$M$3,K80&lt;=$M$3),"Em andamento",AND(L80&gt;=$M$3,J80&gt;=$M$3,I80&lt;=$M$3,K80&lt;=$M$3),"Em andamento",AND(K80&gt;$M$3,I80&gt;$M$3),"Não iniciado",AND(L80&gt;=$M$3,J80&gt;=$M$3,K80&gt;=$M$3,I80&lt;$M$3),"Atrasado",AND(L80&gt;=$M$3,J80&gt;=$M$3,K80&gt;=$M$3,I80&gt;$M$3),"Não iniciado",AND($I80&lt;=$M$3,$K80&gt;$M$3),"Atrasado")</f>
        <v>Concluído</v>
      </c>
      <c r="O80" s="167">
        <f t="array" ref="O80">_xlfn.IFS(N80="Não iniciado",0,N80="Em andamento",1,N80="Concluído",2,N80="Atrasado",3)</f>
        <v>2</v>
      </c>
      <c r="P80" s="169"/>
      <c r="Q80" s="152">
        <f t="array" aca="1" ref="Q80" ca="1">_xlfn.IFS(AND($I80&lt;$N$3,$J80&lt;$N$3),1,AND($I80&lt;=$N$3,$J80&gt;=$N$3),0.5,AND($I80&gt;=$N$3,$J80&gt;=$N$3),0)</f>
        <v>1</v>
      </c>
      <c r="R80" s="152">
        <f t="array" aca="1" ref="R80" ca="1">_xlfn.IFS(AND($K80&lt;$N$3,$L80&lt;$N$3),1,AND($K80&lt;=$N$3,$L80&gt;=$N$3),0.5,AND($K80&gt;=$N$3,$L80&gt;=$N$3),0)</f>
        <v>1</v>
      </c>
      <c r="S80" s="201" t="e">
        <f t="array" ref="S80">_xlfn.IFS(AND($K80&gt;R$7,$L80&gt;R$7),0,AND($K80&lt;=R$7,$L80&lt;=R$7),1,AND($K80&lt;=R$7,$L80&gt;R$7),((R$7-$K80)/($L80-$K80)))</f>
        <v>#REF!</v>
      </c>
      <c r="T80" s="201" t="e">
        <f t="array" ref="T80">_xlfn.IFS(AND($K80&gt;S$7,$L80&gt;S$7),0,AND($K80&lt;=S$7,$L80&lt;=S$7),1,AND($K80&lt;=S$7,$L80&gt;S$7),((S$7-$K80)/($L80-$K80)))</f>
        <v>#REF!</v>
      </c>
      <c r="U80" s="201" t="e">
        <f t="array" ref="U80">_xlfn.IFS(AND($K80&gt;T$7,$L80&gt;T$7),0,AND($K80&lt;=T$7,$L80&lt;=T$7),1,AND($K80&lt;=T$7,$L80&gt;T$7),((T$7-$K80)/($L80-$K80)))</f>
        <v>#REF!</v>
      </c>
      <c r="V80" s="201" t="e">
        <f t="array" ref="V80">_xlfn.IFS(AND($K80&gt;U$7,$L80&gt;U$7),0,AND($K80&lt;=U$7,$L80&lt;=U$7),1,AND($K80&lt;=U$7,$L80&gt;U$7),((U$7-$K80)/($L80-$K80)))</f>
        <v>#REF!</v>
      </c>
      <c r="W80" s="201" t="e">
        <f t="array" ref="W80">_xlfn.IFS(AND($K80&gt;V$7,$L80&gt;V$7),0,AND($K80&lt;=V$7,$L80&lt;=V$7),1,AND($K80&lt;=V$7,$L80&gt;V$7),((V$7-$K80)/($L80-$K80)))</f>
        <v>#REF!</v>
      </c>
      <c r="X80" s="201" t="e">
        <f t="array" ref="X80">_xlfn.IFS(AND($K80&gt;W$7,$L80&gt;W$7),0,AND($K80&lt;=W$7,$L80&lt;=W$7),1,AND($K80&lt;=W$7,$L80&gt;W$7),((W$7-$K80)/($L80-$K80)))</f>
        <v>#REF!</v>
      </c>
      <c r="Y80" s="201" t="e">
        <f t="array" ref="Y80">_xlfn.IFS(AND($K80&gt;X$7,$L80&gt;X$7),0,AND($K80&lt;=X$7,$L80&lt;=X$7),1,AND($K80&lt;=X$7,$L80&gt;X$7),((X$7-$K80)/($L80-$K80)))</f>
        <v>#REF!</v>
      </c>
      <c r="Z80" s="201" t="e">
        <f t="array" ref="Z80">_xlfn.IFS(AND($K80&gt;Y$7,$L80&gt;Y$7),0,AND($K80&lt;=Y$7,$L80&lt;=Y$7),1,AND($K80&lt;=Y$7,$L80&gt;Y$7),((Y$7-$K80)/($L80-$K80)))</f>
        <v>#REF!</v>
      </c>
      <c r="AA80" s="201" t="e">
        <f t="array" ref="AA80">_xlfn.IFS(AND($K80&gt;Z$7,$L80&gt;Z$7),0,AND($K80&lt;=Z$7,$L80&lt;=Z$7),1,AND($K80&lt;=Z$7,$L80&gt;Z$7),((Z$7-$K80)/($L80-$K80)))</f>
        <v>#REF!</v>
      </c>
      <c r="AB80" s="201" t="e">
        <f t="array" ref="AB80">_xlfn.IFS(AND($K80&gt;AA$7,$L80&gt;AA$7),0,AND($K80&lt;=AA$7,$L80&lt;=AA$7),1,AND($K80&lt;=AA$7,$L80&gt;AA$7),((AA$7-$K80)/($L80-$K80)))</f>
        <v>#REF!</v>
      </c>
      <c r="AC80" s="201" t="e">
        <f t="array" ref="AC80">_xlfn.IFS(AND($K80&gt;AB$7,$L80&gt;AB$7),0,AND($K80&lt;=AB$7,$L80&lt;=AB$7),1,AND($K80&lt;=AB$7,$L80&gt;AB$7),((AB$7-$K80)/($L80-$K80)))</f>
        <v>#REF!</v>
      </c>
      <c r="AD80" s="201" t="e">
        <f t="array" ref="AD80">_xlfn.IFS(AND($K80&gt;AC$7,$L80&gt;AC$7),0,AND($K80&lt;=AC$7,$L80&lt;=AC$7),1,AND($K80&lt;=AC$7,$L80&gt;AC$7),((AC$7-$K80)/($L80-$K80)))</f>
        <v>#REF!</v>
      </c>
      <c r="AE80" s="201" t="e">
        <f t="array" ref="AE80">_xlfn.IFS(AND($K80&gt;AD$7,$L80&gt;AD$7),0,AND($K80&lt;=AD$7,$L80&lt;=AD$7),1,AND($K80&lt;=AD$7,$L80&gt;AD$7),((AD$7-$K80)/($L80-$K80)))</f>
        <v>#REF!</v>
      </c>
      <c r="AF80" s="201" t="e">
        <f t="array" ref="AF80">_xlfn.IFS(AND($K80&gt;AE$7,$L80&gt;AE$7),0,AND($K80&lt;=AE$7,$L80&lt;=AE$7),1,AND($K80&lt;=AE$7,$L80&gt;AE$7),((AE$7-$K80)/($L80-$K80)))</f>
        <v>#REF!</v>
      </c>
      <c r="AG80" s="201" t="e">
        <f t="array" ref="AG80">_xlfn.IFS(AND($K80&gt;AF$7,$L80&gt;AF$7),0,AND($K80&lt;=AF$7,$L80&lt;=AF$7),1,AND($K80&lt;=AF$7,$L80&gt;AF$7),((AF$7-$K80)/($L80-$K80)))</f>
        <v>#REF!</v>
      </c>
      <c r="AH80" s="201" t="e">
        <f t="array" ref="AH80">_xlfn.IFS(AND($K80&gt;AG$7,$L80&gt;AG$7),0,AND($K80&lt;=AG$7,$L80&lt;=AG$7),1,AND($K80&lt;=AG$7,$L80&gt;AG$7),((AG$7-$K80)/($L80-$K80)))</f>
        <v>#REF!</v>
      </c>
      <c r="AI80" s="201" t="e">
        <f t="array" ref="AI80">_xlfn.IFS(AND($K80&gt;AH$7,$L80&gt;AH$7),0,AND($K80&lt;=AH$7,$L80&lt;=AH$7),1,AND($K80&lt;=AH$7,$L80&gt;AH$7),((AH$7-$K80)/($L80-$K80)))</f>
        <v>#REF!</v>
      </c>
      <c r="AJ80" s="201" t="e">
        <f t="array" ref="AJ80">_xlfn.IFS(AND($K80&gt;AI$7,$L80&gt;AI$7),0,AND($K80&lt;=AI$7,$L80&lt;=AI$7),1,AND($K80&lt;=AI$7,$L80&gt;AI$7),((AI$7-$K80)/($L80-$K80)))</f>
        <v>#REF!</v>
      </c>
      <c r="AK80" s="201" t="e">
        <f t="array" ref="AK80">_xlfn.IFS(AND($K80&gt;AJ$7,$L80&gt;AJ$7),0,AND($K80&lt;=AJ$7,$L80&lt;=AJ$7),1,AND($K80&lt;=AJ$7,$L80&gt;AJ$7),((AJ$7-$K80)/($L80-$K80)))</f>
        <v>#REF!</v>
      </c>
      <c r="AL80" s="201" t="e">
        <f t="array" ref="AL80">_xlfn.IFS(AND($K80&gt;AK$7,$L80&gt;AK$7),0,AND($K80&lt;=AK$7,$L80&lt;=AK$7),1,AND($K80&lt;=AK$7,$L80&gt;AK$7),((AK$7-$K80)/($L80-$K80)))</f>
        <v>#REF!</v>
      </c>
      <c r="AM80" s="201" t="e">
        <f t="array" ref="AM80">_xlfn.IFS(AND($K80&gt;AL$7,$L80&gt;AL$7),0,AND($K80&lt;=AL$7,$L80&lt;=AL$7),1,AND($K80&lt;=AL$7,$L80&gt;AL$7),((AL$7-$K80)/($L80-$K80)))</f>
        <v>#REF!</v>
      </c>
      <c r="AN80" s="201" t="e">
        <f t="array" ref="AN80">_xlfn.IFS(AND($K80&gt;AM$7,$L80&gt;AM$7),0,AND($K80&lt;=AM$7,$L80&lt;=AM$7),1,AND($K80&lt;=AM$7,$L80&gt;AM$7),((AM$7-$K80)/($L80-$K80)))</f>
        <v>#REF!</v>
      </c>
      <c r="AO80" s="201" t="e">
        <f t="array" ref="AO80">_xlfn.IFS(AND($K80&gt;AN$7,$L80&gt;AN$7),0,AND($K80&lt;=AN$7,$L80&lt;=AN$7),1,AND($K80&lt;=AN$7,$L80&gt;AN$7),((AN$7-$K80)/($L80-$K80)))</f>
        <v>#REF!</v>
      </c>
      <c r="AP80" s="201" t="e">
        <f t="array" ref="AP80">_xlfn.IFS(AND($K80&gt;AO$7,$L80&gt;AO$7),0,AND($K80&lt;=AO$7,$L80&lt;=AO$7),1,AND($K80&lt;=AO$7,$L80&gt;AO$7),((AO$7-$K80)/($L80-$K80)))</f>
        <v>#REF!</v>
      </c>
      <c r="AQ80" s="201" t="e">
        <f t="array" ref="AQ80">_xlfn.IFS(AND($K80&gt;AP$7,$L80&gt;AP$7),0,AND($K80&lt;=AP$7,$L80&lt;=AP$7),1,AND($K80&lt;=AP$7,$L80&gt;AP$7),((AP$7-$K80)/($L80-$K80)))</f>
        <v>#REF!</v>
      </c>
      <c r="AR80" s="201" t="e">
        <f t="array" ref="AR80">_xlfn.IFS(AND($K80&gt;AQ$7,$L80&gt;AQ$7),0,AND($K80&lt;=AQ$7,$L80&lt;=AQ$7),1,AND($K80&lt;=AQ$7,$L80&gt;AQ$7),((AQ$7-$K80)/($L80-$K80)))</f>
        <v>#REF!</v>
      </c>
      <c r="AS80" s="201" t="e">
        <f t="array" ref="AS80">_xlfn.IFS(AND($K80&gt;AR$7,$L80&gt;AR$7),0,AND($K80&lt;=AR$7,$L80&lt;=AR$7),1,AND($K80&lt;=AR$7,$L80&gt;AR$7),((AR$7-$K80)/($L80-$K80)))</f>
        <v>#REF!</v>
      </c>
      <c r="AT80" s="201" t="e">
        <f t="array" ref="AT80">_xlfn.IFS(AND($K80&gt;AS$7,$L80&gt;AS$7),0,AND($K80&lt;=AS$7,$L80&lt;=AS$7),1,AND($K80&lt;=AS$7,$L80&gt;AS$7),((AS$7-$K80)/($L80-$K80)))</f>
        <v>#REF!</v>
      </c>
      <c r="AU80" s="201" t="e">
        <f t="array" ref="AU80">_xlfn.IFS(AND($K80&gt;AT$7,$L80&gt;AT$7),0,AND($K80&lt;=AT$7,$L80&lt;=AT$7),1,AND($K80&lt;=AT$7,$L80&gt;AT$7),((AT$7-$K80)/($L80-$K80)))</f>
        <v>#REF!</v>
      </c>
      <c r="AV80" s="201" t="e">
        <f t="array" ref="AV80">_xlfn.IFS(AND($K80&gt;AU$7,$L80&gt;AU$7),0,AND($K80&lt;=AU$7,$L80&lt;=AU$7),1,AND($K80&lt;=AU$7,$L80&gt;AU$7),((AU$7-$K80)/($L80-$K80)))</f>
        <v>#REF!</v>
      </c>
      <c r="AW80" s="201" t="e">
        <f t="array" ref="AW80">_xlfn.IFS(AND($K80&gt;AV$7,$L80&gt;AV$7),0,AND($K80&lt;=AV$7,$L80&lt;=AV$7),1,AND($K80&lt;=AV$7,$L80&gt;AV$7),((AV$7-$K80)/($L80-$K80)))</f>
        <v>#REF!</v>
      </c>
      <c r="AX80" s="201" t="e">
        <f t="array" ref="AX80">_xlfn.IFS(AND($K80&gt;AW$7,$L80&gt;AW$7),0,AND($K80&lt;=AW$7,$L80&lt;=AW$7),1,AND($K80&lt;=AW$7,$L80&gt;AW$7),((AW$7-$K80)/($L80-$K80)))</f>
        <v>#REF!</v>
      </c>
      <c r="AY80" s="201" t="e">
        <f t="array" ref="AY80">_xlfn.IFS(AND($K80&gt;AX$7,$L80&gt;AX$7),0,AND($K80&lt;=AX$7,$L80&lt;=AX$7),1,AND($K80&lt;=AX$7,$L80&gt;AX$7),((AX$7-$K80)/($L80-$K80)))</f>
        <v>#REF!</v>
      </c>
      <c r="AZ80" s="201" t="e">
        <f t="array" ref="AZ80">_xlfn.IFS(AND($K80&gt;AY$7,$L80&gt;AY$7),0,AND($K80&lt;=AY$7,$L80&lt;=AY$7),1,AND($K80&lt;=AY$7,$L80&gt;AY$7),((AY$7-$K80)/($L80-$K80)))</f>
        <v>#REF!</v>
      </c>
      <c r="BA80" s="201" t="e">
        <f t="array" ref="BA80">_xlfn.IFS(AND($K80&gt;AZ$7,$L80&gt;AZ$7),0,AND($K80&lt;=AZ$7,$L80&lt;=AZ$7),1,AND($K80&lt;=AZ$7,$L80&gt;AZ$7),((AZ$7-$K80)/($L80-$K80)))</f>
        <v>#REF!</v>
      </c>
      <c r="BB80" s="201" t="e">
        <f t="array" ref="BB80">_xlfn.IFS(AND($K80&gt;BA$7,$L80&gt;BA$7),0,AND($K80&lt;=BA$7,$L80&lt;=BA$7),1,AND($K80&lt;=BA$7,$L80&gt;BA$7),((BA$7-$K80)/($L80-$K80)))</f>
        <v>#REF!</v>
      </c>
      <c r="BC80" s="201" t="e">
        <f t="array" ref="BC80">_xlfn.IFS(AND($K80&gt;BB$7,$L80&gt;BB$7),0,AND($K80&lt;=BB$7,$L80&lt;=BB$7),1,AND($K80&lt;=BB$7,$L80&gt;BB$7),((BB$7-$K80)/($L80-$K80)))</f>
        <v>#REF!</v>
      </c>
      <c r="BD80" s="201" t="e">
        <f t="array" ref="BD80">_xlfn.IFS(AND($K80&gt;BC$7,$L80&gt;BC$7),0,AND($K80&lt;=BC$7,$L80&lt;=BC$7),1,AND($K80&lt;=BC$7,$L80&gt;BC$7),((BC$7-$K80)/($L80-$K80)))</f>
        <v>#REF!</v>
      </c>
      <c r="BE80" s="201" t="e">
        <f t="array" ref="BE80">_xlfn.IFS(AND($K80&gt;BD$7,$L80&gt;BD$7),0,AND($K80&lt;=BD$7,$L80&lt;=BD$7),1,AND($K80&lt;=BD$7,$L80&gt;BD$7),((BD$7-$K80)/($L80-$K80)))</f>
        <v>#REF!</v>
      </c>
      <c r="BF80" s="201" t="e">
        <f t="array" ref="BF80">_xlfn.IFS(AND($K80&gt;BE$7,$L80&gt;BE$7),0,AND($K80&lt;=BE$7,$L80&lt;=BE$7),1,AND($K80&lt;=BE$7,$L80&gt;BE$7),((BE$7-$K80)/($L80-$K80)))</f>
        <v>#REF!</v>
      </c>
      <c r="BG80" s="201" t="e">
        <f t="array" ref="BG80">_xlfn.IFS(AND($K80&gt;BF$7,$L80&gt;BF$7),0,AND($K80&lt;=BF$7,$L80&lt;=BF$7),1,AND($K80&lt;=BF$7,$L80&gt;BF$7),((BF$7-$K80)/($L80-$K80)))</f>
        <v>#REF!</v>
      </c>
      <c r="BH80" s="201" t="e">
        <f t="array" ref="BH80">_xlfn.IFS(AND($K80&gt;BG$7,$L80&gt;BG$7),0,AND($K80&lt;=BG$7,$L80&lt;=BG$7),1,AND($K80&lt;=BG$7,$L80&gt;BG$7),((BG$7-$K80)/($L80-$K80)))</f>
        <v>#REF!</v>
      </c>
      <c r="BI80" s="201" t="e">
        <f t="array" ref="BI80">_xlfn.IFS(AND($K80&gt;BH$7,$L80&gt;BH$7),0,AND($K80&lt;=BH$7,$L80&lt;=BH$7),1,AND($K80&lt;=BH$7,$L80&gt;BH$7),((BH$7-$K80)/($L80-$K80)))</f>
        <v>#REF!</v>
      </c>
      <c r="BJ80" s="201" t="e">
        <f t="array" ref="BJ80">_xlfn.IFS(AND($K80&gt;BI$7,$L80&gt;BI$7),0,AND($K80&lt;=BI$7,$L80&lt;=BI$7),1,AND($K80&lt;=BI$7,$L80&gt;BI$7),((BI$7-$K80)/($L80-$K80)))</f>
        <v>#REF!</v>
      </c>
      <c r="BK80" s="201" t="e">
        <f t="array" ref="BK80">_xlfn.IFS(AND($K80&gt;BJ$7,$L80&gt;BJ$7),0,AND($K80&lt;=BJ$7,$L80&lt;=BJ$7),1,AND($K80&lt;=BJ$7,$L80&gt;BJ$7),((BJ$7-$K80)/($L80-$K80)))</f>
        <v>#REF!</v>
      </c>
      <c r="BL80" s="201" t="e">
        <f t="array" ref="BL80">_xlfn.IFS(AND($K80&gt;BK$7,$L80&gt;BK$7),0,AND($K80&lt;=BK$7,$L80&lt;=BK$7),1,AND($K80&lt;=BK$7,$L80&gt;BK$7),((BK$7-$K80)/($L80-$K80)))</f>
        <v>#REF!</v>
      </c>
      <c r="BM80" s="201" t="e">
        <f t="array" ref="BM80">_xlfn.IFS(AND($K80&gt;BL$7,$L80&gt;BL$7),0,AND($K80&lt;=BL$7,$L80&lt;=BL$7),1,AND($K80&lt;=BL$7,$L80&gt;BL$7),((BL$7-$K80)/($L80-$K80)))</f>
        <v>#REF!</v>
      </c>
      <c r="BN80" s="201" t="e">
        <f t="array" ref="BN80">_xlfn.IFS(AND($K80&gt;BM$7,$L80&gt;BM$7),0,AND($K80&lt;=BM$7,$L80&lt;=BM$7),1,AND($K80&lt;=BM$7,$L80&gt;BM$7),((BM$7-$K80)/($L80-$K80)))</f>
        <v>#REF!</v>
      </c>
    </row>
    <row r="81" spans="2:66" ht="15" customHeight="1" x14ac:dyDescent="0.3">
      <c r="B81" s="166" t="str">
        <f t="array" ref="B81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81" s="166" t="s">
        <v>209</v>
      </c>
      <c r="D81" s="177"/>
      <c r="E81" s="170" t="str">
        <f t="shared" si="44"/>
        <v>Desenvolvimento da Transformação dos Processos</v>
      </c>
      <c r="F81" s="174" t="str">
        <f t="shared" si="41"/>
        <v>Modelagem To Be</v>
      </c>
      <c r="G81" s="166" t="str">
        <f t="shared" si="45"/>
        <v>Modelagem To Be</v>
      </c>
      <c r="H81" s="197" t="s">
        <v>210</v>
      </c>
      <c r="I81" s="166">
        <v>45775</v>
      </c>
      <c r="J81" s="40">
        <v>45779</v>
      </c>
      <c r="K81" s="166">
        <v>45775</v>
      </c>
      <c r="L81" s="40">
        <v>45779</v>
      </c>
      <c r="M81" s="167"/>
      <c r="N81" s="167" t="str">
        <f t="array" ref="N81">_xlfn.IFS(L81&lt;$M$3,"Concluído",AND(K81&gt;=$M$3,I81&lt;$M$3,L81&gt;$M$3),"Em andamento",AND(L81&gt;=$M$3,J81&lt;$M$3),"Atrasado",AND(L81&gt;=$M$3,J81&gt;=$M$3,I81&gt;$M$3,K81&lt;=$M$3),"Em andamento",AND(L81&gt;=$M$3,J81&gt;=$M$3,I81&lt;=$M$3,K81&lt;=$M$3),"Em andamento",AND(K81&gt;$M$3,I81&gt;$M$3),"Não iniciado",AND(L81&gt;=$M$3,J81&gt;=$M$3,K81&gt;=$M$3,I81&lt;$M$3),"Atrasado",AND(L81&gt;=$M$3,J81&gt;=$M$3,K81&gt;=$M$3,I81&gt;$M$3),"Não iniciado",AND($I81&lt;=$M$3,$K81&gt;$M$3),"Atrasado")</f>
        <v>Concluído</v>
      </c>
      <c r="O81" s="167">
        <f t="array" ref="O81">_xlfn.IFS(N81="Não iniciado",0,N81="Em andamento",1,N81="Concluído",2,N81="Atrasado",3)</f>
        <v>2</v>
      </c>
      <c r="P81" s="169"/>
      <c r="Q81" s="152">
        <f t="array" aca="1" ref="Q81" ca="1">_xlfn.IFS(AND($I81&lt;$N$3,$J81&lt;$N$3),1,AND($I81&lt;=$N$3,$J81&gt;=$N$3),0.5,AND($I81&gt;=$N$3,$J81&gt;=$N$3),0)</f>
        <v>1</v>
      </c>
      <c r="R81" s="152">
        <f t="array" aca="1" ref="R81" ca="1">_xlfn.IFS(AND($K81&lt;$N$3,$L81&lt;$N$3),1,AND($K81&lt;=$N$3,$L81&gt;=$N$3),0.5,AND($K81&gt;=$N$3,$L81&gt;=$N$3),0)</f>
        <v>1</v>
      </c>
      <c r="S81" s="201" t="e">
        <f t="array" ref="S81">_xlfn.IFS(AND($K81&gt;R$7,$L81&gt;R$7),0,AND($K81&lt;=R$7,$L81&lt;=R$7),1,AND($K81&lt;=R$7,$L81&gt;R$7),((R$7-$K81)/($L81-$K81)))</f>
        <v>#REF!</v>
      </c>
      <c r="T81" s="201" t="e">
        <f t="array" ref="T81">_xlfn.IFS(AND($K81&gt;S$7,$L81&gt;S$7),0,AND($K81&lt;=S$7,$L81&lt;=S$7),1,AND($K81&lt;=S$7,$L81&gt;S$7),((S$7-$K81)/($L81-$K81)))</f>
        <v>#REF!</v>
      </c>
      <c r="U81" s="201" t="e">
        <f t="array" ref="U81">_xlfn.IFS(AND($K81&gt;T$7,$L81&gt;T$7),0,AND($K81&lt;=T$7,$L81&lt;=T$7),1,AND($K81&lt;=T$7,$L81&gt;T$7),((T$7-$K81)/($L81-$K81)))</f>
        <v>#REF!</v>
      </c>
      <c r="V81" s="201" t="e">
        <f t="array" ref="V81">_xlfn.IFS(AND($K81&gt;U$7,$L81&gt;U$7),0,AND($K81&lt;=U$7,$L81&lt;=U$7),1,AND($K81&lt;=U$7,$L81&gt;U$7),((U$7-$K81)/($L81-$K81)))</f>
        <v>#REF!</v>
      </c>
      <c r="W81" s="201" t="e">
        <f t="array" ref="W81">_xlfn.IFS(AND($K81&gt;V$7,$L81&gt;V$7),0,AND($K81&lt;=V$7,$L81&lt;=V$7),1,AND($K81&lt;=V$7,$L81&gt;V$7),((V$7-$K81)/($L81-$K81)))</f>
        <v>#REF!</v>
      </c>
      <c r="X81" s="201" t="e">
        <f t="array" ref="X81">_xlfn.IFS(AND($K81&gt;W$7,$L81&gt;W$7),0,AND($K81&lt;=W$7,$L81&lt;=W$7),1,AND($K81&lt;=W$7,$L81&gt;W$7),((W$7-$K81)/($L81-$K81)))</f>
        <v>#REF!</v>
      </c>
      <c r="Y81" s="201" t="e">
        <f t="array" ref="Y81">_xlfn.IFS(AND($K81&gt;X$7,$L81&gt;X$7),0,AND($K81&lt;=X$7,$L81&lt;=X$7),1,AND($K81&lt;=X$7,$L81&gt;X$7),((X$7-$K81)/($L81-$K81)))</f>
        <v>#REF!</v>
      </c>
      <c r="Z81" s="201" t="e">
        <f t="array" ref="Z81">_xlfn.IFS(AND($K81&gt;Y$7,$L81&gt;Y$7),0,AND($K81&lt;=Y$7,$L81&lt;=Y$7),1,AND($K81&lt;=Y$7,$L81&gt;Y$7),((Y$7-$K81)/($L81-$K81)))</f>
        <v>#REF!</v>
      </c>
      <c r="AA81" s="201" t="e">
        <f t="array" ref="AA81">_xlfn.IFS(AND($K81&gt;Z$7,$L81&gt;Z$7),0,AND($K81&lt;=Z$7,$L81&lt;=Z$7),1,AND($K81&lt;=Z$7,$L81&gt;Z$7),((Z$7-$K81)/($L81-$K81)))</f>
        <v>#REF!</v>
      </c>
      <c r="AB81" s="201" t="e">
        <f t="array" ref="AB81">_xlfn.IFS(AND($K81&gt;AA$7,$L81&gt;AA$7),0,AND($K81&lt;=AA$7,$L81&lt;=AA$7),1,AND($K81&lt;=AA$7,$L81&gt;AA$7),((AA$7-$K81)/($L81-$K81)))</f>
        <v>#REF!</v>
      </c>
      <c r="AC81" s="201" t="e">
        <f t="array" ref="AC81">_xlfn.IFS(AND($K81&gt;AB$7,$L81&gt;AB$7),0,AND($K81&lt;=AB$7,$L81&lt;=AB$7),1,AND($K81&lt;=AB$7,$L81&gt;AB$7),((AB$7-$K81)/($L81-$K81)))</f>
        <v>#REF!</v>
      </c>
      <c r="AD81" s="201" t="e">
        <f t="array" ref="AD81">_xlfn.IFS(AND($K81&gt;AC$7,$L81&gt;AC$7),0,AND($K81&lt;=AC$7,$L81&lt;=AC$7),1,AND($K81&lt;=AC$7,$L81&gt;AC$7),((AC$7-$K81)/($L81-$K81)))</f>
        <v>#REF!</v>
      </c>
      <c r="AE81" s="201" t="e">
        <f t="array" ref="AE81">_xlfn.IFS(AND($K81&gt;AD$7,$L81&gt;AD$7),0,AND($K81&lt;=AD$7,$L81&lt;=AD$7),1,AND($K81&lt;=AD$7,$L81&gt;AD$7),((AD$7-$K81)/($L81-$K81)))</f>
        <v>#REF!</v>
      </c>
      <c r="AF81" s="201" t="e">
        <f t="array" ref="AF81">_xlfn.IFS(AND($K81&gt;AE$7,$L81&gt;AE$7),0,AND($K81&lt;=AE$7,$L81&lt;=AE$7),1,AND($K81&lt;=AE$7,$L81&gt;AE$7),((AE$7-$K81)/($L81-$K81)))</f>
        <v>#REF!</v>
      </c>
      <c r="AG81" s="201" t="e">
        <f t="array" ref="AG81">_xlfn.IFS(AND($K81&gt;AF$7,$L81&gt;AF$7),0,AND($K81&lt;=AF$7,$L81&lt;=AF$7),1,AND($K81&lt;=AF$7,$L81&gt;AF$7),((AF$7-$K81)/($L81-$K81)))</f>
        <v>#REF!</v>
      </c>
      <c r="AH81" s="201" t="e">
        <f t="array" ref="AH81">_xlfn.IFS(AND($K81&gt;AG$7,$L81&gt;AG$7),0,AND($K81&lt;=AG$7,$L81&lt;=AG$7),1,AND($K81&lt;=AG$7,$L81&gt;AG$7),((AG$7-$K81)/($L81-$K81)))</f>
        <v>#REF!</v>
      </c>
      <c r="AI81" s="201" t="e">
        <f t="array" ref="AI81">_xlfn.IFS(AND($K81&gt;AH$7,$L81&gt;AH$7),0,AND($K81&lt;=AH$7,$L81&lt;=AH$7),1,AND($K81&lt;=AH$7,$L81&gt;AH$7),((AH$7-$K81)/($L81-$K81)))</f>
        <v>#REF!</v>
      </c>
      <c r="AJ81" s="201" t="e">
        <f t="array" ref="AJ81">_xlfn.IFS(AND($K81&gt;AI$7,$L81&gt;AI$7),0,AND($K81&lt;=AI$7,$L81&lt;=AI$7),1,AND($K81&lt;=AI$7,$L81&gt;AI$7),((AI$7-$K81)/($L81-$K81)))</f>
        <v>#REF!</v>
      </c>
      <c r="AK81" s="201" t="e">
        <f t="array" ref="AK81">_xlfn.IFS(AND($K81&gt;AJ$7,$L81&gt;AJ$7),0,AND($K81&lt;=AJ$7,$L81&lt;=AJ$7),1,AND($K81&lt;=AJ$7,$L81&gt;AJ$7),((AJ$7-$K81)/($L81-$K81)))</f>
        <v>#REF!</v>
      </c>
      <c r="AL81" s="201" t="e">
        <f t="array" ref="AL81">_xlfn.IFS(AND($K81&gt;AK$7,$L81&gt;AK$7),0,AND($K81&lt;=AK$7,$L81&lt;=AK$7),1,AND($K81&lt;=AK$7,$L81&gt;AK$7),((AK$7-$K81)/($L81-$K81)))</f>
        <v>#REF!</v>
      </c>
      <c r="AM81" s="201" t="e">
        <f t="array" ref="AM81">_xlfn.IFS(AND($K81&gt;AL$7,$L81&gt;AL$7),0,AND($K81&lt;=AL$7,$L81&lt;=AL$7),1,AND($K81&lt;=AL$7,$L81&gt;AL$7),((AL$7-$K81)/($L81-$K81)))</f>
        <v>#REF!</v>
      </c>
      <c r="AN81" s="201" t="e">
        <f t="array" ref="AN81">_xlfn.IFS(AND($K81&gt;AM$7,$L81&gt;AM$7),0,AND($K81&lt;=AM$7,$L81&lt;=AM$7),1,AND($K81&lt;=AM$7,$L81&gt;AM$7),((AM$7-$K81)/($L81-$K81)))</f>
        <v>#REF!</v>
      </c>
      <c r="AO81" s="201" t="e">
        <f t="array" ref="AO81">_xlfn.IFS(AND($K81&gt;AN$7,$L81&gt;AN$7),0,AND($K81&lt;=AN$7,$L81&lt;=AN$7),1,AND($K81&lt;=AN$7,$L81&gt;AN$7),((AN$7-$K81)/($L81-$K81)))</f>
        <v>#REF!</v>
      </c>
      <c r="AP81" s="201" t="e">
        <f t="array" ref="AP81">_xlfn.IFS(AND($K81&gt;AO$7,$L81&gt;AO$7),0,AND($K81&lt;=AO$7,$L81&lt;=AO$7),1,AND($K81&lt;=AO$7,$L81&gt;AO$7),((AO$7-$K81)/($L81-$K81)))</f>
        <v>#REF!</v>
      </c>
      <c r="AQ81" s="201" t="e">
        <f t="array" ref="AQ81">_xlfn.IFS(AND($K81&gt;AP$7,$L81&gt;AP$7),0,AND($K81&lt;=AP$7,$L81&lt;=AP$7),1,AND($K81&lt;=AP$7,$L81&gt;AP$7),((AP$7-$K81)/($L81-$K81)))</f>
        <v>#REF!</v>
      </c>
      <c r="AR81" s="201" t="e">
        <f t="array" ref="AR81">_xlfn.IFS(AND($K81&gt;AQ$7,$L81&gt;AQ$7),0,AND($K81&lt;=AQ$7,$L81&lt;=AQ$7),1,AND($K81&lt;=AQ$7,$L81&gt;AQ$7),((AQ$7-$K81)/($L81-$K81)))</f>
        <v>#REF!</v>
      </c>
      <c r="AS81" s="201" t="e">
        <f t="array" ref="AS81">_xlfn.IFS(AND($K81&gt;AR$7,$L81&gt;AR$7),0,AND($K81&lt;=AR$7,$L81&lt;=AR$7),1,AND($K81&lt;=AR$7,$L81&gt;AR$7),((AR$7-$K81)/($L81-$K81)))</f>
        <v>#REF!</v>
      </c>
      <c r="AT81" s="201" t="e">
        <f t="array" ref="AT81">_xlfn.IFS(AND($K81&gt;AS$7,$L81&gt;AS$7),0,AND($K81&lt;=AS$7,$L81&lt;=AS$7),1,AND($K81&lt;=AS$7,$L81&gt;AS$7),((AS$7-$K81)/($L81-$K81)))</f>
        <v>#REF!</v>
      </c>
      <c r="AU81" s="201" t="e">
        <f t="array" ref="AU81">_xlfn.IFS(AND($K81&gt;AT$7,$L81&gt;AT$7),0,AND($K81&lt;=AT$7,$L81&lt;=AT$7),1,AND($K81&lt;=AT$7,$L81&gt;AT$7),((AT$7-$K81)/($L81-$K81)))</f>
        <v>#REF!</v>
      </c>
      <c r="AV81" s="201" t="e">
        <f t="array" ref="AV81">_xlfn.IFS(AND($K81&gt;AU$7,$L81&gt;AU$7),0,AND($K81&lt;=AU$7,$L81&lt;=AU$7),1,AND($K81&lt;=AU$7,$L81&gt;AU$7),((AU$7-$K81)/($L81-$K81)))</f>
        <v>#REF!</v>
      </c>
      <c r="AW81" s="201" t="e">
        <f t="array" ref="AW81">_xlfn.IFS(AND($K81&gt;AV$7,$L81&gt;AV$7),0,AND($K81&lt;=AV$7,$L81&lt;=AV$7),1,AND($K81&lt;=AV$7,$L81&gt;AV$7),((AV$7-$K81)/($L81-$K81)))</f>
        <v>#REF!</v>
      </c>
      <c r="AX81" s="201" t="e">
        <f t="array" ref="AX81">_xlfn.IFS(AND($K81&gt;AW$7,$L81&gt;AW$7),0,AND($K81&lt;=AW$7,$L81&lt;=AW$7),1,AND($K81&lt;=AW$7,$L81&gt;AW$7),((AW$7-$K81)/($L81-$K81)))</f>
        <v>#REF!</v>
      </c>
      <c r="AY81" s="201" t="e">
        <f t="array" ref="AY81">_xlfn.IFS(AND($K81&gt;AX$7,$L81&gt;AX$7),0,AND($K81&lt;=AX$7,$L81&lt;=AX$7),1,AND($K81&lt;=AX$7,$L81&gt;AX$7),((AX$7-$K81)/($L81-$K81)))</f>
        <v>#REF!</v>
      </c>
      <c r="AZ81" s="201" t="e">
        <f t="array" ref="AZ81">_xlfn.IFS(AND($K81&gt;AY$7,$L81&gt;AY$7),0,AND($K81&lt;=AY$7,$L81&lt;=AY$7),1,AND($K81&lt;=AY$7,$L81&gt;AY$7),((AY$7-$K81)/($L81-$K81)))</f>
        <v>#REF!</v>
      </c>
      <c r="BA81" s="201" t="e">
        <f t="array" ref="BA81">_xlfn.IFS(AND($K81&gt;AZ$7,$L81&gt;AZ$7),0,AND($K81&lt;=AZ$7,$L81&lt;=AZ$7),1,AND($K81&lt;=AZ$7,$L81&gt;AZ$7),((AZ$7-$K81)/($L81-$K81)))</f>
        <v>#REF!</v>
      </c>
      <c r="BB81" s="201" t="e">
        <f t="array" ref="BB81">_xlfn.IFS(AND($K81&gt;BA$7,$L81&gt;BA$7),0,AND($K81&lt;=BA$7,$L81&lt;=BA$7),1,AND($K81&lt;=BA$7,$L81&gt;BA$7),((BA$7-$K81)/($L81-$K81)))</f>
        <v>#REF!</v>
      </c>
      <c r="BC81" s="201" t="e">
        <f t="array" ref="BC81">_xlfn.IFS(AND($K81&gt;BB$7,$L81&gt;BB$7),0,AND($K81&lt;=BB$7,$L81&lt;=BB$7),1,AND($K81&lt;=BB$7,$L81&gt;BB$7),((BB$7-$K81)/($L81-$K81)))</f>
        <v>#REF!</v>
      </c>
      <c r="BD81" s="201" t="e">
        <f t="array" ref="BD81">_xlfn.IFS(AND($K81&gt;BC$7,$L81&gt;BC$7),0,AND($K81&lt;=BC$7,$L81&lt;=BC$7),1,AND($K81&lt;=BC$7,$L81&gt;BC$7),((BC$7-$K81)/($L81-$K81)))</f>
        <v>#REF!</v>
      </c>
      <c r="BE81" s="201" t="e">
        <f t="array" ref="BE81">_xlfn.IFS(AND($K81&gt;BD$7,$L81&gt;BD$7),0,AND($K81&lt;=BD$7,$L81&lt;=BD$7),1,AND($K81&lt;=BD$7,$L81&gt;BD$7),((BD$7-$K81)/($L81-$K81)))</f>
        <v>#REF!</v>
      </c>
      <c r="BF81" s="201" t="e">
        <f t="array" ref="BF81">_xlfn.IFS(AND($K81&gt;BE$7,$L81&gt;BE$7),0,AND($K81&lt;=BE$7,$L81&lt;=BE$7),1,AND($K81&lt;=BE$7,$L81&gt;BE$7),((BE$7-$K81)/($L81-$K81)))</f>
        <v>#REF!</v>
      </c>
      <c r="BG81" s="201" t="e">
        <f t="array" ref="BG81">_xlfn.IFS(AND($K81&gt;BF$7,$L81&gt;BF$7),0,AND($K81&lt;=BF$7,$L81&lt;=BF$7),1,AND($K81&lt;=BF$7,$L81&gt;BF$7),((BF$7-$K81)/($L81-$K81)))</f>
        <v>#REF!</v>
      </c>
      <c r="BH81" s="201" t="e">
        <f t="array" ref="BH81">_xlfn.IFS(AND($K81&gt;BG$7,$L81&gt;BG$7),0,AND($K81&lt;=BG$7,$L81&lt;=BG$7),1,AND($K81&lt;=BG$7,$L81&gt;BG$7),((BG$7-$K81)/($L81-$K81)))</f>
        <v>#REF!</v>
      </c>
      <c r="BI81" s="201" t="e">
        <f t="array" ref="BI81">_xlfn.IFS(AND($K81&gt;BH$7,$L81&gt;BH$7),0,AND($K81&lt;=BH$7,$L81&lt;=BH$7),1,AND($K81&lt;=BH$7,$L81&gt;BH$7),((BH$7-$K81)/($L81-$K81)))</f>
        <v>#REF!</v>
      </c>
      <c r="BJ81" s="201" t="e">
        <f t="array" ref="BJ81">_xlfn.IFS(AND($K81&gt;BI$7,$L81&gt;BI$7),0,AND($K81&lt;=BI$7,$L81&lt;=BI$7),1,AND($K81&lt;=BI$7,$L81&gt;BI$7),((BI$7-$K81)/($L81-$K81)))</f>
        <v>#REF!</v>
      </c>
      <c r="BK81" s="201" t="e">
        <f t="array" ref="BK81">_xlfn.IFS(AND($K81&gt;BJ$7,$L81&gt;BJ$7),0,AND($K81&lt;=BJ$7,$L81&lt;=BJ$7),1,AND($K81&lt;=BJ$7,$L81&gt;BJ$7),((BJ$7-$K81)/($L81-$K81)))</f>
        <v>#REF!</v>
      </c>
      <c r="BL81" s="201" t="e">
        <f t="array" ref="BL81">_xlfn.IFS(AND($K81&gt;BK$7,$L81&gt;BK$7),0,AND($K81&lt;=BK$7,$L81&lt;=BK$7),1,AND($K81&lt;=BK$7,$L81&gt;BK$7),((BK$7-$K81)/($L81-$K81)))</f>
        <v>#REF!</v>
      </c>
      <c r="BM81" s="201" t="e">
        <f t="array" ref="BM81">_xlfn.IFS(AND($K81&gt;BL$7,$L81&gt;BL$7),0,AND($K81&lt;=BL$7,$L81&lt;=BL$7),1,AND($K81&lt;=BL$7,$L81&gt;BL$7),((BL$7-$K81)/($L81-$K81)))</f>
        <v>#REF!</v>
      </c>
      <c r="BN81" s="201" t="e">
        <f t="array" ref="BN81">_xlfn.IFS(AND($K81&gt;BM$7,$L81&gt;BM$7),0,AND($K81&lt;=BM$7,$L81&lt;=BM$7),1,AND($K81&lt;=BM$7,$L81&gt;BM$7),((BM$7-$K81)/($L81-$K81)))</f>
        <v>#REF!</v>
      </c>
    </row>
    <row r="82" spans="2:66" ht="15" customHeight="1" x14ac:dyDescent="0.3">
      <c r="B82" s="166" t="str">
        <f t="array" ref="B82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82" s="166" t="s">
        <v>211</v>
      </c>
      <c r="D82" s="177"/>
      <c r="E82" s="170" t="str">
        <f t="shared" si="44"/>
        <v>Desenvolvimento da Transformação dos Processos</v>
      </c>
      <c r="F82" s="174" t="str">
        <f t="shared" si="41"/>
        <v>Modelagem To Be</v>
      </c>
      <c r="G82" s="166" t="str">
        <f t="shared" si="45"/>
        <v>Modelagem To Be</v>
      </c>
      <c r="H82" s="197" t="s">
        <v>212</v>
      </c>
      <c r="I82" s="166">
        <v>45768</v>
      </c>
      <c r="J82" s="40">
        <v>45779</v>
      </c>
      <c r="K82" s="166">
        <v>45768</v>
      </c>
      <c r="L82" s="40">
        <v>45779</v>
      </c>
      <c r="M82" s="167"/>
      <c r="N82" s="167" t="str">
        <f t="array" ref="N82">_xlfn.IFS(L82&lt;$M$3,"Concluído",AND(K82&gt;=$M$3,I82&lt;$M$3,L82&gt;$M$3),"Em andamento",AND(L82&gt;=$M$3,J82&lt;$M$3),"Atrasado",AND(L82&gt;=$M$3,J82&gt;=$M$3,I82&gt;$M$3,K82&lt;=$M$3),"Em andamento",AND(L82&gt;=$M$3,J82&gt;=$M$3,I82&lt;=$M$3,K82&lt;=$M$3),"Em andamento",AND(K82&gt;$M$3,I82&gt;$M$3),"Não iniciado",AND(L82&gt;=$M$3,J82&gt;=$M$3,K82&gt;=$M$3,I82&lt;$M$3),"Atrasado",AND(L82&gt;=$M$3,J82&gt;=$M$3,K82&gt;=$M$3,I82&gt;$M$3),"Não iniciado",AND($I82&lt;=$M$3,$K82&gt;$M$3),"Atrasado")</f>
        <v>Concluído</v>
      </c>
      <c r="O82" s="167">
        <f t="array" ref="O82">_xlfn.IFS(N82="Não iniciado",0,N82="Em andamento",1,N82="Concluído",2,N82="Atrasado",3)</f>
        <v>2</v>
      </c>
      <c r="P82" s="169"/>
      <c r="Q82" s="152">
        <f t="array" aca="1" ref="Q82" ca="1">_xlfn.IFS(AND($I82&lt;$N$3,$J82&lt;$N$3),1,AND($I82&lt;=$N$3,$J82&gt;=$N$3),0.5,AND($I82&gt;=$N$3,$J82&gt;=$N$3),0)</f>
        <v>1</v>
      </c>
      <c r="R82" s="152">
        <f t="array" aca="1" ref="R82" ca="1">_xlfn.IFS(AND($K82&lt;$N$3,$L82&lt;$N$3),1,AND($K82&lt;=$N$3,$L82&gt;=$N$3),0.5,AND($K82&gt;=$N$3,$L82&gt;=$N$3),0)</f>
        <v>1</v>
      </c>
      <c r="S82" s="201" t="e">
        <f t="array" ref="S82">_xlfn.IFS(AND($K82&gt;R$7,$L82&gt;R$7),0,AND($K82&lt;=R$7,$L82&lt;=R$7),1,AND($K82&lt;=R$7,$L82&gt;R$7),((R$7-$K82)/($L82-$K82)))</f>
        <v>#REF!</v>
      </c>
      <c r="T82" s="201" t="e">
        <f t="array" ref="T82">_xlfn.IFS(AND($K82&gt;S$7,$L82&gt;S$7),0,AND($K82&lt;=S$7,$L82&lt;=S$7),1,AND($K82&lt;=S$7,$L82&gt;S$7),((S$7-$K82)/($L82-$K82)))</f>
        <v>#REF!</v>
      </c>
      <c r="U82" s="201" t="e">
        <f t="array" ref="U82">_xlfn.IFS(AND($K82&gt;T$7,$L82&gt;T$7),0,AND($K82&lt;=T$7,$L82&lt;=T$7),1,AND($K82&lt;=T$7,$L82&gt;T$7),((T$7-$K82)/($L82-$K82)))</f>
        <v>#REF!</v>
      </c>
      <c r="V82" s="201" t="e">
        <f t="array" ref="V82">_xlfn.IFS(AND($K82&gt;U$7,$L82&gt;U$7),0,AND($K82&lt;=U$7,$L82&lt;=U$7),1,AND($K82&lt;=U$7,$L82&gt;U$7),((U$7-$K82)/($L82-$K82)))</f>
        <v>#REF!</v>
      </c>
      <c r="W82" s="201" t="e">
        <f t="array" ref="W82">_xlfn.IFS(AND($K82&gt;V$7,$L82&gt;V$7),0,AND($K82&lt;=V$7,$L82&lt;=V$7),1,AND($K82&lt;=V$7,$L82&gt;V$7),((V$7-$K82)/($L82-$K82)))</f>
        <v>#REF!</v>
      </c>
      <c r="X82" s="201" t="e">
        <f t="array" ref="X82">_xlfn.IFS(AND($K82&gt;W$7,$L82&gt;W$7),0,AND($K82&lt;=W$7,$L82&lt;=W$7),1,AND($K82&lt;=W$7,$L82&gt;W$7),((W$7-$K82)/($L82-$K82)))</f>
        <v>#REF!</v>
      </c>
      <c r="Y82" s="201" t="e">
        <f t="array" ref="Y82">_xlfn.IFS(AND($K82&gt;X$7,$L82&gt;X$7),0,AND($K82&lt;=X$7,$L82&lt;=X$7),1,AND($K82&lt;=X$7,$L82&gt;X$7),((X$7-$K82)/($L82-$K82)))</f>
        <v>#REF!</v>
      </c>
      <c r="Z82" s="201" t="e">
        <f t="array" ref="Z82">_xlfn.IFS(AND($K82&gt;Y$7,$L82&gt;Y$7),0,AND($K82&lt;=Y$7,$L82&lt;=Y$7),1,AND($K82&lt;=Y$7,$L82&gt;Y$7),((Y$7-$K82)/($L82-$K82)))</f>
        <v>#REF!</v>
      </c>
      <c r="AA82" s="201" t="e">
        <f t="array" ref="AA82">_xlfn.IFS(AND($K82&gt;Z$7,$L82&gt;Z$7),0,AND($K82&lt;=Z$7,$L82&lt;=Z$7),1,AND($K82&lt;=Z$7,$L82&gt;Z$7),((Z$7-$K82)/($L82-$K82)))</f>
        <v>#REF!</v>
      </c>
      <c r="AB82" s="201" t="e">
        <f t="array" ref="AB82">_xlfn.IFS(AND($K82&gt;AA$7,$L82&gt;AA$7),0,AND($K82&lt;=AA$7,$L82&lt;=AA$7),1,AND($K82&lt;=AA$7,$L82&gt;AA$7),((AA$7-$K82)/($L82-$K82)))</f>
        <v>#REF!</v>
      </c>
      <c r="AC82" s="201" t="e">
        <f t="array" ref="AC82">_xlfn.IFS(AND($K82&gt;AB$7,$L82&gt;AB$7),0,AND($K82&lt;=AB$7,$L82&lt;=AB$7),1,AND($K82&lt;=AB$7,$L82&gt;AB$7),((AB$7-$K82)/($L82-$K82)))</f>
        <v>#REF!</v>
      </c>
      <c r="AD82" s="201" t="e">
        <f t="array" ref="AD82">_xlfn.IFS(AND($K82&gt;AC$7,$L82&gt;AC$7),0,AND($K82&lt;=AC$7,$L82&lt;=AC$7),1,AND($K82&lt;=AC$7,$L82&gt;AC$7),((AC$7-$K82)/($L82-$K82)))</f>
        <v>#REF!</v>
      </c>
      <c r="AE82" s="201" t="e">
        <f t="array" ref="AE82">_xlfn.IFS(AND($K82&gt;AD$7,$L82&gt;AD$7),0,AND($K82&lt;=AD$7,$L82&lt;=AD$7),1,AND($K82&lt;=AD$7,$L82&gt;AD$7),((AD$7-$K82)/($L82-$K82)))</f>
        <v>#REF!</v>
      </c>
      <c r="AF82" s="201" t="e">
        <f t="array" ref="AF82">_xlfn.IFS(AND($K82&gt;AE$7,$L82&gt;AE$7),0,AND($K82&lt;=AE$7,$L82&lt;=AE$7),1,AND($K82&lt;=AE$7,$L82&gt;AE$7),((AE$7-$K82)/($L82-$K82)))</f>
        <v>#REF!</v>
      </c>
      <c r="AG82" s="201" t="e">
        <f t="array" ref="AG82">_xlfn.IFS(AND($K82&gt;AF$7,$L82&gt;AF$7),0,AND($K82&lt;=AF$7,$L82&lt;=AF$7),1,AND($K82&lt;=AF$7,$L82&gt;AF$7),((AF$7-$K82)/($L82-$K82)))</f>
        <v>#REF!</v>
      </c>
      <c r="AH82" s="201" t="e">
        <f t="array" ref="AH82">_xlfn.IFS(AND($K82&gt;AG$7,$L82&gt;AG$7),0,AND($K82&lt;=AG$7,$L82&lt;=AG$7),1,AND($K82&lt;=AG$7,$L82&gt;AG$7),((AG$7-$K82)/($L82-$K82)))</f>
        <v>#REF!</v>
      </c>
      <c r="AI82" s="201" t="e">
        <f t="array" ref="AI82">_xlfn.IFS(AND($K82&gt;AH$7,$L82&gt;AH$7),0,AND($K82&lt;=AH$7,$L82&lt;=AH$7),1,AND($K82&lt;=AH$7,$L82&gt;AH$7),((AH$7-$K82)/($L82-$K82)))</f>
        <v>#REF!</v>
      </c>
      <c r="AJ82" s="201" t="e">
        <f t="array" ref="AJ82">_xlfn.IFS(AND($K82&gt;AI$7,$L82&gt;AI$7),0,AND($K82&lt;=AI$7,$L82&lt;=AI$7),1,AND($K82&lt;=AI$7,$L82&gt;AI$7),((AI$7-$K82)/($L82-$K82)))</f>
        <v>#REF!</v>
      </c>
      <c r="AK82" s="201" t="e">
        <f t="array" ref="AK82">_xlfn.IFS(AND($K82&gt;AJ$7,$L82&gt;AJ$7),0,AND($K82&lt;=AJ$7,$L82&lt;=AJ$7),1,AND($K82&lt;=AJ$7,$L82&gt;AJ$7),((AJ$7-$K82)/($L82-$K82)))</f>
        <v>#REF!</v>
      </c>
      <c r="AL82" s="201" t="e">
        <f t="array" ref="AL82">_xlfn.IFS(AND($K82&gt;AK$7,$L82&gt;AK$7),0,AND($K82&lt;=AK$7,$L82&lt;=AK$7),1,AND($K82&lt;=AK$7,$L82&gt;AK$7),((AK$7-$K82)/($L82-$K82)))</f>
        <v>#REF!</v>
      </c>
      <c r="AM82" s="201" t="e">
        <f t="array" ref="AM82">_xlfn.IFS(AND($K82&gt;AL$7,$L82&gt;AL$7),0,AND($K82&lt;=AL$7,$L82&lt;=AL$7),1,AND($K82&lt;=AL$7,$L82&gt;AL$7),((AL$7-$K82)/($L82-$K82)))</f>
        <v>#REF!</v>
      </c>
      <c r="AN82" s="201" t="e">
        <f t="array" ref="AN82">_xlfn.IFS(AND($K82&gt;AM$7,$L82&gt;AM$7),0,AND($K82&lt;=AM$7,$L82&lt;=AM$7),1,AND($K82&lt;=AM$7,$L82&gt;AM$7),((AM$7-$K82)/($L82-$K82)))</f>
        <v>#REF!</v>
      </c>
      <c r="AO82" s="201" t="e">
        <f t="array" ref="AO82">_xlfn.IFS(AND($K82&gt;AN$7,$L82&gt;AN$7),0,AND($K82&lt;=AN$7,$L82&lt;=AN$7),1,AND($K82&lt;=AN$7,$L82&gt;AN$7),((AN$7-$K82)/($L82-$K82)))</f>
        <v>#REF!</v>
      </c>
      <c r="AP82" s="201" t="e">
        <f t="array" ref="AP82">_xlfn.IFS(AND($K82&gt;AO$7,$L82&gt;AO$7),0,AND($K82&lt;=AO$7,$L82&lt;=AO$7),1,AND($K82&lt;=AO$7,$L82&gt;AO$7),((AO$7-$K82)/($L82-$K82)))</f>
        <v>#REF!</v>
      </c>
      <c r="AQ82" s="201" t="e">
        <f t="array" ref="AQ82">_xlfn.IFS(AND($K82&gt;AP$7,$L82&gt;AP$7),0,AND($K82&lt;=AP$7,$L82&lt;=AP$7),1,AND($K82&lt;=AP$7,$L82&gt;AP$7),((AP$7-$K82)/($L82-$K82)))</f>
        <v>#REF!</v>
      </c>
      <c r="AR82" s="201" t="e">
        <f t="array" ref="AR82">_xlfn.IFS(AND($K82&gt;AQ$7,$L82&gt;AQ$7),0,AND($K82&lt;=AQ$7,$L82&lt;=AQ$7),1,AND($K82&lt;=AQ$7,$L82&gt;AQ$7),((AQ$7-$K82)/($L82-$K82)))</f>
        <v>#REF!</v>
      </c>
      <c r="AS82" s="201" t="e">
        <f t="array" ref="AS82">_xlfn.IFS(AND($K82&gt;AR$7,$L82&gt;AR$7),0,AND($K82&lt;=AR$7,$L82&lt;=AR$7),1,AND($K82&lt;=AR$7,$L82&gt;AR$7),((AR$7-$K82)/($L82-$K82)))</f>
        <v>#REF!</v>
      </c>
      <c r="AT82" s="201" t="e">
        <f t="array" ref="AT82">_xlfn.IFS(AND($K82&gt;AS$7,$L82&gt;AS$7),0,AND($K82&lt;=AS$7,$L82&lt;=AS$7),1,AND($K82&lt;=AS$7,$L82&gt;AS$7),((AS$7-$K82)/($L82-$K82)))</f>
        <v>#REF!</v>
      </c>
      <c r="AU82" s="201" t="e">
        <f t="array" ref="AU82">_xlfn.IFS(AND($K82&gt;AT$7,$L82&gt;AT$7),0,AND($K82&lt;=AT$7,$L82&lt;=AT$7),1,AND($K82&lt;=AT$7,$L82&gt;AT$7),((AT$7-$K82)/($L82-$K82)))</f>
        <v>#REF!</v>
      </c>
      <c r="AV82" s="201" t="e">
        <f t="array" ref="AV82">_xlfn.IFS(AND($K82&gt;AU$7,$L82&gt;AU$7),0,AND($K82&lt;=AU$7,$L82&lt;=AU$7),1,AND($K82&lt;=AU$7,$L82&gt;AU$7),((AU$7-$K82)/($L82-$K82)))</f>
        <v>#REF!</v>
      </c>
      <c r="AW82" s="201" t="e">
        <f t="array" ref="AW82">_xlfn.IFS(AND($K82&gt;AV$7,$L82&gt;AV$7),0,AND($K82&lt;=AV$7,$L82&lt;=AV$7),1,AND($K82&lt;=AV$7,$L82&gt;AV$7),((AV$7-$K82)/($L82-$K82)))</f>
        <v>#REF!</v>
      </c>
      <c r="AX82" s="201" t="e">
        <f t="array" ref="AX82">_xlfn.IFS(AND($K82&gt;AW$7,$L82&gt;AW$7),0,AND($K82&lt;=AW$7,$L82&lt;=AW$7),1,AND($K82&lt;=AW$7,$L82&gt;AW$7),((AW$7-$K82)/($L82-$K82)))</f>
        <v>#REF!</v>
      </c>
      <c r="AY82" s="201" t="e">
        <f t="array" ref="AY82">_xlfn.IFS(AND($K82&gt;AX$7,$L82&gt;AX$7),0,AND($K82&lt;=AX$7,$L82&lt;=AX$7),1,AND($K82&lt;=AX$7,$L82&gt;AX$7),((AX$7-$K82)/($L82-$K82)))</f>
        <v>#REF!</v>
      </c>
      <c r="AZ82" s="201" t="e">
        <f t="array" ref="AZ82">_xlfn.IFS(AND($K82&gt;AY$7,$L82&gt;AY$7),0,AND($K82&lt;=AY$7,$L82&lt;=AY$7),1,AND($K82&lt;=AY$7,$L82&gt;AY$7),((AY$7-$K82)/($L82-$K82)))</f>
        <v>#REF!</v>
      </c>
      <c r="BA82" s="201" t="e">
        <f t="array" ref="BA82">_xlfn.IFS(AND($K82&gt;AZ$7,$L82&gt;AZ$7),0,AND($K82&lt;=AZ$7,$L82&lt;=AZ$7),1,AND($K82&lt;=AZ$7,$L82&gt;AZ$7),((AZ$7-$K82)/($L82-$K82)))</f>
        <v>#REF!</v>
      </c>
      <c r="BB82" s="201" t="e">
        <f t="array" ref="BB82">_xlfn.IFS(AND($K82&gt;BA$7,$L82&gt;BA$7),0,AND($K82&lt;=BA$7,$L82&lt;=BA$7),1,AND($K82&lt;=BA$7,$L82&gt;BA$7),((BA$7-$K82)/($L82-$K82)))</f>
        <v>#REF!</v>
      </c>
      <c r="BC82" s="201" t="e">
        <f t="array" ref="BC82">_xlfn.IFS(AND($K82&gt;BB$7,$L82&gt;BB$7),0,AND($K82&lt;=BB$7,$L82&lt;=BB$7),1,AND($K82&lt;=BB$7,$L82&gt;BB$7),((BB$7-$K82)/($L82-$K82)))</f>
        <v>#REF!</v>
      </c>
      <c r="BD82" s="201" t="e">
        <f t="array" ref="BD82">_xlfn.IFS(AND($K82&gt;BC$7,$L82&gt;BC$7),0,AND($K82&lt;=BC$7,$L82&lt;=BC$7),1,AND($K82&lt;=BC$7,$L82&gt;BC$7),((BC$7-$K82)/($L82-$K82)))</f>
        <v>#REF!</v>
      </c>
      <c r="BE82" s="201" t="e">
        <f t="array" ref="BE82">_xlfn.IFS(AND($K82&gt;BD$7,$L82&gt;BD$7),0,AND($K82&lt;=BD$7,$L82&lt;=BD$7),1,AND($K82&lt;=BD$7,$L82&gt;BD$7),((BD$7-$K82)/($L82-$K82)))</f>
        <v>#REF!</v>
      </c>
      <c r="BF82" s="201" t="e">
        <f t="array" ref="BF82">_xlfn.IFS(AND($K82&gt;BE$7,$L82&gt;BE$7),0,AND($K82&lt;=BE$7,$L82&lt;=BE$7),1,AND($K82&lt;=BE$7,$L82&gt;BE$7),((BE$7-$K82)/($L82-$K82)))</f>
        <v>#REF!</v>
      </c>
      <c r="BG82" s="201" t="e">
        <f t="array" ref="BG82">_xlfn.IFS(AND($K82&gt;BF$7,$L82&gt;BF$7),0,AND($K82&lt;=BF$7,$L82&lt;=BF$7),1,AND($K82&lt;=BF$7,$L82&gt;BF$7),((BF$7-$K82)/($L82-$K82)))</f>
        <v>#REF!</v>
      </c>
      <c r="BH82" s="201" t="e">
        <f t="array" ref="BH82">_xlfn.IFS(AND($K82&gt;BG$7,$L82&gt;BG$7),0,AND($K82&lt;=BG$7,$L82&lt;=BG$7),1,AND($K82&lt;=BG$7,$L82&gt;BG$7),((BG$7-$K82)/($L82-$K82)))</f>
        <v>#REF!</v>
      </c>
      <c r="BI82" s="201" t="e">
        <f t="array" ref="BI82">_xlfn.IFS(AND($K82&gt;BH$7,$L82&gt;BH$7),0,AND($K82&lt;=BH$7,$L82&lt;=BH$7),1,AND($K82&lt;=BH$7,$L82&gt;BH$7),((BH$7-$K82)/($L82-$K82)))</f>
        <v>#REF!</v>
      </c>
      <c r="BJ82" s="201" t="e">
        <f t="array" ref="BJ82">_xlfn.IFS(AND($K82&gt;BI$7,$L82&gt;BI$7),0,AND($K82&lt;=BI$7,$L82&lt;=BI$7),1,AND($K82&lt;=BI$7,$L82&gt;BI$7),((BI$7-$K82)/($L82-$K82)))</f>
        <v>#REF!</v>
      </c>
      <c r="BK82" s="201" t="e">
        <f t="array" ref="BK82">_xlfn.IFS(AND($K82&gt;BJ$7,$L82&gt;BJ$7),0,AND($K82&lt;=BJ$7,$L82&lt;=BJ$7),1,AND($K82&lt;=BJ$7,$L82&gt;BJ$7),((BJ$7-$K82)/($L82-$K82)))</f>
        <v>#REF!</v>
      </c>
      <c r="BL82" s="201" t="e">
        <f t="array" ref="BL82">_xlfn.IFS(AND($K82&gt;BK$7,$L82&gt;BK$7),0,AND($K82&lt;=BK$7,$L82&lt;=BK$7),1,AND($K82&lt;=BK$7,$L82&gt;BK$7),((BK$7-$K82)/($L82-$K82)))</f>
        <v>#REF!</v>
      </c>
      <c r="BM82" s="201" t="e">
        <f t="array" ref="BM82">_xlfn.IFS(AND($K82&gt;BL$7,$L82&gt;BL$7),0,AND($K82&lt;=BL$7,$L82&lt;=BL$7),1,AND($K82&lt;=BL$7,$L82&gt;BL$7),((BL$7-$K82)/($L82-$K82)))</f>
        <v>#REF!</v>
      </c>
      <c r="BN82" s="201" t="e">
        <f t="array" ref="BN82">_xlfn.IFS(AND($K82&gt;BM$7,$L82&gt;BM$7),0,AND($K82&lt;=BM$7,$L82&lt;=BM$7),1,AND($K82&lt;=BM$7,$L82&gt;BM$7),((BM$7-$K82)/($L82-$K82)))</f>
        <v>#REF!</v>
      </c>
    </row>
    <row r="83" spans="2:66" ht="15" customHeight="1" x14ac:dyDescent="0.3">
      <c r="B83" s="166" t="str">
        <f t="array" ref="B83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83" s="166" t="s">
        <v>213</v>
      </c>
      <c r="D83" s="177"/>
      <c r="E83" s="170" t="str">
        <f t="shared" si="44"/>
        <v>Desenvolvimento da Transformação dos Processos</v>
      </c>
      <c r="F83" s="174" t="str">
        <f t="shared" si="41"/>
        <v>Modelagem To Be</v>
      </c>
      <c r="G83" s="166" t="str">
        <f t="shared" si="45"/>
        <v>Modelagem To Be</v>
      </c>
      <c r="H83" s="197" t="s">
        <v>214</v>
      </c>
      <c r="I83" s="166">
        <v>45775</v>
      </c>
      <c r="J83" s="40">
        <v>45779</v>
      </c>
      <c r="K83" s="166">
        <v>45775</v>
      </c>
      <c r="L83" s="40">
        <v>45779</v>
      </c>
      <c r="M83" s="167"/>
      <c r="N83" s="167" t="str">
        <f t="array" ref="N83">_xlfn.IFS(L83&lt;$M$3,"Concluído",AND(K83&gt;=$M$3,I83&lt;$M$3,L83&gt;$M$3),"Em andamento",AND(L83&gt;=$M$3,J83&lt;$M$3),"Atrasado",AND(L83&gt;=$M$3,J83&gt;=$M$3,I83&gt;$M$3,K83&lt;=$M$3),"Em andamento",AND(L83&gt;=$M$3,J83&gt;=$M$3,I83&lt;=$M$3,K83&lt;=$M$3),"Em andamento",AND(K83&gt;$M$3,I83&gt;$M$3),"Não iniciado",AND(L83&gt;=$M$3,J83&gt;=$M$3,K83&gt;=$M$3,I83&lt;$M$3),"Atrasado",AND(L83&gt;=$M$3,J83&gt;=$M$3,K83&gt;=$M$3,I83&gt;$M$3),"Não iniciado",AND($I83&lt;=$M$3,$K83&gt;$M$3),"Atrasado")</f>
        <v>Concluído</v>
      </c>
      <c r="O83" s="167">
        <f t="array" ref="O83">_xlfn.IFS(N83="Não iniciado",0,N83="Em andamento",1,N83="Concluído",2,N83="Atrasado",3)</f>
        <v>2</v>
      </c>
      <c r="P83" s="169"/>
      <c r="Q83" s="152">
        <f t="array" aca="1" ref="Q83" ca="1">_xlfn.IFS(AND($I83&lt;$N$3,$J83&lt;$N$3),1,AND($I83&lt;=$N$3,$J83&gt;=$N$3),0.5,AND($I83&gt;=$N$3,$J83&gt;=$N$3),0)</f>
        <v>1</v>
      </c>
      <c r="R83" s="152">
        <f t="array" aca="1" ref="R83" ca="1">_xlfn.IFS(AND($K83&lt;$N$3,$L83&lt;$N$3),1,AND($K83&lt;=$N$3,$L83&gt;=$N$3),0.5,AND($K83&gt;=$N$3,$L83&gt;=$N$3),0)</f>
        <v>1</v>
      </c>
      <c r="S83" s="201" t="e">
        <f t="array" ref="S83">_xlfn.IFS(AND($K83&gt;R$7,$L83&gt;R$7),0,AND($K83&lt;=R$7,$L83&lt;=R$7),1,AND($K83&lt;=R$7,$L83&gt;R$7),((R$7-$K83)/($L83-$K83)))</f>
        <v>#REF!</v>
      </c>
      <c r="T83" s="201" t="e">
        <f t="array" ref="T83">_xlfn.IFS(AND($K83&gt;S$7,$L83&gt;S$7),0,AND($K83&lt;=S$7,$L83&lt;=S$7),1,AND($K83&lt;=S$7,$L83&gt;S$7),((S$7-$K83)/($L83-$K83)))</f>
        <v>#REF!</v>
      </c>
      <c r="U83" s="201" t="e">
        <f t="array" ref="U83">_xlfn.IFS(AND($K83&gt;T$7,$L83&gt;T$7),0,AND($K83&lt;=T$7,$L83&lt;=T$7),1,AND($K83&lt;=T$7,$L83&gt;T$7),((T$7-$K83)/($L83-$K83)))</f>
        <v>#REF!</v>
      </c>
      <c r="V83" s="201" t="e">
        <f t="array" ref="V83">_xlfn.IFS(AND($K83&gt;U$7,$L83&gt;U$7),0,AND($K83&lt;=U$7,$L83&lt;=U$7),1,AND($K83&lt;=U$7,$L83&gt;U$7),((U$7-$K83)/($L83-$K83)))</f>
        <v>#REF!</v>
      </c>
      <c r="W83" s="201" t="e">
        <f t="array" ref="W83">_xlfn.IFS(AND($K83&gt;V$7,$L83&gt;V$7),0,AND($K83&lt;=V$7,$L83&lt;=V$7),1,AND($K83&lt;=V$7,$L83&gt;V$7),((V$7-$K83)/($L83-$K83)))</f>
        <v>#REF!</v>
      </c>
      <c r="X83" s="201" t="e">
        <f t="array" ref="X83">_xlfn.IFS(AND($K83&gt;W$7,$L83&gt;W$7),0,AND($K83&lt;=W$7,$L83&lt;=W$7),1,AND($K83&lt;=W$7,$L83&gt;W$7),((W$7-$K83)/($L83-$K83)))</f>
        <v>#REF!</v>
      </c>
      <c r="Y83" s="201" t="e">
        <f t="array" ref="Y83">_xlfn.IFS(AND($K83&gt;X$7,$L83&gt;X$7),0,AND($K83&lt;=X$7,$L83&lt;=X$7),1,AND($K83&lt;=X$7,$L83&gt;X$7),((X$7-$K83)/($L83-$K83)))</f>
        <v>#REF!</v>
      </c>
      <c r="Z83" s="201" t="e">
        <f t="array" ref="Z83">_xlfn.IFS(AND($K83&gt;Y$7,$L83&gt;Y$7),0,AND($K83&lt;=Y$7,$L83&lt;=Y$7),1,AND($K83&lt;=Y$7,$L83&gt;Y$7),((Y$7-$K83)/($L83-$K83)))</f>
        <v>#REF!</v>
      </c>
      <c r="AA83" s="201" t="e">
        <f t="array" ref="AA83">_xlfn.IFS(AND($K83&gt;Z$7,$L83&gt;Z$7),0,AND($K83&lt;=Z$7,$L83&lt;=Z$7),1,AND($K83&lt;=Z$7,$L83&gt;Z$7),((Z$7-$K83)/($L83-$K83)))</f>
        <v>#REF!</v>
      </c>
      <c r="AB83" s="201" t="e">
        <f t="array" ref="AB83">_xlfn.IFS(AND($K83&gt;AA$7,$L83&gt;AA$7),0,AND($K83&lt;=AA$7,$L83&lt;=AA$7),1,AND($K83&lt;=AA$7,$L83&gt;AA$7),((AA$7-$K83)/($L83-$K83)))</f>
        <v>#REF!</v>
      </c>
      <c r="AC83" s="201" t="e">
        <f t="array" ref="AC83">_xlfn.IFS(AND($K83&gt;AB$7,$L83&gt;AB$7),0,AND($K83&lt;=AB$7,$L83&lt;=AB$7),1,AND($K83&lt;=AB$7,$L83&gt;AB$7),((AB$7-$K83)/($L83-$K83)))</f>
        <v>#REF!</v>
      </c>
      <c r="AD83" s="201" t="e">
        <f t="array" ref="AD83">_xlfn.IFS(AND($K83&gt;AC$7,$L83&gt;AC$7),0,AND($K83&lt;=AC$7,$L83&lt;=AC$7),1,AND($K83&lt;=AC$7,$L83&gt;AC$7),((AC$7-$K83)/($L83-$K83)))</f>
        <v>#REF!</v>
      </c>
      <c r="AE83" s="201" t="e">
        <f t="array" ref="AE83">_xlfn.IFS(AND($K83&gt;AD$7,$L83&gt;AD$7),0,AND($K83&lt;=AD$7,$L83&lt;=AD$7),1,AND($K83&lt;=AD$7,$L83&gt;AD$7),((AD$7-$K83)/($L83-$K83)))</f>
        <v>#REF!</v>
      </c>
      <c r="AF83" s="201" t="e">
        <f t="array" ref="AF83">_xlfn.IFS(AND($K83&gt;AE$7,$L83&gt;AE$7),0,AND($K83&lt;=AE$7,$L83&lt;=AE$7),1,AND($K83&lt;=AE$7,$L83&gt;AE$7),((AE$7-$K83)/($L83-$K83)))</f>
        <v>#REF!</v>
      </c>
      <c r="AG83" s="201" t="e">
        <f t="array" ref="AG83">_xlfn.IFS(AND($K83&gt;AF$7,$L83&gt;AF$7),0,AND($K83&lt;=AF$7,$L83&lt;=AF$7),1,AND($K83&lt;=AF$7,$L83&gt;AF$7),((AF$7-$K83)/($L83-$K83)))</f>
        <v>#REF!</v>
      </c>
      <c r="AH83" s="201" t="e">
        <f t="array" ref="AH83">_xlfn.IFS(AND($K83&gt;AG$7,$L83&gt;AG$7),0,AND($K83&lt;=AG$7,$L83&lt;=AG$7),1,AND($K83&lt;=AG$7,$L83&gt;AG$7),((AG$7-$K83)/($L83-$K83)))</f>
        <v>#REF!</v>
      </c>
      <c r="AI83" s="201" t="e">
        <f t="array" ref="AI83">_xlfn.IFS(AND($K83&gt;AH$7,$L83&gt;AH$7),0,AND($K83&lt;=AH$7,$L83&lt;=AH$7),1,AND($K83&lt;=AH$7,$L83&gt;AH$7),((AH$7-$K83)/($L83-$K83)))</f>
        <v>#REF!</v>
      </c>
      <c r="AJ83" s="201" t="e">
        <f t="array" ref="AJ83">_xlfn.IFS(AND($K83&gt;AI$7,$L83&gt;AI$7),0,AND($K83&lt;=AI$7,$L83&lt;=AI$7),1,AND($K83&lt;=AI$7,$L83&gt;AI$7),((AI$7-$K83)/($L83-$K83)))</f>
        <v>#REF!</v>
      </c>
      <c r="AK83" s="201" t="e">
        <f t="array" ref="AK83">_xlfn.IFS(AND($K83&gt;AJ$7,$L83&gt;AJ$7),0,AND($K83&lt;=AJ$7,$L83&lt;=AJ$7),1,AND($K83&lt;=AJ$7,$L83&gt;AJ$7),((AJ$7-$K83)/($L83-$K83)))</f>
        <v>#REF!</v>
      </c>
      <c r="AL83" s="201" t="e">
        <f t="array" ref="AL83">_xlfn.IFS(AND($K83&gt;AK$7,$L83&gt;AK$7),0,AND($K83&lt;=AK$7,$L83&lt;=AK$7),1,AND($K83&lt;=AK$7,$L83&gt;AK$7),((AK$7-$K83)/($L83-$K83)))</f>
        <v>#REF!</v>
      </c>
      <c r="AM83" s="201" t="e">
        <f t="array" ref="AM83">_xlfn.IFS(AND($K83&gt;AL$7,$L83&gt;AL$7),0,AND($K83&lt;=AL$7,$L83&lt;=AL$7),1,AND($K83&lt;=AL$7,$L83&gt;AL$7),((AL$7-$K83)/($L83-$K83)))</f>
        <v>#REF!</v>
      </c>
      <c r="AN83" s="201" t="e">
        <f t="array" ref="AN83">_xlfn.IFS(AND($K83&gt;AM$7,$L83&gt;AM$7),0,AND($K83&lt;=AM$7,$L83&lt;=AM$7),1,AND($K83&lt;=AM$7,$L83&gt;AM$7),((AM$7-$K83)/($L83-$K83)))</f>
        <v>#REF!</v>
      </c>
      <c r="AO83" s="201" t="e">
        <f t="array" ref="AO83">_xlfn.IFS(AND($K83&gt;AN$7,$L83&gt;AN$7),0,AND($K83&lt;=AN$7,$L83&lt;=AN$7),1,AND($K83&lt;=AN$7,$L83&gt;AN$7),((AN$7-$K83)/($L83-$K83)))</f>
        <v>#REF!</v>
      </c>
      <c r="AP83" s="201" t="e">
        <f t="array" ref="AP83">_xlfn.IFS(AND($K83&gt;AO$7,$L83&gt;AO$7),0,AND($K83&lt;=AO$7,$L83&lt;=AO$7),1,AND($K83&lt;=AO$7,$L83&gt;AO$7),((AO$7-$K83)/($L83-$K83)))</f>
        <v>#REF!</v>
      </c>
      <c r="AQ83" s="201" t="e">
        <f t="array" ref="AQ83">_xlfn.IFS(AND($K83&gt;AP$7,$L83&gt;AP$7),0,AND($K83&lt;=AP$7,$L83&lt;=AP$7),1,AND($K83&lt;=AP$7,$L83&gt;AP$7),((AP$7-$K83)/($L83-$K83)))</f>
        <v>#REF!</v>
      </c>
      <c r="AR83" s="201" t="e">
        <f t="array" ref="AR83">_xlfn.IFS(AND($K83&gt;AQ$7,$L83&gt;AQ$7),0,AND($K83&lt;=AQ$7,$L83&lt;=AQ$7),1,AND($K83&lt;=AQ$7,$L83&gt;AQ$7),((AQ$7-$K83)/($L83-$K83)))</f>
        <v>#REF!</v>
      </c>
      <c r="AS83" s="201" t="e">
        <f t="array" ref="AS83">_xlfn.IFS(AND($K83&gt;AR$7,$L83&gt;AR$7),0,AND($K83&lt;=AR$7,$L83&lt;=AR$7),1,AND($K83&lt;=AR$7,$L83&gt;AR$7),((AR$7-$K83)/($L83-$K83)))</f>
        <v>#REF!</v>
      </c>
      <c r="AT83" s="201" t="e">
        <f t="array" ref="AT83">_xlfn.IFS(AND($K83&gt;AS$7,$L83&gt;AS$7),0,AND($K83&lt;=AS$7,$L83&lt;=AS$7),1,AND($K83&lt;=AS$7,$L83&gt;AS$7),((AS$7-$K83)/($L83-$K83)))</f>
        <v>#REF!</v>
      </c>
      <c r="AU83" s="201" t="e">
        <f t="array" ref="AU83">_xlfn.IFS(AND($K83&gt;AT$7,$L83&gt;AT$7),0,AND($K83&lt;=AT$7,$L83&lt;=AT$7),1,AND($K83&lt;=AT$7,$L83&gt;AT$7),((AT$7-$K83)/($L83-$K83)))</f>
        <v>#REF!</v>
      </c>
      <c r="AV83" s="201" t="e">
        <f t="array" ref="AV83">_xlfn.IFS(AND($K83&gt;AU$7,$L83&gt;AU$7),0,AND($K83&lt;=AU$7,$L83&lt;=AU$7),1,AND($K83&lt;=AU$7,$L83&gt;AU$7),((AU$7-$K83)/($L83-$K83)))</f>
        <v>#REF!</v>
      </c>
      <c r="AW83" s="201" t="e">
        <f t="array" ref="AW83">_xlfn.IFS(AND($K83&gt;AV$7,$L83&gt;AV$7),0,AND($K83&lt;=AV$7,$L83&lt;=AV$7),1,AND($K83&lt;=AV$7,$L83&gt;AV$7),((AV$7-$K83)/($L83-$K83)))</f>
        <v>#REF!</v>
      </c>
      <c r="AX83" s="201" t="e">
        <f t="array" ref="AX83">_xlfn.IFS(AND($K83&gt;AW$7,$L83&gt;AW$7),0,AND($K83&lt;=AW$7,$L83&lt;=AW$7),1,AND($K83&lt;=AW$7,$L83&gt;AW$7),((AW$7-$K83)/($L83-$K83)))</f>
        <v>#REF!</v>
      </c>
      <c r="AY83" s="201" t="e">
        <f t="array" ref="AY83">_xlfn.IFS(AND($K83&gt;AX$7,$L83&gt;AX$7),0,AND($K83&lt;=AX$7,$L83&lt;=AX$7),1,AND($K83&lt;=AX$7,$L83&gt;AX$7),((AX$7-$K83)/($L83-$K83)))</f>
        <v>#REF!</v>
      </c>
      <c r="AZ83" s="201" t="e">
        <f t="array" ref="AZ83">_xlfn.IFS(AND($K83&gt;AY$7,$L83&gt;AY$7),0,AND($K83&lt;=AY$7,$L83&lt;=AY$7),1,AND($K83&lt;=AY$7,$L83&gt;AY$7),((AY$7-$K83)/($L83-$K83)))</f>
        <v>#REF!</v>
      </c>
      <c r="BA83" s="201" t="e">
        <f t="array" ref="BA83">_xlfn.IFS(AND($K83&gt;AZ$7,$L83&gt;AZ$7),0,AND($K83&lt;=AZ$7,$L83&lt;=AZ$7),1,AND($K83&lt;=AZ$7,$L83&gt;AZ$7),((AZ$7-$K83)/($L83-$K83)))</f>
        <v>#REF!</v>
      </c>
      <c r="BB83" s="201" t="e">
        <f t="array" ref="BB83">_xlfn.IFS(AND($K83&gt;BA$7,$L83&gt;BA$7),0,AND($K83&lt;=BA$7,$L83&lt;=BA$7),1,AND($K83&lt;=BA$7,$L83&gt;BA$7),((BA$7-$K83)/($L83-$K83)))</f>
        <v>#REF!</v>
      </c>
      <c r="BC83" s="201" t="e">
        <f t="array" ref="BC83">_xlfn.IFS(AND($K83&gt;BB$7,$L83&gt;BB$7),0,AND($K83&lt;=BB$7,$L83&lt;=BB$7),1,AND($K83&lt;=BB$7,$L83&gt;BB$7),((BB$7-$K83)/($L83-$K83)))</f>
        <v>#REF!</v>
      </c>
      <c r="BD83" s="201" t="e">
        <f t="array" ref="BD83">_xlfn.IFS(AND($K83&gt;BC$7,$L83&gt;BC$7),0,AND($K83&lt;=BC$7,$L83&lt;=BC$7),1,AND($K83&lt;=BC$7,$L83&gt;BC$7),((BC$7-$K83)/($L83-$K83)))</f>
        <v>#REF!</v>
      </c>
      <c r="BE83" s="201" t="e">
        <f t="array" ref="BE83">_xlfn.IFS(AND($K83&gt;BD$7,$L83&gt;BD$7),0,AND($K83&lt;=BD$7,$L83&lt;=BD$7),1,AND($K83&lt;=BD$7,$L83&gt;BD$7),((BD$7-$K83)/($L83-$K83)))</f>
        <v>#REF!</v>
      </c>
      <c r="BF83" s="201" t="e">
        <f t="array" ref="BF83">_xlfn.IFS(AND($K83&gt;BE$7,$L83&gt;BE$7),0,AND($K83&lt;=BE$7,$L83&lt;=BE$7),1,AND($K83&lt;=BE$7,$L83&gt;BE$7),((BE$7-$K83)/($L83-$K83)))</f>
        <v>#REF!</v>
      </c>
      <c r="BG83" s="201" t="e">
        <f t="array" ref="BG83">_xlfn.IFS(AND($K83&gt;BF$7,$L83&gt;BF$7),0,AND($K83&lt;=BF$7,$L83&lt;=BF$7),1,AND($K83&lt;=BF$7,$L83&gt;BF$7),((BF$7-$K83)/($L83-$K83)))</f>
        <v>#REF!</v>
      </c>
      <c r="BH83" s="201" t="e">
        <f t="array" ref="BH83">_xlfn.IFS(AND($K83&gt;BG$7,$L83&gt;BG$7),0,AND($K83&lt;=BG$7,$L83&lt;=BG$7),1,AND($K83&lt;=BG$7,$L83&gt;BG$7),((BG$7-$K83)/($L83-$K83)))</f>
        <v>#REF!</v>
      </c>
      <c r="BI83" s="201" t="e">
        <f t="array" ref="BI83">_xlfn.IFS(AND($K83&gt;BH$7,$L83&gt;BH$7),0,AND($K83&lt;=BH$7,$L83&lt;=BH$7),1,AND($K83&lt;=BH$7,$L83&gt;BH$7),((BH$7-$K83)/($L83-$K83)))</f>
        <v>#REF!</v>
      </c>
      <c r="BJ83" s="201" t="e">
        <f t="array" ref="BJ83">_xlfn.IFS(AND($K83&gt;BI$7,$L83&gt;BI$7),0,AND($K83&lt;=BI$7,$L83&lt;=BI$7),1,AND($K83&lt;=BI$7,$L83&gt;BI$7),((BI$7-$K83)/($L83-$K83)))</f>
        <v>#REF!</v>
      </c>
      <c r="BK83" s="201" t="e">
        <f t="array" ref="BK83">_xlfn.IFS(AND($K83&gt;BJ$7,$L83&gt;BJ$7),0,AND($K83&lt;=BJ$7,$L83&lt;=BJ$7),1,AND($K83&lt;=BJ$7,$L83&gt;BJ$7),((BJ$7-$K83)/($L83-$K83)))</f>
        <v>#REF!</v>
      </c>
      <c r="BL83" s="201" t="e">
        <f t="array" ref="BL83">_xlfn.IFS(AND($K83&gt;BK$7,$L83&gt;BK$7),0,AND($K83&lt;=BK$7,$L83&lt;=BK$7),1,AND($K83&lt;=BK$7,$L83&gt;BK$7),((BK$7-$K83)/($L83-$K83)))</f>
        <v>#REF!</v>
      </c>
      <c r="BM83" s="201" t="e">
        <f t="array" ref="BM83">_xlfn.IFS(AND($K83&gt;BL$7,$L83&gt;BL$7),0,AND($K83&lt;=BL$7,$L83&lt;=BL$7),1,AND($K83&lt;=BL$7,$L83&gt;BL$7),((BL$7-$K83)/($L83-$K83)))</f>
        <v>#REF!</v>
      </c>
      <c r="BN83" s="201" t="e">
        <f t="array" ref="BN83">_xlfn.IFS(AND($K83&gt;BM$7,$L83&gt;BM$7),0,AND($K83&lt;=BM$7,$L83&lt;=BM$7),1,AND($K83&lt;=BM$7,$L83&gt;BM$7),((BM$7-$K83)/($L83-$K83)))</f>
        <v>#REF!</v>
      </c>
    </row>
    <row r="84" spans="2:66" ht="15" customHeight="1" x14ac:dyDescent="0.3">
      <c r="B84" s="166" t="str">
        <f t="array" ref="B84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84" s="166" t="s">
        <v>215</v>
      </c>
      <c r="D84" s="177"/>
      <c r="E84" s="170" t="str">
        <f t="shared" si="44"/>
        <v>Desenvolvimento da Transformação dos Processos</v>
      </c>
      <c r="F84" s="174" t="str">
        <f t="shared" si="41"/>
        <v>Modelagem To Be</v>
      </c>
      <c r="G84" s="166" t="str">
        <f t="shared" si="45"/>
        <v>Modelagem To Be</v>
      </c>
      <c r="H84" s="197" t="s">
        <v>216</v>
      </c>
      <c r="I84" s="166">
        <v>45768</v>
      </c>
      <c r="J84" s="40">
        <v>45779</v>
      </c>
      <c r="K84" s="166">
        <v>45768</v>
      </c>
      <c r="L84" s="40">
        <v>45779</v>
      </c>
      <c r="M84" s="167"/>
      <c r="N84" s="167" t="str">
        <f t="array" ref="N84">_xlfn.IFS(L84&lt;$M$3,"Concluído",AND(K84&gt;=$M$3,I84&lt;$M$3,L84&gt;$M$3),"Em andamento",AND(L84&gt;=$M$3,J84&lt;$M$3),"Atrasado",AND(L84&gt;=$M$3,J84&gt;=$M$3,I84&gt;$M$3,K84&lt;=$M$3),"Em andamento",AND(L84&gt;=$M$3,J84&gt;=$M$3,I84&lt;=$M$3,K84&lt;=$M$3),"Em andamento",AND(K84&gt;$M$3,I84&gt;$M$3),"Não iniciado",AND(L84&gt;=$M$3,J84&gt;=$M$3,K84&gt;=$M$3,I84&lt;$M$3),"Atrasado",AND(L84&gt;=$M$3,J84&gt;=$M$3,K84&gt;=$M$3,I84&gt;$M$3),"Não iniciado",AND($I84&lt;=$M$3,$K84&gt;$M$3),"Atrasado")</f>
        <v>Concluído</v>
      </c>
      <c r="O84" s="167">
        <f t="array" ref="O84">_xlfn.IFS(N84="Não iniciado",0,N84="Em andamento",1,N84="Concluído",2,N84="Atrasado",3)</f>
        <v>2</v>
      </c>
      <c r="P84" s="169"/>
      <c r="Q84" s="152">
        <f t="array" aca="1" ref="Q84" ca="1">_xlfn.IFS(AND($I84&lt;$N$3,$J84&lt;$N$3),1,AND($I84&lt;=$N$3,$J84&gt;=$N$3),0.5,AND($I84&gt;=$N$3,$J84&gt;=$N$3),0)</f>
        <v>1</v>
      </c>
      <c r="R84" s="152">
        <f t="array" aca="1" ref="R84" ca="1">_xlfn.IFS(AND($K84&lt;$N$3,$L84&lt;$N$3),1,AND($K84&lt;=$N$3,$L84&gt;=$N$3),0.5,AND($K84&gt;=$N$3,$L84&gt;=$N$3),0)</f>
        <v>1</v>
      </c>
      <c r="S84" s="201" t="e">
        <f t="array" ref="S84">_xlfn.IFS(AND($K84&gt;R$7,$L84&gt;R$7),0,AND($K84&lt;=R$7,$L84&lt;=R$7),1,AND($K84&lt;=R$7,$L84&gt;R$7),((R$7-$K84)/($L84-$K84)))</f>
        <v>#REF!</v>
      </c>
      <c r="T84" s="201" t="e">
        <f t="array" ref="T84">_xlfn.IFS(AND($K84&gt;S$7,$L84&gt;S$7),0,AND($K84&lt;=S$7,$L84&lt;=S$7),1,AND($K84&lt;=S$7,$L84&gt;S$7),((S$7-$K84)/($L84-$K84)))</f>
        <v>#REF!</v>
      </c>
      <c r="U84" s="201" t="e">
        <f t="array" ref="U84">_xlfn.IFS(AND($K84&gt;T$7,$L84&gt;T$7),0,AND($K84&lt;=T$7,$L84&lt;=T$7),1,AND($K84&lt;=T$7,$L84&gt;T$7),((T$7-$K84)/($L84-$K84)))</f>
        <v>#REF!</v>
      </c>
      <c r="V84" s="201" t="e">
        <f t="array" ref="V84">_xlfn.IFS(AND($K84&gt;U$7,$L84&gt;U$7),0,AND($K84&lt;=U$7,$L84&lt;=U$7),1,AND($K84&lt;=U$7,$L84&gt;U$7),((U$7-$K84)/($L84-$K84)))</f>
        <v>#REF!</v>
      </c>
      <c r="W84" s="201" t="e">
        <f t="array" ref="W84">_xlfn.IFS(AND($K84&gt;V$7,$L84&gt;V$7),0,AND($K84&lt;=V$7,$L84&lt;=V$7),1,AND($K84&lt;=V$7,$L84&gt;V$7),((V$7-$K84)/($L84-$K84)))</f>
        <v>#REF!</v>
      </c>
      <c r="X84" s="201" t="e">
        <f t="array" ref="X84">_xlfn.IFS(AND($K84&gt;W$7,$L84&gt;W$7),0,AND($K84&lt;=W$7,$L84&lt;=W$7),1,AND($K84&lt;=W$7,$L84&gt;W$7),((W$7-$K84)/($L84-$K84)))</f>
        <v>#REF!</v>
      </c>
      <c r="Y84" s="201" t="e">
        <f t="array" ref="Y84">_xlfn.IFS(AND($K84&gt;X$7,$L84&gt;X$7),0,AND($K84&lt;=X$7,$L84&lt;=X$7),1,AND($K84&lt;=X$7,$L84&gt;X$7),((X$7-$K84)/($L84-$K84)))</f>
        <v>#REF!</v>
      </c>
      <c r="Z84" s="201" t="e">
        <f t="array" ref="Z84">_xlfn.IFS(AND($K84&gt;Y$7,$L84&gt;Y$7),0,AND($K84&lt;=Y$7,$L84&lt;=Y$7),1,AND($K84&lt;=Y$7,$L84&gt;Y$7),((Y$7-$K84)/($L84-$K84)))</f>
        <v>#REF!</v>
      </c>
      <c r="AA84" s="201" t="e">
        <f t="array" ref="AA84">_xlfn.IFS(AND($K84&gt;Z$7,$L84&gt;Z$7),0,AND($K84&lt;=Z$7,$L84&lt;=Z$7),1,AND($K84&lt;=Z$7,$L84&gt;Z$7),((Z$7-$K84)/($L84-$K84)))</f>
        <v>#REF!</v>
      </c>
      <c r="AB84" s="201" t="e">
        <f t="array" ref="AB84">_xlfn.IFS(AND($K84&gt;AA$7,$L84&gt;AA$7),0,AND($K84&lt;=AA$7,$L84&lt;=AA$7),1,AND($K84&lt;=AA$7,$L84&gt;AA$7),((AA$7-$K84)/($L84-$K84)))</f>
        <v>#REF!</v>
      </c>
      <c r="AC84" s="201" t="e">
        <f t="array" ref="AC84">_xlfn.IFS(AND($K84&gt;AB$7,$L84&gt;AB$7),0,AND($K84&lt;=AB$7,$L84&lt;=AB$7),1,AND($K84&lt;=AB$7,$L84&gt;AB$7),((AB$7-$K84)/($L84-$K84)))</f>
        <v>#REF!</v>
      </c>
      <c r="AD84" s="201" t="e">
        <f t="array" ref="AD84">_xlfn.IFS(AND($K84&gt;AC$7,$L84&gt;AC$7),0,AND($K84&lt;=AC$7,$L84&lt;=AC$7),1,AND($K84&lt;=AC$7,$L84&gt;AC$7),((AC$7-$K84)/($L84-$K84)))</f>
        <v>#REF!</v>
      </c>
      <c r="AE84" s="201" t="e">
        <f t="array" ref="AE84">_xlfn.IFS(AND($K84&gt;AD$7,$L84&gt;AD$7),0,AND($K84&lt;=AD$7,$L84&lt;=AD$7),1,AND($K84&lt;=AD$7,$L84&gt;AD$7),((AD$7-$K84)/($L84-$K84)))</f>
        <v>#REF!</v>
      </c>
      <c r="AF84" s="201" t="e">
        <f t="array" ref="AF84">_xlfn.IFS(AND($K84&gt;AE$7,$L84&gt;AE$7),0,AND($K84&lt;=AE$7,$L84&lt;=AE$7),1,AND($K84&lt;=AE$7,$L84&gt;AE$7),((AE$7-$K84)/($L84-$K84)))</f>
        <v>#REF!</v>
      </c>
      <c r="AG84" s="201" t="e">
        <f t="array" ref="AG84">_xlfn.IFS(AND($K84&gt;AF$7,$L84&gt;AF$7),0,AND($K84&lt;=AF$7,$L84&lt;=AF$7),1,AND($K84&lt;=AF$7,$L84&gt;AF$7),((AF$7-$K84)/($L84-$K84)))</f>
        <v>#REF!</v>
      </c>
      <c r="AH84" s="201" t="e">
        <f t="array" ref="AH84">_xlfn.IFS(AND($K84&gt;AG$7,$L84&gt;AG$7),0,AND($K84&lt;=AG$7,$L84&lt;=AG$7),1,AND($K84&lt;=AG$7,$L84&gt;AG$7),((AG$7-$K84)/($L84-$K84)))</f>
        <v>#REF!</v>
      </c>
      <c r="AI84" s="201" t="e">
        <f t="array" ref="AI84">_xlfn.IFS(AND($K84&gt;AH$7,$L84&gt;AH$7),0,AND($K84&lt;=AH$7,$L84&lt;=AH$7),1,AND($K84&lt;=AH$7,$L84&gt;AH$7),((AH$7-$K84)/($L84-$K84)))</f>
        <v>#REF!</v>
      </c>
      <c r="AJ84" s="201" t="e">
        <f t="array" ref="AJ84">_xlfn.IFS(AND($K84&gt;AI$7,$L84&gt;AI$7),0,AND($K84&lt;=AI$7,$L84&lt;=AI$7),1,AND($K84&lt;=AI$7,$L84&gt;AI$7),((AI$7-$K84)/($L84-$K84)))</f>
        <v>#REF!</v>
      </c>
      <c r="AK84" s="201" t="e">
        <f t="array" ref="AK84">_xlfn.IFS(AND($K84&gt;AJ$7,$L84&gt;AJ$7),0,AND($K84&lt;=AJ$7,$L84&lt;=AJ$7),1,AND($K84&lt;=AJ$7,$L84&gt;AJ$7),((AJ$7-$K84)/($L84-$K84)))</f>
        <v>#REF!</v>
      </c>
      <c r="AL84" s="201" t="e">
        <f t="array" ref="AL84">_xlfn.IFS(AND($K84&gt;AK$7,$L84&gt;AK$7),0,AND($K84&lt;=AK$7,$L84&lt;=AK$7),1,AND($K84&lt;=AK$7,$L84&gt;AK$7),((AK$7-$K84)/($L84-$K84)))</f>
        <v>#REF!</v>
      </c>
      <c r="AM84" s="201" t="e">
        <f t="array" ref="AM84">_xlfn.IFS(AND($K84&gt;AL$7,$L84&gt;AL$7),0,AND($K84&lt;=AL$7,$L84&lt;=AL$7),1,AND($K84&lt;=AL$7,$L84&gt;AL$7),((AL$7-$K84)/($L84-$K84)))</f>
        <v>#REF!</v>
      </c>
      <c r="AN84" s="201" t="e">
        <f t="array" ref="AN84">_xlfn.IFS(AND($K84&gt;AM$7,$L84&gt;AM$7),0,AND($K84&lt;=AM$7,$L84&lt;=AM$7),1,AND($K84&lt;=AM$7,$L84&gt;AM$7),((AM$7-$K84)/($L84-$K84)))</f>
        <v>#REF!</v>
      </c>
      <c r="AO84" s="201" t="e">
        <f t="array" ref="AO84">_xlfn.IFS(AND($K84&gt;AN$7,$L84&gt;AN$7),0,AND($K84&lt;=AN$7,$L84&lt;=AN$7),1,AND($K84&lt;=AN$7,$L84&gt;AN$7),((AN$7-$K84)/($L84-$K84)))</f>
        <v>#REF!</v>
      </c>
      <c r="AP84" s="201" t="e">
        <f t="array" ref="AP84">_xlfn.IFS(AND($K84&gt;AO$7,$L84&gt;AO$7),0,AND($K84&lt;=AO$7,$L84&lt;=AO$7),1,AND($K84&lt;=AO$7,$L84&gt;AO$7),((AO$7-$K84)/($L84-$K84)))</f>
        <v>#REF!</v>
      </c>
      <c r="AQ84" s="201" t="e">
        <f t="array" ref="AQ84">_xlfn.IFS(AND($K84&gt;AP$7,$L84&gt;AP$7),0,AND($K84&lt;=AP$7,$L84&lt;=AP$7),1,AND($K84&lt;=AP$7,$L84&gt;AP$7),((AP$7-$K84)/($L84-$K84)))</f>
        <v>#REF!</v>
      </c>
      <c r="AR84" s="201" t="e">
        <f t="array" ref="AR84">_xlfn.IFS(AND($K84&gt;AQ$7,$L84&gt;AQ$7),0,AND($K84&lt;=AQ$7,$L84&lt;=AQ$7),1,AND($K84&lt;=AQ$7,$L84&gt;AQ$7),((AQ$7-$K84)/($L84-$K84)))</f>
        <v>#REF!</v>
      </c>
      <c r="AS84" s="201" t="e">
        <f t="array" ref="AS84">_xlfn.IFS(AND($K84&gt;AR$7,$L84&gt;AR$7),0,AND($K84&lt;=AR$7,$L84&lt;=AR$7),1,AND($K84&lt;=AR$7,$L84&gt;AR$7),((AR$7-$K84)/($L84-$K84)))</f>
        <v>#REF!</v>
      </c>
      <c r="AT84" s="201" t="e">
        <f t="array" ref="AT84">_xlfn.IFS(AND($K84&gt;AS$7,$L84&gt;AS$7),0,AND($K84&lt;=AS$7,$L84&lt;=AS$7),1,AND($K84&lt;=AS$7,$L84&gt;AS$7),((AS$7-$K84)/($L84-$K84)))</f>
        <v>#REF!</v>
      </c>
      <c r="AU84" s="201" t="e">
        <f t="array" ref="AU84">_xlfn.IFS(AND($K84&gt;AT$7,$L84&gt;AT$7),0,AND($K84&lt;=AT$7,$L84&lt;=AT$7),1,AND($K84&lt;=AT$7,$L84&gt;AT$7),((AT$7-$K84)/($L84-$K84)))</f>
        <v>#REF!</v>
      </c>
      <c r="AV84" s="201" t="e">
        <f t="array" ref="AV84">_xlfn.IFS(AND($K84&gt;AU$7,$L84&gt;AU$7),0,AND($K84&lt;=AU$7,$L84&lt;=AU$7),1,AND($K84&lt;=AU$7,$L84&gt;AU$7),((AU$7-$K84)/($L84-$K84)))</f>
        <v>#REF!</v>
      </c>
      <c r="AW84" s="201" t="e">
        <f t="array" ref="AW84">_xlfn.IFS(AND($K84&gt;AV$7,$L84&gt;AV$7),0,AND($K84&lt;=AV$7,$L84&lt;=AV$7),1,AND($K84&lt;=AV$7,$L84&gt;AV$7),((AV$7-$K84)/($L84-$K84)))</f>
        <v>#REF!</v>
      </c>
      <c r="AX84" s="201" t="e">
        <f t="array" ref="AX84">_xlfn.IFS(AND($K84&gt;AW$7,$L84&gt;AW$7),0,AND($K84&lt;=AW$7,$L84&lt;=AW$7),1,AND($K84&lt;=AW$7,$L84&gt;AW$7),((AW$7-$K84)/($L84-$K84)))</f>
        <v>#REF!</v>
      </c>
      <c r="AY84" s="201" t="e">
        <f t="array" ref="AY84">_xlfn.IFS(AND($K84&gt;AX$7,$L84&gt;AX$7),0,AND($K84&lt;=AX$7,$L84&lt;=AX$7),1,AND($K84&lt;=AX$7,$L84&gt;AX$7),((AX$7-$K84)/($L84-$K84)))</f>
        <v>#REF!</v>
      </c>
      <c r="AZ84" s="201" t="e">
        <f t="array" ref="AZ84">_xlfn.IFS(AND($K84&gt;AY$7,$L84&gt;AY$7),0,AND($K84&lt;=AY$7,$L84&lt;=AY$7),1,AND($K84&lt;=AY$7,$L84&gt;AY$7),((AY$7-$K84)/($L84-$K84)))</f>
        <v>#REF!</v>
      </c>
      <c r="BA84" s="201" t="e">
        <f t="array" ref="BA84">_xlfn.IFS(AND($K84&gt;AZ$7,$L84&gt;AZ$7),0,AND($K84&lt;=AZ$7,$L84&lt;=AZ$7),1,AND($K84&lt;=AZ$7,$L84&gt;AZ$7),((AZ$7-$K84)/($L84-$K84)))</f>
        <v>#REF!</v>
      </c>
      <c r="BB84" s="201" t="e">
        <f t="array" ref="BB84">_xlfn.IFS(AND($K84&gt;BA$7,$L84&gt;BA$7),0,AND($K84&lt;=BA$7,$L84&lt;=BA$7),1,AND($K84&lt;=BA$7,$L84&gt;BA$7),((BA$7-$K84)/($L84-$K84)))</f>
        <v>#REF!</v>
      </c>
      <c r="BC84" s="201" t="e">
        <f t="array" ref="BC84">_xlfn.IFS(AND($K84&gt;BB$7,$L84&gt;BB$7),0,AND($K84&lt;=BB$7,$L84&lt;=BB$7),1,AND($K84&lt;=BB$7,$L84&gt;BB$7),((BB$7-$K84)/($L84-$K84)))</f>
        <v>#REF!</v>
      </c>
      <c r="BD84" s="201" t="e">
        <f t="array" ref="BD84">_xlfn.IFS(AND($K84&gt;BC$7,$L84&gt;BC$7),0,AND($K84&lt;=BC$7,$L84&lt;=BC$7),1,AND($K84&lt;=BC$7,$L84&gt;BC$7),((BC$7-$K84)/($L84-$K84)))</f>
        <v>#REF!</v>
      </c>
      <c r="BE84" s="201" t="e">
        <f t="array" ref="BE84">_xlfn.IFS(AND($K84&gt;BD$7,$L84&gt;BD$7),0,AND($K84&lt;=BD$7,$L84&lt;=BD$7),1,AND($K84&lt;=BD$7,$L84&gt;BD$7),((BD$7-$K84)/($L84-$K84)))</f>
        <v>#REF!</v>
      </c>
      <c r="BF84" s="201" t="e">
        <f t="array" ref="BF84">_xlfn.IFS(AND($K84&gt;BE$7,$L84&gt;BE$7),0,AND($K84&lt;=BE$7,$L84&lt;=BE$7),1,AND($K84&lt;=BE$7,$L84&gt;BE$7),((BE$7-$K84)/($L84-$K84)))</f>
        <v>#REF!</v>
      </c>
      <c r="BG84" s="201" t="e">
        <f t="array" ref="BG84">_xlfn.IFS(AND($K84&gt;BF$7,$L84&gt;BF$7),0,AND($K84&lt;=BF$7,$L84&lt;=BF$7),1,AND($K84&lt;=BF$7,$L84&gt;BF$7),((BF$7-$K84)/($L84-$K84)))</f>
        <v>#REF!</v>
      </c>
      <c r="BH84" s="201" t="e">
        <f t="array" ref="BH84">_xlfn.IFS(AND($K84&gt;BG$7,$L84&gt;BG$7),0,AND($K84&lt;=BG$7,$L84&lt;=BG$7),1,AND($K84&lt;=BG$7,$L84&gt;BG$7),((BG$7-$K84)/($L84-$K84)))</f>
        <v>#REF!</v>
      </c>
      <c r="BI84" s="201" t="e">
        <f t="array" ref="BI84">_xlfn.IFS(AND($K84&gt;BH$7,$L84&gt;BH$7),0,AND($K84&lt;=BH$7,$L84&lt;=BH$7),1,AND($K84&lt;=BH$7,$L84&gt;BH$7),((BH$7-$K84)/($L84-$K84)))</f>
        <v>#REF!</v>
      </c>
      <c r="BJ84" s="201" t="e">
        <f t="array" ref="BJ84">_xlfn.IFS(AND($K84&gt;BI$7,$L84&gt;BI$7),0,AND($K84&lt;=BI$7,$L84&lt;=BI$7),1,AND($K84&lt;=BI$7,$L84&gt;BI$7),((BI$7-$K84)/($L84-$K84)))</f>
        <v>#REF!</v>
      </c>
      <c r="BK84" s="201" t="e">
        <f t="array" ref="BK84">_xlfn.IFS(AND($K84&gt;BJ$7,$L84&gt;BJ$7),0,AND($K84&lt;=BJ$7,$L84&lt;=BJ$7),1,AND($K84&lt;=BJ$7,$L84&gt;BJ$7),((BJ$7-$K84)/($L84-$K84)))</f>
        <v>#REF!</v>
      </c>
      <c r="BL84" s="201" t="e">
        <f t="array" ref="BL84">_xlfn.IFS(AND($K84&gt;BK$7,$L84&gt;BK$7),0,AND($K84&lt;=BK$7,$L84&lt;=BK$7),1,AND($K84&lt;=BK$7,$L84&gt;BK$7),((BK$7-$K84)/($L84-$K84)))</f>
        <v>#REF!</v>
      </c>
      <c r="BM84" s="201" t="e">
        <f t="array" ref="BM84">_xlfn.IFS(AND($K84&gt;BL$7,$L84&gt;BL$7),0,AND($K84&lt;=BL$7,$L84&lt;=BL$7),1,AND($K84&lt;=BL$7,$L84&gt;BL$7),((BL$7-$K84)/($L84-$K84)))</f>
        <v>#REF!</v>
      </c>
      <c r="BN84" s="201" t="e">
        <f t="array" ref="BN84">_xlfn.IFS(AND($K84&gt;BM$7,$L84&gt;BM$7),0,AND($K84&lt;=BM$7,$L84&lt;=BM$7),1,AND($K84&lt;=BM$7,$L84&gt;BM$7),((BM$7-$K84)/($L84-$K84)))</f>
        <v>#REF!</v>
      </c>
    </row>
    <row r="85" spans="2:66" ht="15" customHeight="1" x14ac:dyDescent="0.3">
      <c r="B85" s="166" t="str">
        <f t="array" ref="B85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85" s="166" t="s">
        <v>217</v>
      </c>
      <c r="D85" s="177"/>
      <c r="E85" s="170" t="str">
        <f t="shared" si="44"/>
        <v>Desenvolvimento da Transformação dos Processos</v>
      </c>
      <c r="F85" s="174" t="str">
        <f t="shared" si="41"/>
        <v>Modelagem To Be</v>
      </c>
      <c r="G85" s="166" t="str">
        <f t="shared" si="45"/>
        <v>Modelagem To Be</v>
      </c>
      <c r="H85" s="197" t="s">
        <v>218</v>
      </c>
      <c r="I85" s="166">
        <v>45778</v>
      </c>
      <c r="J85" s="40">
        <v>45792</v>
      </c>
      <c r="K85" s="166">
        <v>45778</v>
      </c>
      <c r="L85" s="40">
        <v>45792</v>
      </c>
      <c r="M85" s="167"/>
      <c r="N85" s="167" t="str">
        <f t="array" ref="N85">_xlfn.IFS(L85&lt;$M$3,"Concluído",AND(K85&gt;=$M$3,I85&lt;$M$3,L85&gt;$M$3),"Em andamento",AND(L85&gt;=$M$3,J85&lt;$M$3),"Atrasado",AND(L85&gt;=$M$3,J85&gt;=$M$3,I85&gt;$M$3,K85&lt;=$M$3),"Em andamento",AND(L85&gt;=$M$3,J85&gt;=$M$3,I85&lt;=$M$3,K85&lt;=$M$3),"Em andamento",AND(K85&gt;$M$3,I85&gt;$M$3),"Não iniciado",AND(L85&gt;=$M$3,J85&gt;=$M$3,K85&gt;=$M$3,I85&lt;$M$3),"Atrasado",AND(L85&gt;=$M$3,J85&gt;=$M$3,K85&gt;=$M$3,I85&gt;$M$3),"Não iniciado",AND($I85&lt;=$M$3,$K85&gt;$M$3),"Atrasado")</f>
        <v>Concluído</v>
      </c>
      <c r="O85" s="167">
        <f t="array" ref="O85">_xlfn.IFS(N85="Não iniciado",0,N85="Em andamento",1,N85="Concluído",2,N85="Atrasado",3)</f>
        <v>2</v>
      </c>
      <c r="P85" s="169"/>
      <c r="Q85" s="152">
        <f t="array" aca="1" ref="Q85" ca="1">_xlfn.IFS(AND($I85&lt;$N$3,$J85&lt;$N$3),1,AND($I85&lt;=$N$3,$J85&gt;=$N$3),0.5,AND($I85&gt;=$N$3,$J85&gt;=$N$3),0)</f>
        <v>1</v>
      </c>
      <c r="R85" s="152">
        <f t="array" aca="1" ref="R85" ca="1">_xlfn.IFS(AND($K85&lt;$N$3,$L85&lt;$N$3),1,AND($K85&lt;=$N$3,$L85&gt;=$N$3),0.5,AND($K85&gt;=$N$3,$L85&gt;=$N$3),0)</f>
        <v>1</v>
      </c>
      <c r="S85" s="201" t="e">
        <f t="array" ref="S85">_xlfn.IFS(AND($K85&gt;R$7,$L85&gt;R$7),0,AND($K85&lt;=R$7,$L85&lt;=R$7),1,AND($K85&lt;=R$7,$L85&gt;R$7),((R$7-$K85)/($L85-$K85)))</f>
        <v>#REF!</v>
      </c>
      <c r="T85" s="201" t="e">
        <f t="array" ref="T85">_xlfn.IFS(AND($K85&gt;S$7,$L85&gt;S$7),0,AND($K85&lt;=S$7,$L85&lt;=S$7),1,AND($K85&lt;=S$7,$L85&gt;S$7),((S$7-$K85)/($L85-$K85)))</f>
        <v>#REF!</v>
      </c>
      <c r="U85" s="201" t="e">
        <f t="array" ref="U85">_xlfn.IFS(AND($K85&gt;T$7,$L85&gt;T$7),0,AND($K85&lt;=T$7,$L85&lt;=T$7),1,AND($K85&lt;=T$7,$L85&gt;T$7),((T$7-$K85)/($L85-$K85)))</f>
        <v>#REF!</v>
      </c>
      <c r="V85" s="201" t="e">
        <f t="array" ref="V85">_xlfn.IFS(AND($K85&gt;U$7,$L85&gt;U$7),0,AND($K85&lt;=U$7,$L85&lt;=U$7),1,AND($K85&lt;=U$7,$L85&gt;U$7),((U$7-$K85)/($L85-$K85)))</f>
        <v>#REF!</v>
      </c>
      <c r="W85" s="201" t="e">
        <f t="array" ref="W85">_xlfn.IFS(AND($K85&gt;V$7,$L85&gt;V$7),0,AND($K85&lt;=V$7,$L85&lt;=V$7),1,AND($K85&lt;=V$7,$L85&gt;V$7),((V$7-$K85)/($L85-$K85)))</f>
        <v>#REF!</v>
      </c>
      <c r="X85" s="201" t="e">
        <f t="array" ref="X85">_xlfn.IFS(AND($K85&gt;W$7,$L85&gt;W$7),0,AND($K85&lt;=W$7,$L85&lt;=W$7),1,AND($K85&lt;=W$7,$L85&gt;W$7),((W$7-$K85)/($L85-$K85)))</f>
        <v>#REF!</v>
      </c>
      <c r="Y85" s="201" t="e">
        <f t="array" ref="Y85">_xlfn.IFS(AND($K85&gt;X$7,$L85&gt;X$7),0,AND($K85&lt;=X$7,$L85&lt;=X$7),1,AND($K85&lt;=X$7,$L85&gt;X$7),((X$7-$K85)/($L85-$K85)))</f>
        <v>#REF!</v>
      </c>
      <c r="Z85" s="201" t="e">
        <f t="array" ref="Z85">_xlfn.IFS(AND($K85&gt;Y$7,$L85&gt;Y$7),0,AND($K85&lt;=Y$7,$L85&lt;=Y$7),1,AND($K85&lt;=Y$7,$L85&gt;Y$7),((Y$7-$K85)/($L85-$K85)))</f>
        <v>#REF!</v>
      </c>
      <c r="AA85" s="201" t="e">
        <f t="array" ref="AA85">_xlfn.IFS(AND($K85&gt;Z$7,$L85&gt;Z$7),0,AND($K85&lt;=Z$7,$L85&lt;=Z$7),1,AND($K85&lt;=Z$7,$L85&gt;Z$7),((Z$7-$K85)/($L85-$K85)))</f>
        <v>#REF!</v>
      </c>
      <c r="AB85" s="201" t="e">
        <f t="array" ref="AB85">_xlfn.IFS(AND($K85&gt;AA$7,$L85&gt;AA$7),0,AND($K85&lt;=AA$7,$L85&lt;=AA$7),1,AND($K85&lt;=AA$7,$L85&gt;AA$7),((AA$7-$K85)/($L85-$K85)))</f>
        <v>#REF!</v>
      </c>
      <c r="AC85" s="201" t="e">
        <f t="array" ref="AC85">_xlfn.IFS(AND($K85&gt;AB$7,$L85&gt;AB$7),0,AND($K85&lt;=AB$7,$L85&lt;=AB$7),1,AND($K85&lt;=AB$7,$L85&gt;AB$7),((AB$7-$K85)/($L85-$K85)))</f>
        <v>#REF!</v>
      </c>
      <c r="AD85" s="201" t="e">
        <f t="array" ref="AD85">_xlfn.IFS(AND($K85&gt;AC$7,$L85&gt;AC$7),0,AND($K85&lt;=AC$7,$L85&lt;=AC$7),1,AND($K85&lt;=AC$7,$L85&gt;AC$7),((AC$7-$K85)/($L85-$K85)))</f>
        <v>#REF!</v>
      </c>
      <c r="AE85" s="201" t="e">
        <f t="array" ref="AE85">_xlfn.IFS(AND($K85&gt;AD$7,$L85&gt;AD$7),0,AND($K85&lt;=AD$7,$L85&lt;=AD$7),1,AND($K85&lt;=AD$7,$L85&gt;AD$7),((AD$7-$K85)/($L85-$K85)))</f>
        <v>#REF!</v>
      </c>
      <c r="AF85" s="201" t="e">
        <f t="array" ref="AF85">_xlfn.IFS(AND($K85&gt;AE$7,$L85&gt;AE$7),0,AND($K85&lt;=AE$7,$L85&lt;=AE$7),1,AND($K85&lt;=AE$7,$L85&gt;AE$7),((AE$7-$K85)/($L85-$K85)))</f>
        <v>#REF!</v>
      </c>
      <c r="AG85" s="201" t="e">
        <f t="array" ref="AG85">_xlfn.IFS(AND($K85&gt;AF$7,$L85&gt;AF$7),0,AND($K85&lt;=AF$7,$L85&lt;=AF$7),1,AND($K85&lt;=AF$7,$L85&gt;AF$7),((AF$7-$K85)/($L85-$K85)))</f>
        <v>#REF!</v>
      </c>
      <c r="AH85" s="201" t="e">
        <f t="array" ref="AH85">_xlfn.IFS(AND($K85&gt;AG$7,$L85&gt;AG$7),0,AND($K85&lt;=AG$7,$L85&lt;=AG$7),1,AND($K85&lt;=AG$7,$L85&gt;AG$7),((AG$7-$K85)/($L85-$K85)))</f>
        <v>#REF!</v>
      </c>
      <c r="AI85" s="201" t="e">
        <f t="array" ref="AI85">_xlfn.IFS(AND($K85&gt;AH$7,$L85&gt;AH$7),0,AND($K85&lt;=AH$7,$L85&lt;=AH$7),1,AND($K85&lt;=AH$7,$L85&gt;AH$7),((AH$7-$K85)/($L85-$K85)))</f>
        <v>#REF!</v>
      </c>
      <c r="AJ85" s="201" t="e">
        <f t="array" ref="AJ85">_xlfn.IFS(AND($K85&gt;AI$7,$L85&gt;AI$7),0,AND($K85&lt;=AI$7,$L85&lt;=AI$7),1,AND($K85&lt;=AI$7,$L85&gt;AI$7),((AI$7-$K85)/($L85-$K85)))</f>
        <v>#REF!</v>
      </c>
      <c r="AK85" s="201" t="e">
        <f t="array" ref="AK85">_xlfn.IFS(AND($K85&gt;AJ$7,$L85&gt;AJ$7),0,AND($K85&lt;=AJ$7,$L85&lt;=AJ$7),1,AND($K85&lt;=AJ$7,$L85&gt;AJ$7),((AJ$7-$K85)/($L85-$K85)))</f>
        <v>#REF!</v>
      </c>
      <c r="AL85" s="201" t="e">
        <f t="array" ref="AL85">_xlfn.IFS(AND($K85&gt;AK$7,$L85&gt;AK$7),0,AND($K85&lt;=AK$7,$L85&lt;=AK$7),1,AND($K85&lt;=AK$7,$L85&gt;AK$7),((AK$7-$K85)/($L85-$K85)))</f>
        <v>#REF!</v>
      </c>
      <c r="AM85" s="201" t="e">
        <f t="array" ref="AM85">_xlfn.IFS(AND($K85&gt;AL$7,$L85&gt;AL$7),0,AND($K85&lt;=AL$7,$L85&lt;=AL$7),1,AND($K85&lt;=AL$7,$L85&gt;AL$7),((AL$7-$K85)/($L85-$K85)))</f>
        <v>#REF!</v>
      </c>
      <c r="AN85" s="201" t="e">
        <f t="array" ref="AN85">_xlfn.IFS(AND($K85&gt;AM$7,$L85&gt;AM$7),0,AND($K85&lt;=AM$7,$L85&lt;=AM$7),1,AND($K85&lt;=AM$7,$L85&gt;AM$7),((AM$7-$K85)/($L85-$K85)))</f>
        <v>#REF!</v>
      </c>
      <c r="AO85" s="201" t="e">
        <f t="array" ref="AO85">_xlfn.IFS(AND($K85&gt;AN$7,$L85&gt;AN$7),0,AND($K85&lt;=AN$7,$L85&lt;=AN$7),1,AND($K85&lt;=AN$7,$L85&gt;AN$7),((AN$7-$K85)/($L85-$K85)))</f>
        <v>#REF!</v>
      </c>
      <c r="AP85" s="201" t="e">
        <f t="array" ref="AP85">_xlfn.IFS(AND($K85&gt;AO$7,$L85&gt;AO$7),0,AND($K85&lt;=AO$7,$L85&lt;=AO$7),1,AND($K85&lt;=AO$7,$L85&gt;AO$7),((AO$7-$K85)/($L85-$K85)))</f>
        <v>#REF!</v>
      </c>
      <c r="AQ85" s="201" t="e">
        <f t="array" ref="AQ85">_xlfn.IFS(AND($K85&gt;AP$7,$L85&gt;AP$7),0,AND($K85&lt;=AP$7,$L85&lt;=AP$7),1,AND($K85&lt;=AP$7,$L85&gt;AP$7),((AP$7-$K85)/($L85-$K85)))</f>
        <v>#REF!</v>
      </c>
      <c r="AR85" s="201" t="e">
        <f t="array" ref="AR85">_xlfn.IFS(AND($K85&gt;AQ$7,$L85&gt;AQ$7),0,AND($K85&lt;=AQ$7,$L85&lt;=AQ$7),1,AND($K85&lt;=AQ$7,$L85&gt;AQ$7),((AQ$7-$K85)/($L85-$K85)))</f>
        <v>#REF!</v>
      </c>
      <c r="AS85" s="201" t="e">
        <f t="array" ref="AS85">_xlfn.IFS(AND($K85&gt;AR$7,$L85&gt;AR$7),0,AND($K85&lt;=AR$7,$L85&lt;=AR$7),1,AND($K85&lt;=AR$7,$L85&gt;AR$7),((AR$7-$K85)/($L85-$K85)))</f>
        <v>#REF!</v>
      </c>
      <c r="AT85" s="201" t="e">
        <f t="array" ref="AT85">_xlfn.IFS(AND($K85&gt;AS$7,$L85&gt;AS$7),0,AND($K85&lt;=AS$7,$L85&lt;=AS$7),1,AND($K85&lt;=AS$7,$L85&gt;AS$7),((AS$7-$K85)/($L85-$K85)))</f>
        <v>#REF!</v>
      </c>
      <c r="AU85" s="201" t="e">
        <f t="array" ref="AU85">_xlfn.IFS(AND($K85&gt;AT$7,$L85&gt;AT$7),0,AND($K85&lt;=AT$7,$L85&lt;=AT$7),1,AND($K85&lt;=AT$7,$L85&gt;AT$7),((AT$7-$K85)/($L85-$K85)))</f>
        <v>#REF!</v>
      </c>
      <c r="AV85" s="201" t="e">
        <f t="array" ref="AV85">_xlfn.IFS(AND($K85&gt;AU$7,$L85&gt;AU$7),0,AND($K85&lt;=AU$7,$L85&lt;=AU$7),1,AND($K85&lt;=AU$7,$L85&gt;AU$7),((AU$7-$K85)/($L85-$K85)))</f>
        <v>#REF!</v>
      </c>
      <c r="AW85" s="201" t="e">
        <f t="array" ref="AW85">_xlfn.IFS(AND($K85&gt;AV$7,$L85&gt;AV$7),0,AND($K85&lt;=AV$7,$L85&lt;=AV$7),1,AND($K85&lt;=AV$7,$L85&gt;AV$7),((AV$7-$K85)/($L85-$K85)))</f>
        <v>#REF!</v>
      </c>
      <c r="AX85" s="201" t="e">
        <f t="array" ref="AX85">_xlfn.IFS(AND($K85&gt;AW$7,$L85&gt;AW$7),0,AND($K85&lt;=AW$7,$L85&lt;=AW$7),1,AND($K85&lt;=AW$7,$L85&gt;AW$7),((AW$7-$K85)/($L85-$K85)))</f>
        <v>#REF!</v>
      </c>
      <c r="AY85" s="201" t="e">
        <f t="array" ref="AY85">_xlfn.IFS(AND($K85&gt;AX$7,$L85&gt;AX$7),0,AND($K85&lt;=AX$7,$L85&lt;=AX$7),1,AND($K85&lt;=AX$7,$L85&gt;AX$7),((AX$7-$K85)/($L85-$K85)))</f>
        <v>#REF!</v>
      </c>
      <c r="AZ85" s="201" t="e">
        <f t="array" ref="AZ85">_xlfn.IFS(AND($K85&gt;AY$7,$L85&gt;AY$7),0,AND($K85&lt;=AY$7,$L85&lt;=AY$7),1,AND($K85&lt;=AY$7,$L85&gt;AY$7),((AY$7-$K85)/($L85-$K85)))</f>
        <v>#REF!</v>
      </c>
      <c r="BA85" s="201" t="e">
        <f t="array" ref="BA85">_xlfn.IFS(AND($K85&gt;AZ$7,$L85&gt;AZ$7),0,AND($K85&lt;=AZ$7,$L85&lt;=AZ$7),1,AND($K85&lt;=AZ$7,$L85&gt;AZ$7),((AZ$7-$K85)/($L85-$K85)))</f>
        <v>#REF!</v>
      </c>
      <c r="BB85" s="201" t="e">
        <f t="array" ref="BB85">_xlfn.IFS(AND($K85&gt;BA$7,$L85&gt;BA$7),0,AND($K85&lt;=BA$7,$L85&lt;=BA$7),1,AND($K85&lt;=BA$7,$L85&gt;BA$7),((BA$7-$K85)/($L85-$K85)))</f>
        <v>#REF!</v>
      </c>
      <c r="BC85" s="201" t="e">
        <f t="array" ref="BC85">_xlfn.IFS(AND($K85&gt;BB$7,$L85&gt;BB$7),0,AND($K85&lt;=BB$7,$L85&lt;=BB$7),1,AND($K85&lt;=BB$7,$L85&gt;BB$7),((BB$7-$K85)/($L85-$K85)))</f>
        <v>#REF!</v>
      </c>
      <c r="BD85" s="201" t="e">
        <f t="array" ref="BD85">_xlfn.IFS(AND($K85&gt;BC$7,$L85&gt;BC$7),0,AND($K85&lt;=BC$7,$L85&lt;=BC$7),1,AND($K85&lt;=BC$7,$L85&gt;BC$7),((BC$7-$K85)/($L85-$K85)))</f>
        <v>#REF!</v>
      </c>
      <c r="BE85" s="201" t="e">
        <f t="array" ref="BE85">_xlfn.IFS(AND($K85&gt;BD$7,$L85&gt;BD$7),0,AND($K85&lt;=BD$7,$L85&lt;=BD$7),1,AND($K85&lt;=BD$7,$L85&gt;BD$7),((BD$7-$K85)/($L85-$K85)))</f>
        <v>#REF!</v>
      </c>
      <c r="BF85" s="201" t="e">
        <f t="array" ref="BF85">_xlfn.IFS(AND($K85&gt;BE$7,$L85&gt;BE$7),0,AND($K85&lt;=BE$7,$L85&lt;=BE$7),1,AND($K85&lt;=BE$7,$L85&gt;BE$7),((BE$7-$K85)/($L85-$K85)))</f>
        <v>#REF!</v>
      </c>
      <c r="BG85" s="201" t="e">
        <f t="array" ref="BG85">_xlfn.IFS(AND($K85&gt;BF$7,$L85&gt;BF$7),0,AND($K85&lt;=BF$7,$L85&lt;=BF$7),1,AND($K85&lt;=BF$7,$L85&gt;BF$7),((BF$7-$K85)/($L85-$K85)))</f>
        <v>#REF!</v>
      </c>
      <c r="BH85" s="201" t="e">
        <f t="array" ref="BH85">_xlfn.IFS(AND($K85&gt;BG$7,$L85&gt;BG$7),0,AND($K85&lt;=BG$7,$L85&lt;=BG$7),1,AND($K85&lt;=BG$7,$L85&gt;BG$7),((BG$7-$K85)/($L85-$K85)))</f>
        <v>#REF!</v>
      </c>
      <c r="BI85" s="201" t="e">
        <f t="array" ref="BI85">_xlfn.IFS(AND($K85&gt;BH$7,$L85&gt;BH$7),0,AND($K85&lt;=BH$7,$L85&lt;=BH$7),1,AND($K85&lt;=BH$7,$L85&gt;BH$7),((BH$7-$K85)/($L85-$K85)))</f>
        <v>#REF!</v>
      </c>
      <c r="BJ85" s="201" t="e">
        <f t="array" ref="BJ85">_xlfn.IFS(AND($K85&gt;BI$7,$L85&gt;BI$7),0,AND($K85&lt;=BI$7,$L85&lt;=BI$7),1,AND($K85&lt;=BI$7,$L85&gt;BI$7),((BI$7-$K85)/($L85-$K85)))</f>
        <v>#REF!</v>
      </c>
      <c r="BK85" s="201" t="e">
        <f t="array" ref="BK85">_xlfn.IFS(AND($K85&gt;BJ$7,$L85&gt;BJ$7),0,AND($K85&lt;=BJ$7,$L85&lt;=BJ$7),1,AND($K85&lt;=BJ$7,$L85&gt;BJ$7),((BJ$7-$K85)/($L85-$K85)))</f>
        <v>#REF!</v>
      </c>
      <c r="BL85" s="201" t="e">
        <f t="array" ref="BL85">_xlfn.IFS(AND($K85&gt;BK$7,$L85&gt;BK$7),0,AND($K85&lt;=BK$7,$L85&lt;=BK$7),1,AND($K85&lt;=BK$7,$L85&gt;BK$7),((BK$7-$K85)/($L85-$K85)))</f>
        <v>#REF!</v>
      </c>
      <c r="BM85" s="201" t="e">
        <f t="array" ref="BM85">_xlfn.IFS(AND($K85&gt;BL$7,$L85&gt;BL$7),0,AND($K85&lt;=BL$7,$L85&lt;=BL$7),1,AND($K85&lt;=BL$7,$L85&gt;BL$7),((BL$7-$K85)/($L85-$K85)))</f>
        <v>#REF!</v>
      </c>
      <c r="BN85" s="201" t="e">
        <f t="array" ref="BN85">_xlfn.IFS(AND($K85&gt;BM$7,$L85&gt;BM$7),0,AND($K85&lt;=BM$7,$L85&lt;=BM$7),1,AND($K85&lt;=BM$7,$L85&gt;BM$7),((BM$7-$K85)/($L85-$K85)))</f>
        <v>#REF!</v>
      </c>
    </row>
    <row r="86" spans="2:66" ht="15" customHeight="1" x14ac:dyDescent="0.3">
      <c r="B86" s="166" t="str">
        <f t="array" ref="B86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86" s="166" t="s">
        <v>219</v>
      </c>
      <c r="D86" s="177"/>
      <c r="E86" s="170" t="str">
        <f t="shared" si="44"/>
        <v>Desenvolvimento da Transformação dos Processos</v>
      </c>
      <c r="F86" s="174" t="str">
        <f t="shared" si="41"/>
        <v>Modelagem To Be</v>
      </c>
      <c r="G86" s="166" t="str">
        <f t="shared" si="45"/>
        <v>Modelagem To Be</v>
      </c>
      <c r="H86" s="197" t="s">
        <v>220</v>
      </c>
      <c r="I86" s="166">
        <v>45792</v>
      </c>
      <c r="J86" s="166">
        <v>45808</v>
      </c>
      <c r="K86" s="166">
        <v>45804</v>
      </c>
      <c r="L86" s="166">
        <v>45808</v>
      </c>
      <c r="M86" s="167"/>
      <c r="N86" s="167" t="str">
        <f t="array" ref="N86">_xlfn.IFS(L86&lt;$M$3,"Concluído",AND(K86&gt;=$M$3,I86&lt;$M$3,L86&gt;$M$3),"Em andamento",AND(L86&gt;=$M$3,J86&lt;$M$3),"Atrasado",AND(L86&gt;=$M$3,J86&gt;=$M$3,I86&gt;$M$3,K86&lt;=$M$3),"Em andamento",AND(L86&gt;=$M$3,J86&gt;=$M$3,I86&lt;=$M$3,K86&lt;=$M$3),"Em andamento",AND(K86&gt;$M$3,I86&gt;$M$3),"Não iniciado",AND(L86&gt;=$M$3,J86&gt;=$M$3,K86&gt;=$M$3,I86&lt;$M$3),"Atrasado",AND(L86&gt;=$M$3,J86&gt;=$M$3,K86&gt;=$M$3,I86&gt;$M$3),"Não iniciado",AND($I86&lt;=$M$3,$K86&gt;$M$3),"Atrasado")</f>
        <v>Concluído</v>
      </c>
      <c r="O86" s="167">
        <f t="array" ref="O86">_xlfn.IFS(N86="Não iniciado",0,N86="Em andamento",1,N86="Concluído",2,N86="Atrasado",3)</f>
        <v>2</v>
      </c>
      <c r="P86" s="169"/>
      <c r="Q86" s="152">
        <f t="array" aca="1" ref="Q86" ca="1">_xlfn.IFS(AND($I86&lt;$N$3,$J86&lt;$N$3),1,AND($I86&lt;=$N$3,$J86&gt;=$N$3),0.5,AND($I86&gt;=$N$3,$J86&gt;=$N$3),0)</f>
        <v>1</v>
      </c>
      <c r="R86" s="152">
        <f t="array" aca="1" ref="R86" ca="1">_xlfn.IFS(AND($K86&lt;$N$3,$L86&lt;$N$3),1,AND($K86&lt;=$N$3,$L86&gt;=$N$3),0.5,AND($K86&gt;=$N$3,$L86&gt;=$N$3),0)</f>
        <v>1</v>
      </c>
      <c r="S86" s="201" t="e">
        <f t="array" ref="S86">_xlfn.IFS(AND($K86&gt;R$7,$L86&gt;R$7),0,AND($K86&lt;=R$7,$L86&lt;=R$7),1,AND($K86&lt;=R$7,$L86&gt;R$7),((R$7-$K86)/($L86-$K86)))</f>
        <v>#REF!</v>
      </c>
      <c r="T86" s="201" t="e">
        <f t="array" ref="T86">_xlfn.IFS(AND($K86&gt;S$7,$L86&gt;S$7),0,AND($K86&lt;=S$7,$L86&lt;=S$7),1,AND($K86&lt;=S$7,$L86&gt;S$7),((S$7-$K86)/($L86-$K86)))</f>
        <v>#REF!</v>
      </c>
      <c r="U86" s="201" t="e">
        <f t="array" ref="U86">_xlfn.IFS(AND($K86&gt;T$7,$L86&gt;T$7),0,AND($K86&lt;=T$7,$L86&lt;=T$7),1,AND($K86&lt;=T$7,$L86&gt;T$7),((T$7-$K86)/($L86-$K86)))</f>
        <v>#REF!</v>
      </c>
      <c r="V86" s="201" t="e">
        <f t="array" ref="V86">_xlfn.IFS(AND($K86&gt;U$7,$L86&gt;U$7),0,AND($K86&lt;=U$7,$L86&lt;=U$7),1,AND($K86&lt;=U$7,$L86&gt;U$7),((U$7-$K86)/($L86-$K86)))</f>
        <v>#REF!</v>
      </c>
      <c r="W86" s="201" t="e">
        <f t="array" ref="W86">_xlfn.IFS(AND($K86&gt;V$7,$L86&gt;V$7),0,AND($K86&lt;=V$7,$L86&lt;=V$7),1,AND($K86&lt;=V$7,$L86&gt;V$7),((V$7-$K86)/($L86-$K86)))</f>
        <v>#REF!</v>
      </c>
      <c r="X86" s="201" t="e">
        <f t="array" ref="X86">_xlfn.IFS(AND($K86&gt;W$7,$L86&gt;W$7),0,AND($K86&lt;=W$7,$L86&lt;=W$7),1,AND($K86&lt;=W$7,$L86&gt;W$7),((W$7-$K86)/($L86-$K86)))</f>
        <v>#REF!</v>
      </c>
      <c r="Y86" s="201" t="e">
        <f t="array" ref="Y86">_xlfn.IFS(AND($K86&gt;X$7,$L86&gt;X$7),0,AND($K86&lt;=X$7,$L86&lt;=X$7),1,AND($K86&lt;=X$7,$L86&gt;X$7),((X$7-$K86)/($L86-$K86)))</f>
        <v>#REF!</v>
      </c>
      <c r="Z86" s="201" t="e">
        <f t="array" ref="Z86">_xlfn.IFS(AND($K86&gt;Y$7,$L86&gt;Y$7),0,AND($K86&lt;=Y$7,$L86&lt;=Y$7),1,AND($K86&lt;=Y$7,$L86&gt;Y$7),((Y$7-$K86)/($L86-$K86)))</f>
        <v>#REF!</v>
      </c>
      <c r="AA86" s="201" t="e">
        <f t="array" ref="AA86">_xlfn.IFS(AND($K86&gt;Z$7,$L86&gt;Z$7),0,AND($K86&lt;=Z$7,$L86&lt;=Z$7),1,AND($K86&lt;=Z$7,$L86&gt;Z$7),((Z$7-$K86)/($L86-$K86)))</f>
        <v>#REF!</v>
      </c>
      <c r="AB86" s="201" t="e">
        <f t="array" ref="AB86">_xlfn.IFS(AND($K86&gt;AA$7,$L86&gt;AA$7),0,AND($K86&lt;=AA$7,$L86&lt;=AA$7),1,AND($K86&lt;=AA$7,$L86&gt;AA$7),((AA$7-$K86)/($L86-$K86)))</f>
        <v>#REF!</v>
      </c>
      <c r="AC86" s="201" t="e">
        <f t="array" ref="AC86">_xlfn.IFS(AND($K86&gt;AB$7,$L86&gt;AB$7),0,AND($K86&lt;=AB$7,$L86&lt;=AB$7),1,AND($K86&lt;=AB$7,$L86&gt;AB$7),((AB$7-$K86)/($L86-$K86)))</f>
        <v>#REF!</v>
      </c>
      <c r="AD86" s="201" t="e">
        <f t="array" ref="AD86">_xlfn.IFS(AND($K86&gt;AC$7,$L86&gt;AC$7),0,AND($K86&lt;=AC$7,$L86&lt;=AC$7),1,AND($K86&lt;=AC$7,$L86&gt;AC$7),((AC$7-$K86)/($L86-$K86)))</f>
        <v>#REF!</v>
      </c>
      <c r="AE86" s="201" t="e">
        <f t="array" ref="AE86">_xlfn.IFS(AND($K86&gt;AD$7,$L86&gt;AD$7),0,AND($K86&lt;=AD$7,$L86&lt;=AD$7),1,AND($K86&lt;=AD$7,$L86&gt;AD$7),((AD$7-$K86)/($L86-$K86)))</f>
        <v>#REF!</v>
      </c>
      <c r="AF86" s="201" t="e">
        <f t="array" ref="AF86">_xlfn.IFS(AND($K86&gt;AE$7,$L86&gt;AE$7),0,AND($K86&lt;=AE$7,$L86&lt;=AE$7),1,AND($K86&lt;=AE$7,$L86&gt;AE$7),((AE$7-$K86)/($L86-$K86)))</f>
        <v>#REF!</v>
      </c>
      <c r="AG86" s="201" t="e">
        <f t="array" ref="AG86">_xlfn.IFS(AND($K86&gt;AF$7,$L86&gt;AF$7),0,AND($K86&lt;=AF$7,$L86&lt;=AF$7),1,AND($K86&lt;=AF$7,$L86&gt;AF$7),((AF$7-$K86)/($L86-$K86)))</f>
        <v>#REF!</v>
      </c>
      <c r="AH86" s="201" t="e">
        <f t="array" ref="AH86">_xlfn.IFS(AND($K86&gt;AG$7,$L86&gt;AG$7),0,AND($K86&lt;=AG$7,$L86&lt;=AG$7),1,AND($K86&lt;=AG$7,$L86&gt;AG$7),((AG$7-$K86)/($L86-$K86)))</f>
        <v>#REF!</v>
      </c>
      <c r="AI86" s="201" t="e">
        <f t="array" ref="AI86">_xlfn.IFS(AND($K86&gt;AH$7,$L86&gt;AH$7),0,AND($K86&lt;=AH$7,$L86&lt;=AH$7),1,AND($K86&lt;=AH$7,$L86&gt;AH$7),((AH$7-$K86)/($L86-$K86)))</f>
        <v>#REF!</v>
      </c>
      <c r="AJ86" s="201" t="e">
        <f t="array" ref="AJ86">_xlfn.IFS(AND($K86&gt;AI$7,$L86&gt;AI$7),0,AND($K86&lt;=AI$7,$L86&lt;=AI$7),1,AND($K86&lt;=AI$7,$L86&gt;AI$7),((AI$7-$K86)/($L86-$K86)))</f>
        <v>#REF!</v>
      </c>
      <c r="AK86" s="201" t="e">
        <f t="array" ref="AK86">_xlfn.IFS(AND($K86&gt;AJ$7,$L86&gt;AJ$7),0,AND($K86&lt;=AJ$7,$L86&lt;=AJ$7),1,AND($K86&lt;=AJ$7,$L86&gt;AJ$7),((AJ$7-$K86)/($L86-$K86)))</f>
        <v>#REF!</v>
      </c>
      <c r="AL86" s="201" t="e">
        <f t="array" ref="AL86">_xlfn.IFS(AND($K86&gt;AK$7,$L86&gt;AK$7),0,AND($K86&lt;=AK$7,$L86&lt;=AK$7),1,AND($K86&lt;=AK$7,$L86&gt;AK$7),((AK$7-$K86)/($L86-$K86)))</f>
        <v>#REF!</v>
      </c>
      <c r="AM86" s="201" t="e">
        <f t="array" ref="AM86">_xlfn.IFS(AND($K86&gt;AL$7,$L86&gt;AL$7),0,AND($K86&lt;=AL$7,$L86&lt;=AL$7),1,AND($K86&lt;=AL$7,$L86&gt;AL$7),((AL$7-$K86)/($L86-$K86)))</f>
        <v>#REF!</v>
      </c>
      <c r="AN86" s="201" t="e">
        <f t="array" ref="AN86">_xlfn.IFS(AND($K86&gt;AM$7,$L86&gt;AM$7),0,AND($K86&lt;=AM$7,$L86&lt;=AM$7),1,AND($K86&lt;=AM$7,$L86&gt;AM$7),((AM$7-$K86)/($L86-$K86)))</f>
        <v>#REF!</v>
      </c>
      <c r="AO86" s="201" t="e">
        <f t="array" ref="AO86">_xlfn.IFS(AND($K86&gt;AN$7,$L86&gt;AN$7),0,AND($K86&lt;=AN$7,$L86&lt;=AN$7),1,AND($K86&lt;=AN$7,$L86&gt;AN$7),((AN$7-$K86)/($L86-$K86)))</f>
        <v>#REF!</v>
      </c>
      <c r="AP86" s="201" t="e">
        <f t="array" ref="AP86">_xlfn.IFS(AND($K86&gt;AO$7,$L86&gt;AO$7),0,AND($K86&lt;=AO$7,$L86&lt;=AO$7),1,AND($K86&lt;=AO$7,$L86&gt;AO$7),((AO$7-$K86)/($L86-$K86)))</f>
        <v>#REF!</v>
      </c>
      <c r="AQ86" s="201" t="e">
        <f t="array" ref="AQ86">_xlfn.IFS(AND($K86&gt;AP$7,$L86&gt;AP$7),0,AND($K86&lt;=AP$7,$L86&lt;=AP$7),1,AND($K86&lt;=AP$7,$L86&gt;AP$7),((AP$7-$K86)/($L86-$K86)))</f>
        <v>#REF!</v>
      </c>
      <c r="AR86" s="201" t="e">
        <f t="array" ref="AR86">_xlfn.IFS(AND($K86&gt;AQ$7,$L86&gt;AQ$7),0,AND($K86&lt;=AQ$7,$L86&lt;=AQ$7),1,AND($K86&lt;=AQ$7,$L86&gt;AQ$7),((AQ$7-$K86)/($L86-$K86)))</f>
        <v>#REF!</v>
      </c>
      <c r="AS86" s="201" t="e">
        <f t="array" ref="AS86">_xlfn.IFS(AND($K86&gt;AR$7,$L86&gt;AR$7),0,AND($K86&lt;=AR$7,$L86&lt;=AR$7),1,AND($K86&lt;=AR$7,$L86&gt;AR$7),((AR$7-$K86)/($L86-$K86)))</f>
        <v>#REF!</v>
      </c>
      <c r="AT86" s="201" t="e">
        <f t="array" ref="AT86">_xlfn.IFS(AND($K86&gt;AS$7,$L86&gt;AS$7),0,AND($K86&lt;=AS$7,$L86&lt;=AS$7),1,AND($K86&lt;=AS$7,$L86&gt;AS$7),((AS$7-$K86)/($L86-$K86)))</f>
        <v>#REF!</v>
      </c>
      <c r="AU86" s="201" t="e">
        <f t="array" ref="AU86">_xlfn.IFS(AND($K86&gt;AT$7,$L86&gt;AT$7),0,AND($K86&lt;=AT$7,$L86&lt;=AT$7),1,AND($K86&lt;=AT$7,$L86&gt;AT$7),((AT$7-$K86)/($L86-$K86)))</f>
        <v>#REF!</v>
      </c>
      <c r="AV86" s="201" t="e">
        <f t="array" ref="AV86">_xlfn.IFS(AND($K86&gt;AU$7,$L86&gt;AU$7),0,AND($K86&lt;=AU$7,$L86&lt;=AU$7),1,AND($K86&lt;=AU$7,$L86&gt;AU$7),((AU$7-$K86)/($L86-$K86)))</f>
        <v>#REF!</v>
      </c>
      <c r="AW86" s="201" t="e">
        <f t="array" ref="AW86">_xlfn.IFS(AND($K86&gt;AV$7,$L86&gt;AV$7),0,AND($K86&lt;=AV$7,$L86&lt;=AV$7),1,AND($K86&lt;=AV$7,$L86&gt;AV$7),((AV$7-$K86)/($L86-$K86)))</f>
        <v>#REF!</v>
      </c>
      <c r="AX86" s="201" t="e">
        <f t="array" ref="AX86">_xlfn.IFS(AND($K86&gt;AW$7,$L86&gt;AW$7),0,AND($K86&lt;=AW$7,$L86&lt;=AW$7),1,AND($K86&lt;=AW$7,$L86&gt;AW$7),((AW$7-$K86)/($L86-$K86)))</f>
        <v>#REF!</v>
      </c>
      <c r="AY86" s="201" t="e">
        <f t="array" ref="AY86">_xlfn.IFS(AND($K86&gt;AX$7,$L86&gt;AX$7),0,AND($K86&lt;=AX$7,$L86&lt;=AX$7),1,AND($K86&lt;=AX$7,$L86&gt;AX$7),((AX$7-$K86)/($L86-$K86)))</f>
        <v>#REF!</v>
      </c>
      <c r="AZ86" s="201" t="e">
        <f t="array" ref="AZ86">_xlfn.IFS(AND($K86&gt;AY$7,$L86&gt;AY$7),0,AND($K86&lt;=AY$7,$L86&lt;=AY$7),1,AND($K86&lt;=AY$7,$L86&gt;AY$7),((AY$7-$K86)/($L86-$K86)))</f>
        <v>#REF!</v>
      </c>
      <c r="BA86" s="201" t="e">
        <f t="array" ref="BA86">_xlfn.IFS(AND($K86&gt;AZ$7,$L86&gt;AZ$7),0,AND($K86&lt;=AZ$7,$L86&lt;=AZ$7),1,AND($K86&lt;=AZ$7,$L86&gt;AZ$7),((AZ$7-$K86)/($L86-$K86)))</f>
        <v>#REF!</v>
      </c>
      <c r="BB86" s="201" t="e">
        <f t="array" ref="BB86">_xlfn.IFS(AND($K86&gt;BA$7,$L86&gt;BA$7),0,AND($K86&lt;=BA$7,$L86&lt;=BA$7),1,AND($K86&lt;=BA$7,$L86&gt;BA$7),((BA$7-$K86)/($L86-$K86)))</f>
        <v>#REF!</v>
      </c>
      <c r="BC86" s="201" t="e">
        <f t="array" ref="BC86">_xlfn.IFS(AND($K86&gt;BB$7,$L86&gt;BB$7),0,AND($K86&lt;=BB$7,$L86&lt;=BB$7),1,AND($K86&lt;=BB$7,$L86&gt;BB$7),((BB$7-$K86)/($L86-$K86)))</f>
        <v>#REF!</v>
      </c>
      <c r="BD86" s="201" t="e">
        <f t="array" ref="BD86">_xlfn.IFS(AND($K86&gt;BC$7,$L86&gt;BC$7),0,AND($K86&lt;=BC$7,$L86&lt;=BC$7),1,AND($K86&lt;=BC$7,$L86&gt;BC$7),((BC$7-$K86)/($L86-$K86)))</f>
        <v>#REF!</v>
      </c>
      <c r="BE86" s="201" t="e">
        <f t="array" ref="BE86">_xlfn.IFS(AND($K86&gt;BD$7,$L86&gt;BD$7),0,AND($K86&lt;=BD$7,$L86&lt;=BD$7),1,AND($K86&lt;=BD$7,$L86&gt;BD$7),((BD$7-$K86)/($L86-$K86)))</f>
        <v>#REF!</v>
      </c>
      <c r="BF86" s="201" t="e">
        <f t="array" ref="BF86">_xlfn.IFS(AND($K86&gt;BE$7,$L86&gt;BE$7),0,AND($K86&lt;=BE$7,$L86&lt;=BE$7),1,AND($K86&lt;=BE$7,$L86&gt;BE$7),((BE$7-$K86)/($L86-$K86)))</f>
        <v>#REF!</v>
      </c>
      <c r="BG86" s="201" t="e">
        <f t="array" ref="BG86">_xlfn.IFS(AND($K86&gt;BF$7,$L86&gt;BF$7),0,AND($K86&lt;=BF$7,$L86&lt;=BF$7),1,AND($K86&lt;=BF$7,$L86&gt;BF$7),((BF$7-$K86)/($L86-$K86)))</f>
        <v>#REF!</v>
      </c>
      <c r="BH86" s="201" t="e">
        <f t="array" ref="BH86">_xlfn.IFS(AND($K86&gt;BG$7,$L86&gt;BG$7),0,AND($K86&lt;=BG$7,$L86&lt;=BG$7),1,AND($K86&lt;=BG$7,$L86&gt;BG$7),((BG$7-$K86)/($L86-$K86)))</f>
        <v>#REF!</v>
      </c>
      <c r="BI86" s="201" t="e">
        <f t="array" ref="BI86">_xlfn.IFS(AND($K86&gt;BH$7,$L86&gt;BH$7),0,AND($K86&lt;=BH$7,$L86&lt;=BH$7),1,AND($K86&lt;=BH$7,$L86&gt;BH$7),((BH$7-$K86)/($L86-$K86)))</f>
        <v>#REF!</v>
      </c>
      <c r="BJ86" s="201" t="e">
        <f t="array" ref="BJ86">_xlfn.IFS(AND($K86&gt;BI$7,$L86&gt;BI$7),0,AND($K86&lt;=BI$7,$L86&lt;=BI$7),1,AND($K86&lt;=BI$7,$L86&gt;BI$7),((BI$7-$K86)/($L86-$K86)))</f>
        <v>#REF!</v>
      </c>
      <c r="BK86" s="201" t="e">
        <f t="array" ref="BK86">_xlfn.IFS(AND($K86&gt;BJ$7,$L86&gt;BJ$7),0,AND($K86&lt;=BJ$7,$L86&lt;=BJ$7),1,AND($K86&lt;=BJ$7,$L86&gt;BJ$7),((BJ$7-$K86)/($L86-$K86)))</f>
        <v>#REF!</v>
      </c>
      <c r="BL86" s="201" t="e">
        <f t="array" ref="BL86">_xlfn.IFS(AND($K86&gt;BK$7,$L86&gt;BK$7),0,AND($K86&lt;=BK$7,$L86&lt;=BK$7),1,AND($K86&lt;=BK$7,$L86&gt;BK$7),((BK$7-$K86)/($L86-$K86)))</f>
        <v>#REF!</v>
      </c>
      <c r="BM86" s="201" t="e">
        <f t="array" ref="BM86">_xlfn.IFS(AND($K86&gt;BL$7,$L86&gt;BL$7),0,AND($K86&lt;=BL$7,$L86&lt;=BL$7),1,AND($K86&lt;=BL$7,$L86&gt;BL$7),((BL$7-$K86)/($L86-$K86)))</f>
        <v>#REF!</v>
      </c>
      <c r="BN86" s="201" t="e">
        <f t="array" ref="BN86">_xlfn.IFS(AND($K86&gt;BM$7,$L86&gt;BM$7),0,AND($K86&lt;=BM$7,$L86&lt;=BM$7),1,AND($K86&lt;=BM$7,$L86&gt;BM$7),((BM$7-$K86)/($L86-$K86)))</f>
        <v>#REF!</v>
      </c>
    </row>
    <row r="87" spans="2:66" ht="15" customHeight="1" x14ac:dyDescent="0.3">
      <c r="B87" s="166" t="s">
        <v>161</v>
      </c>
      <c r="C87" s="166" t="s">
        <v>221</v>
      </c>
      <c r="D87" s="177"/>
      <c r="E87" s="170" t="str">
        <f t="shared" si="44"/>
        <v>Desenvolvimento da Transformação dos Processos</v>
      </c>
      <c r="F87" s="174" t="str">
        <f t="shared" si="41"/>
        <v>Modelagem To Be</v>
      </c>
      <c r="G87" s="166" t="str">
        <f t="shared" si="45"/>
        <v>Modelagem To Be</v>
      </c>
      <c r="H87" s="197" t="s">
        <v>222</v>
      </c>
      <c r="I87" s="166">
        <v>45817</v>
      </c>
      <c r="J87" s="166">
        <v>45821</v>
      </c>
      <c r="K87" s="166">
        <v>45817</v>
      </c>
      <c r="L87" s="166">
        <v>45821</v>
      </c>
      <c r="M87" s="167"/>
      <c r="N87" s="167" t="str">
        <f t="array" ref="N87">_xlfn.IFS(L87&lt;$M$3,"Concluído",AND(K87&gt;=$M$3,I87&lt;$M$3,L87&gt;$M$3),"Em andamento",AND(L87&gt;=$M$3,J87&lt;$M$3),"Atrasado",AND(L87&gt;=$M$3,J87&gt;=$M$3,I87&gt;$M$3,K87&lt;=$M$3),"Em andamento",AND(L87&gt;=$M$3,J87&gt;=$M$3,I87&lt;=$M$3,K87&lt;=$M$3),"Em andamento",AND(K87&gt;$M$3,I87&gt;$M$3),"Não iniciado",AND(L87&gt;=$M$3,J87&gt;=$M$3,K87&gt;=$M$3,I87&lt;$M$3),"Atrasado",AND(L87&gt;=$M$3,J87&gt;=$M$3,K87&gt;=$M$3,I87&gt;$M$3),"Não iniciado",AND($I87&lt;=$M$3,$K87&gt;$M$3),"Atrasado")</f>
        <v>Concluído</v>
      </c>
      <c r="O87" s="167">
        <f t="array" ref="O87">_xlfn.IFS(N87="Não iniciado",0,N87="Em andamento",1,N87="Concluído",2,N87="Atrasado",3)</f>
        <v>2</v>
      </c>
      <c r="P87" s="169"/>
      <c r="Q87" s="152">
        <f t="array" aca="1" ref="Q87" ca="1">_xlfn.IFS(AND($I87&lt;$N$3,$J87&lt;$N$3),1,AND($I87&lt;=$N$3,$J87&gt;=$N$3),0.5,AND($I87&gt;=$N$3,$J87&gt;=$N$3),0)</f>
        <v>1</v>
      </c>
      <c r="R87" s="152">
        <f t="array" aca="1" ref="R87" ca="1">_xlfn.IFS(AND($K87&lt;$N$3,$L87&lt;$N$3),1,AND($K87&lt;=$N$3,$L87&gt;=$N$3),0.5,AND($K87&gt;=$N$3,$L87&gt;=$N$3),0)</f>
        <v>1</v>
      </c>
      <c r="S87" s="201" t="e">
        <f t="array" ref="S87">_xlfn.IFS(AND($K87&gt;R$7,$L87&gt;R$7),0,AND($K87&lt;=R$7,$L87&lt;=R$7),1,AND($K87&lt;=R$7,$L87&gt;R$7),((R$7-$K87)/($L87-$K87)))</f>
        <v>#REF!</v>
      </c>
      <c r="T87" s="201" t="e">
        <f t="array" ref="T87">_xlfn.IFS(AND($K87&gt;S$7,$L87&gt;S$7),0,AND($K87&lt;=S$7,$L87&lt;=S$7),1,AND($K87&lt;=S$7,$L87&gt;S$7),((S$7-$K87)/($L87-$K87)))</f>
        <v>#REF!</v>
      </c>
      <c r="U87" s="201" t="e">
        <f t="array" ref="U87">_xlfn.IFS(AND($K87&gt;T$7,$L87&gt;T$7),0,AND($K87&lt;=T$7,$L87&lt;=T$7),1,AND($K87&lt;=T$7,$L87&gt;T$7),((T$7-$K87)/($L87-$K87)))</f>
        <v>#REF!</v>
      </c>
      <c r="V87" s="201" t="e">
        <f t="array" ref="V87">_xlfn.IFS(AND($K87&gt;U$7,$L87&gt;U$7),0,AND($K87&lt;=U$7,$L87&lt;=U$7),1,AND($K87&lt;=U$7,$L87&gt;U$7),((U$7-$K87)/($L87-$K87)))</f>
        <v>#REF!</v>
      </c>
      <c r="W87" s="201" t="e">
        <f t="array" ref="W87">_xlfn.IFS(AND($K87&gt;V$7,$L87&gt;V$7),0,AND($K87&lt;=V$7,$L87&lt;=V$7),1,AND($K87&lt;=V$7,$L87&gt;V$7),((V$7-$K87)/($L87-$K87)))</f>
        <v>#REF!</v>
      </c>
      <c r="X87" s="201" t="e">
        <f t="array" ref="X87">_xlfn.IFS(AND($K87&gt;W$7,$L87&gt;W$7),0,AND($K87&lt;=W$7,$L87&lt;=W$7),1,AND($K87&lt;=W$7,$L87&gt;W$7),((W$7-$K87)/($L87-$K87)))</f>
        <v>#REF!</v>
      </c>
      <c r="Y87" s="201" t="e">
        <f t="array" ref="Y87">_xlfn.IFS(AND($K87&gt;X$7,$L87&gt;X$7),0,AND($K87&lt;=X$7,$L87&lt;=X$7),1,AND($K87&lt;=X$7,$L87&gt;X$7),((X$7-$K87)/($L87-$K87)))</f>
        <v>#REF!</v>
      </c>
      <c r="Z87" s="201" t="e">
        <f t="array" ref="Z87">_xlfn.IFS(AND($K87&gt;Y$7,$L87&gt;Y$7),0,AND($K87&lt;=Y$7,$L87&lt;=Y$7),1,AND($K87&lt;=Y$7,$L87&gt;Y$7),((Y$7-$K87)/($L87-$K87)))</f>
        <v>#REF!</v>
      </c>
      <c r="AA87" s="201" t="e">
        <f t="array" ref="AA87">_xlfn.IFS(AND($K87&gt;Z$7,$L87&gt;Z$7),0,AND($K87&lt;=Z$7,$L87&lt;=Z$7),1,AND($K87&lt;=Z$7,$L87&gt;Z$7),((Z$7-$K87)/($L87-$K87)))</f>
        <v>#REF!</v>
      </c>
      <c r="AB87" s="201" t="e">
        <f t="array" ref="AB87">_xlfn.IFS(AND($K87&gt;AA$7,$L87&gt;AA$7),0,AND($K87&lt;=AA$7,$L87&lt;=AA$7),1,AND($K87&lt;=AA$7,$L87&gt;AA$7),((AA$7-$K87)/($L87-$K87)))</f>
        <v>#REF!</v>
      </c>
      <c r="AC87" s="201" t="e">
        <f t="array" ref="AC87">_xlfn.IFS(AND($K87&gt;AB$7,$L87&gt;AB$7),0,AND($K87&lt;=AB$7,$L87&lt;=AB$7),1,AND($K87&lt;=AB$7,$L87&gt;AB$7),((AB$7-$K87)/($L87-$K87)))</f>
        <v>#REF!</v>
      </c>
      <c r="AD87" s="201" t="e">
        <f t="array" ref="AD87">_xlfn.IFS(AND($K87&gt;AC$7,$L87&gt;AC$7),0,AND($K87&lt;=AC$7,$L87&lt;=AC$7),1,AND($K87&lt;=AC$7,$L87&gt;AC$7),((AC$7-$K87)/($L87-$K87)))</f>
        <v>#REF!</v>
      </c>
      <c r="AE87" s="201" t="e">
        <f t="array" ref="AE87">_xlfn.IFS(AND($K87&gt;AD$7,$L87&gt;AD$7),0,AND($K87&lt;=AD$7,$L87&lt;=AD$7),1,AND($K87&lt;=AD$7,$L87&gt;AD$7),((AD$7-$K87)/($L87-$K87)))</f>
        <v>#REF!</v>
      </c>
      <c r="AF87" s="201" t="e">
        <f t="array" ref="AF87">_xlfn.IFS(AND($K87&gt;AE$7,$L87&gt;AE$7),0,AND($K87&lt;=AE$7,$L87&lt;=AE$7),1,AND($K87&lt;=AE$7,$L87&gt;AE$7),((AE$7-$K87)/($L87-$K87)))</f>
        <v>#REF!</v>
      </c>
      <c r="AG87" s="201" t="e">
        <f t="array" ref="AG87">_xlfn.IFS(AND($K87&gt;AF$7,$L87&gt;AF$7),0,AND($K87&lt;=AF$7,$L87&lt;=AF$7),1,AND($K87&lt;=AF$7,$L87&gt;AF$7),((AF$7-$K87)/($L87-$K87)))</f>
        <v>#REF!</v>
      </c>
      <c r="AH87" s="201" t="e">
        <f t="array" ref="AH87">_xlfn.IFS(AND($K87&gt;AG$7,$L87&gt;AG$7),0,AND($K87&lt;=AG$7,$L87&lt;=AG$7),1,AND($K87&lt;=AG$7,$L87&gt;AG$7),((AG$7-$K87)/($L87-$K87)))</f>
        <v>#REF!</v>
      </c>
      <c r="AI87" s="201" t="e">
        <f t="array" ref="AI87">_xlfn.IFS(AND($K87&gt;AH$7,$L87&gt;AH$7),0,AND($K87&lt;=AH$7,$L87&lt;=AH$7),1,AND($K87&lt;=AH$7,$L87&gt;AH$7),((AH$7-$K87)/($L87-$K87)))</f>
        <v>#REF!</v>
      </c>
      <c r="AJ87" s="201" t="e">
        <f t="array" ref="AJ87">_xlfn.IFS(AND($K87&gt;AI$7,$L87&gt;AI$7),0,AND($K87&lt;=AI$7,$L87&lt;=AI$7),1,AND($K87&lt;=AI$7,$L87&gt;AI$7),((AI$7-$K87)/($L87-$K87)))</f>
        <v>#REF!</v>
      </c>
      <c r="AK87" s="201" t="e">
        <f t="array" ref="AK87">_xlfn.IFS(AND($K87&gt;AJ$7,$L87&gt;AJ$7),0,AND($K87&lt;=AJ$7,$L87&lt;=AJ$7),1,AND($K87&lt;=AJ$7,$L87&gt;AJ$7),((AJ$7-$K87)/($L87-$K87)))</f>
        <v>#REF!</v>
      </c>
      <c r="AL87" s="201" t="e">
        <f t="array" ref="AL87">_xlfn.IFS(AND($K87&gt;AK$7,$L87&gt;AK$7),0,AND($K87&lt;=AK$7,$L87&lt;=AK$7),1,AND($K87&lt;=AK$7,$L87&gt;AK$7),((AK$7-$K87)/($L87-$K87)))</f>
        <v>#REF!</v>
      </c>
      <c r="AM87" s="201" t="e">
        <f t="array" ref="AM87">_xlfn.IFS(AND($K87&gt;AL$7,$L87&gt;AL$7),0,AND($K87&lt;=AL$7,$L87&lt;=AL$7),1,AND($K87&lt;=AL$7,$L87&gt;AL$7),((AL$7-$K87)/($L87-$K87)))</f>
        <v>#REF!</v>
      </c>
      <c r="AN87" s="201" t="e">
        <f t="array" ref="AN87">_xlfn.IFS(AND($K87&gt;AM$7,$L87&gt;AM$7),0,AND($K87&lt;=AM$7,$L87&lt;=AM$7),1,AND($K87&lt;=AM$7,$L87&gt;AM$7),((AM$7-$K87)/($L87-$K87)))</f>
        <v>#REF!</v>
      </c>
      <c r="AO87" s="201" t="e">
        <f t="array" ref="AO87">_xlfn.IFS(AND($K87&gt;AN$7,$L87&gt;AN$7),0,AND($K87&lt;=AN$7,$L87&lt;=AN$7),1,AND($K87&lt;=AN$7,$L87&gt;AN$7),((AN$7-$K87)/($L87-$K87)))</f>
        <v>#REF!</v>
      </c>
      <c r="AP87" s="201" t="e">
        <f t="array" ref="AP87">_xlfn.IFS(AND($K87&gt;AO$7,$L87&gt;AO$7),0,AND($K87&lt;=AO$7,$L87&lt;=AO$7),1,AND($K87&lt;=AO$7,$L87&gt;AO$7),((AO$7-$K87)/($L87-$K87)))</f>
        <v>#REF!</v>
      </c>
      <c r="AQ87" s="201" t="e">
        <f t="array" ref="AQ87">_xlfn.IFS(AND($K87&gt;AP$7,$L87&gt;AP$7),0,AND($K87&lt;=AP$7,$L87&lt;=AP$7),1,AND($K87&lt;=AP$7,$L87&gt;AP$7),((AP$7-$K87)/($L87-$K87)))</f>
        <v>#REF!</v>
      </c>
      <c r="AR87" s="201" t="e">
        <f t="array" ref="AR87">_xlfn.IFS(AND($K87&gt;AQ$7,$L87&gt;AQ$7),0,AND($K87&lt;=AQ$7,$L87&lt;=AQ$7),1,AND($K87&lt;=AQ$7,$L87&gt;AQ$7),((AQ$7-$K87)/($L87-$K87)))</f>
        <v>#REF!</v>
      </c>
      <c r="AS87" s="201" t="e">
        <f t="array" ref="AS87">_xlfn.IFS(AND($K87&gt;AR$7,$L87&gt;AR$7),0,AND($K87&lt;=AR$7,$L87&lt;=AR$7),1,AND($K87&lt;=AR$7,$L87&gt;AR$7),((AR$7-$K87)/($L87-$K87)))</f>
        <v>#REF!</v>
      </c>
      <c r="AT87" s="201" t="e">
        <f t="array" ref="AT87">_xlfn.IFS(AND($K87&gt;AS$7,$L87&gt;AS$7),0,AND($K87&lt;=AS$7,$L87&lt;=AS$7),1,AND($K87&lt;=AS$7,$L87&gt;AS$7),((AS$7-$K87)/($L87-$K87)))</f>
        <v>#REF!</v>
      </c>
      <c r="AU87" s="201" t="e">
        <f t="array" ref="AU87">_xlfn.IFS(AND($K87&gt;AT$7,$L87&gt;AT$7),0,AND($K87&lt;=AT$7,$L87&lt;=AT$7),1,AND($K87&lt;=AT$7,$L87&gt;AT$7),((AT$7-$K87)/($L87-$K87)))</f>
        <v>#REF!</v>
      </c>
      <c r="AV87" s="201" t="e">
        <f t="array" ref="AV87">_xlfn.IFS(AND($K87&gt;AU$7,$L87&gt;AU$7),0,AND($K87&lt;=AU$7,$L87&lt;=AU$7),1,AND($K87&lt;=AU$7,$L87&gt;AU$7),((AU$7-$K87)/($L87-$K87)))</f>
        <v>#REF!</v>
      </c>
      <c r="AW87" s="201" t="e">
        <f t="array" ref="AW87">_xlfn.IFS(AND($K87&gt;AV$7,$L87&gt;AV$7),0,AND($K87&lt;=AV$7,$L87&lt;=AV$7),1,AND($K87&lt;=AV$7,$L87&gt;AV$7),((AV$7-$K87)/($L87-$K87)))</f>
        <v>#REF!</v>
      </c>
      <c r="AX87" s="201" t="e">
        <f t="array" ref="AX87">_xlfn.IFS(AND($K87&gt;AW$7,$L87&gt;AW$7),0,AND($K87&lt;=AW$7,$L87&lt;=AW$7),1,AND($K87&lt;=AW$7,$L87&gt;AW$7),((AW$7-$K87)/($L87-$K87)))</f>
        <v>#REF!</v>
      </c>
      <c r="AY87" s="201" t="e">
        <f t="array" ref="AY87">_xlfn.IFS(AND($K87&gt;AX$7,$L87&gt;AX$7),0,AND($K87&lt;=AX$7,$L87&lt;=AX$7),1,AND($K87&lt;=AX$7,$L87&gt;AX$7),((AX$7-$K87)/($L87-$K87)))</f>
        <v>#REF!</v>
      </c>
      <c r="AZ87" s="201" t="e">
        <f t="array" ref="AZ87">_xlfn.IFS(AND($K87&gt;AY$7,$L87&gt;AY$7),0,AND($K87&lt;=AY$7,$L87&lt;=AY$7),1,AND($K87&lt;=AY$7,$L87&gt;AY$7),((AY$7-$K87)/($L87-$K87)))</f>
        <v>#REF!</v>
      </c>
      <c r="BA87" s="201" t="e">
        <f t="array" ref="BA87">_xlfn.IFS(AND($K87&gt;AZ$7,$L87&gt;AZ$7),0,AND($K87&lt;=AZ$7,$L87&lt;=AZ$7),1,AND($K87&lt;=AZ$7,$L87&gt;AZ$7),((AZ$7-$K87)/($L87-$K87)))</f>
        <v>#REF!</v>
      </c>
      <c r="BB87" s="201" t="e">
        <f t="array" ref="BB87">_xlfn.IFS(AND($K87&gt;BA$7,$L87&gt;BA$7),0,AND($K87&lt;=BA$7,$L87&lt;=BA$7),1,AND($K87&lt;=BA$7,$L87&gt;BA$7),((BA$7-$K87)/($L87-$K87)))</f>
        <v>#REF!</v>
      </c>
      <c r="BC87" s="201" t="e">
        <f t="array" ref="BC87">_xlfn.IFS(AND($K87&gt;BB$7,$L87&gt;BB$7),0,AND($K87&lt;=BB$7,$L87&lt;=BB$7),1,AND($K87&lt;=BB$7,$L87&gt;BB$7),((BB$7-$K87)/($L87-$K87)))</f>
        <v>#REF!</v>
      </c>
      <c r="BD87" s="201" t="e">
        <f t="array" ref="BD87">_xlfn.IFS(AND($K87&gt;BC$7,$L87&gt;BC$7),0,AND($K87&lt;=BC$7,$L87&lt;=BC$7),1,AND($K87&lt;=BC$7,$L87&gt;BC$7),((BC$7-$K87)/($L87-$K87)))</f>
        <v>#REF!</v>
      </c>
      <c r="BE87" s="201" t="e">
        <f t="array" ref="BE87">_xlfn.IFS(AND($K87&gt;BD$7,$L87&gt;BD$7),0,AND($K87&lt;=BD$7,$L87&lt;=BD$7),1,AND($K87&lt;=BD$7,$L87&gt;BD$7),((BD$7-$K87)/($L87-$K87)))</f>
        <v>#REF!</v>
      </c>
      <c r="BF87" s="201" t="e">
        <f t="array" ref="BF87">_xlfn.IFS(AND($K87&gt;BE$7,$L87&gt;BE$7),0,AND($K87&lt;=BE$7,$L87&lt;=BE$7),1,AND($K87&lt;=BE$7,$L87&gt;BE$7),((BE$7-$K87)/($L87-$K87)))</f>
        <v>#REF!</v>
      </c>
      <c r="BG87" s="201" t="e">
        <f t="array" ref="BG87">_xlfn.IFS(AND($K87&gt;BF$7,$L87&gt;BF$7),0,AND($K87&lt;=BF$7,$L87&lt;=BF$7),1,AND($K87&lt;=BF$7,$L87&gt;BF$7),((BF$7-$K87)/($L87-$K87)))</f>
        <v>#REF!</v>
      </c>
      <c r="BH87" s="201" t="e">
        <f t="array" ref="BH87">_xlfn.IFS(AND($K87&gt;BG$7,$L87&gt;BG$7),0,AND($K87&lt;=BG$7,$L87&lt;=BG$7),1,AND($K87&lt;=BG$7,$L87&gt;BG$7),((BG$7-$K87)/($L87-$K87)))</f>
        <v>#REF!</v>
      </c>
      <c r="BI87" s="201" t="e">
        <f t="array" ref="BI87">_xlfn.IFS(AND($K87&gt;BH$7,$L87&gt;BH$7),0,AND($K87&lt;=BH$7,$L87&lt;=BH$7),1,AND($K87&lt;=BH$7,$L87&gt;BH$7),((BH$7-$K87)/($L87-$K87)))</f>
        <v>#REF!</v>
      </c>
      <c r="BJ87" s="201" t="e">
        <f t="array" ref="BJ87">_xlfn.IFS(AND($K87&gt;BI$7,$L87&gt;BI$7),0,AND($K87&lt;=BI$7,$L87&lt;=BI$7),1,AND($K87&lt;=BI$7,$L87&gt;BI$7),((BI$7-$K87)/($L87-$K87)))</f>
        <v>#REF!</v>
      </c>
      <c r="BK87" s="201" t="e">
        <f t="array" ref="BK87">_xlfn.IFS(AND($K87&gt;BJ$7,$L87&gt;BJ$7),0,AND($K87&lt;=BJ$7,$L87&lt;=BJ$7),1,AND($K87&lt;=BJ$7,$L87&gt;BJ$7),((BJ$7-$K87)/($L87-$K87)))</f>
        <v>#REF!</v>
      </c>
      <c r="BL87" s="201" t="e">
        <f t="array" ref="BL87">_xlfn.IFS(AND($K87&gt;BK$7,$L87&gt;BK$7),0,AND($K87&lt;=BK$7,$L87&lt;=BK$7),1,AND($K87&lt;=BK$7,$L87&gt;BK$7),((BK$7-$K87)/($L87-$K87)))</f>
        <v>#REF!</v>
      </c>
      <c r="BM87" s="201" t="e">
        <f t="array" ref="BM87">_xlfn.IFS(AND($K87&gt;BL$7,$L87&gt;BL$7),0,AND($K87&lt;=BL$7,$L87&lt;=BL$7),1,AND($K87&lt;=BL$7,$L87&gt;BL$7),((BL$7-$K87)/($L87-$K87)))</f>
        <v>#REF!</v>
      </c>
      <c r="BN87" s="201" t="e">
        <f t="array" ref="BN87">_xlfn.IFS(AND($K87&gt;BM$7,$L87&gt;BM$7),0,AND($K87&lt;=BM$7,$L87&lt;=BM$7),1,AND($K87&lt;=BM$7,$L87&gt;BM$7),((BM$7-$K87)/($L87-$K87)))</f>
        <v>#REF!</v>
      </c>
    </row>
    <row r="88" spans="2:66" ht="15" customHeight="1" x14ac:dyDescent="0.3">
      <c r="B88" s="166" t="s">
        <v>161</v>
      </c>
      <c r="C88" s="166" t="s">
        <v>223</v>
      </c>
      <c r="D88" s="177"/>
      <c r="E88" s="170" t="str">
        <f t="shared" si="44"/>
        <v>Desenvolvimento da Transformação dos Processos</v>
      </c>
      <c r="F88" s="174" t="str">
        <f t="shared" si="41"/>
        <v>Modelagem To Be</v>
      </c>
      <c r="G88" s="166" t="str">
        <f t="shared" si="45"/>
        <v>Modelagem To Be</v>
      </c>
      <c r="H88" s="197" t="s">
        <v>224</v>
      </c>
      <c r="I88" s="166">
        <v>45817</v>
      </c>
      <c r="J88" s="166">
        <v>45821</v>
      </c>
      <c r="K88" s="166">
        <v>45817</v>
      </c>
      <c r="L88" s="166">
        <v>45821</v>
      </c>
      <c r="M88" s="167"/>
      <c r="N88" s="167" t="str">
        <f t="array" ref="N88">_xlfn.IFS(L88&lt;$M$3,"Concluído",AND(K88&gt;=$M$3,I88&lt;$M$3,L88&gt;$M$3),"Em andamento",AND(L88&gt;=$M$3,J88&lt;$M$3),"Atrasado",AND(L88&gt;=$M$3,J88&gt;=$M$3,I88&gt;$M$3,K88&lt;=$M$3),"Em andamento",AND(L88&gt;=$M$3,J88&gt;=$M$3,I88&lt;=$M$3,K88&lt;=$M$3),"Em andamento",AND(K88&gt;$M$3,I88&gt;$M$3),"Não iniciado",AND(L88&gt;=$M$3,J88&gt;=$M$3,K88&gt;=$M$3,I88&lt;$M$3),"Atrasado",AND(L88&gt;=$M$3,J88&gt;=$M$3,K88&gt;=$M$3,I88&gt;$M$3),"Não iniciado",AND($I88&lt;=$M$3,$K88&gt;$M$3),"Atrasado")</f>
        <v>Concluído</v>
      </c>
      <c r="O88" s="167">
        <f t="array" ref="O88">_xlfn.IFS(N88="Não iniciado",0,N88="Em andamento",1,N88="Concluído",2,N88="Atrasado",3)</f>
        <v>2</v>
      </c>
      <c r="P88" s="169"/>
      <c r="Q88" s="152">
        <f t="array" aca="1" ref="Q88" ca="1">_xlfn.IFS(AND($I88&lt;$N$3,$J88&lt;$N$3),1,AND($I88&lt;=$N$3,$J88&gt;=$N$3),0.5,AND($I88&gt;=$N$3,$J88&gt;=$N$3),0)</f>
        <v>1</v>
      </c>
      <c r="R88" s="152">
        <f t="array" aca="1" ref="R88" ca="1">_xlfn.IFS(AND($K88&lt;$N$3,$L88&lt;$N$3),1,AND($K88&lt;=$N$3,$L88&gt;=$N$3),0.5,AND($K88&gt;=$N$3,$L88&gt;=$N$3),0)</f>
        <v>1</v>
      </c>
      <c r="S88" s="201" t="e">
        <f t="array" ref="S88">_xlfn.IFS(AND($K88&gt;R$7,$L88&gt;R$7),0,AND($K88&lt;=R$7,$L88&lt;=R$7),1,AND($K88&lt;=R$7,$L88&gt;R$7),((R$7-$K88)/($L88-$K88)))</f>
        <v>#REF!</v>
      </c>
      <c r="T88" s="201" t="e">
        <f t="array" ref="T88">_xlfn.IFS(AND($K88&gt;S$7,$L88&gt;S$7),0,AND($K88&lt;=S$7,$L88&lt;=S$7),1,AND($K88&lt;=S$7,$L88&gt;S$7),((S$7-$K88)/($L88-$K88)))</f>
        <v>#REF!</v>
      </c>
      <c r="U88" s="201" t="e">
        <f t="array" ref="U88">_xlfn.IFS(AND($K88&gt;T$7,$L88&gt;T$7),0,AND($K88&lt;=T$7,$L88&lt;=T$7),1,AND($K88&lt;=T$7,$L88&gt;T$7),((T$7-$K88)/($L88-$K88)))</f>
        <v>#REF!</v>
      </c>
      <c r="V88" s="201" t="e">
        <f t="array" ref="V88">_xlfn.IFS(AND($K88&gt;U$7,$L88&gt;U$7),0,AND($K88&lt;=U$7,$L88&lt;=U$7),1,AND($K88&lt;=U$7,$L88&gt;U$7),((U$7-$K88)/($L88-$K88)))</f>
        <v>#REF!</v>
      </c>
      <c r="W88" s="201" t="e">
        <f t="array" ref="W88">_xlfn.IFS(AND($K88&gt;V$7,$L88&gt;V$7),0,AND($K88&lt;=V$7,$L88&lt;=V$7),1,AND($K88&lt;=V$7,$L88&gt;V$7),((V$7-$K88)/($L88-$K88)))</f>
        <v>#REF!</v>
      </c>
      <c r="X88" s="201" t="e">
        <f t="array" ref="X88">_xlfn.IFS(AND($K88&gt;W$7,$L88&gt;W$7),0,AND($K88&lt;=W$7,$L88&lt;=W$7),1,AND($K88&lt;=W$7,$L88&gt;W$7),((W$7-$K88)/($L88-$K88)))</f>
        <v>#REF!</v>
      </c>
      <c r="Y88" s="201" t="e">
        <f t="array" ref="Y88">_xlfn.IFS(AND($K88&gt;X$7,$L88&gt;X$7),0,AND($K88&lt;=X$7,$L88&lt;=X$7),1,AND($K88&lt;=X$7,$L88&gt;X$7),((X$7-$K88)/($L88-$K88)))</f>
        <v>#REF!</v>
      </c>
      <c r="Z88" s="201" t="e">
        <f t="array" ref="Z88">_xlfn.IFS(AND($K88&gt;Y$7,$L88&gt;Y$7),0,AND($K88&lt;=Y$7,$L88&lt;=Y$7),1,AND($K88&lt;=Y$7,$L88&gt;Y$7),((Y$7-$K88)/($L88-$K88)))</f>
        <v>#REF!</v>
      </c>
      <c r="AA88" s="201" t="e">
        <f t="array" ref="AA88">_xlfn.IFS(AND($K88&gt;Z$7,$L88&gt;Z$7),0,AND($K88&lt;=Z$7,$L88&lt;=Z$7),1,AND($K88&lt;=Z$7,$L88&gt;Z$7),((Z$7-$K88)/($L88-$K88)))</f>
        <v>#REF!</v>
      </c>
      <c r="AB88" s="201" t="e">
        <f t="array" ref="AB88">_xlfn.IFS(AND($K88&gt;AA$7,$L88&gt;AA$7),0,AND($K88&lt;=AA$7,$L88&lt;=AA$7),1,AND($K88&lt;=AA$7,$L88&gt;AA$7),((AA$7-$K88)/($L88-$K88)))</f>
        <v>#REF!</v>
      </c>
      <c r="AC88" s="201" t="e">
        <f t="array" ref="AC88">_xlfn.IFS(AND($K88&gt;AB$7,$L88&gt;AB$7),0,AND($K88&lt;=AB$7,$L88&lt;=AB$7),1,AND($K88&lt;=AB$7,$L88&gt;AB$7),((AB$7-$K88)/($L88-$K88)))</f>
        <v>#REF!</v>
      </c>
      <c r="AD88" s="201" t="e">
        <f t="array" ref="AD88">_xlfn.IFS(AND($K88&gt;AC$7,$L88&gt;AC$7),0,AND($K88&lt;=AC$7,$L88&lt;=AC$7),1,AND($K88&lt;=AC$7,$L88&gt;AC$7),((AC$7-$K88)/($L88-$K88)))</f>
        <v>#REF!</v>
      </c>
      <c r="AE88" s="201" t="e">
        <f t="array" ref="AE88">_xlfn.IFS(AND($K88&gt;AD$7,$L88&gt;AD$7),0,AND($K88&lt;=AD$7,$L88&lt;=AD$7),1,AND($K88&lt;=AD$7,$L88&gt;AD$7),((AD$7-$K88)/($L88-$K88)))</f>
        <v>#REF!</v>
      </c>
      <c r="AF88" s="201" t="e">
        <f t="array" ref="AF88">_xlfn.IFS(AND($K88&gt;AE$7,$L88&gt;AE$7),0,AND($K88&lt;=AE$7,$L88&lt;=AE$7),1,AND($K88&lt;=AE$7,$L88&gt;AE$7),((AE$7-$K88)/($L88-$K88)))</f>
        <v>#REF!</v>
      </c>
      <c r="AG88" s="201" t="e">
        <f t="array" ref="AG88">_xlfn.IFS(AND($K88&gt;AF$7,$L88&gt;AF$7),0,AND($K88&lt;=AF$7,$L88&lt;=AF$7),1,AND($K88&lt;=AF$7,$L88&gt;AF$7),((AF$7-$K88)/($L88-$K88)))</f>
        <v>#REF!</v>
      </c>
      <c r="AH88" s="201" t="e">
        <f t="array" ref="AH88">_xlfn.IFS(AND($K88&gt;AG$7,$L88&gt;AG$7),0,AND($K88&lt;=AG$7,$L88&lt;=AG$7),1,AND($K88&lt;=AG$7,$L88&gt;AG$7),((AG$7-$K88)/($L88-$K88)))</f>
        <v>#REF!</v>
      </c>
      <c r="AI88" s="201" t="e">
        <f t="array" ref="AI88">_xlfn.IFS(AND($K88&gt;AH$7,$L88&gt;AH$7),0,AND($K88&lt;=AH$7,$L88&lt;=AH$7),1,AND($K88&lt;=AH$7,$L88&gt;AH$7),((AH$7-$K88)/($L88-$K88)))</f>
        <v>#REF!</v>
      </c>
      <c r="AJ88" s="201" t="e">
        <f t="array" ref="AJ88">_xlfn.IFS(AND($K88&gt;AI$7,$L88&gt;AI$7),0,AND($K88&lt;=AI$7,$L88&lt;=AI$7),1,AND($K88&lt;=AI$7,$L88&gt;AI$7),((AI$7-$K88)/($L88-$K88)))</f>
        <v>#REF!</v>
      </c>
      <c r="AK88" s="201" t="e">
        <f t="array" ref="AK88">_xlfn.IFS(AND($K88&gt;AJ$7,$L88&gt;AJ$7),0,AND($K88&lt;=AJ$7,$L88&lt;=AJ$7),1,AND($K88&lt;=AJ$7,$L88&gt;AJ$7),((AJ$7-$K88)/($L88-$K88)))</f>
        <v>#REF!</v>
      </c>
      <c r="AL88" s="201" t="e">
        <f t="array" ref="AL88">_xlfn.IFS(AND($K88&gt;AK$7,$L88&gt;AK$7),0,AND($K88&lt;=AK$7,$L88&lt;=AK$7),1,AND($K88&lt;=AK$7,$L88&gt;AK$7),((AK$7-$K88)/($L88-$K88)))</f>
        <v>#REF!</v>
      </c>
      <c r="AM88" s="201" t="e">
        <f t="array" ref="AM88">_xlfn.IFS(AND($K88&gt;AL$7,$L88&gt;AL$7),0,AND($K88&lt;=AL$7,$L88&lt;=AL$7),1,AND($K88&lt;=AL$7,$L88&gt;AL$7),((AL$7-$K88)/($L88-$K88)))</f>
        <v>#REF!</v>
      </c>
      <c r="AN88" s="201" t="e">
        <f t="array" ref="AN88">_xlfn.IFS(AND($K88&gt;AM$7,$L88&gt;AM$7),0,AND($K88&lt;=AM$7,$L88&lt;=AM$7),1,AND($K88&lt;=AM$7,$L88&gt;AM$7),((AM$7-$K88)/($L88-$K88)))</f>
        <v>#REF!</v>
      </c>
      <c r="AO88" s="201" t="e">
        <f t="array" ref="AO88">_xlfn.IFS(AND($K88&gt;AN$7,$L88&gt;AN$7),0,AND($K88&lt;=AN$7,$L88&lt;=AN$7),1,AND($K88&lt;=AN$7,$L88&gt;AN$7),((AN$7-$K88)/($L88-$K88)))</f>
        <v>#REF!</v>
      </c>
      <c r="AP88" s="201" t="e">
        <f t="array" ref="AP88">_xlfn.IFS(AND($K88&gt;AO$7,$L88&gt;AO$7),0,AND($K88&lt;=AO$7,$L88&lt;=AO$7),1,AND($K88&lt;=AO$7,$L88&gt;AO$7),((AO$7-$K88)/($L88-$K88)))</f>
        <v>#REF!</v>
      </c>
      <c r="AQ88" s="201" t="e">
        <f t="array" ref="AQ88">_xlfn.IFS(AND($K88&gt;AP$7,$L88&gt;AP$7),0,AND($K88&lt;=AP$7,$L88&lt;=AP$7),1,AND($K88&lt;=AP$7,$L88&gt;AP$7),((AP$7-$K88)/($L88-$K88)))</f>
        <v>#REF!</v>
      </c>
      <c r="AR88" s="201" t="e">
        <f t="array" ref="AR88">_xlfn.IFS(AND($K88&gt;AQ$7,$L88&gt;AQ$7),0,AND($K88&lt;=AQ$7,$L88&lt;=AQ$7),1,AND($K88&lt;=AQ$7,$L88&gt;AQ$7),((AQ$7-$K88)/($L88-$K88)))</f>
        <v>#REF!</v>
      </c>
      <c r="AS88" s="201" t="e">
        <f t="array" ref="AS88">_xlfn.IFS(AND($K88&gt;AR$7,$L88&gt;AR$7),0,AND($K88&lt;=AR$7,$L88&lt;=AR$7),1,AND($K88&lt;=AR$7,$L88&gt;AR$7),((AR$7-$K88)/($L88-$K88)))</f>
        <v>#REF!</v>
      </c>
      <c r="AT88" s="201" t="e">
        <f t="array" ref="AT88">_xlfn.IFS(AND($K88&gt;AS$7,$L88&gt;AS$7),0,AND($K88&lt;=AS$7,$L88&lt;=AS$7),1,AND($K88&lt;=AS$7,$L88&gt;AS$7),((AS$7-$K88)/($L88-$K88)))</f>
        <v>#REF!</v>
      </c>
      <c r="AU88" s="201" t="e">
        <f t="array" ref="AU88">_xlfn.IFS(AND($K88&gt;AT$7,$L88&gt;AT$7),0,AND($K88&lt;=AT$7,$L88&lt;=AT$7),1,AND($K88&lt;=AT$7,$L88&gt;AT$7),((AT$7-$K88)/($L88-$K88)))</f>
        <v>#REF!</v>
      </c>
      <c r="AV88" s="201" t="e">
        <f t="array" ref="AV88">_xlfn.IFS(AND($K88&gt;AU$7,$L88&gt;AU$7),0,AND($K88&lt;=AU$7,$L88&lt;=AU$7),1,AND($K88&lt;=AU$7,$L88&gt;AU$7),((AU$7-$K88)/($L88-$K88)))</f>
        <v>#REF!</v>
      </c>
      <c r="AW88" s="201" t="e">
        <f t="array" ref="AW88">_xlfn.IFS(AND($K88&gt;AV$7,$L88&gt;AV$7),0,AND($K88&lt;=AV$7,$L88&lt;=AV$7),1,AND($K88&lt;=AV$7,$L88&gt;AV$7),((AV$7-$K88)/($L88-$K88)))</f>
        <v>#REF!</v>
      </c>
      <c r="AX88" s="201" t="e">
        <f t="array" ref="AX88">_xlfn.IFS(AND($K88&gt;AW$7,$L88&gt;AW$7),0,AND($K88&lt;=AW$7,$L88&lt;=AW$7),1,AND($K88&lt;=AW$7,$L88&gt;AW$7),((AW$7-$K88)/($L88-$K88)))</f>
        <v>#REF!</v>
      </c>
      <c r="AY88" s="201" t="e">
        <f t="array" ref="AY88">_xlfn.IFS(AND($K88&gt;AX$7,$L88&gt;AX$7),0,AND($K88&lt;=AX$7,$L88&lt;=AX$7),1,AND($K88&lt;=AX$7,$L88&gt;AX$7),((AX$7-$K88)/($L88-$K88)))</f>
        <v>#REF!</v>
      </c>
      <c r="AZ88" s="201" t="e">
        <f t="array" ref="AZ88">_xlfn.IFS(AND($K88&gt;AY$7,$L88&gt;AY$7),0,AND($K88&lt;=AY$7,$L88&lt;=AY$7),1,AND($K88&lt;=AY$7,$L88&gt;AY$7),((AY$7-$K88)/($L88-$K88)))</f>
        <v>#REF!</v>
      </c>
      <c r="BA88" s="201" t="e">
        <f t="array" ref="BA88">_xlfn.IFS(AND($K88&gt;AZ$7,$L88&gt;AZ$7),0,AND($K88&lt;=AZ$7,$L88&lt;=AZ$7),1,AND($K88&lt;=AZ$7,$L88&gt;AZ$7),((AZ$7-$K88)/($L88-$K88)))</f>
        <v>#REF!</v>
      </c>
      <c r="BB88" s="201" t="e">
        <f t="array" ref="BB88">_xlfn.IFS(AND($K88&gt;BA$7,$L88&gt;BA$7),0,AND($K88&lt;=BA$7,$L88&lt;=BA$7),1,AND($K88&lt;=BA$7,$L88&gt;BA$7),((BA$7-$K88)/($L88-$K88)))</f>
        <v>#REF!</v>
      </c>
      <c r="BC88" s="201" t="e">
        <f t="array" ref="BC88">_xlfn.IFS(AND($K88&gt;BB$7,$L88&gt;BB$7),0,AND($K88&lt;=BB$7,$L88&lt;=BB$7),1,AND($K88&lt;=BB$7,$L88&gt;BB$7),((BB$7-$K88)/($L88-$K88)))</f>
        <v>#REF!</v>
      </c>
      <c r="BD88" s="201" t="e">
        <f t="array" ref="BD88">_xlfn.IFS(AND($K88&gt;BC$7,$L88&gt;BC$7),0,AND($K88&lt;=BC$7,$L88&lt;=BC$7),1,AND($K88&lt;=BC$7,$L88&gt;BC$7),((BC$7-$K88)/($L88-$K88)))</f>
        <v>#REF!</v>
      </c>
      <c r="BE88" s="201" t="e">
        <f t="array" ref="BE88">_xlfn.IFS(AND($K88&gt;BD$7,$L88&gt;BD$7),0,AND($K88&lt;=BD$7,$L88&lt;=BD$7),1,AND($K88&lt;=BD$7,$L88&gt;BD$7),((BD$7-$K88)/($L88-$K88)))</f>
        <v>#REF!</v>
      </c>
      <c r="BF88" s="201" t="e">
        <f t="array" ref="BF88">_xlfn.IFS(AND($K88&gt;BE$7,$L88&gt;BE$7),0,AND($K88&lt;=BE$7,$L88&lt;=BE$7),1,AND($K88&lt;=BE$7,$L88&gt;BE$7),((BE$7-$K88)/($L88-$K88)))</f>
        <v>#REF!</v>
      </c>
      <c r="BG88" s="201" t="e">
        <f t="array" ref="BG88">_xlfn.IFS(AND($K88&gt;BF$7,$L88&gt;BF$7),0,AND($K88&lt;=BF$7,$L88&lt;=BF$7),1,AND($K88&lt;=BF$7,$L88&gt;BF$7),((BF$7-$K88)/($L88-$K88)))</f>
        <v>#REF!</v>
      </c>
      <c r="BH88" s="201" t="e">
        <f t="array" ref="BH88">_xlfn.IFS(AND($K88&gt;BG$7,$L88&gt;BG$7),0,AND($K88&lt;=BG$7,$L88&lt;=BG$7),1,AND($K88&lt;=BG$7,$L88&gt;BG$7),((BG$7-$K88)/($L88-$K88)))</f>
        <v>#REF!</v>
      </c>
      <c r="BI88" s="201" t="e">
        <f t="array" ref="BI88">_xlfn.IFS(AND($K88&gt;BH$7,$L88&gt;BH$7),0,AND($K88&lt;=BH$7,$L88&lt;=BH$7),1,AND($K88&lt;=BH$7,$L88&gt;BH$7),((BH$7-$K88)/($L88-$K88)))</f>
        <v>#REF!</v>
      </c>
      <c r="BJ88" s="201" t="e">
        <f t="array" ref="BJ88">_xlfn.IFS(AND($K88&gt;BI$7,$L88&gt;BI$7),0,AND($K88&lt;=BI$7,$L88&lt;=BI$7),1,AND($K88&lt;=BI$7,$L88&gt;BI$7),((BI$7-$K88)/($L88-$K88)))</f>
        <v>#REF!</v>
      </c>
      <c r="BK88" s="201" t="e">
        <f t="array" ref="BK88">_xlfn.IFS(AND($K88&gt;BJ$7,$L88&gt;BJ$7),0,AND($K88&lt;=BJ$7,$L88&lt;=BJ$7),1,AND($K88&lt;=BJ$7,$L88&gt;BJ$7),((BJ$7-$K88)/($L88-$K88)))</f>
        <v>#REF!</v>
      </c>
      <c r="BL88" s="201" t="e">
        <f t="array" ref="BL88">_xlfn.IFS(AND($K88&gt;BK$7,$L88&gt;BK$7),0,AND($K88&lt;=BK$7,$L88&lt;=BK$7),1,AND($K88&lt;=BK$7,$L88&gt;BK$7),((BK$7-$K88)/($L88-$K88)))</f>
        <v>#REF!</v>
      </c>
      <c r="BM88" s="201" t="e">
        <f t="array" ref="BM88">_xlfn.IFS(AND($K88&gt;BL$7,$L88&gt;BL$7),0,AND($K88&lt;=BL$7,$L88&lt;=BL$7),1,AND($K88&lt;=BL$7,$L88&gt;BL$7),((BL$7-$K88)/($L88-$K88)))</f>
        <v>#REF!</v>
      </c>
      <c r="BN88" s="201" t="e">
        <f t="array" ref="BN88">_xlfn.IFS(AND($K88&gt;BM$7,$L88&gt;BM$7),0,AND($K88&lt;=BM$7,$L88&lt;=BM$7),1,AND($K88&lt;=BM$7,$L88&gt;BM$7),((BM$7-$K88)/($L88-$K88)))</f>
        <v>#REF!</v>
      </c>
    </row>
    <row r="89" spans="2:66" ht="15" customHeight="1" x14ac:dyDescent="0.3">
      <c r="B89" s="166" t="s">
        <v>161</v>
      </c>
      <c r="C89" s="166" t="s">
        <v>225</v>
      </c>
      <c r="D89" s="177"/>
      <c r="E89" s="170" t="str">
        <f t="shared" si="44"/>
        <v>Desenvolvimento da Transformação dos Processos</v>
      </c>
      <c r="F89" s="174" t="str">
        <f t="shared" si="41"/>
        <v>Modelagem To Be</v>
      </c>
      <c r="G89" s="166" t="str">
        <f t="shared" si="45"/>
        <v>Modelagem To Be</v>
      </c>
      <c r="H89" s="197" t="s">
        <v>226</v>
      </c>
      <c r="I89" s="166">
        <v>45817</v>
      </c>
      <c r="J89" s="166">
        <v>45821</v>
      </c>
      <c r="K89" s="166">
        <v>45817</v>
      </c>
      <c r="L89" s="166">
        <v>45821</v>
      </c>
      <c r="M89" s="167"/>
      <c r="N89" s="167" t="str">
        <f t="array" ref="N89">_xlfn.IFS(L89&lt;$M$3,"Concluído",AND(K89&gt;=$M$3,I89&lt;$M$3,L89&gt;$M$3),"Em andamento",AND(L89&gt;=$M$3,J89&lt;$M$3),"Atrasado",AND(L89&gt;=$M$3,J89&gt;=$M$3,I89&gt;$M$3,K89&lt;=$M$3),"Em andamento",AND(L89&gt;=$M$3,J89&gt;=$M$3,I89&lt;=$M$3,K89&lt;=$M$3),"Em andamento",AND(K89&gt;$M$3,I89&gt;$M$3),"Não iniciado",AND(L89&gt;=$M$3,J89&gt;=$M$3,K89&gt;=$M$3,I89&lt;$M$3),"Atrasado",AND(L89&gt;=$M$3,J89&gt;=$M$3,K89&gt;=$M$3,I89&gt;$M$3),"Não iniciado",AND($I89&lt;=$M$3,$K89&gt;$M$3),"Atrasado")</f>
        <v>Concluído</v>
      </c>
      <c r="O89" s="167">
        <f t="array" ref="O89">_xlfn.IFS(N89="Não iniciado",0,N89="Em andamento",1,N89="Concluído",2,N89="Atrasado",3)</f>
        <v>2</v>
      </c>
      <c r="P89" s="169"/>
      <c r="Q89" s="152">
        <f t="array" aca="1" ref="Q89" ca="1">_xlfn.IFS(AND($I89&lt;$N$3,$J89&lt;$N$3),1,AND($I89&lt;=$N$3,$J89&gt;=$N$3),0.5,AND($I89&gt;=$N$3,$J89&gt;=$N$3),0)</f>
        <v>1</v>
      </c>
      <c r="R89" s="152">
        <f t="array" aca="1" ref="R89" ca="1">_xlfn.IFS(AND($K89&lt;$N$3,$L89&lt;$N$3),1,AND($K89&lt;=$N$3,$L89&gt;=$N$3),0.5,AND($K89&gt;=$N$3,$L89&gt;=$N$3),0)</f>
        <v>1</v>
      </c>
      <c r="S89" s="201" t="e">
        <f t="array" ref="S89">_xlfn.IFS(AND($K89&gt;R$7,$L89&gt;R$7),0,AND($K89&lt;=R$7,$L89&lt;=R$7),1,AND($K89&lt;=R$7,$L89&gt;R$7),((R$7-$K89)/($L89-$K89)))</f>
        <v>#REF!</v>
      </c>
      <c r="T89" s="201" t="e">
        <f t="array" ref="T89">_xlfn.IFS(AND($K89&gt;S$7,$L89&gt;S$7),0,AND($K89&lt;=S$7,$L89&lt;=S$7),1,AND($K89&lt;=S$7,$L89&gt;S$7),((S$7-$K89)/($L89-$K89)))</f>
        <v>#REF!</v>
      </c>
      <c r="U89" s="201" t="e">
        <f t="array" ref="U89">_xlfn.IFS(AND($K89&gt;T$7,$L89&gt;T$7),0,AND($K89&lt;=T$7,$L89&lt;=T$7),1,AND($K89&lt;=T$7,$L89&gt;T$7),((T$7-$K89)/($L89-$K89)))</f>
        <v>#REF!</v>
      </c>
      <c r="V89" s="201" t="e">
        <f t="array" ref="V89">_xlfn.IFS(AND($K89&gt;U$7,$L89&gt;U$7),0,AND($K89&lt;=U$7,$L89&lt;=U$7),1,AND($K89&lt;=U$7,$L89&gt;U$7),((U$7-$K89)/($L89-$K89)))</f>
        <v>#REF!</v>
      </c>
      <c r="W89" s="201" t="e">
        <f t="array" ref="W89">_xlfn.IFS(AND($K89&gt;V$7,$L89&gt;V$7),0,AND($K89&lt;=V$7,$L89&lt;=V$7),1,AND($K89&lt;=V$7,$L89&gt;V$7),((V$7-$K89)/($L89-$K89)))</f>
        <v>#REF!</v>
      </c>
      <c r="X89" s="201" t="e">
        <f t="array" ref="X89">_xlfn.IFS(AND($K89&gt;W$7,$L89&gt;W$7),0,AND($K89&lt;=W$7,$L89&lt;=W$7),1,AND($K89&lt;=W$7,$L89&gt;W$7),((W$7-$K89)/($L89-$K89)))</f>
        <v>#REF!</v>
      </c>
      <c r="Y89" s="201" t="e">
        <f t="array" ref="Y89">_xlfn.IFS(AND($K89&gt;X$7,$L89&gt;X$7),0,AND($K89&lt;=X$7,$L89&lt;=X$7),1,AND($K89&lt;=X$7,$L89&gt;X$7),((X$7-$K89)/($L89-$K89)))</f>
        <v>#REF!</v>
      </c>
      <c r="Z89" s="201" t="e">
        <f t="array" ref="Z89">_xlfn.IFS(AND($K89&gt;Y$7,$L89&gt;Y$7),0,AND($K89&lt;=Y$7,$L89&lt;=Y$7),1,AND($K89&lt;=Y$7,$L89&gt;Y$7),((Y$7-$K89)/($L89-$K89)))</f>
        <v>#REF!</v>
      </c>
      <c r="AA89" s="201" t="e">
        <f t="array" ref="AA89">_xlfn.IFS(AND($K89&gt;Z$7,$L89&gt;Z$7),0,AND($K89&lt;=Z$7,$L89&lt;=Z$7),1,AND($K89&lt;=Z$7,$L89&gt;Z$7),((Z$7-$K89)/($L89-$K89)))</f>
        <v>#REF!</v>
      </c>
      <c r="AB89" s="201" t="e">
        <f t="array" ref="AB89">_xlfn.IFS(AND($K89&gt;AA$7,$L89&gt;AA$7),0,AND($K89&lt;=AA$7,$L89&lt;=AA$7),1,AND($K89&lt;=AA$7,$L89&gt;AA$7),((AA$7-$K89)/($L89-$K89)))</f>
        <v>#REF!</v>
      </c>
      <c r="AC89" s="201" t="e">
        <f t="array" ref="AC89">_xlfn.IFS(AND($K89&gt;AB$7,$L89&gt;AB$7),0,AND($K89&lt;=AB$7,$L89&lt;=AB$7),1,AND($K89&lt;=AB$7,$L89&gt;AB$7),((AB$7-$K89)/($L89-$K89)))</f>
        <v>#REF!</v>
      </c>
      <c r="AD89" s="201" t="e">
        <f t="array" ref="AD89">_xlfn.IFS(AND($K89&gt;AC$7,$L89&gt;AC$7),0,AND($K89&lt;=AC$7,$L89&lt;=AC$7),1,AND($K89&lt;=AC$7,$L89&gt;AC$7),((AC$7-$K89)/($L89-$K89)))</f>
        <v>#REF!</v>
      </c>
      <c r="AE89" s="201" t="e">
        <f t="array" ref="AE89">_xlfn.IFS(AND($K89&gt;AD$7,$L89&gt;AD$7),0,AND($K89&lt;=AD$7,$L89&lt;=AD$7),1,AND($K89&lt;=AD$7,$L89&gt;AD$7),((AD$7-$K89)/($L89-$K89)))</f>
        <v>#REF!</v>
      </c>
      <c r="AF89" s="201" t="e">
        <f t="array" ref="AF89">_xlfn.IFS(AND($K89&gt;AE$7,$L89&gt;AE$7),0,AND($K89&lt;=AE$7,$L89&lt;=AE$7),1,AND($K89&lt;=AE$7,$L89&gt;AE$7),((AE$7-$K89)/($L89-$K89)))</f>
        <v>#REF!</v>
      </c>
      <c r="AG89" s="201" t="e">
        <f t="array" ref="AG89">_xlfn.IFS(AND($K89&gt;AF$7,$L89&gt;AF$7),0,AND($K89&lt;=AF$7,$L89&lt;=AF$7),1,AND($K89&lt;=AF$7,$L89&gt;AF$7),((AF$7-$K89)/($L89-$K89)))</f>
        <v>#REF!</v>
      </c>
      <c r="AH89" s="201" t="e">
        <f t="array" ref="AH89">_xlfn.IFS(AND($K89&gt;AG$7,$L89&gt;AG$7),0,AND($K89&lt;=AG$7,$L89&lt;=AG$7),1,AND($K89&lt;=AG$7,$L89&gt;AG$7),((AG$7-$K89)/($L89-$K89)))</f>
        <v>#REF!</v>
      </c>
      <c r="AI89" s="201" t="e">
        <f t="array" ref="AI89">_xlfn.IFS(AND($K89&gt;AH$7,$L89&gt;AH$7),0,AND($K89&lt;=AH$7,$L89&lt;=AH$7),1,AND($K89&lt;=AH$7,$L89&gt;AH$7),((AH$7-$K89)/($L89-$K89)))</f>
        <v>#REF!</v>
      </c>
      <c r="AJ89" s="201" t="e">
        <f t="array" ref="AJ89">_xlfn.IFS(AND($K89&gt;AI$7,$L89&gt;AI$7),0,AND($K89&lt;=AI$7,$L89&lt;=AI$7),1,AND($K89&lt;=AI$7,$L89&gt;AI$7),((AI$7-$K89)/($L89-$K89)))</f>
        <v>#REF!</v>
      </c>
      <c r="AK89" s="201" t="e">
        <f t="array" ref="AK89">_xlfn.IFS(AND($K89&gt;AJ$7,$L89&gt;AJ$7),0,AND($K89&lt;=AJ$7,$L89&lt;=AJ$7),1,AND($K89&lt;=AJ$7,$L89&gt;AJ$7),((AJ$7-$K89)/($L89-$K89)))</f>
        <v>#REF!</v>
      </c>
      <c r="AL89" s="201" t="e">
        <f t="array" ref="AL89">_xlfn.IFS(AND($K89&gt;AK$7,$L89&gt;AK$7),0,AND($K89&lt;=AK$7,$L89&lt;=AK$7),1,AND($K89&lt;=AK$7,$L89&gt;AK$7),((AK$7-$K89)/($L89-$K89)))</f>
        <v>#REF!</v>
      </c>
      <c r="AM89" s="201" t="e">
        <f t="array" ref="AM89">_xlfn.IFS(AND($K89&gt;AL$7,$L89&gt;AL$7),0,AND($K89&lt;=AL$7,$L89&lt;=AL$7),1,AND($K89&lt;=AL$7,$L89&gt;AL$7),((AL$7-$K89)/($L89-$K89)))</f>
        <v>#REF!</v>
      </c>
      <c r="AN89" s="201" t="e">
        <f t="array" ref="AN89">_xlfn.IFS(AND($K89&gt;AM$7,$L89&gt;AM$7),0,AND($K89&lt;=AM$7,$L89&lt;=AM$7),1,AND($K89&lt;=AM$7,$L89&gt;AM$7),((AM$7-$K89)/($L89-$K89)))</f>
        <v>#REF!</v>
      </c>
      <c r="AO89" s="201" t="e">
        <f t="array" ref="AO89">_xlfn.IFS(AND($K89&gt;AN$7,$L89&gt;AN$7),0,AND($K89&lt;=AN$7,$L89&lt;=AN$7),1,AND($K89&lt;=AN$7,$L89&gt;AN$7),((AN$7-$K89)/($L89-$K89)))</f>
        <v>#REF!</v>
      </c>
      <c r="AP89" s="201" t="e">
        <f t="array" ref="AP89">_xlfn.IFS(AND($K89&gt;AO$7,$L89&gt;AO$7),0,AND($K89&lt;=AO$7,$L89&lt;=AO$7),1,AND($K89&lt;=AO$7,$L89&gt;AO$7),((AO$7-$K89)/($L89-$K89)))</f>
        <v>#REF!</v>
      </c>
      <c r="AQ89" s="201" t="e">
        <f t="array" ref="AQ89">_xlfn.IFS(AND($K89&gt;AP$7,$L89&gt;AP$7),0,AND($K89&lt;=AP$7,$L89&lt;=AP$7),1,AND($K89&lt;=AP$7,$L89&gt;AP$7),((AP$7-$K89)/($L89-$K89)))</f>
        <v>#REF!</v>
      </c>
      <c r="AR89" s="201" t="e">
        <f t="array" ref="AR89">_xlfn.IFS(AND($K89&gt;AQ$7,$L89&gt;AQ$7),0,AND($K89&lt;=AQ$7,$L89&lt;=AQ$7),1,AND($K89&lt;=AQ$7,$L89&gt;AQ$7),((AQ$7-$K89)/($L89-$K89)))</f>
        <v>#REF!</v>
      </c>
      <c r="AS89" s="201" t="e">
        <f t="array" ref="AS89">_xlfn.IFS(AND($K89&gt;AR$7,$L89&gt;AR$7),0,AND($K89&lt;=AR$7,$L89&lt;=AR$7),1,AND($K89&lt;=AR$7,$L89&gt;AR$7),((AR$7-$K89)/($L89-$K89)))</f>
        <v>#REF!</v>
      </c>
      <c r="AT89" s="201" t="e">
        <f t="array" ref="AT89">_xlfn.IFS(AND($K89&gt;AS$7,$L89&gt;AS$7),0,AND($K89&lt;=AS$7,$L89&lt;=AS$7),1,AND($K89&lt;=AS$7,$L89&gt;AS$7),((AS$7-$K89)/($L89-$K89)))</f>
        <v>#REF!</v>
      </c>
      <c r="AU89" s="201" t="e">
        <f t="array" ref="AU89">_xlfn.IFS(AND($K89&gt;AT$7,$L89&gt;AT$7),0,AND($K89&lt;=AT$7,$L89&lt;=AT$7),1,AND($K89&lt;=AT$7,$L89&gt;AT$7),((AT$7-$K89)/($L89-$K89)))</f>
        <v>#REF!</v>
      </c>
      <c r="AV89" s="201" t="e">
        <f t="array" ref="AV89">_xlfn.IFS(AND($K89&gt;AU$7,$L89&gt;AU$7),0,AND($K89&lt;=AU$7,$L89&lt;=AU$7),1,AND($K89&lt;=AU$7,$L89&gt;AU$7),((AU$7-$K89)/($L89-$K89)))</f>
        <v>#REF!</v>
      </c>
      <c r="AW89" s="201" t="e">
        <f t="array" ref="AW89">_xlfn.IFS(AND($K89&gt;AV$7,$L89&gt;AV$7),0,AND($K89&lt;=AV$7,$L89&lt;=AV$7),1,AND($K89&lt;=AV$7,$L89&gt;AV$7),((AV$7-$K89)/($L89-$K89)))</f>
        <v>#REF!</v>
      </c>
      <c r="AX89" s="201" t="e">
        <f t="array" ref="AX89">_xlfn.IFS(AND($K89&gt;AW$7,$L89&gt;AW$7),0,AND($K89&lt;=AW$7,$L89&lt;=AW$7),1,AND($K89&lt;=AW$7,$L89&gt;AW$7),((AW$7-$K89)/($L89-$K89)))</f>
        <v>#REF!</v>
      </c>
      <c r="AY89" s="201" t="e">
        <f t="array" ref="AY89">_xlfn.IFS(AND($K89&gt;AX$7,$L89&gt;AX$7),0,AND($K89&lt;=AX$7,$L89&lt;=AX$7),1,AND($K89&lt;=AX$7,$L89&gt;AX$7),((AX$7-$K89)/($L89-$K89)))</f>
        <v>#REF!</v>
      </c>
      <c r="AZ89" s="201" t="e">
        <f t="array" ref="AZ89">_xlfn.IFS(AND($K89&gt;AY$7,$L89&gt;AY$7),0,AND($K89&lt;=AY$7,$L89&lt;=AY$7),1,AND($K89&lt;=AY$7,$L89&gt;AY$7),((AY$7-$K89)/($L89-$K89)))</f>
        <v>#REF!</v>
      </c>
      <c r="BA89" s="201" t="e">
        <f t="array" ref="BA89">_xlfn.IFS(AND($K89&gt;AZ$7,$L89&gt;AZ$7),0,AND($K89&lt;=AZ$7,$L89&lt;=AZ$7),1,AND($K89&lt;=AZ$7,$L89&gt;AZ$7),((AZ$7-$K89)/($L89-$K89)))</f>
        <v>#REF!</v>
      </c>
      <c r="BB89" s="201" t="e">
        <f t="array" ref="BB89">_xlfn.IFS(AND($K89&gt;BA$7,$L89&gt;BA$7),0,AND($K89&lt;=BA$7,$L89&lt;=BA$7),1,AND($K89&lt;=BA$7,$L89&gt;BA$7),((BA$7-$K89)/($L89-$K89)))</f>
        <v>#REF!</v>
      </c>
      <c r="BC89" s="201" t="e">
        <f t="array" ref="BC89">_xlfn.IFS(AND($K89&gt;BB$7,$L89&gt;BB$7),0,AND($K89&lt;=BB$7,$L89&lt;=BB$7),1,AND($K89&lt;=BB$7,$L89&gt;BB$7),((BB$7-$K89)/($L89-$K89)))</f>
        <v>#REF!</v>
      </c>
      <c r="BD89" s="201" t="e">
        <f t="array" ref="BD89">_xlfn.IFS(AND($K89&gt;BC$7,$L89&gt;BC$7),0,AND($K89&lt;=BC$7,$L89&lt;=BC$7),1,AND($K89&lt;=BC$7,$L89&gt;BC$7),((BC$7-$K89)/($L89-$K89)))</f>
        <v>#REF!</v>
      </c>
      <c r="BE89" s="201" t="e">
        <f t="array" ref="BE89">_xlfn.IFS(AND($K89&gt;BD$7,$L89&gt;BD$7),0,AND($K89&lt;=BD$7,$L89&lt;=BD$7),1,AND($K89&lt;=BD$7,$L89&gt;BD$7),((BD$7-$K89)/($L89-$K89)))</f>
        <v>#REF!</v>
      </c>
      <c r="BF89" s="201" t="e">
        <f t="array" ref="BF89">_xlfn.IFS(AND($K89&gt;BE$7,$L89&gt;BE$7),0,AND($K89&lt;=BE$7,$L89&lt;=BE$7),1,AND($K89&lt;=BE$7,$L89&gt;BE$7),((BE$7-$K89)/($L89-$K89)))</f>
        <v>#REF!</v>
      </c>
      <c r="BG89" s="201" t="e">
        <f t="array" ref="BG89">_xlfn.IFS(AND($K89&gt;BF$7,$L89&gt;BF$7),0,AND($K89&lt;=BF$7,$L89&lt;=BF$7),1,AND($K89&lt;=BF$7,$L89&gt;BF$7),((BF$7-$K89)/($L89-$K89)))</f>
        <v>#REF!</v>
      </c>
      <c r="BH89" s="201" t="e">
        <f t="array" ref="BH89">_xlfn.IFS(AND($K89&gt;BG$7,$L89&gt;BG$7),0,AND($K89&lt;=BG$7,$L89&lt;=BG$7),1,AND($K89&lt;=BG$7,$L89&gt;BG$7),((BG$7-$K89)/($L89-$K89)))</f>
        <v>#REF!</v>
      </c>
      <c r="BI89" s="201" t="e">
        <f t="array" ref="BI89">_xlfn.IFS(AND($K89&gt;BH$7,$L89&gt;BH$7),0,AND($K89&lt;=BH$7,$L89&lt;=BH$7),1,AND($K89&lt;=BH$7,$L89&gt;BH$7),((BH$7-$K89)/($L89-$K89)))</f>
        <v>#REF!</v>
      </c>
      <c r="BJ89" s="201" t="e">
        <f t="array" ref="BJ89">_xlfn.IFS(AND($K89&gt;BI$7,$L89&gt;BI$7),0,AND($K89&lt;=BI$7,$L89&lt;=BI$7),1,AND($K89&lt;=BI$7,$L89&gt;BI$7),((BI$7-$K89)/($L89-$K89)))</f>
        <v>#REF!</v>
      </c>
      <c r="BK89" s="201" t="e">
        <f t="array" ref="BK89">_xlfn.IFS(AND($K89&gt;BJ$7,$L89&gt;BJ$7),0,AND($K89&lt;=BJ$7,$L89&lt;=BJ$7),1,AND($K89&lt;=BJ$7,$L89&gt;BJ$7),((BJ$7-$K89)/($L89-$K89)))</f>
        <v>#REF!</v>
      </c>
      <c r="BL89" s="201" t="e">
        <f t="array" ref="BL89">_xlfn.IFS(AND($K89&gt;BK$7,$L89&gt;BK$7),0,AND($K89&lt;=BK$7,$L89&lt;=BK$7),1,AND($K89&lt;=BK$7,$L89&gt;BK$7),((BK$7-$K89)/($L89-$K89)))</f>
        <v>#REF!</v>
      </c>
      <c r="BM89" s="201" t="e">
        <f t="array" ref="BM89">_xlfn.IFS(AND($K89&gt;BL$7,$L89&gt;BL$7),0,AND($K89&lt;=BL$7,$L89&lt;=BL$7),1,AND($K89&lt;=BL$7,$L89&gt;BL$7),((BL$7-$K89)/($L89-$K89)))</f>
        <v>#REF!</v>
      </c>
      <c r="BN89" s="201" t="e">
        <f t="array" ref="BN89">_xlfn.IFS(AND($K89&gt;BM$7,$L89&gt;BM$7),0,AND($K89&lt;=BM$7,$L89&lt;=BM$7),1,AND($K89&lt;=BM$7,$L89&gt;BM$7),((BM$7-$K89)/($L89-$K89)))</f>
        <v>#REF!</v>
      </c>
    </row>
    <row r="90" spans="2:66" ht="15" customHeight="1" x14ac:dyDescent="0.3">
      <c r="B90" s="166" t="s">
        <v>161</v>
      </c>
      <c r="C90" s="166" t="s">
        <v>227</v>
      </c>
      <c r="D90" s="177"/>
      <c r="E90" s="170" t="str">
        <f t="shared" si="44"/>
        <v>Desenvolvimento da Transformação dos Processos</v>
      </c>
      <c r="F90" s="174" t="str">
        <f t="shared" si="41"/>
        <v>Modelagem To Be</v>
      </c>
      <c r="G90" s="166" t="str">
        <f t="shared" si="45"/>
        <v>Modelagem To Be</v>
      </c>
      <c r="H90" s="197" t="s">
        <v>228</v>
      </c>
      <c r="I90" s="166">
        <v>45845</v>
      </c>
      <c r="J90" s="166">
        <v>45849</v>
      </c>
      <c r="K90" s="166">
        <v>45845</v>
      </c>
      <c r="L90" s="166">
        <v>45849</v>
      </c>
      <c r="M90" s="167"/>
      <c r="N90" s="167" t="str">
        <f t="array" ref="N90">_xlfn.IFS(L90&lt;$M$3,"Concluído",AND(K90&gt;=$M$3,I90&lt;$M$3,L90&gt;$M$3),"Em andamento",AND(L90&gt;=$M$3,J90&lt;$M$3),"Atrasado",AND(L90&gt;=$M$3,J90&gt;=$M$3,I90&gt;$M$3,K90&lt;=$M$3),"Em andamento",AND(L90&gt;=$M$3,J90&gt;=$M$3,I90&lt;=$M$3,K90&lt;=$M$3),"Em andamento",AND(K90&gt;$M$3,I90&gt;$M$3),"Não iniciado",AND(L90&gt;=$M$3,J90&gt;=$M$3,K90&gt;=$M$3,I90&lt;$M$3),"Atrasado",AND(L90&gt;=$M$3,J90&gt;=$M$3,K90&gt;=$M$3,I90&gt;$M$3),"Não iniciado",AND($I90&lt;=$M$3,$K90&gt;$M$3),"Atrasado")</f>
        <v>Concluído</v>
      </c>
      <c r="O90" s="167">
        <f t="array" ref="O90">_xlfn.IFS(N90="Não iniciado",0,N90="Em andamento",1,N90="Concluído",2,N90="Atrasado",3)</f>
        <v>2</v>
      </c>
      <c r="P90" s="169"/>
      <c r="Q90" s="152">
        <f t="array" aca="1" ref="Q90" ca="1">_xlfn.IFS(AND($I90&lt;$N$3,$J90&lt;$N$3),1,AND($I90&lt;=$N$3,$J90&gt;=$N$3),0.5,AND($I90&gt;=$N$3,$J90&gt;=$N$3),0)</f>
        <v>1</v>
      </c>
      <c r="R90" s="152">
        <f t="array" aca="1" ref="R90" ca="1">_xlfn.IFS(AND($K90&lt;$N$3,$L90&lt;$N$3),1,AND($K90&lt;=$N$3,$L90&gt;=$N$3),0.5,AND($K90&gt;=$N$3,$L90&gt;=$N$3),0)</f>
        <v>1</v>
      </c>
      <c r="S90" s="201" t="e">
        <f t="array" ref="S90">_xlfn.IFS(AND($K90&gt;R$7,$L90&gt;R$7),0,AND($K90&lt;=R$7,$L90&lt;=R$7),1,AND($K90&lt;=R$7,$L90&gt;R$7),((R$7-$K90)/($L90-$K90)))</f>
        <v>#REF!</v>
      </c>
      <c r="T90" s="201" t="e">
        <f t="array" ref="T90">_xlfn.IFS(AND($K90&gt;S$7,$L90&gt;S$7),0,AND($K90&lt;=S$7,$L90&lt;=S$7),1,AND($K90&lt;=S$7,$L90&gt;S$7),((S$7-$K90)/($L90-$K90)))</f>
        <v>#REF!</v>
      </c>
      <c r="U90" s="201" t="e">
        <f t="array" ref="U90">_xlfn.IFS(AND($K90&gt;T$7,$L90&gt;T$7),0,AND($K90&lt;=T$7,$L90&lt;=T$7),1,AND($K90&lt;=T$7,$L90&gt;T$7),((T$7-$K90)/($L90-$K90)))</f>
        <v>#REF!</v>
      </c>
      <c r="V90" s="201" t="e">
        <f t="array" ref="V90">_xlfn.IFS(AND($K90&gt;U$7,$L90&gt;U$7),0,AND($K90&lt;=U$7,$L90&lt;=U$7),1,AND($K90&lt;=U$7,$L90&gt;U$7),((U$7-$K90)/($L90-$K90)))</f>
        <v>#REF!</v>
      </c>
      <c r="W90" s="201" t="e">
        <f t="array" ref="W90">_xlfn.IFS(AND($K90&gt;V$7,$L90&gt;V$7),0,AND($K90&lt;=V$7,$L90&lt;=V$7),1,AND($K90&lt;=V$7,$L90&gt;V$7),((V$7-$K90)/($L90-$K90)))</f>
        <v>#REF!</v>
      </c>
      <c r="X90" s="201" t="e">
        <f t="array" ref="X90">_xlfn.IFS(AND($K90&gt;W$7,$L90&gt;W$7),0,AND($K90&lt;=W$7,$L90&lt;=W$7),1,AND($K90&lt;=W$7,$L90&gt;W$7),((W$7-$K90)/($L90-$K90)))</f>
        <v>#REF!</v>
      </c>
      <c r="Y90" s="201" t="e">
        <f t="array" ref="Y90">_xlfn.IFS(AND($K90&gt;X$7,$L90&gt;X$7),0,AND($K90&lt;=X$7,$L90&lt;=X$7),1,AND($K90&lt;=X$7,$L90&gt;X$7),((X$7-$K90)/($L90-$K90)))</f>
        <v>#REF!</v>
      </c>
      <c r="Z90" s="201" t="e">
        <f t="array" ref="Z90">_xlfn.IFS(AND($K90&gt;Y$7,$L90&gt;Y$7),0,AND($K90&lt;=Y$7,$L90&lt;=Y$7),1,AND($K90&lt;=Y$7,$L90&gt;Y$7),((Y$7-$K90)/($L90-$K90)))</f>
        <v>#REF!</v>
      </c>
      <c r="AA90" s="201" t="e">
        <f t="array" ref="AA90">_xlfn.IFS(AND($K90&gt;Z$7,$L90&gt;Z$7),0,AND($K90&lt;=Z$7,$L90&lt;=Z$7),1,AND($K90&lt;=Z$7,$L90&gt;Z$7),((Z$7-$K90)/($L90-$K90)))</f>
        <v>#REF!</v>
      </c>
      <c r="AB90" s="201" t="e">
        <f t="array" ref="AB90">_xlfn.IFS(AND($K90&gt;AA$7,$L90&gt;AA$7),0,AND($K90&lt;=AA$7,$L90&lt;=AA$7),1,AND($K90&lt;=AA$7,$L90&gt;AA$7),((AA$7-$K90)/($L90-$K90)))</f>
        <v>#REF!</v>
      </c>
      <c r="AC90" s="201" t="e">
        <f t="array" ref="AC90">_xlfn.IFS(AND($K90&gt;AB$7,$L90&gt;AB$7),0,AND($K90&lt;=AB$7,$L90&lt;=AB$7),1,AND($K90&lt;=AB$7,$L90&gt;AB$7),((AB$7-$K90)/($L90-$K90)))</f>
        <v>#REF!</v>
      </c>
      <c r="AD90" s="201" t="e">
        <f t="array" ref="AD90">_xlfn.IFS(AND($K90&gt;AC$7,$L90&gt;AC$7),0,AND($K90&lt;=AC$7,$L90&lt;=AC$7),1,AND($K90&lt;=AC$7,$L90&gt;AC$7),((AC$7-$K90)/($L90-$K90)))</f>
        <v>#REF!</v>
      </c>
      <c r="AE90" s="201" t="e">
        <f t="array" ref="AE90">_xlfn.IFS(AND($K90&gt;AD$7,$L90&gt;AD$7),0,AND($K90&lt;=AD$7,$L90&lt;=AD$7),1,AND($K90&lt;=AD$7,$L90&gt;AD$7),((AD$7-$K90)/($L90-$K90)))</f>
        <v>#REF!</v>
      </c>
      <c r="AF90" s="201" t="e">
        <f t="array" ref="AF90">_xlfn.IFS(AND($K90&gt;AE$7,$L90&gt;AE$7),0,AND($K90&lt;=AE$7,$L90&lt;=AE$7),1,AND($K90&lt;=AE$7,$L90&gt;AE$7),((AE$7-$K90)/($L90-$K90)))</f>
        <v>#REF!</v>
      </c>
      <c r="AG90" s="201" t="e">
        <f t="array" ref="AG90">_xlfn.IFS(AND($K90&gt;AF$7,$L90&gt;AF$7),0,AND($K90&lt;=AF$7,$L90&lt;=AF$7),1,AND($K90&lt;=AF$7,$L90&gt;AF$7),((AF$7-$K90)/($L90-$K90)))</f>
        <v>#REF!</v>
      </c>
      <c r="AH90" s="201" t="e">
        <f t="array" ref="AH90">_xlfn.IFS(AND($K90&gt;AG$7,$L90&gt;AG$7),0,AND($K90&lt;=AG$7,$L90&lt;=AG$7),1,AND($K90&lt;=AG$7,$L90&gt;AG$7),((AG$7-$K90)/($L90-$K90)))</f>
        <v>#REF!</v>
      </c>
      <c r="AI90" s="201" t="e">
        <f t="array" ref="AI90">_xlfn.IFS(AND($K90&gt;AH$7,$L90&gt;AH$7),0,AND($K90&lt;=AH$7,$L90&lt;=AH$7),1,AND($K90&lt;=AH$7,$L90&gt;AH$7),((AH$7-$K90)/($L90-$K90)))</f>
        <v>#REF!</v>
      </c>
      <c r="AJ90" s="201" t="e">
        <f t="array" ref="AJ90">_xlfn.IFS(AND($K90&gt;AI$7,$L90&gt;AI$7),0,AND($K90&lt;=AI$7,$L90&lt;=AI$7),1,AND($K90&lt;=AI$7,$L90&gt;AI$7),((AI$7-$K90)/($L90-$K90)))</f>
        <v>#REF!</v>
      </c>
      <c r="AK90" s="201" t="e">
        <f t="array" ref="AK90">_xlfn.IFS(AND($K90&gt;AJ$7,$L90&gt;AJ$7),0,AND($K90&lt;=AJ$7,$L90&lt;=AJ$7),1,AND($K90&lt;=AJ$7,$L90&gt;AJ$7),((AJ$7-$K90)/($L90-$K90)))</f>
        <v>#REF!</v>
      </c>
      <c r="AL90" s="201" t="e">
        <f t="array" ref="AL90">_xlfn.IFS(AND($K90&gt;AK$7,$L90&gt;AK$7),0,AND($K90&lt;=AK$7,$L90&lt;=AK$7),1,AND($K90&lt;=AK$7,$L90&gt;AK$7),((AK$7-$K90)/($L90-$K90)))</f>
        <v>#REF!</v>
      </c>
      <c r="AM90" s="201" t="e">
        <f t="array" ref="AM90">_xlfn.IFS(AND($K90&gt;AL$7,$L90&gt;AL$7),0,AND($K90&lt;=AL$7,$L90&lt;=AL$7),1,AND($K90&lt;=AL$7,$L90&gt;AL$7),((AL$7-$K90)/($L90-$K90)))</f>
        <v>#REF!</v>
      </c>
      <c r="AN90" s="201" t="e">
        <f t="array" ref="AN90">_xlfn.IFS(AND($K90&gt;AM$7,$L90&gt;AM$7),0,AND($K90&lt;=AM$7,$L90&lt;=AM$7),1,AND($K90&lt;=AM$7,$L90&gt;AM$7),((AM$7-$K90)/($L90-$K90)))</f>
        <v>#REF!</v>
      </c>
      <c r="AO90" s="201" t="e">
        <f t="array" ref="AO90">_xlfn.IFS(AND($K90&gt;AN$7,$L90&gt;AN$7),0,AND($K90&lt;=AN$7,$L90&lt;=AN$7),1,AND($K90&lt;=AN$7,$L90&gt;AN$7),((AN$7-$K90)/($L90-$K90)))</f>
        <v>#REF!</v>
      </c>
      <c r="AP90" s="201" t="e">
        <f t="array" ref="AP90">_xlfn.IFS(AND($K90&gt;AO$7,$L90&gt;AO$7),0,AND($K90&lt;=AO$7,$L90&lt;=AO$7),1,AND($K90&lt;=AO$7,$L90&gt;AO$7),((AO$7-$K90)/($L90-$K90)))</f>
        <v>#REF!</v>
      </c>
      <c r="AQ90" s="201" t="e">
        <f t="array" ref="AQ90">_xlfn.IFS(AND($K90&gt;AP$7,$L90&gt;AP$7),0,AND($K90&lt;=AP$7,$L90&lt;=AP$7),1,AND($K90&lt;=AP$7,$L90&gt;AP$7),((AP$7-$K90)/($L90-$K90)))</f>
        <v>#REF!</v>
      </c>
      <c r="AR90" s="201" t="e">
        <f t="array" ref="AR90">_xlfn.IFS(AND($K90&gt;AQ$7,$L90&gt;AQ$7),0,AND($K90&lt;=AQ$7,$L90&lt;=AQ$7),1,AND($K90&lt;=AQ$7,$L90&gt;AQ$7),((AQ$7-$K90)/($L90-$K90)))</f>
        <v>#REF!</v>
      </c>
      <c r="AS90" s="201" t="e">
        <f t="array" ref="AS90">_xlfn.IFS(AND($K90&gt;AR$7,$L90&gt;AR$7),0,AND($K90&lt;=AR$7,$L90&lt;=AR$7),1,AND($K90&lt;=AR$7,$L90&gt;AR$7),((AR$7-$K90)/($L90-$K90)))</f>
        <v>#REF!</v>
      </c>
      <c r="AT90" s="201" t="e">
        <f t="array" ref="AT90">_xlfn.IFS(AND($K90&gt;AS$7,$L90&gt;AS$7),0,AND($K90&lt;=AS$7,$L90&lt;=AS$7),1,AND($K90&lt;=AS$7,$L90&gt;AS$7),((AS$7-$K90)/($L90-$K90)))</f>
        <v>#REF!</v>
      </c>
      <c r="AU90" s="201" t="e">
        <f t="array" ref="AU90">_xlfn.IFS(AND($K90&gt;AT$7,$L90&gt;AT$7),0,AND($K90&lt;=AT$7,$L90&lt;=AT$7),1,AND($K90&lt;=AT$7,$L90&gt;AT$7),((AT$7-$K90)/($L90-$K90)))</f>
        <v>#REF!</v>
      </c>
      <c r="AV90" s="201" t="e">
        <f t="array" ref="AV90">_xlfn.IFS(AND($K90&gt;AU$7,$L90&gt;AU$7),0,AND($K90&lt;=AU$7,$L90&lt;=AU$7),1,AND($K90&lt;=AU$7,$L90&gt;AU$7),((AU$7-$K90)/($L90-$K90)))</f>
        <v>#REF!</v>
      </c>
      <c r="AW90" s="201" t="e">
        <f t="array" ref="AW90">_xlfn.IFS(AND($K90&gt;AV$7,$L90&gt;AV$7),0,AND($K90&lt;=AV$7,$L90&lt;=AV$7),1,AND($K90&lt;=AV$7,$L90&gt;AV$7),((AV$7-$K90)/($L90-$K90)))</f>
        <v>#REF!</v>
      </c>
      <c r="AX90" s="201" t="e">
        <f t="array" ref="AX90">_xlfn.IFS(AND($K90&gt;AW$7,$L90&gt;AW$7),0,AND($K90&lt;=AW$7,$L90&lt;=AW$7),1,AND($K90&lt;=AW$7,$L90&gt;AW$7),((AW$7-$K90)/($L90-$K90)))</f>
        <v>#REF!</v>
      </c>
      <c r="AY90" s="201" t="e">
        <f t="array" ref="AY90">_xlfn.IFS(AND($K90&gt;AX$7,$L90&gt;AX$7),0,AND($K90&lt;=AX$7,$L90&lt;=AX$7),1,AND($K90&lt;=AX$7,$L90&gt;AX$7),((AX$7-$K90)/($L90-$K90)))</f>
        <v>#REF!</v>
      </c>
      <c r="AZ90" s="201" t="e">
        <f t="array" ref="AZ90">_xlfn.IFS(AND($K90&gt;AY$7,$L90&gt;AY$7),0,AND($K90&lt;=AY$7,$L90&lt;=AY$7),1,AND($K90&lt;=AY$7,$L90&gt;AY$7),((AY$7-$K90)/($L90-$K90)))</f>
        <v>#REF!</v>
      </c>
      <c r="BA90" s="201" t="e">
        <f t="array" ref="BA90">_xlfn.IFS(AND($K90&gt;AZ$7,$L90&gt;AZ$7),0,AND($K90&lt;=AZ$7,$L90&lt;=AZ$7),1,AND($K90&lt;=AZ$7,$L90&gt;AZ$7),((AZ$7-$K90)/($L90-$K90)))</f>
        <v>#REF!</v>
      </c>
      <c r="BB90" s="201" t="e">
        <f t="array" ref="BB90">_xlfn.IFS(AND($K90&gt;BA$7,$L90&gt;BA$7),0,AND($K90&lt;=BA$7,$L90&lt;=BA$7),1,AND($K90&lt;=BA$7,$L90&gt;BA$7),((BA$7-$K90)/($L90-$K90)))</f>
        <v>#REF!</v>
      </c>
      <c r="BC90" s="201" t="e">
        <f t="array" ref="BC90">_xlfn.IFS(AND($K90&gt;BB$7,$L90&gt;BB$7),0,AND($K90&lt;=BB$7,$L90&lt;=BB$7),1,AND($K90&lt;=BB$7,$L90&gt;BB$7),((BB$7-$K90)/($L90-$K90)))</f>
        <v>#REF!</v>
      </c>
      <c r="BD90" s="201" t="e">
        <f t="array" ref="BD90">_xlfn.IFS(AND($K90&gt;BC$7,$L90&gt;BC$7),0,AND($K90&lt;=BC$7,$L90&lt;=BC$7),1,AND($K90&lt;=BC$7,$L90&gt;BC$7),((BC$7-$K90)/($L90-$K90)))</f>
        <v>#REF!</v>
      </c>
      <c r="BE90" s="201" t="e">
        <f t="array" ref="BE90">_xlfn.IFS(AND($K90&gt;BD$7,$L90&gt;BD$7),0,AND($K90&lt;=BD$7,$L90&lt;=BD$7),1,AND($K90&lt;=BD$7,$L90&gt;BD$7),((BD$7-$K90)/($L90-$K90)))</f>
        <v>#REF!</v>
      </c>
      <c r="BF90" s="201" t="e">
        <f t="array" ref="BF90">_xlfn.IFS(AND($K90&gt;BE$7,$L90&gt;BE$7),0,AND($K90&lt;=BE$7,$L90&lt;=BE$7),1,AND($K90&lt;=BE$7,$L90&gt;BE$7),((BE$7-$K90)/($L90-$K90)))</f>
        <v>#REF!</v>
      </c>
      <c r="BG90" s="201" t="e">
        <f t="array" ref="BG90">_xlfn.IFS(AND($K90&gt;BF$7,$L90&gt;BF$7),0,AND($K90&lt;=BF$7,$L90&lt;=BF$7),1,AND($K90&lt;=BF$7,$L90&gt;BF$7),((BF$7-$K90)/($L90-$K90)))</f>
        <v>#REF!</v>
      </c>
      <c r="BH90" s="201" t="e">
        <f t="array" ref="BH90">_xlfn.IFS(AND($K90&gt;BG$7,$L90&gt;BG$7),0,AND($K90&lt;=BG$7,$L90&lt;=BG$7),1,AND($K90&lt;=BG$7,$L90&gt;BG$7),((BG$7-$K90)/($L90-$K90)))</f>
        <v>#REF!</v>
      </c>
      <c r="BI90" s="201" t="e">
        <f t="array" ref="BI90">_xlfn.IFS(AND($K90&gt;BH$7,$L90&gt;BH$7),0,AND($K90&lt;=BH$7,$L90&lt;=BH$7),1,AND($K90&lt;=BH$7,$L90&gt;BH$7),((BH$7-$K90)/($L90-$K90)))</f>
        <v>#REF!</v>
      </c>
      <c r="BJ90" s="201" t="e">
        <f t="array" ref="BJ90">_xlfn.IFS(AND($K90&gt;BI$7,$L90&gt;BI$7),0,AND($K90&lt;=BI$7,$L90&lt;=BI$7),1,AND($K90&lt;=BI$7,$L90&gt;BI$7),((BI$7-$K90)/($L90-$K90)))</f>
        <v>#REF!</v>
      </c>
      <c r="BK90" s="201" t="e">
        <f t="array" ref="BK90">_xlfn.IFS(AND($K90&gt;BJ$7,$L90&gt;BJ$7),0,AND($K90&lt;=BJ$7,$L90&lt;=BJ$7),1,AND($K90&lt;=BJ$7,$L90&gt;BJ$7),((BJ$7-$K90)/($L90-$K90)))</f>
        <v>#REF!</v>
      </c>
      <c r="BL90" s="201" t="e">
        <f t="array" ref="BL90">_xlfn.IFS(AND($K90&gt;BK$7,$L90&gt;BK$7),0,AND($K90&lt;=BK$7,$L90&lt;=BK$7),1,AND($K90&lt;=BK$7,$L90&gt;BK$7),((BK$7-$K90)/($L90-$K90)))</f>
        <v>#REF!</v>
      </c>
      <c r="BM90" s="201" t="e">
        <f t="array" ref="BM90">_xlfn.IFS(AND($K90&gt;BL$7,$L90&gt;BL$7),0,AND($K90&lt;=BL$7,$L90&lt;=BL$7),1,AND($K90&lt;=BL$7,$L90&gt;BL$7),((BL$7-$K90)/($L90-$K90)))</f>
        <v>#REF!</v>
      </c>
      <c r="BN90" s="201" t="e">
        <f t="array" ref="BN90">_xlfn.IFS(AND($K90&gt;BM$7,$L90&gt;BM$7),0,AND($K90&lt;=BM$7,$L90&lt;=BM$7),1,AND($K90&lt;=BM$7,$L90&gt;BM$7),((BM$7-$K90)/($L90-$K90)))</f>
        <v>#REF!</v>
      </c>
    </row>
    <row r="91" spans="2:66" ht="15" customHeight="1" x14ac:dyDescent="0.3">
      <c r="B91" s="166" t="s">
        <v>161</v>
      </c>
      <c r="C91" s="166" t="s">
        <v>229</v>
      </c>
      <c r="D91" s="177"/>
      <c r="E91" s="170" t="str">
        <f t="shared" si="44"/>
        <v>Desenvolvimento da Transformação dos Processos</v>
      </c>
      <c r="F91" s="174" t="str">
        <f t="shared" si="41"/>
        <v>Modelagem To Be</v>
      </c>
      <c r="G91" s="166" t="str">
        <f t="shared" si="45"/>
        <v>Modelagem To Be</v>
      </c>
      <c r="H91" s="197" t="s">
        <v>230</v>
      </c>
      <c r="I91" s="166">
        <v>45845</v>
      </c>
      <c r="J91" s="166">
        <v>45849</v>
      </c>
      <c r="K91" s="166">
        <v>45845</v>
      </c>
      <c r="L91" s="166">
        <v>45849</v>
      </c>
      <c r="M91" s="167"/>
      <c r="N91" s="167" t="str">
        <f t="array" ref="N91">_xlfn.IFS(L91&lt;$M$3,"Concluído",AND(K91&gt;=$M$3,I91&lt;$M$3,L91&gt;$M$3),"Em andamento",AND(L91&gt;=$M$3,J91&lt;$M$3),"Atrasado",AND(L91&gt;=$M$3,J91&gt;=$M$3,I91&gt;$M$3,K91&lt;=$M$3),"Em andamento",AND(L91&gt;=$M$3,J91&gt;=$M$3,I91&lt;=$M$3,K91&lt;=$M$3),"Em andamento",AND(K91&gt;$M$3,I91&gt;$M$3),"Não iniciado",AND(L91&gt;=$M$3,J91&gt;=$M$3,K91&gt;=$M$3,I91&lt;$M$3),"Atrasado",AND(L91&gt;=$M$3,J91&gt;=$M$3,K91&gt;=$M$3,I91&gt;$M$3),"Não iniciado",AND($I91&lt;=$M$3,$K91&gt;$M$3),"Atrasado")</f>
        <v>Concluído</v>
      </c>
      <c r="O91" s="167">
        <f t="array" ref="O91">_xlfn.IFS(N91="Não iniciado",0,N91="Em andamento",1,N91="Concluído",2,N91="Atrasado",3)</f>
        <v>2</v>
      </c>
      <c r="P91" s="169"/>
      <c r="Q91" s="152">
        <f t="array" aca="1" ref="Q91" ca="1">_xlfn.IFS(AND($I91&lt;$N$3,$J91&lt;$N$3),1,AND($I91&lt;=$N$3,$J91&gt;=$N$3),0.5,AND($I91&gt;=$N$3,$J91&gt;=$N$3),0)</f>
        <v>1</v>
      </c>
      <c r="R91" s="152">
        <f t="array" aca="1" ref="R91" ca="1">_xlfn.IFS(AND($K91&lt;$N$3,$L91&lt;$N$3),1,AND($K91&lt;=$N$3,$L91&gt;=$N$3),0.5,AND($K91&gt;=$N$3,$L91&gt;=$N$3),0)</f>
        <v>1</v>
      </c>
      <c r="S91" s="201" t="e">
        <f t="array" ref="S91">_xlfn.IFS(AND($K91&gt;R$7,$L91&gt;R$7),0,AND($K91&lt;=R$7,$L91&lt;=R$7),1,AND($K91&lt;=R$7,$L91&gt;R$7),((R$7-$K91)/($L91-$K91)))</f>
        <v>#REF!</v>
      </c>
      <c r="T91" s="201" t="e">
        <f t="array" ref="T91">_xlfn.IFS(AND($K91&gt;S$7,$L91&gt;S$7),0,AND($K91&lt;=S$7,$L91&lt;=S$7),1,AND($K91&lt;=S$7,$L91&gt;S$7),((S$7-$K91)/($L91-$K91)))</f>
        <v>#REF!</v>
      </c>
      <c r="U91" s="201" t="e">
        <f t="array" ref="U91">_xlfn.IFS(AND($K91&gt;T$7,$L91&gt;T$7),0,AND($K91&lt;=T$7,$L91&lt;=T$7),1,AND($K91&lt;=T$7,$L91&gt;T$7),((T$7-$K91)/($L91-$K91)))</f>
        <v>#REF!</v>
      </c>
      <c r="V91" s="201" t="e">
        <f t="array" ref="V91">_xlfn.IFS(AND($K91&gt;U$7,$L91&gt;U$7),0,AND($K91&lt;=U$7,$L91&lt;=U$7),1,AND($K91&lt;=U$7,$L91&gt;U$7),((U$7-$K91)/($L91-$K91)))</f>
        <v>#REF!</v>
      </c>
      <c r="W91" s="201" t="e">
        <f t="array" ref="W91">_xlfn.IFS(AND($K91&gt;V$7,$L91&gt;V$7),0,AND($K91&lt;=V$7,$L91&lt;=V$7),1,AND($K91&lt;=V$7,$L91&gt;V$7),((V$7-$K91)/($L91-$K91)))</f>
        <v>#REF!</v>
      </c>
      <c r="X91" s="201" t="e">
        <f t="array" ref="X91">_xlfn.IFS(AND($K91&gt;W$7,$L91&gt;W$7),0,AND($K91&lt;=W$7,$L91&lt;=W$7),1,AND($K91&lt;=W$7,$L91&gt;W$7),((W$7-$K91)/($L91-$K91)))</f>
        <v>#REF!</v>
      </c>
      <c r="Y91" s="201" t="e">
        <f t="array" ref="Y91">_xlfn.IFS(AND($K91&gt;X$7,$L91&gt;X$7),0,AND($K91&lt;=X$7,$L91&lt;=X$7),1,AND($K91&lt;=X$7,$L91&gt;X$7),((X$7-$K91)/($L91-$K91)))</f>
        <v>#REF!</v>
      </c>
      <c r="Z91" s="201" t="e">
        <f t="array" ref="Z91">_xlfn.IFS(AND($K91&gt;Y$7,$L91&gt;Y$7),0,AND($K91&lt;=Y$7,$L91&lt;=Y$7),1,AND($K91&lt;=Y$7,$L91&gt;Y$7),((Y$7-$K91)/($L91-$K91)))</f>
        <v>#REF!</v>
      </c>
      <c r="AA91" s="201" t="e">
        <f t="array" ref="AA91">_xlfn.IFS(AND($K91&gt;Z$7,$L91&gt;Z$7),0,AND($K91&lt;=Z$7,$L91&lt;=Z$7),1,AND($K91&lt;=Z$7,$L91&gt;Z$7),((Z$7-$K91)/($L91-$K91)))</f>
        <v>#REF!</v>
      </c>
      <c r="AB91" s="201" t="e">
        <f t="array" ref="AB91">_xlfn.IFS(AND($K91&gt;AA$7,$L91&gt;AA$7),0,AND($K91&lt;=AA$7,$L91&lt;=AA$7),1,AND($K91&lt;=AA$7,$L91&gt;AA$7),((AA$7-$K91)/($L91-$K91)))</f>
        <v>#REF!</v>
      </c>
      <c r="AC91" s="201" t="e">
        <f t="array" ref="AC91">_xlfn.IFS(AND($K91&gt;AB$7,$L91&gt;AB$7),0,AND($K91&lt;=AB$7,$L91&lt;=AB$7),1,AND($K91&lt;=AB$7,$L91&gt;AB$7),((AB$7-$K91)/($L91-$K91)))</f>
        <v>#REF!</v>
      </c>
      <c r="AD91" s="201" t="e">
        <f t="array" ref="AD91">_xlfn.IFS(AND($K91&gt;AC$7,$L91&gt;AC$7),0,AND($K91&lt;=AC$7,$L91&lt;=AC$7),1,AND($K91&lt;=AC$7,$L91&gt;AC$7),((AC$7-$K91)/($L91-$K91)))</f>
        <v>#REF!</v>
      </c>
      <c r="AE91" s="201" t="e">
        <f t="array" ref="AE91">_xlfn.IFS(AND($K91&gt;AD$7,$L91&gt;AD$7),0,AND($K91&lt;=AD$7,$L91&lt;=AD$7),1,AND($K91&lt;=AD$7,$L91&gt;AD$7),((AD$7-$K91)/($L91-$K91)))</f>
        <v>#REF!</v>
      </c>
      <c r="AF91" s="201" t="e">
        <f t="array" ref="AF91">_xlfn.IFS(AND($K91&gt;AE$7,$L91&gt;AE$7),0,AND($K91&lt;=AE$7,$L91&lt;=AE$7),1,AND($K91&lt;=AE$7,$L91&gt;AE$7),((AE$7-$K91)/($L91-$K91)))</f>
        <v>#REF!</v>
      </c>
      <c r="AG91" s="201" t="e">
        <f t="array" ref="AG91">_xlfn.IFS(AND($K91&gt;AF$7,$L91&gt;AF$7),0,AND($K91&lt;=AF$7,$L91&lt;=AF$7),1,AND($K91&lt;=AF$7,$L91&gt;AF$7),((AF$7-$K91)/($L91-$K91)))</f>
        <v>#REF!</v>
      </c>
      <c r="AH91" s="201" t="e">
        <f t="array" ref="AH91">_xlfn.IFS(AND($K91&gt;AG$7,$L91&gt;AG$7),0,AND($K91&lt;=AG$7,$L91&lt;=AG$7),1,AND($K91&lt;=AG$7,$L91&gt;AG$7),((AG$7-$K91)/($L91-$K91)))</f>
        <v>#REF!</v>
      </c>
      <c r="AI91" s="201" t="e">
        <f t="array" ref="AI91">_xlfn.IFS(AND($K91&gt;AH$7,$L91&gt;AH$7),0,AND($K91&lt;=AH$7,$L91&lt;=AH$7),1,AND($K91&lt;=AH$7,$L91&gt;AH$7),((AH$7-$K91)/($L91-$K91)))</f>
        <v>#REF!</v>
      </c>
      <c r="AJ91" s="201" t="e">
        <f t="array" ref="AJ91">_xlfn.IFS(AND($K91&gt;AI$7,$L91&gt;AI$7),0,AND($K91&lt;=AI$7,$L91&lt;=AI$7),1,AND($K91&lt;=AI$7,$L91&gt;AI$7),((AI$7-$K91)/($L91-$K91)))</f>
        <v>#REF!</v>
      </c>
      <c r="AK91" s="201" t="e">
        <f t="array" ref="AK91">_xlfn.IFS(AND($K91&gt;AJ$7,$L91&gt;AJ$7),0,AND($K91&lt;=AJ$7,$L91&lt;=AJ$7),1,AND($K91&lt;=AJ$7,$L91&gt;AJ$7),((AJ$7-$K91)/($L91-$K91)))</f>
        <v>#REF!</v>
      </c>
      <c r="AL91" s="201" t="e">
        <f t="array" ref="AL91">_xlfn.IFS(AND($K91&gt;AK$7,$L91&gt;AK$7),0,AND($K91&lt;=AK$7,$L91&lt;=AK$7),1,AND($K91&lt;=AK$7,$L91&gt;AK$7),((AK$7-$K91)/($L91-$K91)))</f>
        <v>#REF!</v>
      </c>
      <c r="AM91" s="201" t="e">
        <f t="array" ref="AM91">_xlfn.IFS(AND($K91&gt;AL$7,$L91&gt;AL$7),0,AND($K91&lt;=AL$7,$L91&lt;=AL$7),1,AND($K91&lt;=AL$7,$L91&gt;AL$7),((AL$7-$K91)/($L91-$K91)))</f>
        <v>#REF!</v>
      </c>
      <c r="AN91" s="201" t="e">
        <f t="array" ref="AN91">_xlfn.IFS(AND($K91&gt;AM$7,$L91&gt;AM$7),0,AND($K91&lt;=AM$7,$L91&lt;=AM$7),1,AND($K91&lt;=AM$7,$L91&gt;AM$7),((AM$7-$K91)/($L91-$K91)))</f>
        <v>#REF!</v>
      </c>
      <c r="AO91" s="201" t="e">
        <f t="array" ref="AO91">_xlfn.IFS(AND($K91&gt;AN$7,$L91&gt;AN$7),0,AND($K91&lt;=AN$7,$L91&lt;=AN$7),1,AND($K91&lt;=AN$7,$L91&gt;AN$7),((AN$7-$K91)/($L91-$K91)))</f>
        <v>#REF!</v>
      </c>
      <c r="AP91" s="201" t="e">
        <f t="array" ref="AP91">_xlfn.IFS(AND($K91&gt;AO$7,$L91&gt;AO$7),0,AND($K91&lt;=AO$7,$L91&lt;=AO$7),1,AND($K91&lt;=AO$7,$L91&gt;AO$7),((AO$7-$K91)/($L91-$K91)))</f>
        <v>#REF!</v>
      </c>
      <c r="AQ91" s="201" t="e">
        <f t="array" ref="AQ91">_xlfn.IFS(AND($K91&gt;AP$7,$L91&gt;AP$7),0,AND($K91&lt;=AP$7,$L91&lt;=AP$7),1,AND($K91&lt;=AP$7,$L91&gt;AP$7),((AP$7-$K91)/($L91-$K91)))</f>
        <v>#REF!</v>
      </c>
      <c r="AR91" s="201" t="e">
        <f t="array" ref="AR91">_xlfn.IFS(AND($K91&gt;AQ$7,$L91&gt;AQ$7),0,AND($K91&lt;=AQ$7,$L91&lt;=AQ$7),1,AND($K91&lt;=AQ$7,$L91&gt;AQ$7),((AQ$7-$K91)/($L91-$K91)))</f>
        <v>#REF!</v>
      </c>
      <c r="AS91" s="201" t="e">
        <f t="array" ref="AS91">_xlfn.IFS(AND($K91&gt;AR$7,$L91&gt;AR$7),0,AND($K91&lt;=AR$7,$L91&lt;=AR$7),1,AND($K91&lt;=AR$7,$L91&gt;AR$7),((AR$7-$K91)/($L91-$K91)))</f>
        <v>#REF!</v>
      </c>
      <c r="AT91" s="201" t="e">
        <f t="array" ref="AT91">_xlfn.IFS(AND($K91&gt;AS$7,$L91&gt;AS$7),0,AND($K91&lt;=AS$7,$L91&lt;=AS$7),1,AND($K91&lt;=AS$7,$L91&gt;AS$7),((AS$7-$K91)/($L91-$K91)))</f>
        <v>#REF!</v>
      </c>
      <c r="AU91" s="201" t="e">
        <f t="array" ref="AU91">_xlfn.IFS(AND($K91&gt;AT$7,$L91&gt;AT$7),0,AND($K91&lt;=AT$7,$L91&lt;=AT$7),1,AND($K91&lt;=AT$7,$L91&gt;AT$7),((AT$7-$K91)/($L91-$K91)))</f>
        <v>#REF!</v>
      </c>
      <c r="AV91" s="201" t="e">
        <f t="array" ref="AV91">_xlfn.IFS(AND($K91&gt;AU$7,$L91&gt;AU$7),0,AND($K91&lt;=AU$7,$L91&lt;=AU$7),1,AND($K91&lt;=AU$7,$L91&gt;AU$7),((AU$7-$K91)/($L91-$K91)))</f>
        <v>#REF!</v>
      </c>
      <c r="AW91" s="201" t="e">
        <f t="array" ref="AW91">_xlfn.IFS(AND($K91&gt;AV$7,$L91&gt;AV$7),0,AND($K91&lt;=AV$7,$L91&lt;=AV$7),1,AND($K91&lt;=AV$7,$L91&gt;AV$7),((AV$7-$K91)/($L91-$K91)))</f>
        <v>#REF!</v>
      </c>
      <c r="AX91" s="201" t="e">
        <f t="array" ref="AX91">_xlfn.IFS(AND($K91&gt;AW$7,$L91&gt;AW$7),0,AND($K91&lt;=AW$7,$L91&lt;=AW$7),1,AND($K91&lt;=AW$7,$L91&gt;AW$7),((AW$7-$K91)/($L91-$K91)))</f>
        <v>#REF!</v>
      </c>
      <c r="AY91" s="201" t="e">
        <f t="array" ref="AY91">_xlfn.IFS(AND($K91&gt;AX$7,$L91&gt;AX$7),0,AND($K91&lt;=AX$7,$L91&lt;=AX$7),1,AND($K91&lt;=AX$7,$L91&gt;AX$7),((AX$7-$K91)/($L91-$K91)))</f>
        <v>#REF!</v>
      </c>
      <c r="AZ91" s="201" t="e">
        <f t="array" ref="AZ91">_xlfn.IFS(AND($K91&gt;AY$7,$L91&gt;AY$7),0,AND($K91&lt;=AY$7,$L91&lt;=AY$7),1,AND($K91&lt;=AY$7,$L91&gt;AY$7),((AY$7-$K91)/($L91-$K91)))</f>
        <v>#REF!</v>
      </c>
      <c r="BA91" s="201" t="e">
        <f t="array" ref="BA91">_xlfn.IFS(AND($K91&gt;AZ$7,$L91&gt;AZ$7),0,AND($K91&lt;=AZ$7,$L91&lt;=AZ$7),1,AND($K91&lt;=AZ$7,$L91&gt;AZ$7),((AZ$7-$K91)/($L91-$K91)))</f>
        <v>#REF!</v>
      </c>
      <c r="BB91" s="201" t="e">
        <f t="array" ref="BB91">_xlfn.IFS(AND($K91&gt;BA$7,$L91&gt;BA$7),0,AND($K91&lt;=BA$7,$L91&lt;=BA$7),1,AND($K91&lt;=BA$7,$L91&gt;BA$7),((BA$7-$K91)/($L91-$K91)))</f>
        <v>#REF!</v>
      </c>
      <c r="BC91" s="201" t="e">
        <f t="array" ref="BC91">_xlfn.IFS(AND($K91&gt;BB$7,$L91&gt;BB$7),0,AND($K91&lt;=BB$7,$L91&lt;=BB$7),1,AND($K91&lt;=BB$7,$L91&gt;BB$7),((BB$7-$K91)/($L91-$K91)))</f>
        <v>#REF!</v>
      </c>
      <c r="BD91" s="201" t="e">
        <f t="array" ref="BD91">_xlfn.IFS(AND($K91&gt;BC$7,$L91&gt;BC$7),0,AND($K91&lt;=BC$7,$L91&lt;=BC$7),1,AND($K91&lt;=BC$7,$L91&gt;BC$7),((BC$7-$K91)/($L91-$K91)))</f>
        <v>#REF!</v>
      </c>
      <c r="BE91" s="201" t="e">
        <f t="array" ref="BE91">_xlfn.IFS(AND($K91&gt;BD$7,$L91&gt;BD$7),0,AND($K91&lt;=BD$7,$L91&lt;=BD$7),1,AND($K91&lt;=BD$7,$L91&gt;BD$7),((BD$7-$K91)/($L91-$K91)))</f>
        <v>#REF!</v>
      </c>
      <c r="BF91" s="201" t="e">
        <f t="array" ref="BF91">_xlfn.IFS(AND($K91&gt;BE$7,$L91&gt;BE$7),0,AND($K91&lt;=BE$7,$L91&lt;=BE$7),1,AND($K91&lt;=BE$7,$L91&gt;BE$7),((BE$7-$K91)/($L91-$K91)))</f>
        <v>#REF!</v>
      </c>
      <c r="BG91" s="201" t="e">
        <f t="array" ref="BG91">_xlfn.IFS(AND($K91&gt;BF$7,$L91&gt;BF$7),0,AND($K91&lt;=BF$7,$L91&lt;=BF$7),1,AND($K91&lt;=BF$7,$L91&gt;BF$7),((BF$7-$K91)/($L91-$K91)))</f>
        <v>#REF!</v>
      </c>
      <c r="BH91" s="201" t="e">
        <f t="array" ref="BH91">_xlfn.IFS(AND($K91&gt;BG$7,$L91&gt;BG$7),0,AND($K91&lt;=BG$7,$L91&lt;=BG$7),1,AND($K91&lt;=BG$7,$L91&gt;BG$7),((BG$7-$K91)/($L91-$K91)))</f>
        <v>#REF!</v>
      </c>
      <c r="BI91" s="201" t="e">
        <f t="array" ref="BI91">_xlfn.IFS(AND($K91&gt;BH$7,$L91&gt;BH$7),0,AND($K91&lt;=BH$7,$L91&lt;=BH$7),1,AND($K91&lt;=BH$7,$L91&gt;BH$7),((BH$7-$K91)/($L91-$K91)))</f>
        <v>#REF!</v>
      </c>
      <c r="BJ91" s="201" t="e">
        <f t="array" ref="BJ91">_xlfn.IFS(AND($K91&gt;BI$7,$L91&gt;BI$7),0,AND($K91&lt;=BI$7,$L91&lt;=BI$7),1,AND($K91&lt;=BI$7,$L91&gt;BI$7),((BI$7-$K91)/($L91-$K91)))</f>
        <v>#REF!</v>
      </c>
      <c r="BK91" s="201" t="e">
        <f t="array" ref="BK91">_xlfn.IFS(AND($K91&gt;BJ$7,$L91&gt;BJ$7),0,AND($K91&lt;=BJ$7,$L91&lt;=BJ$7),1,AND($K91&lt;=BJ$7,$L91&gt;BJ$7),((BJ$7-$K91)/($L91-$K91)))</f>
        <v>#REF!</v>
      </c>
      <c r="BL91" s="201" t="e">
        <f t="array" ref="BL91">_xlfn.IFS(AND($K91&gt;BK$7,$L91&gt;BK$7),0,AND($K91&lt;=BK$7,$L91&lt;=BK$7),1,AND($K91&lt;=BK$7,$L91&gt;BK$7),((BK$7-$K91)/($L91-$K91)))</f>
        <v>#REF!</v>
      </c>
      <c r="BM91" s="201" t="e">
        <f t="array" ref="BM91">_xlfn.IFS(AND($K91&gt;BL$7,$L91&gt;BL$7),0,AND($K91&lt;=BL$7,$L91&lt;=BL$7),1,AND($K91&lt;=BL$7,$L91&gt;BL$7),((BL$7-$K91)/($L91-$K91)))</f>
        <v>#REF!</v>
      </c>
      <c r="BN91" s="201" t="e">
        <f t="array" ref="BN91">_xlfn.IFS(AND($K91&gt;BM$7,$L91&gt;BM$7),0,AND($K91&lt;=BM$7,$L91&lt;=BM$7),1,AND($K91&lt;=BM$7,$L91&gt;BM$7),((BM$7-$K91)/($L91-$K91)))</f>
        <v>#REF!</v>
      </c>
    </row>
    <row r="92" spans="2:66" ht="15" customHeight="1" x14ac:dyDescent="0.3">
      <c r="B92" s="166" t="s">
        <v>161</v>
      </c>
      <c r="C92" s="166" t="s">
        <v>231</v>
      </c>
      <c r="D92" s="177"/>
      <c r="E92" s="170" t="str">
        <f t="shared" si="44"/>
        <v>Desenvolvimento da Transformação dos Processos</v>
      </c>
      <c r="F92" s="174" t="str">
        <f t="shared" si="41"/>
        <v>Modelagem To Be</v>
      </c>
      <c r="G92" s="166" t="str">
        <f t="shared" si="45"/>
        <v>Modelagem To Be</v>
      </c>
      <c r="H92" s="197" t="s">
        <v>232</v>
      </c>
      <c r="I92" s="166">
        <v>45845</v>
      </c>
      <c r="J92" s="166">
        <v>45849</v>
      </c>
      <c r="K92" s="166">
        <v>45845</v>
      </c>
      <c r="L92" s="166">
        <v>45849</v>
      </c>
      <c r="M92" s="167"/>
      <c r="N92" s="167" t="str">
        <f t="array" ref="N92">_xlfn.IFS(L92&lt;$M$3,"Concluído",AND(K92&gt;=$M$3,I92&lt;$M$3,L92&gt;$M$3),"Em andamento",AND(L92&gt;=$M$3,J92&lt;$M$3),"Atrasado",AND(L92&gt;=$M$3,J92&gt;=$M$3,I92&gt;$M$3,K92&lt;=$M$3),"Em andamento",AND(L92&gt;=$M$3,J92&gt;=$M$3,I92&lt;=$M$3,K92&lt;=$M$3),"Em andamento",AND(K92&gt;$M$3,I92&gt;$M$3),"Não iniciado",AND(L92&gt;=$M$3,J92&gt;=$M$3,K92&gt;=$M$3,I92&lt;$M$3),"Atrasado",AND(L92&gt;=$M$3,J92&gt;=$M$3,K92&gt;=$M$3,I92&gt;$M$3),"Não iniciado",AND($I92&lt;=$M$3,$K92&gt;$M$3),"Atrasado")</f>
        <v>Concluído</v>
      </c>
      <c r="O92" s="167">
        <f t="array" ref="O92">_xlfn.IFS(N92="Não iniciado",0,N92="Em andamento",1,N92="Concluído",2,N92="Atrasado",3)</f>
        <v>2</v>
      </c>
      <c r="P92" s="169"/>
      <c r="Q92" s="152">
        <f t="array" aca="1" ref="Q92" ca="1">_xlfn.IFS(AND($I92&lt;$N$3,$J92&lt;$N$3),1,AND($I92&lt;=$N$3,$J92&gt;=$N$3),0.5,AND($I92&gt;=$N$3,$J92&gt;=$N$3),0)</f>
        <v>1</v>
      </c>
      <c r="R92" s="152">
        <f t="array" aca="1" ref="R92" ca="1">_xlfn.IFS(AND($K92&lt;$N$3,$L92&lt;$N$3),1,AND($K92&lt;=$N$3,$L92&gt;=$N$3),0.5,AND($K92&gt;=$N$3,$L92&gt;=$N$3),0)</f>
        <v>1</v>
      </c>
      <c r="S92" s="201" t="e">
        <f t="array" ref="S92">_xlfn.IFS(AND($K92&gt;R$7,$L92&gt;R$7),0,AND($K92&lt;=R$7,$L92&lt;=R$7),1,AND($K92&lt;=R$7,$L92&gt;R$7),((R$7-$K92)/($L92-$K92)))</f>
        <v>#REF!</v>
      </c>
      <c r="T92" s="201" t="e">
        <f t="array" ref="T92">_xlfn.IFS(AND($K92&gt;S$7,$L92&gt;S$7),0,AND($K92&lt;=S$7,$L92&lt;=S$7),1,AND($K92&lt;=S$7,$L92&gt;S$7),((S$7-$K92)/($L92-$K92)))</f>
        <v>#REF!</v>
      </c>
      <c r="U92" s="201" t="e">
        <f t="array" ref="U92">_xlfn.IFS(AND($K92&gt;T$7,$L92&gt;T$7),0,AND($K92&lt;=T$7,$L92&lt;=T$7),1,AND($K92&lt;=T$7,$L92&gt;T$7),((T$7-$K92)/($L92-$K92)))</f>
        <v>#REF!</v>
      </c>
      <c r="V92" s="201" t="e">
        <f t="array" ref="V92">_xlfn.IFS(AND($K92&gt;U$7,$L92&gt;U$7),0,AND($K92&lt;=U$7,$L92&lt;=U$7),1,AND($K92&lt;=U$7,$L92&gt;U$7),((U$7-$K92)/($L92-$K92)))</f>
        <v>#REF!</v>
      </c>
      <c r="W92" s="201" t="e">
        <f t="array" ref="W92">_xlfn.IFS(AND($K92&gt;V$7,$L92&gt;V$7),0,AND($K92&lt;=V$7,$L92&lt;=V$7),1,AND($K92&lt;=V$7,$L92&gt;V$7),((V$7-$K92)/($L92-$K92)))</f>
        <v>#REF!</v>
      </c>
      <c r="X92" s="201" t="e">
        <f t="array" ref="X92">_xlfn.IFS(AND($K92&gt;W$7,$L92&gt;W$7),0,AND($K92&lt;=W$7,$L92&lt;=W$7),1,AND($K92&lt;=W$7,$L92&gt;W$7),((W$7-$K92)/($L92-$K92)))</f>
        <v>#REF!</v>
      </c>
      <c r="Y92" s="201" t="e">
        <f t="array" ref="Y92">_xlfn.IFS(AND($K92&gt;X$7,$L92&gt;X$7),0,AND($K92&lt;=X$7,$L92&lt;=X$7),1,AND($K92&lt;=X$7,$L92&gt;X$7),((X$7-$K92)/($L92-$K92)))</f>
        <v>#REF!</v>
      </c>
      <c r="Z92" s="201" t="e">
        <f t="array" ref="Z92">_xlfn.IFS(AND($K92&gt;Y$7,$L92&gt;Y$7),0,AND($K92&lt;=Y$7,$L92&lt;=Y$7),1,AND($K92&lt;=Y$7,$L92&gt;Y$7),((Y$7-$K92)/($L92-$K92)))</f>
        <v>#REF!</v>
      </c>
      <c r="AA92" s="201" t="e">
        <f t="array" ref="AA92">_xlfn.IFS(AND($K92&gt;Z$7,$L92&gt;Z$7),0,AND($K92&lt;=Z$7,$L92&lt;=Z$7),1,AND($K92&lt;=Z$7,$L92&gt;Z$7),((Z$7-$K92)/($L92-$K92)))</f>
        <v>#REF!</v>
      </c>
      <c r="AB92" s="201" t="e">
        <f t="array" ref="AB92">_xlfn.IFS(AND($K92&gt;AA$7,$L92&gt;AA$7),0,AND($K92&lt;=AA$7,$L92&lt;=AA$7),1,AND($K92&lt;=AA$7,$L92&gt;AA$7),((AA$7-$K92)/($L92-$K92)))</f>
        <v>#REF!</v>
      </c>
      <c r="AC92" s="201" t="e">
        <f t="array" ref="AC92">_xlfn.IFS(AND($K92&gt;AB$7,$L92&gt;AB$7),0,AND($K92&lt;=AB$7,$L92&lt;=AB$7),1,AND($K92&lt;=AB$7,$L92&gt;AB$7),((AB$7-$K92)/($L92-$K92)))</f>
        <v>#REF!</v>
      </c>
      <c r="AD92" s="201" t="e">
        <f t="array" ref="AD92">_xlfn.IFS(AND($K92&gt;AC$7,$L92&gt;AC$7),0,AND($K92&lt;=AC$7,$L92&lt;=AC$7),1,AND($K92&lt;=AC$7,$L92&gt;AC$7),((AC$7-$K92)/($L92-$K92)))</f>
        <v>#REF!</v>
      </c>
      <c r="AE92" s="201" t="e">
        <f t="array" ref="AE92">_xlfn.IFS(AND($K92&gt;AD$7,$L92&gt;AD$7),0,AND($K92&lt;=AD$7,$L92&lt;=AD$7),1,AND($K92&lt;=AD$7,$L92&gt;AD$7),((AD$7-$K92)/($L92-$K92)))</f>
        <v>#REF!</v>
      </c>
      <c r="AF92" s="201" t="e">
        <f t="array" ref="AF92">_xlfn.IFS(AND($K92&gt;AE$7,$L92&gt;AE$7),0,AND($K92&lt;=AE$7,$L92&lt;=AE$7),1,AND($K92&lt;=AE$7,$L92&gt;AE$7),((AE$7-$K92)/($L92-$K92)))</f>
        <v>#REF!</v>
      </c>
      <c r="AG92" s="201" t="e">
        <f t="array" ref="AG92">_xlfn.IFS(AND($K92&gt;AF$7,$L92&gt;AF$7),0,AND($K92&lt;=AF$7,$L92&lt;=AF$7),1,AND($K92&lt;=AF$7,$L92&gt;AF$7),((AF$7-$K92)/($L92-$K92)))</f>
        <v>#REF!</v>
      </c>
      <c r="AH92" s="201" t="e">
        <f t="array" ref="AH92">_xlfn.IFS(AND($K92&gt;AG$7,$L92&gt;AG$7),0,AND($K92&lt;=AG$7,$L92&lt;=AG$7),1,AND($K92&lt;=AG$7,$L92&gt;AG$7),((AG$7-$K92)/($L92-$K92)))</f>
        <v>#REF!</v>
      </c>
      <c r="AI92" s="201" t="e">
        <f t="array" ref="AI92">_xlfn.IFS(AND($K92&gt;AH$7,$L92&gt;AH$7),0,AND($K92&lt;=AH$7,$L92&lt;=AH$7),1,AND($K92&lt;=AH$7,$L92&gt;AH$7),((AH$7-$K92)/($L92-$K92)))</f>
        <v>#REF!</v>
      </c>
      <c r="AJ92" s="201" t="e">
        <f t="array" ref="AJ92">_xlfn.IFS(AND($K92&gt;AI$7,$L92&gt;AI$7),0,AND($K92&lt;=AI$7,$L92&lt;=AI$7),1,AND($K92&lt;=AI$7,$L92&gt;AI$7),((AI$7-$K92)/($L92-$K92)))</f>
        <v>#REF!</v>
      </c>
      <c r="AK92" s="201" t="e">
        <f t="array" ref="AK92">_xlfn.IFS(AND($K92&gt;AJ$7,$L92&gt;AJ$7),0,AND($K92&lt;=AJ$7,$L92&lt;=AJ$7),1,AND($K92&lt;=AJ$7,$L92&gt;AJ$7),((AJ$7-$K92)/($L92-$K92)))</f>
        <v>#REF!</v>
      </c>
      <c r="AL92" s="201" t="e">
        <f t="array" ref="AL92">_xlfn.IFS(AND($K92&gt;AK$7,$L92&gt;AK$7),0,AND($K92&lt;=AK$7,$L92&lt;=AK$7),1,AND($K92&lt;=AK$7,$L92&gt;AK$7),((AK$7-$K92)/($L92-$K92)))</f>
        <v>#REF!</v>
      </c>
      <c r="AM92" s="201" t="e">
        <f t="array" ref="AM92">_xlfn.IFS(AND($K92&gt;AL$7,$L92&gt;AL$7),0,AND($K92&lt;=AL$7,$L92&lt;=AL$7),1,AND($K92&lt;=AL$7,$L92&gt;AL$7),((AL$7-$K92)/($L92-$K92)))</f>
        <v>#REF!</v>
      </c>
      <c r="AN92" s="201" t="e">
        <f t="array" ref="AN92">_xlfn.IFS(AND($K92&gt;AM$7,$L92&gt;AM$7),0,AND($K92&lt;=AM$7,$L92&lt;=AM$7),1,AND($K92&lt;=AM$7,$L92&gt;AM$7),((AM$7-$K92)/($L92-$K92)))</f>
        <v>#REF!</v>
      </c>
      <c r="AO92" s="201" t="e">
        <f t="array" ref="AO92">_xlfn.IFS(AND($K92&gt;AN$7,$L92&gt;AN$7),0,AND($K92&lt;=AN$7,$L92&lt;=AN$7),1,AND($K92&lt;=AN$7,$L92&gt;AN$7),((AN$7-$K92)/($L92-$K92)))</f>
        <v>#REF!</v>
      </c>
      <c r="AP92" s="201" t="e">
        <f t="array" ref="AP92">_xlfn.IFS(AND($K92&gt;AO$7,$L92&gt;AO$7),0,AND($K92&lt;=AO$7,$L92&lt;=AO$7),1,AND($K92&lt;=AO$7,$L92&gt;AO$7),((AO$7-$K92)/($L92-$K92)))</f>
        <v>#REF!</v>
      </c>
      <c r="AQ92" s="201" t="e">
        <f t="array" ref="AQ92">_xlfn.IFS(AND($K92&gt;AP$7,$L92&gt;AP$7),0,AND($K92&lt;=AP$7,$L92&lt;=AP$7),1,AND($K92&lt;=AP$7,$L92&gt;AP$7),((AP$7-$K92)/($L92-$K92)))</f>
        <v>#REF!</v>
      </c>
      <c r="AR92" s="201" t="e">
        <f t="array" ref="AR92">_xlfn.IFS(AND($K92&gt;AQ$7,$L92&gt;AQ$7),0,AND($K92&lt;=AQ$7,$L92&lt;=AQ$7),1,AND($K92&lt;=AQ$7,$L92&gt;AQ$7),((AQ$7-$K92)/($L92-$K92)))</f>
        <v>#REF!</v>
      </c>
      <c r="AS92" s="201" t="e">
        <f t="array" ref="AS92">_xlfn.IFS(AND($K92&gt;AR$7,$L92&gt;AR$7),0,AND($K92&lt;=AR$7,$L92&lt;=AR$7),1,AND($K92&lt;=AR$7,$L92&gt;AR$7),((AR$7-$K92)/($L92-$K92)))</f>
        <v>#REF!</v>
      </c>
      <c r="AT92" s="201" t="e">
        <f t="array" ref="AT92">_xlfn.IFS(AND($K92&gt;AS$7,$L92&gt;AS$7),0,AND($K92&lt;=AS$7,$L92&lt;=AS$7),1,AND($K92&lt;=AS$7,$L92&gt;AS$7),((AS$7-$K92)/($L92-$K92)))</f>
        <v>#REF!</v>
      </c>
      <c r="AU92" s="201" t="e">
        <f t="array" ref="AU92">_xlfn.IFS(AND($K92&gt;AT$7,$L92&gt;AT$7),0,AND($K92&lt;=AT$7,$L92&lt;=AT$7),1,AND($K92&lt;=AT$7,$L92&gt;AT$7),((AT$7-$K92)/($L92-$K92)))</f>
        <v>#REF!</v>
      </c>
      <c r="AV92" s="201" t="e">
        <f t="array" ref="AV92">_xlfn.IFS(AND($K92&gt;AU$7,$L92&gt;AU$7),0,AND($K92&lt;=AU$7,$L92&lt;=AU$7),1,AND($K92&lt;=AU$7,$L92&gt;AU$7),((AU$7-$K92)/($L92-$K92)))</f>
        <v>#REF!</v>
      </c>
      <c r="AW92" s="201" t="e">
        <f t="array" ref="AW92">_xlfn.IFS(AND($K92&gt;AV$7,$L92&gt;AV$7),0,AND($K92&lt;=AV$7,$L92&lt;=AV$7),1,AND($K92&lt;=AV$7,$L92&gt;AV$7),((AV$7-$K92)/($L92-$K92)))</f>
        <v>#REF!</v>
      </c>
      <c r="AX92" s="201" t="e">
        <f t="array" ref="AX92">_xlfn.IFS(AND($K92&gt;AW$7,$L92&gt;AW$7),0,AND($K92&lt;=AW$7,$L92&lt;=AW$7),1,AND($K92&lt;=AW$7,$L92&gt;AW$7),((AW$7-$K92)/($L92-$K92)))</f>
        <v>#REF!</v>
      </c>
      <c r="AY92" s="201" t="e">
        <f t="array" ref="AY92">_xlfn.IFS(AND($K92&gt;AX$7,$L92&gt;AX$7),0,AND($K92&lt;=AX$7,$L92&lt;=AX$7),1,AND($K92&lt;=AX$7,$L92&gt;AX$7),((AX$7-$K92)/($L92-$K92)))</f>
        <v>#REF!</v>
      </c>
      <c r="AZ92" s="201" t="e">
        <f t="array" ref="AZ92">_xlfn.IFS(AND($K92&gt;AY$7,$L92&gt;AY$7),0,AND($K92&lt;=AY$7,$L92&lt;=AY$7),1,AND($K92&lt;=AY$7,$L92&gt;AY$7),((AY$7-$K92)/($L92-$K92)))</f>
        <v>#REF!</v>
      </c>
      <c r="BA92" s="201" t="e">
        <f t="array" ref="BA92">_xlfn.IFS(AND($K92&gt;AZ$7,$L92&gt;AZ$7),0,AND($K92&lt;=AZ$7,$L92&lt;=AZ$7),1,AND($K92&lt;=AZ$7,$L92&gt;AZ$7),((AZ$7-$K92)/($L92-$K92)))</f>
        <v>#REF!</v>
      </c>
      <c r="BB92" s="201" t="e">
        <f t="array" ref="BB92">_xlfn.IFS(AND($K92&gt;BA$7,$L92&gt;BA$7),0,AND($K92&lt;=BA$7,$L92&lt;=BA$7),1,AND($K92&lt;=BA$7,$L92&gt;BA$7),((BA$7-$K92)/($L92-$K92)))</f>
        <v>#REF!</v>
      </c>
      <c r="BC92" s="201" t="e">
        <f t="array" ref="BC92">_xlfn.IFS(AND($K92&gt;BB$7,$L92&gt;BB$7),0,AND($K92&lt;=BB$7,$L92&lt;=BB$7),1,AND($K92&lt;=BB$7,$L92&gt;BB$7),((BB$7-$K92)/($L92-$K92)))</f>
        <v>#REF!</v>
      </c>
      <c r="BD92" s="201" t="e">
        <f t="array" ref="BD92">_xlfn.IFS(AND($K92&gt;BC$7,$L92&gt;BC$7),0,AND($K92&lt;=BC$7,$L92&lt;=BC$7),1,AND($K92&lt;=BC$7,$L92&gt;BC$7),((BC$7-$K92)/($L92-$K92)))</f>
        <v>#REF!</v>
      </c>
      <c r="BE92" s="201" t="e">
        <f t="array" ref="BE92">_xlfn.IFS(AND($K92&gt;BD$7,$L92&gt;BD$7),0,AND($K92&lt;=BD$7,$L92&lt;=BD$7),1,AND($K92&lt;=BD$7,$L92&gt;BD$7),((BD$7-$K92)/($L92-$K92)))</f>
        <v>#REF!</v>
      </c>
      <c r="BF92" s="201" t="e">
        <f t="array" ref="BF92">_xlfn.IFS(AND($K92&gt;BE$7,$L92&gt;BE$7),0,AND($K92&lt;=BE$7,$L92&lt;=BE$7),1,AND($K92&lt;=BE$7,$L92&gt;BE$7),((BE$7-$K92)/($L92-$K92)))</f>
        <v>#REF!</v>
      </c>
      <c r="BG92" s="201" t="e">
        <f t="array" ref="BG92">_xlfn.IFS(AND($K92&gt;BF$7,$L92&gt;BF$7),0,AND($K92&lt;=BF$7,$L92&lt;=BF$7),1,AND($K92&lt;=BF$7,$L92&gt;BF$7),((BF$7-$K92)/($L92-$K92)))</f>
        <v>#REF!</v>
      </c>
      <c r="BH92" s="201" t="e">
        <f t="array" ref="BH92">_xlfn.IFS(AND($K92&gt;BG$7,$L92&gt;BG$7),0,AND($K92&lt;=BG$7,$L92&lt;=BG$7),1,AND($K92&lt;=BG$7,$L92&gt;BG$7),((BG$7-$K92)/($L92-$K92)))</f>
        <v>#REF!</v>
      </c>
      <c r="BI92" s="201" t="e">
        <f t="array" ref="BI92">_xlfn.IFS(AND($K92&gt;BH$7,$L92&gt;BH$7),0,AND($K92&lt;=BH$7,$L92&lt;=BH$7),1,AND($K92&lt;=BH$7,$L92&gt;BH$7),((BH$7-$K92)/($L92-$K92)))</f>
        <v>#REF!</v>
      </c>
      <c r="BJ92" s="201" t="e">
        <f t="array" ref="BJ92">_xlfn.IFS(AND($K92&gt;BI$7,$L92&gt;BI$7),0,AND($K92&lt;=BI$7,$L92&lt;=BI$7),1,AND($K92&lt;=BI$7,$L92&gt;BI$7),((BI$7-$K92)/($L92-$K92)))</f>
        <v>#REF!</v>
      </c>
      <c r="BK92" s="201" t="e">
        <f t="array" ref="BK92">_xlfn.IFS(AND($K92&gt;BJ$7,$L92&gt;BJ$7),0,AND($K92&lt;=BJ$7,$L92&lt;=BJ$7),1,AND($K92&lt;=BJ$7,$L92&gt;BJ$7),((BJ$7-$K92)/($L92-$K92)))</f>
        <v>#REF!</v>
      </c>
      <c r="BL92" s="201" t="e">
        <f t="array" ref="BL92">_xlfn.IFS(AND($K92&gt;BK$7,$L92&gt;BK$7),0,AND($K92&lt;=BK$7,$L92&lt;=BK$7),1,AND($K92&lt;=BK$7,$L92&gt;BK$7),((BK$7-$K92)/($L92-$K92)))</f>
        <v>#REF!</v>
      </c>
      <c r="BM92" s="201" t="e">
        <f t="array" ref="BM92">_xlfn.IFS(AND($K92&gt;BL$7,$L92&gt;BL$7),0,AND($K92&lt;=BL$7,$L92&lt;=BL$7),1,AND($K92&lt;=BL$7,$L92&gt;BL$7),((BL$7-$K92)/($L92-$K92)))</f>
        <v>#REF!</v>
      </c>
      <c r="BN92" s="201" t="e">
        <f t="array" ref="BN92">_xlfn.IFS(AND($K92&gt;BM$7,$L92&gt;BM$7),0,AND($K92&lt;=BM$7,$L92&lt;=BM$7),1,AND($K92&lt;=BM$7,$L92&gt;BM$7),((BM$7-$K92)/($L92-$K92)))</f>
        <v>#REF!</v>
      </c>
    </row>
    <row r="93" spans="2:66" ht="15" customHeight="1" x14ac:dyDescent="0.3">
      <c r="B93" s="166" t="s">
        <v>161</v>
      </c>
      <c r="C93" s="166" t="s">
        <v>233</v>
      </c>
      <c r="D93" s="177"/>
      <c r="E93" s="170" t="str">
        <f t="shared" si="44"/>
        <v>Desenvolvimento da Transformação dos Processos</v>
      </c>
      <c r="F93" s="174" t="str">
        <f t="shared" si="41"/>
        <v>Modelagem To Be</v>
      </c>
      <c r="G93" s="166" t="str">
        <f t="shared" si="45"/>
        <v>Modelagem To Be</v>
      </c>
      <c r="H93" s="197" t="s">
        <v>234</v>
      </c>
      <c r="I93" s="166">
        <v>45880</v>
      </c>
      <c r="J93" s="166">
        <v>45884</v>
      </c>
      <c r="K93" s="166">
        <v>45880</v>
      </c>
      <c r="L93" s="166">
        <v>45884</v>
      </c>
      <c r="M93" s="167"/>
      <c r="N93" s="167" t="str">
        <f t="array" ref="N93">_xlfn.IFS(L93&lt;$M$3,"Concluído",AND(K93&gt;=$M$3,I93&lt;$M$3,L93&gt;$M$3),"Em andamento",AND(L93&gt;=$M$3,J93&lt;$M$3),"Atrasado",AND(L93&gt;=$M$3,J93&gt;=$M$3,I93&gt;$M$3,K93&lt;=$M$3),"Em andamento",AND(L93&gt;=$M$3,J93&gt;=$M$3,I93&lt;=$M$3,K93&lt;=$M$3),"Em andamento",AND(K93&gt;$M$3,I93&gt;$M$3),"Não iniciado",AND(L93&gt;=$M$3,J93&gt;=$M$3,K93&gt;=$M$3,I93&lt;$M$3),"Atrasado",AND(L93&gt;=$M$3,J93&gt;=$M$3,K93&gt;=$M$3,I93&gt;$M$3),"Não iniciado",AND($I93&lt;=$M$3,$K93&gt;$M$3),"Atrasado")</f>
        <v>Concluído</v>
      </c>
      <c r="O93" s="167">
        <f t="array" ref="O93">_xlfn.IFS(N93="Não iniciado",0,N93="Em andamento",1,N93="Concluído",2,N93="Atrasado",3)</f>
        <v>2</v>
      </c>
      <c r="P93" s="169"/>
      <c r="Q93" s="152">
        <f t="array" aca="1" ref="Q93" ca="1">_xlfn.IFS(AND($I93&lt;$N$3,$J93&lt;$N$3),1,AND($I93&lt;=$N$3,$J93&gt;=$N$3),0.5,AND($I93&gt;=$N$3,$J93&gt;=$N$3),0)</f>
        <v>1</v>
      </c>
      <c r="R93" s="152">
        <f t="array" aca="1" ref="R93" ca="1">_xlfn.IFS(AND($K93&lt;$N$3,$L93&lt;$N$3),1,AND($K93&lt;=$N$3,$L93&gt;=$N$3),0.5,AND($K93&gt;=$N$3,$L93&gt;=$N$3),0)</f>
        <v>1</v>
      </c>
      <c r="S93" s="201" t="e">
        <f t="array" ref="S93">_xlfn.IFS(AND($K93&gt;R$7,$L93&gt;R$7),0,AND($K93&lt;=R$7,$L93&lt;=R$7),1,AND($K93&lt;=R$7,$L93&gt;R$7),((R$7-$K93)/($L93-$K93)))</f>
        <v>#REF!</v>
      </c>
      <c r="T93" s="201" t="e">
        <f t="array" ref="T93">_xlfn.IFS(AND($K93&gt;S$7,$L93&gt;S$7),0,AND($K93&lt;=S$7,$L93&lt;=S$7),1,AND($K93&lt;=S$7,$L93&gt;S$7),((S$7-$K93)/($L93-$K93)))</f>
        <v>#REF!</v>
      </c>
      <c r="U93" s="201" t="e">
        <f t="array" ref="U93">_xlfn.IFS(AND($K93&gt;T$7,$L93&gt;T$7),0,AND($K93&lt;=T$7,$L93&lt;=T$7),1,AND($K93&lt;=T$7,$L93&gt;T$7),((T$7-$K93)/($L93-$K93)))</f>
        <v>#REF!</v>
      </c>
      <c r="V93" s="201" t="e">
        <f t="array" ref="V93">_xlfn.IFS(AND($K93&gt;U$7,$L93&gt;U$7),0,AND($K93&lt;=U$7,$L93&lt;=U$7),1,AND($K93&lt;=U$7,$L93&gt;U$7),((U$7-$K93)/($L93-$K93)))</f>
        <v>#REF!</v>
      </c>
      <c r="W93" s="201" t="e">
        <f t="array" ref="W93">_xlfn.IFS(AND($K93&gt;V$7,$L93&gt;V$7),0,AND($K93&lt;=V$7,$L93&lt;=V$7),1,AND($K93&lt;=V$7,$L93&gt;V$7),((V$7-$K93)/($L93-$K93)))</f>
        <v>#REF!</v>
      </c>
      <c r="X93" s="201" t="e">
        <f t="array" ref="X93">_xlfn.IFS(AND($K93&gt;W$7,$L93&gt;W$7),0,AND($K93&lt;=W$7,$L93&lt;=W$7),1,AND($K93&lt;=W$7,$L93&gt;W$7),((W$7-$K93)/($L93-$K93)))</f>
        <v>#REF!</v>
      </c>
      <c r="Y93" s="201" t="e">
        <f t="array" ref="Y93">_xlfn.IFS(AND($K93&gt;X$7,$L93&gt;X$7),0,AND($K93&lt;=X$7,$L93&lt;=X$7),1,AND($K93&lt;=X$7,$L93&gt;X$7),((X$7-$K93)/($L93-$K93)))</f>
        <v>#REF!</v>
      </c>
      <c r="Z93" s="201" t="e">
        <f t="array" ref="Z93">_xlfn.IFS(AND($K93&gt;Y$7,$L93&gt;Y$7),0,AND($K93&lt;=Y$7,$L93&lt;=Y$7),1,AND($K93&lt;=Y$7,$L93&gt;Y$7),((Y$7-$K93)/($L93-$K93)))</f>
        <v>#REF!</v>
      </c>
      <c r="AA93" s="201" t="e">
        <f t="array" ref="AA93">_xlfn.IFS(AND($K93&gt;Z$7,$L93&gt;Z$7),0,AND($K93&lt;=Z$7,$L93&lt;=Z$7),1,AND($K93&lt;=Z$7,$L93&gt;Z$7),((Z$7-$K93)/($L93-$K93)))</f>
        <v>#REF!</v>
      </c>
      <c r="AB93" s="201" t="e">
        <f t="array" ref="AB93">_xlfn.IFS(AND($K93&gt;AA$7,$L93&gt;AA$7),0,AND($K93&lt;=AA$7,$L93&lt;=AA$7),1,AND($K93&lt;=AA$7,$L93&gt;AA$7),((AA$7-$K93)/($L93-$K93)))</f>
        <v>#REF!</v>
      </c>
      <c r="AC93" s="201" t="e">
        <f t="array" ref="AC93">_xlfn.IFS(AND($K93&gt;AB$7,$L93&gt;AB$7),0,AND($K93&lt;=AB$7,$L93&lt;=AB$7),1,AND($K93&lt;=AB$7,$L93&gt;AB$7),((AB$7-$K93)/($L93-$K93)))</f>
        <v>#REF!</v>
      </c>
      <c r="AD93" s="201" t="e">
        <f t="array" ref="AD93">_xlfn.IFS(AND($K93&gt;AC$7,$L93&gt;AC$7),0,AND($K93&lt;=AC$7,$L93&lt;=AC$7),1,AND($K93&lt;=AC$7,$L93&gt;AC$7),((AC$7-$K93)/($L93-$K93)))</f>
        <v>#REF!</v>
      </c>
      <c r="AE93" s="201" t="e">
        <f t="array" ref="AE93">_xlfn.IFS(AND($K93&gt;AD$7,$L93&gt;AD$7),0,AND($K93&lt;=AD$7,$L93&lt;=AD$7),1,AND($K93&lt;=AD$7,$L93&gt;AD$7),((AD$7-$K93)/($L93-$K93)))</f>
        <v>#REF!</v>
      </c>
      <c r="AF93" s="201" t="e">
        <f t="array" ref="AF93">_xlfn.IFS(AND($K93&gt;AE$7,$L93&gt;AE$7),0,AND($K93&lt;=AE$7,$L93&lt;=AE$7),1,AND($K93&lt;=AE$7,$L93&gt;AE$7),((AE$7-$K93)/($L93-$K93)))</f>
        <v>#REF!</v>
      </c>
      <c r="AG93" s="201" t="e">
        <f t="array" ref="AG93">_xlfn.IFS(AND($K93&gt;AF$7,$L93&gt;AF$7),0,AND($K93&lt;=AF$7,$L93&lt;=AF$7),1,AND($K93&lt;=AF$7,$L93&gt;AF$7),((AF$7-$K93)/($L93-$K93)))</f>
        <v>#REF!</v>
      </c>
      <c r="AH93" s="201" t="e">
        <f t="array" ref="AH93">_xlfn.IFS(AND($K93&gt;AG$7,$L93&gt;AG$7),0,AND($K93&lt;=AG$7,$L93&lt;=AG$7),1,AND($K93&lt;=AG$7,$L93&gt;AG$7),((AG$7-$K93)/($L93-$K93)))</f>
        <v>#REF!</v>
      </c>
      <c r="AI93" s="201" t="e">
        <f t="array" ref="AI93">_xlfn.IFS(AND($K93&gt;AH$7,$L93&gt;AH$7),0,AND($K93&lt;=AH$7,$L93&lt;=AH$7),1,AND($K93&lt;=AH$7,$L93&gt;AH$7),((AH$7-$K93)/($L93-$K93)))</f>
        <v>#REF!</v>
      </c>
      <c r="AJ93" s="201" t="e">
        <f t="array" ref="AJ93">_xlfn.IFS(AND($K93&gt;AI$7,$L93&gt;AI$7),0,AND($K93&lt;=AI$7,$L93&lt;=AI$7),1,AND($K93&lt;=AI$7,$L93&gt;AI$7),((AI$7-$K93)/($L93-$K93)))</f>
        <v>#REF!</v>
      </c>
      <c r="AK93" s="201" t="e">
        <f t="array" ref="AK93">_xlfn.IFS(AND($K93&gt;AJ$7,$L93&gt;AJ$7),0,AND($K93&lt;=AJ$7,$L93&lt;=AJ$7),1,AND($K93&lt;=AJ$7,$L93&gt;AJ$7),((AJ$7-$K93)/($L93-$K93)))</f>
        <v>#REF!</v>
      </c>
      <c r="AL93" s="201" t="e">
        <f t="array" ref="AL93">_xlfn.IFS(AND($K93&gt;AK$7,$L93&gt;AK$7),0,AND($K93&lt;=AK$7,$L93&lt;=AK$7),1,AND($K93&lt;=AK$7,$L93&gt;AK$7),((AK$7-$K93)/($L93-$K93)))</f>
        <v>#REF!</v>
      </c>
      <c r="AM93" s="201" t="e">
        <f t="array" ref="AM93">_xlfn.IFS(AND($K93&gt;AL$7,$L93&gt;AL$7),0,AND($K93&lt;=AL$7,$L93&lt;=AL$7),1,AND($K93&lt;=AL$7,$L93&gt;AL$7),((AL$7-$K93)/($L93-$K93)))</f>
        <v>#REF!</v>
      </c>
      <c r="AN93" s="201" t="e">
        <f t="array" ref="AN93">_xlfn.IFS(AND($K93&gt;AM$7,$L93&gt;AM$7),0,AND($K93&lt;=AM$7,$L93&lt;=AM$7),1,AND($K93&lt;=AM$7,$L93&gt;AM$7),((AM$7-$K93)/($L93-$K93)))</f>
        <v>#REF!</v>
      </c>
      <c r="AO93" s="201" t="e">
        <f t="array" ref="AO93">_xlfn.IFS(AND($K93&gt;AN$7,$L93&gt;AN$7),0,AND($K93&lt;=AN$7,$L93&lt;=AN$7),1,AND($K93&lt;=AN$7,$L93&gt;AN$7),((AN$7-$K93)/($L93-$K93)))</f>
        <v>#REF!</v>
      </c>
      <c r="AP93" s="201" t="e">
        <f t="array" ref="AP93">_xlfn.IFS(AND($K93&gt;AO$7,$L93&gt;AO$7),0,AND($K93&lt;=AO$7,$L93&lt;=AO$7),1,AND($K93&lt;=AO$7,$L93&gt;AO$7),((AO$7-$K93)/($L93-$K93)))</f>
        <v>#REF!</v>
      </c>
      <c r="AQ93" s="201" t="e">
        <f t="array" ref="AQ93">_xlfn.IFS(AND($K93&gt;AP$7,$L93&gt;AP$7),0,AND($K93&lt;=AP$7,$L93&lt;=AP$7),1,AND($K93&lt;=AP$7,$L93&gt;AP$7),((AP$7-$K93)/($L93-$K93)))</f>
        <v>#REF!</v>
      </c>
      <c r="AR93" s="201" t="e">
        <f t="array" ref="AR93">_xlfn.IFS(AND($K93&gt;AQ$7,$L93&gt;AQ$7),0,AND($K93&lt;=AQ$7,$L93&lt;=AQ$7),1,AND($K93&lt;=AQ$7,$L93&gt;AQ$7),((AQ$7-$K93)/($L93-$K93)))</f>
        <v>#REF!</v>
      </c>
      <c r="AS93" s="201" t="e">
        <f t="array" ref="AS93">_xlfn.IFS(AND($K93&gt;AR$7,$L93&gt;AR$7),0,AND($K93&lt;=AR$7,$L93&lt;=AR$7),1,AND($K93&lt;=AR$7,$L93&gt;AR$7),((AR$7-$K93)/($L93-$K93)))</f>
        <v>#REF!</v>
      </c>
      <c r="AT93" s="201" t="e">
        <f t="array" ref="AT93">_xlfn.IFS(AND($K93&gt;AS$7,$L93&gt;AS$7),0,AND($K93&lt;=AS$7,$L93&lt;=AS$7),1,AND($K93&lt;=AS$7,$L93&gt;AS$7),((AS$7-$K93)/($L93-$K93)))</f>
        <v>#REF!</v>
      </c>
      <c r="AU93" s="201" t="e">
        <f t="array" ref="AU93">_xlfn.IFS(AND($K93&gt;AT$7,$L93&gt;AT$7),0,AND($K93&lt;=AT$7,$L93&lt;=AT$7),1,AND($K93&lt;=AT$7,$L93&gt;AT$7),((AT$7-$K93)/($L93-$K93)))</f>
        <v>#REF!</v>
      </c>
      <c r="AV93" s="201" t="e">
        <f t="array" ref="AV93">_xlfn.IFS(AND($K93&gt;AU$7,$L93&gt;AU$7),0,AND($K93&lt;=AU$7,$L93&lt;=AU$7),1,AND($K93&lt;=AU$7,$L93&gt;AU$7),((AU$7-$K93)/($L93-$K93)))</f>
        <v>#REF!</v>
      </c>
      <c r="AW93" s="201" t="e">
        <f t="array" ref="AW93">_xlfn.IFS(AND($K93&gt;AV$7,$L93&gt;AV$7),0,AND($K93&lt;=AV$7,$L93&lt;=AV$7),1,AND($K93&lt;=AV$7,$L93&gt;AV$7),((AV$7-$K93)/($L93-$K93)))</f>
        <v>#REF!</v>
      </c>
      <c r="AX93" s="201" t="e">
        <f t="array" ref="AX93">_xlfn.IFS(AND($K93&gt;AW$7,$L93&gt;AW$7),0,AND($K93&lt;=AW$7,$L93&lt;=AW$7),1,AND($K93&lt;=AW$7,$L93&gt;AW$7),((AW$7-$K93)/($L93-$K93)))</f>
        <v>#REF!</v>
      </c>
      <c r="AY93" s="201" t="e">
        <f t="array" ref="AY93">_xlfn.IFS(AND($K93&gt;AX$7,$L93&gt;AX$7),0,AND($K93&lt;=AX$7,$L93&lt;=AX$7),1,AND($K93&lt;=AX$7,$L93&gt;AX$7),((AX$7-$K93)/($L93-$K93)))</f>
        <v>#REF!</v>
      </c>
      <c r="AZ93" s="201" t="e">
        <f t="array" ref="AZ93">_xlfn.IFS(AND($K93&gt;AY$7,$L93&gt;AY$7),0,AND($K93&lt;=AY$7,$L93&lt;=AY$7),1,AND($K93&lt;=AY$7,$L93&gt;AY$7),((AY$7-$K93)/($L93-$K93)))</f>
        <v>#REF!</v>
      </c>
      <c r="BA93" s="201" t="e">
        <f t="array" ref="BA93">_xlfn.IFS(AND($K93&gt;AZ$7,$L93&gt;AZ$7),0,AND($K93&lt;=AZ$7,$L93&lt;=AZ$7),1,AND($K93&lt;=AZ$7,$L93&gt;AZ$7),((AZ$7-$K93)/($L93-$K93)))</f>
        <v>#REF!</v>
      </c>
      <c r="BB93" s="201" t="e">
        <f t="array" ref="BB93">_xlfn.IFS(AND($K93&gt;BA$7,$L93&gt;BA$7),0,AND($K93&lt;=BA$7,$L93&lt;=BA$7),1,AND($K93&lt;=BA$7,$L93&gt;BA$7),((BA$7-$K93)/($L93-$K93)))</f>
        <v>#REF!</v>
      </c>
      <c r="BC93" s="201" t="e">
        <f t="array" ref="BC93">_xlfn.IFS(AND($K93&gt;BB$7,$L93&gt;BB$7),0,AND($K93&lt;=BB$7,$L93&lt;=BB$7),1,AND($K93&lt;=BB$7,$L93&gt;BB$7),((BB$7-$K93)/($L93-$K93)))</f>
        <v>#REF!</v>
      </c>
      <c r="BD93" s="201" t="e">
        <f t="array" ref="BD93">_xlfn.IFS(AND($K93&gt;BC$7,$L93&gt;BC$7),0,AND($K93&lt;=BC$7,$L93&lt;=BC$7),1,AND($K93&lt;=BC$7,$L93&gt;BC$7),((BC$7-$K93)/($L93-$K93)))</f>
        <v>#REF!</v>
      </c>
      <c r="BE93" s="201" t="e">
        <f t="array" ref="BE93">_xlfn.IFS(AND($K93&gt;BD$7,$L93&gt;BD$7),0,AND($K93&lt;=BD$7,$L93&lt;=BD$7),1,AND($K93&lt;=BD$7,$L93&gt;BD$7),((BD$7-$K93)/($L93-$K93)))</f>
        <v>#REF!</v>
      </c>
      <c r="BF93" s="201" t="e">
        <f t="array" ref="BF93">_xlfn.IFS(AND($K93&gt;BE$7,$L93&gt;BE$7),0,AND($K93&lt;=BE$7,$L93&lt;=BE$7),1,AND($K93&lt;=BE$7,$L93&gt;BE$7),((BE$7-$K93)/($L93-$K93)))</f>
        <v>#REF!</v>
      </c>
      <c r="BG93" s="201" t="e">
        <f t="array" ref="BG93">_xlfn.IFS(AND($K93&gt;BF$7,$L93&gt;BF$7),0,AND($K93&lt;=BF$7,$L93&lt;=BF$7),1,AND($K93&lt;=BF$7,$L93&gt;BF$7),((BF$7-$K93)/($L93-$K93)))</f>
        <v>#REF!</v>
      </c>
      <c r="BH93" s="201" t="e">
        <f t="array" ref="BH93">_xlfn.IFS(AND($K93&gt;BG$7,$L93&gt;BG$7),0,AND($K93&lt;=BG$7,$L93&lt;=BG$7),1,AND($K93&lt;=BG$7,$L93&gt;BG$7),((BG$7-$K93)/($L93-$K93)))</f>
        <v>#REF!</v>
      </c>
      <c r="BI93" s="201" t="e">
        <f t="array" ref="BI93">_xlfn.IFS(AND($K93&gt;BH$7,$L93&gt;BH$7),0,AND($K93&lt;=BH$7,$L93&lt;=BH$7),1,AND($K93&lt;=BH$7,$L93&gt;BH$7),((BH$7-$K93)/($L93-$K93)))</f>
        <v>#REF!</v>
      </c>
      <c r="BJ93" s="201" t="e">
        <f t="array" ref="BJ93">_xlfn.IFS(AND($K93&gt;BI$7,$L93&gt;BI$7),0,AND($K93&lt;=BI$7,$L93&lt;=BI$7),1,AND($K93&lt;=BI$7,$L93&gt;BI$7),((BI$7-$K93)/($L93-$K93)))</f>
        <v>#REF!</v>
      </c>
      <c r="BK93" s="201" t="e">
        <f t="array" ref="BK93">_xlfn.IFS(AND($K93&gt;BJ$7,$L93&gt;BJ$7),0,AND($K93&lt;=BJ$7,$L93&lt;=BJ$7),1,AND($K93&lt;=BJ$7,$L93&gt;BJ$7),((BJ$7-$K93)/($L93-$K93)))</f>
        <v>#REF!</v>
      </c>
      <c r="BL93" s="201" t="e">
        <f t="array" ref="BL93">_xlfn.IFS(AND($K93&gt;BK$7,$L93&gt;BK$7),0,AND($K93&lt;=BK$7,$L93&lt;=BK$7),1,AND($K93&lt;=BK$7,$L93&gt;BK$7),((BK$7-$K93)/($L93-$K93)))</f>
        <v>#REF!</v>
      </c>
      <c r="BM93" s="201" t="e">
        <f t="array" ref="BM93">_xlfn.IFS(AND($K93&gt;BL$7,$L93&gt;BL$7),0,AND($K93&lt;=BL$7,$L93&lt;=BL$7),1,AND($K93&lt;=BL$7,$L93&gt;BL$7),((BL$7-$K93)/($L93-$K93)))</f>
        <v>#REF!</v>
      </c>
      <c r="BN93" s="201" t="e">
        <f t="array" ref="BN93">_xlfn.IFS(AND($K93&gt;BM$7,$L93&gt;BM$7),0,AND($K93&lt;=BM$7,$L93&lt;=BM$7),1,AND($K93&lt;=BM$7,$L93&gt;BM$7),((BM$7-$K93)/($L93-$K93)))</f>
        <v>#REF!</v>
      </c>
    </row>
    <row r="94" spans="2:66" ht="15" customHeight="1" x14ac:dyDescent="0.3">
      <c r="B94" s="166" t="s">
        <v>161</v>
      </c>
      <c r="C94" s="166" t="s">
        <v>235</v>
      </c>
      <c r="D94" s="177"/>
      <c r="E94" s="170" t="str">
        <f t="shared" si="44"/>
        <v>Desenvolvimento da Transformação dos Processos</v>
      </c>
      <c r="F94" s="174" t="str">
        <f t="shared" si="41"/>
        <v>Modelagem To Be</v>
      </c>
      <c r="G94" s="166" t="str">
        <f t="shared" si="45"/>
        <v>Modelagem To Be</v>
      </c>
      <c r="H94" s="197" t="s">
        <v>236</v>
      </c>
      <c r="I94" s="166">
        <v>45880</v>
      </c>
      <c r="J94" s="166">
        <v>45884</v>
      </c>
      <c r="K94" s="166">
        <v>45880</v>
      </c>
      <c r="L94" s="166">
        <v>45884</v>
      </c>
      <c r="M94" s="167"/>
      <c r="N94" s="167" t="str">
        <f t="array" ref="N94">_xlfn.IFS(L94&lt;$M$3,"Concluído",AND(K94&gt;=$M$3,I94&lt;$M$3,L94&gt;$M$3),"Em andamento",AND(L94&gt;=$M$3,J94&lt;$M$3),"Atrasado",AND(L94&gt;=$M$3,J94&gt;=$M$3,I94&gt;$M$3,K94&lt;=$M$3),"Em andamento",AND(L94&gt;=$M$3,J94&gt;=$M$3,I94&lt;=$M$3,K94&lt;=$M$3),"Em andamento",AND(K94&gt;$M$3,I94&gt;$M$3),"Não iniciado",AND(L94&gt;=$M$3,J94&gt;=$M$3,K94&gt;=$M$3,I94&lt;$M$3),"Atrasado",AND(L94&gt;=$M$3,J94&gt;=$M$3,K94&gt;=$M$3,I94&gt;$M$3),"Não iniciado",AND($I94&lt;=$M$3,$K94&gt;$M$3),"Atrasado")</f>
        <v>Concluído</v>
      </c>
      <c r="O94" s="167">
        <f t="array" ref="O94">_xlfn.IFS(N94="Não iniciado",0,N94="Em andamento",1,N94="Concluído",2,N94="Atrasado",3)</f>
        <v>2</v>
      </c>
      <c r="P94" s="169"/>
      <c r="Q94" s="152">
        <f t="array" aca="1" ref="Q94" ca="1">_xlfn.IFS(AND($I94&lt;$N$3,$J94&lt;$N$3),1,AND($I94&lt;=$N$3,$J94&gt;=$N$3),0.5,AND($I94&gt;=$N$3,$J94&gt;=$N$3),0)</f>
        <v>1</v>
      </c>
      <c r="R94" s="152">
        <f t="array" aca="1" ref="R94" ca="1">_xlfn.IFS(AND($K94&lt;$N$3,$L94&lt;$N$3),1,AND($K94&lt;=$N$3,$L94&gt;=$N$3),0.5,AND($K94&gt;=$N$3,$L94&gt;=$N$3),0)</f>
        <v>1</v>
      </c>
      <c r="S94" s="201" t="e">
        <f t="array" ref="S94">_xlfn.IFS(AND($K94&gt;R$7,$L94&gt;R$7),0,AND($K94&lt;=R$7,$L94&lt;=R$7),1,AND($K94&lt;=R$7,$L94&gt;R$7),((R$7-$K94)/($L94-$K94)))</f>
        <v>#REF!</v>
      </c>
      <c r="T94" s="201" t="e">
        <f t="array" ref="T94">_xlfn.IFS(AND($K94&gt;S$7,$L94&gt;S$7),0,AND($K94&lt;=S$7,$L94&lt;=S$7),1,AND($K94&lt;=S$7,$L94&gt;S$7),((S$7-$K94)/($L94-$K94)))</f>
        <v>#REF!</v>
      </c>
      <c r="U94" s="201" t="e">
        <f t="array" ref="U94">_xlfn.IFS(AND($K94&gt;T$7,$L94&gt;T$7),0,AND($K94&lt;=T$7,$L94&lt;=T$7),1,AND($K94&lt;=T$7,$L94&gt;T$7),((T$7-$K94)/($L94-$K94)))</f>
        <v>#REF!</v>
      </c>
      <c r="V94" s="201" t="e">
        <f t="array" ref="V94">_xlfn.IFS(AND($K94&gt;U$7,$L94&gt;U$7),0,AND($K94&lt;=U$7,$L94&lt;=U$7),1,AND($K94&lt;=U$7,$L94&gt;U$7),((U$7-$K94)/($L94-$K94)))</f>
        <v>#REF!</v>
      </c>
      <c r="W94" s="201" t="e">
        <f t="array" ref="W94">_xlfn.IFS(AND($K94&gt;V$7,$L94&gt;V$7),0,AND($K94&lt;=V$7,$L94&lt;=V$7),1,AND($K94&lt;=V$7,$L94&gt;V$7),((V$7-$K94)/($L94-$K94)))</f>
        <v>#REF!</v>
      </c>
      <c r="X94" s="201" t="e">
        <f t="array" ref="X94">_xlfn.IFS(AND($K94&gt;W$7,$L94&gt;W$7),0,AND($K94&lt;=W$7,$L94&lt;=W$7),1,AND($K94&lt;=W$7,$L94&gt;W$7),((W$7-$K94)/($L94-$K94)))</f>
        <v>#REF!</v>
      </c>
      <c r="Y94" s="201" t="e">
        <f t="array" ref="Y94">_xlfn.IFS(AND($K94&gt;X$7,$L94&gt;X$7),0,AND($K94&lt;=X$7,$L94&lt;=X$7),1,AND($K94&lt;=X$7,$L94&gt;X$7),((X$7-$K94)/($L94-$K94)))</f>
        <v>#REF!</v>
      </c>
      <c r="Z94" s="201" t="e">
        <f t="array" ref="Z94">_xlfn.IFS(AND($K94&gt;Y$7,$L94&gt;Y$7),0,AND($K94&lt;=Y$7,$L94&lt;=Y$7),1,AND($K94&lt;=Y$7,$L94&gt;Y$7),((Y$7-$K94)/($L94-$K94)))</f>
        <v>#REF!</v>
      </c>
      <c r="AA94" s="201" t="e">
        <f t="array" ref="AA94">_xlfn.IFS(AND($K94&gt;Z$7,$L94&gt;Z$7),0,AND($K94&lt;=Z$7,$L94&lt;=Z$7),1,AND($K94&lt;=Z$7,$L94&gt;Z$7),((Z$7-$K94)/($L94-$K94)))</f>
        <v>#REF!</v>
      </c>
      <c r="AB94" s="201" t="e">
        <f t="array" ref="AB94">_xlfn.IFS(AND($K94&gt;AA$7,$L94&gt;AA$7),0,AND($K94&lt;=AA$7,$L94&lt;=AA$7),1,AND($K94&lt;=AA$7,$L94&gt;AA$7),((AA$7-$K94)/($L94-$K94)))</f>
        <v>#REF!</v>
      </c>
      <c r="AC94" s="201" t="e">
        <f t="array" ref="AC94">_xlfn.IFS(AND($K94&gt;AB$7,$L94&gt;AB$7),0,AND($K94&lt;=AB$7,$L94&lt;=AB$7),1,AND($K94&lt;=AB$7,$L94&gt;AB$7),((AB$7-$K94)/($L94-$K94)))</f>
        <v>#REF!</v>
      </c>
      <c r="AD94" s="201" t="e">
        <f t="array" ref="AD94">_xlfn.IFS(AND($K94&gt;AC$7,$L94&gt;AC$7),0,AND($K94&lt;=AC$7,$L94&lt;=AC$7),1,AND($K94&lt;=AC$7,$L94&gt;AC$7),((AC$7-$K94)/($L94-$K94)))</f>
        <v>#REF!</v>
      </c>
      <c r="AE94" s="201" t="e">
        <f t="array" ref="AE94">_xlfn.IFS(AND($K94&gt;AD$7,$L94&gt;AD$7),0,AND($K94&lt;=AD$7,$L94&lt;=AD$7),1,AND($K94&lt;=AD$7,$L94&gt;AD$7),((AD$7-$K94)/($L94-$K94)))</f>
        <v>#REF!</v>
      </c>
      <c r="AF94" s="201" t="e">
        <f t="array" ref="AF94">_xlfn.IFS(AND($K94&gt;AE$7,$L94&gt;AE$7),0,AND($K94&lt;=AE$7,$L94&lt;=AE$7),1,AND($K94&lt;=AE$7,$L94&gt;AE$7),((AE$7-$K94)/($L94-$K94)))</f>
        <v>#REF!</v>
      </c>
      <c r="AG94" s="201" t="e">
        <f t="array" ref="AG94">_xlfn.IFS(AND($K94&gt;AF$7,$L94&gt;AF$7),0,AND($K94&lt;=AF$7,$L94&lt;=AF$7),1,AND($K94&lt;=AF$7,$L94&gt;AF$7),((AF$7-$K94)/($L94-$K94)))</f>
        <v>#REF!</v>
      </c>
      <c r="AH94" s="201" t="e">
        <f t="array" ref="AH94">_xlfn.IFS(AND($K94&gt;AG$7,$L94&gt;AG$7),0,AND($K94&lt;=AG$7,$L94&lt;=AG$7),1,AND($K94&lt;=AG$7,$L94&gt;AG$7),((AG$7-$K94)/($L94-$K94)))</f>
        <v>#REF!</v>
      </c>
      <c r="AI94" s="201" t="e">
        <f t="array" ref="AI94">_xlfn.IFS(AND($K94&gt;AH$7,$L94&gt;AH$7),0,AND($K94&lt;=AH$7,$L94&lt;=AH$7),1,AND($K94&lt;=AH$7,$L94&gt;AH$7),((AH$7-$K94)/($L94-$K94)))</f>
        <v>#REF!</v>
      </c>
      <c r="AJ94" s="201" t="e">
        <f t="array" ref="AJ94">_xlfn.IFS(AND($K94&gt;AI$7,$L94&gt;AI$7),0,AND($K94&lt;=AI$7,$L94&lt;=AI$7),1,AND($K94&lt;=AI$7,$L94&gt;AI$7),((AI$7-$K94)/($L94-$K94)))</f>
        <v>#REF!</v>
      </c>
      <c r="AK94" s="201" t="e">
        <f t="array" ref="AK94">_xlfn.IFS(AND($K94&gt;AJ$7,$L94&gt;AJ$7),0,AND($K94&lt;=AJ$7,$L94&lt;=AJ$7),1,AND($K94&lt;=AJ$7,$L94&gt;AJ$7),((AJ$7-$K94)/($L94-$K94)))</f>
        <v>#REF!</v>
      </c>
      <c r="AL94" s="201" t="e">
        <f t="array" ref="AL94">_xlfn.IFS(AND($K94&gt;AK$7,$L94&gt;AK$7),0,AND($K94&lt;=AK$7,$L94&lt;=AK$7),1,AND($K94&lt;=AK$7,$L94&gt;AK$7),((AK$7-$K94)/($L94-$K94)))</f>
        <v>#REF!</v>
      </c>
      <c r="AM94" s="201" t="e">
        <f t="array" ref="AM94">_xlfn.IFS(AND($K94&gt;AL$7,$L94&gt;AL$7),0,AND($K94&lt;=AL$7,$L94&lt;=AL$7),1,AND($K94&lt;=AL$7,$L94&gt;AL$7),((AL$7-$K94)/($L94-$K94)))</f>
        <v>#REF!</v>
      </c>
      <c r="AN94" s="201" t="e">
        <f t="array" ref="AN94">_xlfn.IFS(AND($K94&gt;AM$7,$L94&gt;AM$7),0,AND($K94&lt;=AM$7,$L94&lt;=AM$7),1,AND($K94&lt;=AM$7,$L94&gt;AM$7),((AM$7-$K94)/($L94-$K94)))</f>
        <v>#REF!</v>
      </c>
      <c r="AO94" s="201" t="e">
        <f t="array" ref="AO94">_xlfn.IFS(AND($K94&gt;AN$7,$L94&gt;AN$7),0,AND($K94&lt;=AN$7,$L94&lt;=AN$7),1,AND($K94&lt;=AN$7,$L94&gt;AN$7),((AN$7-$K94)/($L94-$K94)))</f>
        <v>#REF!</v>
      </c>
      <c r="AP94" s="201" t="e">
        <f t="array" ref="AP94">_xlfn.IFS(AND($K94&gt;AO$7,$L94&gt;AO$7),0,AND($K94&lt;=AO$7,$L94&lt;=AO$7),1,AND($K94&lt;=AO$7,$L94&gt;AO$7),((AO$7-$K94)/($L94-$K94)))</f>
        <v>#REF!</v>
      </c>
      <c r="AQ94" s="201" t="e">
        <f t="array" ref="AQ94">_xlfn.IFS(AND($K94&gt;AP$7,$L94&gt;AP$7),0,AND($K94&lt;=AP$7,$L94&lt;=AP$7),1,AND($K94&lt;=AP$7,$L94&gt;AP$7),((AP$7-$K94)/($L94-$K94)))</f>
        <v>#REF!</v>
      </c>
      <c r="AR94" s="201" t="e">
        <f t="array" ref="AR94">_xlfn.IFS(AND($K94&gt;AQ$7,$L94&gt;AQ$7),0,AND($K94&lt;=AQ$7,$L94&lt;=AQ$7),1,AND($K94&lt;=AQ$7,$L94&gt;AQ$7),((AQ$7-$K94)/($L94-$K94)))</f>
        <v>#REF!</v>
      </c>
      <c r="AS94" s="201" t="e">
        <f t="array" ref="AS94">_xlfn.IFS(AND($K94&gt;AR$7,$L94&gt;AR$7),0,AND($K94&lt;=AR$7,$L94&lt;=AR$7),1,AND($K94&lt;=AR$7,$L94&gt;AR$7),((AR$7-$K94)/($L94-$K94)))</f>
        <v>#REF!</v>
      </c>
      <c r="AT94" s="201" t="e">
        <f t="array" ref="AT94">_xlfn.IFS(AND($K94&gt;AS$7,$L94&gt;AS$7),0,AND($K94&lt;=AS$7,$L94&lt;=AS$7),1,AND($K94&lt;=AS$7,$L94&gt;AS$7),((AS$7-$K94)/($L94-$K94)))</f>
        <v>#REF!</v>
      </c>
      <c r="AU94" s="201" t="e">
        <f t="array" ref="AU94">_xlfn.IFS(AND($K94&gt;AT$7,$L94&gt;AT$7),0,AND($K94&lt;=AT$7,$L94&lt;=AT$7),1,AND($K94&lt;=AT$7,$L94&gt;AT$7),((AT$7-$K94)/($L94-$K94)))</f>
        <v>#REF!</v>
      </c>
      <c r="AV94" s="201" t="e">
        <f t="array" ref="AV94">_xlfn.IFS(AND($K94&gt;AU$7,$L94&gt;AU$7),0,AND($K94&lt;=AU$7,$L94&lt;=AU$7),1,AND($K94&lt;=AU$7,$L94&gt;AU$7),((AU$7-$K94)/($L94-$K94)))</f>
        <v>#REF!</v>
      </c>
      <c r="AW94" s="201" t="e">
        <f t="array" ref="AW94">_xlfn.IFS(AND($K94&gt;AV$7,$L94&gt;AV$7),0,AND($K94&lt;=AV$7,$L94&lt;=AV$7),1,AND($K94&lt;=AV$7,$L94&gt;AV$7),((AV$7-$K94)/($L94-$K94)))</f>
        <v>#REF!</v>
      </c>
      <c r="AX94" s="201" t="e">
        <f t="array" ref="AX94">_xlfn.IFS(AND($K94&gt;AW$7,$L94&gt;AW$7),0,AND($K94&lt;=AW$7,$L94&lt;=AW$7),1,AND($K94&lt;=AW$7,$L94&gt;AW$7),((AW$7-$K94)/($L94-$K94)))</f>
        <v>#REF!</v>
      </c>
      <c r="AY94" s="201" t="e">
        <f t="array" ref="AY94">_xlfn.IFS(AND($K94&gt;AX$7,$L94&gt;AX$7),0,AND($K94&lt;=AX$7,$L94&lt;=AX$7),1,AND($K94&lt;=AX$7,$L94&gt;AX$7),((AX$7-$K94)/($L94-$K94)))</f>
        <v>#REF!</v>
      </c>
      <c r="AZ94" s="201" t="e">
        <f t="array" ref="AZ94">_xlfn.IFS(AND($K94&gt;AY$7,$L94&gt;AY$7),0,AND($K94&lt;=AY$7,$L94&lt;=AY$7),1,AND($K94&lt;=AY$7,$L94&gt;AY$7),((AY$7-$K94)/($L94-$K94)))</f>
        <v>#REF!</v>
      </c>
      <c r="BA94" s="201" t="e">
        <f t="array" ref="BA94">_xlfn.IFS(AND($K94&gt;AZ$7,$L94&gt;AZ$7),0,AND($K94&lt;=AZ$7,$L94&lt;=AZ$7),1,AND($K94&lt;=AZ$7,$L94&gt;AZ$7),((AZ$7-$K94)/($L94-$K94)))</f>
        <v>#REF!</v>
      </c>
      <c r="BB94" s="201" t="e">
        <f t="array" ref="BB94">_xlfn.IFS(AND($K94&gt;BA$7,$L94&gt;BA$7),0,AND($K94&lt;=BA$7,$L94&lt;=BA$7),1,AND($K94&lt;=BA$7,$L94&gt;BA$7),((BA$7-$K94)/($L94-$K94)))</f>
        <v>#REF!</v>
      </c>
      <c r="BC94" s="201" t="e">
        <f t="array" ref="BC94">_xlfn.IFS(AND($K94&gt;BB$7,$L94&gt;BB$7),0,AND($K94&lt;=BB$7,$L94&lt;=BB$7),1,AND($K94&lt;=BB$7,$L94&gt;BB$7),((BB$7-$K94)/($L94-$K94)))</f>
        <v>#REF!</v>
      </c>
      <c r="BD94" s="201" t="e">
        <f t="array" ref="BD94">_xlfn.IFS(AND($K94&gt;BC$7,$L94&gt;BC$7),0,AND($K94&lt;=BC$7,$L94&lt;=BC$7),1,AND($K94&lt;=BC$7,$L94&gt;BC$7),((BC$7-$K94)/($L94-$K94)))</f>
        <v>#REF!</v>
      </c>
      <c r="BE94" s="201" t="e">
        <f t="array" ref="BE94">_xlfn.IFS(AND($K94&gt;BD$7,$L94&gt;BD$7),0,AND($K94&lt;=BD$7,$L94&lt;=BD$7),1,AND($K94&lt;=BD$7,$L94&gt;BD$7),((BD$7-$K94)/($L94-$K94)))</f>
        <v>#REF!</v>
      </c>
      <c r="BF94" s="201" t="e">
        <f t="array" ref="BF94">_xlfn.IFS(AND($K94&gt;BE$7,$L94&gt;BE$7),0,AND($K94&lt;=BE$7,$L94&lt;=BE$7),1,AND($K94&lt;=BE$7,$L94&gt;BE$7),((BE$7-$K94)/($L94-$K94)))</f>
        <v>#REF!</v>
      </c>
      <c r="BG94" s="201" t="e">
        <f t="array" ref="BG94">_xlfn.IFS(AND($K94&gt;BF$7,$L94&gt;BF$7),0,AND($K94&lt;=BF$7,$L94&lt;=BF$7),1,AND($K94&lt;=BF$7,$L94&gt;BF$7),((BF$7-$K94)/($L94-$K94)))</f>
        <v>#REF!</v>
      </c>
      <c r="BH94" s="201" t="e">
        <f t="array" ref="BH94">_xlfn.IFS(AND($K94&gt;BG$7,$L94&gt;BG$7),0,AND($K94&lt;=BG$7,$L94&lt;=BG$7),1,AND($K94&lt;=BG$7,$L94&gt;BG$7),((BG$7-$K94)/($L94-$K94)))</f>
        <v>#REF!</v>
      </c>
      <c r="BI94" s="201" t="e">
        <f t="array" ref="BI94">_xlfn.IFS(AND($K94&gt;BH$7,$L94&gt;BH$7),0,AND($K94&lt;=BH$7,$L94&lt;=BH$7),1,AND($K94&lt;=BH$7,$L94&gt;BH$7),((BH$7-$K94)/($L94-$K94)))</f>
        <v>#REF!</v>
      </c>
      <c r="BJ94" s="201" t="e">
        <f t="array" ref="BJ94">_xlfn.IFS(AND($K94&gt;BI$7,$L94&gt;BI$7),0,AND($K94&lt;=BI$7,$L94&lt;=BI$7),1,AND($K94&lt;=BI$7,$L94&gt;BI$7),((BI$7-$K94)/($L94-$K94)))</f>
        <v>#REF!</v>
      </c>
      <c r="BK94" s="201" t="e">
        <f t="array" ref="BK94">_xlfn.IFS(AND($K94&gt;BJ$7,$L94&gt;BJ$7),0,AND($K94&lt;=BJ$7,$L94&lt;=BJ$7),1,AND($K94&lt;=BJ$7,$L94&gt;BJ$7),((BJ$7-$K94)/($L94-$K94)))</f>
        <v>#REF!</v>
      </c>
      <c r="BL94" s="201" t="e">
        <f t="array" ref="BL94">_xlfn.IFS(AND($K94&gt;BK$7,$L94&gt;BK$7),0,AND($K94&lt;=BK$7,$L94&lt;=BK$7),1,AND($K94&lt;=BK$7,$L94&gt;BK$7),((BK$7-$K94)/($L94-$K94)))</f>
        <v>#REF!</v>
      </c>
      <c r="BM94" s="201" t="e">
        <f t="array" ref="BM94">_xlfn.IFS(AND($K94&gt;BL$7,$L94&gt;BL$7),0,AND($K94&lt;=BL$7,$L94&lt;=BL$7),1,AND($K94&lt;=BL$7,$L94&gt;BL$7),((BL$7-$K94)/($L94-$K94)))</f>
        <v>#REF!</v>
      </c>
      <c r="BN94" s="201" t="e">
        <f t="array" ref="BN94">_xlfn.IFS(AND($K94&gt;BM$7,$L94&gt;BM$7),0,AND($K94&lt;=BM$7,$L94&lt;=BM$7),1,AND($K94&lt;=BM$7,$L94&gt;BM$7),((BM$7-$K94)/($L94-$K94)))</f>
        <v>#REF!</v>
      </c>
    </row>
    <row r="95" spans="2:66" ht="15" customHeight="1" x14ac:dyDescent="0.3">
      <c r="B95" s="166" t="s">
        <v>161</v>
      </c>
      <c r="C95" s="166" t="s">
        <v>237</v>
      </c>
      <c r="D95" s="177"/>
      <c r="E95" s="170" t="str">
        <f t="shared" si="44"/>
        <v>Desenvolvimento da Transformação dos Processos</v>
      </c>
      <c r="F95" s="174" t="str">
        <f t="shared" si="41"/>
        <v>Modelagem To Be</v>
      </c>
      <c r="G95" s="166" t="str">
        <f t="shared" si="45"/>
        <v>Modelagem To Be</v>
      </c>
      <c r="H95" s="197" t="s">
        <v>238</v>
      </c>
      <c r="I95" s="166">
        <v>45880</v>
      </c>
      <c r="J95" s="166">
        <v>45884</v>
      </c>
      <c r="K95" s="166">
        <v>45880</v>
      </c>
      <c r="L95" s="166">
        <v>45884</v>
      </c>
      <c r="M95" s="167"/>
      <c r="N95" s="167" t="str">
        <f t="array" ref="N95">_xlfn.IFS(L95&lt;$M$3,"Concluído",AND(K95&gt;=$M$3,I95&lt;$M$3,L95&gt;$M$3),"Em andamento",AND(L95&gt;=$M$3,J95&lt;$M$3),"Atrasado",AND(L95&gt;=$M$3,J95&gt;=$M$3,I95&gt;$M$3,K95&lt;=$M$3),"Em andamento",AND(L95&gt;=$M$3,J95&gt;=$M$3,I95&lt;=$M$3,K95&lt;=$M$3),"Em andamento",AND(K95&gt;$M$3,I95&gt;$M$3),"Não iniciado",AND(L95&gt;=$M$3,J95&gt;=$M$3,K95&gt;=$M$3,I95&lt;$M$3),"Atrasado",AND(L95&gt;=$M$3,J95&gt;=$M$3,K95&gt;=$M$3,I95&gt;$M$3),"Não iniciado",AND($I95&lt;=$M$3,$K95&gt;$M$3),"Atrasado")</f>
        <v>Concluído</v>
      </c>
      <c r="O95" s="167">
        <f t="array" ref="O95">_xlfn.IFS(N95="Não iniciado",0,N95="Em andamento",1,N95="Concluído",2,N95="Atrasado",3)</f>
        <v>2</v>
      </c>
      <c r="P95" s="169"/>
      <c r="Q95" s="152">
        <f t="array" aca="1" ref="Q95" ca="1">_xlfn.IFS(AND($I95&lt;$N$3,$J95&lt;$N$3),1,AND($I95&lt;=$N$3,$J95&gt;=$N$3),0.5,AND($I95&gt;=$N$3,$J95&gt;=$N$3),0)</f>
        <v>1</v>
      </c>
      <c r="R95" s="152">
        <f t="array" aca="1" ref="R95" ca="1">_xlfn.IFS(AND($K95&lt;$N$3,$L95&lt;$N$3),1,AND($K95&lt;=$N$3,$L95&gt;=$N$3),0.5,AND($K95&gt;=$N$3,$L95&gt;=$N$3),0)</f>
        <v>1</v>
      </c>
      <c r="S95" s="201" t="e">
        <f t="array" ref="S95">_xlfn.IFS(AND($K95&gt;R$7,$L95&gt;R$7),0,AND($K95&lt;=R$7,$L95&lt;=R$7),1,AND($K95&lt;=R$7,$L95&gt;R$7),((R$7-$K95)/($L95-$K95)))</f>
        <v>#REF!</v>
      </c>
      <c r="T95" s="201" t="e">
        <f t="array" ref="T95">_xlfn.IFS(AND($K95&gt;S$7,$L95&gt;S$7),0,AND($K95&lt;=S$7,$L95&lt;=S$7),1,AND($K95&lt;=S$7,$L95&gt;S$7),((S$7-$K95)/($L95-$K95)))</f>
        <v>#REF!</v>
      </c>
      <c r="U95" s="201" t="e">
        <f t="array" ref="U95">_xlfn.IFS(AND($K95&gt;T$7,$L95&gt;T$7),0,AND($K95&lt;=T$7,$L95&lt;=T$7),1,AND($K95&lt;=T$7,$L95&gt;T$7),((T$7-$K95)/($L95-$K95)))</f>
        <v>#REF!</v>
      </c>
      <c r="V95" s="201" t="e">
        <f t="array" ref="V95">_xlfn.IFS(AND($K95&gt;U$7,$L95&gt;U$7),0,AND($K95&lt;=U$7,$L95&lt;=U$7),1,AND($K95&lt;=U$7,$L95&gt;U$7),((U$7-$K95)/($L95-$K95)))</f>
        <v>#REF!</v>
      </c>
      <c r="W95" s="201" t="e">
        <f t="array" ref="W95">_xlfn.IFS(AND($K95&gt;V$7,$L95&gt;V$7),0,AND($K95&lt;=V$7,$L95&lt;=V$7),1,AND($K95&lt;=V$7,$L95&gt;V$7),((V$7-$K95)/($L95-$K95)))</f>
        <v>#REF!</v>
      </c>
      <c r="X95" s="201" t="e">
        <f t="array" ref="X95">_xlfn.IFS(AND($K95&gt;W$7,$L95&gt;W$7),0,AND($K95&lt;=W$7,$L95&lt;=W$7),1,AND($K95&lt;=W$7,$L95&gt;W$7),((W$7-$K95)/($L95-$K95)))</f>
        <v>#REF!</v>
      </c>
      <c r="Y95" s="201" t="e">
        <f t="array" ref="Y95">_xlfn.IFS(AND($K95&gt;X$7,$L95&gt;X$7),0,AND($K95&lt;=X$7,$L95&lt;=X$7),1,AND($K95&lt;=X$7,$L95&gt;X$7),((X$7-$K95)/($L95-$K95)))</f>
        <v>#REF!</v>
      </c>
      <c r="Z95" s="201" t="e">
        <f t="array" ref="Z95">_xlfn.IFS(AND($K95&gt;Y$7,$L95&gt;Y$7),0,AND($K95&lt;=Y$7,$L95&lt;=Y$7),1,AND($K95&lt;=Y$7,$L95&gt;Y$7),((Y$7-$K95)/($L95-$K95)))</f>
        <v>#REF!</v>
      </c>
      <c r="AA95" s="201" t="e">
        <f t="array" ref="AA95">_xlfn.IFS(AND($K95&gt;Z$7,$L95&gt;Z$7),0,AND($K95&lt;=Z$7,$L95&lt;=Z$7),1,AND($K95&lt;=Z$7,$L95&gt;Z$7),((Z$7-$K95)/($L95-$K95)))</f>
        <v>#REF!</v>
      </c>
      <c r="AB95" s="201" t="e">
        <f t="array" ref="AB95">_xlfn.IFS(AND($K95&gt;AA$7,$L95&gt;AA$7),0,AND($K95&lt;=AA$7,$L95&lt;=AA$7),1,AND($K95&lt;=AA$7,$L95&gt;AA$7),((AA$7-$K95)/($L95-$K95)))</f>
        <v>#REF!</v>
      </c>
      <c r="AC95" s="201" t="e">
        <f t="array" ref="AC95">_xlfn.IFS(AND($K95&gt;AB$7,$L95&gt;AB$7),0,AND($K95&lt;=AB$7,$L95&lt;=AB$7),1,AND($K95&lt;=AB$7,$L95&gt;AB$7),((AB$7-$K95)/($L95-$K95)))</f>
        <v>#REF!</v>
      </c>
      <c r="AD95" s="201" t="e">
        <f t="array" ref="AD95">_xlfn.IFS(AND($K95&gt;AC$7,$L95&gt;AC$7),0,AND($K95&lt;=AC$7,$L95&lt;=AC$7),1,AND($K95&lt;=AC$7,$L95&gt;AC$7),((AC$7-$K95)/($L95-$K95)))</f>
        <v>#REF!</v>
      </c>
      <c r="AE95" s="201" t="e">
        <f t="array" ref="AE95">_xlfn.IFS(AND($K95&gt;AD$7,$L95&gt;AD$7),0,AND($K95&lt;=AD$7,$L95&lt;=AD$7),1,AND($K95&lt;=AD$7,$L95&gt;AD$7),((AD$7-$K95)/($L95-$K95)))</f>
        <v>#REF!</v>
      </c>
      <c r="AF95" s="201" t="e">
        <f t="array" ref="AF95">_xlfn.IFS(AND($K95&gt;AE$7,$L95&gt;AE$7),0,AND($K95&lt;=AE$7,$L95&lt;=AE$7),1,AND($K95&lt;=AE$7,$L95&gt;AE$7),((AE$7-$K95)/($L95-$K95)))</f>
        <v>#REF!</v>
      </c>
      <c r="AG95" s="201" t="e">
        <f t="array" ref="AG95">_xlfn.IFS(AND($K95&gt;AF$7,$L95&gt;AF$7),0,AND($K95&lt;=AF$7,$L95&lt;=AF$7),1,AND($K95&lt;=AF$7,$L95&gt;AF$7),((AF$7-$K95)/($L95-$K95)))</f>
        <v>#REF!</v>
      </c>
      <c r="AH95" s="201" t="e">
        <f t="array" ref="AH95">_xlfn.IFS(AND($K95&gt;AG$7,$L95&gt;AG$7),0,AND($K95&lt;=AG$7,$L95&lt;=AG$7),1,AND($K95&lt;=AG$7,$L95&gt;AG$7),((AG$7-$K95)/($L95-$K95)))</f>
        <v>#REF!</v>
      </c>
      <c r="AI95" s="201" t="e">
        <f t="array" ref="AI95">_xlfn.IFS(AND($K95&gt;AH$7,$L95&gt;AH$7),0,AND($K95&lt;=AH$7,$L95&lt;=AH$7),1,AND($K95&lt;=AH$7,$L95&gt;AH$7),((AH$7-$K95)/($L95-$K95)))</f>
        <v>#REF!</v>
      </c>
      <c r="AJ95" s="201" t="e">
        <f t="array" ref="AJ95">_xlfn.IFS(AND($K95&gt;AI$7,$L95&gt;AI$7),0,AND($K95&lt;=AI$7,$L95&lt;=AI$7),1,AND($K95&lt;=AI$7,$L95&gt;AI$7),((AI$7-$K95)/($L95-$K95)))</f>
        <v>#REF!</v>
      </c>
      <c r="AK95" s="201" t="e">
        <f t="array" ref="AK95">_xlfn.IFS(AND($K95&gt;AJ$7,$L95&gt;AJ$7),0,AND($K95&lt;=AJ$7,$L95&lt;=AJ$7),1,AND($K95&lt;=AJ$7,$L95&gt;AJ$7),((AJ$7-$K95)/($L95-$K95)))</f>
        <v>#REF!</v>
      </c>
      <c r="AL95" s="201" t="e">
        <f t="array" ref="AL95">_xlfn.IFS(AND($K95&gt;AK$7,$L95&gt;AK$7),0,AND($K95&lt;=AK$7,$L95&lt;=AK$7),1,AND($K95&lt;=AK$7,$L95&gt;AK$7),((AK$7-$K95)/($L95-$K95)))</f>
        <v>#REF!</v>
      </c>
      <c r="AM95" s="201" t="e">
        <f t="array" ref="AM95">_xlfn.IFS(AND($K95&gt;AL$7,$L95&gt;AL$7),0,AND($K95&lt;=AL$7,$L95&lt;=AL$7),1,AND($K95&lt;=AL$7,$L95&gt;AL$7),((AL$7-$K95)/($L95-$K95)))</f>
        <v>#REF!</v>
      </c>
      <c r="AN95" s="201" t="e">
        <f t="array" ref="AN95">_xlfn.IFS(AND($K95&gt;AM$7,$L95&gt;AM$7),0,AND($K95&lt;=AM$7,$L95&lt;=AM$7),1,AND($K95&lt;=AM$7,$L95&gt;AM$7),((AM$7-$K95)/($L95-$K95)))</f>
        <v>#REF!</v>
      </c>
      <c r="AO95" s="201" t="e">
        <f t="array" ref="AO95">_xlfn.IFS(AND($K95&gt;AN$7,$L95&gt;AN$7),0,AND($K95&lt;=AN$7,$L95&lt;=AN$7),1,AND($K95&lt;=AN$7,$L95&gt;AN$7),((AN$7-$K95)/($L95-$K95)))</f>
        <v>#REF!</v>
      </c>
      <c r="AP95" s="201" t="e">
        <f t="array" ref="AP95">_xlfn.IFS(AND($K95&gt;AO$7,$L95&gt;AO$7),0,AND($K95&lt;=AO$7,$L95&lt;=AO$7),1,AND($K95&lt;=AO$7,$L95&gt;AO$7),((AO$7-$K95)/($L95-$K95)))</f>
        <v>#REF!</v>
      </c>
      <c r="AQ95" s="201" t="e">
        <f t="array" ref="AQ95">_xlfn.IFS(AND($K95&gt;AP$7,$L95&gt;AP$7),0,AND($K95&lt;=AP$7,$L95&lt;=AP$7),1,AND($K95&lt;=AP$7,$L95&gt;AP$7),((AP$7-$K95)/($L95-$K95)))</f>
        <v>#REF!</v>
      </c>
      <c r="AR95" s="201" t="e">
        <f t="array" ref="AR95">_xlfn.IFS(AND($K95&gt;AQ$7,$L95&gt;AQ$7),0,AND($K95&lt;=AQ$7,$L95&lt;=AQ$7),1,AND($K95&lt;=AQ$7,$L95&gt;AQ$7),((AQ$7-$K95)/($L95-$K95)))</f>
        <v>#REF!</v>
      </c>
      <c r="AS95" s="201" t="e">
        <f t="array" ref="AS95">_xlfn.IFS(AND($K95&gt;AR$7,$L95&gt;AR$7),0,AND($K95&lt;=AR$7,$L95&lt;=AR$7),1,AND($K95&lt;=AR$7,$L95&gt;AR$7),((AR$7-$K95)/($L95-$K95)))</f>
        <v>#REF!</v>
      </c>
      <c r="AT95" s="201" t="e">
        <f t="array" ref="AT95">_xlfn.IFS(AND($K95&gt;AS$7,$L95&gt;AS$7),0,AND($K95&lt;=AS$7,$L95&lt;=AS$7),1,AND($K95&lt;=AS$7,$L95&gt;AS$7),((AS$7-$K95)/($L95-$K95)))</f>
        <v>#REF!</v>
      </c>
      <c r="AU95" s="201" t="e">
        <f t="array" ref="AU95">_xlfn.IFS(AND($K95&gt;AT$7,$L95&gt;AT$7),0,AND($K95&lt;=AT$7,$L95&lt;=AT$7),1,AND($K95&lt;=AT$7,$L95&gt;AT$7),((AT$7-$K95)/($L95-$K95)))</f>
        <v>#REF!</v>
      </c>
      <c r="AV95" s="201" t="e">
        <f t="array" ref="AV95">_xlfn.IFS(AND($K95&gt;AU$7,$L95&gt;AU$7),0,AND($K95&lt;=AU$7,$L95&lt;=AU$7),1,AND($K95&lt;=AU$7,$L95&gt;AU$7),((AU$7-$K95)/($L95-$K95)))</f>
        <v>#REF!</v>
      </c>
      <c r="AW95" s="201" t="e">
        <f t="array" ref="AW95">_xlfn.IFS(AND($K95&gt;AV$7,$L95&gt;AV$7),0,AND($K95&lt;=AV$7,$L95&lt;=AV$7),1,AND($K95&lt;=AV$7,$L95&gt;AV$7),((AV$7-$K95)/($L95-$K95)))</f>
        <v>#REF!</v>
      </c>
      <c r="AX95" s="201" t="e">
        <f t="array" ref="AX95">_xlfn.IFS(AND($K95&gt;AW$7,$L95&gt;AW$7),0,AND($K95&lt;=AW$7,$L95&lt;=AW$7),1,AND($K95&lt;=AW$7,$L95&gt;AW$7),((AW$7-$K95)/($L95-$K95)))</f>
        <v>#REF!</v>
      </c>
      <c r="AY95" s="201" t="e">
        <f t="array" ref="AY95">_xlfn.IFS(AND($K95&gt;AX$7,$L95&gt;AX$7),0,AND($K95&lt;=AX$7,$L95&lt;=AX$7),1,AND($K95&lt;=AX$7,$L95&gt;AX$7),((AX$7-$K95)/($L95-$K95)))</f>
        <v>#REF!</v>
      </c>
      <c r="AZ95" s="201" t="e">
        <f t="array" ref="AZ95">_xlfn.IFS(AND($K95&gt;AY$7,$L95&gt;AY$7),0,AND($K95&lt;=AY$7,$L95&lt;=AY$7),1,AND($K95&lt;=AY$7,$L95&gt;AY$7),((AY$7-$K95)/($L95-$K95)))</f>
        <v>#REF!</v>
      </c>
      <c r="BA95" s="201" t="e">
        <f t="array" ref="BA95">_xlfn.IFS(AND($K95&gt;AZ$7,$L95&gt;AZ$7),0,AND($K95&lt;=AZ$7,$L95&lt;=AZ$7),1,AND($K95&lt;=AZ$7,$L95&gt;AZ$7),((AZ$7-$K95)/($L95-$K95)))</f>
        <v>#REF!</v>
      </c>
      <c r="BB95" s="201" t="e">
        <f t="array" ref="BB95">_xlfn.IFS(AND($K95&gt;BA$7,$L95&gt;BA$7),0,AND($K95&lt;=BA$7,$L95&lt;=BA$7),1,AND($K95&lt;=BA$7,$L95&gt;BA$7),((BA$7-$K95)/($L95-$K95)))</f>
        <v>#REF!</v>
      </c>
      <c r="BC95" s="201" t="e">
        <f t="array" ref="BC95">_xlfn.IFS(AND($K95&gt;BB$7,$L95&gt;BB$7),0,AND($K95&lt;=BB$7,$L95&lt;=BB$7),1,AND($K95&lt;=BB$7,$L95&gt;BB$7),((BB$7-$K95)/($L95-$K95)))</f>
        <v>#REF!</v>
      </c>
      <c r="BD95" s="201" t="e">
        <f t="array" ref="BD95">_xlfn.IFS(AND($K95&gt;BC$7,$L95&gt;BC$7),0,AND($K95&lt;=BC$7,$L95&lt;=BC$7),1,AND($K95&lt;=BC$7,$L95&gt;BC$7),((BC$7-$K95)/($L95-$K95)))</f>
        <v>#REF!</v>
      </c>
      <c r="BE95" s="201" t="e">
        <f t="array" ref="BE95">_xlfn.IFS(AND($K95&gt;BD$7,$L95&gt;BD$7),0,AND($K95&lt;=BD$7,$L95&lt;=BD$7),1,AND($K95&lt;=BD$7,$L95&gt;BD$7),((BD$7-$K95)/($L95-$K95)))</f>
        <v>#REF!</v>
      </c>
      <c r="BF95" s="201" t="e">
        <f t="array" ref="BF95">_xlfn.IFS(AND($K95&gt;BE$7,$L95&gt;BE$7),0,AND($K95&lt;=BE$7,$L95&lt;=BE$7),1,AND($K95&lt;=BE$7,$L95&gt;BE$7),((BE$7-$K95)/($L95-$K95)))</f>
        <v>#REF!</v>
      </c>
      <c r="BG95" s="201" t="e">
        <f t="array" ref="BG95">_xlfn.IFS(AND($K95&gt;BF$7,$L95&gt;BF$7),0,AND($K95&lt;=BF$7,$L95&lt;=BF$7),1,AND($K95&lt;=BF$7,$L95&gt;BF$7),((BF$7-$K95)/($L95-$K95)))</f>
        <v>#REF!</v>
      </c>
      <c r="BH95" s="201" t="e">
        <f t="array" ref="BH95">_xlfn.IFS(AND($K95&gt;BG$7,$L95&gt;BG$7),0,AND($K95&lt;=BG$7,$L95&lt;=BG$7),1,AND($K95&lt;=BG$7,$L95&gt;BG$7),((BG$7-$K95)/($L95-$K95)))</f>
        <v>#REF!</v>
      </c>
      <c r="BI95" s="201" t="e">
        <f t="array" ref="BI95">_xlfn.IFS(AND($K95&gt;BH$7,$L95&gt;BH$7),0,AND($K95&lt;=BH$7,$L95&lt;=BH$7),1,AND($K95&lt;=BH$7,$L95&gt;BH$7),((BH$7-$K95)/($L95-$K95)))</f>
        <v>#REF!</v>
      </c>
      <c r="BJ95" s="201" t="e">
        <f t="array" ref="BJ95">_xlfn.IFS(AND($K95&gt;BI$7,$L95&gt;BI$7),0,AND($K95&lt;=BI$7,$L95&lt;=BI$7),1,AND($K95&lt;=BI$7,$L95&gt;BI$7),((BI$7-$K95)/($L95-$K95)))</f>
        <v>#REF!</v>
      </c>
      <c r="BK95" s="201" t="e">
        <f t="array" ref="BK95">_xlfn.IFS(AND($K95&gt;BJ$7,$L95&gt;BJ$7),0,AND($K95&lt;=BJ$7,$L95&lt;=BJ$7),1,AND($K95&lt;=BJ$7,$L95&gt;BJ$7),((BJ$7-$K95)/($L95-$K95)))</f>
        <v>#REF!</v>
      </c>
      <c r="BL95" s="201" t="e">
        <f t="array" ref="BL95">_xlfn.IFS(AND($K95&gt;BK$7,$L95&gt;BK$7),0,AND($K95&lt;=BK$7,$L95&lt;=BK$7),1,AND($K95&lt;=BK$7,$L95&gt;BK$7),((BK$7-$K95)/($L95-$K95)))</f>
        <v>#REF!</v>
      </c>
      <c r="BM95" s="201" t="e">
        <f t="array" ref="BM95">_xlfn.IFS(AND($K95&gt;BL$7,$L95&gt;BL$7),0,AND($K95&lt;=BL$7,$L95&lt;=BL$7),1,AND($K95&lt;=BL$7,$L95&gt;BL$7),((BL$7-$K95)/($L95-$K95)))</f>
        <v>#REF!</v>
      </c>
      <c r="BN95" s="201" t="e">
        <f t="array" ref="BN95">_xlfn.IFS(AND($K95&gt;BM$7,$L95&gt;BM$7),0,AND($K95&lt;=BM$7,$L95&lt;=BM$7),1,AND($K95&lt;=BM$7,$L95&gt;BM$7),((BM$7-$K95)/($L95-$K95)))</f>
        <v>#REF!</v>
      </c>
    </row>
    <row r="96" spans="2:66" ht="15" customHeight="1" x14ac:dyDescent="0.3">
      <c r="B96" s="166" t="s">
        <v>161</v>
      </c>
      <c r="C96" s="166" t="s">
        <v>239</v>
      </c>
      <c r="D96" s="177"/>
      <c r="E96" s="170" t="str">
        <f t="shared" si="44"/>
        <v>Desenvolvimento da Transformação dos Processos</v>
      </c>
      <c r="F96" s="174" t="str">
        <f t="shared" si="41"/>
        <v>Modelagem To Be</v>
      </c>
      <c r="G96" s="166" t="str">
        <f t="shared" si="45"/>
        <v>Modelagem To Be</v>
      </c>
      <c r="H96" s="197" t="s">
        <v>240</v>
      </c>
      <c r="I96" s="166">
        <v>45908</v>
      </c>
      <c r="J96" s="166">
        <v>45912</v>
      </c>
      <c r="K96" s="166">
        <v>45908</v>
      </c>
      <c r="L96" s="166">
        <v>45912</v>
      </c>
      <c r="M96" s="167"/>
      <c r="N96" s="167" t="str">
        <f t="array" ref="N96">_xlfn.IFS(L96&lt;$M$3,"Concluído",AND(K96&gt;=$M$3,I96&lt;$M$3,L96&gt;$M$3),"Em andamento",AND(L96&gt;=$M$3,J96&lt;$M$3),"Atrasado",AND(L96&gt;=$M$3,J96&gt;=$M$3,I96&gt;$M$3,K96&lt;=$M$3),"Em andamento",AND(L96&gt;=$M$3,J96&gt;=$M$3,I96&lt;=$M$3,K96&lt;=$M$3),"Em andamento",AND(K96&gt;$M$3,I96&gt;$M$3),"Não iniciado",AND(L96&gt;=$M$3,J96&gt;=$M$3,K96&gt;=$M$3,I96&lt;$M$3),"Atrasado",AND(L96&gt;=$M$3,J96&gt;=$M$3,K96&gt;=$M$3,I96&gt;$M$3),"Não iniciado",AND($I96&lt;=$M$3,$K96&gt;$M$3),"Atrasado")</f>
        <v>Concluído</v>
      </c>
      <c r="O96" s="167">
        <f t="array" ref="O96">_xlfn.IFS(N96="Não iniciado",0,N96="Em andamento",1,N96="Concluído",2,N96="Atrasado",3)</f>
        <v>2</v>
      </c>
      <c r="P96" s="169"/>
      <c r="Q96" s="152">
        <f t="array" aca="1" ref="Q96" ca="1">_xlfn.IFS(AND($I96&lt;$N$3,$J96&lt;$N$3),1,AND($I96&lt;=$N$3,$J96&gt;=$N$3),0.5,AND($I96&gt;=$N$3,$J96&gt;=$N$3),0)</f>
        <v>1</v>
      </c>
      <c r="R96" s="152">
        <f t="array" aca="1" ref="R96" ca="1">_xlfn.IFS(AND($K96&lt;$N$3,$L96&lt;$N$3),1,AND($K96&lt;=$N$3,$L96&gt;=$N$3),0.5,AND($K96&gt;=$N$3,$L96&gt;=$N$3),0)</f>
        <v>1</v>
      </c>
      <c r="S96" s="201" t="e">
        <f t="array" ref="S96">_xlfn.IFS(AND($K96&gt;R$7,$L96&gt;R$7),0,AND($K96&lt;=R$7,$L96&lt;=R$7),1,AND($K96&lt;=R$7,$L96&gt;R$7),((R$7-$K96)/($L96-$K96)))</f>
        <v>#REF!</v>
      </c>
      <c r="T96" s="201" t="e">
        <f t="array" ref="T96">_xlfn.IFS(AND($K96&gt;S$7,$L96&gt;S$7),0,AND($K96&lt;=S$7,$L96&lt;=S$7),1,AND($K96&lt;=S$7,$L96&gt;S$7),((S$7-$K96)/($L96-$K96)))</f>
        <v>#REF!</v>
      </c>
      <c r="U96" s="201" t="e">
        <f t="array" ref="U96">_xlfn.IFS(AND($K96&gt;T$7,$L96&gt;T$7),0,AND($K96&lt;=T$7,$L96&lt;=T$7),1,AND($K96&lt;=T$7,$L96&gt;T$7),((T$7-$K96)/($L96-$K96)))</f>
        <v>#REF!</v>
      </c>
      <c r="V96" s="201" t="e">
        <f t="array" ref="V96">_xlfn.IFS(AND($K96&gt;U$7,$L96&gt;U$7),0,AND($K96&lt;=U$7,$L96&lt;=U$7),1,AND($K96&lt;=U$7,$L96&gt;U$7),((U$7-$K96)/($L96-$K96)))</f>
        <v>#REF!</v>
      </c>
      <c r="W96" s="201" t="e">
        <f t="array" ref="W96">_xlfn.IFS(AND($K96&gt;V$7,$L96&gt;V$7),0,AND($K96&lt;=V$7,$L96&lt;=V$7),1,AND($K96&lt;=V$7,$L96&gt;V$7),((V$7-$K96)/($L96-$K96)))</f>
        <v>#REF!</v>
      </c>
      <c r="X96" s="201" t="e">
        <f t="array" ref="X96">_xlfn.IFS(AND($K96&gt;W$7,$L96&gt;W$7),0,AND($K96&lt;=W$7,$L96&lt;=W$7),1,AND($K96&lt;=W$7,$L96&gt;W$7),((W$7-$K96)/($L96-$K96)))</f>
        <v>#REF!</v>
      </c>
      <c r="Y96" s="201" t="e">
        <f t="array" ref="Y96">_xlfn.IFS(AND($K96&gt;X$7,$L96&gt;X$7),0,AND($K96&lt;=X$7,$L96&lt;=X$7),1,AND($K96&lt;=X$7,$L96&gt;X$7),((X$7-$K96)/($L96-$K96)))</f>
        <v>#REF!</v>
      </c>
      <c r="Z96" s="201" t="e">
        <f t="array" ref="Z96">_xlfn.IFS(AND($K96&gt;Y$7,$L96&gt;Y$7),0,AND($K96&lt;=Y$7,$L96&lt;=Y$7),1,AND($K96&lt;=Y$7,$L96&gt;Y$7),((Y$7-$K96)/($L96-$K96)))</f>
        <v>#REF!</v>
      </c>
      <c r="AA96" s="201" t="e">
        <f t="array" ref="AA96">_xlfn.IFS(AND($K96&gt;Z$7,$L96&gt;Z$7),0,AND($K96&lt;=Z$7,$L96&lt;=Z$7),1,AND($K96&lt;=Z$7,$L96&gt;Z$7),((Z$7-$K96)/($L96-$K96)))</f>
        <v>#REF!</v>
      </c>
      <c r="AB96" s="201" t="e">
        <f t="array" ref="AB96">_xlfn.IFS(AND($K96&gt;AA$7,$L96&gt;AA$7),0,AND($K96&lt;=AA$7,$L96&lt;=AA$7),1,AND($K96&lt;=AA$7,$L96&gt;AA$7),((AA$7-$K96)/($L96-$K96)))</f>
        <v>#REF!</v>
      </c>
      <c r="AC96" s="201" t="e">
        <f t="array" ref="AC96">_xlfn.IFS(AND($K96&gt;AB$7,$L96&gt;AB$7),0,AND($K96&lt;=AB$7,$L96&lt;=AB$7),1,AND($K96&lt;=AB$7,$L96&gt;AB$7),((AB$7-$K96)/($L96-$K96)))</f>
        <v>#REF!</v>
      </c>
      <c r="AD96" s="201" t="e">
        <f t="array" ref="AD96">_xlfn.IFS(AND($K96&gt;AC$7,$L96&gt;AC$7),0,AND($K96&lt;=AC$7,$L96&lt;=AC$7),1,AND($K96&lt;=AC$7,$L96&gt;AC$7),((AC$7-$K96)/($L96-$K96)))</f>
        <v>#REF!</v>
      </c>
      <c r="AE96" s="201" t="e">
        <f t="array" ref="AE96">_xlfn.IFS(AND($K96&gt;AD$7,$L96&gt;AD$7),0,AND($K96&lt;=AD$7,$L96&lt;=AD$7),1,AND($K96&lt;=AD$7,$L96&gt;AD$7),((AD$7-$K96)/($L96-$K96)))</f>
        <v>#REF!</v>
      </c>
      <c r="AF96" s="201" t="e">
        <f t="array" ref="AF96">_xlfn.IFS(AND($K96&gt;AE$7,$L96&gt;AE$7),0,AND($K96&lt;=AE$7,$L96&lt;=AE$7),1,AND($K96&lt;=AE$7,$L96&gt;AE$7),((AE$7-$K96)/($L96-$K96)))</f>
        <v>#REF!</v>
      </c>
      <c r="AG96" s="201" t="e">
        <f t="array" ref="AG96">_xlfn.IFS(AND($K96&gt;AF$7,$L96&gt;AF$7),0,AND($K96&lt;=AF$7,$L96&lt;=AF$7),1,AND($K96&lt;=AF$7,$L96&gt;AF$7),((AF$7-$K96)/($L96-$K96)))</f>
        <v>#REF!</v>
      </c>
      <c r="AH96" s="201" t="e">
        <f t="array" ref="AH96">_xlfn.IFS(AND($K96&gt;AG$7,$L96&gt;AG$7),0,AND($K96&lt;=AG$7,$L96&lt;=AG$7),1,AND($K96&lt;=AG$7,$L96&gt;AG$7),((AG$7-$K96)/($L96-$K96)))</f>
        <v>#REF!</v>
      </c>
      <c r="AI96" s="201" t="e">
        <f t="array" ref="AI96">_xlfn.IFS(AND($K96&gt;AH$7,$L96&gt;AH$7),0,AND($K96&lt;=AH$7,$L96&lt;=AH$7),1,AND($K96&lt;=AH$7,$L96&gt;AH$7),((AH$7-$K96)/($L96-$K96)))</f>
        <v>#REF!</v>
      </c>
      <c r="AJ96" s="201" t="e">
        <f t="array" ref="AJ96">_xlfn.IFS(AND($K96&gt;AI$7,$L96&gt;AI$7),0,AND($K96&lt;=AI$7,$L96&lt;=AI$7),1,AND($K96&lt;=AI$7,$L96&gt;AI$7),((AI$7-$K96)/($L96-$K96)))</f>
        <v>#REF!</v>
      </c>
      <c r="AK96" s="201" t="e">
        <f t="array" ref="AK96">_xlfn.IFS(AND($K96&gt;AJ$7,$L96&gt;AJ$7),0,AND($K96&lt;=AJ$7,$L96&lt;=AJ$7),1,AND($K96&lt;=AJ$7,$L96&gt;AJ$7),((AJ$7-$K96)/($L96-$K96)))</f>
        <v>#REF!</v>
      </c>
      <c r="AL96" s="201" t="e">
        <f t="array" ref="AL96">_xlfn.IFS(AND($K96&gt;AK$7,$L96&gt;AK$7),0,AND($K96&lt;=AK$7,$L96&lt;=AK$7),1,AND($K96&lt;=AK$7,$L96&gt;AK$7),((AK$7-$K96)/($L96-$K96)))</f>
        <v>#REF!</v>
      </c>
      <c r="AM96" s="201" t="e">
        <f t="array" ref="AM96">_xlfn.IFS(AND($K96&gt;AL$7,$L96&gt;AL$7),0,AND($K96&lt;=AL$7,$L96&lt;=AL$7),1,AND($K96&lt;=AL$7,$L96&gt;AL$7),((AL$7-$K96)/($L96-$K96)))</f>
        <v>#REF!</v>
      </c>
      <c r="AN96" s="201" t="e">
        <f t="array" ref="AN96">_xlfn.IFS(AND($K96&gt;AM$7,$L96&gt;AM$7),0,AND($K96&lt;=AM$7,$L96&lt;=AM$7),1,AND($K96&lt;=AM$7,$L96&gt;AM$7),((AM$7-$K96)/($L96-$K96)))</f>
        <v>#REF!</v>
      </c>
      <c r="AO96" s="201" t="e">
        <f t="array" ref="AO96">_xlfn.IFS(AND($K96&gt;AN$7,$L96&gt;AN$7),0,AND($K96&lt;=AN$7,$L96&lt;=AN$7),1,AND($K96&lt;=AN$7,$L96&gt;AN$7),((AN$7-$K96)/($L96-$K96)))</f>
        <v>#REF!</v>
      </c>
      <c r="AP96" s="201" t="e">
        <f t="array" ref="AP96">_xlfn.IFS(AND($K96&gt;AO$7,$L96&gt;AO$7),0,AND($K96&lt;=AO$7,$L96&lt;=AO$7),1,AND($K96&lt;=AO$7,$L96&gt;AO$7),((AO$7-$K96)/($L96-$K96)))</f>
        <v>#REF!</v>
      </c>
      <c r="AQ96" s="201" t="e">
        <f t="array" ref="AQ96">_xlfn.IFS(AND($K96&gt;AP$7,$L96&gt;AP$7),0,AND($K96&lt;=AP$7,$L96&lt;=AP$7),1,AND($K96&lt;=AP$7,$L96&gt;AP$7),((AP$7-$K96)/($L96-$K96)))</f>
        <v>#REF!</v>
      </c>
      <c r="AR96" s="201" t="e">
        <f t="array" ref="AR96">_xlfn.IFS(AND($K96&gt;AQ$7,$L96&gt;AQ$7),0,AND($K96&lt;=AQ$7,$L96&lt;=AQ$7),1,AND($K96&lt;=AQ$7,$L96&gt;AQ$7),((AQ$7-$K96)/($L96-$K96)))</f>
        <v>#REF!</v>
      </c>
      <c r="AS96" s="201" t="e">
        <f t="array" ref="AS96">_xlfn.IFS(AND($K96&gt;AR$7,$L96&gt;AR$7),0,AND($K96&lt;=AR$7,$L96&lt;=AR$7),1,AND($K96&lt;=AR$7,$L96&gt;AR$7),((AR$7-$K96)/($L96-$K96)))</f>
        <v>#REF!</v>
      </c>
      <c r="AT96" s="201" t="e">
        <f t="array" ref="AT96">_xlfn.IFS(AND($K96&gt;AS$7,$L96&gt;AS$7),0,AND($K96&lt;=AS$7,$L96&lt;=AS$7),1,AND($K96&lt;=AS$7,$L96&gt;AS$7),((AS$7-$K96)/($L96-$K96)))</f>
        <v>#REF!</v>
      </c>
      <c r="AU96" s="201" t="e">
        <f t="array" ref="AU96">_xlfn.IFS(AND($K96&gt;AT$7,$L96&gt;AT$7),0,AND($K96&lt;=AT$7,$L96&lt;=AT$7),1,AND($K96&lt;=AT$7,$L96&gt;AT$7),((AT$7-$K96)/($L96-$K96)))</f>
        <v>#REF!</v>
      </c>
      <c r="AV96" s="201" t="e">
        <f t="array" ref="AV96">_xlfn.IFS(AND($K96&gt;AU$7,$L96&gt;AU$7),0,AND($K96&lt;=AU$7,$L96&lt;=AU$7),1,AND($K96&lt;=AU$7,$L96&gt;AU$7),((AU$7-$K96)/($L96-$K96)))</f>
        <v>#REF!</v>
      </c>
      <c r="AW96" s="201" t="e">
        <f t="array" ref="AW96">_xlfn.IFS(AND($K96&gt;AV$7,$L96&gt;AV$7),0,AND($K96&lt;=AV$7,$L96&lt;=AV$7),1,AND($K96&lt;=AV$7,$L96&gt;AV$7),((AV$7-$K96)/($L96-$K96)))</f>
        <v>#REF!</v>
      </c>
      <c r="AX96" s="201" t="e">
        <f t="array" ref="AX96">_xlfn.IFS(AND($K96&gt;AW$7,$L96&gt;AW$7),0,AND($K96&lt;=AW$7,$L96&lt;=AW$7),1,AND($K96&lt;=AW$7,$L96&gt;AW$7),((AW$7-$K96)/($L96-$K96)))</f>
        <v>#REF!</v>
      </c>
      <c r="AY96" s="201" t="e">
        <f t="array" ref="AY96">_xlfn.IFS(AND($K96&gt;AX$7,$L96&gt;AX$7),0,AND($K96&lt;=AX$7,$L96&lt;=AX$7),1,AND($K96&lt;=AX$7,$L96&gt;AX$7),((AX$7-$K96)/($L96-$K96)))</f>
        <v>#REF!</v>
      </c>
      <c r="AZ96" s="201" t="e">
        <f t="array" ref="AZ96">_xlfn.IFS(AND($K96&gt;AY$7,$L96&gt;AY$7),0,AND($K96&lt;=AY$7,$L96&lt;=AY$7),1,AND($K96&lt;=AY$7,$L96&gt;AY$7),((AY$7-$K96)/($L96-$K96)))</f>
        <v>#REF!</v>
      </c>
      <c r="BA96" s="201" t="e">
        <f t="array" ref="BA96">_xlfn.IFS(AND($K96&gt;AZ$7,$L96&gt;AZ$7),0,AND($K96&lt;=AZ$7,$L96&lt;=AZ$7),1,AND($K96&lt;=AZ$7,$L96&gt;AZ$7),((AZ$7-$K96)/($L96-$K96)))</f>
        <v>#REF!</v>
      </c>
      <c r="BB96" s="201" t="e">
        <f t="array" ref="BB96">_xlfn.IFS(AND($K96&gt;BA$7,$L96&gt;BA$7),0,AND($K96&lt;=BA$7,$L96&lt;=BA$7),1,AND($K96&lt;=BA$7,$L96&gt;BA$7),((BA$7-$K96)/($L96-$K96)))</f>
        <v>#REF!</v>
      </c>
      <c r="BC96" s="201" t="e">
        <f t="array" ref="BC96">_xlfn.IFS(AND($K96&gt;BB$7,$L96&gt;BB$7),0,AND($K96&lt;=BB$7,$L96&lt;=BB$7),1,AND($K96&lt;=BB$7,$L96&gt;BB$7),((BB$7-$K96)/($L96-$K96)))</f>
        <v>#REF!</v>
      </c>
      <c r="BD96" s="201" t="e">
        <f t="array" ref="BD96">_xlfn.IFS(AND($K96&gt;BC$7,$L96&gt;BC$7),0,AND($K96&lt;=BC$7,$L96&lt;=BC$7),1,AND($K96&lt;=BC$7,$L96&gt;BC$7),((BC$7-$K96)/($L96-$K96)))</f>
        <v>#REF!</v>
      </c>
      <c r="BE96" s="201" t="e">
        <f t="array" ref="BE96">_xlfn.IFS(AND($K96&gt;BD$7,$L96&gt;BD$7),0,AND($K96&lt;=BD$7,$L96&lt;=BD$7),1,AND($K96&lt;=BD$7,$L96&gt;BD$7),((BD$7-$K96)/($L96-$K96)))</f>
        <v>#REF!</v>
      </c>
      <c r="BF96" s="201" t="e">
        <f t="array" ref="BF96">_xlfn.IFS(AND($K96&gt;BE$7,$L96&gt;BE$7),0,AND($K96&lt;=BE$7,$L96&lt;=BE$7),1,AND($K96&lt;=BE$7,$L96&gt;BE$7),((BE$7-$K96)/($L96-$K96)))</f>
        <v>#REF!</v>
      </c>
      <c r="BG96" s="201" t="e">
        <f t="array" ref="BG96">_xlfn.IFS(AND($K96&gt;BF$7,$L96&gt;BF$7),0,AND($K96&lt;=BF$7,$L96&lt;=BF$7),1,AND($K96&lt;=BF$7,$L96&gt;BF$7),((BF$7-$K96)/($L96-$K96)))</f>
        <v>#REF!</v>
      </c>
      <c r="BH96" s="201" t="e">
        <f t="array" ref="BH96">_xlfn.IFS(AND($K96&gt;BG$7,$L96&gt;BG$7),0,AND($K96&lt;=BG$7,$L96&lt;=BG$7),1,AND($K96&lt;=BG$7,$L96&gt;BG$7),((BG$7-$K96)/($L96-$K96)))</f>
        <v>#REF!</v>
      </c>
      <c r="BI96" s="201" t="e">
        <f t="array" ref="BI96">_xlfn.IFS(AND($K96&gt;BH$7,$L96&gt;BH$7),0,AND($K96&lt;=BH$7,$L96&lt;=BH$7),1,AND($K96&lt;=BH$7,$L96&gt;BH$7),((BH$7-$K96)/($L96-$K96)))</f>
        <v>#REF!</v>
      </c>
      <c r="BJ96" s="201" t="e">
        <f t="array" ref="BJ96">_xlfn.IFS(AND($K96&gt;BI$7,$L96&gt;BI$7),0,AND($K96&lt;=BI$7,$L96&lt;=BI$7),1,AND($K96&lt;=BI$7,$L96&gt;BI$7),((BI$7-$K96)/($L96-$K96)))</f>
        <v>#REF!</v>
      </c>
      <c r="BK96" s="201" t="e">
        <f t="array" ref="BK96">_xlfn.IFS(AND($K96&gt;BJ$7,$L96&gt;BJ$7),0,AND($K96&lt;=BJ$7,$L96&lt;=BJ$7),1,AND($K96&lt;=BJ$7,$L96&gt;BJ$7),((BJ$7-$K96)/($L96-$K96)))</f>
        <v>#REF!</v>
      </c>
      <c r="BL96" s="201" t="e">
        <f t="array" ref="BL96">_xlfn.IFS(AND($K96&gt;BK$7,$L96&gt;BK$7),0,AND($K96&lt;=BK$7,$L96&lt;=BK$7),1,AND($K96&lt;=BK$7,$L96&gt;BK$7),((BK$7-$K96)/($L96-$K96)))</f>
        <v>#REF!</v>
      </c>
      <c r="BM96" s="201" t="e">
        <f t="array" ref="BM96">_xlfn.IFS(AND($K96&gt;BL$7,$L96&gt;BL$7),0,AND($K96&lt;=BL$7,$L96&lt;=BL$7),1,AND($K96&lt;=BL$7,$L96&gt;BL$7),((BL$7-$K96)/($L96-$K96)))</f>
        <v>#REF!</v>
      </c>
      <c r="BN96" s="201" t="e">
        <f t="array" ref="BN96">_xlfn.IFS(AND($K96&gt;BM$7,$L96&gt;BM$7),0,AND($K96&lt;=BM$7,$L96&lt;=BM$7),1,AND($K96&lt;=BM$7,$L96&gt;BM$7),((BM$7-$K96)/($L96-$K96)))</f>
        <v>#REF!</v>
      </c>
    </row>
    <row r="97" spans="2:66" ht="15" customHeight="1" x14ac:dyDescent="0.3">
      <c r="B97" s="166" t="s">
        <v>161</v>
      </c>
      <c r="C97" s="166" t="s">
        <v>241</v>
      </c>
      <c r="D97" s="177"/>
      <c r="E97" s="170" t="str">
        <f t="shared" si="44"/>
        <v>Desenvolvimento da Transformação dos Processos</v>
      </c>
      <c r="F97" s="174" t="str">
        <f t="shared" si="41"/>
        <v>Modelagem To Be</v>
      </c>
      <c r="G97" s="166" t="str">
        <f t="shared" si="45"/>
        <v>Modelagem To Be</v>
      </c>
      <c r="H97" s="197" t="s">
        <v>242</v>
      </c>
      <c r="I97" s="166">
        <v>45908</v>
      </c>
      <c r="J97" s="166">
        <v>45912</v>
      </c>
      <c r="K97" s="166">
        <v>45908</v>
      </c>
      <c r="L97" s="166">
        <v>45912</v>
      </c>
      <c r="M97" s="167"/>
      <c r="N97" s="167" t="str">
        <f t="array" ref="N97">_xlfn.IFS(L97&lt;$M$3,"Concluído",AND(K97&gt;=$M$3,I97&lt;$M$3,L97&gt;$M$3),"Em andamento",AND(L97&gt;=$M$3,J97&lt;$M$3),"Atrasado",AND(L97&gt;=$M$3,J97&gt;=$M$3,I97&gt;$M$3,K97&lt;=$M$3),"Em andamento",AND(L97&gt;=$M$3,J97&gt;=$M$3,I97&lt;=$M$3,K97&lt;=$M$3),"Em andamento",AND(K97&gt;$M$3,I97&gt;$M$3),"Não iniciado",AND(L97&gt;=$M$3,J97&gt;=$M$3,K97&gt;=$M$3,I97&lt;$M$3),"Atrasado",AND(L97&gt;=$M$3,J97&gt;=$M$3,K97&gt;=$M$3,I97&gt;$M$3),"Não iniciado",AND($I97&lt;=$M$3,$K97&gt;$M$3),"Atrasado")</f>
        <v>Concluído</v>
      </c>
      <c r="O97" s="167">
        <f t="array" ref="O97">_xlfn.IFS(N97="Não iniciado",0,N97="Em andamento",1,N97="Concluído",2,N97="Atrasado",3)</f>
        <v>2</v>
      </c>
      <c r="P97" s="169"/>
      <c r="Q97" s="152">
        <f t="array" aca="1" ref="Q97" ca="1">_xlfn.IFS(AND($I97&lt;$N$3,$J97&lt;$N$3),1,AND($I97&lt;=$N$3,$J97&gt;=$N$3),0.5,AND($I97&gt;=$N$3,$J97&gt;=$N$3),0)</f>
        <v>1</v>
      </c>
      <c r="R97" s="152">
        <f t="array" aca="1" ref="R97" ca="1">_xlfn.IFS(AND($K97&lt;$N$3,$L97&lt;$N$3),1,AND($K97&lt;=$N$3,$L97&gt;=$N$3),0.5,AND($K97&gt;=$N$3,$L97&gt;=$N$3),0)</f>
        <v>1</v>
      </c>
      <c r="S97" s="201" t="e">
        <f t="array" ref="S97">_xlfn.IFS(AND($K97&gt;R$7,$L97&gt;R$7),0,AND($K97&lt;=R$7,$L97&lt;=R$7),1,AND($K97&lt;=R$7,$L97&gt;R$7),((R$7-$K97)/($L97-$K97)))</f>
        <v>#REF!</v>
      </c>
      <c r="T97" s="201" t="e">
        <f t="array" ref="T97">_xlfn.IFS(AND($K97&gt;S$7,$L97&gt;S$7),0,AND($K97&lt;=S$7,$L97&lt;=S$7),1,AND($K97&lt;=S$7,$L97&gt;S$7),((S$7-$K97)/($L97-$K97)))</f>
        <v>#REF!</v>
      </c>
      <c r="U97" s="201" t="e">
        <f t="array" ref="U97">_xlfn.IFS(AND($K97&gt;T$7,$L97&gt;T$7),0,AND($K97&lt;=T$7,$L97&lt;=T$7),1,AND($K97&lt;=T$7,$L97&gt;T$7),((T$7-$K97)/($L97-$K97)))</f>
        <v>#REF!</v>
      </c>
      <c r="V97" s="201" t="e">
        <f t="array" ref="V97">_xlfn.IFS(AND($K97&gt;U$7,$L97&gt;U$7),0,AND($K97&lt;=U$7,$L97&lt;=U$7),1,AND($K97&lt;=U$7,$L97&gt;U$7),((U$7-$K97)/($L97-$K97)))</f>
        <v>#REF!</v>
      </c>
      <c r="W97" s="201" t="e">
        <f t="array" ref="W97">_xlfn.IFS(AND($K97&gt;V$7,$L97&gt;V$7),0,AND($K97&lt;=V$7,$L97&lt;=V$7),1,AND($K97&lt;=V$7,$L97&gt;V$7),((V$7-$K97)/($L97-$K97)))</f>
        <v>#REF!</v>
      </c>
      <c r="X97" s="201" t="e">
        <f t="array" ref="X97">_xlfn.IFS(AND($K97&gt;W$7,$L97&gt;W$7),0,AND($K97&lt;=W$7,$L97&lt;=W$7),1,AND($K97&lt;=W$7,$L97&gt;W$7),((W$7-$K97)/($L97-$K97)))</f>
        <v>#REF!</v>
      </c>
      <c r="Y97" s="201" t="e">
        <f t="array" ref="Y97">_xlfn.IFS(AND($K97&gt;X$7,$L97&gt;X$7),0,AND($K97&lt;=X$7,$L97&lt;=X$7),1,AND($K97&lt;=X$7,$L97&gt;X$7),((X$7-$K97)/($L97-$K97)))</f>
        <v>#REF!</v>
      </c>
      <c r="Z97" s="201" t="e">
        <f t="array" ref="Z97">_xlfn.IFS(AND($K97&gt;Y$7,$L97&gt;Y$7),0,AND($K97&lt;=Y$7,$L97&lt;=Y$7),1,AND($K97&lt;=Y$7,$L97&gt;Y$7),((Y$7-$K97)/($L97-$K97)))</f>
        <v>#REF!</v>
      </c>
      <c r="AA97" s="201" t="e">
        <f t="array" ref="AA97">_xlfn.IFS(AND($K97&gt;Z$7,$L97&gt;Z$7),0,AND($K97&lt;=Z$7,$L97&lt;=Z$7),1,AND($K97&lt;=Z$7,$L97&gt;Z$7),((Z$7-$K97)/($L97-$K97)))</f>
        <v>#REF!</v>
      </c>
      <c r="AB97" s="201" t="e">
        <f t="array" ref="AB97">_xlfn.IFS(AND($K97&gt;AA$7,$L97&gt;AA$7),0,AND($K97&lt;=AA$7,$L97&lt;=AA$7),1,AND($K97&lt;=AA$7,$L97&gt;AA$7),((AA$7-$K97)/($L97-$K97)))</f>
        <v>#REF!</v>
      </c>
      <c r="AC97" s="201" t="e">
        <f t="array" ref="AC97">_xlfn.IFS(AND($K97&gt;AB$7,$L97&gt;AB$7),0,AND($K97&lt;=AB$7,$L97&lt;=AB$7),1,AND($K97&lt;=AB$7,$L97&gt;AB$7),((AB$7-$K97)/($L97-$K97)))</f>
        <v>#REF!</v>
      </c>
      <c r="AD97" s="201" t="e">
        <f t="array" ref="AD97">_xlfn.IFS(AND($K97&gt;AC$7,$L97&gt;AC$7),0,AND($K97&lt;=AC$7,$L97&lt;=AC$7),1,AND($K97&lt;=AC$7,$L97&gt;AC$7),((AC$7-$K97)/($L97-$K97)))</f>
        <v>#REF!</v>
      </c>
      <c r="AE97" s="201" t="e">
        <f t="array" ref="AE97">_xlfn.IFS(AND($K97&gt;AD$7,$L97&gt;AD$7),0,AND($K97&lt;=AD$7,$L97&lt;=AD$7),1,AND($K97&lt;=AD$7,$L97&gt;AD$7),((AD$7-$K97)/($L97-$K97)))</f>
        <v>#REF!</v>
      </c>
      <c r="AF97" s="201" t="e">
        <f t="array" ref="AF97">_xlfn.IFS(AND($K97&gt;AE$7,$L97&gt;AE$7),0,AND($K97&lt;=AE$7,$L97&lt;=AE$7),1,AND($K97&lt;=AE$7,$L97&gt;AE$7),((AE$7-$K97)/($L97-$K97)))</f>
        <v>#REF!</v>
      </c>
      <c r="AG97" s="201" t="e">
        <f t="array" ref="AG97">_xlfn.IFS(AND($K97&gt;AF$7,$L97&gt;AF$7),0,AND($K97&lt;=AF$7,$L97&lt;=AF$7),1,AND($K97&lt;=AF$7,$L97&gt;AF$7),((AF$7-$K97)/($L97-$K97)))</f>
        <v>#REF!</v>
      </c>
      <c r="AH97" s="201" t="e">
        <f t="array" ref="AH97">_xlfn.IFS(AND($K97&gt;AG$7,$L97&gt;AG$7),0,AND($K97&lt;=AG$7,$L97&lt;=AG$7),1,AND($K97&lt;=AG$7,$L97&gt;AG$7),((AG$7-$K97)/($L97-$K97)))</f>
        <v>#REF!</v>
      </c>
      <c r="AI97" s="201" t="e">
        <f t="array" ref="AI97">_xlfn.IFS(AND($K97&gt;AH$7,$L97&gt;AH$7),0,AND($K97&lt;=AH$7,$L97&lt;=AH$7),1,AND($K97&lt;=AH$7,$L97&gt;AH$7),((AH$7-$K97)/($L97-$K97)))</f>
        <v>#REF!</v>
      </c>
      <c r="AJ97" s="201" t="e">
        <f t="array" ref="AJ97">_xlfn.IFS(AND($K97&gt;AI$7,$L97&gt;AI$7),0,AND($K97&lt;=AI$7,$L97&lt;=AI$7),1,AND($K97&lt;=AI$7,$L97&gt;AI$7),((AI$7-$K97)/($L97-$K97)))</f>
        <v>#REF!</v>
      </c>
      <c r="AK97" s="201" t="e">
        <f t="array" ref="AK97">_xlfn.IFS(AND($K97&gt;AJ$7,$L97&gt;AJ$7),0,AND($K97&lt;=AJ$7,$L97&lt;=AJ$7),1,AND($K97&lt;=AJ$7,$L97&gt;AJ$7),((AJ$7-$K97)/($L97-$K97)))</f>
        <v>#REF!</v>
      </c>
      <c r="AL97" s="201" t="e">
        <f t="array" ref="AL97">_xlfn.IFS(AND($K97&gt;AK$7,$L97&gt;AK$7),0,AND($K97&lt;=AK$7,$L97&lt;=AK$7),1,AND($K97&lt;=AK$7,$L97&gt;AK$7),((AK$7-$K97)/($L97-$K97)))</f>
        <v>#REF!</v>
      </c>
      <c r="AM97" s="201" t="e">
        <f t="array" ref="AM97">_xlfn.IFS(AND($K97&gt;AL$7,$L97&gt;AL$7),0,AND($K97&lt;=AL$7,$L97&lt;=AL$7),1,AND($K97&lt;=AL$7,$L97&gt;AL$7),((AL$7-$K97)/($L97-$K97)))</f>
        <v>#REF!</v>
      </c>
      <c r="AN97" s="201" t="e">
        <f t="array" ref="AN97">_xlfn.IFS(AND($K97&gt;AM$7,$L97&gt;AM$7),0,AND($K97&lt;=AM$7,$L97&lt;=AM$7),1,AND($K97&lt;=AM$7,$L97&gt;AM$7),((AM$7-$K97)/($L97-$K97)))</f>
        <v>#REF!</v>
      </c>
      <c r="AO97" s="201" t="e">
        <f t="array" ref="AO97">_xlfn.IFS(AND($K97&gt;AN$7,$L97&gt;AN$7),0,AND($K97&lt;=AN$7,$L97&lt;=AN$7),1,AND($K97&lt;=AN$7,$L97&gt;AN$7),((AN$7-$K97)/($L97-$K97)))</f>
        <v>#REF!</v>
      </c>
      <c r="AP97" s="201" t="e">
        <f t="array" ref="AP97">_xlfn.IFS(AND($K97&gt;AO$7,$L97&gt;AO$7),0,AND($K97&lt;=AO$7,$L97&lt;=AO$7),1,AND($K97&lt;=AO$7,$L97&gt;AO$7),((AO$7-$K97)/($L97-$K97)))</f>
        <v>#REF!</v>
      </c>
      <c r="AQ97" s="201" t="e">
        <f t="array" ref="AQ97">_xlfn.IFS(AND($K97&gt;AP$7,$L97&gt;AP$7),0,AND($K97&lt;=AP$7,$L97&lt;=AP$7),1,AND($K97&lt;=AP$7,$L97&gt;AP$7),((AP$7-$K97)/($L97-$K97)))</f>
        <v>#REF!</v>
      </c>
      <c r="AR97" s="201" t="e">
        <f t="array" ref="AR97">_xlfn.IFS(AND($K97&gt;AQ$7,$L97&gt;AQ$7),0,AND($K97&lt;=AQ$7,$L97&lt;=AQ$7),1,AND($K97&lt;=AQ$7,$L97&gt;AQ$7),((AQ$7-$K97)/($L97-$K97)))</f>
        <v>#REF!</v>
      </c>
      <c r="AS97" s="201" t="e">
        <f t="array" ref="AS97">_xlfn.IFS(AND($K97&gt;AR$7,$L97&gt;AR$7),0,AND($K97&lt;=AR$7,$L97&lt;=AR$7),1,AND($K97&lt;=AR$7,$L97&gt;AR$7),((AR$7-$K97)/($L97-$K97)))</f>
        <v>#REF!</v>
      </c>
      <c r="AT97" s="201" t="e">
        <f t="array" ref="AT97">_xlfn.IFS(AND($K97&gt;AS$7,$L97&gt;AS$7),0,AND($K97&lt;=AS$7,$L97&lt;=AS$7),1,AND($K97&lt;=AS$7,$L97&gt;AS$7),((AS$7-$K97)/($L97-$K97)))</f>
        <v>#REF!</v>
      </c>
      <c r="AU97" s="201" t="e">
        <f t="array" ref="AU97">_xlfn.IFS(AND($K97&gt;AT$7,$L97&gt;AT$7),0,AND($K97&lt;=AT$7,$L97&lt;=AT$7),1,AND($K97&lt;=AT$7,$L97&gt;AT$7),((AT$7-$K97)/($L97-$K97)))</f>
        <v>#REF!</v>
      </c>
      <c r="AV97" s="201" t="e">
        <f t="array" ref="AV97">_xlfn.IFS(AND($K97&gt;AU$7,$L97&gt;AU$7),0,AND($K97&lt;=AU$7,$L97&lt;=AU$7),1,AND($K97&lt;=AU$7,$L97&gt;AU$7),((AU$7-$K97)/($L97-$K97)))</f>
        <v>#REF!</v>
      </c>
      <c r="AW97" s="201" t="e">
        <f t="array" ref="AW97">_xlfn.IFS(AND($K97&gt;AV$7,$L97&gt;AV$7),0,AND($K97&lt;=AV$7,$L97&lt;=AV$7),1,AND($K97&lt;=AV$7,$L97&gt;AV$7),((AV$7-$K97)/($L97-$K97)))</f>
        <v>#REF!</v>
      </c>
      <c r="AX97" s="201" t="e">
        <f t="array" ref="AX97">_xlfn.IFS(AND($K97&gt;AW$7,$L97&gt;AW$7),0,AND($K97&lt;=AW$7,$L97&lt;=AW$7),1,AND($K97&lt;=AW$7,$L97&gt;AW$7),((AW$7-$K97)/($L97-$K97)))</f>
        <v>#REF!</v>
      </c>
      <c r="AY97" s="201" t="e">
        <f t="array" ref="AY97">_xlfn.IFS(AND($K97&gt;AX$7,$L97&gt;AX$7),0,AND($K97&lt;=AX$7,$L97&lt;=AX$7),1,AND($K97&lt;=AX$7,$L97&gt;AX$7),((AX$7-$K97)/($L97-$K97)))</f>
        <v>#REF!</v>
      </c>
      <c r="AZ97" s="201" t="e">
        <f t="array" ref="AZ97">_xlfn.IFS(AND($K97&gt;AY$7,$L97&gt;AY$7),0,AND($K97&lt;=AY$7,$L97&lt;=AY$7),1,AND($K97&lt;=AY$7,$L97&gt;AY$7),((AY$7-$K97)/($L97-$K97)))</f>
        <v>#REF!</v>
      </c>
      <c r="BA97" s="201" t="e">
        <f t="array" ref="BA97">_xlfn.IFS(AND($K97&gt;AZ$7,$L97&gt;AZ$7),0,AND($K97&lt;=AZ$7,$L97&lt;=AZ$7),1,AND($K97&lt;=AZ$7,$L97&gt;AZ$7),((AZ$7-$K97)/($L97-$K97)))</f>
        <v>#REF!</v>
      </c>
      <c r="BB97" s="201" t="e">
        <f t="array" ref="BB97">_xlfn.IFS(AND($K97&gt;BA$7,$L97&gt;BA$7),0,AND($K97&lt;=BA$7,$L97&lt;=BA$7),1,AND($K97&lt;=BA$7,$L97&gt;BA$7),((BA$7-$K97)/($L97-$K97)))</f>
        <v>#REF!</v>
      </c>
      <c r="BC97" s="201" t="e">
        <f t="array" ref="BC97">_xlfn.IFS(AND($K97&gt;BB$7,$L97&gt;BB$7),0,AND($K97&lt;=BB$7,$L97&lt;=BB$7),1,AND($K97&lt;=BB$7,$L97&gt;BB$7),((BB$7-$K97)/($L97-$K97)))</f>
        <v>#REF!</v>
      </c>
      <c r="BD97" s="201" t="e">
        <f t="array" ref="BD97">_xlfn.IFS(AND($K97&gt;BC$7,$L97&gt;BC$7),0,AND($K97&lt;=BC$7,$L97&lt;=BC$7),1,AND($K97&lt;=BC$7,$L97&gt;BC$7),((BC$7-$K97)/($L97-$K97)))</f>
        <v>#REF!</v>
      </c>
      <c r="BE97" s="201" t="e">
        <f t="array" ref="BE97">_xlfn.IFS(AND($K97&gt;BD$7,$L97&gt;BD$7),0,AND($K97&lt;=BD$7,$L97&lt;=BD$7),1,AND($K97&lt;=BD$7,$L97&gt;BD$7),((BD$7-$K97)/($L97-$K97)))</f>
        <v>#REF!</v>
      </c>
      <c r="BF97" s="201" t="e">
        <f t="array" ref="BF97">_xlfn.IFS(AND($K97&gt;BE$7,$L97&gt;BE$7),0,AND($K97&lt;=BE$7,$L97&lt;=BE$7),1,AND($K97&lt;=BE$7,$L97&gt;BE$7),((BE$7-$K97)/($L97-$K97)))</f>
        <v>#REF!</v>
      </c>
      <c r="BG97" s="201" t="e">
        <f t="array" ref="BG97">_xlfn.IFS(AND($K97&gt;BF$7,$L97&gt;BF$7),0,AND($K97&lt;=BF$7,$L97&lt;=BF$7),1,AND($K97&lt;=BF$7,$L97&gt;BF$7),((BF$7-$K97)/($L97-$K97)))</f>
        <v>#REF!</v>
      </c>
      <c r="BH97" s="201" t="e">
        <f t="array" ref="BH97">_xlfn.IFS(AND($K97&gt;BG$7,$L97&gt;BG$7),0,AND($K97&lt;=BG$7,$L97&lt;=BG$7),1,AND($K97&lt;=BG$7,$L97&gt;BG$7),((BG$7-$K97)/($L97-$K97)))</f>
        <v>#REF!</v>
      </c>
      <c r="BI97" s="201" t="e">
        <f t="array" ref="BI97">_xlfn.IFS(AND($K97&gt;BH$7,$L97&gt;BH$7),0,AND($K97&lt;=BH$7,$L97&lt;=BH$7),1,AND($K97&lt;=BH$7,$L97&gt;BH$7),((BH$7-$K97)/($L97-$K97)))</f>
        <v>#REF!</v>
      </c>
      <c r="BJ97" s="201" t="e">
        <f t="array" ref="BJ97">_xlfn.IFS(AND($K97&gt;BI$7,$L97&gt;BI$7),0,AND($K97&lt;=BI$7,$L97&lt;=BI$7),1,AND($K97&lt;=BI$7,$L97&gt;BI$7),((BI$7-$K97)/($L97-$K97)))</f>
        <v>#REF!</v>
      </c>
      <c r="BK97" s="201" t="e">
        <f t="array" ref="BK97">_xlfn.IFS(AND($K97&gt;BJ$7,$L97&gt;BJ$7),0,AND($K97&lt;=BJ$7,$L97&lt;=BJ$7),1,AND($K97&lt;=BJ$7,$L97&gt;BJ$7),((BJ$7-$K97)/($L97-$K97)))</f>
        <v>#REF!</v>
      </c>
      <c r="BL97" s="201" t="e">
        <f t="array" ref="BL97">_xlfn.IFS(AND($K97&gt;BK$7,$L97&gt;BK$7),0,AND($K97&lt;=BK$7,$L97&lt;=BK$7),1,AND($K97&lt;=BK$7,$L97&gt;BK$7),((BK$7-$K97)/($L97-$K97)))</f>
        <v>#REF!</v>
      </c>
      <c r="BM97" s="201" t="e">
        <f t="array" ref="BM97">_xlfn.IFS(AND($K97&gt;BL$7,$L97&gt;BL$7),0,AND($K97&lt;=BL$7,$L97&lt;=BL$7),1,AND($K97&lt;=BL$7,$L97&gt;BL$7),((BL$7-$K97)/($L97-$K97)))</f>
        <v>#REF!</v>
      </c>
      <c r="BN97" s="201" t="e">
        <f t="array" ref="BN97">_xlfn.IFS(AND($K97&gt;BM$7,$L97&gt;BM$7),0,AND($K97&lt;=BM$7,$L97&lt;=BM$7),1,AND($K97&lt;=BM$7,$L97&gt;BM$7),((BM$7-$K97)/($L97-$K97)))</f>
        <v>#REF!</v>
      </c>
    </row>
    <row r="98" spans="2:66" ht="15" customHeight="1" x14ac:dyDescent="0.3">
      <c r="B98" s="166" t="s">
        <v>161</v>
      </c>
      <c r="C98" s="166" t="s">
        <v>243</v>
      </c>
      <c r="D98" s="177"/>
      <c r="E98" s="170" t="str">
        <f t="shared" si="44"/>
        <v>Desenvolvimento da Transformação dos Processos</v>
      </c>
      <c r="F98" s="174" t="str">
        <f t="shared" si="41"/>
        <v>Modelagem To Be</v>
      </c>
      <c r="G98" s="166" t="str">
        <f t="shared" si="45"/>
        <v>Modelagem To Be</v>
      </c>
      <c r="H98" s="197" t="s">
        <v>244</v>
      </c>
      <c r="I98" s="166">
        <v>45908</v>
      </c>
      <c r="J98" s="166">
        <v>45912</v>
      </c>
      <c r="K98" s="166">
        <v>45908</v>
      </c>
      <c r="L98" s="166">
        <v>45912</v>
      </c>
      <c r="M98" s="167"/>
      <c r="N98" s="167" t="str">
        <f t="array" ref="N98">_xlfn.IFS(L98&lt;$M$3,"Concluído",AND(K98&gt;=$M$3,I98&lt;$M$3,L98&gt;$M$3),"Em andamento",AND(L98&gt;=$M$3,J98&lt;$M$3),"Atrasado",AND(L98&gt;=$M$3,J98&gt;=$M$3,I98&gt;$M$3,K98&lt;=$M$3),"Em andamento",AND(L98&gt;=$M$3,J98&gt;=$M$3,I98&lt;=$M$3,K98&lt;=$M$3),"Em andamento",AND(K98&gt;$M$3,I98&gt;$M$3),"Não iniciado",AND(L98&gt;=$M$3,J98&gt;=$M$3,K98&gt;=$M$3,I98&lt;$M$3),"Atrasado",AND(L98&gt;=$M$3,J98&gt;=$M$3,K98&gt;=$M$3,I98&gt;$M$3),"Não iniciado",AND($I98&lt;=$M$3,$K98&gt;$M$3),"Atrasado")</f>
        <v>Concluído</v>
      </c>
      <c r="O98" s="167">
        <f t="array" ref="O98">_xlfn.IFS(N98="Não iniciado",0,N98="Em andamento",1,N98="Concluído",2,N98="Atrasado",3)</f>
        <v>2</v>
      </c>
      <c r="P98" s="169"/>
      <c r="Q98" s="152">
        <f t="array" aca="1" ref="Q98" ca="1">_xlfn.IFS(AND($I98&lt;$N$3,$J98&lt;$N$3),1,AND($I98&lt;=$N$3,$J98&gt;=$N$3),0.5,AND($I98&gt;=$N$3,$J98&gt;=$N$3),0)</f>
        <v>1</v>
      </c>
      <c r="R98" s="152">
        <f t="array" aca="1" ref="R98" ca="1">_xlfn.IFS(AND($K98&lt;$N$3,$L98&lt;$N$3),1,AND($K98&lt;=$N$3,$L98&gt;=$N$3),0.5,AND($K98&gt;=$N$3,$L98&gt;=$N$3),0)</f>
        <v>1</v>
      </c>
      <c r="S98" s="201" t="e">
        <f t="array" ref="S98">_xlfn.IFS(AND($K98&gt;R$7,$L98&gt;R$7),0,AND($K98&lt;=R$7,$L98&lt;=R$7),1,AND($K98&lt;=R$7,$L98&gt;R$7),((R$7-$K98)/($L98-$K98)))</f>
        <v>#REF!</v>
      </c>
      <c r="T98" s="201" t="e">
        <f t="array" ref="T98">_xlfn.IFS(AND($K98&gt;S$7,$L98&gt;S$7),0,AND($K98&lt;=S$7,$L98&lt;=S$7),1,AND($K98&lt;=S$7,$L98&gt;S$7),((S$7-$K98)/($L98-$K98)))</f>
        <v>#REF!</v>
      </c>
      <c r="U98" s="201" t="e">
        <f t="array" ref="U98">_xlfn.IFS(AND($K98&gt;T$7,$L98&gt;T$7),0,AND($K98&lt;=T$7,$L98&lt;=T$7),1,AND($K98&lt;=T$7,$L98&gt;T$7),((T$7-$K98)/($L98-$K98)))</f>
        <v>#REF!</v>
      </c>
      <c r="V98" s="201" t="e">
        <f t="array" ref="V98">_xlfn.IFS(AND($K98&gt;U$7,$L98&gt;U$7),0,AND($K98&lt;=U$7,$L98&lt;=U$7),1,AND($K98&lt;=U$7,$L98&gt;U$7),((U$7-$K98)/($L98-$K98)))</f>
        <v>#REF!</v>
      </c>
      <c r="W98" s="201" t="e">
        <f t="array" ref="W98">_xlfn.IFS(AND($K98&gt;V$7,$L98&gt;V$7),0,AND($K98&lt;=V$7,$L98&lt;=V$7),1,AND($K98&lt;=V$7,$L98&gt;V$7),((V$7-$K98)/($L98-$K98)))</f>
        <v>#REF!</v>
      </c>
      <c r="X98" s="201" t="e">
        <f t="array" ref="X98">_xlfn.IFS(AND($K98&gt;W$7,$L98&gt;W$7),0,AND($K98&lt;=W$7,$L98&lt;=W$7),1,AND($K98&lt;=W$7,$L98&gt;W$7),((W$7-$K98)/($L98-$K98)))</f>
        <v>#REF!</v>
      </c>
      <c r="Y98" s="201" t="e">
        <f t="array" ref="Y98">_xlfn.IFS(AND($K98&gt;X$7,$L98&gt;X$7),0,AND($K98&lt;=X$7,$L98&lt;=X$7),1,AND($K98&lt;=X$7,$L98&gt;X$7),((X$7-$K98)/($L98-$K98)))</f>
        <v>#REF!</v>
      </c>
      <c r="Z98" s="201" t="e">
        <f t="array" ref="Z98">_xlfn.IFS(AND($K98&gt;Y$7,$L98&gt;Y$7),0,AND($K98&lt;=Y$7,$L98&lt;=Y$7),1,AND($K98&lt;=Y$7,$L98&gt;Y$7),((Y$7-$K98)/($L98-$K98)))</f>
        <v>#REF!</v>
      </c>
      <c r="AA98" s="201" t="e">
        <f t="array" ref="AA98">_xlfn.IFS(AND($K98&gt;Z$7,$L98&gt;Z$7),0,AND($K98&lt;=Z$7,$L98&lt;=Z$7),1,AND($K98&lt;=Z$7,$L98&gt;Z$7),((Z$7-$K98)/($L98-$K98)))</f>
        <v>#REF!</v>
      </c>
      <c r="AB98" s="201" t="e">
        <f t="array" ref="AB98">_xlfn.IFS(AND($K98&gt;AA$7,$L98&gt;AA$7),0,AND($K98&lt;=AA$7,$L98&lt;=AA$7),1,AND($K98&lt;=AA$7,$L98&gt;AA$7),((AA$7-$K98)/($L98-$K98)))</f>
        <v>#REF!</v>
      </c>
      <c r="AC98" s="201" t="e">
        <f t="array" ref="AC98">_xlfn.IFS(AND($K98&gt;AB$7,$L98&gt;AB$7),0,AND($K98&lt;=AB$7,$L98&lt;=AB$7),1,AND($K98&lt;=AB$7,$L98&gt;AB$7),((AB$7-$K98)/($L98-$K98)))</f>
        <v>#REF!</v>
      </c>
      <c r="AD98" s="201" t="e">
        <f t="array" ref="AD98">_xlfn.IFS(AND($K98&gt;AC$7,$L98&gt;AC$7),0,AND($K98&lt;=AC$7,$L98&lt;=AC$7),1,AND($K98&lt;=AC$7,$L98&gt;AC$7),((AC$7-$K98)/($L98-$K98)))</f>
        <v>#REF!</v>
      </c>
      <c r="AE98" s="201" t="e">
        <f t="array" ref="AE98">_xlfn.IFS(AND($K98&gt;AD$7,$L98&gt;AD$7),0,AND($K98&lt;=AD$7,$L98&lt;=AD$7),1,AND($K98&lt;=AD$7,$L98&gt;AD$7),((AD$7-$K98)/($L98-$K98)))</f>
        <v>#REF!</v>
      </c>
      <c r="AF98" s="201" t="e">
        <f t="array" ref="AF98">_xlfn.IFS(AND($K98&gt;AE$7,$L98&gt;AE$7),0,AND($K98&lt;=AE$7,$L98&lt;=AE$7),1,AND($K98&lt;=AE$7,$L98&gt;AE$7),((AE$7-$K98)/($L98-$K98)))</f>
        <v>#REF!</v>
      </c>
      <c r="AG98" s="201" t="e">
        <f t="array" ref="AG98">_xlfn.IFS(AND($K98&gt;AF$7,$L98&gt;AF$7),0,AND($K98&lt;=AF$7,$L98&lt;=AF$7),1,AND($K98&lt;=AF$7,$L98&gt;AF$7),((AF$7-$K98)/($L98-$K98)))</f>
        <v>#REF!</v>
      </c>
      <c r="AH98" s="201" t="e">
        <f t="array" ref="AH98">_xlfn.IFS(AND($K98&gt;AG$7,$L98&gt;AG$7),0,AND($K98&lt;=AG$7,$L98&lt;=AG$7),1,AND($K98&lt;=AG$7,$L98&gt;AG$7),((AG$7-$K98)/($L98-$K98)))</f>
        <v>#REF!</v>
      </c>
      <c r="AI98" s="201" t="e">
        <f t="array" ref="AI98">_xlfn.IFS(AND($K98&gt;AH$7,$L98&gt;AH$7),0,AND($K98&lt;=AH$7,$L98&lt;=AH$7),1,AND($K98&lt;=AH$7,$L98&gt;AH$7),((AH$7-$K98)/($L98-$K98)))</f>
        <v>#REF!</v>
      </c>
      <c r="AJ98" s="201" t="e">
        <f t="array" ref="AJ98">_xlfn.IFS(AND($K98&gt;AI$7,$L98&gt;AI$7),0,AND($K98&lt;=AI$7,$L98&lt;=AI$7),1,AND($K98&lt;=AI$7,$L98&gt;AI$7),((AI$7-$K98)/($L98-$K98)))</f>
        <v>#REF!</v>
      </c>
      <c r="AK98" s="201" t="e">
        <f t="array" ref="AK98">_xlfn.IFS(AND($K98&gt;AJ$7,$L98&gt;AJ$7),0,AND($K98&lt;=AJ$7,$L98&lt;=AJ$7),1,AND($K98&lt;=AJ$7,$L98&gt;AJ$7),((AJ$7-$K98)/($L98-$K98)))</f>
        <v>#REF!</v>
      </c>
      <c r="AL98" s="201" t="e">
        <f t="array" ref="AL98">_xlfn.IFS(AND($K98&gt;AK$7,$L98&gt;AK$7),0,AND($K98&lt;=AK$7,$L98&lt;=AK$7),1,AND($K98&lt;=AK$7,$L98&gt;AK$7),((AK$7-$K98)/($L98-$K98)))</f>
        <v>#REF!</v>
      </c>
      <c r="AM98" s="201" t="e">
        <f t="array" ref="AM98">_xlfn.IFS(AND($K98&gt;AL$7,$L98&gt;AL$7),0,AND($K98&lt;=AL$7,$L98&lt;=AL$7),1,AND($K98&lt;=AL$7,$L98&gt;AL$7),((AL$7-$K98)/($L98-$K98)))</f>
        <v>#REF!</v>
      </c>
      <c r="AN98" s="201" t="e">
        <f t="array" ref="AN98">_xlfn.IFS(AND($K98&gt;AM$7,$L98&gt;AM$7),0,AND($K98&lt;=AM$7,$L98&lt;=AM$7),1,AND($K98&lt;=AM$7,$L98&gt;AM$7),((AM$7-$K98)/($L98-$K98)))</f>
        <v>#REF!</v>
      </c>
      <c r="AO98" s="201" t="e">
        <f t="array" ref="AO98">_xlfn.IFS(AND($K98&gt;AN$7,$L98&gt;AN$7),0,AND($K98&lt;=AN$7,$L98&lt;=AN$7),1,AND($K98&lt;=AN$7,$L98&gt;AN$7),((AN$7-$K98)/($L98-$K98)))</f>
        <v>#REF!</v>
      </c>
      <c r="AP98" s="201" t="e">
        <f t="array" ref="AP98">_xlfn.IFS(AND($K98&gt;AO$7,$L98&gt;AO$7),0,AND($K98&lt;=AO$7,$L98&lt;=AO$7),1,AND($K98&lt;=AO$7,$L98&gt;AO$7),((AO$7-$K98)/($L98-$K98)))</f>
        <v>#REF!</v>
      </c>
      <c r="AQ98" s="201" t="e">
        <f t="array" ref="AQ98">_xlfn.IFS(AND($K98&gt;AP$7,$L98&gt;AP$7),0,AND($K98&lt;=AP$7,$L98&lt;=AP$7),1,AND($K98&lt;=AP$7,$L98&gt;AP$7),((AP$7-$K98)/($L98-$K98)))</f>
        <v>#REF!</v>
      </c>
      <c r="AR98" s="201" t="e">
        <f t="array" ref="AR98">_xlfn.IFS(AND($K98&gt;AQ$7,$L98&gt;AQ$7),0,AND($K98&lt;=AQ$7,$L98&lt;=AQ$7),1,AND($K98&lt;=AQ$7,$L98&gt;AQ$7),((AQ$7-$K98)/($L98-$K98)))</f>
        <v>#REF!</v>
      </c>
      <c r="AS98" s="201" t="e">
        <f t="array" ref="AS98">_xlfn.IFS(AND($K98&gt;AR$7,$L98&gt;AR$7),0,AND($K98&lt;=AR$7,$L98&lt;=AR$7),1,AND($K98&lt;=AR$7,$L98&gt;AR$7),((AR$7-$K98)/($L98-$K98)))</f>
        <v>#REF!</v>
      </c>
      <c r="AT98" s="201" t="e">
        <f t="array" ref="AT98">_xlfn.IFS(AND($K98&gt;AS$7,$L98&gt;AS$7),0,AND($K98&lt;=AS$7,$L98&lt;=AS$7),1,AND($K98&lt;=AS$7,$L98&gt;AS$7),((AS$7-$K98)/($L98-$K98)))</f>
        <v>#REF!</v>
      </c>
      <c r="AU98" s="201" t="e">
        <f t="array" ref="AU98">_xlfn.IFS(AND($K98&gt;AT$7,$L98&gt;AT$7),0,AND($K98&lt;=AT$7,$L98&lt;=AT$7),1,AND($K98&lt;=AT$7,$L98&gt;AT$7),((AT$7-$K98)/($L98-$K98)))</f>
        <v>#REF!</v>
      </c>
      <c r="AV98" s="201" t="e">
        <f t="array" ref="AV98">_xlfn.IFS(AND($K98&gt;AU$7,$L98&gt;AU$7),0,AND($K98&lt;=AU$7,$L98&lt;=AU$7),1,AND($K98&lt;=AU$7,$L98&gt;AU$7),((AU$7-$K98)/($L98-$K98)))</f>
        <v>#REF!</v>
      </c>
      <c r="AW98" s="201" t="e">
        <f t="array" ref="AW98">_xlfn.IFS(AND($K98&gt;AV$7,$L98&gt;AV$7),0,AND($K98&lt;=AV$7,$L98&lt;=AV$7),1,AND($K98&lt;=AV$7,$L98&gt;AV$7),((AV$7-$K98)/($L98-$K98)))</f>
        <v>#REF!</v>
      </c>
      <c r="AX98" s="201" t="e">
        <f t="array" ref="AX98">_xlfn.IFS(AND($K98&gt;AW$7,$L98&gt;AW$7),0,AND($K98&lt;=AW$7,$L98&lt;=AW$7),1,AND($K98&lt;=AW$7,$L98&gt;AW$7),((AW$7-$K98)/($L98-$K98)))</f>
        <v>#REF!</v>
      </c>
      <c r="AY98" s="201" t="e">
        <f t="array" ref="AY98">_xlfn.IFS(AND($K98&gt;AX$7,$L98&gt;AX$7),0,AND($K98&lt;=AX$7,$L98&lt;=AX$7),1,AND($K98&lt;=AX$7,$L98&gt;AX$7),((AX$7-$K98)/($L98-$K98)))</f>
        <v>#REF!</v>
      </c>
      <c r="AZ98" s="201" t="e">
        <f t="array" ref="AZ98">_xlfn.IFS(AND($K98&gt;AY$7,$L98&gt;AY$7),0,AND($K98&lt;=AY$7,$L98&lt;=AY$7),1,AND($K98&lt;=AY$7,$L98&gt;AY$7),((AY$7-$K98)/($L98-$K98)))</f>
        <v>#REF!</v>
      </c>
      <c r="BA98" s="201" t="e">
        <f t="array" ref="BA98">_xlfn.IFS(AND($K98&gt;AZ$7,$L98&gt;AZ$7),0,AND($K98&lt;=AZ$7,$L98&lt;=AZ$7),1,AND($K98&lt;=AZ$7,$L98&gt;AZ$7),((AZ$7-$K98)/($L98-$K98)))</f>
        <v>#REF!</v>
      </c>
      <c r="BB98" s="201" t="e">
        <f t="array" ref="BB98">_xlfn.IFS(AND($K98&gt;BA$7,$L98&gt;BA$7),0,AND($K98&lt;=BA$7,$L98&lt;=BA$7),1,AND($K98&lt;=BA$7,$L98&gt;BA$7),((BA$7-$K98)/($L98-$K98)))</f>
        <v>#REF!</v>
      </c>
      <c r="BC98" s="201" t="e">
        <f t="array" ref="BC98">_xlfn.IFS(AND($K98&gt;BB$7,$L98&gt;BB$7),0,AND($K98&lt;=BB$7,$L98&lt;=BB$7),1,AND($K98&lt;=BB$7,$L98&gt;BB$7),((BB$7-$K98)/($L98-$K98)))</f>
        <v>#REF!</v>
      </c>
      <c r="BD98" s="201" t="e">
        <f t="array" ref="BD98">_xlfn.IFS(AND($K98&gt;BC$7,$L98&gt;BC$7),0,AND($K98&lt;=BC$7,$L98&lt;=BC$7),1,AND($K98&lt;=BC$7,$L98&gt;BC$7),((BC$7-$K98)/($L98-$K98)))</f>
        <v>#REF!</v>
      </c>
      <c r="BE98" s="201" t="e">
        <f t="array" ref="BE98">_xlfn.IFS(AND($K98&gt;BD$7,$L98&gt;BD$7),0,AND($K98&lt;=BD$7,$L98&lt;=BD$7),1,AND($K98&lt;=BD$7,$L98&gt;BD$7),((BD$7-$K98)/($L98-$K98)))</f>
        <v>#REF!</v>
      </c>
      <c r="BF98" s="201" t="e">
        <f t="array" ref="BF98">_xlfn.IFS(AND($K98&gt;BE$7,$L98&gt;BE$7),0,AND($K98&lt;=BE$7,$L98&lt;=BE$7),1,AND($K98&lt;=BE$7,$L98&gt;BE$7),((BE$7-$K98)/($L98-$K98)))</f>
        <v>#REF!</v>
      </c>
      <c r="BG98" s="201" t="e">
        <f t="array" ref="BG98">_xlfn.IFS(AND($K98&gt;BF$7,$L98&gt;BF$7),0,AND($K98&lt;=BF$7,$L98&lt;=BF$7),1,AND($K98&lt;=BF$7,$L98&gt;BF$7),((BF$7-$K98)/($L98-$K98)))</f>
        <v>#REF!</v>
      </c>
      <c r="BH98" s="201" t="e">
        <f t="array" ref="BH98">_xlfn.IFS(AND($K98&gt;BG$7,$L98&gt;BG$7),0,AND($K98&lt;=BG$7,$L98&lt;=BG$7),1,AND($K98&lt;=BG$7,$L98&gt;BG$7),((BG$7-$K98)/($L98-$K98)))</f>
        <v>#REF!</v>
      </c>
      <c r="BI98" s="201" t="e">
        <f t="array" ref="BI98">_xlfn.IFS(AND($K98&gt;BH$7,$L98&gt;BH$7),0,AND($K98&lt;=BH$7,$L98&lt;=BH$7),1,AND($K98&lt;=BH$7,$L98&gt;BH$7),((BH$7-$K98)/($L98-$K98)))</f>
        <v>#REF!</v>
      </c>
      <c r="BJ98" s="201" t="e">
        <f t="array" ref="BJ98">_xlfn.IFS(AND($K98&gt;BI$7,$L98&gt;BI$7),0,AND($K98&lt;=BI$7,$L98&lt;=BI$7),1,AND($K98&lt;=BI$7,$L98&gt;BI$7),((BI$7-$K98)/($L98-$K98)))</f>
        <v>#REF!</v>
      </c>
      <c r="BK98" s="201" t="e">
        <f t="array" ref="BK98">_xlfn.IFS(AND($K98&gt;BJ$7,$L98&gt;BJ$7),0,AND($K98&lt;=BJ$7,$L98&lt;=BJ$7),1,AND($K98&lt;=BJ$7,$L98&gt;BJ$7),((BJ$7-$K98)/($L98-$K98)))</f>
        <v>#REF!</v>
      </c>
      <c r="BL98" s="201" t="e">
        <f t="array" ref="BL98">_xlfn.IFS(AND($K98&gt;BK$7,$L98&gt;BK$7),0,AND($K98&lt;=BK$7,$L98&lt;=BK$7),1,AND($K98&lt;=BK$7,$L98&gt;BK$7),((BK$7-$K98)/($L98-$K98)))</f>
        <v>#REF!</v>
      </c>
      <c r="BM98" s="201" t="e">
        <f t="array" ref="BM98">_xlfn.IFS(AND($K98&gt;BL$7,$L98&gt;BL$7),0,AND($K98&lt;=BL$7,$L98&lt;=BL$7),1,AND($K98&lt;=BL$7,$L98&gt;BL$7),((BL$7-$K98)/($L98-$K98)))</f>
        <v>#REF!</v>
      </c>
      <c r="BN98" s="201" t="e">
        <f t="array" ref="BN98">_xlfn.IFS(AND($K98&gt;BM$7,$L98&gt;BM$7),0,AND($K98&lt;=BM$7,$L98&lt;=BM$7),1,AND($K98&lt;=BM$7,$L98&gt;BM$7),((BM$7-$K98)/($L98-$K98)))</f>
        <v>#REF!</v>
      </c>
    </row>
    <row r="99" spans="2:66" ht="15" customHeight="1" x14ac:dyDescent="0.3">
      <c r="B99" s="166" t="s">
        <v>161</v>
      </c>
      <c r="C99" s="166" t="s">
        <v>245</v>
      </c>
      <c r="D99" s="177"/>
      <c r="E99" s="170" t="str">
        <f t="shared" si="44"/>
        <v>Desenvolvimento da Transformação dos Processos</v>
      </c>
      <c r="F99" s="174" t="str">
        <f t="shared" si="41"/>
        <v>Modelagem To Be</v>
      </c>
      <c r="G99" s="166" t="str">
        <f t="shared" si="45"/>
        <v>Modelagem To Be</v>
      </c>
      <c r="H99" s="197" t="s">
        <v>246</v>
      </c>
      <c r="I99" s="166">
        <v>45936</v>
      </c>
      <c r="J99" s="166">
        <v>45940</v>
      </c>
      <c r="K99" s="166">
        <v>45936</v>
      </c>
      <c r="L99" s="166">
        <v>45940</v>
      </c>
      <c r="M99" s="167"/>
      <c r="N99" s="167" t="str">
        <f t="array" ref="N99">_xlfn.IFS(L99&lt;$M$3,"Concluído",AND(K99&gt;=$M$3,I99&lt;$M$3,L99&gt;$M$3),"Em andamento",AND(L99&gt;=$M$3,J99&lt;$M$3),"Atrasado",AND(L99&gt;=$M$3,J99&gt;=$M$3,I99&gt;$M$3,K99&lt;=$M$3),"Em andamento",AND(L99&gt;=$M$3,J99&gt;=$M$3,I99&lt;=$M$3,K99&lt;=$M$3),"Em andamento",AND(K99&gt;$M$3,I99&gt;$M$3),"Não iniciado",AND(L99&gt;=$M$3,J99&gt;=$M$3,K99&gt;=$M$3,I99&lt;$M$3),"Atrasado",AND(L99&gt;=$M$3,J99&gt;=$M$3,K99&gt;=$M$3,I99&gt;$M$3),"Não iniciado",AND($I99&lt;=$M$3,$K99&gt;$M$3),"Atrasado")</f>
        <v>Concluído</v>
      </c>
      <c r="O99" s="167">
        <f t="array" ref="O99">_xlfn.IFS(N99="Não iniciado",0,N99="Em andamento",1,N99="Concluído",2,N99="Atrasado",3)</f>
        <v>2</v>
      </c>
      <c r="P99" s="169"/>
      <c r="Q99" s="152">
        <f t="array" aca="1" ref="Q99" ca="1">_xlfn.IFS(AND($I99&lt;$N$3,$J99&lt;$N$3),1,AND($I99&lt;=$N$3,$J99&gt;=$N$3),0.5,AND($I99&gt;=$N$3,$J99&gt;=$N$3),0)</f>
        <v>1</v>
      </c>
      <c r="R99" s="152">
        <f t="array" aca="1" ref="R99" ca="1">_xlfn.IFS(AND($K99&lt;$N$3,$L99&lt;$N$3),1,AND($K99&lt;=$N$3,$L99&gt;=$N$3),0.5,AND($K99&gt;=$N$3,$L99&gt;=$N$3),0)</f>
        <v>1</v>
      </c>
      <c r="S99" s="201" t="e">
        <f t="array" ref="S99">_xlfn.IFS(AND($K99&gt;R$7,$L99&gt;R$7),0,AND($K99&lt;=R$7,$L99&lt;=R$7),1,AND($K99&lt;=R$7,$L99&gt;R$7),((R$7-$K99)/($L99-$K99)))</f>
        <v>#REF!</v>
      </c>
      <c r="T99" s="201" t="e">
        <f t="array" ref="T99">_xlfn.IFS(AND($K99&gt;S$7,$L99&gt;S$7),0,AND($K99&lt;=S$7,$L99&lt;=S$7),1,AND($K99&lt;=S$7,$L99&gt;S$7),((S$7-$K99)/($L99-$K99)))</f>
        <v>#REF!</v>
      </c>
      <c r="U99" s="201" t="e">
        <f t="array" ref="U99">_xlfn.IFS(AND($K99&gt;T$7,$L99&gt;T$7),0,AND($K99&lt;=T$7,$L99&lt;=T$7),1,AND($K99&lt;=T$7,$L99&gt;T$7),((T$7-$K99)/($L99-$K99)))</f>
        <v>#REF!</v>
      </c>
      <c r="V99" s="201" t="e">
        <f t="array" ref="V99">_xlfn.IFS(AND($K99&gt;U$7,$L99&gt;U$7),0,AND($K99&lt;=U$7,$L99&lt;=U$7),1,AND($K99&lt;=U$7,$L99&gt;U$7),((U$7-$K99)/($L99-$K99)))</f>
        <v>#REF!</v>
      </c>
      <c r="W99" s="201" t="e">
        <f t="array" ref="W99">_xlfn.IFS(AND($K99&gt;V$7,$L99&gt;V$7),0,AND($K99&lt;=V$7,$L99&lt;=V$7),1,AND($K99&lt;=V$7,$L99&gt;V$7),((V$7-$K99)/($L99-$K99)))</f>
        <v>#REF!</v>
      </c>
      <c r="X99" s="201" t="e">
        <f t="array" ref="X99">_xlfn.IFS(AND($K99&gt;W$7,$L99&gt;W$7),0,AND($K99&lt;=W$7,$L99&lt;=W$7),1,AND($K99&lt;=W$7,$L99&gt;W$7),((W$7-$K99)/($L99-$K99)))</f>
        <v>#REF!</v>
      </c>
      <c r="Y99" s="201" t="e">
        <f t="array" ref="Y99">_xlfn.IFS(AND($K99&gt;X$7,$L99&gt;X$7),0,AND($K99&lt;=X$7,$L99&lt;=X$7),1,AND($K99&lt;=X$7,$L99&gt;X$7),((X$7-$K99)/($L99-$K99)))</f>
        <v>#REF!</v>
      </c>
      <c r="Z99" s="201" t="e">
        <f t="array" ref="Z99">_xlfn.IFS(AND($K99&gt;Y$7,$L99&gt;Y$7),0,AND($K99&lt;=Y$7,$L99&lt;=Y$7),1,AND($K99&lt;=Y$7,$L99&gt;Y$7),((Y$7-$K99)/($L99-$K99)))</f>
        <v>#REF!</v>
      </c>
      <c r="AA99" s="201" t="e">
        <f t="array" ref="AA99">_xlfn.IFS(AND($K99&gt;Z$7,$L99&gt;Z$7),0,AND($K99&lt;=Z$7,$L99&lt;=Z$7),1,AND($K99&lt;=Z$7,$L99&gt;Z$7),((Z$7-$K99)/($L99-$K99)))</f>
        <v>#REF!</v>
      </c>
      <c r="AB99" s="201" t="e">
        <f t="array" ref="AB99">_xlfn.IFS(AND($K99&gt;AA$7,$L99&gt;AA$7),0,AND($K99&lt;=AA$7,$L99&lt;=AA$7),1,AND($K99&lt;=AA$7,$L99&gt;AA$7),((AA$7-$K99)/($L99-$K99)))</f>
        <v>#REF!</v>
      </c>
      <c r="AC99" s="201" t="e">
        <f t="array" ref="AC99">_xlfn.IFS(AND($K99&gt;AB$7,$L99&gt;AB$7),0,AND($K99&lt;=AB$7,$L99&lt;=AB$7),1,AND($K99&lt;=AB$7,$L99&gt;AB$7),((AB$7-$K99)/($L99-$K99)))</f>
        <v>#REF!</v>
      </c>
      <c r="AD99" s="201" t="e">
        <f t="array" ref="AD99">_xlfn.IFS(AND($K99&gt;AC$7,$L99&gt;AC$7),0,AND($K99&lt;=AC$7,$L99&lt;=AC$7),1,AND($K99&lt;=AC$7,$L99&gt;AC$7),((AC$7-$K99)/($L99-$K99)))</f>
        <v>#REF!</v>
      </c>
      <c r="AE99" s="201" t="e">
        <f t="array" ref="AE99">_xlfn.IFS(AND($K99&gt;AD$7,$L99&gt;AD$7),0,AND($K99&lt;=AD$7,$L99&lt;=AD$7),1,AND($K99&lt;=AD$7,$L99&gt;AD$7),((AD$7-$K99)/($L99-$K99)))</f>
        <v>#REF!</v>
      </c>
      <c r="AF99" s="201" t="e">
        <f t="array" ref="AF99">_xlfn.IFS(AND($K99&gt;AE$7,$L99&gt;AE$7),0,AND($K99&lt;=AE$7,$L99&lt;=AE$7),1,AND($K99&lt;=AE$7,$L99&gt;AE$7),((AE$7-$K99)/($L99-$K99)))</f>
        <v>#REF!</v>
      </c>
      <c r="AG99" s="201" t="e">
        <f t="array" ref="AG99">_xlfn.IFS(AND($K99&gt;AF$7,$L99&gt;AF$7),0,AND($K99&lt;=AF$7,$L99&lt;=AF$7),1,AND($K99&lt;=AF$7,$L99&gt;AF$7),((AF$7-$K99)/($L99-$K99)))</f>
        <v>#REF!</v>
      </c>
      <c r="AH99" s="201" t="e">
        <f t="array" ref="AH99">_xlfn.IFS(AND($K99&gt;AG$7,$L99&gt;AG$7),0,AND($K99&lt;=AG$7,$L99&lt;=AG$7),1,AND($K99&lt;=AG$7,$L99&gt;AG$7),((AG$7-$K99)/($L99-$K99)))</f>
        <v>#REF!</v>
      </c>
      <c r="AI99" s="201" t="e">
        <f t="array" ref="AI99">_xlfn.IFS(AND($K99&gt;AH$7,$L99&gt;AH$7),0,AND($K99&lt;=AH$7,$L99&lt;=AH$7),1,AND($K99&lt;=AH$7,$L99&gt;AH$7),((AH$7-$K99)/($L99-$K99)))</f>
        <v>#REF!</v>
      </c>
      <c r="AJ99" s="201" t="e">
        <f t="array" ref="AJ99">_xlfn.IFS(AND($K99&gt;AI$7,$L99&gt;AI$7),0,AND($K99&lt;=AI$7,$L99&lt;=AI$7),1,AND($K99&lt;=AI$7,$L99&gt;AI$7),((AI$7-$K99)/($L99-$K99)))</f>
        <v>#REF!</v>
      </c>
      <c r="AK99" s="201" t="e">
        <f t="array" ref="AK99">_xlfn.IFS(AND($K99&gt;AJ$7,$L99&gt;AJ$7),0,AND($K99&lt;=AJ$7,$L99&lt;=AJ$7),1,AND($K99&lt;=AJ$7,$L99&gt;AJ$7),((AJ$7-$K99)/($L99-$K99)))</f>
        <v>#REF!</v>
      </c>
      <c r="AL99" s="201" t="e">
        <f t="array" ref="AL99">_xlfn.IFS(AND($K99&gt;AK$7,$L99&gt;AK$7),0,AND($K99&lt;=AK$7,$L99&lt;=AK$7),1,AND($K99&lt;=AK$7,$L99&gt;AK$7),((AK$7-$K99)/($L99-$K99)))</f>
        <v>#REF!</v>
      </c>
      <c r="AM99" s="201" t="e">
        <f t="array" ref="AM99">_xlfn.IFS(AND($K99&gt;AL$7,$L99&gt;AL$7),0,AND($K99&lt;=AL$7,$L99&lt;=AL$7),1,AND($K99&lt;=AL$7,$L99&gt;AL$7),((AL$7-$K99)/($L99-$K99)))</f>
        <v>#REF!</v>
      </c>
      <c r="AN99" s="201" t="e">
        <f t="array" ref="AN99">_xlfn.IFS(AND($K99&gt;AM$7,$L99&gt;AM$7),0,AND($K99&lt;=AM$7,$L99&lt;=AM$7),1,AND($K99&lt;=AM$7,$L99&gt;AM$7),((AM$7-$K99)/($L99-$K99)))</f>
        <v>#REF!</v>
      </c>
      <c r="AO99" s="201" t="e">
        <f t="array" ref="AO99">_xlfn.IFS(AND($K99&gt;AN$7,$L99&gt;AN$7),0,AND($K99&lt;=AN$7,$L99&lt;=AN$7),1,AND($K99&lt;=AN$7,$L99&gt;AN$7),((AN$7-$K99)/($L99-$K99)))</f>
        <v>#REF!</v>
      </c>
      <c r="AP99" s="201" t="e">
        <f t="array" ref="AP99">_xlfn.IFS(AND($K99&gt;AO$7,$L99&gt;AO$7),0,AND($K99&lt;=AO$7,$L99&lt;=AO$7),1,AND($K99&lt;=AO$7,$L99&gt;AO$7),((AO$7-$K99)/($L99-$K99)))</f>
        <v>#REF!</v>
      </c>
      <c r="AQ99" s="201" t="e">
        <f t="array" ref="AQ99">_xlfn.IFS(AND($K99&gt;AP$7,$L99&gt;AP$7),0,AND($K99&lt;=AP$7,$L99&lt;=AP$7),1,AND($K99&lt;=AP$7,$L99&gt;AP$7),((AP$7-$K99)/($L99-$K99)))</f>
        <v>#REF!</v>
      </c>
      <c r="AR99" s="201" t="e">
        <f t="array" ref="AR99">_xlfn.IFS(AND($K99&gt;AQ$7,$L99&gt;AQ$7),0,AND($K99&lt;=AQ$7,$L99&lt;=AQ$7),1,AND($K99&lt;=AQ$7,$L99&gt;AQ$7),((AQ$7-$K99)/($L99-$K99)))</f>
        <v>#REF!</v>
      </c>
      <c r="AS99" s="201" t="e">
        <f t="array" ref="AS99">_xlfn.IFS(AND($K99&gt;AR$7,$L99&gt;AR$7),0,AND($K99&lt;=AR$7,$L99&lt;=AR$7),1,AND($K99&lt;=AR$7,$L99&gt;AR$7),((AR$7-$K99)/($L99-$K99)))</f>
        <v>#REF!</v>
      </c>
      <c r="AT99" s="201" t="e">
        <f t="array" ref="AT99">_xlfn.IFS(AND($K99&gt;AS$7,$L99&gt;AS$7),0,AND($K99&lt;=AS$7,$L99&lt;=AS$7),1,AND($K99&lt;=AS$7,$L99&gt;AS$7),((AS$7-$K99)/($L99-$K99)))</f>
        <v>#REF!</v>
      </c>
      <c r="AU99" s="201" t="e">
        <f t="array" ref="AU99">_xlfn.IFS(AND($K99&gt;AT$7,$L99&gt;AT$7),0,AND($K99&lt;=AT$7,$L99&lt;=AT$7),1,AND($K99&lt;=AT$7,$L99&gt;AT$7),((AT$7-$K99)/($L99-$K99)))</f>
        <v>#REF!</v>
      </c>
      <c r="AV99" s="201" t="e">
        <f t="array" ref="AV99">_xlfn.IFS(AND($K99&gt;AU$7,$L99&gt;AU$7),0,AND($K99&lt;=AU$7,$L99&lt;=AU$7),1,AND($K99&lt;=AU$7,$L99&gt;AU$7),((AU$7-$K99)/($L99-$K99)))</f>
        <v>#REF!</v>
      </c>
      <c r="AW99" s="201" t="e">
        <f t="array" ref="AW99">_xlfn.IFS(AND($K99&gt;AV$7,$L99&gt;AV$7),0,AND($K99&lt;=AV$7,$L99&lt;=AV$7),1,AND($K99&lt;=AV$7,$L99&gt;AV$7),((AV$7-$K99)/($L99-$K99)))</f>
        <v>#REF!</v>
      </c>
      <c r="AX99" s="201" t="e">
        <f t="array" ref="AX99">_xlfn.IFS(AND($K99&gt;AW$7,$L99&gt;AW$7),0,AND($K99&lt;=AW$7,$L99&lt;=AW$7),1,AND($K99&lt;=AW$7,$L99&gt;AW$7),((AW$7-$K99)/($L99-$K99)))</f>
        <v>#REF!</v>
      </c>
      <c r="AY99" s="201" t="e">
        <f t="array" ref="AY99">_xlfn.IFS(AND($K99&gt;AX$7,$L99&gt;AX$7),0,AND($K99&lt;=AX$7,$L99&lt;=AX$7),1,AND($K99&lt;=AX$7,$L99&gt;AX$7),((AX$7-$K99)/($L99-$K99)))</f>
        <v>#REF!</v>
      </c>
      <c r="AZ99" s="201" t="e">
        <f t="array" ref="AZ99">_xlfn.IFS(AND($K99&gt;AY$7,$L99&gt;AY$7),0,AND($K99&lt;=AY$7,$L99&lt;=AY$7),1,AND($K99&lt;=AY$7,$L99&gt;AY$7),((AY$7-$K99)/($L99-$K99)))</f>
        <v>#REF!</v>
      </c>
      <c r="BA99" s="201" t="e">
        <f t="array" ref="BA99">_xlfn.IFS(AND($K99&gt;AZ$7,$L99&gt;AZ$7),0,AND($K99&lt;=AZ$7,$L99&lt;=AZ$7),1,AND($K99&lt;=AZ$7,$L99&gt;AZ$7),((AZ$7-$K99)/($L99-$K99)))</f>
        <v>#REF!</v>
      </c>
      <c r="BB99" s="201" t="e">
        <f t="array" ref="BB99">_xlfn.IFS(AND($K99&gt;BA$7,$L99&gt;BA$7),0,AND($K99&lt;=BA$7,$L99&lt;=BA$7),1,AND($K99&lt;=BA$7,$L99&gt;BA$7),((BA$7-$K99)/($L99-$K99)))</f>
        <v>#REF!</v>
      </c>
      <c r="BC99" s="201" t="e">
        <f t="array" ref="BC99">_xlfn.IFS(AND($K99&gt;BB$7,$L99&gt;BB$7),0,AND($K99&lt;=BB$7,$L99&lt;=BB$7),1,AND($K99&lt;=BB$7,$L99&gt;BB$7),((BB$7-$K99)/($L99-$K99)))</f>
        <v>#REF!</v>
      </c>
      <c r="BD99" s="201" t="e">
        <f t="array" ref="BD99">_xlfn.IFS(AND($K99&gt;BC$7,$L99&gt;BC$7),0,AND($K99&lt;=BC$7,$L99&lt;=BC$7),1,AND($K99&lt;=BC$7,$L99&gt;BC$7),((BC$7-$K99)/($L99-$K99)))</f>
        <v>#REF!</v>
      </c>
      <c r="BE99" s="201" t="e">
        <f t="array" ref="BE99">_xlfn.IFS(AND($K99&gt;BD$7,$L99&gt;BD$7),0,AND($K99&lt;=BD$7,$L99&lt;=BD$7),1,AND($K99&lt;=BD$7,$L99&gt;BD$7),((BD$7-$K99)/($L99-$K99)))</f>
        <v>#REF!</v>
      </c>
      <c r="BF99" s="201" t="e">
        <f t="array" ref="BF99">_xlfn.IFS(AND($K99&gt;BE$7,$L99&gt;BE$7),0,AND($K99&lt;=BE$7,$L99&lt;=BE$7),1,AND($K99&lt;=BE$7,$L99&gt;BE$7),((BE$7-$K99)/($L99-$K99)))</f>
        <v>#REF!</v>
      </c>
      <c r="BG99" s="201" t="e">
        <f t="array" ref="BG99">_xlfn.IFS(AND($K99&gt;BF$7,$L99&gt;BF$7),0,AND($K99&lt;=BF$7,$L99&lt;=BF$7),1,AND($K99&lt;=BF$7,$L99&gt;BF$7),((BF$7-$K99)/($L99-$K99)))</f>
        <v>#REF!</v>
      </c>
      <c r="BH99" s="201" t="e">
        <f t="array" ref="BH99">_xlfn.IFS(AND($K99&gt;BG$7,$L99&gt;BG$7),0,AND($K99&lt;=BG$7,$L99&lt;=BG$7),1,AND($K99&lt;=BG$7,$L99&gt;BG$7),((BG$7-$K99)/($L99-$K99)))</f>
        <v>#REF!</v>
      </c>
      <c r="BI99" s="201" t="e">
        <f t="array" ref="BI99">_xlfn.IFS(AND($K99&gt;BH$7,$L99&gt;BH$7),0,AND($K99&lt;=BH$7,$L99&lt;=BH$7),1,AND($K99&lt;=BH$7,$L99&gt;BH$7),((BH$7-$K99)/($L99-$K99)))</f>
        <v>#REF!</v>
      </c>
      <c r="BJ99" s="201" t="e">
        <f t="array" ref="BJ99">_xlfn.IFS(AND($K99&gt;BI$7,$L99&gt;BI$7),0,AND($K99&lt;=BI$7,$L99&lt;=BI$7),1,AND($K99&lt;=BI$7,$L99&gt;BI$7),((BI$7-$K99)/($L99-$K99)))</f>
        <v>#REF!</v>
      </c>
      <c r="BK99" s="201" t="e">
        <f t="array" ref="BK99">_xlfn.IFS(AND($K99&gt;BJ$7,$L99&gt;BJ$7),0,AND($K99&lt;=BJ$7,$L99&lt;=BJ$7),1,AND($K99&lt;=BJ$7,$L99&gt;BJ$7),((BJ$7-$K99)/($L99-$K99)))</f>
        <v>#REF!</v>
      </c>
      <c r="BL99" s="201" t="e">
        <f t="array" ref="BL99">_xlfn.IFS(AND($K99&gt;BK$7,$L99&gt;BK$7),0,AND($K99&lt;=BK$7,$L99&lt;=BK$7),1,AND($K99&lt;=BK$7,$L99&gt;BK$7),((BK$7-$K99)/($L99-$K99)))</f>
        <v>#REF!</v>
      </c>
      <c r="BM99" s="201" t="e">
        <f t="array" ref="BM99">_xlfn.IFS(AND($K99&gt;BL$7,$L99&gt;BL$7),0,AND($K99&lt;=BL$7,$L99&lt;=BL$7),1,AND($K99&lt;=BL$7,$L99&gt;BL$7),((BL$7-$K99)/($L99-$K99)))</f>
        <v>#REF!</v>
      </c>
      <c r="BN99" s="201" t="e">
        <f t="array" ref="BN99">_xlfn.IFS(AND($K99&gt;BM$7,$L99&gt;BM$7),0,AND($K99&lt;=BM$7,$L99&lt;=BM$7),1,AND($K99&lt;=BM$7,$L99&gt;BM$7),((BM$7-$K99)/($L99-$K99)))</f>
        <v>#REF!</v>
      </c>
    </row>
    <row r="100" spans="2:66" ht="15" customHeight="1" x14ac:dyDescent="0.3">
      <c r="B100" s="166" t="s">
        <v>161</v>
      </c>
      <c r="C100" s="166" t="s">
        <v>247</v>
      </c>
      <c r="D100" s="177"/>
      <c r="E100" s="170" t="str">
        <f t="shared" si="44"/>
        <v>Desenvolvimento da Transformação dos Processos</v>
      </c>
      <c r="F100" s="174" t="str">
        <f t="shared" si="41"/>
        <v>Modelagem To Be</v>
      </c>
      <c r="G100" s="166" t="str">
        <f t="shared" si="45"/>
        <v>Modelagem To Be</v>
      </c>
      <c r="H100" s="197" t="s">
        <v>248</v>
      </c>
      <c r="I100" s="166">
        <v>45936</v>
      </c>
      <c r="J100" s="166">
        <v>45940</v>
      </c>
      <c r="K100" s="166">
        <v>45936</v>
      </c>
      <c r="L100" s="166">
        <v>45940</v>
      </c>
      <c r="M100" s="167"/>
      <c r="N100" s="167" t="str">
        <f t="array" ref="N100">_xlfn.IFS(L100&lt;$M$3,"Concluído",AND(K100&gt;=$M$3,I100&lt;$M$3,L100&gt;$M$3),"Em andamento",AND(L100&gt;=$M$3,J100&lt;$M$3),"Atrasado",AND(L100&gt;=$M$3,J100&gt;=$M$3,I100&gt;$M$3,K100&lt;=$M$3),"Em andamento",AND(L100&gt;=$M$3,J100&gt;=$M$3,I100&lt;=$M$3,K100&lt;=$M$3),"Em andamento",AND(K100&gt;$M$3,I100&gt;$M$3),"Não iniciado",AND(L100&gt;=$M$3,J100&gt;=$M$3,K100&gt;=$M$3,I100&lt;$M$3),"Atrasado",AND(L100&gt;=$M$3,J100&gt;=$M$3,K100&gt;=$M$3,I100&gt;$M$3),"Não iniciado",AND($I100&lt;=$M$3,$K100&gt;$M$3),"Atrasado")</f>
        <v>Concluído</v>
      </c>
      <c r="O100" s="167">
        <f t="array" ref="O100">_xlfn.IFS(N100="Não iniciado",0,N100="Em andamento",1,N100="Concluído",2,N100="Atrasado",3)</f>
        <v>2</v>
      </c>
      <c r="P100" s="169"/>
      <c r="Q100" s="152">
        <f t="array" aca="1" ref="Q100" ca="1">_xlfn.IFS(AND($I100&lt;$N$3,$J100&lt;$N$3),1,AND($I100&lt;=$N$3,$J100&gt;=$N$3),0.5,AND($I100&gt;=$N$3,$J100&gt;=$N$3),0)</f>
        <v>1</v>
      </c>
      <c r="R100" s="152">
        <f t="array" aca="1" ref="R100" ca="1">_xlfn.IFS(AND($K100&lt;$N$3,$L100&lt;$N$3),1,AND($K100&lt;=$N$3,$L100&gt;=$N$3),0.5,AND($K100&gt;=$N$3,$L100&gt;=$N$3),0)</f>
        <v>1</v>
      </c>
      <c r="S100" s="201" t="e">
        <f t="array" ref="S100">_xlfn.IFS(AND($K100&gt;R$7,$L100&gt;R$7),0,AND($K100&lt;=R$7,$L100&lt;=R$7),1,AND($K100&lt;=R$7,$L100&gt;R$7),((R$7-$K100)/($L100-$K100)))</f>
        <v>#REF!</v>
      </c>
      <c r="T100" s="201" t="e">
        <f t="array" ref="T100">_xlfn.IFS(AND($K100&gt;S$7,$L100&gt;S$7),0,AND($K100&lt;=S$7,$L100&lt;=S$7),1,AND($K100&lt;=S$7,$L100&gt;S$7),((S$7-$K100)/($L100-$K100)))</f>
        <v>#REF!</v>
      </c>
      <c r="U100" s="201" t="e">
        <f t="array" ref="U100">_xlfn.IFS(AND($K100&gt;T$7,$L100&gt;T$7),0,AND($K100&lt;=T$7,$L100&lt;=T$7),1,AND($K100&lt;=T$7,$L100&gt;T$7),((T$7-$K100)/($L100-$K100)))</f>
        <v>#REF!</v>
      </c>
      <c r="V100" s="201" t="e">
        <f t="array" ref="V100">_xlfn.IFS(AND($K100&gt;U$7,$L100&gt;U$7),0,AND($K100&lt;=U$7,$L100&lt;=U$7),1,AND($K100&lt;=U$7,$L100&gt;U$7),((U$7-$K100)/($L100-$K100)))</f>
        <v>#REF!</v>
      </c>
      <c r="W100" s="201" t="e">
        <f t="array" ref="W100">_xlfn.IFS(AND($K100&gt;V$7,$L100&gt;V$7),0,AND($K100&lt;=V$7,$L100&lt;=V$7),1,AND($K100&lt;=V$7,$L100&gt;V$7),((V$7-$K100)/($L100-$K100)))</f>
        <v>#REF!</v>
      </c>
      <c r="X100" s="201" t="e">
        <f t="array" ref="X100">_xlfn.IFS(AND($K100&gt;W$7,$L100&gt;W$7),0,AND($K100&lt;=W$7,$L100&lt;=W$7),1,AND($K100&lt;=W$7,$L100&gt;W$7),((W$7-$K100)/($L100-$K100)))</f>
        <v>#REF!</v>
      </c>
      <c r="Y100" s="201" t="e">
        <f t="array" ref="Y100">_xlfn.IFS(AND($K100&gt;X$7,$L100&gt;X$7),0,AND($K100&lt;=X$7,$L100&lt;=X$7),1,AND($K100&lt;=X$7,$L100&gt;X$7),((X$7-$K100)/($L100-$K100)))</f>
        <v>#REF!</v>
      </c>
      <c r="Z100" s="201" t="e">
        <f t="array" ref="Z100">_xlfn.IFS(AND($K100&gt;Y$7,$L100&gt;Y$7),0,AND($K100&lt;=Y$7,$L100&lt;=Y$7),1,AND($K100&lt;=Y$7,$L100&gt;Y$7),((Y$7-$K100)/($L100-$K100)))</f>
        <v>#REF!</v>
      </c>
      <c r="AA100" s="201" t="e">
        <f t="array" ref="AA100">_xlfn.IFS(AND($K100&gt;Z$7,$L100&gt;Z$7),0,AND($K100&lt;=Z$7,$L100&lt;=Z$7),1,AND($K100&lt;=Z$7,$L100&gt;Z$7),((Z$7-$K100)/($L100-$K100)))</f>
        <v>#REF!</v>
      </c>
      <c r="AB100" s="201" t="e">
        <f t="array" ref="AB100">_xlfn.IFS(AND($K100&gt;AA$7,$L100&gt;AA$7),0,AND($K100&lt;=AA$7,$L100&lt;=AA$7),1,AND($K100&lt;=AA$7,$L100&gt;AA$7),((AA$7-$K100)/($L100-$K100)))</f>
        <v>#REF!</v>
      </c>
      <c r="AC100" s="201" t="e">
        <f t="array" ref="AC100">_xlfn.IFS(AND($K100&gt;AB$7,$L100&gt;AB$7),0,AND($K100&lt;=AB$7,$L100&lt;=AB$7),1,AND($K100&lt;=AB$7,$L100&gt;AB$7),((AB$7-$K100)/($L100-$K100)))</f>
        <v>#REF!</v>
      </c>
      <c r="AD100" s="201" t="e">
        <f t="array" ref="AD100">_xlfn.IFS(AND($K100&gt;AC$7,$L100&gt;AC$7),0,AND($K100&lt;=AC$7,$L100&lt;=AC$7),1,AND($K100&lt;=AC$7,$L100&gt;AC$7),((AC$7-$K100)/($L100-$K100)))</f>
        <v>#REF!</v>
      </c>
      <c r="AE100" s="201" t="e">
        <f t="array" ref="AE100">_xlfn.IFS(AND($K100&gt;AD$7,$L100&gt;AD$7),0,AND($K100&lt;=AD$7,$L100&lt;=AD$7),1,AND($K100&lt;=AD$7,$L100&gt;AD$7),((AD$7-$K100)/($L100-$K100)))</f>
        <v>#REF!</v>
      </c>
      <c r="AF100" s="201" t="e">
        <f t="array" ref="AF100">_xlfn.IFS(AND($K100&gt;AE$7,$L100&gt;AE$7),0,AND($K100&lt;=AE$7,$L100&lt;=AE$7),1,AND($K100&lt;=AE$7,$L100&gt;AE$7),((AE$7-$K100)/($L100-$K100)))</f>
        <v>#REF!</v>
      </c>
      <c r="AG100" s="201" t="e">
        <f t="array" ref="AG100">_xlfn.IFS(AND($K100&gt;AF$7,$L100&gt;AF$7),0,AND($K100&lt;=AF$7,$L100&lt;=AF$7),1,AND($K100&lt;=AF$7,$L100&gt;AF$7),((AF$7-$K100)/($L100-$K100)))</f>
        <v>#REF!</v>
      </c>
      <c r="AH100" s="201" t="e">
        <f t="array" ref="AH100">_xlfn.IFS(AND($K100&gt;AG$7,$L100&gt;AG$7),0,AND($K100&lt;=AG$7,$L100&lt;=AG$7),1,AND($K100&lt;=AG$7,$L100&gt;AG$7),((AG$7-$K100)/($L100-$K100)))</f>
        <v>#REF!</v>
      </c>
      <c r="AI100" s="201" t="e">
        <f t="array" ref="AI100">_xlfn.IFS(AND($K100&gt;AH$7,$L100&gt;AH$7),0,AND($K100&lt;=AH$7,$L100&lt;=AH$7),1,AND($K100&lt;=AH$7,$L100&gt;AH$7),((AH$7-$K100)/($L100-$K100)))</f>
        <v>#REF!</v>
      </c>
      <c r="AJ100" s="201" t="e">
        <f t="array" ref="AJ100">_xlfn.IFS(AND($K100&gt;AI$7,$L100&gt;AI$7),0,AND($K100&lt;=AI$7,$L100&lt;=AI$7),1,AND($K100&lt;=AI$7,$L100&gt;AI$7),((AI$7-$K100)/($L100-$K100)))</f>
        <v>#REF!</v>
      </c>
      <c r="AK100" s="201" t="e">
        <f t="array" ref="AK100">_xlfn.IFS(AND($K100&gt;AJ$7,$L100&gt;AJ$7),0,AND($K100&lt;=AJ$7,$L100&lt;=AJ$7),1,AND($K100&lt;=AJ$7,$L100&gt;AJ$7),((AJ$7-$K100)/($L100-$K100)))</f>
        <v>#REF!</v>
      </c>
      <c r="AL100" s="201" t="e">
        <f t="array" ref="AL100">_xlfn.IFS(AND($K100&gt;AK$7,$L100&gt;AK$7),0,AND($K100&lt;=AK$7,$L100&lt;=AK$7),1,AND($K100&lt;=AK$7,$L100&gt;AK$7),((AK$7-$K100)/($L100-$K100)))</f>
        <v>#REF!</v>
      </c>
      <c r="AM100" s="201" t="e">
        <f t="array" ref="AM100">_xlfn.IFS(AND($K100&gt;AL$7,$L100&gt;AL$7),0,AND($K100&lt;=AL$7,$L100&lt;=AL$7),1,AND($K100&lt;=AL$7,$L100&gt;AL$7),((AL$7-$K100)/($L100-$K100)))</f>
        <v>#REF!</v>
      </c>
      <c r="AN100" s="201" t="e">
        <f t="array" ref="AN100">_xlfn.IFS(AND($K100&gt;AM$7,$L100&gt;AM$7),0,AND($K100&lt;=AM$7,$L100&lt;=AM$7),1,AND($K100&lt;=AM$7,$L100&gt;AM$7),((AM$7-$K100)/($L100-$K100)))</f>
        <v>#REF!</v>
      </c>
      <c r="AO100" s="201" t="e">
        <f t="array" ref="AO100">_xlfn.IFS(AND($K100&gt;AN$7,$L100&gt;AN$7),0,AND($K100&lt;=AN$7,$L100&lt;=AN$7),1,AND($K100&lt;=AN$7,$L100&gt;AN$7),((AN$7-$K100)/($L100-$K100)))</f>
        <v>#REF!</v>
      </c>
      <c r="AP100" s="201" t="e">
        <f t="array" ref="AP100">_xlfn.IFS(AND($K100&gt;AO$7,$L100&gt;AO$7),0,AND($K100&lt;=AO$7,$L100&lt;=AO$7),1,AND($K100&lt;=AO$7,$L100&gt;AO$7),((AO$7-$K100)/($L100-$K100)))</f>
        <v>#REF!</v>
      </c>
      <c r="AQ100" s="201" t="e">
        <f t="array" ref="AQ100">_xlfn.IFS(AND($K100&gt;AP$7,$L100&gt;AP$7),0,AND($K100&lt;=AP$7,$L100&lt;=AP$7),1,AND($K100&lt;=AP$7,$L100&gt;AP$7),((AP$7-$K100)/($L100-$K100)))</f>
        <v>#REF!</v>
      </c>
      <c r="AR100" s="201" t="e">
        <f t="array" ref="AR100">_xlfn.IFS(AND($K100&gt;AQ$7,$L100&gt;AQ$7),0,AND($K100&lt;=AQ$7,$L100&lt;=AQ$7),1,AND($K100&lt;=AQ$7,$L100&gt;AQ$7),((AQ$7-$K100)/($L100-$K100)))</f>
        <v>#REF!</v>
      </c>
      <c r="AS100" s="201" t="e">
        <f t="array" ref="AS100">_xlfn.IFS(AND($K100&gt;AR$7,$L100&gt;AR$7),0,AND($K100&lt;=AR$7,$L100&lt;=AR$7),1,AND($K100&lt;=AR$7,$L100&gt;AR$7),((AR$7-$K100)/($L100-$K100)))</f>
        <v>#REF!</v>
      </c>
      <c r="AT100" s="201" t="e">
        <f t="array" ref="AT100">_xlfn.IFS(AND($K100&gt;AS$7,$L100&gt;AS$7),0,AND($K100&lt;=AS$7,$L100&lt;=AS$7),1,AND($K100&lt;=AS$7,$L100&gt;AS$7),((AS$7-$K100)/($L100-$K100)))</f>
        <v>#REF!</v>
      </c>
      <c r="AU100" s="201" t="e">
        <f t="array" ref="AU100">_xlfn.IFS(AND($K100&gt;AT$7,$L100&gt;AT$7),0,AND($K100&lt;=AT$7,$L100&lt;=AT$7),1,AND($K100&lt;=AT$7,$L100&gt;AT$7),((AT$7-$K100)/($L100-$K100)))</f>
        <v>#REF!</v>
      </c>
      <c r="AV100" s="201" t="e">
        <f t="array" ref="AV100">_xlfn.IFS(AND($K100&gt;AU$7,$L100&gt;AU$7),0,AND($K100&lt;=AU$7,$L100&lt;=AU$7),1,AND($K100&lt;=AU$7,$L100&gt;AU$7),((AU$7-$K100)/($L100-$K100)))</f>
        <v>#REF!</v>
      </c>
      <c r="AW100" s="201" t="e">
        <f t="array" ref="AW100">_xlfn.IFS(AND($K100&gt;AV$7,$L100&gt;AV$7),0,AND($K100&lt;=AV$7,$L100&lt;=AV$7),1,AND($K100&lt;=AV$7,$L100&gt;AV$7),((AV$7-$K100)/($L100-$K100)))</f>
        <v>#REF!</v>
      </c>
      <c r="AX100" s="201" t="e">
        <f t="array" ref="AX100">_xlfn.IFS(AND($K100&gt;AW$7,$L100&gt;AW$7),0,AND($K100&lt;=AW$7,$L100&lt;=AW$7),1,AND($K100&lt;=AW$7,$L100&gt;AW$7),((AW$7-$K100)/($L100-$K100)))</f>
        <v>#REF!</v>
      </c>
      <c r="AY100" s="201" t="e">
        <f t="array" ref="AY100">_xlfn.IFS(AND($K100&gt;AX$7,$L100&gt;AX$7),0,AND($K100&lt;=AX$7,$L100&lt;=AX$7),1,AND($K100&lt;=AX$7,$L100&gt;AX$7),((AX$7-$K100)/($L100-$K100)))</f>
        <v>#REF!</v>
      </c>
      <c r="AZ100" s="201" t="e">
        <f t="array" ref="AZ100">_xlfn.IFS(AND($K100&gt;AY$7,$L100&gt;AY$7),0,AND($K100&lt;=AY$7,$L100&lt;=AY$7),1,AND($K100&lt;=AY$7,$L100&gt;AY$7),((AY$7-$K100)/($L100-$K100)))</f>
        <v>#REF!</v>
      </c>
      <c r="BA100" s="201" t="e">
        <f t="array" ref="BA100">_xlfn.IFS(AND($K100&gt;AZ$7,$L100&gt;AZ$7),0,AND($K100&lt;=AZ$7,$L100&lt;=AZ$7),1,AND($K100&lt;=AZ$7,$L100&gt;AZ$7),((AZ$7-$K100)/($L100-$K100)))</f>
        <v>#REF!</v>
      </c>
      <c r="BB100" s="201" t="e">
        <f t="array" ref="BB100">_xlfn.IFS(AND($K100&gt;BA$7,$L100&gt;BA$7),0,AND($K100&lt;=BA$7,$L100&lt;=BA$7),1,AND($K100&lt;=BA$7,$L100&gt;BA$7),((BA$7-$K100)/($L100-$K100)))</f>
        <v>#REF!</v>
      </c>
      <c r="BC100" s="201" t="e">
        <f t="array" ref="BC100">_xlfn.IFS(AND($K100&gt;BB$7,$L100&gt;BB$7),0,AND($K100&lt;=BB$7,$L100&lt;=BB$7),1,AND($K100&lt;=BB$7,$L100&gt;BB$7),((BB$7-$K100)/($L100-$K100)))</f>
        <v>#REF!</v>
      </c>
      <c r="BD100" s="201" t="e">
        <f t="array" ref="BD100">_xlfn.IFS(AND($K100&gt;BC$7,$L100&gt;BC$7),0,AND($K100&lt;=BC$7,$L100&lt;=BC$7),1,AND($K100&lt;=BC$7,$L100&gt;BC$7),((BC$7-$K100)/($L100-$K100)))</f>
        <v>#REF!</v>
      </c>
      <c r="BE100" s="201" t="e">
        <f t="array" ref="BE100">_xlfn.IFS(AND($K100&gt;BD$7,$L100&gt;BD$7),0,AND($K100&lt;=BD$7,$L100&lt;=BD$7),1,AND($K100&lt;=BD$7,$L100&gt;BD$7),((BD$7-$K100)/($L100-$K100)))</f>
        <v>#REF!</v>
      </c>
      <c r="BF100" s="201" t="e">
        <f t="array" ref="BF100">_xlfn.IFS(AND($K100&gt;BE$7,$L100&gt;BE$7),0,AND($K100&lt;=BE$7,$L100&lt;=BE$7),1,AND($K100&lt;=BE$7,$L100&gt;BE$7),((BE$7-$K100)/($L100-$K100)))</f>
        <v>#REF!</v>
      </c>
      <c r="BG100" s="201" t="e">
        <f t="array" ref="BG100">_xlfn.IFS(AND($K100&gt;BF$7,$L100&gt;BF$7),0,AND($K100&lt;=BF$7,$L100&lt;=BF$7),1,AND($K100&lt;=BF$7,$L100&gt;BF$7),((BF$7-$K100)/($L100-$K100)))</f>
        <v>#REF!</v>
      </c>
      <c r="BH100" s="201" t="e">
        <f t="array" ref="BH100">_xlfn.IFS(AND($K100&gt;BG$7,$L100&gt;BG$7),0,AND($K100&lt;=BG$7,$L100&lt;=BG$7),1,AND($K100&lt;=BG$7,$L100&gt;BG$7),((BG$7-$K100)/($L100-$K100)))</f>
        <v>#REF!</v>
      </c>
      <c r="BI100" s="201" t="e">
        <f t="array" ref="BI100">_xlfn.IFS(AND($K100&gt;BH$7,$L100&gt;BH$7),0,AND($K100&lt;=BH$7,$L100&lt;=BH$7),1,AND($K100&lt;=BH$7,$L100&gt;BH$7),((BH$7-$K100)/($L100-$K100)))</f>
        <v>#REF!</v>
      </c>
      <c r="BJ100" s="201" t="e">
        <f t="array" ref="BJ100">_xlfn.IFS(AND($K100&gt;BI$7,$L100&gt;BI$7),0,AND($K100&lt;=BI$7,$L100&lt;=BI$7),1,AND($K100&lt;=BI$7,$L100&gt;BI$7),((BI$7-$K100)/($L100-$K100)))</f>
        <v>#REF!</v>
      </c>
      <c r="BK100" s="201" t="e">
        <f t="array" ref="BK100">_xlfn.IFS(AND($K100&gt;BJ$7,$L100&gt;BJ$7),0,AND($K100&lt;=BJ$7,$L100&lt;=BJ$7),1,AND($K100&lt;=BJ$7,$L100&gt;BJ$7),((BJ$7-$K100)/($L100-$K100)))</f>
        <v>#REF!</v>
      </c>
      <c r="BL100" s="201" t="e">
        <f t="array" ref="BL100">_xlfn.IFS(AND($K100&gt;BK$7,$L100&gt;BK$7),0,AND($K100&lt;=BK$7,$L100&lt;=BK$7),1,AND($K100&lt;=BK$7,$L100&gt;BK$7),((BK$7-$K100)/($L100-$K100)))</f>
        <v>#REF!</v>
      </c>
      <c r="BM100" s="201" t="e">
        <f t="array" ref="BM100">_xlfn.IFS(AND($K100&gt;BL$7,$L100&gt;BL$7),0,AND($K100&lt;=BL$7,$L100&lt;=BL$7),1,AND($K100&lt;=BL$7,$L100&gt;BL$7),((BL$7-$K100)/($L100-$K100)))</f>
        <v>#REF!</v>
      </c>
      <c r="BN100" s="201" t="e">
        <f t="array" ref="BN100">_xlfn.IFS(AND($K100&gt;BM$7,$L100&gt;BM$7),0,AND($K100&lt;=BM$7,$L100&lt;=BM$7),1,AND($K100&lt;=BM$7,$L100&gt;BM$7),((BM$7-$K100)/($L100-$K100)))</f>
        <v>#REF!</v>
      </c>
    </row>
    <row r="101" spans="2:66" ht="15" customHeight="1" x14ac:dyDescent="0.3">
      <c r="B101" s="166" t="s">
        <v>161</v>
      </c>
      <c r="C101" s="166" t="s">
        <v>249</v>
      </c>
      <c r="D101" s="177"/>
      <c r="E101" s="170" t="str">
        <f t="shared" si="44"/>
        <v>Desenvolvimento da Transformação dos Processos</v>
      </c>
      <c r="F101" s="174" t="str">
        <f t="shared" si="41"/>
        <v>Modelagem To Be</v>
      </c>
      <c r="G101" s="166" t="str">
        <f t="shared" si="45"/>
        <v>Modelagem To Be</v>
      </c>
      <c r="H101" s="197" t="s">
        <v>250</v>
      </c>
      <c r="I101" s="166">
        <v>45936</v>
      </c>
      <c r="J101" s="166">
        <v>45940</v>
      </c>
      <c r="K101" s="166">
        <v>45936</v>
      </c>
      <c r="L101" s="166">
        <v>45940</v>
      </c>
      <c r="M101" s="167"/>
      <c r="N101" s="167" t="str">
        <f t="array" ref="N101">_xlfn.IFS(L101&lt;$M$3,"Concluído",AND(K101&gt;=$M$3,I101&lt;$M$3,L101&gt;$M$3),"Em andamento",AND(L101&gt;=$M$3,J101&lt;$M$3),"Atrasado",AND(L101&gt;=$M$3,J101&gt;=$M$3,I101&gt;$M$3,K101&lt;=$M$3),"Em andamento",AND(L101&gt;=$M$3,J101&gt;=$M$3,I101&lt;=$M$3,K101&lt;=$M$3),"Em andamento",AND(K101&gt;$M$3,I101&gt;$M$3),"Não iniciado",AND(L101&gt;=$M$3,J101&gt;=$M$3,K101&gt;=$M$3,I101&lt;$M$3),"Atrasado",AND(L101&gt;=$M$3,J101&gt;=$M$3,K101&gt;=$M$3,I101&gt;$M$3),"Não iniciado",AND($I101&lt;=$M$3,$K101&gt;$M$3),"Atrasado")</f>
        <v>Concluído</v>
      </c>
      <c r="O101" s="167">
        <f t="array" ref="O101">_xlfn.IFS(N101="Não iniciado",0,N101="Em andamento",1,N101="Concluído",2,N101="Atrasado",3)</f>
        <v>2</v>
      </c>
      <c r="P101" s="169"/>
      <c r="Q101" s="152">
        <f t="array" aca="1" ref="Q101" ca="1">_xlfn.IFS(AND($I101&lt;$N$3,$J101&lt;$N$3),1,AND($I101&lt;=$N$3,$J101&gt;=$N$3),0.5,AND($I101&gt;=$N$3,$J101&gt;=$N$3),0)</f>
        <v>1</v>
      </c>
      <c r="R101" s="152">
        <f t="array" aca="1" ref="R101" ca="1">_xlfn.IFS(AND($K101&lt;$N$3,$L101&lt;$N$3),1,AND($K101&lt;=$N$3,$L101&gt;=$N$3),0.5,AND($K101&gt;=$N$3,$L101&gt;=$N$3),0)</f>
        <v>1</v>
      </c>
      <c r="S101" s="201" t="e">
        <f t="array" ref="S101">_xlfn.IFS(AND($K101&gt;R$7,$L101&gt;R$7),0,AND($K101&lt;=R$7,$L101&lt;=R$7),1,AND($K101&lt;=R$7,$L101&gt;R$7),((R$7-$K101)/($L101-$K101)))</f>
        <v>#REF!</v>
      </c>
      <c r="T101" s="201" t="e">
        <f t="array" ref="T101">_xlfn.IFS(AND($K101&gt;S$7,$L101&gt;S$7),0,AND($K101&lt;=S$7,$L101&lt;=S$7),1,AND($K101&lt;=S$7,$L101&gt;S$7),((S$7-$K101)/($L101-$K101)))</f>
        <v>#REF!</v>
      </c>
      <c r="U101" s="201" t="e">
        <f t="array" ref="U101">_xlfn.IFS(AND($K101&gt;T$7,$L101&gt;T$7),0,AND($K101&lt;=T$7,$L101&lt;=T$7),1,AND($K101&lt;=T$7,$L101&gt;T$7),((T$7-$K101)/($L101-$K101)))</f>
        <v>#REF!</v>
      </c>
      <c r="V101" s="201" t="e">
        <f t="array" ref="V101">_xlfn.IFS(AND($K101&gt;U$7,$L101&gt;U$7),0,AND($K101&lt;=U$7,$L101&lt;=U$7),1,AND($K101&lt;=U$7,$L101&gt;U$7),((U$7-$K101)/($L101-$K101)))</f>
        <v>#REF!</v>
      </c>
      <c r="W101" s="201" t="e">
        <f t="array" ref="W101">_xlfn.IFS(AND($K101&gt;V$7,$L101&gt;V$7),0,AND($K101&lt;=V$7,$L101&lt;=V$7),1,AND($K101&lt;=V$7,$L101&gt;V$7),((V$7-$K101)/($L101-$K101)))</f>
        <v>#REF!</v>
      </c>
      <c r="X101" s="201" t="e">
        <f t="array" ref="X101">_xlfn.IFS(AND($K101&gt;W$7,$L101&gt;W$7),0,AND($K101&lt;=W$7,$L101&lt;=W$7),1,AND($K101&lt;=W$7,$L101&gt;W$7),((W$7-$K101)/($L101-$K101)))</f>
        <v>#REF!</v>
      </c>
      <c r="Y101" s="201" t="e">
        <f t="array" ref="Y101">_xlfn.IFS(AND($K101&gt;X$7,$L101&gt;X$7),0,AND($K101&lt;=X$7,$L101&lt;=X$7),1,AND($K101&lt;=X$7,$L101&gt;X$7),((X$7-$K101)/($L101-$K101)))</f>
        <v>#REF!</v>
      </c>
      <c r="Z101" s="201" t="e">
        <f t="array" ref="Z101">_xlfn.IFS(AND($K101&gt;Y$7,$L101&gt;Y$7),0,AND($K101&lt;=Y$7,$L101&lt;=Y$7),1,AND($K101&lt;=Y$7,$L101&gt;Y$7),((Y$7-$K101)/($L101-$K101)))</f>
        <v>#REF!</v>
      </c>
      <c r="AA101" s="201" t="e">
        <f t="array" ref="AA101">_xlfn.IFS(AND($K101&gt;Z$7,$L101&gt;Z$7),0,AND($K101&lt;=Z$7,$L101&lt;=Z$7),1,AND($K101&lt;=Z$7,$L101&gt;Z$7),((Z$7-$K101)/($L101-$K101)))</f>
        <v>#REF!</v>
      </c>
      <c r="AB101" s="201" t="e">
        <f t="array" ref="AB101">_xlfn.IFS(AND($K101&gt;AA$7,$L101&gt;AA$7),0,AND($K101&lt;=AA$7,$L101&lt;=AA$7),1,AND($K101&lt;=AA$7,$L101&gt;AA$7),((AA$7-$K101)/($L101-$K101)))</f>
        <v>#REF!</v>
      </c>
      <c r="AC101" s="201" t="e">
        <f t="array" ref="AC101">_xlfn.IFS(AND($K101&gt;AB$7,$L101&gt;AB$7),0,AND($K101&lt;=AB$7,$L101&lt;=AB$7),1,AND($K101&lt;=AB$7,$L101&gt;AB$7),((AB$7-$K101)/($L101-$K101)))</f>
        <v>#REF!</v>
      </c>
      <c r="AD101" s="201" t="e">
        <f t="array" ref="AD101">_xlfn.IFS(AND($K101&gt;AC$7,$L101&gt;AC$7),0,AND($K101&lt;=AC$7,$L101&lt;=AC$7),1,AND($K101&lt;=AC$7,$L101&gt;AC$7),((AC$7-$K101)/($L101-$K101)))</f>
        <v>#REF!</v>
      </c>
      <c r="AE101" s="201" t="e">
        <f t="array" ref="AE101">_xlfn.IFS(AND($K101&gt;AD$7,$L101&gt;AD$7),0,AND($K101&lt;=AD$7,$L101&lt;=AD$7),1,AND($K101&lt;=AD$7,$L101&gt;AD$7),((AD$7-$K101)/($L101-$K101)))</f>
        <v>#REF!</v>
      </c>
      <c r="AF101" s="201" t="e">
        <f t="array" ref="AF101">_xlfn.IFS(AND($K101&gt;AE$7,$L101&gt;AE$7),0,AND($K101&lt;=AE$7,$L101&lt;=AE$7),1,AND($K101&lt;=AE$7,$L101&gt;AE$7),((AE$7-$K101)/($L101-$K101)))</f>
        <v>#REF!</v>
      </c>
      <c r="AG101" s="201" t="e">
        <f t="array" ref="AG101">_xlfn.IFS(AND($K101&gt;AF$7,$L101&gt;AF$7),0,AND($K101&lt;=AF$7,$L101&lt;=AF$7),1,AND($K101&lt;=AF$7,$L101&gt;AF$7),((AF$7-$K101)/($L101-$K101)))</f>
        <v>#REF!</v>
      </c>
      <c r="AH101" s="201" t="e">
        <f t="array" ref="AH101">_xlfn.IFS(AND($K101&gt;AG$7,$L101&gt;AG$7),0,AND($K101&lt;=AG$7,$L101&lt;=AG$7),1,AND($K101&lt;=AG$7,$L101&gt;AG$7),((AG$7-$K101)/($L101-$K101)))</f>
        <v>#REF!</v>
      </c>
      <c r="AI101" s="201" t="e">
        <f t="array" ref="AI101">_xlfn.IFS(AND($K101&gt;AH$7,$L101&gt;AH$7),0,AND($K101&lt;=AH$7,$L101&lt;=AH$7),1,AND($K101&lt;=AH$7,$L101&gt;AH$7),((AH$7-$K101)/($L101-$K101)))</f>
        <v>#REF!</v>
      </c>
      <c r="AJ101" s="201" t="e">
        <f t="array" ref="AJ101">_xlfn.IFS(AND($K101&gt;AI$7,$L101&gt;AI$7),0,AND($K101&lt;=AI$7,$L101&lt;=AI$7),1,AND($K101&lt;=AI$7,$L101&gt;AI$7),((AI$7-$K101)/($L101-$K101)))</f>
        <v>#REF!</v>
      </c>
      <c r="AK101" s="201" t="e">
        <f t="array" ref="AK101">_xlfn.IFS(AND($K101&gt;AJ$7,$L101&gt;AJ$7),0,AND($K101&lt;=AJ$7,$L101&lt;=AJ$7),1,AND($K101&lt;=AJ$7,$L101&gt;AJ$7),((AJ$7-$K101)/($L101-$K101)))</f>
        <v>#REF!</v>
      </c>
      <c r="AL101" s="201" t="e">
        <f t="array" ref="AL101">_xlfn.IFS(AND($K101&gt;AK$7,$L101&gt;AK$7),0,AND($K101&lt;=AK$7,$L101&lt;=AK$7),1,AND($K101&lt;=AK$7,$L101&gt;AK$7),((AK$7-$K101)/($L101-$K101)))</f>
        <v>#REF!</v>
      </c>
      <c r="AM101" s="201" t="e">
        <f t="array" ref="AM101">_xlfn.IFS(AND($K101&gt;AL$7,$L101&gt;AL$7),0,AND($K101&lt;=AL$7,$L101&lt;=AL$7),1,AND($K101&lt;=AL$7,$L101&gt;AL$7),((AL$7-$K101)/($L101-$K101)))</f>
        <v>#REF!</v>
      </c>
      <c r="AN101" s="201" t="e">
        <f t="array" ref="AN101">_xlfn.IFS(AND($K101&gt;AM$7,$L101&gt;AM$7),0,AND($K101&lt;=AM$7,$L101&lt;=AM$7),1,AND($K101&lt;=AM$7,$L101&gt;AM$7),((AM$7-$K101)/($L101-$K101)))</f>
        <v>#REF!</v>
      </c>
      <c r="AO101" s="201" t="e">
        <f t="array" ref="AO101">_xlfn.IFS(AND($K101&gt;AN$7,$L101&gt;AN$7),0,AND($K101&lt;=AN$7,$L101&lt;=AN$7),1,AND($K101&lt;=AN$7,$L101&gt;AN$7),((AN$7-$K101)/($L101-$K101)))</f>
        <v>#REF!</v>
      </c>
      <c r="AP101" s="201" t="e">
        <f t="array" ref="AP101">_xlfn.IFS(AND($K101&gt;AO$7,$L101&gt;AO$7),0,AND($K101&lt;=AO$7,$L101&lt;=AO$7),1,AND($K101&lt;=AO$7,$L101&gt;AO$7),((AO$7-$K101)/($L101-$K101)))</f>
        <v>#REF!</v>
      </c>
      <c r="AQ101" s="201" t="e">
        <f t="array" ref="AQ101">_xlfn.IFS(AND($K101&gt;AP$7,$L101&gt;AP$7),0,AND($K101&lt;=AP$7,$L101&lt;=AP$7),1,AND($K101&lt;=AP$7,$L101&gt;AP$7),((AP$7-$K101)/($L101-$K101)))</f>
        <v>#REF!</v>
      </c>
      <c r="AR101" s="201" t="e">
        <f t="array" ref="AR101">_xlfn.IFS(AND($K101&gt;AQ$7,$L101&gt;AQ$7),0,AND($K101&lt;=AQ$7,$L101&lt;=AQ$7),1,AND($K101&lt;=AQ$7,$L101&gt;AQ$7),((AQ$7-$K101)/($L101-$K101)))</f>
        <v>#REF!</v>
      </c>
      <c r="AS101" s="201" t="e">
        <f t="array" ref="AS101">_xlfn.IFS(AND($K101&gt;AR$7,$L101&gt;AR$7),0,AND($K101&lt;=AR$7,$L101&lt;=AR$7),1,AND($K101&lt;=AR$7,$L101&gt;AR$7),((AR$7-$K101)/($L101-$K101)))</f>
        <v>#REF!</v>
      </c>
      <c r="AT101" s="201" t="e">
        <f t="array" ref="AT101">_xlfn.IFS(AND($K101&gt;AS$7,$L101&gt;AS$7),0,AND($K101&lt;=AS$7,$L101&lt;=AS$7),1,AND($K101&lt;=AS$7,$L101&gt;AS$7),((AS$7-$K101)/($L101-$K101)))</f>
        <v>#REF!</v>
      </c>
      <c r="AU101" s="201" t="e">
        <f t="array" ref="AU101">_xlfn.IFS(AND($K101&gt;AT$7,$L101&gt;AT$7),0,AND($K101&lt;=AT$7,$L101&lt;=AT$7),1,AND($K101&lt;=AT$7,$L101&gt;AT$7),((AT$7-$K101)/($L101-$K101)))</f>
        <v>#REF!</v>
      </c>
      <c r="AV101" s="201" t="e">
        <f t="array" ref="AV101">_xlfn.IFS(AND($K101&gt;AU$7,$L101&gt;AU$7),0,AND($K101&lt;=AU$7,$L101&lt;=AU$7),1,AND($K101&lt;=AU$7,$L101&gt;AU$7),((AU$7-$K101)/($L101-$K101)))</f>
        <v>#REF!</v>
      </c>
      <c r="AW101" s="201" t="e">
        <f t="array" ref="AW101">_xlfn.IFS(AND($K101&gt;AV$7,$L101&gt;AV$7),0,AND($K101&lt;=AV$7,$L101&lt;=AV$7),1,AND($K101&lt;=AV$7,$L101&gt;AV$7),((AV$7-$K101)/($L101-$K101)))</f>
        <v>#REF!</v>
      </c>
      <c r="AX101" s="201" t="e">
        <f t="array" ref="AX101">_xlfn.IFS(AND($K101&gt;AW$7,$L101&gt;AW$7),0,AND($K101&lt;=AW$7,$L101&lt;=AW$7),1,AND($K101&lt;=AW$7,$L101&gt;AW$7),((AW$7-$K101)/($L101-$K101)))</f>
        <v>#REF!</v>
      </c>
      <c r="AY101" s="201" t="e">
        <f t="array" ref="AY101">_xlfn.IFS(AND($K101&gt;AX$7,$L101&gt;AX$7),0,AND($K101&lt;=AX$7,$L101&lt;=AX$7),1,AND($K101&lt;=AX$7,$L101&gt;AX$7),((AX$7-$K101)/($L101-$K101)))</f>
        <v>#REF!</v>
      </c>
      <c r="AZ101" s="201" t="e">
        <f t="array" ref="AZ101">_xlfn.IFS(AND($K101&gt;AY$7,$L101&gt;AY$7),0,AND($K101&lt;=AY$7,$L101&lt;=AY$7),1,AND($K101&lt;=AY$7,$L101&gt;AY$7),((AY$7-$K101)/($L101-$K101)))</f>
        <v>#REF!</v>
      </c>
      <c r="BA101" s="201" t="e">
        <f t="array" ref="BA101">_xlfn.IFS(AND($K101&gt;AZ$7,$L101&gt;AZ$7),0,AND($K101&lt;=AZ$7,$L101&lt;=AZ$7),1,AND($K101&lt;=AZ$7,$L101&gt;AZ$7),((AZ$7-$K101)/($L101-$K101)))</f>
        <v>#REF!</v>
      </c>
      <c r="BB101" s="201" t="e">
        <f t="array" ref="BB101">_xlfn.IFS(AND($K101&gt;BA$7,$L101&gt;BA$7),0,AND($K101&lt;=BA$7,$L101&lt;=BA$7),1,AND($K101&lt;=BA$7,$L101&gt;BA$7),((BA$7-$K101)/($L101-$K101)))</f>
        <v>#REF!</v>
      </c>
      <c r="BC101" s="201" t="e">
        <f t="array" ref="BC101">_xlfn.IFS(AND($K101&gt;BB$7,$L101&gt;BB$7),0,AND($K101&lt;=BB$7,$L101&lt;=BB$7),1,AND($K101&lt;=BB$7,$L101&gt;BB$7),((BB$7-$K101)/($L101-$K101)))</f>
        <v>#REF!</v>
      </c>
      <c r="BD101" s="201" t="e">
        <f t="array" ref="BD101">_xlfn.IFS(AND($K101&gt;BC$7,$L101&gt;BC$7),0,AND($K101&lt;=BC$7,$L101&lt;=BC$7),1,AND($K101&lt;=BC$7,$L101&gt;BC$7),((BC$7-$K101)/($L101-$K101)))</f>
        <v>#REF!</v>
      </c>
      <c r="BE101" s="201" t="e">
        <f t="array" ref="BE101">_xlfn.IFS(AND($K101&gt;BD$7,$L101&gt;BD$7),0,AND($K101&lt;=BD$7,$L101&lt;=BD$7),1,AND($K101&lt;=BD$7,$L101&gt;BD$7),((BD$7-$K101)/($L101-$K101)))</f>
        <v>#REF!</v>
      </c>
      <c r="BF101" s="201" t="e">
        <f t="array" ref="BF101">_xlfn.IFS(AND($K101&gt;BE$7,$L101&gt;BE$7),0,AND($K101&lt;=BE$7,$L101&lt;=BE$7),1,AND($K101&lt;=BE$7,$L101&gt;BE$7),((BE$7-$K101)/($L101-$K101)))</f>
        <v>#REF!</v>
      </c>
      <c r="BG101" s="201" t="e">
        <f t="array" ref="BG101">_xlfn.IFS(AND($K101&gt;BF$7,$L101&gt;BF$7),0,AND($K101&lt;=BF$7,$L101&lt;=BF$7),1,AND($K101&lt;=BF$7,$L101&gt;BF$7),((BF$7-$K101)/($L101-$K101)))</f>
        <v>#REF!</v>
      </c>
      <c r="BH101" s="201" t="e">
        <f t="array" ref="BH101">_xlfn.IFS(AND($K101&gt;BG$7,$L101&gt;BG$7),0,AND($K101&lt;=BG$7,$L101&lt;=BG$7),1,AND($K101&lt;=BG$7,$L101&gt;BG$7),((BG$7-$K101)/($L101-$K101)))</f>
        <v>#REF!</v>
      </c>
      <c r="BI101" s="201" t="e">
        <f t="array" ref="BI101">_xlfn.IFS(AND($K101&gt;BH$7,$L101&gt;BH$7),0,AND($K101&lt;=BH$7,$L101&lt;=BH$7),1,AND($K101&lt;=BH$7,$L101&gt;BH$7),((BH$7-$K101)/($L101-$K101)))</f>
        <v>#REF!</v>
      </c>
      <c r="BJ101" s="201" t="e">
        <f t="array" ref="BJ101">_xlfn.IFS(AND($K101&gt;BI$7,$L101&gt;BI$7),0,AND($K101&lt;=BI$7,$L101&lt;=BI$7),1,AND($K101&lt;=BI$7,$L101&gt;BI$7),((BI$7-$K101)/($L101-$K101)))</f>
        <v>#REF!</v>
      </c>
      <c r="BK101" s="201" t="e">
        <f t="array" ref="BK101">_xlfn.IFS(AND($K101&gt;BJ$7,$L101&gt;BJ$7),0,AND($K101&lt;=BJ$7,$L101&lt;=BJ$7),1,AND($K101&lt;=BJ$7,$L101&gt;BJ$7),((BJ$7-$K101)/($L101-$K101)))</f>
        <v>#REF!</v>
      </c>
      <c r="BL101" s="201" t="e">
        <f t="array" ref="BL101">_xlfn.IFS(AND($K101&gt;BK$7,$L101&gt;BK$7),0,AND($K101&lt;=BK$7,$L101&lt;=BK$7),1,AND($K101&lt;=BK$7,$L101&gt;BK$7),((BK$7-$K101)/($L101-$K101)))</f>
        <v>#REF!</v>
      </c>
      <c r="BM101" s="201" t="e">
        <f t="array" ref="BM101">_xlfn.IFS(AND($K101&gt;BL$7,$L101&gt;BL$7),0,AND($K101&lt;=BL$7,$L101&lt;=BL$7),1,AND($K101&lt;=BL$7,$L101&gt;BL$7),((BL$7-$K101)/($L101-$K101)))</f>
        <v>#REF!</v>
      </c>
      <c r="BN101" s="201" t="e">
        <f t="array" ref="BN101">_xlfn.IFS(AND($K101&gt;BM$7,$L101&gt;BM$7),0,AND($K101&lt;=BM$7,$L101&lt;=BM$7),1,AND($K101&lt;=BM$7,$L101&gt;BM$7),((BM$7-$K101)/($L101-$K101)))</f>
        <v>#REF!</v>
      </c>
    </row>
    <row r="102" spans="2:66" ht="15" customHeight="1" x14ac:dyDescent="0.3">
      <c r="B102" s="166" t="s">
        <v>161</v>
      </c>
      <c r="C102" s="166" t="s">
        <v>251</v>
      </c>
      <c r="D102" s="177"/>
      <c r="E102" s="170" t="str">
        <f t="shared" si="44"/>
        <v>Desenvolvimento da Transformação dos Processos</v>
      </c>
      <c r="F102" s="174" t="str">
        <f t="shared" si="41"/>
        <v>Modelagem To Be</v>
      </c>
      <c r="G102" s="166" t="str">
        <f t="shared" si="45"/>
        <v>Modelagem To Be</v>
      </c>
      <c r="H102" s="197" t="s">
        <v>252</v>
      </c>
      <c r="I102" s="166">
        <v>45964</v>
      </c>
      <c r="J102" s="166">
        <v>45968</v>
      </c>
      <c r="K102" s="166">
        <v>45964</v>
      </c>
      <c r="L102" s="166">
        <v>45968</v>
      </c>
      <c r="M102" s="167"/>
      <c r="N102" s="167" t="str">
        <f t="array" ref="N102">_xlfn.IFS(L102&lt;$M$3,"Concluído",AND(K102&gt;=$M$3,I102&lt;$M$3,L102&gt;$M$3),"Em andamento",AND(L102&gt;=$M$3,J102&lt;$M$3),"Atrasado",AND(L102&gt;=$M$3,J102&gt;=$M$3,I102&gt;$M$3,K102&lt;=$M$3),"Em andamento",AND(L102&gt;=$M$3,J102&gt;=$M$3,I102&lt;=$M$3,K102&lt;=$M$3),"Em andamento",AND(K102&gt;$M$3,I102&gt;$M$3),"Não iniciado",AND(L102&gt;=$M$3,J102&gt;=$M$3,K102&gt;=$M$3,I102&lt;$M$3),"Atrasado",AND(L102&gt;=$M$3,J102&gt;=$M$3,K102&gt;=$M$3,I102&gt;$M$3),"Não iniciado",AND($I102&lt;=$M$3,$K102&gt;$M$3),"Atrasado")</f>
        <v>Concluído</v>
      </c>
      <c r="O102" s="167">
        <f t="array" ref="O102">_xlfn.IFS(N102="Não iniciado",0,N102="Em andamento",1,N102="Concluído",2,N102="Atrasado",3)</f>
        <v>2</v>
      </c>
      <c r="P102" s="169"/>
      <c r="Q102" s="152">
        <f t="array" aca="1" ref="Q102" ca="1">_xlfn.IFS(AND($I102&lt;$N$3,$J102&lt;$N$3),1,AND($I102&lt;=$N$3,$J102&gt;=$N$3),0.5,AND($I102&gt;=$N$3,$J102&gt;=$N$3),0)</f>
        <v>1</v>
      </c>
      <c r="R102" s="152">
        <f t="array" aca="1" ref="R102" ca="1">_xlfn.IFS(AND($K102&lt;$N$3,$L102&lt;$N$3),1,AND($K102&lt;=$N$3,$L102&gt;=$N$3),0.5,AND($K102&gt;=$N$3,$L102&gt;=$N$3),0)</f>
        <v>1</v>
      </c>
      <c r="S102" s="201" t="e">
        <f t="array" ref="S102">_xlfn.IFS(AND($K102&gt;R$7,$L102&gt;R$7),0,AND($K102&lt;=R$7,$L102&lt;=R$7),1,AND($K102&lt;=R$7,$L102&gt;R$7),((R$7-$K102)/($L102-$K102)))</f>
        <v>#REF!</v>
      </c>
      <c r="T102" s="201" t="e">
        <f t="array" ref="T102">_xlfn.IFS(AND($K102&gt;S$7,$L102&gt;S$7),0,AND($K102&lt;=S$7,$L102&lt;=S$7),1,AND($K102&lt;=S$7,$L102&gt;S$7),((S$7-$K102)/($L102-$K102)))</f>
        <v>#REF!</v>
      </c>
      <c r="U102" s="201" t="e">
        <f t="array" ref="U102">_xlfn.IFS(AND($K102&gt;T$7,$L102&gt;T$7),0,AND($K102&lt;=T$7,$L102&lt;=T$7),1,AND($K102&lt;=T$7,$L102&gt;T$7),((T$7-$K102)/($L102-$K102)))</f>
        <v>#REF!</v>
      </c>
      <c r="V102" s="201" t="e">
        <f t="array" ref="V102">_xlfn.IFS(AND($K102&gt;U$7,$L102&gt;U$7),0,AND($K102&lt;=U$7,$L102&lt;=U$7),1,AND($K102&lt;=U$7,$L102&gt;U$7),((U$7-$K102)/($L102-$K102)))</f>
        <v>#REF!</v>
      </c>
      <c r="W102" s="201" t="e">
        <f t="array" ref="W102">_xlfn.IFS(AND($K102&gt;V$7,$L102&gt;V$7),0,AND($K102&lt;=V$7,$L102&lt;=V$7),1,AND($K102&lt;=V$7,$L102&gt;V$7),((V$7-$K102)/($L102-$K102)))</f>
        <v>#REF!</v>
      </c>
      <c r="X102" s="201" t="e">
        <f t="array" ref="X102">_xlfn.IFS(AND($K102&gt;W$7,$L102&gt;W$7),0,AND($K102&lt;=W$7,$L102&lt;=W$7),1,AND($K102&lt;=W$7,$L102&gt;W$7),((W$7-$K102)/($L102-$K102)))</f>
        <v>#REF!</v>
      </c>
      <c r="Y102" s="201" t="e">
        <f t="array" ref="Y102">_xlfn.IFS(AND($K102&gt;X$7,$L102&gt;X$7),0,AND($K102&lt;=X$7,$L102&lt;=X$7),1,AND($K102&lt;=X$7,$L102&gt;X$7),((X$7-$K102)/($L102-$K102)))</f>
        <v>#REF!</v>
      </c>
      <c r="Z102" s="201" t="e">
        <f t="array" ref="Z102">_xlfn.IFS(AND($K102&gt;Y$7,$L102&gt;Y$7),0,AND($K102&lt;=Y$7,$L102&lt;=Y$7),1,AND($K102&lt;=Y$7,$L102&gt;Y$7),((Y$7-$K102)/($L102-$K102)))</f>
        <v>#REF!</v>
      </c>
      <c r="AA102" s="201" t="e">
        <f t="array" ref="AA102">_xlfn.IFS(AND($K102&gt;Z$7,$L102&gt;Z$7),0,AND($K102&lt;=Z$7,$L102&lt;=Z$7),1,AND($K102&lt;=Z$7,$L102&gt;Z$7),((Z$7-$K102)/($L102-$K102)))</f>
        <v>#REF!</v>
      </c>
      <c r="AB102" s="201" t="e">
        <f t="array" ref="AB102">_xlfn.IFS(AND($K102&gt;AA$7,$L102&gt;AA$7),0,AND($K102&lt;=AA$7,$L102&lt;=AA$7),1,AND($K102&lt;=AA$7,$L102&gt;AA$7),((AA$7-$K102)/($L102-$K102)))</f>
        <v>#REF!</v>
      </c>
      <c r="AC102" s="201" t="e">
        <f t="array" ref="AC102">_xlfn.IFS(AND($K102&gt;AB$7,$L102&gt;AB$7),0,AND($K102&lt;=AB$7,$L102&lt;=AB$7),1,AND($K102&lt;=AB$7,$L102&gt;AB$7),((AB$7-$K102)/($L102-$K102)))</f>
        <v>#REF!</v>
      </c>
      <c r="AD102" s="201" t="e">
        <f t="array" ref="AD102">_xlfn.IFS(AND($K102&gt;AC$7,$L102&gt;AC$7),0,AND($K102&lt;=AC$7,$L102&lt;=AC$7),1,AND($K102&lt;=AC$7,$L102&gt;AC$7),((AC$7-$K102)/($L102-$K102)))</f>
        <v>#REF!</v>
      </c>
      <c r="AE102" s="201" t="e">
        <f t="array" ref="AE102">_xlfn.IFS(AND($K102&gt;AD$7,$L102&gt;AD$7),0,AND($K102&lt;=AD$7,$L102&lt;=AD$7),1,AND($K102&lt;=AD$7,$L102&gt;AD$7),((AD$7-$K102)/($L102-$K102)))</f>
        <v>#REF!</v>
      </c>
      <c r="AF102" s="201" t="e">
        <f t="array" ref="AF102">_xlfn.IFS(AND($K102&gt;AE$7,$L102&gt;AE$7),0,AND($K102&lt;=AE$7,$L102&lt;=AE$7),1,AND($K102&lt;=AE$7,$L102&gt;AE$7),((AE$7-$K102)/($L102-$K102)))</f>
        <v>#REF!</v>
      </c>
      <c r="AG102" s="201" t="e">
        <f t="array" ref="AG102">_xlfn.IFS(AND($K102&gt;AF$7,$L102&gt;AF$7),0,AND($K102&lt;=AF$7,$L102&lt;=AF$7),1,AND($K102&lt;=AF$7,$L102&gt;AF$7),((AF$7-$K102)/($L102-$K102)))</f>
        <v>#REF!</v>
      </c>
      <c r="AH102" s="201" t="e">
        <f t="array" ref="AH102">_xlfn.IFS(AND($K102&gt;AG$7,$L102&gt;AG$7),0,AND($K102&lt;=AG$7,$L102&lt;=AG$7),1,AND($K102&lt;=AG$7,$L102&gt;AG$7),((AG$7-$K102)/($L102-$K102)))</f>
        <v>#REF!</v>
      </c>
      <c r="AI102" s="201" t="e">
        <f t="array" ref="AI102">_xlfn.IFS(AND($K102&gt;AH$7,$L102&gt;AH$7),0,AND($K102&lt;=AH$7,$L102&lt;=AH$7),1,AND($K102&lt;=AH$7,$L102&gt;AH$7),((AH$7-$K102)/($L102-$K102)))</f>
        <v>#REF!</v>
      </c>
      <c r="AJ102" s="201" t="e">
        <f t="array" ref="AJ102">_xlfn.IFS(AND($K102&gt;AI$7,$L102&gt;AI$7),0,AND($K102&lt;=AI$7,$L102&lt;=AI$7),1,AND($K102&lt;=AI$7,$L102&gt;AI$7),((AI$7-$K102)/($L102-$K102)))</f>
        <v>#REF!</v>
      </c>
      <c r="AK102" s="201" t="e">
        <f t="array" ref="AK102">_xlfn.IFS(AND($K102&gt;AJ$7,$L102&gt;AJ$7),0,AND($K102&lt;=AJ$7,$L102&lt;=AJ$7),1,AND($K102&lt;=AJ$7,$L102&gt;AJ$7),((AJ$7-$K102)/($L102-$K102)))</f>
        <v>#REF!</v>
      </c>
      <c r="AL102" s="201" t="e">
        <f t="array" ref="AL102">_xlfn.IFS(AND($K102&gt;AK$7,$L102&gt;AK$7),0,AND($K102&lt;=AK$7,$L102&lt;=AK$7),1,AND($K102&lt;=AK$7,$L102&gt;AK$7),((AK$7-$K102)/($L102-$K102)))</f>
        <v>#REF!</v>
      </c>
      <c r="AM102" s="201" t="e">
        <f t="array" ref="AM102">_xlfn.IFS(AND($K102&gt;AL$7,$L102&gt;AL$7),0,AND($K102&lt;=AL$7,$L102&lt;=AL$7),1,AND($K102&lt;=AL$7,$L102&gt;AL$7),((AL$7-$K102)/($L102-$K102)))</f>
        <v>#REF!</v>
      </c>
      <c r="AN102" s="201" t="e">
        <f t="array" ref="AN102">_xlfn.IFS(AND($K102&gt;AM$7,$L102&gt;AM$7),0,AND($K102&lt;=AM$7,$L102&lt;=AM$7),1,AND($K102&lt;=AM$7,$L102&gt;AM$7),((AM$7-$K102)/($L102-$K102)))</f>
        <v>#REF!</v>
      </c>
      <c r="AO102" s="201" t="e">
        <f t="array" ref="AO102">_xlfn.IFS(AND($K102&gt;AN$7,$L102&gt;AN$7),0,AND($K102&lt;=AN$7,$L102&lt;=AN$7),1,AND($K102&lt;=AN$7,$L102&gt;AN$7),((AN$7-$K102)/($L102-$K102)))</f>
        <v>#REF!</v>
      </c>
      <c r="AP102" s="201" t="e">
        <f t="array" ref="AP102">_xlfn.IFS(AND($K102&gt;AO$7,$L102&gt;AO$7),0,AND($K102&lt;=AO$7,$L102&lt;=AO$7),1,AND($K102&lt;=AO$7,$L102&gt;AO$7),((AO$7-$K102)/($L102-$K102)))</f>
        <v>#REF!</v>
      </c>
      <c r="AQ102" s="201" t="e">
        <f t="array" ref="AQ102">_xlfn.IFS(AND($K102&gt;AP$7,$L102&gt;AP$7),0,AND($K102&lt;=AP$7,$L102&lt;=AP$7),1,AND($K102&lt;=AP$7,$L102&gt;AP$7),((AP$7-$K102)/($L102-$K102)))</f>
        <v>#REF!</v>
      </c>
      <c r="AR102" s="201" t="e">
        <f t="array" ref="AR102">_xlfn.IFS(AND($K102&gt;AQ$7,$L102&gt;AQ$7),0,AND($K102&lt;=AQ$7,$L102&lt;=AQ$7),1,AND($K102&lt;=AQ$7,$L102&gt;AQ$7),((AQ$7-$K102)/($L102-$K102)))</f>
        <v>#REF!</v>
      </c>
      <c r="AS102" s="201" t="e">
        <f t="array" ref="AS102">_xlfn.IFS(AND($K102&gt;AR$7,$L102&gt;AR$7),0,AND($K102&lt;=AR$7,$L102&lt;=AR$7),1,AND($K102&lt;=AR$7,$L102&gt;AR$7),((AR$7-$K102)/($L102-$K102)))</f>
        <v>#REF!</v>
      </c>
      <c r="AT102" s="201" t="e">
        <f t="array" ref="AT102">_xlfn.IFS(AND($K102&gt;AS$7,$L102&gt;AS$7),0,AND($K102&lt;=AS$7,$L102&lt;=AS$7),1,AND($K102&lt;=AS$7,$L102&gt;AS$7),((AS$7-$K102)/($L102-$K102)))</f>
        <v>#REF!</v>
      </c>
      <c r="AU102" s="201" t="e">
        <f t="array" ref="AU102">_xlfn.IFS(AND($K102&gt;AT$7,$L102&gt;AT$7),0,AND($K102&lt;=AT$7,$L102&lt;=AT$7),1,AND($K102&lt;=AT$7,$L102&gt;AT$7),((AT$7-$K102)/($L102-$K102)))</f>
        <v>#REF!</v>
      </c>
      <c r="AV102" s="201" t="e">
        <f t="array" ref="AV102">_xlfn.IFS(AND($K102&gt;AU$7,$L102&gt;AU$7),0,AND($K102&lt;=AU$7,$L102&lt;=AU$7),1,AND($K102&lt;=AU$7,$L102&gt;AU$7),((AU$7-$K102)/($L102-$K102)))</f>
        <v>#REF!</v>
      </c>
      <c r="AW102" s="201" t="e">
        <f t="array" ref="AW102">_xlfn.IFS(AND($K102&gt;AV$7,$L102&gt;AV$7),0,AND($K102&lt;=AV$7,$L102&lt;=AV$7),1,AND($K102&lt;=AV$7,$L102&gt;AV$7),((AV$7-$K102)/($L102-$K102)))</f>
        <v>#REF!</v>
      </c>
      <c r="AX102" s="201" t="e">
        <f t="array" ref="AX102">_xlfn.IFS(AND($K102&gt;AW$7,$L102&gt;AW$7),0,AND($K102&lt;=AW$7,$L102&lt;=AW$7),1,AND($K102&lt;=AW$7,$L102&gt;AW$7),((AW$7-$K102)/($L102-$K102)))</f>
        <v>#REF!</v>
      </c>
      <c r="AY102" s="201" t="e">
        <f t="array" ref="AY102">_xlfn.IFS(AND($K102&gt;AX$7,$L102&gt;AX$7),0,AND($K102&lt;=AX$7,$L102&lt;=AX$7),1,AND($K102&lt;=AX$7,$L102&gt;AX$7),((AX$7-$K102)/($L102-$K102)))</f>
        <v>#REF!</v>
      </c>
      <c r="AZ102" s="201" t="e">
        <f t="array" ref="AZ102">_xlfn.IFS(AND($K102&gt;AY$7,$L102&gt;AY$7),0,AND($K102&lt;=AY$7,$L102&lt;=AY$7),1,AND($K102&lt;=AY$7,$L102&gt;AY$7),((AY$7-$K102)/($L102-$K102)))</f>
        <v>#REF!</v>
      </c>
      <c r="BA102" s="201" t="e">
        <f t="array" ref="BA102">_xlfn.IFS(AND($K102&gt;AZ$7,$L102&gt;AZ$7),0,AND($K102&lt;=AZ$7,$L102&lt;=AZ$7),1,AND($K102&lt;=AZ$7,$L102&gt;AZ$7),((AZ$7-$K102)/($L102-$K102)))</f>
        <v>#REF!</v>
      </c>
      <c r="BB102" s="201" t="e">
        <f t="array" ref="BB102">_xlfn.IFS(AND($K102&gt;BA$7,$L102&gt;BA$7),0,AND($K102&lt;=BA$7,$L102&lt;=BA$7),1,AND($K102&lt;=BA$7,$L102&gt;BA$7),((BA$7-$K102)/($L102-$K102)))</f>
        <v>#REF!</v>
      </c>
      <c r="BC102" s="201" t="e">
        <f t="array" ref="BC102">_xlfn.IFS(AND($K102&gt;BB$7,$L102&gt;BB$7),0,AND($K102&lt;=BB$7,$L102&lt;=BB$7),1,AND($K102&lt;=BB$7,$L102&gt;BB$7),((BB$7-$K102)/($L102-$K102)))</f>
        <v>#REF!</v>
      </c>
      <c r="BD102" s="201" t="e">
        <f t="array" ref="BD102">_xlfn.IFS(AND($K102&gt;BC$7,$L102&gt;BC$7),0,AND($K102&lt;=BC$7,$L102&lt;=BC$7),1,AND($K102&lt;=BC$7,$L102&gt;BC$7),((BC$7-$K102)/($L102-$K102)))</f>
        <v>#REF!</v>
      </c>
      <c r="BE102" s="201" t="e">
        <f t="array" ref="BE102">_xlfn.IFS(AND($K102&gt;BD$7,$L102&gt;BD$7),0,AND($K102&lt;=BD$7,$L102&lt;=BD$7),1,AND($K102&lt;=BD$7,$L102&gt;BD$7),((BD$7-$K102)/($L102-$K102)))</f>
        <v>#REF!</v>
      </c>
      <c r="BF102" s="201" t="e">
        <f t="array" ref="BF102">_xlfn.IFS(AND($K102&gt;BE$7,$L102&gt;BE$7),0,AND($K102&lt;=BE$7,$L102&lt;=BE$7),1,AND($K102&lt;=BE$7,$L102&gt;BE$7),((BE$7-$K102)/($L102-$K102)))</f>
        <v>#REF!</v>
      </c>
      <c r="BG102" s="201" t="e">
        <f t="array" ref="BG102">_xlfn.IFS(AND($K102&gt;BF$7,$L102&gt;BF$7),0,AND($K102&lt;=BF$7,$L102&lt;=BF$7),1,AND($K102&lt;=BF$7,$L102&gt;BF$7),((BF$7-$K102)/($L102-$K102)))</f>
        <v>#REF!</v>
      </c>
      <c r="BH102" s="201" t="e">
        <f t="array" ref="BH102">_xlfn.IFS(AND($K102&gt;BG$7,$L102&gt;BG$7),0,AND($K102&lt;=BG$7,$L102&lt;=BG$7),1,AND($K102&lt;=BG$7,$L102&gt;BG$7),((BG$7-$K102)/($L102-$K102)))</f>
        <v>#REF!</v>
      </c>
      <c r="BI102" s="201" t="e">
        <f t="array" ref="BI102">_xlfn.IFS(AND($K102&gt;BH$7,$L102&gt;BH$7),0,AND($K102&lt;=BH$7,$L102&lt;=BH$7),1,AND($K102&lt;=BH$7,$L102&gt;BH$7),((BH$7-$K102)/($L102-$K102)))</f>
        <v>#REF!</v>
      </c>
      <c r="BJ102" s="201" t="e">
        <f t="array" ref="BJ102">_xlfn.IFS(AND($K102&gt;BI$7,$L102&gt;BI$7),0,AND($K102&lt;=BI$7,$L102&lt;=BI$7),1,AND($K102&lt;=BI$7,$L102&gt;BI$7),((BI$7-$K102)/($L102-$K102)))</f>
        <v>#REF!</v>
      </c>
      <c r="BK102" s="201" t="e">
        <f t="array" ref="BK102">_xlfn.IFS(AND($K102&gt;BJ$7,$L102&gt;BJ$7),0,AND($K102&lt;=BJ$7,$L102&lt;=BJ$7),1,AND($K102&lt;=BJ$7,$L102&gt;BJ$7),((BJ$7-$K102)/($L102-$K102)))</f>
        <v>#REF!</v>
      </c>
      <c r="BL102" s="201" t="e">
        <f t="array" ref="BL102">_xlfn.IFS(AND($K102&gt;BK$7,$L102&gt;BK$7),0,AND($K102&lt;=BK$7,$L102&lt;=BK$7),1,AND($K102&lt;=BK$7,$L102&gt;BK$7),((BK$7-$K102)/($L102-$K102)))</f>
        <v>#REF!</v>
      </c>
      <c r="BM102" s="201" t="e">
        <f t="array" ref="BM102">_xlfn.IFS(AND($K102&gt;BL$7,$L102&gt;BL$7),0,AND($K102&lt;=BL$7,$L102&lt;=BL$7),1,AND($K102&lt;=BL$7,$L102&gt;BL$7),((BL$7-$K102)/($L102-$K102)))</f>
        <v>#REF!</v>
      </c>
      <c r="BN102" s="201" t="e">
        <f t="array" ref="BN102">_xlfn.IFS(AND($K102&gt;BM$7,$L102&gt;BM$7),0,AND($K102&lt;=BM$7,$L102&lt;=BM$7),1,AND($K102&lt;=BM$7,$L102&gt;BM$7),((BM$7-$K102)/($L102-$K102)))</f>
        <v>#REF!</v>
      </c>
    </row>
    <row r="103" spans="2:66" ht="15" customHeight="1" x14ac:dyDescent="0.3">
      <c r="B103" s="166" t="s">
        <v>161</v>
      </c>
      <c r="C103" s="166" t="s">
        <v>253</v>
      </c>
      <c r="D103" s="177"/>
      <c r="E103" s="170" t="str">
        <f t="shared" si="44"/>
        <v>Desenvolvimento da Transformação dos Processos</v>
      </c>
      <c r="F103" s="174" t="str">
        <f t="shared" si="41"/>
        <v>Modelagem To Be</v>
      </c>
      <c r="G103" s="166" t="str">
        <f t="shared" si="45"/>
        <v>Modelagem To Be</v>
      </c>
      <c r="H103" s="197" t="s">
        <v>254</v>
      </c>
      <c r="I103" s="166">
        <v>45964</v>
      </c>
      <c r="J103" s="166">
        <v>45968</v>
      </c>
      <c r="K103" s="166">
        <v>45964</v>
      </c>
      <c r="L103" s="166">
        <v>45968</v>
      </c>
      <c r="M103" s="167"/>
      <c r="N103" s="167" t="str">
        <f t="array" ref="N103">_xlfn.IFS(L103&lt;$M$3,"Concluído",AND(K103&gt;=$M$3,I103&lt;$M$3,L103&gt;$M$3),"Em andamento",AND(L103&gt;=$M$3,J103&lt;$M$3),"Atrasado",AND(L103&gt;=$M$3,J103&gt;=$M$3,I103&gt;$M$3,K103&lt;=$M$3),"Em andamento",AND(L103&gt;=$M$3,J103&gt;=$M$3,I103&lt;=$M$3,K103&lt;=$M$3),"Em andamento",AND(K103&gt;$M$3,I103&gt;$M$3),"Não iniciado",AND(L103&gt;=$M$3,J103&gt;=$M$3,K103&gt;=$M$3,I103&lt;$M$3),"Atrasado",AND(L103&gt;=$M$3,J103&gt;=$M$3,K103&gt;=$M$3,I103&gt;$M$3),"Não iniciado",AND($I103&lt;=$M$3,$K103&gt;$M$3),"Atrasado")</f>
        <v>Concluído</v>
      </c>
      <c r="O103" s="167">
        <f t="array" ref="O103">_xlfn.IFS(N103="Não iniciado",0,N103="Em andamento",1,N103="Concluído",2,N103="Atrasado",3)</f>
        <v>2</v>
      </c>
      <c r="P103" s="169"/>
      <c r="Q103" s="152">
        <f t="array" aca="1" ref="Q103" ca="1">_xlfn.IFS(AND($I103&lt;$N$3,$J103&lt;$N$3),1,AND($I103&lt;=$N$3,$J103&gt;=$N$3),0.5,AND($I103&gt;=$N$3,$J103&gt;=$N$3),0)</f>
        <v>1</v>
      </c>
      <c r="R103" s="152">
        <f t="array" aca="1" ref="R103" ca="1">_xlfn.IFS(AND($K103&lt;$N$3,$L103&lt;$N$3),1,AND($K103&lt;=$N$3,$L103&gt;=$N$3),0.5,AND($K103&gt;=$N$3,$L103&gt;=$N$3),0)</f>
        <v>1</v>
      </c>
      <c r="S103" s="201" t="e">
        <f t="array" ref="S103">_xlfn.IFS(AND($K103&gt;R$7,$L103&gt;R$7),0,AND($K103&lt;=R$7,$L103&lt;=R$7),1,AND($K103&lt;=R$7,$L103&gt;R$7),((R$7-$K103)/($L103-$K103)))</f>
        <v>#REF!</v>
      </c>
      <c r="T103" s="201" t="e">
        <f t="array" ref="T103">_xlfn.IFS(AND($K103&gt;S$7,$L103&gt;S$7),0,AND($K103&lt;=S$7,$L103&lt;=S$7),1,AND($K103&lt;=S$7,$L103&gt;S$7),((S$7-$K103)/($L103-$K103)))</f>
        <v>#REF!</v>
      </c>
      <c r="U103" s="201" t="e">
        <f t="array" ref="U103">_xlfn.IFS(AND($K103&gt;T$7,$L103&gt;T$7),0,AND($K103&lt;=T$7,$L103&lt;=T$7),1,AND($K103&lt;=T$7,$L103&gt;T$7),((T$7-$K103)/($L103-$K103)))</f>
        <v>#REF!</v>
      </c>
      <c r="V103" s="201" t="e">
        <f t="array" ref="V103">_xlfn.IFS(AND($K103&gt;U$7,$L103&gt;U$7),0,AND($K103&lt;=U$7,$L103&lt;=U$7),1,AND($K103&lt;=U$7,$L103&gt;U$7),((U$7-$K103)/($L103-$K103)))</f>
        <v>#REF!</v>
      </c>
      <c r="W103" s="201" t="e">
        <f t="array" ref="W103">_xlfn.IFS(AND($K103&gt;V$7,$L103&gt;V$7),0,AND($K103&lt;=V$7,$L103&lt;=V$7),1,AND($K103&lt;=V$7,$L103&gt;V$7),((V$7-$K103)/($L103-$K103)))</f>
        <v>#REF!</v>
      </c>
      <c r="X103" s="201" t="e">
        <f t="array" ref="X103">_xlfn.IFS(AND($K103&gt;W$7,$L103&gt;W$7),0,AND($K103&lt;=W$7,$L103&lt;=W$7),1,AND($K103&lt;=W$7,$L103&gt;W$7),((W$7-$K103)/($L103-$K103)))</f>
        <v>#REF!</v>
      </c>
      <c r="Y103" s="201" t="e">
        <f t="array" ref="Y103">_xlfn.IFS(AND($K103&gt;X$7,$L103&gt;X$7),0,AND($K103&lt;=X$7,$L103&lt;=X$7),1,AND($K103&lt;=X$7,$L103&gt;X$7),((X$7-$K103)/($L103-$K103)))</f>
        <v>#REF!</v>
      </c>
      <c r="Z103" s="201" t="e">
        <f t="array" ref="Z103">_xlfn.IFS(AND($K103&gt;Y$7,$L103&gt;Y$7),0,AND($K103&lt;=Y$7,$L103&lt;=Y$7),1,AND($K103&lt;=Y$7,$L103&gt;Y$7),((Y$7-$K103)/($L103-$K103)))</f>
        <v>#REF!</v>
      </c>
      <c r="AA103" s="201" t="e">
        <f t="array" ref="AA103">_xlfn.IFS(AND($K103&gt;Z$7,$L103&gt;Z$7),0,AND($K103&lt;=Z$7,$L103&lt;=Z$7),1,AND($K103&lt;=Z$7,$L103&gt;Z$7),((Z$7-$K103)/($L103-$K103)))</f>
        <v>#REF!</v>
      </c>
      <c r="AB103" s="201" t="e">
        <f t="array" ref="AB103">_xlfn.IFS(AND($K103&gt;AA$7,$L103&gt;AA$7),0,AND($K103&lt;=AA$7,$L103&lt;=AA$7),1,AND($K103&lt;=AA$7,$L103&gt;AA$7),((AA$7-$K103)/($L103-$K103)))</f>
        <v>#REF!</v>
      </c>
      <c r="AC103" s="201" t="e">
        <f t="array" ref="AC103">_xlfn.IFS(AND($K103&gt;AB$7,$L103&gt;AB$7),0,AND($K103&lt;=AB$7,$L103&lt;=AB$7),1,AND($K103&lt;=AB$7,$L103&gt;AB$7),((AB$7-$K103)/($L103-$K103)))</f>
        <v>#REF!</v>
      </c>
      <c r="AD103" s="201" t="e">
        <f t="array" ref="AD103">_xlfn.IFS(AND($K103&gt;AC$7,$L103&gt;AC$7),0,AND($K103&lt;=AC$7,$L103&lt;=AC$7),1,AND($K103&lt;=AC$7,$L103&gt;AC$7),((AC$7-$K103)/($L103-$K103)))</f>
        <v>#REF!</v>
      </c>
      <c r="AE103" s="201" t="e">
        <f t="array" ref="AE103">_xlfn.IFS(AND($K103&gt;AD$7,$L103&gt;AD$7),0,AND($K103&lt;=AD$7,$L103&lt;=AD$7),1,AND($K103&lt;=AD$7,$L103&gt;AD$7),((AD$7-$K103)/($L103-$K103)))</f>
        <v>#REF!</v>
      </c>
      <c r="AF103" s="201" t="e">
        <f t="array" ref="AF103">_xlfn.IFS(AND($K103&gt;AE$7,$L103&gt;AE$7),0,AND($K103&lt;=AE$7,$L103&lt;=AE$7),1,AND($K103&lt;=AE$7,$L103&gt;AE$7),((AE$7-$K103)/($L103-$K103)))</f>
        <v>#REF!</v>
      </c>
      <c r="AG103" s="201" t="e">
        <f t="array" ref="AG103">_xlfn.IFS(AND($K103&gt;AF$7,$L103&gt;AF$7),0,AND($K103&lt;=AF$7,$L103&lt;=AF$7),1,AND($K103&lt;=AF$7,$L103&gt;AF$7),((AF$7-$K103)/($L103-$K103)))</f>
        <v>#REF!</v>
      </c>
      <c r="AH103" s="201" t="e">
        <f t="array" ref="AH103">_xlfn.IFS(AND($K103&gt;AG$7,$L103&gt;AG$7),0,AND($K103&lt;=AG$7,$L103&lt;=AG$7),1,AND($K103&lt;=AG$7,$L103&gt;AG$7),((AG$7-$K103)/($L103-$K103)))</f>
        <v>#REF!</v>
      </c>
      <c r="AI103" s="201" t="e">
        <f t="array" ref="AI103">_xlfn.IFS(AND($K103&gt;AH$7,$L103&gt;AH$7),0,AND($K103&lt;=AH$7,$L103&lt;=AH$7),1,AND($K103&lt;=AH$7,$L103&gt;AH$7),((AH$7-$K103)/($L103-$K103)))</f>
        <v>#REF!</v>
      </c>
      <c r="AJ103" s="201" t="e">
        <f t="array" ref="AJ103">_xlfn.IFS(AND($K103&gt;AI$7,$L103&gt;AI$7),0,AND($K103&lt;=AI$7,$L103&lt;=AI$7),1,AND($K103&lt;=AI$7,$L103&gt;AI$7),((AI$7-$K103)/($L103-$K103)))</f>
        <v>#REF!</v>
      </c>
      <c r="AK103" s="201" t="e">
        <f t="array" ref="AK103">_xlfn.IFS(AND($K103&gt;AJ$7,$L103&gt;AJ$7),0,AND($K103&lt;=AJ$7,$L103&lt;=AJ$7),1,AND($K103&lt;=AJ$7,$L103&gt;AJ$7),((AJ$7-$K103)/($L103-$K103)))</f>
        <v>#REF!</v>
      </c>
      <c r="AL103" s="201" t="e">
        <f t="array" ref="AL103">_xlfn.IFS(AND($K103&gt;AK$7,$L103&gt;AK$7),0,AND($K103&lt;=AK$7,$L103&lt;=AK$7),1,AND($K103&lt;=AK$7,$L103&gt;AK$7),((AK$7-$K103)/($L103-$K103)))</f>
        <v>#REF!</v>
      </c>
      <c r="AM103" s="201" t="e">
        <f t="array" ref="AM103">_xlfn.IFS(AND($K103&gt;AL$7,$L103&gt;AL$7),0,AND($K103&lt;=AL$7,$L103&lt;=AL$7),1,AND($K103&lt;=AL$7,$L103&gt;AL$7),((AL$7-$K103)/($L103-$K103)))</f>
        <v>#REF!</v>
      </c>
      <c r="AN103" s="201" t="e">
        <f t="array" ref="AN103">_xlfn.IFS(AND($K103&gt;AM$7,$L103&gt;AM$7),0,AND($K103&lt;=AM$7,$L103&lt;=AM$7),1,AND($K103&lt;=AM$7,$L103&gt;AM$7),((AM$7-$K103)/($L103-$K103)))</f>
        <v>#REF!</v>
      </c>
      <c r="AO103" s="201" t="e">
        <f t="array" ref="AO103">_xlfn.IFS(AND($K103&gt;AN$7,$L103&gt;AN$7),0,AND($K103&lt;=AN$7,$L103&lt;=AN$7),1,AND($K103&lt;=AN$7,$L103&gt;AN$7),((AN$7-$K103)/($L103-$K103)))</f>
        <v>#REF!</v>
      </c>
      <c r="AP103" s="201" t="e">
        <f t="array" ref="AP103">_xlfn.IFS(AND($K103&gt;AO$7,$L103&gt;AO$7),0,AND($K103&lt;=AO$7,$L103&lt;=AO$7),1,AND($K103&lt;=AO$7,$L103&gt;AO$7),((AO$7-$K103)/($L103-$K103)))</f>
        <v>#REF!</v>
      </c>
      <c r="AQ103" s="201" t="e">
        <f t="array" ref="AQ103">_xlfn.IFS(AND($K103&gt;AP$7,$L103&gt;AP$7),0,AND($K103&lt;=AP$7,$L103&lt;=AP$7),1,AND($K103&lt;=AP$7,$L103&gt;AP$7),((AP$7-$K103)/($L103-$K103)))</f>
        <v>#REF!</v>
      </c>
      <c r="AR103" s="201" t="e">
        <f t="array" ref="AR103">_xlfn.IFS(AND($K103&gt;AQ$7,$L103&gt;AQ$7),0,AND($K103&lt;=AQ$7,$L103&lt;=AQ$7),1,AND($K103&lt;=AQ$7,$L103&gt;AQ$7),((AQ$7-$K103)/($L103-$K103)))</f>
        <v>#REF!</v>
      </c>
      <c r="AS103" s="201" t="e">
        <f t="array" ref="AS103">_xlfn.IFS(AND($K103&gt;AR$7,$L103&gt;AR$7),0,AND($K103&lt;=AR$7,$L103&lt;=AR$7),1,AND($K103&lt;=AR$7,$L103&gt;AR$7),((AR$7-$K103)/($L103-$K103)))</f>
        <v>#REF!</v>
      </c>
      <c r="AT103" s="201" t="e">
        <f t="array" ref="AT103">_xlfn.IFS(AND($K103&gt;AS$7,$L103&gt;AS$7),0,AND($K103&lt;=AS$7,$L103&lt;=AS$7),1,AND($K103&lt;=AS$7,$L103&gt;AS$7),((AS$7-$K103)/($L103-$K103)))</f>
        <v>#REF!</v>
      </c>
      <c r="AU103" s="201" t="e">
        <f t="array" ref="AU103">_xlfn.IFS(AND($K103&gt;AT$7,$L103&gt;AT$7),0,AND($K103&lt;=AT$7,$L103&lt;=AT$7),1,AND($K103&lt;=AT$7,$L103&gt;AT$7),((AT$7-$K103)/($L103-$K103)))</f>
        <v>#REF!</v>
      </c>
      <c r="AV103" s="201" t="e">
        <f t="array" ref="AV103">_xlfn.IFS(AND($K103&gt;AU$7,$L103&gt;AU$7),0,AND($K103&lt;=AU$7,$L103&lt;=AU$7),1,AND($K103&lt;=AU$7,$L103&gt;AU$7),((AU$7-$K103)/($L103-$K103)))</f>
        <v>#REF!</v>
      </c>
      <c r="AW103" s="201" t="e">
        <f t="array" ref="AW103">_xlfn.IFS(AND($K103&gt;AV$7,$L103&gt;AV$7),0,AND($K103&lt;=AV$7,$L103&lt;=AV$7),1,AND($K103&lt;=AV$7,$L103&gt;AV$7),((AV$7-$K103)/($L103-$K103)))</f>
        <v>#REF!</v>
      </c>
      <c r="AX103" s="201" t="e">
        <f t="array" ref="AX103">_xlfn.IFS(AND($K103&gt;AW$7,$L103&gt;AW$7),0,AND($K103&lt;=AW$7,$L103&lt;=AW$7),1,AND($K103&lt;=AW$7,$L103&gt;AW$7),((AW$7-$K103)/($L103-$K103)))</f>
        <v>#REF!</v>
      </c>
      <c r="AY103" s="201" t="e">
        <f t="array" ref="AY103">_xlfn.IFS(AND($K103&gt;AX$7,$L103&gt;AX$7),0,AND($K103&lt;=AX$7,$L103&lt;=AX$7),1,AND($K103&lt;=AX$7,$L103&gt;AX$7),((AX$7-$K103)/($L103-$K103)))</f>
        <v>#REF!</v>
      </c>
      <c r="AZ103" s="201" t="e">
        <f t="array" ref="AZ103">_xlfn.IFS(AND($K103&gt;AY$7,$L103&gt;AY$7),0,AND($K103&lt;=AY$7,$L103&lt;=AY$7),1,AND($K103&lt;=AY$7,$L103&gt;AY$7),((AY$7-$K103)/($L103-$K103)))</f>
        <v>#REF!</v>
      </c>
      <c r="BA103" s="201" t="e">
        <f t="array" ref="BA103">_xlfn.IFS(AND($K103&gt;AZ$7,$L103&gt;AZ$7),0,AND($K103&lt;=AZ$7,$L103&lt;=AZ$7),1,AND($K103&lt;=AZ$7,$L103&gt;AZ$7),((AZ$7-$K103)/($L103-$K103)))</f>
        <v>#REF!</v>
      </c>
      <c r="BB103" s="201" t="e">
        <f t="array" ref="BB103">_xlfn.IFS(AND($K103&gt;BA$7,$L103&gt;BA$7),0,AND($K103&lt;=BA$7,$L103&lt;=BA$7),1,AND($K103&lt;=BA$7,$L103&gt;BA$7),((BA$7-$K103)/($L103-$K103)))</f>
        <v>#REF!</v>
      </c>
      <c r="BC103" s="201" t="e">
        <f t="array" ref="BC103">_xlfn.IFS(AND($K103&gt;BB$7,$L103&gt;BB$7),0,AND($K103&lt;=BB$7,$L103&lt;=BB$7),1,AND($K103&lt;=BB$7,$L103&gt;BB$7),((BB$7-$K103)/($L103-$K103)))</f>
        <v>#REF!</v>
      </c>
      <c r="BD103" s="201" t="e">
        <f t="array" ref="BD103">_xlfn.IFS(AND($K103&gt;BC$7,$L103&gt;BC$7),0,AND($K103&lt;=BC$7,$L103&lt;=BC$7),1,AND($K103&lt;=BC$7,$L103&gt;BC$7),((BC$7-$K103)/($L103-$K103)))</f>
        <v>#REF!</v>
      </c>
      <c r="BE103" s="201" t="e">
        <f t="array" ref="BE103">_xlfn.IFS(AND($K103&gt;BD$7,$L103&gt;BD$7),0,AND($K103&lt;=BD$7,$L103&lt;=BD$7),1,AND($K103&lt;=BD$7,$L103&gt;BD$7),((BD$7-$K103)/($L103-$K103)))</f>
        <v>#REF!</v>
      </c>
      <c r="BF103" s="201" t="e">
        <f t="array" ref="BF103">_xlfn.IFS(AND($K103&gt;BE$7,$L103&gt;BE$7),0,AND($K103&lt;=BE$7,$L103&lt;=BE$7),1,AND($K103&lt;=BE$7,$L103&gt;BE$7),((BE$7-$K103)/($L103-$K103)))</f>
        <v>#REF!</v>
      </c>
      <c r="BG103" s="201" t="e">
        <f t="array" ref="BG103">_xlfn.IFS(AND($K103&gt;BF$7,$L103&gt;BF$7),0,AND($K103&lt;=BF$7,$L103&lt;=BF$7),1,AND($K103&lt;=BF$7,$L103&gt;BF$7),((BF$7-$K103)/($L103-$K103)))</f>
        <v>#REF!</v>
      </c>
      <c r="BH103" s="201" t="e">
        <f t="array" ref="BH103">_xlfn.IFS(AND($K103&gt;BG$7,$L103&gt;BG$7),0,AND($K103&lt;=BG$7,$L103&lt;=BG$7),1,AND($K103&lt;=BG$7,$L103&gt;BG$7),((BG$7-$K103)/($L103-$K103)))</f>
        <v>#REF!</v>
      </c>
      <c r="BI103" s="201" t="e">
        <f t="array" ref="BI103">_xlfn.IFS(AND($K103&gt;BH$7,$L103&gt;BH$7),0,AND($K103&lt;=BH$7,$L103&lt;=BH$7),1,AND($K103&lt;=BH$7,$L103&gt;BH$7),((BH$7-$K103)/($L103-$K103)))</f>
        <v>#REF!</v>
      </c>
      <c r="BJ103" s="201" t="e">
        <f t="array" ref="BJ103">_xlfn.IFS(AND($K103&gt;BI$7,$L103&gt;BI$7),0,AND($K103&lt;=BI$7,$L103&lt;=BI$7),1,AND($K103&lt;=BI$7,$L103&gt;BI$7),((BI$7-$K103)/($L103-$K103)))</f>
        <v>#REF!</v>
      </c>
      <c r="BK103" s="201" t="e">
        <f t="array" ref="BK103">_xlfn.IFS(AND($K103&gt;BJ$7,$L103&gt;BJ$7),0,AND($K103&lt;=BJ$7,$L103&lt;=BJ$7),1,AND($K103&lt;=BJ$7,$L103&gt;BJ$7),((BJ$7-$K103)/($L103-$K103)))</f>
        <v>#REF!</v>
      </c>
      <c r="BL103" s="201" t="e">
        <f t="array" ref="BL103">_xlfn.IFS(AND($K103&gt;BK$7,$L103&gt;BK$7),0,AND($K103&lt;=BK$7,$L103&lt;=BK$7),1,AND($K103&lt;=BK$7,$L103&gt;BK$7),((BK$7-$K103)/($L103-$K103)))</f>
        <v>#REF!</v>
      </c>
      <c r="BM103" s="201" t="e">
        <f t="array" ref="BM103">_xlfn.IFS(AND($K103&gt;BL$7,$L103&gt;BL$7),0,AND($K103&lt;=BL$7,$L103&lt;=BL$7),1,AND($K103&lt;=BL$7,$L103&gt;BL$7),((BL$7-$K103)/($L103-$K103)))</f>
        <v>#REF!</v>
      </c>
      <c r="BN103" s="201" t="e">
        <f t="array" ref="BN103">_xlfn.IFS(AND($K103&gt;BM$7,$L103&gt;BM$7),0,AND($K103&lt;=BM$7,$L103&lt;=BM$7),1,AND($K103&lt;=BM$7,$L103&gt;BM$7),((BM$7-$K103)/($L103-$K103)))</f>
        <v>#REF!</v>
      </c>
    </row>
    <row r="104" spans="2:66" ht="15" customHeight="1" x14ac:dyDescent="0.3">
      <c r="B104" s="166" t="s">
        <v>161</v>
      </c>
      <c r="C104" s="166" t="s">
        <v>255</v>
      </c>
      <c r="D104" s="177"/>
      <c r="E104" s="170" t="str">
        <f t="shared" si="44"/>
        <v>Desenvolvimento da Transformação dos Processos</v>
      </c>
      <c r="F104" s="174" t="str">
        <f t="shared" si="41"/>
        <v>Modelagem To Be</v>
      </c>
      <c r="G104" s="166" t="str">
        <f t="shared" si="45"/>
        <v>Modelagem To Be</v>
      </c>
      <c r="H104" s="197" t="s">
        <v>256</v>
      </c>
      <c r="I104" s="166">
        <v>45964</v>
      </c>
      <c r="J104" s="166">
        <v>45968</v>
      </c>
      <c r="K104" s="166">
        <v>45964</v>
      </c>
      <c r="L104" s="166">
        <v>45968</v>
      </c>
      <c r="M104" s="167"/>
      <c r="N104" s="167" t="str">
        <f t="array" ref="N104">_xlfn.IFS(L104&lt;$M$3,"Concluído",AND(K104&gt;=$M$3,I104&lt;$M$3,L104&gt;$M$3),"Em andamento",AND(L104&gt;=$M$3,J104&lt;$M$3),"Atrasado",AND(L104&gt;=$M$3,J104&gt;=$M$3,I104&gt;$M$3,K104&lt;=$M$3),"Em andamento",AND(L104&gt;=$M$3,J104&gt;=$M$3,I104&lt;=$M$3,K104&lt;=$M$3),"Em andamento",AND(K104&gt;$M$3,I104&gt;$M$3),"Não iniciado",AND(L104&gt;=$M$3,J104&gt;=$M$3,K104&gt;=$M$3,I104&lt;$M$3),"Atrasado",AND(L104&gt;=$M$3,J104&gt;=$M$3,K104&gt;=$M$3,I104&gt;$M$3),"Não iniciado",AND($I104&lt;=$M$3,$K104&gt;$M$3),"Atrasado")</f>
        <v>Concluído</v>
      </c>
      <c r="O104" s="167">
        <f t="array" ref="O104">_xlfn.IFS(N104="Não iniciado",0,N104="Em andamento",1,N104="Concluído",2,N104="Atrasado",3)</f>
        <v>2</v>
      </c>
      <c r="P104" s="169"/>
      <c r="Q104" s="152">
        <f t="array" aca="1" ref="Q104" ca="1">_xlfn.IFS(AND($I104&lt;$N$3,$J104&lt;$N$3),1,AND($I104&lt;=$N$3,$J104&gt;=$N$3),0.5,AND($I104&gt;=$N$3,$J104&gt;=$N$3),0)</f>
        <v>1</v>
      </c>
      <c r="R104" s="152">
        <f t="array" aca="1" ref="R104" ca="1">_xlfn.IFS(AND($K104&lt;$N$3,$L104&lt;$N$3),1,AND($K104&lt;=$N$3,$L104&gt;=$N$3),0.5,AND($K104&gt;=$N$3,$L104&gt;=$N$3),0)</f>
        <v>1</v>
      </c>
      <c r="S104" s="201" t="e">
        <f t="array" ref="S104">_xlfn.IFS(AND($K104&gt;R$7,$L104&gt;R$7),0,AND($K104&lt;=R$7,$L104&lt;=R$7),1,AND($K104&lt;=R$7,$L104&gt;R$7),((R$7-$K104)/($L104-$K104)))</f>
        <v>#REF!</v>
      </c>
      <c r="T104" s="201" t="e">
        <f t="array" ref="T104">_xlfn.IFS(AND($K104&gt;S$7,$L104&gt;S$7),0,AND($K104&lt;=S$7,$L104&lt;=S$7),1,AND($K104&lt;=S$7,$L104&gt;S$7),((S$7-$K104)/($L104-$K104)))</f>
        <v>#REF!</v>
      </c>
      <c r="U104" s="201" t="e">
        <f t="array" ref="U104">_xlfn.IFS(AND($K104&gt;T$7,$L104&gt;T$7),0,AND($K104&lt;=T$7,$L104&lt;=T$7),1,AND($K104&lt;=T$7,$L104&gt;T$7),((T$7-$K104)/($L104-$K104)))</f>
        <v>#REF!</v>
      </c>
      <c r="V104" s="201" t="e">
        <f t="array" ref="V104">_xlfn.IFS(AND($K104&gt;U$7,$L104&gt;U$7),0,AND($K104&lt;=U$7,$L104&lt;=U$7),1,AND($K104&lt;=U$7,$L104&gt;U$7),((U$7-$K104)/($L104-$K104)))</f>
        <v>#REF!</v>
      </c>
      <c r="W104" s="201" t="e">
        <f t="array" ref="W104">_xlfn.IFS(AND($K104&gt;V$7,$L104&gt;V$7),0,AND($K104&lt;=V$7,$L104&lt;=V$7),1,AND($K104&lt;=V$7,$L104&gt;V$7),((V$7-$K104)/($L104-$K104)))</f>
        <v>#REF!</v>
      </c>
      <c r="X104" s="201" t="e">
        <f t="array" ref="X104">_xlfn.IFS(AND($K104&gt;W$7,$L104&gt;W$7),0,AND($K104&lt;=W$7,$L104&lt;=W$7),1,AND($K104&lt;=W$7,$L104&gt;W$7),((W$7-$K104)/($L104-$K104)))</f>
        <v>#REF!</v>
      </c>
      <c r="Y104" s="201" t="e">
        <f t="array" ref="Y104">_xlfn.IFS(AND($K104&gt;X$7,$L104&gt;X$7),0,AND($K104&lt;=X$7,$L104&lt;=X$7),1,AND($K104&lt;=X$7,$L104&gt;X$7),((X$7-$K104)/($L104-$K104)))</f>
        <v>#REF!</v>
      </c>
      <c r="Z104" s="201" t="e">
        <f t="array" ref="Z104">_xlfn.IFS(AND($K104&gt;Y$7,$L104&gt;Y$7),0,AND($K104&lt;=Y$7,$L104&lt;=Y$7),1,AND($K104&lt;=Y$7,$L104&gt;Y$7),((Y$7-$K104)/($L104-$K104)))</f>
        <v>#REF!</v>
      </c>
      <c r="AA104" s="201" t="e">
        <f t="array" ref="AA104">_xlfn.IFS(AND($K104&gt;Z$7,$L104&gt;Z$7),0,AND($K104&lt;=Z$7,$L104&lt;=Z$7),1,AND($K104&lt;=Z$7,$L104&gt;Z$7),((Z$7-$K104)/($L104-$K104)))</f>
        <v>#REF!</v>
      </c>
      <c r="AB104" s="201" t="e">
        <f t="array" ref="AB104">_xlfn.IFS(AND($K104&gt;AA$7,$L104&gt;AA$7),0,AND($K104&lt;=AA$7,$L104&lt;=AA$7),1,AND($K104&lt;=AA$7,$L104&gt;AA$7),((AA$7-$K104)/($L104-$K104)))</f>
        <v>#REF!</v>
      </c>
      <c r="AC104" s="201" t="e">
        <f t="array" ref="AC104">_xlfn.IFS(AND($K104&gt;AB$7,$L104&gt;AB$7),0,AND($K104&lt;=AB$7,$L104&lt;=AB$7),1,AND($K104&lt;=AB$7,$L104&gt;AB$7),((AB$7-$K104)/($L104-$K104)))</f>
        <v>#REF!</v>
      </c>
      <c r="AD104" s="201" t="e">
        <f t="array" ref="AD104">_xlfn.IFS(AND($K104&gt;AC$7,$L104&gt;AC$7),0,AND($K104&lt;=AC$7,$L104&lt;=AC$7),1,AND($K104&lt;=AC$7,$L104&gt;AC$7),((AC$7-$K104)/($L104-$K104)))</f>
        <v>#REF!</v>
      </c>
      <c r="AE104" s="201" t="e">
        <f t="array" ref="AE104">_xlfn.IFS(AND($K104&gt;AD$7,$L104&gt;AD$7),0,AND($K104&lt;=AD$7,$L104&lt;=AD$7),1,AND($K104&lt;=AD$7,$L104&gt;AD$7),((AD$7-$K104)/($L104-$K104)))</f>
        <v>#REF!</v>
      </c>
      <c r="AF104" s="201" t="e">
        <f t="array" ref="AF104">_xlfn.IFS(AND($K104&gt;AE$7,$L104&gt;AE$7),0,AND($K104&lt;=AE$7,$L104&lt;=AE$7),1,AND($K104&lt;=AE$7,$L104&gt;AE$7),((AE$7-$K104)/($L104-$K104)))</f>
        <v>#REF!</v>
      </c>
      <c r="AG104" s="201" t="e">
        <f t="array" ref="AG104">_xlfn.IFS(AND($K104&gt;AF$7,$L104&gt;AF$7),0,AND($K104&lt;=AF$7,$L104&lt;=AF$7),1,AND($K104&lt;=AF$7,$L104&gt;AF$7),((AF$7-$K104)/($L104-$K104)))</f>
        <v>#REF!</v>
      </c>
      <c r="AH104" s="201" t="e">
        <f t="array" ref="AH104">_xlfn.IFS(AND($K104&gt;AG$7,$L104&gt;AG$7),0,AND($K104&lt;=AG$7,$L104&lt;=AG$7),1,AND($K104&lt;=AG$7,$L104&gt;AG$7),((AG$7-$K104)/($L104-$K104)))</f>
        <v>#REF!</v>
      </c>
      <c r="AI104" s="201" t="e">
        <f t="array" ref="AI104">_xlfn.IFS(AND($K104&gt;AH$7,$L104&gt;AH$7),0,AND($K104&lt;=AH$7,$L104&lt;=AH$7),1,AND($K104&lt;=AH$7,$L104&gt;AH$7),((AH$7-$K104)/($L104-$K104)))</f>
        <v>#REF!</v>
      </c>
      <c r="AJ104" s="201" t="e">
        <f t="array" ref="AJ104">_xlfn.IFS(AND($K104&gt;AI$7,$L104&gt;AI$7),0,AND($K104&lt;=AI$7,$L104&lt;=AI$7),1,AND($K104&lt;=AI$7,$L104&gt;AI$7),((AI$7-$K104)/($L104-$K104)))</f>
        <v>#REF!</v>
      </c>
      <c r="AK104" s="201" t="e">
        <f t="array" ref="AK104">_xlfn.IFS(AND($K104&gt;AJ$7,$L104&gt;AJ$7),0,AND($K104&lt;=AJ$7,$L104&lt;=AJ$7),1,AND($K104&lt;=AJ$7,$L104&gt;AJ$7),((AJ$7-$K104)/($L104-$K104)))</f>
        <v>#REF!</v>
      </c>
      <c r="AL104" s="201" t="e">
        <f t="array" ref="AL104">_xlfn.IFS(AND($K104&gt;AK$7,$L104&gt;AK$7),0,AND($K104&lt;=AK$7,$L104&lt;=AK$7),1,AND($K104&lt;=AK$7,$L104&gt;AK$7),((AK$7-$K104)/($L104-$K104)))</f>
        <v>#REF!</v>
      </c>
      <c r="AM104" s="201" t="e">
        <f t="array" ref="AM104">_xlfn.IFS(AND($K104&gt;AL$7,$L104&gt;AL$7),0,AND($K104&lt;=AL$7,$L104&lt;=AL$7),1,AND($K104&lt;=AL$7,$L104&gt;AL$7),((AL$7-$K104)/($L104-$K104)))</f>
        <v>#REF!</v>
      </c>
      <c r="AN104" s="201" t="e">
        <f t="array" ref="AN104">_xlfn.IFS(AND($K104&gt;AM$7,$L104&gt;AM$7),0,AND($K104&lt;=AM$7,$L104&lt;=AM$7),1,AND($K104&lt;=AM$7,$L104&gt;AM$7),((AM$7-$K104)/($L104-$K104)))</f>
        <v>#REF!</v>
      </c>
      <c r="AO104" s="201" t="e">
        <f t="array" ref="AO104">_xlfn.IFS(AND($K104&gt;AN$7,$L104&gt;AN$7),0,AND($K104&lt;=AN$7,$L104&lt;=AN$7),1,AND($K104&lt;=AN$7,$L104&gt;AN$7),((AN$7-$K104)/($L104-$K104)))</f>
        <v>#REF!</v>
      </c>
      <c r="AP104" s="201" t="e">
        <f t="array" ref="AP104">_xlfn.IFS(AND($K104&gt;AO$7,$L104&gt;AO$7),0,AND($K104&lt;=AO$7,$L104&lt;=AO$7),1,AND($K104&lt;=AO$7,$L104&gt;AO$7),((AO$7-$K104)/($L104-$K104)))</f>
        <v>#REF!</v>
      </c>
      <c r="AQ104" s="201" t="e">
        <f t="array" ref="AQ104">_xlfn.IFS(AND($K104&gt;AP$7,$L104&gt;AP$7),0,AND($K104&lt;=AP$7,$L104&lt;=AP$7),1,AND($K104&lt;=AP$7,$L104&gt;AP$7),((AP$7-$K104)/($L104-$K104)))</f>
        <v>#REF!</v>
      </c>
      <c r="AR104" s="201" t="e">
        <f t="array" ref="AR104">_xlfn.IFS(AND($K104&gt;AQ$7,$L104&gt;AQ$7),0,AND($K104&lt;=AQ$7,$L104&lt;=AQ$7),1,AND($K104&lt;=AQ$7,$L104&gt;AQ$7),((AQ$7-$K104)/($L104-$K104)))</f>
        <v>#REF!</v>
      </c>
      <c r="AS104" s="201" t="e">
        <f t="array" ref="AS104">_xlfn.IFS(AND($K104&gt;AR$7,$L104&gt;AR$7),0,AND($K104&lt;=AR$7,$L104&lt;=AR$7),1,AND($K104&lt;=AR$7,$L104&gt;AR$7),((AR$7-$K104)/($L104-$K104)))</f>
        <v>#REF!</v>
      </c>
      <c r="AT104" s="201" t="e">
        <f t="array" ref="AT104">_xlfn.IFS(AND($K104&gt;AS$7,$L104&gt;AS$7),0,AND($K104&lt;=AS$7,$L104&lt;=AS$7),1,AND($K104&lt;=AS$7,$L104&gt;AS$7),((AS$7-$K104)/($L104-$K104)))</f>
        <v>#REF!</v>
      </c>
      <c r="AU104" s="201" t="e">
        <f t="array" ref="AU104">_xlfn.IFS(AND($K104&gt;AT$7,$L104&gt;AT$7),0,AND($K104&lt;=AT$7,$L104&lt;=AT$7),1,AND($K104&lt;=AT$7,$L104&gt;AT$7),((AT$7-$K104)/($L104-$K104)))</f>
        <v>#REF!</v>
      </c>
      <c r="AV104" s="201" t="e">
        <f t="array" ref="AV104">_xlfn.IFS(AND($K104&gt;AU$7,$L104&gt;AU$7),0,AND($K104&lt;=AU$7,$L104&lt;=AU$7),1,AND($K104&lt;=AU$7,$L104&gt;AU$7),((AU$7-$K104)/($L104-$K104)))</f>
        <v>#REF!</v>
      </c>
      <c r="AW104" s="201" t="e">
        <f t="array" ref="AW104">_xlfn.IFS(AND($K104&gt;AV$7,$L104&gt;AV$7),0,AND($K104&lt;=AV$7,$L104&lt;=AV$7),1,AND($K104&lt;=AV$7,$L104&gt;AV$7),((AV$7-$K104)/($L104-$K104)))</f>
        <v>#REF!</v>
      </c>
      <c r="AX104" s="201" t="e">
        <f t="array" ref="AX104">_xlfn.IFS(AND($K104&gt;AW$7,$L104&gt;AW$7),0,AND($K104&lt;=AW$7,$L104&lt;=AW$7),1,AND($K104&lt;=AW$7,$L104&gt;AW$7),((AW$7-$K104)/($L104-$K104)))</f>
        <v>#REF!</v>
      </c>
      <c r="AY104" s="201" t="e">
        <f t="array" ref="AY104">_xlfn.IFS(AND($K104&gt;AX$7,$L104&gt;AX$7),0,AND($K104&lt;=AX$7,$L104&lt;=AX$7),1,AND($K104&lt;=AX$7,$L104&gt;AX$7),((AX$7-$K104)/($L104-$K104)))</f>
        <v>#REF!</v>
      </c>
      <c r="AZ104" s="201" t="e">
        <f t="array" ref="AZ104">_xlfn.IFS(AND($K104&gt;AY$7,$L104&gt;AY$7),0,AND($K104&lt;=AY$7,$L104&lt;=AY$7),1,AND($K104&lt;=AY$7,$L104&gt;AY$7),((AY$7-$K104)/($L104-$K104)))</f>
        <v>#REF!</v>
      </c>
      <c r="BA104" s="201" t="e">
        <f t="array" ref="BA104">_xlfn.IFS(AND($K104&gt;AZ$7,$L104&gt;AZ$7),0,AND($K104&lt;=AZ$7,$L104&lt;=AZ$7),1,AND($K104&lt;=AZ$7,$L104&gt;AZ$7),((AZ$7-$K104)/($L104-$K104)))</f>
        <v>#REF!</v>
      </c>
      <c r="BB104" s="201" t="e">
        <f t="array" ref="BB104">_xlfn.IFS(AND($K104&gt;BA$7,$L104&gt;BA$7),0,AND($K104&lt;=BA$7,$L104&lt;=BA$7),1,AND($K104&lt;=BA$7,$L104&gt;BA$7),((BA$7-$K104)/($L104-$K104)))</f>
        <v>#REF!</v>
      </c>
      <c r="BC104" s="201" t="e">
        <f t="array" ref="BC104">_xlfn.IFS(AND($K104&gt;BB$7,$L104&gt;BB$7),0,AND($K104&lt;=BB$7,$L104&lt;=BB$7),1,AND($K104&lt;=BB$7,$L104&gt;BB$7),((BB$7-$K104)/($L104-$K104)))</f>
        <v>#REF!</v>
      </c>
      <c r="BD104" s="201" t="e">
        <f t="array" ref="BD104">_xlfn.IFS(AND($K104&gt;BC$7,$L104&gt;BC$7),0,AND($K104&lt;=BC$7,$L104&lt;=BC$7),1,AND($K104&lt;=BC$7,$L104&gt;BC$7),((BC$7-$K104)/($L104-$K104)))</f>
        <v>#REF!</v>
      </c>
      <c r="BE104" s="201" t="e">
        <f t="array" ref="BE104">_xlfn.IFS(AND($K104&gt;BD$7,$L104&gt;BD$7),0,AND($K104&lt;=BD$7,$L104&lt;=BD$7),1,AND($K104&lt;=BD$7,$L104&gt;BD$7),((BD$7-$K104)/($L104-$K104)))</f>
        <v>#REF!</v>
      </c>
      <c r="BF104" s="201" t="e">
        <f t="array" ref="BF104">_xlfn.IFS(AND($K104&gt;BE$7,$L104&gt;BE$7),0,AND($K104&lt;=BE$7,$L104&lt;=BE$7),1,AND($K104&lt;=BE$7,$L104&gt;BE$7),((BE$7-$K104)/($L104-$K104)))</f>
        <v>#REF!</v>
      </c>
      <c r="BG104" s="201" t="e">
        <f t="array" ref="BG104">_xlfn.IFS(AND($K104&gt;BF$7,$L104&gt;BF$7),0,AND($K104&lt;=BF$7,$L104&lt;=BF$7),1,AND($K104&lt;=BF$7,$L104&gt;BF$7),((BF$7-$K104)/($L104-$K104)))</f>
        <v>#REF!</v>
      </c>
      <c r="BH104" s="201" t="e">
        <f t="array" ref="BH104">_xlfn.IFS(AND($K104&gt;BG$7,$L104&gt;BG$7),0,AND($K104&lt;=BG$7,$L104&lt;=BG$7),1,AND($K104&lt;=BG$7,$L104&gt;BG$7),((BG$7-$K104)/($L104-$K104)))</f>
        <v>#REF!</v>
      </c>
      <c r="BI104" s="201" t="e">
        <f t="array" ref="BI104">_xlfn.IFS(AND($K104&gt;BH$7,$L104&gt;BH$7),0,AND($K104&lt;=BH$7,$L104&lt;=BH$7),1,AND($K104&lt;=BH$7,$L104&gt;BH$7),((BH$7-$K104)/($L104-$K104)))</f>
        <v>#REF!</v>
      </c>
      <c r="BJ104" s="201" t="e">
        <f t="array" ref="BJ104">_xlfn.IFS(AND($K104&gt;BI$7,$L104&gt;BI$7),0,AND($K104&lt;=BI$7,$L104&lt;=BI$7),1,AND($K104&lt;=BI$7,$L104&gt;BI$7),((BI$7-$K104)/($L104-$K104)))</f>
        <v>#REF!</v>
      </c>
      <c r="BK104" s="201" t="e">
        <f t="array" ref="BK104">_xlfn.IFS(AND($K104&gt;BJ$7,$L104&gt;BJ$7),0,AND($K104&lt;=BJ$7,$L104&lt;=BJ$7),1,AND($K104&lt;=BJ$7,$L104&gt;BJ$7),((BJ$7-$K104)/($L104-$K104)))</f>
        <v>#REF!</v>
      </c>
      <c r="BL104" s="201" t="e">
        <f t="array" ref="BL104">_xlfn.IFS(AND($K104&gt;BK$7,$L104&gt;BK$7),0,AND($K104&lt;=BK$7,$L104&lt;=BK$7),1,AND($K104&lt;=BK$7,$L104&gt;BK$7),((BK$7-$K104)/($L104-$K104)))</f>
        <v>#REF!</v>
      </c>
      <c r="BM104" s="201" t="e">
        <f t="array" ref="BM104">_xlfn.IFS(AND($K104&gt;BL$7,$L104&gt;BL$7),0,AND($K104&lt;=BL$7,$L104&lt;=BL$7),1,AND($K104&lt;=BL$7,$L104&gt;BL$7),((BL$7-$K104)/($L104-$K104)))</f>
        <v>#REF!</v>
      </c>
      <c r="BN104" s="201" t="e">
        <f t="array" ref="BN104">_xlfn.IFS(AND($K104&gt;BM$7,$L104&gt;BM$7),0,AND($K104&lt;=BM$7,$L104&lt;=BM$7),1,AND($K104&lt;=BM$7,$L104&gt;BM$7),((BM$7-$K104)/($L104-$K104)))</f>
        <v>#REF!</v>
      </c>
    </row>
    <row r="105" spans="2:66" ht="15" customHeight="1" x14ac:dyDescent="0.3">
      <c r="B105" s="166" t="s">
        <v>161</v>
      </c>
      <c r="C105" s="166" t="s">
        <v>257</v>
      </c>
      <c r="D105" s="177"/>
      <c r="E105" s="170" t="str">
        <f t="shared" si="44"/>
        <v>Desenvolvimento da Transformação dos Processos</v>
      </c>
      <c r="F105" s="174" t="str">
        <f t="shared" si="41"/>
        <v>Modelagem To Be</v>
      </c>
      <c r="G105" s="166" t="str">
        <f t="shared" si="45"/>
        <v>Modelagem To Be</v>
      </c>
      <c r="H105" s="197" t="s">
        <v>258</v>
      </c>
      <c r="I105" s="166">
        <v>45992</v>
      </c>
      <c r="J105" s="166">
        <v>45996</v>
      </c>
      <c r="K105" s="166">
        <v>45992</v>
      </c>
      <c r="L105" s="166">
        <v>45996</v>
      </c>
      <c r="M105" s="167"/>
      <c r="N105" s="167" t="str">
        <f t="array" ref="N105">_xlfn.IFS(L105&lt;$M$3,"Concluído",AND(K105&gt;=$M$3,I105&lt;$M$3,L105&gt;$M$3),"Em andamento",AND(L105&gt;=$M$3,J105&lt;$M$3),"Atrasado",AND(L105&gt;=$M$3,J105&gt;=$M$3,I105&gt;$M$3,K105&lt;=$M$3),"Em andamento",AND(L105&gt;=$M$3,J105&gt;=$M$3,I105&lt;=$M$3,K105&lt;=$M$3),"Em andamento",AND(K105&gt;$M$3,I105&gt;$M$3),"Não iniciado",AND(L105&gt;=$M$3,J105&gt;=$M$3,K105&gt;=$M$3,I105&lt;$M$3),"Atrasado",AND(L105&gt;=$M$3,J105&gt;=$M$3,K105&gt;=$M$3,I105&gt;$M$3),"Não iniciado",AND($I105&lt;=$M$3,$K105&gt;$M$3),"Atrasado")</f>
        <v>Concluído</v>
      </c>
      <c r="O105" s="167">
        <f t="array" ref="O105">_xlfn.IFS(N105="Não iniciado",0,N105="Em andamento",1,N105="Concluído",2,N105="Atrasado",3)</f>
        <v>2</v>
      </c>
      <c r="P105" s="169"/>
      <c r="Q105" s="152">
        <f t="array" aca="1" ref="Q105" ca="1">_xlfn.IFS(AND($I105&lt;$N$3,$J105&lt;$N$3),1,AND($I105&lt;=$N$3,$J105&gt;=$N$3),0.5,AND($I105&gt;=$N$3,$J105&gt;=$N$3),0)</f>
        <v>1</v>
      </c>
      <c r="R105" s="152">
        <f t="array" aca="1" ref="R105" ca="1">_xlfn.IFS(AND($K105&lt;$N$3,$L105&lt;$N$3),1,AND($K105&lt;=$N$3,$L105&gt;=$N$3),0.5,AND($K105&gt;=$N$3,$L105&gt;=$N$3),0)</f>
        <v>1</v>
      </c>
      <c r="S105" s="201" t="e">
        <f t="array" ref="S105">_xlfn.IFS(AND($K105&gt;R$7,$L105&gt;R$7),0,AND($K105&lt;=R$7,$L105&lt;=R$7),1,AND($K105&lt;=R$7,$L105&gt;R$7),((R$7-$K105)/($L105-$K105)))</f>
        <v>#REF!</v>
      </c>
      <c r="T105" s="201" t="e">
        <f t="array" ref="T105">_xlfn.IFS(AND($K105&gt;S$7,$L105&gt;S$7),0,AND($K105&lt;=S$7,$L105&lt;=S$7),1,AND($K105&lt;=S$7,$L105&gt;S$7),((S$7-$K105)/($L105-$K105)))</f>
        <v>#REF!</v>
      </c>
      <c r="U105" s="201" t="e">
        <f t="array" ref="U105">_xlfn.IFS(AND($K105&gt;T$7,$L105&gt;T$7),0,AND($K105&lt;=T$7,$L105&lt;=T$7),1,AND($K105&lt;=T$7,$L105&gt;T$7),((T$7-$K105)/($L105-$K105)))</f>
        <v>#REF!</v>
      </c>
      <c r="V105" s="201" t="e">
        <f t="array" ref="V105">_xlfn.IFS(AND($K105&gt;U$7,$L105&gt;U$7),0,AND($K105&lt;=U$7,$L105&lt;=U$7),1,AND($K105&lt;=U$7,$L105&gt;U$7),((U$7-$K105)/($L105-$K105)))</f>
        <v>#REF!</v>
      </c>
      <c r="W105" s="201" t="e">
        <f t="array" ref="W105">_xlfn.IFS(AND($K105&gt;V$7,$L105&gt;V$7),0,AND($K105&lt;=V$7,$L105&lt;=V$7),1,AND($K105&lt;=V$7,$L105&gt;V$7),((V$7-$K105)/($L105-$K105)))</f>
        <v>#REF!</v>
      </c>
      <c r="X105" s="201" t="e">
        <f t="array" ref="X105">_xlfn.IFS(AND($K105&gt;W$7,$L105&gt;W$7),0,AND($K105&lt;=W$7,$L105&lt;=W$7),1,AND($K105&lt;=W$7,$L105&gt;W$7),((W$7-$K105)/($L105-$K105)))</f>
        <v>#REF!</v>
      </c>
      <c r="Y105" s="201" t="e">
        <f t="array" ref="Y105">_xlfn.IFS(AND($K105&gt;X$7,$L105&gt;X$7),0,AND($K105&lt;=X$7,$L105&lt;=X$7),1,AND($K105&lt;=X$7,$L105&gt;X$7),((X$7-$K105)/($L105-$K105)))</f>
        <v>#REF!</v>
      </c>
      <c r="Z105" s="201" t="e">
        <f t="array" ref="Z105">_xlfn.IFS(AND($K105&gt;Y$7,$L105&gt;Y$7),0,AND($K105&lt;=Y$7,$L105&lt;=Y$7),1,AND($K105&lt;=Y$7,$L105&gt;Y$7),((Y$7-$K105)/($L105-$K105)))</f>
        <v>#REF!</v>
      </c>
      <c r="AA105" s="201" t="e">
        <f t="array" ref="AA105">_xlfn.IFS(AND($K105&gt;Z$7,$L105&gt;Z$7),0,AND($K105&lt;=Z$7,$L105&lt;=Z$7),1,AND($K105&lt;=Z$7,$L105&gt;Z$7),((Z$7-$K105)/($L105-$K105)))</f>
        <v>#REF!</v>
      </c>
      <c r="AB105" s="201" t="e">
        <f t="array" ref="AB105">_xlfn.IFS(AND($K105&gt;AA$7,$L105&gt;AA$7),0,AND($K105&lt;=AA$7,$L105&lt;=AA$7),1,AND($K105&lt;=AA$7,$L105&gt;AA$7),((AA$7-$K105)/($L105-$K105)))</f>
        <v>#REF!</v>
      </c>
      <c r="AC105" s="201" t="e">
        <f t="array" ref="AC105">_xlfn.IFS(AND($K105&gt;AB$7,$L105&gt;AB$7),0,AND($K105&lt;=AB$7,$L105&lt;=AB$7),1,AND($K105&lt;=AB$7,$L105&gt;AB$7),((AB$7-$K105)/($L105-$K105)))</f>
        <v>#REF!</v>
      </c>
      <c r="AD105" s="201" t="e">
        <f t="array" ref="AD105">_xlfn.IFS(AND($K105&gt;AC$7,$L105&gt;AC$7),0,AND($K105&lt;=AC$7,$L105&lt;=AC$7),1,AND($K105&lt;=AC$7,$L105&gt;AC$7),((AC$7-$K105)/($L105-$K105)))</f>
        <v>#REF!</v>
      </c>
      <c r="AE105" s="201" t="e">
        <f t="array" ref="AE105">_xlfn.IFS(AND($K105&gt;AD$7,$L105&gt;AD$7),0,AND($K105&lt;=AD$7,$L105&lt;=AD$7),1,AND($K105&lt;=AD$7,$L105&gt;AD$7),((AD$7-$K105)/($L105-$K105)))</f>
        <v>#REF!</v>
      </c>
      <c r="AF105" s="201" t="e">
        <f t="array" ref="AF105">_xlfn.IFS(AND($K105&gt;AE$7,$L105&gt;AE$7),0,AND($K105&lt;=AE$7,$L105&lt;=AE$7),1,AND($K105&lt;=AE$7,$L105&gt;AE$7),((AE$7-$K105)/($L105-$K105)))</f>
        <v>#REF!</v>
      </c>
      <c r="AG105" s="201" t="e">
        <f t="array" ref="AG105">_xlfn.IFS(AND($K105&gt;AF$7,$L105&gt;AF$7),0,AND($K105&lt;=AF$7,$L105&lt;=AF$7),1,AND($K105&lt;=AF$7,$L105&gt;AF$7),((AF$7-$K105)/($L105-$K105)))</f>
        <v>#REF!</v>
      </c>
      <c r="AH105" s="201" t="e">
        <f t="array" ref="AH105">_xlfn.IFS(AND($K105&gt;AG$7,$L105&gt;AG$7),0,AND($K105&lt;=AG$7,$L105&lt;=AG$7),1,AND($K105&lt;=AG$7,$L105&gt;AG$7),((AG$7-$K105)/($L105-$K105)))</f>
        <v>#REF!</v>
      </c>
      <c r="AI105" s="201" t="e">
        <f t="array" ref="AI105">_xlfn.IFS(AND($K105&gt;AH$7,$L105&gt;AH$7),0,AND($K105&lt;=AH$7,$L105&lt;=AH$7),1,AND($K105&lt;=AH$7,$L105&gt;AH$7),((AH$7-$K105)/($L105-$K105)))</f>
        <v>#REF!</v>
      </c>
      <c r="AJ105" s="201" t="e">
        <f t="array" ref="AJ105">_xlfn.IFS(AND($K105&gt;AI$7,$L105&gt;AI$7),0,AND($K105&lt;=AI$7,$L105&lt;=AI$7),1,AND($K105&lt;=AI$7,$L105&gt;AI$7),((AI$7-$K105)/($L105-$K105)))</f>
        <v>#REF!</v>
      </c>
      <c r="AK105" s="201" t="e">
        <f t="array" ref="AK105">_xlfn.IFS(AND($K105&gt;AJ$7,$L105&gt;AJ$7),0,AND($K105&lt;=AJ$7,$L105&lt;=AJ$7),1,AND($K105&lt;=AJ$7,$L105&gt;AJ$7),((AJ$7-$K105)/($L105-$K105)))</f>
        <v>#REF!</v>
      </c>
      <c r="AL105" s="201" t="e">
        <f t="array" ref="AL105">_xlfn.IFS(AND($K105&gt;AK$7,$L105&gt;AK$7),0,AND($K105&lt;=AK$7,$L105&lt;=AK$7),1,AND($K105&lt;=AK$7,$L105&gt;AK$7),((AK$7-$K105)/($L105-$K105)))</f>
        <v>#REF!</v>
      </c>
      <c r="AM105" s="201" t="e">
        <f t="array" ref="AM105">_xlfn.IFS(AND($K105&gt;AL$7,$L105&gt;AL$7),0,AND($K105&lt;=AL$7,$L105&lt;=AL$7),1,AND($K105&lt;=AL$7,$L105&gt;AL$7),((AL$7-$K105)/($L105-$K105)))</f>
        <v>#REF!</v>
      </c>
      <c r="AN105" s="201" t="e">
        <f t="array" ref="AN105">_xlfn.IFS(AND($K105&gt;AM$7,$L105&gt;AM$7),0,AND($K105&lt;=AM$7,$L105&lt;=AM$7),1,AND($K105&lt;=AM$7,$L105&gt;AM$7),((AM$7-$K105)/($L105-$K105)))</f>
        <v>#REF!</v>
      </c>
      <c r="AO105" s="201" t="e">
        <f t="array" ref="AO105">_xlfn.IFS(AND($K105&gt;AN$7,$L105&gt;AN$7),0,AND($K105&lt;=AN$7,$L105&lt;=AN$7),1,AND($K105&lt;=AN$7,$L105&gt;AN$7),((AN$7-$K105)/($L105-$K105)))</f>
        <v>#REF!</v>
      </c>
      <c r="AP105" s="201" t="e">
        <f t="array" ref="AP105">_xlfn.IFS(AND($K105&gt;AO$7,$L105&gt;AO$7),0,AND($K105&lt;=AO$7,$L105&lt;=AO$7),1,AND($K105&lt;=AO$7,$L105&gt;AO$7),((AO$7-$K105)/($L105-$K105)))</f>
        <v>#REF!</v>
      </c>
      <c r="AQ105" s="201" t="e">
        <f t="array" ref="AQ105">_xlfn.IFS(AND($K105&gt;AP$7,$L105&gt;AP$7),0,AND($K105&lt;=AP$7,$L105&lt;=AP$7),1,AND($K105&lt;=AP$7,$L105&gt;AP$7),((AP$7-$K105)/($L105-$K105)))</f>
        <v>#REF!</v>
      </c>
      <c r="AR105" s="201" t="e">
        <f t="array" ref="AR105">_xlfn.IFS(AND($K105&gt;AQ$7,$L105&gt;AQ$7),0,AND($K105&lt;=AQ$7,$L105&lt;=AQ$7),1,AND($K105&lt;=AQ$7,$L105&gt;AQ$7),((AQ$7-$K105)/($L105-$K105)))</f>
        <v>#REF!</v>
      </c>
      <c r="AS105" s="201" t="e">
        <f t="array" ref="AS105">_xlfn.IFS(AND($K105&gt;AR$7,$L105&gt;AR$7),0,AND($K105&lt;=AR$7,$L105&lt;=AR$7),1,AND($K105&lt;=AR$7,$L105&gt;AR$7),((AR$7-$K105)/($L105-$K105)))</f>
        <v>#REF!</v>
      </c>
      <c r="AT105" s="201" t="e">
        <f t="array" ref="AT105">_xlfn.IFS(AND($K105&gt;AS$7,$L105&gt;AS$7),0,AND($K105&lt;=AS$7,$L105&lt;=AS$7),1,AND($K105&lt;=AS$7,$L105&gt;AS$7),((AS$7-$K105)/($L105-$K105)))</f>
        <v>#REF!</v>
      </c>
      <c r="AU105" s="201" t="e">
        <f t="array" ref="AU105">_xlfn.IFS(AND($K105&gt;AT$7,$L105&gt;AT$7),0,AND($K105&lt;=AT$7,$L105&lt;=AT$7),1,AND($K105&lt;=AT$7,$L105&gt;AT$7),((AT$7-$K105)/($L105-$K105)))</f>
        <v>#REF!</v>
      </c>
      <c r="AV105" s="201" t="e">
        <f t="array" ref="AV105">_xlfn.IFS(AND($K105&gt;AU$7,$L105&gt;AU$7),0,AND($K105&lt;=AU$7,$L105&lt;=AU$7),1,AND($K105&lt;=AU$7,$L105&gt;AU$7),((AU$7-$K105)/($L105-$K105)))</f>
        <v>#REF!</v>
      </c>
      <c r="AW105" s="201" t="e">
        <f t="array" ref="AW105">_xlfn.IFS(AND($K105&gt;AV$7,$L105&gt;AV$7),0,AND($K105&lt;=AV$7,$L105&lt;=AV$7),1,AND($K105&lt;=AV$7,$L105&gt;AV$7),((AV$7-$K105)/($L105-$K105)))</f>
        <v>#REF!</v>
      </c>
      <c r="AX105" s="201" t="e">
        <f t="array" ref="AX105">_xlfn.IFS(AND($K105&gt;AW$7,$L105&gt;AW$7),0,AND($K105&lt;=AW$7,$L105&lt;=AW$7),1,AND($K105&lt;=AW$7,$L105&gt;AW$7),((AW$7-$K105)/($L105-$K105)))</f>
        <v>#REF!</v>
      </c>
      <c r="AY105" s="201" t="e">
        <f t="array" ref="AY105">_xlfn.IFS(AND($K105&gt;AX$7,$L105&gt;AX$7),0,AND($K105&lt;=AX$7,$L105&lt;=AX$7),1,AND($K105&lt;=AX$7,$L105&gt;AX$7),((AX$7-$K105)/($L105-$K105)))</f>
        <v>#REF!</v>
      </c>
      <c r="AZ105" s="201" t="e">
        <f t="array" ref="AZ105">_xlfn.IFS(AND($K105&gt;AY$7,$L105&gt;AY$7),0,AND($K105&lt;=AY$7,$L105&lt;=AY$7),1,AND($K105&lt;=AY$7,$L105&gt;AY$7),((AY$7-$K105)/($L105-$K105)))</f>
        <v>#REF!</v>
      </c>
      <c r="BA105" s="201" t="e">
        <f t="array" ref="BA105">_xlfn.IFS(AND($K105&gt;AZ$7,$L105&gt;AZ$7),0,AND($K105&lt;=AZ$7,$L105&lt;=AZ$7),1,AND($K105&lt;=AZ$7,$L105&gt;AZ$7),((AZ$7-$K105)/($L105-$K105)))</f>
        <v>#REF!</v>
      </c>
      <c r="BB105" s="201" t="e">
        <f t="array" ref="BB105">_xlfn.IFS(AND($K105&gt;BA$7,$L105&gt;BA$7),0,AND($K105&lt;=BA$7,$L105&lt;=BA$7),1,AND($K105&lt;=BA$7,$L105&gt;BA$7),((BA$7-$K105)/($L105-$K105)))</f>
        <v>#REF!</v>
      </c>
      <c r="BC105" s="201" t="e">
        <f t="array" ref="BC105">_xlfn.IFS(AND($K105&gt;BB$7,$L105&gt;BB$7),0,AND($K105&lt;=BB$7,$L105&lt;=BB$7),1,AND($K105&lt;=BB$7,$L105&gt;BB$7),((BB$7-$K105)/($L105-$K105)))</f>
        <v>#REF!</v>
      </c>
      <c r="BD105" s="201" t="e">
        <f t="array" ref="BD105">_xlfn.IFS(AND($K105&gt;BC$7,$L105&gt;BC$7),0,AND($K105&lt;=BC$7,$L105&lt;=BC$7),1,AND($K105&lt;=BC$7,$L105&gt;BC$7),((BC$7-$K105)/($L105-$K105)))</f>
        <v>#REF!</v>
      </c>
      <c r="BE105" s="201" t="e">
        <f t="array" ref="BE105">_xlfn.IFS(AND($K105&gt;BD$7,$L105&gt;BD$7),0,AND($K105&lt;=BD$7,$L105&lt;=BD$7),1,AND($K105&lt;=BD$7,$L105&gt;BD$7),((BD$7-$K105)/($L105-$K105)))</f>
        <v>#REF!</v>
      </c>
      <c r="BF105" s="201" t="e">
        <f t="array" ref="BF105">_xlfn.IFS(AND($K105&gt;BE$7,$L105&gt;BE$7),0,AND($K105&lt;=BE$7,$L105&lt;=BE$7),1,AND($K105&lt;=BE$7,$L105&gt;BE$7),((BE$7-$K105)/($L105-$K105)))</f>
        <v>#REF!</v>
      </c>
      <c r="BG105" s="201" t="e">
        <f t="array" ref="BG105">_xlfn.IFS(AND($K105&gt;BF$7,$L105&gt;BF$7),0,AND($K105&lt;=BF$7,$L105&lt;=BF$7),1,AND($K105&lt;=BF$7,$L105&gt;BF$7),((BF$7-$K105)/($L105-$K105)))</f>
        <v>#REF!</v>
      </c>
      <c r="BH105" s="201" t="e">
        <f t="array" ref="BH105">_xlfn.IFS(AND($K105&gt;BG$7,$L105&gt;BG$7),0,AND($K105&lt;=BG$7,$L105&lt;=BG$7),1,AND($K105&lt;=BG$7,$L105&gt;BG$7),((BG$7-$K105)/($L105-$K105)))</f>
        <v>#REF!</v>
      </c>
      <c r="BI105" s="201" t="e">
        <f t="array" ref="BI105">_xlfn.IFS(AND($K105&gt;BH$7,$L105&gt;BH$7),0,AND($K105&lt;=BH$7,$L105&lt;=BH$7),1,AND($K105&lt;=BH$7,$L105&gt;BH$7),((BH$7-$K105)/($L105-$K105)))</f>
        <v>#REF!</v>
      </c>
      <c r="BJ105" s="201" t="e">
        <f t="array" ref="BJ105">_xlfn.IFS(AND($K105&gt;BI$7,$L105&gt;BI$7),0,AND($K105&lt;=BI$7,$L105&lt;=BI$7),1,AND($K105&lt;=BI$7,$L105&gt;BI$7),((BI$7-$K105)/($L105-$K105)))</f>
        <v>#REF!</v>
      </c>
      <c r="BK105" s="201" t="e">
        <f t="array" ref="BK105">_xlfn.IFS(AND($K105&gt;BJ$7,$L105&gt;BJ$7),0,AND($K105&lt;=BJ$7,$L105&lt;=BJ$7),1,AND($K105&lt;=BJ$7,$L105&gt;BJ$7),((BJ$7-$K105)/($L105-$K105)))</f>
        <v>#REF!</v>
      </c>
      <c r="BL105" s="201" t="e">
        <f t="array" ref="BL105">_xlfn.IFS(AND($K105&gt;BK$7,$L105&gt;BK$7),0,AND($K105&lt;=BK$7,$L105&lt;=BK$7),1,AND($K105&lt;=BK$7,$L105&gt;BK$7),((BK$7-$K105)/($L105-$K105)))</f>
        <v>#REF!</v>
      </c>
      <c r="BM105" s="201" t="e">
        <f t="array" ref="BM105">_xlfn.IFS(AND($K105&gt;BL$7,$L105&gt;BL$7),0,AND($K105&lt;=BL$7,$L105&lt;=BL$7),1,AND($K105&lt;=BL$7,$L105&gt;BL$7),((BL$7-$K105)/($L105-$K105)))</f>
        <v>#REF!</v>
      </c>
      <c r="BN105" s="201" t="e">
        <f t="array" ref="BN105">_xlfn.IFS(AND($K105&gt;BM$7,$L105&gt;BM$7),0,AND($K105&lt;=BM$7,$L105&lt;=BM$7),1,AND($K105&lt;=BM$7,$L105&gt;BM$7),((BM$7-$K105)/($L105-$K105)))</f>
        <v>#REF!</v>
      </c>
    </row>
    <row r="106" spans="2:66" ht="15" customHeight="1" x14ac:dyDescent="0.3">
      <c r="B106" s="166" t="s">
        <v>161</v>
      </c>
      <c r="C106" s="166" t="s">
        <v>259</v>
      </c>
      <c r="D106" s="177"/>
      <c r="E106" s="170" t="str">
        <f t="shared" si="44"/>
        <v>Desenvolvimento da Transformação dos Processos</v>
      </c>
      <c r="F106" s="174" t="str">
        <f t="shared" si="41"/>
        <v>Modelagem To Be</v>
      </c>
      <c r="G106" s="166" t="str">
        <f t="shared" si="45"/>
        <v>Modelagem To Be</v>
      </c>
      <c r="H106" s="197" t="s">
        <v>260</v>
      </c>
      <c r="I106" s="166">
        <v>45992</v>
      </c>
      <c r="J106" s="166">
        <v>45996</v>
      </c>
      <c r="K106" s="166">
        <v>45992</v>
      </c>
      <c r="L106" s="166">
        <v>45996</v>
      </c>
      <c r="M106" s="167"/>
      <c r="N106" s="167" t="str">
        <f t="array" ref="N106">_xlfn.IFS(L106&lt;$M$3,"Concluído",AND(K106&gt;=$M$3,I106&lt;$M$3,L106&gt;$M$3),"Em andamento",AND(L106&gt;=$M$3,J106&lt;$M$3),"Atrasado",AND(L106&gt;=$M$3,J106&gt;=$M$3,I106&gt;$M$3,K106&lt;=$M$3),"Em andamento",AND(L106&gt;=$M$3,J106&gt;=$M$3,I106&lt;=$M$3,K106&lt;=$M$3),"Em andamento",AND(K106&gt;$M$3,I106&gt;$M$3),"Não iniciado",AND(L106&gt;=$M$3,J106&gt;=$M$3,K106&gt;=$M$3,I106&lt;$M$3),"Atrasado",AND(L106&gt;=$M$3,J106&gt;=$M$3,K106&gt;=$M$3,I106&gt;$M$3),"Não iniciado",AND($I106&lt;=$M$3,$K106&gt;$M$3),"Atrasado")</f>
        <v>Concluído</v>
      </c>
      <c r="O106" s="167">
        <f t="array" ref="O106">_xlfn.IFS(N106="Não iniciado",0,N106="Em andamento",1,N106="Concluído",2,N106="Atrasado",3)</f>
        <v>2</v>
      </c>
      <c r="P106" s="169"/>
      <c r="Q106" s="152">
        <f t="array" aca="1" ref="Q106" ca="1">_xlfn.IFS(AND($I106&lt;$N$3,$J106&lt;$N$3),1,AND($I106&lt;=$N$3,$J106&gt;=$N$3),0.5,AND($I106&gt;=$N$3,$J106&gt;=$N$3),0)</f>
        <v>1</v>
      </c>
      <c r="R106" s="152">
        <f t="array" aca="1" ref="R106" ca="1">_xlfn.IFS(AND($K106&lt;$N$3,$L106&lt;$N$3),1,AND($K106&lt;=$N$3,$L106&gt;=$N$3),0.5,AND($K106&gt;=$N$3,$L106&gt;=$N$3),0)</f>
        <v>1</v>
      </c>
      <c r="S106" s="201" t="e">
        <f t="array" ref="S106">_xlfn.IFS(AND($K106&gt;R$7,$L106&gt;R$7),0,AND($K106&lt;=R$7,$L106&lt;=R$7),1,AND($K106&lt;=R$7,$L106&gt;R$7),((R$7-$K106)/($L106-$K106)))</f>
        <v>#REF!</v>
      </c>
      <c r="T106" s="201" t="e">
        <f t="array" ref="T106">_xlfn.IFS(AND($K106&gt;S$7,$L106&gt;S$7),0,AND($K106&lt;=S$7,$L106&lt;=S$7),1,AND($K106&lt;=S$7,$L106&gt;S$7),((S$7-$K106)/($L106-$K106)))</f>
        <v>#REF!</v>
      </c>
      <c r="U106" s="201" t="e">
        <f t="array" ref="U106">_xlfn.IFS(AND($K106&gt;T$7,$L106&gt;T$7),0,AND($K106&lt;=T$7,$L106&lt;=T$7),1,AND($K106&lt;=T$7,$L106&gt;T$7),((T$7-$K106)/($L106-$K106)))</f>
        <v>#REF!</v>
      </c>
      <c r="V106" s="201" t="e">
        <f t="array" ref="V106">_xlfn.IFS(AND($K106&gt;U$7,$L106&gt;U$7),0,AND($K106&lt;=U$7,$L106&lt;=U$7),1,AND($K106&lt;=U$7,$L106&gt;U$7),((U$7-$K106)/($L106-$K106)))</f>
        <v>#REF!</v>
      </c>
      <c r="W106" s="201" t="e">
        <f t="array" ref="W106">_xlfn.IFS(AND($K106&gt;V$7,$L106&gt;V$7),0,AND($K106&lt;=V$7,$L106&lt;=V$7),1,AND($K106&lt;=V$7,$L106&gt;V$7),((V$7-$K106)/($L106-$K106)))</f>
        <v>#REF!</v>
      </c>
      <c r="X106" s="201" t="e">
        <f t="array" ref="X106">_xlfn.IFS(AND($K106&gt;W$7,$L106&gt;W$7),0,AND($K106&lt;=W$7,$L106&lt;=W$7),1,AND($K106&lt;=W$7,$L106&gt;W$7),((W$7-$K106)/($L106-$K106)))</f>
        <v>#REF!</v>
      </c>
      <c r="Y106" s="201" t="e">
        <f t="array" ref="Y106">_xlfn.IFS(AND($K106&gt;X$7,$L106&gt;X$7),0,AND($K106&lt;=X$7,$L106&lt;=X$7),1,AND($K106&lt;=X$7,$L106&gt;X$7),((X$7-$K106)/($L106-$K106)))</f>
        <v>#REF!</v>
      </c>
      <c r="Z106" s="201" t="e">
        <f t="array" ref="Z106">_xlfn.IFS(AND($K106&gt;Y$7,$L106&gt;Y$7),0,AND($K106&lt;=Y$7,$L106&lt;=Y$7),1,AND($K106&lt;=Y$7,$L106&gt;Y$7),((Y$7-$K106)/($L106-$K106)))</f>
        <v>#REF!</v>
      </c>
      <c r="AA106" s="201" t="e">
        <f t="array" ref="AA106">_xlfn.IFS(AND($K106&gt;Z$7,$L106&gt;Z$7),0,AND($K106&lt;=Z$7,$L106&lt;=Z$7),1,AND($K106&lt;=Z$7,$L106&gt;Z$7),((Z$7-$K106)/($L106-$K106)))</f>
        <v>#REF!</v>
      </c>
      <c r="AB106" s="201" t="e">
        <f t="array" ref="AB106">_xlfn.IFS(AND($K106&gt;AA$7,$L106&gt;AA$7),0,AND($K106&lt;=AA$7,$L106&lt;=AA$7),1,AND($K106&lt;=AA$7,$L106&gt;AA$7),((AA$7-$K106)/($L106-$K106)))</f>
        <v>#REF!</v>
      </c>
      <c r="AC106" s="201" t="e">
        <f t="array" ref="AC106">_xlfn.IFS(AND($K106&gt;AB$7,$L106&gt;AB$7),0,AND($K106&lt;=AB$7,$L106&lt;=AB$7),1,AND($K106&lt;=AB$7,$L106&gt;AB$7),((AB$7-$K106)/($L106-$K106)))</f>
        <v>#REF!</v>
      </c>
      <c r="AD106" s="201" t="e">
        <f t="array" ref="AD106">_xlfn.IFS(AND($K106&gt;AC$7,$L106&gt;AC$7),0,AND($K106&lt;=AC$7,$L106&lt;=AC$7),1,AND($K106&lt;=AC$7,$L106&gt;AC$7),((AC$7-$K106)/($L106-$K106)))</f>
        <v>#REF!</v>
      </c>
      <c r="AE106" s="201" t="e">
        <f t="array" ref="AE106">_xlfn.IFS(AND($K106&gt;AD$7,$L106&gt;AD$7),0,AND($K106&lt;=AD$7,$L106&lt;=AD$7),1,AND($K106&lt;=AD$7,$L106&gt;AD$7),((AD$7-$K106)/($L106-$K106)))</f>
        <v>#REF!</v>
      </c>
      <c r="AF106" s="201" t="e">
        <f t="array" ref="AF106">_xlfn.IFS(AND($K106&gt;AE$7,$L106&gt;AE$7),0,AND($K106&lt;=AE$7,$L106&lt;=AE$7),1,AND($K106&lt;=AE$7,$L106&gt;AE$7),((AE$7-$K106)/($L106-$K106)))</f>
        <v>#REF!</v>
      </c>
      <c r="AG106" s="201" t="e">
        <f t="array" ref="AG106">_xlfn.IFS(AND($K106&gt;AF$7,$L106&gt;AF$7),0,AND($K106&lt;=AF$7,$L106&lt;=AF$7),1,AND($K106&lt;=AF$7,$L106&gt;AF$7),((AF$7-$K106)/($L106-$K106)))</f>
        <v>#REF!</v>
      </c>
      <c r="AH106" s="201" t="e">
        <f t="array" ref="AH106">_xlfn.IFS(AND($K106&gt;AG$7,$L106&gt;AG$7),0,AND($K106&lt;=AG$7,$L106&lt;=AG$7),1,AND($K106&lt;=AG$7,$L106&gt;AG$7),((AG$7-$K106)/($L106-$K106)))</f>
        <v>#REF!</v>
      </c>
      <c r="AI106" s="201" t="e">
        <f t="array" ref="AI106">_xlfn.IFS(AND($K106&gt;AH$7,$L106&gt;AH$7),0,AND($K106&lt;=AH$7,$L106&lt;=AH$7),1,AND($K106&lt;=AH$7,$L106&gt;AH$7),((AH$7-$K106)/($L106-$K106)))</f>
        <v>#REF!</v>
      </c>
      <c r="AJ106" s="201" t="e">
        <f t="array" ref="AJ106">_xlfn.IFS(AND($K106&gt;AI$7,$L106&gt;AI$7),0,AND($K106&lt;=AI$7,$L106&lt;=AI$7),1,AND($K106&lt;=AI$7,$L106&gt;AI$7),((AI$7-$K106)/($L106-$K106)))</f>
        <v>#REF!</v>
      </c>
      <c r="AK106" s="201" t="e">
        <f t="array" ref="AK106">_xlfn.IFS(AND($K106&gt;AJ$7,$L106&gt;AJ$7),0,AND($K106&lt;=AJ$7,$L106&lt;=AJ$7),1,AND($K106&lt;=AJ$7,$L106&gt;AJ$7),((AJ$7-$K106)/($L106-$K106)))</f>
        <v>#REF!</v>
      </c>
      <c r="AL106" s="201" t="e">
        <f t="array" ref="AL106">_xlfn.IFS(AND($K106&gt;AK$7,$L106&gt;AK$7),0,AND($K106&lt;=AK$7,$L106&lt;=AK$7),1,AND($K106&lt;=AK$7,$L106&gt;AK$7),((AK$7-$K106)/($L106-$K106)))</f>
        <v>#REF!</v>
      </c>
      <c r="AM106" s="201" t="e">
        <f t="array" ref="AM106">_xlfn.IFS(AND($K106&gt;AL$7,$L106&gt;AL$7),0,AND($K106&lt;=AL$7,$L106&lt;=AL$7),1,AND($K106&lt;=AL$7,$L106&gt;AL$7),((AL$7-$K106)/($L106-$K106)))</f>
        <v>#REF!</v>
      </c>
      <c r="AN106" s="201" t="e">
        <f t="array" ref="AN106">_xlfn.IFS(AND($K106&gt;AM$7,$L106&gt;AM$7),0,AND($K106&lt;=AM$7,$L106&lt;=AM$7),1,AND($K106&lt;=AM$7,$L106&gt;AM$7),((AM$7-$K106)/($L106-$K106)))</f>
        <v>#REF!</v>
      </c>
      <c r="AO106" s="201" t="e">
        <f t="array" ref="AO106">_xlfn.IFS(AND($K106&gt;AN$7,$L106&gt;AN$7),0,AND($K106&lt;=AN$7,$L106&lt;=AN$7),1,AND($K106&lt;=AN$7,$L106&gt;AN$7),((AN$7-$K106)/($L106-$K106)))</f>
        <v>#REF!</v>
      </c>
      <c r="AP106" s="201" t="e">
        <f t="array" ref="AP106">_xlfn.IFS(AND($K106&gt;AO$7,$L106&gt;AO$7),0,AND($K106&lt;=AO$7,$L106&lt;=AO$7),1,AND($K106&lt;=AO$7,$L106&gt;AO$7),((AO$7-$K106)/($L106-$K106)))</f>
        <v>#REF!</v>
      </c>
      <c r="AQ106" s="201" t="e">
        <f t="array" ref="AQ106">_xlfn.IFS(AND($K106&gt;AP$7,$L106&gt;AP$7),0,AND($K106&lt;=AP$7,$L106&lt;=AP$7),1,AND($K106&lt;=AP$7,$L106&gt;AP$7),((AP$7-$K106)/($L106-$K106)))</f>
        <v>#REF!</v>
      </c>
      <c r="AR106" s="201" t="e">
        <f t="array" ref="AR106">_xlfn.IFS(AND($K106&gt;AQ$7,$L106&gt;AQ$7),0,AND($K106&lt;=AQ$7,$L106&lt;=AQ$7),1,AND($K106&lt;=AQ$7,$L106&gt;AQ$7),((AQ$7-$K106)/($L106-$K106)))</f>
        <v>#REF!</v>
      </c>
      <c r="AS106" s="201" t="e">
        <f t="array" ref="AS106">_xlfn.IFS(AND($K106&gt;AR$7,$L106&gt;AR$7),0,AND($K106&lt;=AR$7,$L106&lt;=AR$7),1,AND($K106&lt;=AR$7,$L106&gt;AR$7),((AR$7-$K106)/($L106-$K106)))</f>
        <v>#REF!</v>
      </c>
      <c r="AT106" s="201" t="e">
        <f t="array" ref="AT106">_xlfn.IFS(AND($K106&gt;AS$7,$L106&gt;AS$7),0,AND($K106&lt;=AS$7,$L106&lt;=AS$7),1,AND($K106&lt;=AS$7,$L106&gt;AS$7),((AS$7-$K106)/($L106-$K106)))</f>
        <v>#REF!</v>
      </c>
      <c r="AU106" s="201" t="e">
        <f t="array" ref="AU106">_xlfn.IFS(AND($K106&gt;AT$7,$L106&gt;AT$7),0,AND($K106&lt;=AT$7,$L106&lt;=AT$7),1,AND($K106&lt;=AT$7,$L106&gt;AT$7),((AT$7-$K106)/($L106-$K106)))</f>
        <v>#REF!</v>
      </c>
      <c r="AV106" s="201" t="e">
        <f t="array" ref="AV106">_xlfn.IFS(AND($K106&gt;AU$7,$L106&gt;AU$7),0,AND($K106&lt;=AU$7,$L106&lt;=AU$7),1,AND($K106&lt;=AU$7,$L106&gt;AU$7),((AU$7-$K106)/($L106-$K106)))</f>
        <v>#REF!</v>
      </c>
      <c r="AW106" s="201" t="e">
        <f t="array" ref="AW106">_xlfn.IFS(AND($K106&gt;AV$7,$L106&gt;AV$7),0,AND($K106&lt;=AV$7,$L106&lt;=AV$7),1,AND($K106&lt;=AV$7,$L106&gt;AV$7),((AV$7-$K106)/($L106-$K106)))</f>
        <v>#REF!</v>
      </c>
      <c r="AX106" s="201" t="e">
        <f t="array" ref="AX106">_xlfn.IFS(AND($K106&gt;AW$7,$L106&gt;AW$7),0,AND($K106&lt;=AW$7,$L106&lt;=AW$7),1,AND($K106&lt;=AW$7,$L106&gt;AW$7),((AW$7-$K106)/($L106-$K106)))</f>
        <v>#REF!</v>
      </c>
      <c r="AY106" s="201" t="e">
        <f t="array" ref="AY106">_xlfn.IFS(AND($K106&gt;AX$7,$L106&gt;AX$7),0,AND($K106&lt;=AX$7,$L106&lt;=AX$7),1,AND($K106&lt;=AX$7,$L106&gt;AX$7),((AX$7-$K106)/($L106-$K106)))</f>
        <v>#REF!</v>
      </c>
      <c r="AZ106" s="201" t="e">
        <f t="array" ref="AZ106">_xlfn.IFS(AND($K106&gt;AY$7,$L106&gt;AY$7),0,AND($K106&lt;=AY$7,$L106&lt;=AY$7),1,AND($K106&lt;=AY$7,$L106&gt;AY$7),((AY$7-$K106)/($L106-$K106)))</f>
        <v>#REF!</v>
      </c>
      <c r="BA106" s="201" t="e">
        <f t="array" ref="BA106">_xlfn.IFS(AND($K106&gt;AZ$7,$L106&gt;AZ$7),0,AND($K106&lt;=AZ$7,$L106&lt;=AZ$7),1,AND($K106&lt;=AZ$7,$L106&gt;AZ$7),((AZ$7-$K106)/($L106-$K106)))</f>
        <v>#REF!</v>
      </c>
      <c r="BB106" s="201" t="e">
        <f t="array" ref="BB106">_xlfn.IFS(AND($K106&gt;BA$7,$L106&gt;BA$7),0,AND($K106&lt;=BA$7,$L106&lt;=BA$7),1,AND($K106&lt;=BA$7,$L106&gt;BA$7),((BA$7-$K106)/($L106-$K106)))</f>
        <v>#REF!</v>
      </c>
      <c r="BC106" s="201" t="e">
        <f t="array" ref="BC106">_xlfn.IFS(AND($K106&gt;BB$7,$L106&gt;BB$7),0,AND($K106&lt;=BB$7,$L106&lt;=BB$7),1,AND($K106&lt;=BB$7,$L106&gt;BB$7),((BB$7-$K106)/($L106-$K106)))</f>
        <v>#REF!</v>
      </c>
      <c r="BD106" s="201" t="e">
        <f t="array" ref="BD106">_xlfn.IFS(AND($K106&gt;BC$7,$L106&gt;BC$7),0,AND($K106&lt;=BC$7,$L106&lt;=BC$7),1,AND($K106&lt;=BC$7,$L106&gt;BC$7),((BC$7-$K106)/($L106-$K106)))</f>
        <v>#REF!</v>
      </c>
      <c r="BE106" s="201" t="e">
        <f t="array" ref="BE106">_xlfn.IFS(AND($K106&gt;BD$7,$L106&gt;BD$7),0,AND($K106&lt;=BD$7,$L106&lt;=BD$7),1,AND($K106&lt;=BD$7,$L106&gt;BD$7),((BD$7-$K106)/($L106-$K106)))</f>
        <v>#REF!</v>
      </c>
      <c r="BF106" s="201" t="e">
        <f t="array" ref="BF106">_xlfn.IFS(AND($K106&gt;BE$7,$L106&gt;BE$7),0,AND($K106&lt;=BE$7,$L106&lt;=BE$7),1,AND($K106&lt;=BE$7,$L106&gt;BE$7),((BE$7-$K106)/($L106-$K106)))</f>
        <v>#REF!</v>
      </c>
      <c r="BG106" s="201" t="e">
        <f t="array" ref="BG106">_xlfn.IFS(AND($K106&gt;BF$7,$L106&gt;BF$7),0,AND($K106&lt;=BF$7,$L106&lt;=BF$7),1,AND($K106&lt;=BF$7,$L106&gt;BF$7),((BF$7-$K106)/($L106-$K106)))</f>
        <v>#REF!</v>
      </c>
      <c r="BH106" s="201" t="e">
        <f t="array" ref="BH106">_xlfn.IFS(AND($K106&gt;BG$7,$L106&gt;BG$7),0,AND($K106&lt;=BG$7,$L106&lt;=BG$7),1,AND($K106&lt;=BG$7,$L106&gt;BG$7),((BG$7-$K106)/($L106-$K106)))</f>
        <v>#REF!</v>
      </c>
      <c r="BI106" s="201" t="e">
        <f t="array" ref="BI106">_xlfn.IFS(AND($K106&gt;BH$7,$L106&gt;BH$7),0,AND($K106&lt;=BH$7,$L106&lt;=BH$7),1,AND($K106&lt;=BH$7,$L106&gt;BH$7),((BH$7-$K106)/($L106-$K106)))</f>
        <v>#REF!</v>
      </c>
      <c r="BJ106" s="201" t="e">
        <f t="array" ref="BJ106">_xlfn.IFS(AND($K106&gt;BI$7,$L106&gt;BI$7),0,AND($K106&lt;=BI$7,$L106&lt;=BI$7),1,AND($K106&lt;=BI$7,$L106&gt;BI$7),((BI$7-$K106)/($L106-$K106)))</f>
        <v>#REF!</v>
      </c>
      <c r="BK106" s="201" t="e">
        <f t="array" ref="BK106">_xlfn.IFS(AND($K106&gt;BJ$7,$L106&gt;BJ$7),0,AND($K106&lt;=BJ$7,$L106&lt;=BJ$7),1,AND($K106&lt;=BJ$7,$L106&gt;BJ$7),((BJ$7-$K106)/($L106-$K106)))</f>
        <v>#REF!</v>
      </c>
      <c r="BL106" s="201" t="e">
        <f t="array" ref="BL106">_xlfn.IFS(AND($K106&gt;BK$7,$L106&gt;BK$7),0,AND($K106&lt;=BK$7,$L106&lt;=BK$7),1,AND($K106&lt;=BK$7,$L106&gt;BK$7),((BK$7-$K106)/($L106-$K106)))</f>
        <v>#REF!</v>
      </c>
      <c r="BM106" s="201" t="e">
        <f t="array" ref="BM106">_xlfn.IFS(AND($K106&gt;BL$7,$L106&gt;BL$7),0,AND($K106&lt;=BL$7,$L106&lt;=BL$7),1,AND($K106&lt;=BL$7,$L106&gt;BL$7),((BL$7-$K106)/($L106-$K106)))</f>
        <v>#REF!</v>
      </c>
      <c r="BN106" s="201" t="e">
        <f t="array" ref="BN106">_xlfn.IFS(AND($K106&gt;BM$7,$L106&gt;BM$7),0,AND($K106&lt;=BM$7,$L106&lt;=BM$7),1,AND($K106&lt;=BM$7,$L106&gt;BM$7),((BM$7-$K106)/($L106-$K106)))</f>
        <v>#REF!</v>
      </c>
    </row>
    <row r="107" spans="2:66" ht="15" customHeight="1" x14ac:dyDescent="0.3">
      <c r="B107" s="166" t="s">
        <v>161</v>
      </c>
      <c r="C107" s="166" t="s">
        <v>261</v>
      </c>
      <c r="D107" s="177"/>
      <c r="E107" s="170" t="str">
        <f t="shared" si="44"/>
        <v>Desenvolvimento da Transformação dos Processos</v>
      </c>
      <c r="F107" s="174" t="str">
        <f t="shared" si="41"/>
        <v>Modelagem To Be</v>
      </c>
      <c r="G107" s="166" t="str">
        <f t="shared" si="45"/>
        <v>Modelagem To Be</v>
      </c>
      <c r="H107" s="197" t="s">
        <v>262</v>
      </c>
      <c r="I107" s="166">
        <v>45992</v>
      </c>
      <c r="J107" s="166">
        <v>45996</v>
      </c>
      <c r="K107" s="166">
        <v>45992</v>
      </c>
      <c r="L107" s="166">
        <v>45996</v>
      </c>
      <c r="M107" s="167"/>
      <c r="N107" s="167" t="str">
        <f t="array" ref="N107">_xlfn.IFS(L107&lt;$M$3,"Concluído",AND(K107&gt;=$M$3,I107&lt;$M$3,L107&gt;$M$3),"Em andamento",AND(L107&gt;=$M$3,J107&lt;$M$3),"Atrasado",AND(L107&gt;=$M$3,J107&gt;=$M$3,I107&gt;$M$3,K107&lt;=$M$3),"Em andamento",AND(L107&gt;=$M$3,J107&gt;=$M$3,I107&lt;=$M$3,K107&lt;=$M$3),"Em andamento",AND(K107&gt;$M$3,I107&gt;$M$3),"Não iniciado",AND(L107&gt;=$M$3,J107&gt;=$M$3,K107&gt;=$M$3,I107&lt;$M$3),"Atrasado",AND(L107&gt;=$M$3,J107&gt;=$M$3,K107&gt;=$M$3,I107&gt;$M$3),"Não iniciado",AND($I107&lt;=$M$3,$K107&gt;$M$3),"Atrasado")</f>
        <v>Concluído</v>
      </c>
      <c r="O107" s="167">
        <f t="array" ref="O107">_xlfn.IFS(N107="Não iniciado",0,N107="Em andamento",1,N107="Concluído",2,N107="Atrasado",3)</f>
        <v>2</v>
      </c>
      <c r="P107" s="169"/>
      <c r="Q107" s="152">
        <f t="array" aca="1" ref="Q107" ca="1">_xlfn.IFS(AND($I107&lt;$N$3,$J107&lt;$N$3),1,AND($I107&lt;=$N$3,$J107&gt;=$N$3),0.5,AND($I107&gt;=$N$3,$J107&gt;=$N$3),0)</f>
        <v>1</v>
      </c>
      <c r="R107" s="152">
        <f t="array" aca="1" ref="R107" ca="1">_xlfn.IFS(AND($K107&lt;$N$3,$L107&lt;$N$3),1,AND($K107&lt;=$N$3,$L107&gt;=$N$3),0.5,AND($K107&gt;=$N$3,$L107&gt;=$N$3),0)</f>
        <v>1</v>
      </c>
      <c r="S107" s="201" t="e">
        <f t="array" ref="S107">_xlfn.IFS(AND($K107&gt;R$7,$L107&gt;R$7),0,AND($K107&lt;=R$7,$L107&lt;=R$7),1,AND($K107&lt;=R$7,$L107&gt;R$7),((R$7-$K107)/($L107-$K107)))</f>
        <v>#REF!</v>
      </c>
      <c r="T107" s="201" t="e">
        <f t="array" ref="T107">_xlfn.IFS(AND($K107&gt;S$7,$L107&gt;S$7),0,AND($K107&lt;=S$7,$L107&lt;=S$7),1,AND($K107&lt;=S$7,$L107&gt;S$7),((S$7-$K107)/($L107-$K107)))</f>
        <v>#REF!</v>
      </c>
      <c r="U107" s="201" t="e">
        <f t="array" ref="U107">_xlfn.IFS(AND($K107&gt;T$7,$L107&gt;T$7),0,AND($K107&lt;=T$7,$L107&lt;=T$7),1,AND($K107&lt;=T$7,$L107&gt;T$7),((T$7-$K107)/($L107-$K107)))</f>
        <v>#REF!</v>
      </c>
      <c r="V107" s="201" t="e">
        <f t="array" ref="V107">_xlfn.IFS(AND($K107&gt;U$7,$L107&gt;U$7),0,AND($K107&lt;=U$7,$L107&lt;=U$7),1,AND($K107&lt;=U$7,$L107&gt;U$7),((U$7-$K107)/($L107-$K107)))</f>
        <v>#REF!</v>
      </c>
      <c r="W107" s="201" t="e">
        <f t="array" ref="W107">_xlfn.IFS(AND($K107&gt;V$7,$L107&gt;V$7),0,AND($K107&lt;=V$7,$L107&lt;=V$7),1,AND($K107&lt;=V$7,$L107&gt;V$7),((V$7-$K107)/($L107-$K107)))</f>
        <v>#REF!</v>
      </c>
      <c r="X107" s="201" t="e">
        <f t="array" ref="X107">_xlfn.IFS(AND($K107&gt;W$7,$L107&gt;W$7),0,AND($K107&lt;=W$7,$L107&lt;=W$7),1,AND($K107&lt;=W$7,$L107&gt;W$7),((W$7-$K107)/($L107-$K107)))</f>
        <v>#REF!</v>
      </c>
      <c r="Y107" s="201" t="e">
        <f t="array" ref="Y107">_xlfn.IFS(AND($K107&gt;X$7,$L107&gt;X$7),0,AND($K107&lt;=X$7,$L107&lt;=X$7),1,AND($K107&lt;=X$7,$L107&gt;X$7),((X$7-$K107)/($L107-$K107)))</f>
        <v>#REF!</v>
      </c>
      <c r="Z107" s="201" t="e">
        <f t="array" ref="Z107">_xlfn.IFS(AND($K107&gt;Y$7,$L107&gt;Y$7),0,AND($K107&lt;=Y$7,$L107&lt;=Y$7),1,AND($K107&lt;=Y$7,$L107&gt;Y$7),((Y$7-$K107)/($L107-$K107)))</f>
        <v>#REF!</v>
      </c>
      <c r="AA107" s="201" t="e">
        <f t="array" ref="AA107">_xlfn.IFS(AND($K107&gt;Z$7,$L107&gt;Z$7),0,AND($K107&lt;=Z$7,$L107&lt;=Z$7),1,AND($K107&lt;=Z$7,$L107&gt;Z$7),((Z$7-$K107)/($L107-$K107)))</f>
        <v>#REF!</v>
      </c>
      <c r="AB107" s="201" t="e">
        <f t="array" ref="AB107">_xlfn.IFS(AND($K107&gt;AA$7,$L107&gt;AA$7),0,AND($K107&lt;=AA$7,$L107&lt;=AA$7),1,AND($K107&lt;=AA$7,$L107&gt;AA$7),((AA$7-$K107)/($L107-$K107)))</f>
        <v>#REF!</v>
      </c>
      <c r="AC107" s="201" t="e">
        <f t="array" ref="AC107">_xlfn.IFS(AND($K107&gt;AB$7,$L107&gt;AB$7),0,AND($K107&lt;=AB$7,$L107&lt;=AB$7),1,AND($K107&lt;=AB$7,$L107&gt;AB$7),((AB$7-$K107)/($L107-$K107)))</f>
        <v>#REF!</v>
      </c>
      <c r="AD107" s="201" t="e">
        <f t="array" ref="AD107">_xlfn.IFS(AND($K107&gt;AC$7,$L107&gt;AC$7),0,AND($K107&lt;=AC$7,$L107&lt;=AC$7),1,AND($K107&lt;=AC$7,$L107&gt;AC$7),((AC$7-$K107)/($L107-$K107)))</f>
        <v>#REF!</v>
      </c>
      <c r="AE107" s="201" t="e">
        <f t="array" ref="AE107">_xlfn.IFS(AND($K107&gt;AD$7,$L107&gt;AD$7),0,AND($K107&lt;=AD$7,$L107&lt;=AD$7),1,AND($K107&lt;=AD$7,$L107&gt;AD$7),((AD$7-$K107)/($L107-$K107)))</f>
        <v>#REF!</v>
      </c>
      <c r="AF107" s="201" t="e">
        <f t="array" ref="AF107">_xlfn.IFS(AND($K107&gt;AE$7,$L107&gt;AE$7),0,AND($K107&lt;=AE$7,$L107&lt;=AE$7),1,AND($K107&lt;=AE$7,$L107&gt;AE$7),((AE$7-$K107)/($L107-$K107)))</f>
        <v>#REF!</v>
      </c>
      <c r="AG107" s="201" t="e">
        <f t="array" ref="AG107">_xlfn.IFS(AND($K107&gt;AF$7,$L107&gt;AF$7),0,AND($K107&lt;=AF$7,$L107&lt;=AF$7),1,AND($K107&lt;=AF$7,$L107&gt;AF$7),((AF$7-$K107)/($L107-$K107)))</f>
        <v>#REF!</v>
      </c>
      <c r="AH107" s="201" t="e">
        <f t="array" ref="AH107">_xlfn.IFS(AND($K107&gt;AG$7,$L107&gt;AG$7),0,AND($K107&lt;=AG$7,$L107&lt;=AG$7),1,AND($K107&lt;=AG$7,$L107&gt;AG$7),((AG$7-$K107)/($L107-$K107)))</f>
        <v>#REF!</v>
      </c>
      <c r="AI107" s="201" t="e">
        <f t="array" ref="AI107">_xlfn.IFS(AND($K107&gt;AH$7,$L107&gt;AH$7),0,AND($K107&lt;=AH$7,$L107&lt;=AH$7),1,AND($K107&lt;=AH$7,$L107&gt;AH$7),((AH$7-$K107)/($L107-$K107)))</f>
        <v>#REF!</v>
      </c>
      <c r="AJ107" s="201" t="e">
        <f t="array" ref="AJ107">_xlfn.IFS(AND($K107&gt;AI$7,$L107&gt;AI$7),0,AND($K107&lt;=AI$7,$L107&lt;=AI$7),1,AND($K107&lt;=AI$7,$L107&gt;AI$7),((AI$7-$K107)/($L107-$K107)))</f>
        <v>#REF!</v>
      </c>
      <c r="AK107" s="201" t="e">
        <f t="array" ref="AK107">_xlfn.IFS(AND($K107&gt;AJ$7,$L107&gt;AJ$7),0,AND($K107&lt;=AJ$7,$L107&lt;=AJ$7),1,AND($K107&lt;=AJ$7,$L107&gt;AJ$7),((AJ$7-$K107)/($L107-$K107)))</f>
        <v>#REF!</v>
      </c>
      <c r="AL107" s="201" t="e">
        <f t="array" ref="AL107">_xlfn.IFS(AND($K107&gt;AK$7,$L107&gt;AK$7),0,AND($K107&lt;=AK$7,$L107&lt;=AK$7),1,AND($K107&lt;=AK$7,$L107&gt;AK$7),((AK$7-$K107)/($L107-$K107)))</f>
        <v>#REF!</v>
      </c>
      <c r="AM107" s="201" t="e">
        <f t="array" ref="AM107">_xlfn.IFS(AND($K107&gt;AL$7,$L107&gt;AL$7),0,AND($K107&lt;=AL$7,$L107&lt;=AL$7),1,AND($K107&lt;=AL$7,$L107&gt;AL$7),((AL$7-$K107)/($L107-$K107)))</f>
        <v>#REF!</v>
      </c>
      <c r="AN107" s="201" t="e">
        <f t="array" ref="AN107">_xlfn.IFS(AND($K107&gt;AM$7,$L107&gt;AM$7),0,AND($K107&lt;=AM$7,$L107&lt;=AM$7),1,AND($K107&lt;=AM$7,$L107&gt;AM$7),((AM$7-$K107)/($L107-$K107)))</f>
        <v>#REF!</v>
      </c>
      <c r="AO107" s="201" t="e">
        <f t="array" ref="AO107">_xlfn.IFS(AND($K107&gt;AN$7,$L107&gt;AN$7),0,AND($K107&lt;=AN$7,$L107&lt;=AN$7),1,AND($K107&lt;=AN$7,$L107&gt;AN$7),((AN$7-$K107)/($L107-$K107)))</f>
        <v>#REF!</v>
      </c>
      <c r="AP107" s="201" t="e">
        <f t="array" ref="AP107">_xlfn.IFS(AND($K107&gt;AO$7,$L107&gt;AO$7),0,AND($K107&lt;=AO$7,$L107&lt;=AO$7),1,AND($K107&lt;=AO$7,$L107&gt;AO$7),((AO$7-$K107)/($L107-$K107)))</f>
        <v>#REF!</v>
      </c>
      <c r="AQ107" s="201" t="e">
        <f t="array" ref="AQ107">_xlfn.IFS(AND($K107&gt;AP$7,$L107&gt;AP$7),0,AND($K107&lt;=AP$7,$L107&lt;=AP$7),1,AND($K107&lt;=AP$7,$L107&gt;AP$7),((AP$7-$K107)/($L107-$K107)))</f>
        <v>#REF!</v>
      </c>
      <c r="AR107" s="201" t="e">
        <f t="array" ref="AR107">_xlfn.IFS(AND($K107&gt;AQ$7,$L107&gt;AQ$7),0,AND($K107&lt;=AQ$7,$L107&lt;=AQ$7),1,AND($K107&lt;=AQ$7,$L107&gt;AQ$7),((AQ$7-$K107)/($L107-$K107)))</f>
        <v>#REF!</v>
      </c>
      <c r="AS107" s="201" t="e">
        <f t="array" ref="AS107">_xlfn.IFS(AND($K107&gt;AR$7,$L107&gt;AR$7),0,AND($K107&lt;=AR$7,$L107&lt;=AR$7),1,AND($K107&lt;=AR$7,$L107&gt;AR$7),((AR$7-$K107)/($L107-$K107)))</f>
        <v>#REF!</v>
      </c>
      <c r="AT107" s="201" t="e">
        <f t="array" ref="AT107">_xlfn.IFS(AND($K107&gt;AS$7,$L107&gt;AS$7),0,AND($K107&lt;=AS$7,$L107&lt;=AS$7),1,AND($K107&lt;=AS$7,$L107&gt;AS$7),((AS$7-$K107)/($L107-$K107)))</f>
        <v>#REF!</v>
      </c>
      <c r="AU107" s="201" t="e">
        <f t="array" ref="AU107">_xlfn.IFS(AND($K107&gt;AT$7,$L107&gt;AT$7),0,AND($K107&lt;=AT$7,$L107&lt;=AT$7),1,AND($K107&lt;=AT$7,$L107&gt;AT$7),((AT$7-$K107)/($L107-$K107)))</f>
        <v>#REF!</v>
      </c>
      <c r="AV107" s="201" t="e">
        <f t="array" ref="AV107">_xlfn.IFS(AND($K107&gt;AU$7,$L107&gt;AU$7),0,AND($K107&lt;=AU$7,$L107&lt;=AU$7),1,AND($K107&lt;=AU$7,$L107&gt;AU$7),((AU$7-$K107)/($L107-$K107)))</f>
        <v>#REF!</v>
      </c>
      <c r="AW107" s="201" t="e">
        <f t="array" ref="AW107">_xlfn.IFS(AND($K107&gt;AV$7,$L107&gt;AV$7),0,AND($K107&lt;=AV$7,$L107&lt;=AV$7),1,AND($K107&lt;=AV$7,$L107&gt;AV$7),((AV$7-$K107)/($L107-$K107)))</f>
        <v>#REF!</v>
      </c>
      <c r="AX107" s="201" t="e">
        <f t="array" ref="AX107">_xlfn.IFS(AND($K107&gt;AW$7,$L107&gt;AW$7),0,AND($K107&lt;=AW$7,$L107&lt;=AW$7),1,AND($K107&lt;=AW$7,$L107&gt;AW$7),((AW$7-$K107)/($L107-$K107)))</f>
        <v>#REF!</v>
      </c>
      <c r="AY107" s="201" t="e">
        <f t="array" ref="AY107">_xlfn.IFS(AND($K107&gt;AX$7,$L107&gt;AX$7),0,AND($K107&lt;=AX$7,$L107&lt;=AX$7),1,AND($K107&lt;=AX$7,$L107&gt;AX$7),((AX$7-$K107)/($L107-$K107)))</f>
        <v>#REF!</v>
      </c>
      <c r="AZ107" s="201" t="e">
        <f t="array" ref="AZ107">_xlfn.IFS(AND($K107&gt;AY$7,$L107&gt;AY$7),0,AND($K107&lt;=AY$7,$L107&lt;=AY$7),1,AND($K107&lt;=AY$7,$L107&gt;AY$7),((AY$7-$K107)/($L107-$K107)))</f>
        <v>#REF!</v>
      </c>
      <c r="BA107" s="201" t="e">
        <f t="array" ref="BA107">_xlfn.IFS(AND($K107&gt;AZ$7,$L107&gt;AZ$7),0,AND($K107&lt;=AZ$7,$L107&lt;=AZ$7),1,AND($K107&lt;=AZ$7,$L107&gt;AZ$7),((AZ$7-$K107)/($L107-$K107)))</f>
        <v>#REF!</v>
      </c>
      <c r="BB107" s="201" t="e">
        <f t="array" ref="BB107">_xlfn.IFS(AND($K107&gt;BA$7,$L107&gt;BA$7),0,AND($K107&lt;=BA$7,$L107&lt;=BA$7),1,AND($K107&lt;=BA$7,$L107&gt;BA$7),((BA$7-$K107)/($L107-$K107)))</f>
        <v>#REF!</v>
      </c>
      <c r="BC107" s="201" t="e">
        <f t="array" ref="BC107">_xlfn.IFS(AND($K107&gt;BB$7,$L107&gt;BB$7),0,AND($K107&lt;=BB$7,$L107&lt;=BB$7),1,AND($K107&lt;=BB$7,$L107&gt;BB$7),((BB$7-$K107)/($L107-$K107)))</f>
        <v>#REF!</v>
      </c>
      <c r="BD107" s="201" t="e">
        <f t="array" ref="BD107">_xlfn.IFS(AND($K107&gt;BC$7,$L107&gt;BC$7),0,AND($K107&lt;=BC$7,$L107&lt;=BC$7),1,AND($K107&lt;=BC$7,$L107&gt;BC$7),((BC$7-$K107)/($L107-$K107)))</f>
        <v>#REF!</v>
      </c>
      <c r="BE107" s="201" t="e">
        <f t="array" ref="BE107">_xlfn.IFS(AND($K107&gt;BD$7,$L107&gt;BD$7),0,AND($K107&lt;=BD$7,$L107&lt;=BD$7),1,AND($K107&lt;=BD$7,$L107&gt;BD$7),((BD$7-$K107)/($L107-$K107)))</f>
        <v>#REF!</v>
      </c>
      <c r="BF107" s="201" t="e">
        <f t="array" ref="BF107">_xlfn.IFS(AND($K107&gt;BE$7,$L107&gt;BE$7),0,AND($K107&lt;=BE$7,$L107&lt;=BE$7),1,AND($K107&lt;=BE$7,$L107&gt;BE$7),((BE$7-$K107)/($L107-$K107)))</f>
        <v>#REF!</v>
      </c>
      <c r="BG107" s="201" t="e">
        <f t="array" ref="BG107">_xlfn.IFS(AND($K107&gt;BF$7,$L107&gt;BF$7),0,AND($K107&lt;=BF$7,$L107&lt;=BF$7),1,AND($K107&lt;=BF$7,$L107&gt;BF$7),((BF$7-$K107)/($L107-$K107)))</f>
        <v>#REF!</v>
      </c>
      <c r="BH107" s="201" t="e">
        <f t="array" ref="BH107">_xlfn.IFS(AND($K107&gt;BG$7,$L107&gt;BG$7),0,AND($K107&lt;=BG$7,$L107&lt;=BG$7),1,AND($K107&lt;=BG$7,$L107&gt;BG$7),((BG$7-$K107)/($L107-$K107)))</f>
        <v>#REF!</v>
      </c>
      <c r="BI107" s="201" t="e">
        <f t="array" ref="BI107">_xlfn.IFS(AND($K107&gt;BH$7,$L107&gt;BH$7),0,AND($K107&lt;=BH$7,$L107&lt;=BH$7),1,AND($K107&lt;=BH$7,$L107&gt;BH$7),((BH$7-$K107)/($L107-$K107)))</f>
        <v>#REF!</v>
      </c>
      <c r="BJ107" s="201" t="e">
        <f t="array" ref="BJ107">_xlfn.IFS(AND($K107&gt;BI$7,$L107&gt;BI$7),0,AND($K107&lt;=BI$7,$L107&lt;=BI$7),1,AND($K107&lt;=BI$7,$L107&gt;BI$7),((BI$7-$K107)/($L107-$K107)))</f>
        <v>#REF!</v>
      </c>
      <c r="BK107" s="201" t="e">
        <f t="array" ref="BK107">_xlfn.IFS(AND($K107&gt;BJ$7,$L107&gt;BJ$7),0,AND($K107&lt;=BJ$7,$L107&lt;=BJ$7),1,AND($K107&lt;=BJ$7,$L107&gt;BJ$7),((BJ$7-$K107)/($L107-$K107)))</f>
        <v>#REF!</v>
      </c>
      <c r="BL107" s="201" t="e">
        <f t="array" ref="BL107">_xlfn.IFS(AND($K107&gt;BK$7,$L107&gt;BK$7),0,AND($K107&lt;=BK$7,$L107&lt;=BK$7),1,AND($K107&lt;=BK$7,$L107&gt;BK$7),((BK$7-$K107)/($L107-$K107)))</f>
        <v>#REF!</v>
      </c>
      <c r="BM107" s="201" t="e">
        <f t="array" ref="BM107">_xlfn.IFS(AND($K107&gt;BL$7,$L107&gt;BL$7),0,AND($K107&lt;=BL$7,$L107&lt;=BL$7),1,AND($K107&lt;=BL$7,$L107&gt;BL$7),((BL$7-$K107)/($L107-$K107)))</f>
        <v>#REF!</v>
      </c>
      <c r="BN107" s="201" t="e">
        <f t="array" ref="BN107">_xlfn.IFS(AND($K107&gt;BM$7,$L107&gt;BM$7),0,AND($K107&lt;=BM$7,$L107&lt;=BM$7),1,AND($K107&lt;=BM$7,$L107&gt;BM$7),((BM$7-$K107)/($L107-$K107)))</f>
        <v>#REF!</v>
      </c>
    </row>
    <row r="108" spans="2:66" ht="15" customHeight="1" x14ac:dyDescent="0.3">
      <c r="B108" s="170" t="str">
        <f t="array" ref="B108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3</v>
      </c>
      <c r="C108" s="170" t="s">
        <v>263</v>
      </c>
      <c r="D108" s="177" t="str">
        <f>$H$11</f>
        <v>Arquitetura de projetos GERDAU</v>
      </c>
      <c r="E108" s="170" t="str">
        <f t="shared" si="44"/>
        <v>Desenvolvimento da Transformação dos Processos</v>
      </c>
      <c r="F108" s="170" t="s">
        <v>74</v>
      </c>
      <c r="G108" s="170" t="s">
        <v>74</v>
      </c>
      <c r="H108" s="194" t="s">
        <v>264</v>
      </c>
      <c r="I108" s="170">
        <f>I109</f>
        <v>45747</v>
      </c>
      <c r="J108" s="170">
        <f>J109</f>
        <v>46010</v>
      </c>
      <c r="K108" s="170">
        <f>K109</f>
        <v>45747</v>
      </c>
      <c r="L108" s="170">
        <f>L109</f>
        <v>46010</v>
      </c>
      <c r="M108" s="171"/>
      <c r="N108" s="171" t="str">
        <f t="array" ref="N108">_xlfn.IFS(L108&lt;$M$3,"Concluído",AND(K108&gt;=$M$3,I108&lt;$M$3,L108&gt;$M$3),"Em andamento",AND(L108&gt;=$M$3,J108&lt;$M$3),"Atrasado",AND(L108&gt;=$M$3,J108&gt;=$M$3,I108&gt;$M$3,K108&lt;=$M$3),"Em andamento",AND(L108&gt;=$M$3,J108&gt;=$M$3,I108&lt;=$M$3,K108&lt;=$M$3),"Em andamento",AND(K108&gt;$M$3,I108&gt;$M$3),"Não iniciado",AND(L108&gt;=$M$3,J108&gt;=$M$3,K108&gt;=$M$3,I108&lt;$M$3),"Atrasado",AND(L108&gt;=$M$3,J108&gt;=$M$3,K108&gt;=$M$3,I108&gt;$M$3),"Não iniciado",AND($I108&lt;=$M$3,$K108&gt;$M$3),"Atrasado")</f>
        <v>Concluído</v>
      </c>
      <c r="O108" s="171">
        <f t="array" ref="O108">_xlfn.IFS(N108="Não iniciado",0,N108="Em andamento",1,N108="Concluído",2,N108="Atrasado",3)</f>
        <v>2</v>
      </c>
      <c r="P108" s="172"/>
      <c r="Q108" s="173">
        <f t="shared" ref="Q108:AV108" ca="1" si="46">Q109</f>
        <v>1</v>
      </c>
      <c r="R108" s="173">
        <f t="shared" ca="1" si="46"/>
        <v>1</v>
      </c>
      <c r="S108" s="173" t="e">
        <f t="shared" si="46"/>
        <v>#REF!</v>
      </c>
      <c r="T108" s="173" t="e">
        <f t="shared" si="46"/>
        <v>#REF!</v>
      </c>
      <c r="U108" s="173" t="e">
        <f t="shared" si="46"/>
        <v>#REF!</v>
      </c>
      <c r="V108" s="173" t="e">
        <f t="shared" si="46"/>
        <v>#REF!</v>
      </c>
      <c r="W108" s="173" t="e">
        <f t="shared" si="46"/>
        <v>#REF!</v>
      </c>
      <c r="X108" s="173" t="e">
        <f t="shared" si="46"/>
        <v>#REF!</v>
      </c>
      <c r="Y108" s="173" t="e">
        <f t="shared" si="46"/>
        <v>#REF!</v>
      </c>
      <c r="Z108" s="173" t="e">
        <f t="shared" si="46"/>
        <v>#REF!</v>
      </c>
      <c r="AA108" s="173" t="e">
        <f t="shared" si="46"/>
        <v>#REF!</v>
      </c>
      <c r="AB108" s="173" t="e">
        <f t="shared" si="46"/>
        <v>#REF!</v>
      </c>
      <c r="AC108" s="173" t="e">
        <f t="shared" si="46"/>
        <v>#REF!</v>
      </c>
      <c r="AD108" s="173" t="e">
        <f t="shared" si="46"/>
        <v>#REF!</v>
      </c>
      <c r="AE108" s="173" t="e">
        <f t="shared" si="46"/>
        <v>#REF!</v>
      </c>
      <c r="AF108" s="173" t="e">
        <f t="shared" si="46"/>
        <v>#REF!</v>
      </c>
      <c r="AG108" s="173" t="e">
        <f t="shared" si="46"/>
        <v>#REF!</v>
      </c>
      <c r="AH108" s="173" t="e">
        <f t="shared" si="46"/>
        <v>#REF!</v>
      </c>
      <c r="AI108" s="173" t="e">
        <f t="shared" si="46"/>
        <v>#REF!</v>
      </c>
      <c r="AJ108" s="173" t="e">
        <f t="shared" si="46"/>
        <v>#REF!</v>
      </c>
      <c r="AK108" s="173" t="e">
        <f t="shared" si="46"/>
        <v>#REF!</v>
      </c>
      <c r="AL108" s="173" t="e">
        <f t="shared" si="46"/>
        <v>#REF!</v>
      </c>
      <c r="AM108" s="173" t="e">
        <f t="shared" si="46"/>
        <v>#REF!</v>
      </c>
      <c r="AN108" s="173" t="e">
        <f t="shared" si="46"/>
        <v>#REF!</v>
      </c>
      <c r="AO108" s="173" t="e">
        <f t="shared" si="46"/>
        <v>#REF!</v>
      </c>
      <c r="AP108" s="173" t="e">
        <f t="shared" si="46"/>
        <v>#REF!</v>
      </c>
      <c r="AQ108" s="173" t="e">
        <f t="shared" si="46"/>
        <v>#REF!</v>
      </c>
      <c r="AR108" s="173" t="e">
        <f t="shared" si="46"/>
        <v>#REF!</v>
      </c>
      <c r="AS108" s="173" t="e">
        <f t="shared" si="46"/>
        <v>#REF!</v>
      </c>
      <c r="AT108" s="173" t="e">
        <f t="shared" si="46"/>
        <v>#REF!</v>
      </c>
      <c r="AU108" s="173" t="e">
        <f t="shared" si="46"/>
        <v>#REF!</v>
      </c>
      <c r="AV108" s="173" t="e">
        <f t="shared" si="46"/>
        <v>#REF!</v>
      </c>
      <c r="AW108" s="173" t="e">
        <f t="shared" ref="AW108:BN108" si="47">AW109</f>
        <v>#REF!</v>
      </c>
      <c r="AX108" s="173" t="e">
        <f t="shared" si="47"/>
        <v>#REF!</v>
      </c>
      <c r="AY108" s="173" t="e">
        <f t="shared" si="47"/>
        <v>#REF!</v>
      </c>
      <c r="AZ108" s="173" t="e">
        <f t="shared" si="47"/>
        <v>#REF!</v>
      </c>
      <c r="BA108" s="173" t="e">
        <f t="shared" si="47"/>
        <v>#REF!</v>
      </c>
      <c r="BB108" s="173" t="e">
        <f t="shared" si="47"/>
        <v>#REF!</v>
      </c>
      <c r="BC108" s="173" t="e">
        <f t="shared" si="47"/>
        <v>#REF!</v>
      </c>
      <c r="BD108" s="173" t="e">
        <f t="shared" si="47"/>
        <v>#REF!</v>
      </c>
      <c r="BE108" s="173" t="e">
        <f t="shared" si="47"/>
        <v>#REF!</v>
      </c>
      <c r="BF108" s="173" t="e">
        <f t="shared" si="47"/>
        <v>#REF!</v>
      </c>
      <c r="BG108" s="173" t="e">
        <f t="shared" si="47"/>
        <v>#REF!</v>
      </c>
      <c r="BH108" s="173" t="e">
        <f t="shared" si="47"/>
        <v>#REF!</v>
      </c>
      <c r="BI108" s="173" t="e">
        <f t="shared" si="47"/>
        <v>#REF!</v>
      </c>
      <c r="BJ108" s="173" t="e">
        <f t="shared" si="47"/>
        <v>#REF!</v>
      </c>
      <c r="BK108" s="173" t="e">
        <f t="shared" si="47"/>
        <v>#REF!</v>
      </c>
      <c r="BL108" s="173" t="e">
        <f t="shared" si="47"/>
        <v>#REF!</v>
      </c>
      <c r="BM108" s="173" t="e">
        <f t="shared" si="47"/>
        <v>#REF!</v>
      </c>
      <c r="BN108" s="173" t="e">
        <f t="shared" si="47"/>
        <v>#REF!</v>
      </c>
    </row>
    <row r="109" spans="2:66" ht="15" customHeight="1" x14ac:dyDescent="0.3">
      <c r="B109" s="174" t="str">
        <f t="array" ref="B109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109" s="174" t="s">
        <v>265</v>
      </c>
      <c r="D109" s="177"/>
      <c r="E109" s="170" t="str">
        <f t="shared" si="44"/>
        <v>Desenvolvimento da Transformação dos Processos</v>
      </c>
      <c r="F109" s="174" t="str">
        <f t="shared" ref="F109:F139" si="48">$H$108</f>
        <v>Transformação do Processo</v>
      </c>
      <c r="G109" s="174"/>
      <c r="H109" s="195" t="s">
        <v>264</v>
      </c>
      <c r="I109" s="174">
        <f>MIN(I110:I139)</f>
        <v>45747</v>
      </c>
      <c r="J109" s="174">
        <f>MAX(J110:J139)</f>
        <v>46010</v>
      </c>
      <c r="K109" s="174">
        <f>MIN(K110:K139)</f>
        <v>45747</v>
      </c>
      <c r="L109" s="174">
        <f>MAX(L110:L139)</f>
        <v>46010</v>
      </c>
      <c r="M109" s="175"/>
      <c r="N109" s="175" t="str">
        <f t="array" ref="N109">_xlfn.IFS(L109&lt;$M$3,"Concluído",AND(K109&gt;=$M$3,I109&lt;$M$3,L109&gt;$M$3),"Em andamento",AND(L109&gt;=$M$3,J109&lt;$M$3),"Atrasado",AND(L109&gt;=$M$3,J109&gt;=$M$3,I109&gt;$M$3,K109&lt;=$M$3),"Em andamento",AND(L109&gt;=$M$3,J109&gt;=$M$3,I109&lt;=$M$3,K109&lt;=$M$3),"Em andamento",AND(K109&gt;$M$3,I109&gt;$M$3),"Não iniciado",AND(L109&gt;=$M$3,J109&gt;=$M$3,K109&gt;=$M$3,I109&lt;$M$3),"Atrasado",AND(L109&gt;=$M$3,J109&gt;=$M$3,K109&gt;=$M$3,I109&gt;$M$3),"Não iniciado",AND($I109&lt;=$M$3,$K109&gt;$M$3),"Atrasado")</f>
        <v>Concluído</v>
      </c>
      <c r="O109" s="175">
        <f t="array" ref="O109">_xlfn.IFS(N109="Não iniciado",0,N109="Em andamento",1,N109="Concluído",2,N109="Atrasado",3)</f>
        <v>2</v>
      </c>
      <c r="P109" s="176"/>
      <c r="Q109" s="156">
        <f t="shared" ref="Q109:AV109" ca="1" si="49">AVERAGE(Q110:Q139)</f>
        <v>1</v>
      </c>
      <c r="R109" s="156">
        <f t="shared" ca="1" si="49"/>
        <v>1</v>
      </c>
      <c r="S109" s="205" t="e">
        <f t="shared" si="49"/>
        <v>#REF!</v>
      </c>
      <c r="T109" s="205" t="e">
        <f t="shared" si="49"/>
        <v>#REF!</v>
      </c>
      <c r="U109" s="205" t="e">
        <f t="shared" si="49"/>
        <v>#REF!</v>
      </c>
      <c r="V109" s="205" t="e">
        <f t="shared" si="49"/>
        <v>#REF!</v>
      </c>
      <c r="W109" s="205" t="e">
        <f t="shared" si="49"/>
        <v>#REF!</v>
      </c>
      <c r="X109" s="205" t="e">
        <f t="shared" si="49"/>
        <v>#REF!</v>
      </c>
      <c r="Y109" s="205" t="e">
        <f t="shared" si="49"/>
        <v>#REF!</v>
      </c>
      <c r="Z109" s="205" t="e">
        <f t="shared" si="49"/>
        <v>#REF!</v>
      </c>
      <c r="AA109" s="205" t="e">
        <f t="shared" si="49"/>
        <v>#REF!</v>
      </c>
      <c r="AB109" s="205" t="e">
        <f t="shared" si="49"/>
        <v>#REF!</v>
      </c>
      <c r="AC109" s="205" t="e">
        <f t="shared" si="49"/>
        <v>#REF!</v>
      </c>
      <c r="AD109" s="205" t="e">
        <f t="shared" si="49"/>
        <v>#REF!</v>
      </c>
      <c r="AE109" s="205" t="e">
        <f t="shared" si="49"/>
        <v>#REF!</v>
      </c>
      <c r="AF109" s="205" t="e">
        <f t="shared" si="49"/>
        <v>#REF!</v>
      </c>
      <c r="AG109" s="205" t="e">
        <f t="shared" si="49"/>
        <v>#REF!</v>
      </c>
      <c r="AH109" s="205" t="e">
        <f t="shared" si="49"/>
        <v>#REF!</v>
      </c>
      <c r="AI109" s="205" t="e">
        <f t="shared" si="49"/>
        <v>#REF!</v>
      </c>
      <c r="AJ109" s="205" t="e">
        <f t="shared" si="49"/>
        <v>#REF!</v>
      </c>
      <c r="AK109" s="205" t="e">
        <f t="shared" si="49"/>
        <v>#REF!</v>
      </c>
      <c r="AL109" s="205" t="e">
        <f t="shared" si="49"/>
        <v>#REF!</v>
      </c>
      <c r="AM109" s="205" t="e">
        <f t="shared" si="49"/>
        <v>#REF!</v>
      </c>
      <c r="AN109" s="205" t="e">
        <f t="shared" si="49"/>
        <v>#REF!</v>
      </c>
      <c r="AO109" s="205" t="e">
        <f t="shared" si="49"/>
        <v>#REF!</v>
      </c>
      <c r="AP109" s="205" t="e">
        <f t="shared" si="49"/>
        <v>#REF!</v>
      </c>
      <c r="AQ109" s="205" t="e">
        <f t="shared" si="49"/>
        <v>#REF!</v>
      </c>
      <c r="AR109" s="205" t="e">
        <f t="shared" si="49"/>
        <v>#REF!</v>
      </c>
      <c r="AS109" s="205" t="e">
        <f t="shared" si="49"/>
        <v>#REF!</v>
      </c>
      <c r="AT109" s="205" t="e">
        <f t="shared" si="49"/>
        <v>#REF!</v>
      </c>
      <c r="AU109" s="205" t="e">
        <f t="shared" si="49"/>
        <v>#REF!</v>
      </c>
      <c r="AV109" s="205" t="e">
        <f t="shared" si="49"/>
        <v>#REF!</v>
      </c>
      <c r="AW109" s="205" t="e">
        <f t="shared" ref="AW109:BN109" si="50">AVERAGE(AW110:AW139)</f>
        <v>#REF!</v>
      </c>
      <c r="AX109" s="205" t="e">
        <f t="shared" si="50"/>
        <v>#REF!</v>
      </c>
      <c r="AY109" s="205" t="e">
        <f t="shared" si="50"/>
        <v>#REF!</v>
      </c>
      <c r="AZ109" s="205" t="e">
        <f t="shared" si="50"/>
        <v>#REF!</v>
      </c>
      <c r="BA109" s="205" t="e">
        <f t="shared" si="50"/>
        <v>#REF!</v>
      </c>
      <c r="BB109" s="205" t="e">
        <f t="shared" si="50"/>
        <v>#REF!</v>
      </c>
      <c r="BC109" s="205" t="e">
        <f t="shared" si="50"/>
        <v>#REF!</v>
      </c>
      <c r="BD109" s="205" t="e">
        <f t="shared" si="50"/>
        <v>#REF!</v>
      </c>
      <c r="BE109" s="205" t="e">
        <f t="shared" si="50"/>
        <v>#REF!</v>
      </c>
      <c r="BF109" s="205" t="e">
        <f t="shared" si="50"/>
        <v>#REF!</v>
      </c>
      <c r="BG109" s="205" t="e">
        <f t="shared" si="50"/>
        <v>#REF!</v>
      </c>
      <c r="BH109" s="205" t="e">
        <f t="shared" si="50"/>
        <v>#REF!</v>
      </c>
      <c r="BI109" s="205" t="e">
        <f t="shared" si="50"/>
        <v>#REF!</v>
      </c>
      <c r="BJ109" s="205" t="e">
        <f t="shared" si="50"/>
        <v>#REF!</v>
      </c>
      <c r="BK109" s="205" t="e">
        <f t="shared" si="50"/>
        <v>#REF!</v>
      </c>
      <c r="BL109" s="205" t="e">
        <f t="shared" si="50"/>
        <v>#REF!</v>
      </c>
      <c r="BM109" s="205" t="e">
        <f t="shared" si="50"/>
        <v>#REF!</v>
      </c>
      <c r="BN109" s="205" t="e">
        <f t="shared" si="50"/>
        <v>#REF!</v>
      </c>
    </row>
    <row r="110" spans="2:66" ht="15" customHeight="1" x14ac:dyDescent="0.3">
      <c r="B110" s="166" t="str">
        <f t="array" ref="B110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10" s="166" t="s">
        <v>266</v>
      </c>
      <c r="D110" s="177"/>
      <c r="E110" s="170" t="str">
        <f t="shared" ref="E110:E139" si="51">$H$45</f>
        <v>Desenvolvimento da Transformação dos Processos</v>
      </c>
      <c r="F110" s="174" t="str">
        <f t="shared" si="48"/>
        <v>Transformação do Processo</v>
      </c>
      <c r="G110" s="166" t="str">
        <f t="shared" ref="G110:G139" si="52">$H$109</f>
        <v>Transformação do Processo</v>
      </c>
      <c r="H110" s="197" t="s">
        <v>267</v>
      </c>
      <c r="I110" s="166">
        <v>45747</v>
      </c>
      <c r="J110" s="40">
        <v>45758</v>
      </c>
      <c r="K110" s="166">
        <v>45747</v>
      </c>
      <c r="L110" s="40">
        <v>45758</v>
      </c>
      <c r="M110" s="167"/>
      <c r="N110" s="167" t="str">
        <f t="array" ref="N110">_xlfn.IFS(L110&lt;$M$3,"Concluído",AND(K110&gt;=$M$3,I110&lt;$M$3,L110&gt;$M$3),"Em andamento",AND(L110&gt;=$M$3,J110&lt;$M$3),"Atrasado",AND(L110&gt;=$M$3,J110&gt;=$M$3,I110&gt;$M$3,K110&lt;=$M$3),"Em andamento",AND(L110&gt;=$M$3,J110&gt;=$M$3,I110&lt;=$M$3,K110&lt;=$M$3),"Em andamento",AND(K110&gt;$M$3,I110&gt;$M$3),"Não iniciado",AND(L110&gt;=$M$3,J110&gt;=$M$3,K110&gt;=$M$3,I110&lt;$M$3),"Atrasado",AND(L110&gt;=$M$3,J110&gt;=$M$3,K110&gt;=$M$3,I110&gt;$M$3),"Não iniciado",AND($I110&lt;=$M$3,$K110&gt;$M$3),"Atrasado")</f>
        <v>Concluído</v>
      </c>
      <c r="O110" s="167">
        <f t="array" ref="O110">_xlfn.IFS(N110="Não iniciado",0,N110="Em andamento",1,N110="Concluído",2,N110="Atrasado",3)</f>
        <v>2</v>
      </c>
      <c r="P110" s="169"/>
      <c r="Q110" s="152">
        <f t="array" aca="1" ref="Q110" ca="1">_xlfn.IFS(AND($I110&lt;$N$3,$J110&lt;$N$3),1,AND($I110&lt;=$N$3,$J110&gt;=$N$3),0.5,AND($I110&gt;=$N$3,$J110&gt;=$N$3),0)</f>
        <v>1</v>
      </c>
      <c r="R110" s="152">
        <f t="array" aca="1" ref="R110" ca="1">_xlfn.IFS(AND($K110&lt;$N$3,$L110&lt;$N$3),1,AND($K110&lt;=$N$3,$L110&gt;=$N$3),0.5,AND($K110&gt;=$N$3,$L110&gt;=$N$3),0)</f>
        <v>1</v>
      </c>
      <c r="S110" s="201" t="e">
        <f t="array" ref="S110">_xlfn.IFS(AND($K110&gt;R$7,$L110&gt;R$7),0,AND($K110&lt;=R$7,$L110&lt;=R$7),1,AND($K110&lt;=R$7,$L110&gt;R$7),((R$7-$K110)/($L110-$K110)))</f>
        <v>#REF!</v>
      </c>
      <c r="T110" s="201" t="e">
        <f t="array" ref="T110">_xlfn.IFS(AND($K110&gt;S$7,$L110&gt;S$7),0,AND($K110&lt;=S$7,$L110&lt;=S$7),1,AND($K110&lt;=S$7,$L110&gt;S$7),((S$7-$K110)/($L110-$K110)))</f>
        <v>#REF!</v>
      </c>
      <c r="U110" s="201" t="e">
        <f t="array" ref="U110">_xlfn.IFS(AND($K110&gt;T$7,$L110&gt;T$7),0,AND($K110&lt;=T$7,$L110&lt;=T$7),1,AND($K110&lt;=T$7,$L110&gt;T$7),((T$7-$K110)/($L110-$K110)))</f>
        <v>#REF!</v>
      </c>
      <c r="V110" s="201" t="e">
        <f t="array" ref="V110">_xlfn.IFS(AND($K110&gt;U$7,$L110&gt;U$7),0,AND($K110&lt;=U$7,$L110&lt;=U$7),1,AND($K110&lt;=U$7,$L110&gt;U$7),((U$7-$K110)/($L110-$K110)))</f>
        <v>#REF!</v>
      </c>
      <c r="W110" s="201" t="e">
        <f t="array" ref="W110">_xlfn.IFS(AND($K110&gt;V$7,$L110&gt;V$7),0,AND($K110&lt;=V$7,$L110&lt;=V$7),1,AND($K110&lt;=V$7,$L110&gt;V$7),((V$7-$K110)/($L110-$K110)))</f>
        <v>#REF!</v>
      </c>
      <c r="X110" s="201" t="e">
        <f t="array" ref="X110">_xlfn.IFS(AND($K110&gt;W$7,$L110&gt;W$7),0,AND($K110&lt;=W$7,$L110&lt;=W$7),1,AND($K110&lt;=W$7,$L110&gt;W$7),((W$7-$K110)/($L110-$K110)))</f>
        <v>#REF!</v>
      </c>
      <c r="Y110" s="201" t="e">
        <f t="array" ref="Y110">_xlfn.IFS(AND($K110&gt;X$7,$L110&gt;X$7),0,AND($K110&lt;=X$7,$L110&lt;=X$7),1,AND($K110&lt;=X$7,$L110&gt;X$7),((X$7-$K110)/($L110-$K110)))</f>
        <v>#REF!</v>
      </c>
      <c r="Z110" s="201" t="e">
        <f t="array" ref="Z110">_xlfn.IFS(AND($K110&gt;Y$7,$L110&gt;Y$7),0,AND($K110&lt;=Y$7,$L110&lt;=Y$7),1,AND($K110&lt;=Y$7,$L110&gt;Y$7),((Y$7-$K110)/($L110-$K110)))</f>
        <v>#REF!</v>
      </c>
      <c r="AA110" s="201" t="e">
        <f t="array" ref="AA110">_xlfn.IFS(AND($K110&gt;Z$7,$L110&gt;Z$7),0,AND($K110&lt;=Z$7,$L110&lt;=Z$7),1,AND($K110&lt;=Z$7,$L110&gt;Z$7),((Z$7-$K110)/($L110-$K110)))</f>
        <v>#REF!</v>
      </c>
      <c r="AB110" s="201" t="e">
        <f t="array" ref="AB110">_xlfn.IFS(AND($K110&gt;AA$7,$L110&gt;AA$7),0,AND($K110&lt;=AA$7,$L110&lt;=AA$7),1,AND($K110&lt;=AA$7,$L110&gt;AA$7),((AA$7-$K110)/($L110-$K110)))</f>
        <v>#REF!</v>
      </c>
      <c r="AC110" s="201" t="e">
        <f t="array" ref="AC110">_xlfn.IFS(AND($K110&gt;AB$7,$L110&gt;AB$7),0,AND($K110&lt;=AB$7,$L110&lt;=AB$7),1,AND($K110&lt;=AB$7,$L110&gt;AB$7),((AB$7-$K110)/($L110-$K110)))</f>
        <v>#REF!</v>
      </c>
      <c r="AD110" s="201" t="e">
        <f t="array" ref="AD110">_xlfn.IFS(AND($K110&gt;AC$7,$L110&gt;AC$7),0,AND($K110&lt;=AC$7,$L110&lt;=AC$7),1,AND($K110&lt;=AC$7,$L110&gt;AC$7),((AC$7-$K110)/($L110-$K110)))</f>
        <v>#REF!</v>
      </c>
      <c r="AE110" s="201" t="e">
        <f t="array" ref="AE110">_xlfn.IFS(AND($K110&gt;AD$7,$L110&gt;AD$7),0,AND($K110&lt;=AD$7,$L110&lt;=AD$7),1,AND($K110&lt;=AD$7,$L110&gt;AD$7),((AD$7-$K110)/($L110-$K110)))</f>
        <v>#REF!</v>
      </c>
      <c r="AF110" s="201" t="e">
        <f t="array" ref="AF110">_xlfn.IFS(AND($K110&gt;AE$7,$L110&gt;AE$7),0,AND($K110&lt;=AE$7,$L110&lt;=AE$7),1,AND($K110&lt;=AE$7,$L110&gt;AE$7),((AE$7-$K110)/($L110-$K110)))</f>
        <v>#REF!</v>
      </c>
      <c r="AG110" s="201" t="e">
        <f t="array" ref="AG110">_xlfn.IFS(AND($K110&gt;AF$7,$L110&gt;AF$7),0,AND($K110&lt;=AF$7,$L110&lt;=AF$7),1,AND($K110&lt;=AF$7,$L110&gt;AF$7),((AF$7-$K110)/($L110-$K110)))</f>
        <v>#REF!</v>
      </c>
      <c r="AH110" s="201" t="e">
        <f t="array" ref="AH110">_xlfn.IFS(AND($K110&gt;AG$7,$L110&gt;AG$7),0,AND($K110&lt;=AG$7,$L110&lt;=AG$7),1,AND($K110&lt;=AG$7,$L110&gt;AG$7),((AG$7-$K110)/($L110-$K110)))</f>
        <v>#REF!</v>
      </c>
      <c r="AI110" s="201" t="e">
        <f t="array" ref="AI110">_xlfn.IFS(AND($K110&gt;AH$7,$L110&gt;AH$7),0,AND($K110&lt;=AH$7,$L110&lt;=AH$7),1,AND($K110&lt;=AH$7,$L110&gt;AH$7),((AH$7-$K110)/($L110-$K110)))</f>
        <v>#REF!</v>
      </c>
      <c r="AJ110" s="201" t="e">
        <f t="array" ref="AJ110">_xlfn.IFS(AND($K110&gt;AI$7,$L110&gt;AI$7),0,AND($K110&lt;=AI$7,$L110&lt;=AI$7),1,AND($K110&lt;=AI$7,$L110&gt;AI$7),((AI$7-$K110)/($L110-$K110)))</f>
        <v>#REF!</v>
      </c>
      <c r="AK110" s="201" t="e">
        <f t="array" ref="AK110">_xlfn.IFS(AND($K110&gt;AJ$7,$L110&gt;AJ$7),0,AND($K110&lt;=AJ$7,$L110&lt;=AJ$7),1,AND($K110&lt;=AJ$7,$L110&gt;AJ$7),((AJ$7-$K110)/($L110-$K110)))</f>
        <v>#REF!</v>
      </c>
      <c r="AL110" s="201" t="e">
        <f t="array" ref="AL110">_xlfn.IFS(AND($K110&gt;AK$7,$L110&gt;AK$7),0,AND($K110&lt;=AK$7,$L110&lt;=AK$7),1,AND($K110&lt;=AK$7,$L110&gt;AK$7),((AK$7-$K110)/($L110-$K110)))</f>
        <v>#REF!</v>
      </c>
      <c r="AM110" s="201" t="e">
        <f t="array" ref="AM110">_xlfn.IFS(AND($K110&gt;AL$7,$L110&gt;AL$7),0,AND($K110&lt;=AL$7,$L110&lt;=AL$7),1,AND($K110&lt;=AL$7,$L110&gt;AL$7),((AL$7-$K110)/($L110-$K110)))</f>
        <v>#REF!</v>
      </c>
      <c r="AN110" s="201" t="e">
        <f t="array" ref="AN110">_xlfn.IFS(AND($K110&gt;AM$7,$L110&gt;AM$7),0,AND($K110&lt;=AM$7,$L110&lt;=AM$7),1,AND($K110&lt;=AM$7,$L110&gt;AM$7),((AM$7-$K110)/($L110-$K110)))</f>
        <v>#REF!</v>
      </c>
      <c r="AO110" s="201" t="e">
        <f t="array" ref="AO110">_xlfn.IFS(AND($K110&gt;AN$7,$L110&gt;AN$7),0,AND($K110&lt;=AN$7,$L110&lt;=AN$7),1,AND($K110&lt;=AN$7,$L110&gt;AN$7),((AN$7-$K110)/($L110-$K110)))</f>
        <v>#REF!</v>
      </c>
      <c r="AP110" s="201" t="e">
        <f t="array" ref="AP110">_xlfn.IFS(AND($K110&gt;AO$7,$L110&gt;AO$7),0,AND($K110&lt;=AO$7,$L110&lt;=AO$7),1,AND($K110&lt;=AO$7,$L110&gt;AO$7),((AO$7-$K110)/($L110-$K110)))</f>
        <v>#REF!</v>
      </c>
      <c r="AQ110" s="201" t="e">
        <f t="array" ref="AQ110">_xlfn.IFS(AND($K110&gt;AP$7,$L110&gt;AP$7),0,AND($K110&lt;=AP$7,$L110&lt;=AP$7),1,AND($K110&lt;=AP$7,$L110&gt;AP$7),((AP$7-$K110)/($L110-$K110)))</f>
        <v>#REF!</v>
      </c>
      <c r="AR110" s="201" t="e">
        <f t="array" ref="AR110">_xlfn.IFS(AND($K110&gt;AQ$7,$L110&gt;AQ$7),0,AND($K110&lt;=AQ$7,$L110&lt;=AQ$7),1,AND($K110&lt;=AQ$7,$L110&gt;AQ$7),((AQ$7-$K110)/($L110-$K110)))</f>
        <v>#REF!</v>
      </c>
      <c r="AS110" s="201" t="e">
        <f t="array" ref="AS110">_xlfn.IFS(AND($K110&gt;AR$7,$L110&gt;AR$7),0,AND($K110&lt;=AR$7,$L110&lt;=AR$7),1,AND($K110&lt;=AR$7,$L110&gt;AR$7),((AR$7-$K110)/($L110-$K110)))</f>
        <v>#REF!</v>
      </c>
      <c r="AT110" s="201" t="e">
        <f t="array" ref="AT110">_xlfn.IFS(AND($K110&gt;AS$7,$L110&gt;AS$7),0,AND($K110&lt;=AS$7,$L110&lt;=AS$7),1,AND($K110&lt;=AS$7,$L110&gt;AS$7),((AS$7-$K110)/($L110-$K110)))</f>
        <v>#REF!</v>
      </c>
      <c r="AU110" s="201" t="e">
        <f t="array" ref="AU110">_xlfn.IFS(AND($K110&gt;AT$7,$L110&gt;AT$7),0,AND($K110&lt;=AT$7,$L110&lt;=AT$7),1,AND($K110&lt;=AT$7,$L110&gt;AT$7),((AT$7-$K110)/($L110-$K110)))</f>
        <v>#REF!</v>
      </c>
      <c r="AV110" s="201" t="e">
        <f t="array" ref="AV110">_xlfn.IFS(AND($K110&gt;AU$7,$L110&gt;AU$7),0,AND($K110&lt;=AU$7,$L110&lt;=AU$7),1,AND($K110&lt;=AU$7,$L110&gt;AU$7),((AU$7-$K110)/($L110-$K110)))</f>
        <v>#REF!</v>
      </c>
      <c r="AW110" s="201" t="e">
        <f t="array" ref="AW110">_xlfn.IFS(AND($K110&gt;AV$7,$L110&gt;AV$7),0,AND($K110&lt;=AV$7,$L110&lt;=AV$7),1,AND($K110&lt;=AV$7,$L110&gt;AV$7),((AV$7-$K110)/($L110-$K110)))</f>
        <v>#REF!</v>
      </c>
      <c r="AX110" s="201" t="e">
        <f t="array" ref="AX110">_xlfn.IFS(AND($K110&gt;AW$7,$L110&gt;AW$7),0,AND($K110&lt;=AW$7,$L110&lt;=AW$7),1,AND($K110&lt;=AW$7,$L110&gt;AW$7),((AW$7-$K110)/($L110-$K110)))</f>
        <v>#REF!</v>
      </c>
      <c r="AY110" s="201" t="e">
        <f t="array" ref="AY110">_xlfn.IFS(AND($K110&gt;AX$7,$L110&gt;AX$7),0,AND($K110&lt;=AX$7,$L110&lt;=AX$7),1,AND($K110&lt;=AX$7,$L110&gt;AX$7),((AX$7-$K110)/($L110-$K110)))</f>
        <v>#REF!</v>
      </c>
      <c r="AZ110" s="201" t="e">
        <f t="array" ref="AZ110">_xlfn.IFS(AND($K110&gt;AY$7,$L110&gt;AY$7),0,AND($K110&lt;=AY$7,$L110&lt;=AY$7),1,AND($K110&lt;=AY$7,$L110&gt;AY$7),((AY$7-$K110)/($L110-$K110)))</f>
        <v>#REF!</v>
      </c>
      <c r="BA110" s="201" t="e">
        <f t="array" ref="BA110">_xlfn.IFS(AND($K110&gt;AZ$7,$L110&gt;AZ$7),0,AND($K110&lt;=AZ$7,$L110&lt;=AZ$7),1,AND($K110&lt;=AZ$7,$L110&gt;AZ$7),((AZ$7-$K110)/($L110-$K110)))</f>
        <v>#REF!</v>
      </c>
      <c r="BB110" s="201" t="e">
        <f t="array" ref="BB110">_xlfn.IFS(AND($K110&gt;BA$7,$L110&gt;BA$7),0,AND($K110&lt;=BA$7,$L110&lt;=BA$7),1,AND($K110&lt;=BA$7,$L110&gt;BA$7),((BA$7-$K110)/($L110-$K110)))</f>
        <v>#REF!</v>
      </c>
      <c r="BC110" s="201" t="e">
        <f t="array" ref="BC110">_xlfn.IFS(AND($K110&gt;BB$7,$L110&gt;BB$7),0,AND($K110&lt;=BB$7,$L110&lt;=BB$7),1,AND($K110&lt;=BB$7,$L110&gt;BB$7),((BB$7-$K110)/($L110-$K110)))</f>
        <v>#REF!</v>
      </c>
      <c r="BD110" s="201" t="e">
        <f t="array" ref="BD110">_xlfn.IFS(AND($K110&gt;BC$7,$L110&gt;BC$7),0,AND($K110&lt;=BC$7,$L110&lt;=BC$7),1,AND($K110&lt;=BC$7,$L110&gt;BC$7),((BC$7-$K110)/($L110-$K110)))</f>
        <v>#REF!</v>
      </c>
      <c r="BE110" s="201" t="e">
        <f t="array" ref="BE110">_xlfn.IFS(AND($K110&gt;BD$7,$L110&gt;BD$7),0,AND($K110&lt;=BD$7,$L110&lt;=BD$7),1,AND($K110&lt;=BD$7,$L110&gt;BD$7),((BD$7-$K110)/($L110-$K110)))</f>
        <v>#REF!</v>
      </c>
      <c r="BF110" s="201" t="e">
        <f t="array" ref="BF110">_xlfn.IFS(AND($K110&gt;BE$7,$L110&gt;BE$7),0,AND($K110&lt;=BE$7,$L110&lt;=BE$7),1,AND($K110&lt;=BE$7,$L110&gt;BE$7),((BE$7-$K110)/($L110-$K110)))</f>
        <v>#REF!</v>
      </c>
      <c r="BG110" s="201" t="e">
        <f t="array" ref="BG110">_xlfn.IFS(AND($K110&gt;BF$7,$L110&gt;BF$7),0,AND($K110&lt;=BF$7,$L110&lt;=BF$7),1,AND($K110&lt;=BF$7,$L110&gt;BF$7),((BF$7-$K110)/($L110-$K110)))</f>
        <v>#REF!</v>
      </c>
      <c r="BH110" s="201" t="e">
        <f t="array" ref="BH110">_xlfn.IFS(AND($K110&gt;BG$7,$L110&gt;BG$7),0,AND($K110&lt;=BG$7,$L110&lt;=BG$7),1,AND($K110&lt;=BG$7,$L110&gt;BG$7),((BG$7-$K110)/($L110-$K110)))</f>
        <v>#REF!</v>
      </c>
      <c r="BI110" s="201" t="e">
        <f t="array" ref="BI110">_xlfn.IFS(AND($K110&gt;BH$7,$L110&gt;BH$7),0,AND($K110&lt;=BH$7,$L110&lt;=BH$7),1,AND($K110&lt;=BH$7,$L110&gt;BH$7),((BH$7-$K110)/($L110-$K110)))</f>
        <v>#REF!</v>
      </c>
      <c r="BJ110" s="201" t="e">
        <f t="array" ref="BJ110">_xlfn.IFS(AND($K110&gt;BI$7,$L110&gt;BI$7),0,AND($K110&lt;=BI$7,$L110&lt;=BI$7),1,AND($K110&lt;=BI$7,$L110&gt;BI$7),((BI$7-$K110)/($L110-$K110)))</f>
        <v>#REF!</v>
      </c>
      <c r="BK110" s="201" t="e">
        <f t="array" ref="BK110">_xlfn.IFS(AND($K110&gt;BJ$7,$L110&gt;BJ$7),0,AND($K110&lt;=BJ$7,$L110&lt;=BJ$7),1,AND($K110&lt;=BJ$7,$L110&gt;BJ$7),((BJ$7-$K110)/($L110-$K110)))</f>
        <v>#REF!</v>
      </c>
      <c r="BL110" s="201" t="e">
        <f t="array" ref="BL110">_xlfn.IFS(AND($K110&gt;BK$7,$L110&gt;BK$7),0,AND($K110&lt;=BK$7,$L110&lt;=BK$7),1,AND($K110&lt;=BK$7,$L110&gt;BK$7),((BK$7-$K110)/($L110-$K110)))</f>
        <v>#REF!</v>
      </c>
      <c r="BM110" s="201" t="e">
        <f t="array" ref="BM110">_xlfn.IFS(AND($K110&gt;BL$7,$L110&gt;BL$7),0,AND($K110&lt;=BL$7,$L110&lt;=BL$7),1,AND($K110&lt;=BL$7,$L110&gt;BL$7),((BL$7-$K110)/($L110-$K110)))</f>
        <v>#REF!</v>
      </c>
      <c r="BN110" s="201" t="e">
        <f t="array" ref="BN110">_xlfn.IFS(AND($K110&gt;BM$7,$L110&gt;BM$7),0,AND($K110&lt;=BM$7,$L110&lt;=BM$7),1,AND($K110&lt;=BM$7,$L110&gt;BM$7),((BM$7-$K110)/($L110-$K110)))</f>
        <v>#REF!</v>
      </c>
    </row>
    <row r="111" spans="2:66" ht="15" customHeight="1" x14ac:dyDescent="0.3">
      <c r="B111" s="166" t="str">
        <f t="array" ref="B111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11" s="166" t="s">
        <v>268</v>
      </c>
      <c r="D111" s="177"/>
      <c r="E111" s="170" t="str">
        <f t="shared" si="51"/>
        <v>Desenvolvimento da Transformação dos Processos</v>
      </c>
      <c r="F111" s="174" t="str">
        <f t="shared" si="48"/>
        <v>Transformação do Processo</v>
      </c>
      <c r="G111" s="166" t="str">
        <f t="shared" si="52"/>
        <v>Transformação do Processo</v>
      </c>
      <c r="H111" s="197" t="s">
        <v>269</v>
      </c>
      <c r="I111" s="166">
        <v>45747</v>
      </c>
      <c r="J111" s="40">
        <v>45758</v>
      </c>
      <c r="K111" s="166">
        <v>45747</v>
      </c>
      <c r="L111" s="40">
        <v>45758</v>
      </c>
      <c r="M111" s="167"/>
      <c r="N111" s="167" t="str">
        <f t="array" ref="N111">_xlfn.IFS(L111&lt;$M$3,"Concluído",AND(K111&gt;=$M$3,I111&lt;$M$3,L111&gt;$M$3),"Em andamento",AND(L111&gt;=$M$3,J111&lt;$M$3),"Atrasado",AND(L111&gt;=$M$3,J111&gt;=$M$3,I111&gt;$M$3,K111&lt;=$M$3),"Em andamento",AND(L111&gt;=$M$3,J111&gt;=$M$3,I111&lt;=$M$3,K111&lt;=$M$3),"Em andamento",AND(K111&gt;$M$3,I111&gt;$M$3),"Não iniciado",AND(L111&gt;=$M$3,J111&gt;=$M$3,K111&gt;=$M$3,I111&lt;$M$3),"Atrasado",AND(L111&gt;=$M$3,J111&gt;=$M$3,K111&gt;=$M$3,I111&gt;$M$3),"Não iniciado",AND($I111&lt;=$M$3,$K111&gt;$M$3),"Atrasado")</f>
        <v>Concluído</v>
      </c>
      <c r="O111" s="167">
        <f t="array" ref="O111">_xlfn.IFS(N111="Não iniciado",0,N111="Em andamento",1,N111="Concluído",2,N111="Atrasado",3)</f>
        <v>2</v>
      </c>
      <c r="P111" s="169"/>
      <c r="Q111" s="152">
        <f t="array" aca="1" ref="Q111" ca="1">_xlfn.IFS(AND($I111&lt;$N$3,$J111&lt;$N$3),1,AND($I111&lt;=$N$3,$J111&gt;=$N$3),0.5,AND($I111&gt;=$N$3,$J111&gt;=$N$3),0)</f>
        <v>1</v>
      </c>
      <c r="R111" s="152">
        <f t="array" aca="1" ref="R111" ca="1">_xlfn.IFS(AND($K111&lt;$N$3,$L111&lt;$N$3),1,AND($K111&lt;=$N$3,$L111&gt;=$N$3),0.5,AND($K111&gt;=$N$3,$L111&gt;=$N$3),0)</f>
        <v>1</v>
      </c>
      <c r="S111" s="201" t="e">
        <f t="array" ref="S111">_xlfn.IFS(AND($K111&gt;R$7,$L111&gt;R$7),0,AND($K111&lt;=R$7,$L111&lt;=R$7),1,AND($K111&lt;=R$7,$L111&gt;R$7),((R$7-$K111)/($L111-$K111)))</f>
        <v>#REF!</v>
      </c>
      <c r="T111" s="201" t="e">
        <f t="array" ref="T111">_xlfn.IFS(AND($K111&gt;S$7,$L111&gt;S$7),0,AND($K111&lt;=S$7,$L111&lt;=S$7),1,AND($K111&lt;=S$7,$L111&gt;S$7),((S$7-$K111)/($L111-$K111)))</f>
        <v>#REF!</v>
      </c>
      <c r="U111" s="201" t="e">
        <f t="array" ref="U111">_xlfn.IFS(AND($K111&gt;T$7,$L111&gt;T$7),0,AND($K111&lt;=T$7,$L111&lt;=T$7),1,AND($K111&lt;=T$7,$L111&gt;T$7),((T$7-$K111)/($L111-$K111)))</f>
        <v>#REF!</v>
      </c>
      <c r="V111" s="201" t="e">
        <f t="array" ref="V111">_xlfn.IFS(AND($K111&gt;U$7,$L111&gt;U$7),0,AND($K111&lt;=U$7,$L111&lt;=U$7),1,AND($K111&lt;=U$7,$L111&gt;U$7),((U$7-$K111)/($L111-$K111)))</f>
        <v>#REF!</v>
      </c>
      <c r="W111" s="201" t="e">
        <f t="array" ref="W111">_xlfn.IFS(AND($K111&gt;V$7,$L111&gt;V$7),0,AND($K111&lt;=V$7,$L111&lt;=V$7),1,AND($K111&lt;=V$7,$L111&gt;V$7),((V$7-$K111)/($L111-$K111)))</f>
        <v>#REF!</v>
      </c>
      <c r="X111" s="201" t="e">
        <f t="array" ref="X111">_xlfn.IFS(AND($K111&gt;W$7,$L111&gt;W$7),0,AND($K111&lt;=W$7,$L111&lt;=W$7),1,AND($K111&lt;=W$7,$L111&gt;W$7),((W$7-$K111)/($L111-$K111)))</f>
        <v>#REF!</v>
      </c>
      <c r="Y111" s="201" t="e">
        <f t="array" ref="Y111">_xlfn.IFS(AND($K111&gt;X$7,$L111&gt;X$7),0,AND($K111&lt;=X$7,$L111&lt;=X$7),1,AND($K111&lt;=X$7,$L111&gt;X$7),((X$7-$K111)/($L111-$K111)))</f>
        <v>#REF!</v>
      </c>
      <c r="Z111" s="201" t="e">
        <f t="array" ref="Z111">_xlfn.IFS(AND($K111&gt;Y$7,$L111&gt;Y$7),0,AND($K111&lt;=Y$7,$L111&lt;=Y$7),1,AND($K111&lt;=Y$7,$L111&gt;Y$7),((Y$7-$K111)/($L111-$K111)))</f>
        <v>#REF!</v>
      </c>
      <c r="AA111" s="201" t="e">
        <f t="array" ref="AA111">_xlfn.IFS(AND($K111&gt;Z$7,$L111&gt;Z$7),0,AND($K111&lt;=Z$7,$L111&lt;=Z$7),1,AND($K111&lt;=Z$7,$L111&gt;Z$7),((Z$7-$K111)/($L111-$K111)))</f>
        <v>#REF!</v>
      </c>
      <c r="AB111" s="201" t="e">
        <f t="array" ref="AB111">_xlfn.IFS(AND($K111&gt;AA$7,$L111&gt;AA$7),0,AND($K111&lt;=AA$7,$L111&lt;=AA$7),1,AND($K111&lt;=AA$7,$L111&gt;AA$7),((AA$7-$K111)/($L111-$K111)))</f>
        <v>#REF!</v>
      </c>
      <c r="AC111" s="201" t="e">
        <f t="array" ref="AC111">_xlfn.IFS(AND($K111&gt;AB$7,$L111&gt;AB$7),0,AND($K111&lt;=AB$7,$L111&lt;=AB$7),1,AND($K111&lt;=AB$7,$L111&gt;AB$7),((AB$7-$K111)/($L111-$K111)))</f>
        <v>#REF!</v>
      </c>
      <c r="AD111" s="201" t="e">
        <f t="array" ref="AD111">_xlfn.IFS(AND($K111&gt;AC$7,$L111&gt;AC$7),0,AND($K111&lt;=AC$7,$L111&lt;=AC$7),1,AND($K111&lt;=AC$7,$L111&gt;AC$7),((AC$7-$K111)/($L111-$K111)))</f>
        <v>#REF!</v>
      </c>
      <c r="AE111" s="201" t="e">
        <f t="array" ref="AE111">_xlfn.IFS(AND($K111&gt;AD$7,$L111&gt;AD$7),0,AND($K111&lt;=AD$7,$L111&lt;=AD$7),1,AND($K111&lt;=AD$7,$L111&gt;AD$7),((AD$7-$K111)/($L111-$K111)))</f>
        <v>#REF!</v>
      </c>
      <c r="AF111" s="201" t="e">
        <f t="array" ref="AF111">_xlfn.IFS(AND($K111&gt;AE$7,$L111&gt;AE$7),0,AND($K111&lt;=AE$7,$L111&lt;=AE$7),1,AND($K111&lt;=AE$7,$L111&gt;AE$7),((AE$7-$K111)/($L111-$K111)))</f>
        <v>#REF!</v>
      </c>
      <c r="AG111" s="201" t="e">
        <f t="array" ref="AG111">_xlfn.IFS(AND($K111&gt;AF$7,$L111&gt;AF$7),0,AND($K111&lt;=AF$7,$L111&lt;=AF$7),1,AND($K111&lt;=AF$7,$L111&gt;AF$7),((AF$7-$K111)/($L111-$K111)))</f>
        <v>#REF!</v>
      </c>
      <c r="AH111" s="201" t="e">
        <f t="array" ref="AH111">_xlfn.IFS(AND($K111&gt;AG$7,$L111&gt;AG$7),0,AND($K111&lt;=AG$7,$L111&lt;=AG$7),1,AND($K111&lt;=AG$7,$L111&gt;AG$7),((AG$7-$K111)/($L111-$K111)))</f>
        <v>#REF!</v>
      </c>
      <c r="AI111" s="201" t="e">
        <f t="array" ref="AI111">_xlfn.IFS(AND($K111&gt;AH$7,$L111&gt;AH$7),0,AND($K111&lt;=AH$7,$L111&lt;=AH$7),1,AND($K111&lt;=AH$7,$L111&gt;AH$7),((AH$7-$K111)/($L111-$K111)))</f>
        <v>#REF!</v>
      </c>
      <c r="AJ111" s="201" t="e">
        <f t="array" ref="AJ111">_xlfn.IFS(AND($K111&gt;AI$7,$L111&gt;AI$7),0,AND($K111&lt;=AI$7,$L111&lt;=AI$7),1,AND($K111&lt;=AI$7,$L111&gt;AI$7),((AI$7-$K111)/($L111-$K111)))</f>
        <v>#REF!</v>
      </c>
      <c r="AK111" s="201" t="e">
        <f t="array" ref="AK111">_xlfn.IFS(AND($K111&gt;AJ$7,$L111&gt;AJ$7),0,AND($K111&lt;=AJ$7,$L111&lt;=AJ$7),1,AND($K111&lt;=AJ$7,$L111&gt;AJ$7),((AJ$7-$K111)/($L111-$K111)))</f>
        <v>#REF!</v>
      </c>
      <c r="AL111" s="201" t="e">
        <f t="array" ref="AL111">_xlfn.IFS(AND($K111&gt;AK$7,$L111&gt;AK$7),0,AND($K111&lt;=AK$7,$L111&lt;=AK$7),1,AND($K111&lt;=AK$7,$L111&gt;AK$7),((AK$7-$K111)/($L111-$K111)))</f>
        <v>#REF!</v>
      </c>
      <c r="AM111" s="201" t="e">
        <f t="array" ref="AM111">_xlfn.IFS(AND($K111&gt;AL$7,$L111&gt;AL$7),0,AND($K111&lt;=AL$7,$L111&lt;=AL$7),1,AND($K111&lt;=AL$7,$L111&gt;AL$7),((AL$7-$K111)/($L111-$K111)))</f>
        <v>#REF!</v>
      </c>
      <c r="AN111" s="201" t="e">
        <f t="array" ref="AN111">_xlfn.IFS(AND($K111&gt;AM$7,$L111&gt;AM$7),0,AND($K111&lt;=AM$7,$L111&lt;=AM$7),1,AND($K111&lt;=AM$7,$L111&gt;AM$7),((AM$7-$K111)/($L111-$K111)))</f>
        <v>#REF!</v>
      </c>
      <c r="AO111" s="201" t="e">
        <f t="array" ref="AO111">_xlfn.IFS(AND($K111&gt;AN$7,$L111&gt;AN$7),0,AND($K111&lt;=AN$7,$L111&lt;=AN$7),1,AND($K111&lt;=AN$7,$L111&gt;AN$7),((AN$7-$K111)/($L111-$K111)))</f>
        <v>#REF!</v>
      </c>
      <c r="AP111" s="201" t="e">
        <f t="array" ref="AP111">_xlfn.IFS(AND($K111&gt;AO$7,$L111&gt;AO$7),0,AND($K111&lt;=AO$7,$L111&lt;=AO$7),1,AND($K111&lt;=AO$7,$L111&gt;AO$7),((AO$7-$K111)/($L111-$K111)))</f>
        <v>#REF!</v>
      </c>
      <c r="AQ111" s="201" t="e">
        <f t="array" ref="AQ111">_xlfn.IFS(AND($K111&gt;AP$7,$L111&gt;AP$7),0,AND($K111&lt;=AP$7,$L111&lt;=AP$7),1,AND($K111&lt;=AP$7,$L111&gt;AP$7),((AP$7-$K111)/($L111-$K111)))</f>
        <v>#REF!</v>
      </c>
      <c r="AR111" s="201" t="e">
        <f t="array" ref="AR111">_xlfn.IFS(AND($K111&gt;AQ$7,$L111&gt;AQ$7),0,AND($K111&lt;=AQ$7,$L111&lt;=AQ$7),1,AND($K111&lt;=AQ$7,$L111&gt;AQ$7),((AQ$7-$K111)/($L111-$K111)))</f>
        <v>#REF!</v>
      </c>
      <c r="AS111" s="201" t="e">
        <f t="array" ref="AS111">_xlfn.IFS(AND($K111&gt;AR$7,$L111&gt;AR$7),0,AND($K111&lt;=AR$7,$L111&lt;=AR$7),1,AND($K111&lt;=AR$7,$L111&gt;AR$7),((AR$7-$K111)/($L111-$K111)))</f>
        <v>#REF!</v>
      </c>
      <c r="AT111" s="201" t="e">
        <f t="array" ref="AT111">_xlfn.IFS(AND($K111&gt;AS$7,$L111&gt;AS$7),0,AND($K111&lt;=AS$7,$L111&lt;=AS$7),1,AND($K111&lt;=AS$7,$L111&gt;AS$7),((AS$7-$K111)/($L111-$K111)))</f>
        <v>#REF!</v>
      </c>
      <c r="AU111" s="201" t="e">
        <f t="array" ref="AU111">_xlfn.IFS(AND($K111&gt;AT$7,$L111&gt;AT$7),0,AND($K111&lt;=AT$7,$L111&lt;=AT$7),1,AND($K111&lt;=AT$7,$L111&gt;AT$7),((AT$7-$K111)/($L111-$K111)))</f>
        <v>#REF!</v>
      </c>
      <c r="AV111" s="201" t="e">
        <f t="array" ref="AV111">_xlfn.IFS(AND($K111&gt;AU$7,$L111&gt;AU$7),0,AND($K111&lt;=AU$7,$L111&lt;=AU$7),1,AND($K111&lt;=AU$7,$L111&gt;AU$7),((AU$7-$K111)/($L111-$K111)))</f>
        <v>#REF!</v>
      </c>
      <c r="AW111" s="201" t="e">
        <f t="array" ref="AW111">_xlfn.IFS(AND($K111&gt;AV$7,$L111&gt;AV$7),0,AND($K111&lt;=AV$7,$L111&lt;=AV$7),1,AND($K111&lt;=AV$7,$L111&gt;AV$7),((AV$7-$K111)/($L111-$K111)))</f>
        <v>#REF!</v>
      </c>
      <c r="AX111" s="201" t="e">
        <f t="array" ref="AX111">_xlfn.IFS(AND($K111&gt;AW$7,$L111&gt;AW$7),0,AND($K111&lt;=AW$7,$L111&lt;=AW$7),1,AND($K111&lt;=AW$7,$L111&gt;AW$7),((AW$7-$K111)/($L111-$K111)))</f>
        <v>#REF!</v>
      </c>
      <c r="AY111" s="201" t="e">
        <f t="array" ref="AY111">_xlfn.IFS(AND($K111&gt;AX$7,$L111&gt;AX$7),0,AND($K111&lt;=AX$7,$L111&lt;=AX$7),1,AND($K111&lt;=AX$7,$L111&gt;AX$7),((AX$7-$K111)/($L111-$K111)))</f>
        <v>#REF!</v>
      </c>
      <c r="AZ111" s="201" t="e">
        <f t="array" ref="AZ111">_xlfn.IFS(AND($K111&gt;AY$7,$L111&gt;AY$7),0,AND($K111&lt;=AY$7,$L111&lt;=AY$7),1,AND($K111&lt;=AY$7,$L111&gt;AY$7),((AY$7-$K111)/($L111-$K111)))</f>
        <v>#REF!</v>
      </c>
      <c r="BA111" s="201" t="e">
        <f t="array" ref="BA111">_xlfn.IFS(AND($K111&gt;AZ$7,$L111&gt;AZ$7),0,AND($K111&lt;=AZ$7,$L111&lt;=AZ$7),1,AND($K111&lt;=AZ$7,$L111&gt;AZ$7),((AZ$7-$K111)/($L111-$K111)))</f>
        <v>#REF!</v>
      </c>
      <c r="BB111" s="201" t="e">
        <f t="array" ref="BB111">_xlfn.IFS(AND($K111&gt;BA$7,$L111&gt;BA$7),0,AND($K111&lt;=BA$7,$L111&lt;=BA$7),1,AND($K111&lt;=BA$7,$L111&gt;BA$7),((BA$7-$K111)/($L111-$K111)))</f>
        <v>#REF!</v>
      </c>
      <c r="BC111" s="201" t="e">
        <f t="array" ref="BC111">_xlfn.IFS(AND($K111&gt;BB$7,$L111&gt;BB$7),0,AND($K111&lt;=BB$7,$L111&lt;=BB$7),1,AND($K111&lt;=BB$7,$L111&gt;BB$7),((BB$7-$K111)/($L111-$K111)))</f>
        <v>#REF!</v>
      </c>
      <c r="BD111" s="201" t="e">
        <f t="array" ref="BD111">_xlfn.IFS(AND($K111&gt;BC$7,$L111&gt;BC$7),0,AND($K111&lt;=BC$7,$L111&lt;=BC$7),1,AND($K111&lt;=BC$7,$L111&gt;BC$7),((BC$7-$K111)/($L111-$K111)))</f>
        <v>#REF!</v>
      </c>
      <c r="BE111" s="201" t="e">
        <f t="array" ref="BE111">_xlfn.IFS(AND($K111&gt;BD$7,$L111&gt;BD$7),0,AND($K111&lt;=BD$7,$L111&lt;=BD$7),1,AND($K111&lt;=BD$7,$L111&gt;BD$7),((BD$7-$K111)/($L111-$K111)))</f>
        <v>#REF!</v>
      </c>
      <c r="BF111" s="201" t="e">
        <f t="array" ref="BF111">_xlfn.IFS(AND($K111&gt;BE$7,$L111&gt;BE$7),0,AND($K111&lt;=BE$7,$L111&lt;=BE$7),1,AND($K111&lt;=BE$7,$L111&gt;BE$7),((BE$7-$K111)/($L111-$K111)))</f>
        <v>#REF!</v>
      </c>
      <c r="BG111" s="201" t="e">
        <f t="array" ref="BG111">_xlfn.IFS(AND($K111&gt;BF$7,$L111&gt;BF$7),0,AND($K111&lt;=BF$7,$L111&lt;=BF$7),1,AND($K111&lt;=BF$7,$L111&gt;BF$7),((BF$7-$K111)/($L111-$K111)))</f>
        <v>#REF!</v>
      </c>
      <c r="BH111" s="201" t="e">
        <f t="array" ref="BH111">_xlfn.IFS(AND($K111&gt;BG$7,$L111&gt;BG$7),0,AND($K111&lt;=BG$7,$L111&lt;=BG$7),1,AND($K111&lt;=BG$7,$L111&gt;BG$7),((BG$7-$K111)/($L111-$K111)))</f>
        <v>#REF!</v>
      </c>
      <c r="BI111" s="201" t="e">
        <f t="array" ref="BI111">_xlfn.IFS(AND($K111&gt;BH$7,$L111&gt;BH$7),0,AND($K111&lt;=BH$7,$L111&lt;=BH$7),1,AND($K111&lt;=BH$7,$L111&gt;BH$7),((BH$7-$K111)/($L111-$K111)))</f>
        <v>#REF!</v>
      </c>
      <c r="BJ111" s="201" t="e">
        <f t="array" ref="BJ111">_xlfn.IFS(AND($K111&gt;BI$7,$L111&gt;BI$7),0,AND($K111&lt;=BI$7,$L111&lt;=BI$7),1,AND($K111&lt;=BI$7,$L111&gt;BI$7),((BI$7-$K111)/($L111-$K111)))</f>
        <v>#REF!</v>
      </c>
      <c r="BK111" s="201" t="e">
        <f t="array" ref="BK111">_xlfn.IFS(AND($K111&gt;BJ$7,$L111&gt;BJ$7),0,AND($K111&lt;=BJ$7,$L111&lt;=BJ$7),1,AND($K111&lt;=BJ$7,$L111&gt;BJ$7),((BJ$7-$K111)/($L111-$K111)))</f>
        <v>#REF!</v>
      </c>
      <c r="BL111" s="201" t="e">
        <f t="array" ref="BL111">_xlfn.IFS(AND($K111&gt;BK$7,$L111&gt;BK$7),0,AND($K111&lt;=BK$7,$L111&lt;=BK$7),1,AND($K111&lt;=BK$7,$L111&gt;BK$7),((BK$7-$K111)/($L111-$K111)))</f>
        <v>#REF!</v>
      </c>
      <c r="BM111" s="201" t="e">
        <f t="array" ref="BM111">_xlfn.IFS(AND($K111&gt;BL$7,$L111&gt;BL$7),0,AND($K111&lt;=BL$7,$L111&lt;=BL$7),1,AND($K111&lt;=BL$7,$L111&gt;BL$7),((BL$7-$K111)/($L111-$K111)))</f>
        <v>#REF!</v>
      </c>
      <c r="BN111" s="201" t="e">
        <f t="array" ref="BN111">_xlfn.IFS(AND($K111&gt;BM$7,$L111&gt;BM$7),0,AND($K111&lt;=BM$7,$L111&lt;=BM$7),1,AND($K111&lt;=BM$7,$L111&gt;BM$7),((BM$7-$K111)/($L111-$K111)))</f>
        <v>#REF!</v>
      </c>
    </row>
    <row r="112" spans="2:66" ht="15" customHeight="1" x14ac:dyDescent="0.3">
      <c r="B112" s="166" t="str">
        <f t="array" ref="B112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12" s="166" t="s">
        <v>270</v>
      </c>
      <c r="D112" s="177"/>
      <c r="E112" s="170" t="str">
        <f t="shared" si="51"/>
        <v>Desenvolvimento da Transformação dos Processos</v>
      </c>
      <c r="F112" s="174" t="str">
        <f t="shared" si="48"/>
        <v>Transformação do Processo</v>
      </c>
      <c r="G112" s="166" t="str">
        <f t="shared" si="52"/>
        <v>Transformação do Processo</v>
      </c>
      <c r="H112" s="197" t="s">
        <v>271</v>
      </c>
      <c r="I112" s="166">
        <v>45747</v>
      </c>
      <c r="J112" s="40">
        <v>45758</v>
      </c>
      <c r="K112" s="166">
        <v>45747</v>
      </c>
      <c r="L112" s="40">
        <v>45758</v>
      </c>
      <c r="M112" s="167"/>
      <c r="N112" s="167" t="str">
        <f t="array" ref="N112">_xlfn.IFS(L112&lt;$M$3,"Concluído",AND(K112&gt;=$M$3,I112&lt;$M$3,L112&gt;$M$3),"Em andamento",AND(L112&gt;=$M$3,J112&lt;$M$3),"Atrasado",AND(L112&gt;=$M$3,J112&gt;=$M$3,I112&gt;$M$3,K112&lt;=$M$3),"Em andamento",AND(L112&gt;=$M$3,J112&gt;=$M$3,I112&lt;=$M$3,K112&lt;=$M$3),"Em andamento",AND(K112&gt;$M$3,I112&gt;$M$3),"Não iniciado",AND(L112&gt;=$M$3,J112&gt;=$M$3,K112&gt;=$M$3,I112&lt;$M$3),"Atrasado",AND(L112&gt;=$M$3,J112&gt;=$M$3,K112&gt;=$M$3,I112&gt;$M$3),"Não iniciado",AND($I112&lt;=$M$3,$K112&gt;$M$3),"Atrasado")</f>
        <v>Concluído</v>
      </c>
      <c r="O112" s="167">
        <f t="array" ref="O112">_xlfn.IFS(N112="Não iniciado",0,N112="Em andamento",1,N112="Concluído",2,N112="Atrasado",3)</f>
        <v>2</v>
      </c>
      <c r="P112" s="169"/>
      <c r="Q112" s="152">
        <f t="array" aca="1" ref="Q112" ca="1">_xlfn.IFS(AND($I112&lt;$N$3,$J112&lt;$N$3),1,AND($I112&lt;=$N$3,$J112&gt;=$N$3),0.5,AND($I112&gt;=$N$3,$J112&gt;=$N$3),0)</f>
        <v>1</v>
      </c>
      <c r="R112" s="152">
        <f t="array" aca="1" ref="R112" ca="1">_xlfn.IFS(AND($K112&lt;$N$3,$L112&lt;$N$3),1,AND($K112&lt;=$N$3,$L112&gt;=$N$3),0.5,AND($K112&gt;=$N$3,$L112&gt;=$N$3),0)</f>
        <v>1</v>
      </c>
      <c r="S112" s="201" t="e">
        <f t="array" ref="S112">_xlfn.IFS(AND($K112&gt;R$7,$L112&gt;R$7),0,AND($K112&lt;=R$7,$L112&lt;=R$7),1,AND($K112&lt;=R$7,$L112&gt;R$7),((R$7-$K112)/($L112-$K112)))</f>
        <v>#REF!</v>
      </c>
      <c r="T112" s="201" t="e">
        <f t="array" ref="T112">_xlfn.IFS(AND($K112&gt;S$7,$L112&gt;S$7),0,AND($K112&lt;=S$7,$L112&lt;=S$7),1,AND($K112&lt;=S$7,$L112&gt;S$7),((S$7-$K112)/($L112-$K112)))</f>
        <v>#REF!</v>
      </c>
      <c r="U112" s="201" t="e">
        <f t="array" ref="U112">_xlfn.IFS(AND($K112&gt;T$7,$L112&gt;T$7),0,AND($K112&lt;=T$7,$L112&lt;=T$7),1,AND($K112&lt;=T$7,$L112&gt;T$7),((T$7-$K112)/($L112-$K112)))</f>
        <v>#REF!</v>
      </c>
      <c r="V112" s="201" t="e">
        <f t="array" ref="V112">_xlfn.IFS(AND($K112&gt;U$7,$L112&gt;U$7),0,AND($K112&lt;=U$7,$L112&lt;=U$7),1,AND($K112&lt;=U$7,$L112&gt;U$7),((U$7-$K112)/($L112-$K112)))</f>
        <v>#REF!</v>
      </c>
      <c r="W112" s="201" t="e">
        <f t="array" ref="W112">_xlfn.IFS(AND($K112&gt;V$7,$L112&gt;V$7),0,AND($K112&lt;=V$7,$L112&lt;=V$7),1,AND($K112&lt;=V$7,$L112&gt;V$7),((V$7-$K112)/($L112-$K112)))</f>
        <v>#REF!</v>
      </c>
      <c r="X112" s="201" t="e">
        <f t="array" ref="X112">_xlfn.IFS(AND($K112&gt;W$7,$L112&gt;W$7),0,AND($K112&lt;=W$7,$L112&lt;=W$7),1,AND($K112&lt;=W$7,$L112&gt;W$7),((W$7-$K112)/($L112-$K112)))</f>
        <v>#REF!</v>
      </c>
      <c r="Y112" s="201" t="e">
        <f t="array" ref="Y112">_xlfn.IFS(AND($K112&gt;X$7,$L112&gt;X$7),0,AND($K112&lt;=X$7,$L112&lt;=X$7),1,AND($K112&lt;=X$7,$L112&gt;X$7),((X$7-$K112)/($L112-$K112)))</f>
        <v>#REF!</v>
      </c>
      <c r="Z112" s="201" t="e">
        <f t="array" ref="Z112">_xlfn.IFS(AND($K112&gt;Y$7,$L112&gt;Y$7),0,AND($K112&lt;=Y$7,$L112&lt;=Y$7),1,AND($K112&lt;=Y$7,$L112&gt;Y$7),((Y$7-$K112)/($L112-$K112)))</f>
        <v>#REF!</v>
      </c>
      <c r="AA112" s="201" t="e">
        <f t="array" ref="AA112">_xlfn.IFS(AND($K112&gt;Z$7,$L112&gt;Z$7),0,AND($K112&lt;=Z$7,$L112&lt;=Z$7),1,AND($K112&lt;=Z$7,$L112&gt;Z$7),((Z$7-$K112)/($L112-$K112)))</f>
        <v>#REF!</v>
      </c>
      <c r="AB112" s="201" t="e">
        <f t="array" ref="AB112">_xlfn.IFS(AND($K112&gt;AA$7,$L112&gt;AA$7),0,AND($K112&lt;=AA$7,$L112&lt;=AA$7),1,AND($K112&lt;=AA$7,$L112&gt;AA$7),((AA$7-$K112)/($L112-$K112)))</f>
        <v>#REF!</v>
      </c>
      <c r="AC112" s="201" t="e">
        <f t="array" ref="AC112">_xlfn.IFS(AND($K112&gt;AB$7,$L112&gt;AB$7),0,AND($K112&lt;=AB$7,$L112&lt;=AB$7),1,AND($K112&lt;=AB$7,$L112&gt;AB$7),((AB$7-$K112)/($L112-$K112)))</f>
        <v>#REF!</v>
      </c>
      <c r="AD112" s="201" t="e">
        <f t="array" ref="AD112">_xlfn.IFS(AND($K112&gt;AC$7,$L112&gt;AC$7),0,AND($K112&lt;=AC$7,$L112&lt;=AC$7),1,AND($K112&lt;=AC$7,$L112&gt;AC$7),((AC$7-$K112)/($L112-$K112)))</f>
        <v>#REF!</v>
      </c>
      <c r="AE112" s="201" t="e">
        <f t="array" ref="AE112">_xlfn.IFS(AND($K112&gt;AD$7,$L112&gt;AD$7),0,AND($K112&lt;=AD$7,$L112&lt;=AD$7),1,AND($K112&lt;=AD$7,$L112&gt;AD$7),((AD$7-$K112)/($L112-$K112)))</f>
        <v>#REF!</v>
      </c>
      <c r="AF112" s="201" t="e">
        <f t="array" ref="AF112">_xlfn.IFS(AND($K112&gt;AE$7,$L112&gt;AE$7),0,AND($K112&lt;=AE$7,$L112&lt;=AE$7),1,AND($K112&lt;=AE$7,$L112&gt;AE$7),((AE$7-$K112)/($L112-$K112)))</f>
        <v>#REF!</v>
      </c>
      <c r="AG112" s="201" t="e">
        <f t="array" ref="AG112">_xlfn.IFS(AND($K112&gt;AF$7,$L112&gt;AF$7),0,AND($K112&lt;=AF$7,$L112&lt;=AF$7),1,AND($K112&lt;=AF$7,$L112&gt;AF$7),((AF$7-$K112)/($L112-$K112)))</f>
        <v>#REF!</v>
      </c>
      <c r="AH112" s="201" t="e">
        <f t="array" ref="AH112">_xlfn.IFS(AND($K112&gt;AG$7,$L112&gt;AG$7),0,AND($K112&lt;=AG$7,$L112&lt;=AG$7),1,AND($K112&lt;=AG$7,$L112&gt;AG$7),((AG$7-$K112)/($L112-$K112)))</f>
        <v>#REF!</v>
      </c>
      <c r="AI112" s="201" t="e">
        <f t="array" ref="AI112">_xlfn.IFS(AND($K112&gt;AH$7,$L112&gt;AH$7),0,AND($K112&lt;=AH$7,$L112&lt;=AH$7),1,AND($K112&lt;=AH$7,$L112&gt;AH$7),((AH$7-$K112)/($L112-$K112)))</f>
        <v>#REF!</v>
      </c>
      <c r="AJ112" s="201" t="e">
        <f t="array" ref="AJ112">_xlfn.IFS(AND($K112&gt;AI$7,$L112&gt;AI$7),0,AND($K112&lt;=AI$7,$L112&lt;=AI$7),1,AND($K112&lt;=AI$7,$L112&gt;AI$7),((AI$7-$K112)/($L112-$K112)))</f>
        <v>#REF!</v>
      </c>
      <c r="AK112" s="201" t="e">
        <f t="array" ref="AK112">_xlfn.IFS(AND($K112&gt;AJ$7,$L112&gt;AJ$7),0,AND($K112&lt;=AJ$7,$L112&lt;=AJ$7),1,AND($K112&lt;=AJ$7,$L112&gt;AJ$7),((AJ$7-$K112)/($L112-$K112)))</f>
        <v>#REF!</v>
      </c>
      <c r="AL112" s="201" t="e">
        <f t="array" ref="AL112">_xlfn.IFS(AND($K112&gt;AK$7,$L112&gt;AK$7),0,AND($K112&lt;=AK$7,$L112&lt;=AK$7),1,AND($K112&lt;=AK$7,$L112&gt;AK$7),((AK$7-$K112)/($L112-$K112)))</f>
        <v>#REF!</v>
      </c>
      <c r="AM112" s="201" t="e">
        <f t="array" ref="AM112">_xlfn.IFS(AND($K112&gt;AL$7,$L112&gt;AL$7),0,AND($K112&lt;=AL$7,$L112&lt;=AL$7),1,AND($K112&lt;=AL$7,$L112&gt;AL$7),((AL$7-$K112)/($L112-$K112)))</f>
        <v>#REF!</v>
      </c>
      <c r="AN112" s="201" t="e">
        <f t="array" ref="AN112">_xlfn.IFS(AND($K112&gt;AM$7,$L112&gt;AM$7),0,AND($K112&lt;=AM$7,$L112&lt;=AM$7),1,AND($K112&lt;=AM$7,$L112&gt;AM$7),((AM$7-$K112)/($L112-$K112)))</f>
        <v>#REF!</v>
      </c>
      <c r="AO112" s="201" t="e">
        <f t="array" ref="AO112">_xlfn.IFS(AND($K112&gt;AN$7,$L112&gt;AN$7),0,AND($K112&lt;=AN$7,$L112&lt;=AN$7),1,AND($K112&lt;=AN$7,$L112&gt;AN$7),((AN$7-$K112)/($L112-$K112)))</f>
        <v>#REF!</v>
      </c>
      <c r="AP112" s="201" t="e">
        <f t="array" ref="AP112">_xlfn.IFS(AND($K112&gt;AO$7,$L112&gt;AO$7),0,AND($K112&lt;=AO$7,$L112&lt;=AO$7),1,AND($K112&lt;=AO$7,$L112&gt;AO$7),((AO$7-$K112)/($L112-$K112)))</f>
        <v>#REF!</v>
      </c>
      <c r="AQ112" s="201" t="e">
        <f t="array" ref="AQ112">_xlfn.IFS(AND($K112&gt;AP$7,$L112&gt;AP$7),0,AND($K112&lt;=AP$7,$L112&lt;=AP$7),1,AND($K112&lt;=AP$7,$L112&gt;AP$7),((AP$7-$K112)/($L112-$K112)))</f>
        <v>#REF!</v>
      </c>
      <c r="AR112" s="201" t="e">
        <f t="array" ref="AR112">_xlfn.IFS(AND($K112&gt;AQ$7,$L112&gt;AQ$7),0,AND($K112&lt;=AQ$7,$L112&lt;=AQ$7),1,AND($K112&lt;=AQ$7,$L112&gt;AQ$7),((AQ$7-$K112)/($L112-$K112)))</f>
        <v>#REF!</v>
      </c>
      <c r="AS112" s="201" t="e">
        <f t="array" ref="AS112">_xlfn.IFS(AND($K112&gt;AR$7,$L112&gt;AR$7),0,AND($K112&lt;=AR$7,$L112&lt;=AR$7),1,AND($K112&lt;=AR$7,$L112&gt;AR$7),((AR$7-$K112)/($L112-$K112)))</f>
        <v>#REF!</v>
      </c>
      <c r="AT112" s="201" t="e">
        <f t="array" ref="AT112">_xlfn.IFS(AND($K112&gt;AS$7,$L112&gt;AS$7),0,AND($K112&lt;=AS$7,$L112&lt;=AS$7),1,AND($K112&lt;=AS$7,$L112&gt;AS$7),((AS$7-$K112)/($L112-$K112)))</f>
        <v>#REF!</v>
      </c>
      <c r="AU112" s="201" t="e">
        <f t="array" ref="AU112">_xlfn.IFS(AND($K112&gt;AT$7,$L112&gt;AT$7),0,AND($K112&lt;=AT$7,$L112&lt;=AT$7),1,AND($K112&lt;=AT$7,$L112&gt;AT$7),((AT$7-$K112)/($L112-$K112)))</f>
        <v>#REF!</v>
      </c>
      <c r="AV112" s="201" t="e">
        <f t="array" ref="AV112">_xlfn.IFS(AND($K112&gt;AU$7,$L112&gt;AU$7),0,AND($K112&lt;=AU$7,$L112&lt;=AU$7),1,AND($K112&lt;=AU$7,$L112&gt;AU$7),((AU$7-$K112)/($L112-$K112)))</f>
        <v>#REF!</v>
      </c>
      <c r="AW112" s="201" t="e">
        <f t="array" ref="AW112">_xlfn.IFS(AND($K112&gt;AV$7,$L112&gt;AV$7),0,AND($K112&lt;=AV$7,$L112&lt;=AV$7),1,AND($K112&lt;=AV$7,$L112&gt;AV$7),((AV$7-$K112)/($L112-$K112)))</f>
        <v>#REF!</v>
      </c>
      <c r="AX112" s="201" t="e">
        <f t="array" ref="AX112">_xlfn.IFS(AND($K112&gt;AW$7,$L112&gt;AW$7),0,AND($K112&lt;=AW$7,$L112&lt;=AW$7),1,AND($K112&lt;=AW$7,$L112&gt;AW$7),((AW$7-$K112)/($L112-$K112)))</f>
        <v>#REF!</v>
      </c>
      <c r="AY112" s="201" t="e">
        <f t="array" ref="AY112">_xlfn.IFS(AND($K112&gt;AX$7,$L112&gt;AX$7),0,AND($K112&lt;=AX$7,$L112&lt;=AX$7),1,AND($K112&lt;=AX$7,$L112&gt;AX$7),((AX$7-$K112)/($L112-$K112)))</f>
        <v>#REF!</v>
      </c>
      <c r="AZ112" s="201" t="e">
        <f t="array" ref="AZ112">_xlfn.IFS(AND($K112&gt;AY$7,$L112&gt;AY$7),0,AND($K112&lt;=AY$7,$L112&lt;=AY$7),1,AND($K112&lt;=AY$7,$L112&gt;AY$7),((AY$7-$K112)/($L112-$K112)))</f>
        <v>#REF!</v>
      </c>
      <c r="BA112" s="201" t="e">
        <f t="array" ref="BA112">_xlfn.IFS(AND($K112&gt;AZ$7,$L112&gt;AZ$7),0,AND($K112&lt;=AZ$7,$L112&lt;=AZ$7),1,AND($K112&lt;=AZ$7,$L112&gt;AZ$7),((AZ$7-$K112)/($L112-$K112)))</f>
        <v>#REF!</v>
      </c>
      <c r="BB112" s="201" t="e">
        <f t="array" ref="BB112">_xlfn.IFS(AND($K112&gt;BA$7,$L112&gt;BA$7),0,AND($K112&lt;=BA$7,$L112&lt;=BA$7),1,AND($K112&lt;=BA$7,$L112&gt;BA$7),((BA$7-$K112)/($L112-$K112)))</f>
        <v>#REF!</v>
      </c>
      <c r="BC112" s="201" t="e">
        <f t="array" ref="BC112">_xlfn.IFS(AND($K112&gt;BB$7,$L112&gt;BB$7),0,AND($K112&lt;=BB$7,$L112&lt;=BB$7),1,AND($K112&lt;=BB$7,$L112&gt;BB$7),((BB$7-$K112)/($L112-$K112)))</f>
        <v>#REF!</v>
      </c>
      <c r="BD112" s="201" t="e">
        <f t="array" ref="BD112">_xlfn.IFS(AND($K112&gt;BC$7,$L112&gt;BC$7),0,AND($K112&lt;=BC$7,$L112&lt;=BC$7),1,AND($K112&lt;=BC$7,$L112&gt;BC$7),((BC$7-$K112)/($L112-$K112)))</f>
        <v>#REF!</v>
      </c>
      <c r="BE112" s="201" t="e">
        <f t="array" ref="BE112">_xlfn.IFS(AND($K112&gt;BD$7,$L112&gt;BD$7),0,AND($K112&lt;=BD$7,$L112&lt;=BD$7),1,AND($K112&lt;=BD$7,$L112&gt;BD$7),((BD$7-$K112)/($L112-$K112)))</f>
        <v>#REF!</v>
      </c>
      <c r="BF112" s="201" t="e">
        <f t="array" ref="BF112">_xlfn.IFS(AND($K112&gt;BE$7,$L112&gt;BE$7),0,AND($K112&lt;=BE$7,$L112&lt;=BE$7),1,AND($K112&lt;=BE$7,$L112&gt;BE$7),((BE$7-$K112)/($L112-$K112)))</f>
        <v>#REF!</v>
      </c>
      <c r="BG112" s="201" t="e">
        <f t="array" ref="BG112">_xlfn.IFS(AND($K112&gt;BF$7,$L112&gt;BF$7),0,AND($K112&lt;=BF$7,$L112&lt;=BF$7),1,AND($K112&lt;=BF$7,$L112&gt;BF$7),((BF$7-$K112)/($L112-$K112)))</f>
        <v>#REF!</v>
      </c>
      <c r="BH112" s="201" t="e">
        <f t="array" ref="BH112">_xlfn.IFS(AND($K112&gt;BG$7,$L112&gt;BG$7),0,AND($K112&lt;=BG$7,$L112&lt;=BG$7),1,AND($K112&lt;=BG$7,$L112&gt;BG$7),((BG$7-$K112)/($L112-$K112)))</f>
        <v>#REF!</v>
      </c>
      <c r="BI112" s="201" t="e">
        <f t="array" ref="BI112">_xlfn.IFS(AND($K112&gt;BH$7,$L112&gt;BH$7),0,AND($K112&lt;=BH$7,$L112&lt;=BH$7),1,AND($K112&lt;=BH$7,$L112&gt;BH$7),((BH$7-$K112)/($L112-$K112)))</f>
        <v>#REF!</v>
      </c>
      <c r="BJ112" s="201" t="e">
        <f t="array" ref="BJ112">_xlfn.IFS(AND($K112&gt;BI$7,$L112&gt;BI$7),0,AND($K112&lt;=BI$7,$L112&lt;=BI$7),1,AND($K112&lt;=BI$7,$L112&gt;BI$7),((BI$7-$K112)/($L112-$K112)))</f>
        <v>#REF!</v>
      </c>
      <c r="BK112" s="201" t="e">
        <f t="array" ref="BK112">_xlfn.IFS(AND($K112&gt;BJ$7,$L112&gt;BJ$7),0,AND($K112&lt;=BJ$7,$L112&lt;=BJ$7),1,AND($K112&lt;=BJ$7,$L112&gt;BJ$7),((BJ$7-$K112)/($L112-$K112)))</f>
        <v>#REF!</v>
      </c>
      <c r="BL112" s="201" t="e">
        <f t="array" ref="BL112">_xlfn.IFS(AND($K112&gt;BK$7,$L112&gt;BK$7),0,AND($K112&lt;=BK$7,$L112&lt;=BK$7),1,AND($K112&lt;=BK$7,$L112&gt;BK$7),((BK$7-$K112)/($L112-$K112)))</f>
        <v>#REF!</v>
      </c>
      <c r="BM112" s="201" t="e">
        <f t="array" ref="BM112">_xlfn.IFS(AND($K112&gt;BL$7,$L112&gt;BL$7),0,AND($K112&lt;=BL$7,$L112&lt;=BL$7),1,AND($K112&lt;=BL$7,$L112&gt;BL$7),((BL$7-$K112)/($L112-$K112)))</f>
        <v>#REF!</v>
      </c>
      <c r="BN112" s="201" t="e">
        <f t="array" ref="BN112">_xlfn.IFS(AND($K112&gt;BM$7,$L112&gt;BM$7),0,AND($K112&lt;=BM$7,$L112&lt;=BM$7),1,AND($K112&lt;=BM$7,$L112&gt;BM$7),((BM$7-$K112)/($L112-$K112)))</f>
        <v>#REF!</v>
      </c>
    </row>
    <row r="113" spans="2:66" ht="15" customHeight="1" x14ac:dyDescent="0.3">
      <c r="B113" s="166" t="str">
        <f t="array" ref="B113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13" s="166" t="s">
        <v>272</v>
      </c>
      <c r="D113" s="177"/>
      <c r="E113" s="170" t="str">
        <f t="shared" si="51"/>
        <v>Desenvolvimento da Transformação dos Processos</v>
      </c>
      <c r="F113" s="174" t="str">
        <f t="shared" si="48"/>
        <v>Transformação do Processo</v>
      </c>
      <c r="G113" s="166" t="str">
        <f t="shared" si="52"/>
        <v>Transformação do Processo</v>
      </c>
      <c r="H113" s="197" t="s">
        <v>273</v>
      </c>
      <c r="I113" s="166">
        <v>45782</v>
      </c>
      <c r="J113" s="40">
        <v>45786</v>
      </c>
      <c r="K113" s="166">
        <v>45782</v>
      </c>
      <c r="L113" s="40">
        <v>45786</v>
      </c>
      <c r="M113" s="167"/>
      <c r="N113" s="167" t="str">
        <f t="array" ref="N113">_xlfn.IFS(L113&lt;$M$3,"Concluído",AND(K113&gt;=$M$3,I113&lt;$M$3,L113&gt;$M$3),"Em andamento",AND(L113&gt;=$M$3,J113&lt;$M$3),"Atrasado",AND(L113&gt;=$M$3,J113&gt;=$M$3,I113&gt;$M$3,K113&lt;=$M$3),"Em andamento",AND(L113&gt;=$M$3,J113&gt;=$M$3,I113&lt;=$M$3,K113&lt;=$M$3),"Em andamento",AND(K113&gt;$M$3,I113&gt;$M$3),"Não iniciado",AND(L113&gt;=$M$3,J113&gt;=$M$3,K113&gt;=$M$3,I113&lt;$M$3),"Atrasado",AND(L113&gt;=$M$3,J113&gt;=$M$3,K113&gt;=$M$3,I113&gt;$M$3),"Não iniciado",AND($I113&lt;=$M$3,$K113&gt;$M$3),"Atrasado")</f>
        <v>Concluído</v>
      </c>
      <c r="O113" s="167">
        <f t="array" ref="O113">_xlfn.IFS(N113="Não iniciado",0,N113="Em andamento",1,N113="Concluído",2,N113="Atrasado",3)</f>
        <v>2</v>
      </c>
      <c r="P113" s="169"/>
      <c r="Q113" s="152">
        <f t="array" aca="1" ref="Q113" ca="1">_xlfn.IFS(AND($I113&lt;$N$3,$J113&lt;$N$3),1,AND($I113&lt;=$N$3,$J113&gt;=$N$3),0.5,AND($I113&gt;=$N$3,$J113&gt;=$N$3),0)</f>
        <v>1</v>
      </c>
      <c r="R113" s="152">
        <f t="array" aca="1" ref="R113" ca="1">_xlfn.IFS(AND($K113&lt;$N$3,$L113&lt;$N$3),1,AND($K113&lt;=$N$3,$L113&gt;=$N$3),0.5,AND($K113&gt;=$N$3,$L113&gt;=$N$3),0)</f>
        <v>1</v>
      </c>
      <c r="S113" s="201" t="e">
        <f t="array" ref="S113">_xlfn.IFS(AND($K113&gt;R$7,$L113&gt;R$7),0,AND($K113&lt;=R$7,$L113&lt;=R$7),1,AND($K113&lt;=R$7,$L113&gt;R$7),((R$7-$K113)/($L113-$K113)))</f>
        <v>#REF!</v>
      </c>
      <c r="T113" s="201" t="e">
        <f t="array" ref="T113">_xlfn.IFS(AND($K113&gt;S$7,$L113&gt;S$7),0,AND($K113&lt;=S$7,$L113&lt;=S$7),1,AND($K113&lt;=S$7,$L113&gt;S$7),((S$7-$K113)/($L113-$K113)))</f>
        <v>#REF!</v>
      </c>
      <c r="U113" s="201" t="e">
        <f t="array" ref="U113">_xlfn.IFS(AND($K113&gt;T$7,$L113&gt;T$7),0,AND($K113&lt;=T$7,$L113&lt;=T$7),1,AND($K113&lt;=T$7,$L113&gt;T$7),((T$7-$K113)/($L113-$K113)))</f>
        <v>#REF!</v>
      </c>
      <c r="V113" s="201" t="e">
        <f t="array" ref="V113">_xlfn.IFS(AND($K113&gt;U$7,$L113&gt;U$7),0,AND($K113&lt;=U$7,$L113&lt;=U$7),1,AND($K113&lt;=U$7,$L113&gt;U$7),((U$7-$K113)/($L113-$K113)))</f>
        <v>#REF!</v>
      </c>
      <c r="W113" s="201" t="e">
        <f t="array" ref="W113">_xlfn.IFS(AND($K113&gt;V$7,$L113&gt;V$7),0,AND($K113&lt;=V$7,$L113&lt;=V$7),1,AND($K113&lt;=V$7,$L113&gt;V$7),((V$7-$K113)/($L113-$K113)))</f>
        <v>#REF!</v>
      </c>
      <c r="X113" s="201" t="e">
        <f t="array" ref="X113">_xlfn.IFS(AND($K113&gt;W$7,$L113&gt;W$7),0,AND($K113&lt;=W$7,$L113&lt;=W$7),1,AND($K113&lt;=W$7,$L113&gt;W$7),((W$7-$K113)/($L113-$K113)))</f>
        <v>#REF!</v>
      </c>
      <c r="Y113" s="201" t="e">
        <f t="array" ref="Y113">_xlfn.IFS(AND($K113&gt;X$7,$L113&gt;X$7),0,AND($K113&lt;=X$7,$L113&lt;=X$7),1,AND($K113&lt;=X$7,$L113&gt;X$7),((X$7-$K113)/($L113-$K113)))</f>
        <v>#REF!</v>
      </c>
      <c r="Z113" s="201" t="e">
        <f t="array" ref="Z113">_xlfn.IFS(AND($K113&gt;Y$7,$L113&gt;Y$7),0,AND($K113&lt;=Y$7,$L113&lt;=Y$7),1,AND($K113&lt;=Y$7,$L113&gt;Y$7),((Y$7-$K113)/($L113-$K113)))</f>
        <v>#REF!</v>
      </c>
      <c r="AA113" s="201" t="e">
        <f t="array" ref="AA113">_xlfn.IFS(AND($K113&gt;Z$7,$L113&gt;Z$7),0,AND($K113&lt;=Z$7,$L113&lt;=Z$7),1,AND($K113&lt;=Z$7,$L113&gt;Z$7),((Z$7-$K113)/($L113-$K113)))</f>
        <v>#REF!</v>
      </c>
      <c r="AB113" s="201" t="e">
        <f t="array" ref="AB113">_xlfn.IFS(AND($K113&gt;AA$7,$L113&gt;AA$7),0,AND($K113&lt;=AA$7,$L113&lt;=AA$7),1,AND($K113&lt;=AA$7,$L113&gt;AA$7),((AA$7-$K113)/($L113-$K113)))</f>
        <v>#REF!</v>
      </c>
      <c r="AC113" s="201" t="e">
        <f t="array" ref="AC113">_xlfn.IFS(AND($K113&gt;AB$7,$L113&gt;AB$7),0,AND($K113&lt;=AB$7,$L113&lt;=AB$7),1,AND($K113&lt;=AB$7,$L113&gt;AB$7),((AB$7-$K113)/($L113-$K113)))</f>
        <v>#REF!</v>
      </c>
      <c r="AD113" s="201" t="e">
        <f t="array" ref="AD113">_xlfn.IFS(AND($K113&gt;AC$7,$L113&gt;AC$7),0,AND($K113&lt;=AC$7,$L113&lt;=AC$7),1,AND($K113&lt;=AC$7,$L113&gt;AC$7),((AC$7-$K113)/($L113-$K113)))</f>
        <v>#REF!</v>
      </c>
      <c r="AE113" s="201" t="e">
        <f t="array" ref="AE113">_xlfn.IFS(AND($K113&gt;AD$7,$L113&gt;AD$7),0,AND($K113&lt;=AD$7,$L113&lt;=AD$7),1,AND($K113&lt;=AD$7,$L113&gt;AD$7),((AD$7-$K113)/($L113-$K113)))</f>
        <v>#REF!</v>
      </c>
      <c r="AF113" s="201" t="e">
        <f t="array" ref="AF113">_xlfn.IFS(AND($K113&gt;AE$7,$L113&gt;AE$7),0,AND($K113&lt;=AE$7,$L113&lt;=AE$7),1,AND($K113&lt;=AE$7,$L113&gt;AE$7),((AE$7-$K113)/($L113-$K113)))</f>
        <v>#REF!</v>
      </c>
      <c r="AG113" s="201" t="e">
        <f t="array" ref="AG113">_xlfn.IFS(AND($K113&gt;AF$7,$L113&gt;AF$7),0,AND($K113&lt;=AF$7,$L113&lt;=AF$7),1,AND($K113&lt;=AF$7,$L113&gt;AF$7),((AF$7-$K113)/($L113-$K113)))</f>
        <v>#REF!</v>
      </c>
      <c r="AH113" s="201" t="e">
        <f t="array" ref="AH113">_xlfn.IFS(AND($K113&gt;AG$7,$L113&gt;AG$7),0,AND($K113&lt;=AG$7,$L113&lt;=AG$7),1,AND($K113&lt;=AG$7,$L113&gt;AG$7),((AG$7-$K113)/($L113-$K113)))</f>
        <v>#REF!</v>
      </c>
      <c r="AI113" s="201" t="e">
        <f t="array" ref="AI113">_xlfn.IFS(AND($K113&gt;AH$7,$L113&gt;AH$7),0,AND($K113&lt;=AH$7,$L113&lt;=AH$7),1,AND($K113&lt;=AH$7,$L113&gt;AH$7),((AH$7-$K113)/($L113-$K113)))</f>
        <v>#REF!</v>
      </c>
      <c r="AJ113" s="201" t="e">
        <f t="array" ref="AJ113">_xlfn.IFS(AND($K113&gt;AI$7,$L113&gt;AI$7),0,AND($K113&lt;=AI$7,$L113&lt;=AI$7),1,AND($K113&lt;=AI$7,$L113&gt;AI$7),((AI$7-$K113)/($L113-$K113)))</f>
        <v>#REF!</v>
      </c>
      <c r="AK113" s="201" t="e">
        <f t="array" ref="AK113">_xlfn.IFS(AND($K113&gt;AJ$7,$L113&gt;AJ$7),0,AND($K113&lt;=AJ$7,$L113&lt;=AJ$7),1,AND($K113&lt;=AJ$7,$L113&gt;AJ$7),((AJ$7-$K113)/($L113-$K113)))</f>
        <v>#REF!</v>
      </c>
      <c r="AL113" s="201" t="e">
        <f t="array" ref="AL113">_xlfn.IFS(AND($K113&gt;AK$7,$L113&gt;AK$7),0,AND($K113&lt;=AK$7,$L113&lt;=AK$7),1,AND($K113&lt;=AK$7,$L113&gt;AK$7),((AK$7-$K113)/($L113-$K113)))</f>
        <v>#REF!</v>
      </c>
      <c r="AM113" s="201" t="e">
        <f t="array" ref="AM113">_xlfn.IFS(AND($K113&gt;AL$7,$L113&gt;AL$7),0,AND($K113&lt;=AL$7,$L113&lt;=AL$7),1,AND($K113&lt;=AL$7,$L113&gt;AL$7),((AL$7-$K113)/($L113-$K113)))</f>
        <v>#REF!</v>
      </c>
      <c r="AN113" s="201" t="e">
        <f t="array" ref="AN113">_xlfn.IFS(AND($K113&gt;AM$7,$L113&gt;AM$7),0,AND($K113&lt;=AM$7,$L113&lt;=AM$7),1,AND($K113&lt;=AM$7,$L113&gt;AM$7),((AM$7-$K113)/($L113-$K113)))</f>
        <v>#REF!</v>
      </c>
      <c r="AO113" s="201" t="e">
        <f t="array" ref="AO113">_xlfn.IFS(AND($K113&gt;AN$7,$L113&gt;AN$7),0,AND($K113&lt;=AN$7,$L113&lt;=AN$7),1,AND($K113&lt;=AN$7,$L113&gt;AN$7),((AN$7-$K113)/($L113-$K113)))</f>
        <v>#REF!</v>
      </c>
      <c r="AP113" s="201" t="e">
        <f t="array" ref="AP113">_xlfn.IFS(AND($K113&gt;AO$7,$L113&gt;AO$7),0,AND($K113&lt;=AO$7,$L113&lt;=AO$7),1,AND($K113&lt;=AO$7,$L113&gt;AO$7),((AO$7-$K113)/($L113-$K113)))</f>
        <v>#REF!</v>
      </c>
      <c r="AQ113" s="201" t="e">
        <f t="array" ref="AQ113">_xlfn.IFS(AND($K113&gt;AP$7,$L113&gt;AP$7),0,AND($K113&lt;=AP$7,$L113&lt;=AP$7),1,AND($K113&lt;=AP$7,$L113&gt;AP$7),((AP$7-$K113)/($L113-$K113)))</f>
        <v>#REF!</v>
      </c>
      <c r="AR113" s="201" t="e">
        <f t="array" ref="AR113">_xlfn.IFS(AND($K113&gt;AQ$7,$L113&gt;AQ$7),0,AND($K113&lt;=AQ$7,$L113&lt;=AQ$7),1,AND($K113&lt;=AQ$7,$L113&gt;AQ$7),((AQ$7-$K113)/($L113-$K113)))</f>
        <v>#REF!</v>
      </c>
      <c r="AS113" s="201" t="e">
        <f t="array" ref="AS113">_xlfn.IFS(AND($K113&gt;AR$7,$L113&gt;AR$7),0,AND($K113&lt;=AR$7,$L113&lt;=AR$7),1,AND($K113&lt;=AR$7,$L113&gt;AR$7),((AR$7-$K113)/($L113-$K113)))</f>
        <v>#REF!</v>
      </c>
      <c r="AT113" s="201" t="e">
        <f t="array" ref="AT113">_xlfn.IFS(AND($K113&gt;AS$7,$L113&gt;AS$7),0,AND($K113&lt;=AS$7,$L113&lt;=AS$7),1,AND($K113&lt;=AS$7,$L113&gt;AS$7),((AS$7-$K113)/($L113-$K113)))</f>
        <v>#REF!</v>
      </c>
      <c r="AU113" s="201" t="e">
        <f t="array" ref="AU113">_xlfn.IFS(AND($K113&gt;AT$7,$L113&gt;AT$7),0,AND($K113&lt;=AT$7,$L113&lt;=AT$7),1,AND($K113&lt;=AT$7,$L113&gt;AT$7),((AT$7-$K113)/($L113-$K113)))</f>
        <v>#REF!</v>
      </c>
      <c r="AV113" s="201" t="e">
        <f t="array" ref="AV113">_xlfn.IFS(AND($K113&gt;AU$7,$L113&gt;AU$7),0,AND($K113&lt;=AU$7,$L113&lt;=AU$7),1,AND($K113&lt;=AU$7,$L113&gt;AU$7),((AU$7-$K113)/($L113-$K113)))</f>
        <v>#REF!</v>
      </c>
      <c r="AW113" s="201" t="e">
        <f t="array" ref="AW113">_xlfn.IFS(AND($K113&gt;AV$7,$L113&gt;AV$7),0,AND($K113&lt;=AV$7,$L113&lt;=AV$7),1,AND($K113&lt;=AV$7,$L113&gt;AV$7),((AV$7-$K113)/($L113-$K113)))</f>
        <v>#REF!</v>
      </c>
      <c r="AX113" s="201" t="e">
        <f t="array" ref="AX113">_xlfn.IFS(AND($K113&gt;AW$7,$L113&gt;AW$7),0,AND($K113&lt;=AW$7,$L113&lt;=AW$7),1,AND($K113&lt;=AW$7,$L113&gt;AW$7),((AW$7-$K113)/($L113-$K113)))</f>
        <v>#REF!</v>
      </c>
      <c r="AY113" s="201" t="e">
        <f t="array" ref="AY113">_xlfn.IFS(AND($K113&gt;AX$7,$L113&gt;AX$7),0,AND($K113&lt;=AX$7,$L113&lt;=AX$7),1,AND($K113&lt;=AX$7,$L113&gt;AX$7),((AX$7-$K113)/($L113-$K113)))</f>
        <v>#REF!</v>
      </c>
      <c r="AZ113" s="201" t="e">
        <f t="array" ref="AZ113">_xlfn.IFS(AND($K113&gt;AY$7,$L113&gt;AY$7),0,AND($K113&lt;=AY$7,$L113&lt;=AY$7),1,AND($K113&lt;=AY$7,$L113&gt;AY$7),((AY$7-$K113)/($L113-$K113)))</f>
        <v>#REF!</v>
      </c>
      <c r="BA113" s="201" t="e">
        <f t="array" ref="BA113">_xlfn.IFS(AND($K113&gt;AZ$7,$L113&gt;AZ$7),0,AND($K113&lt;=AZ$7,$L113&lt;=AZ$7),1,AND($K113&lt;=AZ$7,$L113&gt;AZ$7),((AZ$7-$K113)/($L113-$K113)))</f>
        <v>#REF!</v>
      </c>
      <c r="BB113" s="201" t="e">
        <f t="array" ref="BB113">_xlfn.IFS(AND($K113&gt;BA$7,$L113&gt;BA$7),0,AND($K113&lt;=BA$7,$L113&lt;=BA$7),1,AND($K113&lt;=BA$7,$L113&gt;BA$7),((BA$7-$K113)/($L113-$K113)))</f>
        <v>#REF!</v>
      </c>
      <c r="BC113" s="201" t="e">
        <f t="array" ref="BC113">_xlfn.IFS(AND($K113&gt;BB$7,$L113&gt;BB$7),0,AND($K113&lt;=BB$7,$L113&lt;=BB$7),1,AND($K113&lt;=BB$7,$L113&gt;BB$7),((BB$7-$K113)/($L113-$K113)))</f>
        <v>#REF!</v>
      </c>
      <c r="BD113" s="201" t="e">
        <f t="array" ref="BD113">_xlfn.IFS(AND($K113&gt;BC$7,$L113&gt;BC$7),0,AND($K113&lt;=BC$7,$L113&lt;=BC$7),1,AND($K113&lt;=BC$7,$L113&gt;BC$7),((BC$7-$K113)/($L113-$K113)))</f>
        <v>#REF!</v>
      </c>
      <c r="BE113" s="201" t="e">
        <f t="array" ref="BE113">_xlfn.IFS(AND($K113&gt;BD$7,$L113&gt;BD$7),0,AND($K113&lt;=BD$7,$L113&lt;=BD$7),1,AND($K113&lt;=BD$7,$L113&gt;BD$7),((BD$7-$K113)/($L113-$K113)))</f>
        <v>#REF!</v>
      </c>
      <c r="BF113" s="201" t="e">
        <f t="array" ref="BF113">_xlfn.IFS(AND($K113&gt;BE$7,$L113&gt;BE$7),0,AND($K113&lt;=BE$7,$L113&lt;=BE$7),1,AND($K113&lt;=BE$7,$L113&gt;BE$7),((BE$7-$K113)/($L113-$K113)))</f>
        <v>#REF!</v>
      </c>
      <c r="BG113" s="201" t="e">
        <f t="array" ref="BG113">_xlfn.IFS(AND($K113&gt;BF$7,$L113&gt;BF$7),0,AND($K113&lt;=BF$7,$L113&lt;=BF$7),1,AND($K113&lt;=BF$7,$L113&gt;BF$7),((BF$7-$K113)/($L113-$K113)))</f>
        <v>#REF!</v>
      </c>
      <c r="BH113" s="201" t="e">
        <f t="array" ref="BH113">_xlfn.IFS(AND($K113&gt;BG$7,$L113&gt;BG$7),0,AND($K113&lt;=BG$7,$L113&lt;=BG$7),1,AND($K113&lt;=BG$7,$L113&gt;BG$7),((BG$7-$K113)/($L113-$K113)))</f>
        <v>#REF!</v>
      </c>
      <c r="BI113" s="201" t="e">
        <f t="array" ref="BI113">_xlfn.IFS(AND($K113&gt;BH$7,$L113&gt;BH$7),0,AND($K113&lt;=BH$7,$L113&lt;=BH$7),1,AND($K113&lt;=BH$7,$L113&gt;BH$7),((BH$7-$K113)/($L113-$K113)))</f>
        <v>#REF!</v>
      </c>
      <c r="BJ113" s="201" t="e">
        <f t="array" ref="BJ113">_xlfn.IFS(AND($K113&gt;BI$7,$L113&gt;BI$7),0,AND($K113&lt;=BI$7,$L113&lt;=BI$7),1,AND($K113&lt;=BI$7,$L113&gt;BI$7),((BI$7-$K113)/($L113-$K113)))</f>
        <v>#REF!</v>
      </c>
      <c r="BK113" s="201" t="e">
        <f t="array" ref="BK113">_xlfn.IFS(AND($K113&gt;BJ$7,$L113&gt;BJ$7),0,AND($K113&lt;=BJ$7,$L113&lt;=BJ$7),1,AND($K113&lt;=BJ$7,$L113&gt;BJ$7),((BJ$7-$K113)/($L113-$K113)))</f>
        <v>#REF!</v>
      </c>
      <c r="BL113" s="201" t="e">
        <f t="array" ref="BL113">_xlfn.IFS(AND($K113&gt;BK$7,$L113&gt;BK$7),0,AND($K113&lt;=BK$7,$L113&lt;=BK$7),1,AND($K113&lt;=BK$7,$L113&gt;BK$7),((BK$7-$K113)/($L113-$K113)))</f>
        <v>#REF!</v>
      </c>
      <c r="BM113" s="201" t="e">
        <f t="array" ref="BM113">_xlfn.IFS(AND($K113&gt;BL$7,$L113&gt;BL$7),0,AND($K113&lt;=BL$7,$L113&lt;=BL$7),1,AND($K113&lt;=BL$7,$L113&gt;BL$7),((BL$7-$K113)/($L113-$K113)))</f>
        <v>#REF!</v>
      </c>
      <c r="BN113" s="201" t="e">
        <f t="array" ref="BN113">_xlfn.IFS(AND($K113&gt;BM$7,$L113&gt;BM$7),0,AND($K113&lt;=BM$7,$L113&lt;=BM$7),1,AND($K113&lt;=BM$7,$L113&gt;BM$7),((BM$7-$K113)/($L113-$K113)))</f>
        <v>#REF!</v>
      </c>
    </row>
    <row r="114" spans="2:66" x14ac:dyDescent="0.3">
      <c r="B114" s="166" t="str">
        <f t="array" ref="B114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14" s="166" t="s">
        <v>274</v>
      </c>
      <c r="D114" s="177"/>
      <c r="E114" s="170" t="str">
        <f t="shared" si="51"/>
        <v>Desenvolvimento da Transformação dos Processos</v>
      </c>
      <c r="F114" s="174" t="str">
        <f t="shared" si="48"/>
        <v>Transformação do Processo</v>
      </c>
      <c r="G114" s="166" t="str">
        <f t="shared" si="52"/>
        <v>Transformação do Processo</v>
      </c>
      <c r="H114" s="197" t="s">
        <v>275</v>
      </c>
      <c r="I114" s="166">
        <v>45782</v>
      </c>
      <c r="J114" s="40">
        <v>45800</v>
      </c>
      <c r="K114" s="166">
        <v>45782</v>
      </c>
      <c r="L114" s="40">
        <v>45800</v>
      </c>
      <c r="M114" s="167"/>
      <c r="N114" s="167" t="str">
        <f t="array" ref="N114">_xlfn.IFS(L114&lt;$M$3,"Concluído",AND(K114&gt;=$M$3,I114&lt;$M$3,L114&gt;$M$3),"Em andamento",AND(L114&gt;=$M$3,J114&lt;$M$3),"Atrasado",AND(L114&gt;=$M$3,J114&gt;=$M$3,I114&gt;$M$3,K114&lt;=$M$3),"Em andamento",AND(L114&gt;=$M$3,J114&gt;=$M$3,I114&lt;=$M$3,K114&lt;=$M$3),"Em andamento",AND(K114&gt;$M$3,I114&gt;$M$3),"Não iniciado",AND(L114&gt;=$M$3,J114&gt;=$M$3,K114&gt;=$M$3,I114&lt;$M$3),"Atrasado",AND(L114&gt;=$M$3,J114&gt;=$M$3,K114&gt;=$M$3,I114&gt;$M$3),"Não iniciado",AND($I114&lt;=$M$3,$K114&gt;$M$3),"Atrasado")</f>
        <v>Concluído</v>
      </c>
      <c r="O114" s="167">
        <f t="array" ref="O114">_xlfn.IFS(N114="Não iniciado",0,N114="Em andamento",1,N114="Concluído",2,N114="Atrasado",3)</f>
        <v>2</v>
      </c>
      <c r="P114" s="169"/>
      <c r="Q114" s="152">
        <f t="array" aca="1" ref="Q114" ca="1">_xlfn.IFS(AND($I114&lt;$N$3,$J114&lt;$N$3),1,AND($I114&lt;=$N$3,$J114&gt;=$N$3),0.5,AND($I114&gt;=$N$3,$J114&gt;=$N$3),0)</f>
        <v>1</v>
      </c>
      <c r="R114" s="152">
        <f t="array" aca="1" ref="R114" ca="1">_xlfn.IFS(AND($K114&lt;$N$3,$L114&lt;$N$3),1,AND($K114&lt;=$N$3,$L114&gt;=$N$3),0.5,AND($K114&gt;=$N$3,$L114&gt;=$N$3),0)</f>
        <v>1</v>
      </c>
      <c r="S114" s="201" t="e">
        <f t="array" ref="S114">_xlfn.IFS(AND($K114&gt;R$7,$L114&gt;R$7),0,AND($K114&lt;=R$7,$L114&lt;=R$7),1,AND($K114&lt;=R$7,$L114&gt;R$7),((R$7-$K114)/($L114-$K114)))</f>
        <v>#REF!</v>
      </c>
      <c r="T114" s="201" t="e">
        <f t="array" ref="T114">_xlfn.IFS(AND($K114&gt;S$7,$L114&gt;S$7),0,AND($K114&lt;=S$7,$L114&lt;=S$7),1,AND($K114&lt;=S$7,$L114&gt;S$7),((S$7-$K114)/($L114-$K114)))</f>
        <v>#REF!</v>
      </c>
      <c r="U114" s="201" t="e">
        <f t="array" ref="U114">_xlfn.IFS(AND($K114&gt;T$7,$L114&gt;T$7),0,AND($K114&lt;=T$7,$L114&lt;=T$7),1,AND($K114&lt;=T$7,$L114&gt;T$7),((T$7-$K114)/($L114-$K114)))</f>
        <v>#REF!</v>
      </c>
      <c r="V114" s="201" t="e">
        <f t="array" ref="V114">_xlfn.IFS(AND($K114&gt;U$7,$L114&gt;U$7),0,AND($K114&lt;=U$7,$L114&lt;=U$7),1,AND($K114&lt;=U$7,$L114&gt;U$7),((U$7-$K114)/($L114-$K114)))</f>
        <v>#REF!</v>
      </c>
      <c r="W114" s="201" t="e">
        <f t="array" ref="W114">_xlfn.IFS(AND($K114&gt;V$7,$L114&gt;V$7),0,AND($K114&lt;=V$7,$L114&lt;=V$7),1,AND($K114&lt;=V$7,$L114&gt;V$7),((V$7-$K114)/($L114-$K114)))</f>
        <v>#REF!</v>
      </c>
      <c r="X114" s="201" t="e">
        <f t="array" ref="X114">_xlfn.IFS(AND($K114&gt;W$7,$L114&gt;W$7),0,AND($K114&lt;=W$7,$L114&lt;=W$7),1,AND($K114&lt;=W$7,$L114&gt;W$7),((W$7-$K114)/($L114-$K114)))</f>
        <v>#REF!</v>
      </c>
      <c r="Y114" s="201" t="e">
        <f t="array" ref="Y114">_xlfn.IFS(AND($K114&gt;X$7,$L114&gt;X$7),0,AND($K114&lt;=X$7,$L114&lt;=X$7),1,AND($K114&lt;=X$7,$L114&gt;X$7),((X$7-$K114)/($L114-$K114)))</f>
        <v>#REF!</v>
      </c>
      <c r="Z114" s="201" t="e">
        <f t="array" ref="Z114">_xlfn.IFS(AND($K114&gt;Y$7,$L114&gt;Y$7),0,AND($K114&lt;=Y$7,$L114&lt;=Y$7),1,AND($K114&lt;=Y$7,$L114&gt;Y$7),((Y$7-$K114)/($L114-$K114)))</f>
        <v>#REF!</v>
      </c>
      <c r="AA114" s="201" t="e">
        <f t="array" ref="AA114">_xlfn.IFS(AND($K114&gt;Z$7,$L114&gt;Z$7),0,AND($K114&lt;=Z$7,$L114&lt;=Z$7),1,AND($K114&lt;=Z$7,$L114&gt;Z$7),((Z$7-$K114)/($L114-$K114)))</f>
        <v>#REF!</v>
      </c>
      <c r="AB114" s="201" t="e">
        <f t="array" ref="AB114">_xlfn.IFS(AND($K114&gt;AA$7,$L114&gt;AA$7),0,AND($K114&lt;=AA$7,$L114&lt;=AA$7),1,AND($K114&lt;=AA$7,$L114&gt;AA$7),((AA$7-$K114)/($L114-$K114)))</f>
        <v>#REF!</v>
      </c>
      <c r="AC114" s="201" t="e">
        <f t="array" ref="AC114">_xlfn.IFS(AND($K114&gt;AB$7,$L114&gt;AB$7),0,AND($K114&lt;=AB$7,$L114&lt;=AB$7),1,AND($K114&lt;=AB$7,$L114&gt;AB$7),((AB$7-$K114)/($L114-$K114)))</f>
        <v>#REF!</v>
      </c>
      <c r="AD114" s="201" t="e">
        <f t="array" ref="AD114">_xlfn.IFS(AND($K114&gt;AC$7,$L114&gt;AC$7),0,AND($K114&lt;=AC$7,$L114&lt;=AC$7),1,AND($K114&lt;=AC$7,$L114&gt;AC$7),((AC$7-$K114)/($L114-$K114)))</f>
        <v>#REF!</v>
      </c>
      <c r="AE114" s="201" t="e">
        <f t="array" ref="AE114">_xlfn.IFS(AND($K114&gt;AD$7,$L114&gt;AD$7),0,AND($K114&lt;=AD$7,$L114&lt;=AD$7),1,AND($K114&lt;=AD$7,$L114&gt;AD$7),((AD$7-$K114)/($L114-$K114)))</f>
        <v>#REF!</v>
      </c>
      <c r="AF114" s="201" t="e">
        <f t="array" ref="AF114">_xlfn.IFS(AND($K114&gt;AE$7,$L114&gt;AE$7),0,AND($K114&lt;=AE$7,$L114&lt;=AE$7),1,AND($K114&lt;=AE$7,$L114&gt;AE$7),((AE$7-$K114)/($L114-$K114)))</f>
        <v>#REF!</v>
      </c>
      <c r="AG114" s="201" t="e">
        <f t="array" ref="AG114">_xlfn.IFS(AND($K114&gt;AF$7,$L114&gt;AF$7),0,AND($K114&lt;=AF$7,$L114&lt;=AF$7),1,AND($K114&lt;=AF$7,$L114&gt;AF$7),((AF$7-$K114)/($L114-$K114)))</f>
        <v>#REF!</v>
      </c>
      <c r="AH114" s="201" t="e">
        <f t="array" ref="AH114">_xlfn.IFS(AND($K114&gt;AG$7,$L114&gt;AG$7),0,AND($K114&lt;=AG$7,$L114&lt;=AG$7),1,AND($K114&lt;=AG$7,$L114&gt;AG$7),((AG$7-$K114)/($L114-$K114)))</f>
        <v>#REF!</v>
      </c>
      <c r="AI114" s="201" t="e">
        <f t="array" ref="AI114">_xlfn.IFS(AND($K114&gt;AH$7,$L114&gt;AH$7),0,AND($K114&lt;=AH$7,$L114&lt;=AH$7),1,AND($K114&lt;=AH$7,$L114&gt;AH$7),((AH$7-$K114)/($L114-$K114)))</f>
        <v>#REF!</v>
      </c>
      <c r="AJ114" s="201" t="e">
        <f t="array" ref="AJ114">_xlfn.IFS(AND($K114&gt;AI$7,$L114&gt;AI$7),0,AND($K114&lt;=AI$7,$L114&lt;=AI$7),1,AND($K114&lt;=AI$7,$L114&gt;AI$7),((AI$7-$K114)/($L114-$K114)))</f>
        <v>#REF!</v>
      </c>
      <c r="AK114" s="201" t="e">
        <f t="array" ref="AK114">_xlfn.IFS(AND($K114&gt;AJ$7,$L114&gt;AJ$7),0,AND($K114&lt;=AJ$7,$L114&lt;=AJ$7),1,AND($K114&lt;=AJ$7,$L114&gt;AJ$7),((AJ$7-$K114)/($L114-$K114)))</f>
        <v>#REF!</v>
      </c>
      <c r="AL114" s="201" t="e">
        <f t="array" ref="AL114">_xlfn.IFS(AND($K114&gt;AK$7,$L114&gt;AK$7),0,AND($K114&lt;=AK$7,$L114&lt;=AK$7),1,AND($K114&lt;=AK$7,$L114&gt;AK$7),((AK$7-$K114)/($L114-$K114)))</f>
        <v>#REF!</v>
      </c>
      <c r="AM114" s="201" t="e">
        <f t="array" ref="AM114">_xlfn.IFS(AND($K114&gt;AL$7,$L114&gt;AL$7),0,AND($K114&lt;=AL$7,$L114&lt;=AL$7),1,AND($K114&lt;=AL$7,$L114&gt;AL$7),((AL$7-$K114)/($L114-$K114)))</f>
        <v>#REF!</v>
      </c>
      <c r="AN114" s="201" t="e">
        <f t="array" ref="AN114">_xlfn.IFS(AND($K114&gt;AM$7,$L114&gt;AM$7),0,AND($K114&lt;=AM$7,$L114&lt;=AM$7),1,AND($K114&lt;=AM$7,$L114&gt;AM$7),((AM$7-$K114)/($L114-$K114)))</f>
        <v>#REF!</v>
      </c>
      <c r="AO114" s="201" t="e">
        <f t="array" ref="AO114">_xlfn.IFS(AND($K114&gt;AN$7,$L114&gt;AN$7),0,AND($K114&lt;=AN$7,$L114&lt;=AN$7),1,AND($K114&lt;=AN$7,$L114&gt;AN$7),((AN$7-$K114)/($L114-$K114)))</f>
        <v>#REF!</v>
      </c>
      <c r="AP114" s="201" t="e">
        <f t="array" ref="AP114">_xlfn.IFS(AND($K114&gt;AO$7,$L114&gt;AO$7),0,AND($K114&lt;=AO$7,$L114&lt;=AO$7),1,AND($K114&lt;=AO$7,$L114&gt;AO$7),((AO$7-$K114)/($L114-$K114)))</f>
        <v>#REF!</v>
      </c>
      <c r="AQ114" s="201" t="e">
        <f t="array" ref="AQ114">_xlfn.IFS(AND($K114&gt;AP$7,$L114&gt;AP$7),0,AND($K114&lt;=AP$7,$L114&lt;=AP$7),1,AND($K114&lt;=AP$7,$L114&gt;AP$7),((AP$7-$K114)/($L114-$K114)))</f>
        <v>#REF!</v>
      </c>
      <c r="AR114" s="201" t="e">
        <f t="array" ref="AR114">_xlfn.IFS(AND($K114&gt;AQ$7,$L114&gt;AQ$7),0,AND($K114&lt;=AQ$7,$L114&lt;=AQ$7),1,AND($K114&lt;=AQ$7,$L114&gt;AQ$7),((AQ$7-$K114)/($L114-$K114)))</f>
        <v>#REF!</v>
      </c>
      <c r="AS114" s="201" t="e">
        <f t="array" ref="AS114">_xlfn.IFS(AND($K114&gt;AR$7,$L114&gt;AR$7),0,AND($K114&lt;=AR$7,$L114&lt;=AR$7),1,AND($K114&lt;=AR$7,$L114&gt;AR$7),((AR$7-$K114)/($L114-$K114)))</f>
        <v>#REF!</v>
      </c>
      <c r="AT114" s="201" t="e">
        <f t="array" ref="AT114">_xlfn.IFS(AND($K114&gt;AS$7,$L114&gt;AS$7),0,AND($K114&lt;=AS$7,$L114&lt;=AS$7),1,AND($K114&lt;=AS$7,$L114&gt;AS$7),((AS$7-$K114)/($L114-$K114)))</f>
        <v>#REF!</v>
      </c>
      <c r="AU114" s="201" t="e">
        <f t="array" ref="AU114">_xlfn.IFS(AND($K114&gt;AT$7,$L114&gt;AT$7),0,AND($K114&lt;=AT$7,$L114&lt;=AT$7),1,AND($K114&lt;=AT$7,$L114&gt;AT$7),((AT$7-$K114)/($L114-$K114)))</f>
        <v>#REF!</v>
      </c>
      <c r="AV114" s="201" t="e">
        <f t="array" ref="AV114">_xlfn.IFS(AND($K114&gt;AU$7,$L114&gt;AU$7),0,AND($K114&lt;=AU$7,$L114&lt;=AU$7),1,AND($K114&lt;=AU$7,$L114&gt;AU$7),((AU$7-$K114)/($L114-$K114)))</f>
        <v>#REF!</v>
      </c>
      <c r="AW114" s="201" t="e">
        <f t="array" ref="AW114">_xlfn.IFS(AND($K114&gt;AV$7,$L114&gt;AV$7),0,AND($K114&lt;=AV$7,$L114&lt;=AV$7),1,AND($K114&lt;=AV$7,$L114&gt;AV$7),((AV$7-$K114)/($L114-$K114)))</f>
        <v>#REF!</v>
      </c>
      <c r="AX114" s="201" t="e">
        <f t="array" ref="AX114">_xlfn.IFS(AND($K114&gt;AW$7,$L114&gt;AW$7),0,AND($K114&lt;=AW$7,$L114&lt;=AW$7),1,AND($K114&lt;=AW$7,$L114&gt;AW$7),((AW$7-$K114)/($L114-$K114)))</f>
        <v>#REF!</v>
      </c>
      <c r="AY114" s="201" t="e">
        <f t="array" ref="AY114">_xlfn.IFS(AND($K114&gt;AX$7,$L114&gt;AX$7),0,AND($K114&lt;=AX$7,$L114&lt;=AX$7),1,AND($K114&lt;=AX$7,$L114&gt;AX$7),((AX$7-$K114)/($L114-$K114)))</f>
        <v>#REF!</v>
      </c>
      <c r="AZ114" s="201" t="e">
        <f t="array" ref="AZ114">_xlfn.IFS(AND($K114&gt;AY$7,$L114&gt;AY$7),0,AND($K114&lt;=AY$7,$L114&lt;=AY$7),1,AND($K114&lt;=AY$7,$L114&gt;AY$7),((AY$7-$K114)/($L114-$K114)))</f>
        <v>#REF!</v>
      </c>
      <c r="BA114" s="201" t="e">
        <f t="array" ref="BA114">_xlfn.IFS(AND($K114&gt;AZ$7,$L114&gt;AZ$7),0,AND($K114&lt;=AZ$7,$L114&lt;=AZ$7),1,AND($K114&lt;=AZ$7,$L114&gt;AZ$7),((AZ$7-$K114)/($L114-$K114)))</f>
        <v>#REF!</v>
      </c>
      <c r="BB114" s="201" t="e">
        <f t="array" ref="BB114">_xlfn.IFS(AND($K114&gt;BA$7,$L114&gt;BA$7),0,AND($K114&lt;=BA$7,$L114&lt;=BA$7),1,AND($K114&lt;=BA$7,$L114&gt;BA$7),((BA$7-$K114)/($L114-$K114)))</f>
        <v>#REF!</v>
      </c>
      <c r="BC114" s="201" t="e">
        <f t="array" ref="BC114">_xlfn.IFS(AND($K114&gt;BB$7,$L114&gt;BB$7),0,AND($K114&lt;=BB$7,$L114&lt;=BB$7),1,AND($K114&lt;=BB$7,$L114&gt;BB$7),((BB$7-$K114)/($L114-$K114)))</f>
        <v>#REF!</v>
      </c>
      <c r="BD114" s="201" t="e">
        <f t="array" ref="BD114">_xlfn.IFS(AND($K114&gt;BC$7,$L114&gt;BC$7),0,AND($K114&lt;=BC$7,$L114&lt;=BC$7),1,AND($K114&lt;=BC$7,$L114&gt;BC$7),((BC$7-$K114)/($L114-$K114)))</f>
        <v>#REF!</v>
      </c>
      <c r="BE114" s="201" t="e">
        <f t="array" ref="BE114">_xlfn.IFS(AND($K114&gt;BD$7,$L114&gt;BD$7),0,AND($K114&lt;=BD$7,$L114&lt;=BD$7),1,AND($K114&lt;=BD$7,$L114&gt;BD$7),((BD$7-$K114)/($L114-$K114)))</f>
        <v>#REF!</v>
      </c>
      <c r="BF114" s="201" t="e">
        <f t="array" ref="BF114">_xlfn.IFS(AND($K114&gt;BE$7,$L114&gt;BE$7),0,AND($K114&lt;=BE$7,$L114&lt;=BE$7),1,AND($K114&lt;=BE$7,$L114&gt;BE$7),((BE$7-$K114)/($L114-$K114)))</f>
        <v>#REF!</v>
      </c>
      <c r="BG114" s="201" t="e">
        <f t="array" ref="BG114">_xlfn.IFS(AND($K114&gt;BF$7,$L114&gt;BF$7),0,AND($K114&lt;=BF$7,$L114&lt;=BF$7),1,AND($K114&lt;=BF$7,$L114&gt;BF$7),((BF$7-$K114)/($L114-$K114)))</f>
        <v>#REF!</v>
      </c>
      <c r="BH114" s="201" t="e">
        <f t="array" ref="BH114">_xlfn.IFS(AND($K114&gt;BG$7,$L114&gt;BG$7),0,AND($K114&lt;=BG$7,$L114&lt;=BG$7),1,AND($K114&lt;=BG$7,$L114&gt;BG$7),((BG$7-$K114)/($L114-$K114)))</f>
        <v>#REF!</v>
      </c>
      <c r="BI114" s="201" t="e">
        <f t="array" ref="BI114">_xlfn.IFS(AND($K114&gt;BH$7,$L114&gt;BH$7),0,AND($K114&lt;=BH$7,$L114&lt;=BH$7),1,AND($K114&lt;=BH$7,$L114&gt;BH$7),((BH$7-$K114)/($L114-$K114)))</f>
        <v>#REF!</v>
      </c>
      <c r="BJ114" s="201" t="e">
        <f t="array" ref="BJ114">_xlfn.IFS(AND($K114&gt;BI$7,$L114&gt;BI$7),0,AND($K114&lt;=BI$7,$L114&lt;=BI$7),1,AND($K114&lt;=BI$7,$L114&gt;BI$7),((BI$7-$K114)/($L114-$K114)))</f>
        <v>#REF!</v>
      </c>
      <c r="BK114" s="201" t="e">
        <f t="array" ref="BK114">_xlfn.IFS(AND($K114&gt;BJ$7,$L114&gt;BJ$7),0,AND($K114&lt;=BJ$7,$L114&lt;=BJ$7),1,AND($K114&lt;=BJ$7,$L114&gt;BJ$7),((BJ$7-$K114)/($L114-$K114)))</f>
        <v>#REF!</v>
      </c>
      <c r="BL114" s="201" t="e">
        <f t="array" ref="BL114">_xlfn.IFS(AND($K114&gt;BK$7,$L114&gt;BK$7),0,AND($K114&lt;=BK$7,$L114&lt;=BK$7),1,AND($K114&lt;=BK$7,$L114&gt;BK$7),((BK$7-$K114)/($L114-$K114)))</f>
        <v>#REF!</v>
      </c>
      <c r="BM114" s="201" t="e">
        <f t="array" ref="BM114">_xlfn.IFS(AND($K114&gt;BL$7,$L114&gt;BL$7),0,AND($K114&lt;=BL$7,$L114&lt;=BL$7),1,AND($K114&lt;=BL$7,$L114&gt;BL$7),((BL$7-$K114)/($L114-$K114)))</f>
        <v>#REF!</v>
      </c>
      <c r="BN114" s="201" t="e">
        <f t="array" ref="BN114">_xlfn.IFS(AND($K114&gt;BM$7,$L114&gt;BM$7),0,AND($K114&lt;=BM$7,$L114&lt;=BM$7),1,AND($K114&lt;=BM$7,$L114&gt;BM$7),((BM$7-$K114)/($L114-$K114)))</f>
        <v>#REF!</v>
      </c>
    </row>
    <row r="115" spans="2:66" x14ac:dyDescent="0.3">
      <c r="B115" s="166" t="str">
        <f t="array" ref="B115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15" s="166" t="s">
        <v>276</v>
      </c>
      <c r="D115" s="177"/>
      <c r="E115" s="170" t="str">
        <f t="shared" si="51"/>
        <v>Desenvolvimento da Transformação dos Processos</v>
      </c>
      <c r="F115" s="174" t="str">
        <f t="shared" si="48"/>
        <v>Transformação do Processo</v>
      </c>
      <c r="G115" s="166" t="str">
        <f t="shared" si="52"/>
        <v>Transformação do Processo</v>
      </c>
      <c r="H115" s="197" t="s">
        <v>277</v>
      </c>
      <c r="I115" s="166">
        <v>45782</v>
      </c>
      <c r="J115" s="40">
        <v>45786</v>
      </c>
      <c r="K115" s="166">
        <v>45782</v>
      </c>
      <c r="L115" s="40">
        <v>45786</v>
      </c>
      <c r="M115" s="167"/>
      <c r="N115" s="167" t="str">
        <f t="array" ref="N115">_xlfn.IFS(L115&lt;$M$3,"Concluído",AND(K115&gt;=$M$3,I115&lt;$M$3,L115&gt;$M$3),"Em andamento",AND(L115&gt;=$M$3,J115&lt;$M$3),"Atrasado",AND(L115&gt;=$M$3,J115&gt;=$M$3,I115&gt;$M$3,K115&lt;=$M$3),"Em andamento",AND(L115&gt;=$M$3,J115&gt;=$M$3,I115&lt;=$M$3,K115&lt;=$M$3),"Em andamento",AND(K115&gt;$M$3,I115&gt;$M$3),"Não iniciado",AND(L115&gt;=$M$3,J115&gt;=$M$3,K115&gt;=$M$3,I115&lt;$M$3),"Atrasado",AND(L115&gt;=$M$3,J115&gt;=$M$3,K115&gt;=$M$3,I115&gt;$M$3),"Não iniciado",AND($I115&lt;=$M$3,$K115&gt;$M$3),"Atrasado")</f>
        <v>Concluído</v>
      </c>
      <c r="O115" s="167">
        <f t="array" ref="O115">_xlfn.IFS(N115="Não iniciado",0,N115="Em andamento",1,N115="Concluído",2,N115="Atrasado",3)</f>
        <v>2</v>
      </c>
      <c r="P115" s="169"/>
      <c r="Q115" s="152">
        <f t="array" aca="1" ref="Q115" ca="1">_xlfn.IFS(AND($I115&lt;$N$3,$J115&lt;$N$3),1,AND($I115&lt;=$N$3,$J115&gt;=$N$3),0.5,AND($I115&gt;=$N$3,$J115&gt;=$N$3),0)</f>
        <v>1</v>
      </c>
      <c r="R115" s="152">
        <f t="array" aca="1" ref="R115" ca="1">_xlfn.IFS(AND($K115&lt;$N$3,$L115&lt;$N$3),1,AND($K115&lt;=$N$3,$L115&gt;=$N$3),0.5,AND($K115&gt;=$N$3,$L115&gt;=$N$3),0)</f>
        <v>1</v>
      </c>
      <c r="S115" s="201" t="e">
        <f t="array" ref="S115">_xlfn.IFS(AND($K115&gt;R$7,$L115&gt;R$7),0,AND($K115&lt;=R$7,$L115&lt;=R$7),1,AND($K115&lt;=R$7,$L115&gt;R$7),((R$7-$K115)/($L115-$K115)))</f>
        <v>#REF!</v>
      </c>
      <c r="T115" s="201" t="e">
        <f t="array" ref="T115">_xlfn.IFS(AND($K115&gt;S$7,$L115&gt;S$7),0,AND($K115&lt;=S$7,$L115&lt;=S$7),1,AND($K115&lt;=S$7,$L115&gt;S$7),((S$7-$K115)/($L115-$K115)))</f>
        <v>#REF!</v>
      </c>
      <c r="U115" s="201" t="e">
        <f t="array" ref="U115">_xlfn.IFS(AND($K115&gt;T$7,$L115&gt;T$7),0,AND($K115&lt;=T$7,$L115&lt;=T$7),1,AND($K115&lt;=T$7,$L115&gt;T$7),((T$7-$K115)/($L115-$K115)))</f>
        <v>#REF!</v>
      </c>
      <c r="V115" s="201" t="e">
        <f t="array" ref="V115">_xlfn.IFS(AND($K115&gt;U$7,$L115&gt;U$7),0,AND($K115&lt;=U$7,$L115&lt;=U$7),1,AND($K115&lt;=U$7,$L115&gt;U$7),((U$7-$K115)/($L115-$K115)))</f>
        <v>#REF!</v>
      </c>
      <c r="W115" s="201" t="e">
        <f t="array" ref="W115">_xlfn.IFS(AND($K115&gt;V$7,$L115&gt;V$7),0,AND($K115&lt;=V$7,$L115&lt;=V$7),1,AND($K115&lt;=V$7,$L115&gt;V$7),((V$7-$K115)/($L115-$K115)))</f>
        <v>#REF!</v>
      </c>
      <c r="X115" s="201" t="e">
        <f t="array" ref="X115">_xlfn.IFS(AND($K115&gt;W$7,$L115&gt;W$7),0,AND($K115&lt;=W$7,$L115&lt;=W$7),1,AND($K115&lt;=W$7,$L115&gt;W$7),((W$7-$K115)/($L115-$K115)))</f>
        <v>#REF!</v>
      </c>
      <c r="Y115" s="201" t="e">
        <f t="array" ref="Y115">_xlfn.IFS(AND($K115&gt;X$7,$L115&gt;X$7),0,AND($K115&lt;=X$7,$L115&lt;=X$7),1,AND($K115&lt;=X$7,$L115&gt;X$7),((X$7-$K115)/($L115-$K115)))</f>
        <v>#REF!</v>
      </c>
      <c r="Z115" s="201" t="e">
        <f t="array" ref="Z115">_xlfn.IFS(AND($K115&gt;Y$7,$L115&gt;Y$7),0,AND($K115&lt;=Y$7,$L115&lt;=Y$7),1,AND($K115&lt;=Y$7,$L115&gt;Y$7),((Y$7-$K115)/($L115-$K115)))</f>
        <v>#REF!</v>
      </c>
      <c r="AA115" s="201" t="e">
        <f t="array" ref="AA115">_xlfn.IFS(AND($K115&gt;Z$7,$L115&gt;Z$7),0,AND($K115&lt;=Z$7,$L115&lt;=Z$7),1,AND($K115&lt;=Z$7,$L115&gt;Z$7),((Z$7-$K115)/($L115-$K115)))</f>
        <v>#REF!</v>
      </c>
      <c r="AB115" s="201" t="e">
        <f t="array" ref="AB115">_xlfn.IFS(AND($K115&gt;AA$7,$L115&gt;AA$7),0,AND($K115&lt;=AA$7,$L115&lt;=AA$7),1,AND($K115&lt;=AA$7,$L115&gt;AA$7),((AA$7-$K115)/($L115-$K115)))</f>
        <v>#REF!</v>
      </c>
      <c r="AC115" s="201" t="e">
        <f t="array" ref="AC115">_xlfn.IFS(AND($K115&gt;AB$7,$L115&gt;AB$7),0,AND($K115&lt;=AB$7,$L115&lt;=AB$7),1,AND($K115&lt;=AB$7,$L115&gt;AB$7),((AB$7-$K115)/($L115-$K115)))</f>
        <v>#REF!</v>
      </c>
      <c r="AD115" s="201" t="e">
        <f t="array" ref="AD115">_xlfn.IFS(AND($K115&gt;AC$7,$L115&gt;AC$7),0,AND($K115&lt;=AC$7,$L115&lt;=AC$7),1,AND($K115&lt;=AC$7,$L115&gt;AC$7),((AC$7-$K115)/($L115-$K115)))</f>
        <v>#REF!</v>
      </c>
      <c r="AE115" s="201" t="e">
        <f t="array" ref="AE115">_xlfn.IFS(AND($K115&gt;AD$7,$L115&gt;AD$7),0,AND($K115&lt;=AD$7,$L115&lt;=AD$7),1,AND($K115&lt;=AD$7,$L115&gt;AD$7),((AD$7-$K115)/($L115-$K115)))</f>
        <v>#REF!</v>
      </c>
      <c r="AF115" s="201" t="e">
        <f t="array" ref="AF115">_xlfn.IFS(AND($K115&gt;AE$7,$L115&gt;AE$7),0,AND($K115&lt;=AE$7,$L115&lt;=AE$7),1,AND($K115&lt;=AE$7,$L115&gt;AE$7),((AE$7-$K115)/($L115-$K115)))</f>
        <v>#REF!</v>
      </c>
      <c r="AG115" s="201" t="e">
        <f t="array" ref="AG115">_xlfn.IFS(AND($K115&gt;AF$7,$L115&gt;AF$7),0,AND($K115&lt;=AF$7,$L115&lt;=AF$7),1,AND($K115&lt;=AF$7,$L115&gt;AF$7),((AF$7-$K115)/($L115-$K115)))</f>
        <v>#REF!</v>
      </c>
      <c r="AH115" s="201" t="e">
        <f t="array" ref="AH115">_xlfn.IFS(AND($K115&gt;AG$7,$L115&gt;AG$7),0,AND($K115&lt;=AG$7,$L115&lt;=AG$7),1,AND($K115&lt;=AG$7,$L115&gt;AG$7),((AG$7-$K115)/($L115-$K115)))</f>
        <v>#REF!</v>
      </c>
      <c r="AI115" s="201" t="e">
        <f t="array" ref="AI115">_xlfn.IFS(AND($K115&gt;AH$7,$L115&gt;AH$7),0,AND($K115&lt;=AH$7,$L115&lt;=AH$7),1,AND($K115&lt;=AH$7,$L115&gt;AH$7),((AH$7-$K115)/($L115-$K115)))</f>
        <v>#REF!</v>
      </c>
      <c r="AJ115" s="201" t="e">
        <f t="array" ref="AJ115">_xlfn.IFS(AND($K115&gt;AI$7,$L115&gt;AI$7),0,AND($K115&lt;=AI$7,$L115&lt;=AI$7),1,AND($K115&lt;=AI$7,$L115&gt;AI$7),((AI$7-$K115)/($L115-$K115)))</f>
        <v>#REF!</v>
      </c>
      <c r="AK115" s="201" t="e">
        <f t="array" ref="AK115">_xlfn.IFS(AND($K115&gt;AJ$7,$L115&gt;AJ$7),0,AND($K115&lt;=AJ$7,$L115&lt;=AJ$7),1,AND($K115&lt;=AJ$7,$L115&gt;AJ$7),((AJ$7-$K115)/($L115-$K115)))</f>
        <v>#REF!</v>
      </c>
      <c r="AL115" s="201" t="e">
        <f t="array" ref="AL115">_xlfn.IFS(AND($K115&gt;AK$7,$L115&gt;AK$7),0,AND($K115&lt;=AK$7,$L115&lt;=AK$7),1,AND($K115&lt;=AK$7,$L115&gt;AK$7),((AK$7-$K115)/($L115-$K115)))</f>
        <v>#REF!</v>
      </c>
      <c r="AM115" s="201" t="e">
        <f t="array" ref="AM115">_xlfn.IFS(AND($K115&gt;AL$7,$L115&gt;AL$7),0,AND($K115&lt;=AL$7,$L115&lt;=AL$7),1,AND($K115&lt;=AL$7,$L115&gt;AL$7),((AL$7-$K115)/($L115-$K115)))</f>
        <v>#REF!</v>
      </c>
      <c r="AN115" s="201" t="e">
        <f t="array" ref="AN115">_xlfn.IFS(AND($K115&gt;AM$7,$L115&gt;AM$7),0,AND($K115&lt;=AM$7,$L115&lt;=AM$7),1,AND($K115&lt;=AM$7,$L115&gt;AM$7),((AM$7-$K115)/($L115-$K115)))</f>
        <v>#REF!</v>
      </c>
      <c r="AO115" s="201" t="e">
        <f t="array" ref="AO115">_xlfn.IFS(AND($K115&gt;AN$7,$L115&gt;AN$7),0,AND($K115&lt;=AN$7,$L115&lt;=AN$7),1,AND($K115&lt;=AN$7,$L115&gt;AN$7),((AN$7-$K115)/($L115-$K115)))</f>
        <v>#REF!</v>
      </c>
      <c r="AP115" s="201" t="e">
        <f t="array" ref="AP115">_xlfn.IFS(AND($K115&gt;AO$7,$L115&gt;AO$7),0,AND($K115&lt;=AO$7,$L115&lt;=AO$7),1,AND($K115&lt;=AO$7,$L115&gt;AO$7),((AO$7-$K115)/($L115-$K115)))</f>
        <v>#REF!</v>
      </c>
      <c r="AQ115" s="201" t="e">
        <f t="array" ref="AQ115">_xlfn.IFS(AND($K115&gt;AP$7,$L115&gt;AP$7),0,AND($K115&lt;=AP$7,$L115&lt;=AP$7),1,AND($K115&lt;=AP$7,$L115&gt;AP$7),((AP$7-$K115)/($L115-$K115)))</f>
        <v>#REF!</v>
      </c>
      <c r="AR115" s="201" t="e">
        <f t="array" ref="AR115">_xlfn.IFS(AND($K115&gt;AQ$7,$L115&gt;AQ$7),0,AND($K115&lt;=AQ$7,$L115&lt;=AQ$7),1,AND($K115&lt;=AQ$7,$L115&gt;AQ$7),((AQ$7-$K115)/($L115-$K115)))</f>
        <v>#REF!</v>
      </c>
      <c r="AS115" s="201" t="e">
        <f t="array" ref="AS115">_xlfn.IFS(AND($K115&gt;AR$7,$L115&gt;AR$7),0,AND($K115&lt;=AR$7,$L115&lt;=AR$7),1,AND($K115&lt;=AR$7,$L115&gt;AR$7),((AR$7-$K115)/($L115-$K115)))</f>
        <v>#REF!</v>
      </c>
      <c r="AT115" s="201" t="e">
        <f t="array" ref="AT115">_xlfn.IFS(AND($K115&gt;AS$7,$L115&gt;AS$7),0,AND($K115&lt;=AS$7,$L115&lt;=AS$7),1,AND($K115&lt;=AS$7,$L115&gt;AS$7),((AS$7-$K115)/($L115-$K115)))</f>
        <v>#REF!</v>
      </c>
      <c r="AU115" s="201" t="e">
        <f t="array" ref="AU115">_xlfn.IFS(AND($K115&gt;AT$7,$L115&gt;AT$7),0,AND($K115&lt;=AT$7,$L115&lt;=AT$7),1,AND($K115&lt;=AT$7,$L115&gt;AT$7),((AT$7-$K115)/($L115-$K115)))</f>
        <v>#REF!</v>
      </c>
      <c r="AV115" s="201" t="e">
        <f t="array" ref="AV115">_xlfn.IFS(AND($K115&gt;AU$7,$L115&gt;AU$7),0,AND($K115&lt;=AU$7,$L115&lt;=AU$7),1,AND($K115&lt;=AU$7,$L115&gt;AU$7),((AU$7-$K115)/($L115-$K115)))</f>
        <v>#REF!</v>
      </c>
      <c r="AW115" s="201" t="e">
        <f t="array" ref="AW115">_xlfn.IFS(AND($K115&gt;AV$7,$L115&gt;AV$7),0,AND($K115&lt;=AV$7,$L115&lt;=AV$7),1,AND($K115&lt;=AV$7,$L115&gt;AV$7),((AV$7-$K115)/($L115-$K115)))</f>
        <v>#REF!</v>
      </c>
      <c r="AX115" s="201" t="e">
        <f t="array" ref="AX115">_xlfn.IFS(AND($K115&gt;AW$7,$L115&gt;AW$7),0,AND($K115&lt;=AW$7,$L115&lt;=AW$7),1,AND($K115&lt;=AW$7,$L115&gt;AW$7),((AW$7-$K115)/($L115-$K115)))</f>
        <v>#REF!</v>
      </c>
      <c r="AY115" s="201" t="e">
        <f t="array" ref="AY115">_xlfn.IFS(AND($K115&gt;AX$7,$L115&gt;AX$7),0,AND($K115&lt;=AX$7,$L115&lt;=AX$7),1,AND($K115&lt;=AX$7,$L115&gt;AX$7),((AX$7-$K115)/($L115-$K115)))</f>
        <v>#REF!</v>
      </c>
      <c r="AZ115" s="201" t="e">
        <f t="array" ref="AZ115">_xlfn.IFS(AND($K115&gt;AY$7,$L115&gt;AY$7),0,AND($K115&lt;=AY$7,$L115&lt;=AY$7),1,AND($K115&lt;=AY$7,$L115&gt;AY$7),((AY$7-$K115)/($L115-$K115)))</f>
        <v>#REF!</v>
      </c>
      <c r="BA115" s="201" t="e">
        <f t="array" ref="BA115">_xlfn.IFS(AND($K115&gt;AZ$7,$L115&gt;AZ$7),0,AND($K115&lt;=AZ$7,$L115&lt;=AZ$7),1,AND($K115&lt;=AZ$7,$L115&gt;AZ$7),((AZ$7-$K115)/($L115-$K115)))</f>
        <v>#REF!</v>
      </c>
      <c r="BB115" s="201" t="e">
        <f t="array" ref="BB115">_xlfn.IFS(AND($K115&gt;BA$7,$L115&gt;BA$7),0,AND($K115&lt;=BA$7,$L115&lt;=BA$7),1,AND($K115&lt;=BA$7,$L115&gt;BA$7),((BA$7-$K115)/($L115-$K115)))</f>
        <v>#REF!</v>
      </c>
      <c r="BC115" s="201" t="e">
        <f t="array" ref="BC115">_xlfn.IFS(AND($K115&gt;BB$7,$L115&gt;BB$7),0,AND($K115&lt;=BB$7,$L115&lt;=BB$7),1,AND($K115&lt;=BB$7,$L115&gt;BB$7),((BB$7-$K115)/($L115-$K115)))</f>
        <v>#REF!</v>
      </c>
      <c r="BD115" s="201" t="e">
        <f t="array" ref="BD115">_xlfn.IFS(AND($K115&gt;BC$7,$L115&gt;BC$7),0,AND($K115&lt;=BC$7,$L115&lt;=BC$7),1,AND($K115&lt;=BC$7,$L115&gt;BC$7),((BC$7-$K115)/($L115-$K115)))</f>
        <v>#REF!</v>
      </c>
      <c r="BE115" s="201" t="e">
        <f t="array" ref="BE115">_xlfn.IFS(AND($K115&gt;BD$7,$L115&gt;BD$7),0,AND($K115&lt;=BD$7,$L115&lt;=BD$7),1,AND($K115&lt;=BD$7,$L115&gt;BD$7),((BD$7-$K115)/($L115-$K115)))</f>
        <v>#REF!</v>
      </c>
      <c r="BF115" s="201" t="e">
        <f t="array" ref="BF115">_xlfn.IFS(AND($K115&gt;BE$7,$L115&gt;BE$7),0,AND($K115&lt;=BE$7,$L115&lt;=BE$7),1,AND($K115&lt;=BE$7,$L115&gt;BE$7),((BE$7-$K115)/($L115-$K115)))</f>
        <v>#REF!</v>
      </c>
      <c r="BG115" s="201" t="e">
        <f t="array" ref="BG115">_xlfn.IFS(AND($K115&gt;BF$7,$L115&gt;BF$7),0,AND($K115&lt;=BF$7,$L115&lt;=BF$7),1,AND($K115&lt;=BF$7,$L115&gt;BF$7),((BF$7-$K115)/($L115-$K115)))</f>
        <v>#REF!</v>
      </c>
      <c r="BH115" s="201" t="e">
        <f t="array" ref="BH115">_xlfn.IFS(AND($K115&gt;BG$7,$L115&gt;BG$7),0,AND($K115&lt;=BG$7,$L115&lt;=BG$7),1,AND($K115&lt;=BG$7,$L115&gt;BG$7),((BG$7-$K115)/($L115-$K115)))</f>
        <v>#REF!</v>
      </c>
      <c r="BI115" s="201" t="e">
        <f t="array" ref="BI115">_xlfn.IFS(AND($K115&gt;BH$7,$L115&gt;BH$7),0,AND($K115&lt;=BH$7,$L115&lt;=BH$7),1,AND($K115&lt;=BH$7,$L115&gt;BH$7),((BH$7-$K115)/($L115-$K115)))</f>
        <v>#REF!</v>
      </c>
      <c r="BJ115" s="201" t="e">
        <f t="array" ref="BJ115">_xlfn.IFS(AND($K115&gt;BI$7,$L115&gt;BI$7),0,AND($K115&lt;=BI$7,$L115&lt;=BI$7),1,AND($K115&lt;=BI$7,$L115&gt;BI$7),((BI$7-$K115)/($L115-$K115)))</f>
        <v>#REF!</v>
      </c>
      <c r="BK115" s="201" t="e">
        <f t="array" ref="BK115">_xlfn.IFS(AND($K115&gt;BJ$7,$L115&gt;BJ$7),0,AND($K115&lt;=BJ$7,$L115&lt;=BJ$7),1,AND($K115&lt;=BJ$7,$L115&gt;BJ$7),((BJ$7-$K115)/($L115-$K115)))</f>
        <v>#REF!</v>
      </c>
      <c r="BL115" s="201" t="e">
        <f t="array" ref="BL115">_xlfn.IFS(AND($K115&gt;BK$7,$L115&gt;BK$7),0,AND($K115&lt;=BK$7,$L115&lt;=BK$7),1,AND($K115&lt;=BK$7,$L115&gt;BK$7),((BK$7-$K115)/($L115-$K115)))</f>
        <v>#REF!</v>
      </c>
      <c r="BM115" s="201" t="e">
        <f t="array" ref="BM115">_xlfn.IFS(AND($K115&gt;BL$7,$L115&gt;BL$7),0,AND($K115&lt;=BL$7,$L115&lt;=BL$7),1,AND($K115&lt;=BL$7,$L115&gt;BL$7),((BL$7-$K115)/($L115-$K115)))</f>
        <v>#REF!</v>
      </c>
      <c r="BN115" s="201" t="e">
        <f t="array" ref="BN115">_xlfn.IFS(AND($K115&gt;BM$7,$L115&gt;BM$7),0,AND($K115&lt;=BM$7,$L115&lt;=BM$7),1,AND($K115&lt;=BM$7,$L115&gt;BM$7),((BM$7-$K115)/($L115-$K115)))</f>
        <v>#REF!</v>
      </c>
    </row>
    <row r="116" spans="2:66" x14ac:dyDescent="0.3">
      <c r="B116" s="166" t="str">
        <f t="array" ref="B116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16" s="166" t="s">
        <v>278</v>
      </c>
      <c r="D116" s="177"/>
      <c r="E116" s="170" t="str">
        <f t="shared" si="51"/>
        <v>Desenvolvimento da Transformação dos Processos</v>
      </c>
      <c r="F116" s="174" t="str">
        <f t="shared" si="48"/>
        <v>Transformação do Processo</v>
      </c>
      <c r="G116" s="166" t="str">
        <f t="shared" si="52"/>
        <v>Transformação do Processo</v>
      </c>
      <c r="H116" s="197" t="s">
        <v>279</v>
      </c>
      <c r="I116" s="166">
        <v>45782</v>
      </c>
      <c r="J116" s="40">
        <v>45800</v>
      </c>
      <c r="K116" s="166">
        <v>45782</v>
      </c>
      <c r="L116" s="40">
        <v>45800</v>
      </c>
      <c r="M116" s="167"/>
      <c r="N116" s="167" t="str">
        <f t="array" ref="N116">_xlfn.IFS(L116&lt;$M$3,"Concluído",AND(K116&gt;=$M$3,I116&lt;$M$3,L116&gt;$M$3),"Em andamento",AND(L116&gt;=$M$3,J116&lt;$M$3),"Atrasado",AND(L116&gt;=$M$3,J116&gt;=$M$3,I116&gt;$M$3,K116&lt;=$M$3),"Em andamento",AND(L116&gt;=$M$3,J116&gt;=$M$3,I116&lt;=$M$3,K116&lt;=$M$3),"Em andamento",AND(K116&gt;$M$3,I116&gt;$M$3),"Não iniciado",AND(L116&gt;=$M$3,J116&gt;=$M$3,K116&gt;=$M$3,I116&lt;$M$3),"Atrasado",AND(L116&gt;=$M$3,J116&gt;=$M$3,K116&gt;=$M$3,I116&gt;$M$3),"Não iniciado",AND($I116&lt;=$M$3,$K116&gt;$M$3),"Atrasado")</f>
        <v>Concluído</v>
      </c>
      <c r="O116" s="167">
        <f t="array" ref="O116">_xlfn.IFS(N116="Não iniciado",0,N116="Em andamento",1,N116="Concluído",2,N116="Atrasado",3)</f>
        <v>2</v>
      </c>
      <c r="P116" s="169"/>
      <c r="Q116" s="152">
        <f t="array" aca="1" ref="Q116" ca="1">_xlfn.IFS(AND($I116&lt;$N$3,$J116&lt;$N$3),1,AND($I116&lt;=$N$3,$J116&gt;=$N$3),0.5,AND($I116&gt;=$N$3,$J116&gt;=$N$3),0)</f>
        <v>1</v>
      </c>
      <c r="R116" s="152">
        <f t="array" aca="1" ref="R116" ca="1">_xlfn.IFS(AND($K116&lt;$N$3,$L116&lt;$N$3),1,AND($K116&lt;=$N$3,$L116&gt;=$N$3),0.5,AND($K116&gt;=$N$3,$L116&gt;=$N$3),0)</f>
        <v>1</v>
      </c>
      <c r="S116" s="201" t="e">
        <f t="array" ref="S116">_xlfn.IFS(AND($K116&gt;R$7,$L116&gt;R$7),0,AND($K116&lt;=R$7,$L116&lt;=R$7),1,AND($K116&lt;=R$7,$L116&gt;R$7),((R$7-$K116)/($L116-$K116)))</f>
        <v>#REF!</v>
      </c>
      <c r="T116" s="201" t="e">
        <f t="array" ref="T116">_xlfn.IFS(AND($K116&gt;S$7,$L116&gt;S$7),0,AND($K116&lt;=S$7,$L116&lt;=S$7),1,AND($K116&lt;=S$7,$L116&gt;S$7),((S$7-$K116)/($L116-$K116)))</f>
        <v>#REF!</v>
      </c>
      <c r="U116" s="201" t="e">
        <f t="array" ref="U116">_xlfn.IFS(AND($K116&gt;T$7,$L116&gt;T$7),0,AND($K116&lt;=T$7,$L116&lt;=T$7),1,AND($K116&lt;=T$7,$L116&gt;T$7),((T$7-$K116)/($L116-$K116)))</f>
        <v>#REF!</v>
      </c>
      <c r="V116" s="201" t="e">
        <f t="array" ref="V116">_xlfn.IFS(AND($K116&gt;U$7,$L116&gt;U$7),0,AND($K116&lt;=U$7,$L116&lt;=U$7),1,AND($K116&lt;=U$7,$L116&gt;U$7),((U$7-$K116)/($L116-$K116)))</f>
        <v>#REF!</v>
      </c>
      <c r="W116" s="201" t="e">
        <f t="array" ref="W116">_xlfn.IFS(AND($K116&gt;V$7,$L116&gt;V$7),0,AND($K116&lt;=V$7,$L116&lt;=V$7),1,AND($K116&lt;=V$7,$L116&gt;V$7),((V$7-$K116)/($L116-$K116)))</f>
        <v>#REF!</v>
      </c>
      <c r="X116" s="201" t="e">
        <f t="array" ref="X116">_xlfn.IFS(AND($K116&gt;W$7,$L116&gt;W$7),0,AND($K116&lt;=W$7,$L116&lt;=W$7),1,AND($K116&lt;=W$7,$L116&gt;W$7),((W$7-$K116)/($L116-$K116)))</f>
        <v>#REF!</v>
      </c>
      <c r="Y116" s="201" t="e">
        <f t="array" ref="Y116">_xlfn.IFS(AND($K116&gt;X$7,$L116&gt;X$7),0,AND($K116&lt;=X$7,$L116&lt;=X$7),1,AND($K116&lt;=X$7,$L116&gt;X$7),((X$7-$K116)/($L116-$K116)))</f>
        <v>#REF!</v>
      </c>
      <c r="Z116" s="201" t="e">
        <f t="array" ref="Z116">_xlfn.IFS(AND($K116&gt;Y$7,$L116&gt;Y$7),0,AND($K116&lt;=Y$7,$L116&lt;=Y$7),1,AND($K116&lt;=Y$7,$L116&gt;Y$7),((Y$7-$K116)/($L116-$K116)))</f>
        <v>#REF!</v>
      </c>
      <c r="AA116" s="201" t="e">
        <f t="array" ref="AA116">_xlfn.IFS(AND($K116&gt;Z$7,$L116&gt;Z$7),0,AND($K116&lt;=Z$7,$L116&lt;=Z$7),1,AND($K116&lt;=Z$7,$L116&gt;Z$7),((Z$7-$K116)/($L116-$K116)))</f>
        <v>#REF!</v>
      </c>
      <c r="AB116" s="201" t="e">
        <f t="array" ref="AB116">_xlfn.IFS(AND($K116&gt;AA$7,$L116&gt;AA$7),0,AND($K116&lt;=AA$7,$L116&lt;=AA$7),1,AND($K116&lt;=AA$7,$L116&gt;AA$7),((AA$7-$K116)/($L116-$K116)))</f>
        <v>#REF!</v>
      </c>
      <c r="AC116" s="201" t="e">
        <f t="array" ref="AC116">_xlfn.IFS(AND($K116&gt;AB$7,$L116&gt;AB$7),0,AND($K116&lt;=AB$7,$L116&lt;=AB$7),1,AND($K116&lt;=AB$7,$L116&gt;AB$7),((AB$7-$K116)/($L116-$K116)))</f>
        <v>#REF!</v>
      </c>
      <c r="AD116" s="201" t="e">
        <f t="array" ref="AD116">_xlfn.IFS(AND($K116&gt;AC$7,$L116&gt;AC$7),0,AND($K116&lt;=AC$7,$L116&lt;=AC$7),1,AND($K116&lt;=AC$7,$L116&gt;AC$7),((AC$7-$K116)/($L116-$K116)))</f>
        <v>#REF!</v>
      </c>
      <c r="AE116" s="201" t="e">
        <f t="array" ref="AE116">_xlfn.IFS(AND($K116&gt;AD$7,$L116&gt;AD$7),0,AND($K116&lt;=AD$7,$L116&lt;=AD$7),1,AND($K116&lt;=AD$7,$L116&gt;AD$7),((AD$7-$K116)/($L116-$K116)))</f>
        <v>#REF!</v>
      </c>
      <c r="AF116" s="201" t="e">
        <f t="array" ref="AF116">_xlfn.IFS(AND($K116&gt;AE$7,$L116&gt;AE$7),0,AND($K116&lt;=AE$7,$L116&lt;=AE$7),1,AND($K116&lt;=AE$7,$L116&gt;AE$7),((AE$7-$K116)/($L116-$K116)))</f>
        <v>#REF!</v>
      </c>
      <c r="AG116" s="201" t="e">
        <f t="array" ref="AG116">_xlfn.IFS(AND($K116&gt;AF$7,$L116&gt;AF$7),0,AND($K116&lt;=AF$7,$L116&lt;=AF$7),1,AND($K116&lt;=AF$7,$L116&gt;AF$7),((AF$7-$K116)/($L116-$K116)))</f>
        <v>#REF!</v>
      </c>
      <c r="AH116" s="201" t="e">
        <f t="array" ref="AH116">_xlfn.IFS(AND($K116&gt;AG$7,$L116&gt;AG$7),0,AND($K116&lt;=AG$7,$L116&lt;=AG$7),1,AND($K116&lt;=AG$7,$L116&gt;AG$7),((AG$7-$K116)/($L116-$K116)))</f>
        <v>#REF!</v>
      </c>
      <c r="AI116" s="201" t="e">
        <f t="array" ref="AI116">_xlfn.IFS(AND($K116&gt;AH$7,$L116&gt;AH$7),0,AND($K116&lt;=AH$7,$L116&lt;=AH$7),1,AND($K116&lt;=AH$7,$L116&gt;AH$7),((AH$7-$K116)/($L116-$K116)))</f>
        <v>#REF!</v>
      </c>
      <c r="AJ116" s="201" t="e">
        <f t="array" ref="AJ116">_xlfn.IFS(AND($K116&gt;AI$7,$L116&gt;AI$7),0,AND($K116&lt;=AI$7,$L116&lt;=AI$7),1,AND($K116&lt;=AI$7,$L116&gt;AI$7),((AI$7-$K116)/($L116-$K116)))</f>
        <v>#REF!</v>
      </c>
      <c r="AK116" s="201" t="e">
        <f t="array" ref="AK116">_xlfn.IFS(AND($K116&gt;AJ$7,$L116&gt;AJ$7),0,AND($K116&lt;=AJ$7,$L116&lt;=AJ$7),1,AND($K116&lt;=AJ$7,$L116&gt;AJ$7),((AJ$7-$K116)/($L116-$K116)))</f>
        <v>#REF!</v>
      </c>
      <c r="AL116" s="201" t="e">
        <f t="array" ref="AL116">_xlfn.IFS(AND($K116&gt;AK$7,$L116&gt;AK$7),0,AND($K116&lt;=AK$7,$L116&lt;=AK$7),1,AND($K116&lt;=AK$7,$L116&gt;AK$7),((AK$7-$K116)/($L116-$K116)))</f>
        <v>#REF!</v>
      </c>
      <c r="AM116" s="201" t="e">
        <f t="array" ref="AM116">_xlfn.IFS(AND($K116&gt;AL$7,$L116&gt;AL$7),0,AND($K116&lt;=AL$7,$L116&lt;=AL$7),1,AND($K116&lt;=AL$7,$L116&gt;AL$7),((AL$7-$K116)/($L116-$K116)))</f>
        <v>#REF!</v>
      </c>
      <c r="AN116" s="201" t="e">
        <f t="array" ref="AN116">_xlfn.IFS(AND($K116&gt;AM$7,$L116&gt;AM$7),0,AND($K116&lt;=AM$7,$L116&lt;=AM$7),1,AND($K116&lt;=AM$7,$L116&gt;AM$7),((AM$7-$K116)/($L116-$K116)))</f>
        <v>#REF!</v>
      </c>
      <c r="AO116" s="201" t="e">
        <f t="array" ref="AO116">_xlfn.IFS(AND($K116&gt;AN$7,$L116&gt;AN$7),0,AND($K116&lt;=AN$7,$L116&lt;=AN$7),1,AND($K116&lt;=AN$7,$L116&gt;AN$7),((AN$7-$K116)/($L116-$K116)))</f>
        <v>#REF!</v>
      </c>
      <c r="AP116" s="201" t="e">
        <f t="array" ref="AP116">_xlfn.IFS(AND($K116&gt;AO$7,$L116&gt;AO$7),0,AND($K116&lt;=AO$7,$L116&lt;=AO$7),1,AND($K116&lt;=AO$7,$L116&gt;AO$7),((AO$7-$K116)/($L116-$K116)))</f>
        <v>#REF!</v>
      </c>
      <c r="AQ116" s="201" t="e">
        <f t="array" ref="AQ116">_xlfn.IFS(AND($K116&gt;AP$7,$L116&gt;AP$7),0,AND($K116&lt;=AP$7,$L116&lt;=AP$7),1,AND($K116&lt;=AP$7,$L116&gt;AP$7),((AP$7-$K116)/($L116-$K116)))</f>
        <v>#REF!</v>
      </c>
      <c r="AR116" s="201" t="e">
        <f t="array" ref="AR116">_xlfn.IFS(AND($K116&gt;AQ$7,$L116&gt;AQ$7),0,AND($K116&lt;=AQ$7,$L116&lt;=AQ$7),1,AND($K116&lt;=AQ$7,$L116&gt;AQ$7),((AQ$7-$K116)/($L116-$K116)))</f>
        <v>#REF!</v>
      </c>
      <c r="AS116" s="201" t="e">
        <f t="array" ref="AS116">_xlfn.IFS(AND($K116&gt;AR$7,$L116&gt;AR$7),0,AND($K116&lt;=AR$7,$L116&lt;=AR$7),1,AND($K116&lt;=AR$7,$L116&gt;AR$7),((AR$7-$K116)/($L116-$K116)))</f>
        <v>#REF!</v>
      </c>
      <c r="AT116" s="201" t="e">
        <f t="array" ref="AT116">_xlfn.IFS(AND($K116&gt;AS$7,$L116&gt;AS$7),0,AND($K116&lt;=AS$7,$L116&lt;=AS$7),1,AND($K116&lt;=AS$7,$L116&gt;AS$7),((AS$7-$K116)/($L116-$K116)))</f>
        <v>#REF!</v>
      </c>
      <c r="AU116" s="201" t="e">
        <f t="array" ref="AU116">_xlfn.IFS(AND($K116&gt;AT$7,$L116&gt;AT$7),0,AND($K116&lt;=AT$7,$L116&lt;=AT$7),1,AND($K116&lt;=AT$7,$L116&gt;AT$7),((AT$7-$K116)/($L116-$K116)))</f>
        <v>#REF!</v>
      </c>
      <c r="AV116" s="201" t="e">
        <f t="array" ref="AV116">_xlfn.IFS(AND($K116&gt;AU$7,$L116&gt;AU$7),0,AND($K116&lt;=AU$7,$L116&lt;=AU$7),1,AND($K116&lt;=AU$7,$L116&gt;AU$7),((AU$7-$K116)/($L116-$K116)))</f>
        <v>#REF!</v>
      </c>
      <c r="AW116" s="201" t="e">
        <f t="array" ref="AW116">_xlfn.IFS(AND($K116&gt;AV$7,$L116&gt;AV$7),0,AND($K116&lt;=AV$7,$L116&lt;=AV$7),1,AND($K116&lt;=AV$7,$L116&gt;AV$7),((AV$7-$K116)/($L116-$K116)))</f>
        <v>#REF!</v>
      </c>
      <c r="AX116" s="201" t="e">
        <f t="array" ref="AX116">_xlfn.IFS(AND($K116&gt;AW$7,$L116&gt;AW$7),0,AND($K116&lt;=AW$7,$L116&lt;=AW$7),1,AND($K116&lt;=AW$7,$L116&gt;AW$7),((AW$7-$K116)/($L116-$K116)))</f>
        <v>#REF!</v>
      </c>
      <c r="AY116" s="201" t="e">
        <f t="array" ref="AY116">_xlfn.IFS(AND($K116&gt;AX$7,$L116&gt;AX$7),0,AND($K116&lt;=AX$7,$L116&lt;=AX$7),1,AND($K116&lt;=AX$7,$L116&gt;AX$7),((AX$7-$K116)/($L116-$K116)))</f>
        <v>#REF!</v>
      </c>
      <c r="AZ116" s="201" t="e">
        <f t="array" ref="AZ116">_xlfn.IFS(AND($K116&gt;AY$7,$L116&gt;AY$7),0,AND($K116&lt;=AY$7,$L116&lt;=AY$7),1,AND($K116&lt;=AY$7,$L116&gt;AY$7),((AY$7-$K116)/($L116-$K116)))</f>
        <v>#REF!</v>
      </c>
      <c r="BA116" s="201" t="e">
        <f t="array" ref="BA116">_xlfn.IFS(AND($K116&gt;AZ$7,$L116&gt;AZ$7),0,AND($K116&lt;=AZ$7,$L116&lt;=AZ$7),1,AND($K116&lt;=AZ$7,$L116&gt;AZ$7),((AZ$7-$K116)/($L116-$K116)))</f>
        <v>#REF!</v>
      </c>
      <c r="BB116" s="201" t="e">
        <f t="array" ref="BB116">_xlfn.IFS(AND($K116&gt;BA$7,$L116&gt;BA$7),0,AND($K116&lt;=BA$7,$L116&lt;=BA$7),1,AND($K116&lt;=BA$7,$L116&gt;BA$7),((BA$7-$K116)/($L116-$K116)))</f>
        <v>#REF!</v>
      </c>
      <c r="BC116" s="201" t="e">
        <f t="array" ref="BC116">_xlfn.IFS(AND($K116&gt;BB$7,$L116&gt;BB$7),0,AND($K116&lt;=BB$7,$L116&lt;=BB$7),1,AND($K116&lt;=BB$7,$L116&gt;BB$7),((BB$7-$K116)/($L116-$K116)))</f>
        <v>#REF!</v>
      </c>
      <c r="BD116" s="201" t="e">
        <f t="array" ref="BD116">_xlfn.IFS(AND($K116&gt;BC$7,$L116&gt;BC$7),0,AND($K116&lt;=BC$7,$L116&lt;=BC$7),1,AND($K116&lt;=BC$7,$L116&gt;BC$7),((BC$7-$K116)/($L116-$K116)))</f>
        <v>#REF!</v>
      </c>
      <c r="BE116" s="201" t="e">
        <f t="array" ref="BE116">_xlfn.IFS(AND($K116&gt;BD$7,$L116&gt;BD$7),0,AND($K116&lt;=BD$7,$L116&lt;=BD$7),1,AND($K116&lt;=BD$7,$L116&gt;BD$7),((BD$7-$K116)/($L116-$K116)))</f>
        <v>#REF!</v>
      </c>
      <c r="BF116" s="201" t="e">
        <f t="array" ref="BF116">_xlfn.IFS(AND($K116&gt;BE$7,$L116&gt;BE$7),0,AND($K116&lt;=BE$7,$L116&lt;=BE$7),1,AND($K116&lt;=BE$7,$L116&gt;BE$7),((BE$7-$K116)/($L116-$K116)))</f>
        <v>#REF!</v>
      </c>
      <c r="BG116" s="201" t="e">
        <f t="array" ref="BG116">_xlfn.IFS(AND($K116&gt;BF$7,$L116&gt;BF$7),0,AND($K116&lt;=BF$7,$L116&lt;=BF$7),1,AND($K116&lt;=BF$7,$L116&gt;BF$7),((BF$7-$K116)/($L116-$K116)))</f>
        <v>#REF!</v>
      </c>
      <c r="BH116" s="201" t="e">
        <f t="array" ref="BH116">_xlfn.IFS(AND($K116&gt;BG$7,$L116&gt;BG$7),0,AND($K116&lt;=BG$7,$L116&lt;=BG$7),1,AND($K116&lt;=BG$7,$L116&gt;BG$7),((BG$7-$K116)/($L116-$K116)))</f>
        <v>#REF!</v>
      </c>
      <c r="BI116" s="201" t="e">
        <f t="array" ref="BI116">_xlfn.IFS(AND($K116&gt;BH$7,$L116&gt;BH$7),0,AND($K116&lt;=BH$7,$L116&lt;=BH$7),1,AND($K116&lt;=BH$7,$L116&gt;BH$7),((BH$7-$K116)/($L116-$K116)))</f>
        <v>#REF!</v>
      </c>
      <c r="BJ116" s="201" t="e">
        <f t="array" ref="BJ116">_xlfn.IFS(AND($K116&gt;BI$7,$L116&gt;BI$7),0,AND($K116&lt;=BI$7,$L116&lt;=BI$7),1,AND($K116&lt;=BI$7,$L116&gt;BI$7),((BI$7-$K116)/($L116-$K116)))</f>
        <v>#REF!</v>
      </c>
      <c r="BK116" s="201" t="e">
        <f t="array" ref="BK116">_xlfn.IFS(AND($K116&gt;BJ$7,$L116&gt;BJ$7),0,AND($K116&lt;=BJ$7,$L116&lt;=BJ$7),1,AND($K116&lt;=BJ$7,$L116&gt;BJ$7),((BJ$7-$K116)/($L116-$K116)))</f>
        <v>#REF!</v>
      </c>
      <c r="BL116" s="201" t="e">
        <f t="array" ref="BL116">_xlfn.IFS(AND($K116&gt;BK$7,$L116&gt;BK$7),0,AND($K116&lt;=BK$7,$L116&lt;=BK$7),1,AND($K116&lt;=BK$7,$L116&gt;BK$7),((BK$7-$K116)/($L116-$K116)))</f>
        <v>#REF!</v>
      </c>
      <c r="BM116" s="201" t="e">
        <f t="array" ref="BM116">_xlfn.IFS(AND($K116&gt;BL$7,$L116&gt;BL$7),0,AND($K116&lt;=BL$7,$L116&lt;=BL$7),1,AND($K116&lt;=BL$7,$L116&gt;BL$7),((BL$7-$K116)/($L116-$K116)))</f>
        <v>#REF!</v>
      </c>
      <c r="BN116" s="201" t="e">
        <f t="array" ref="BN116">_xlfn.IFS(AND($K116&gt;BM$7,$L116&gt;BM$7),0,AND($K116&lt;=BM$7,$L116&lt;=BM$7),1,AND($K116&lt;=BM$7,$L116&gt;BM$7),((BM$7-$K116)/($L116-$K116)))</f>
        <v>#REF!</v>
      </c>
    </row>
    <row r="117" spans="2:66" x14ac:dyDescent="0.3">
      <c r="B117" s="166" t="str">
        <f t="array" ref="B117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17" s="166" t="s">
        <v>280</v>
      </c>
      <c r="D117" s="177"/>
      <c r="E117" s="170" t="str">
        <f t="shared" si="51"/>
        <v>Desenvolvimento da Transformação dos Processos</v>
      </c>
      <c r="F117" s="174" t="str">
        <f t="shared" si="48"/>
        <v>Transformação do Processo</v>
      </c>
      <c r="G117" s="166" t="str">
        <f t="shared" si="52"/>
        <v>Transformação do Processo</v>
      </c>
      <c r="H117" s="197" t="s">
        <v>281</v>
      </c>
      <c r="I117" s="166">
        <v>45792</v>
      </c>
      <c r="J117" s="40">
        <v>45808</v>
      </c>
      <c r="K117" s="166">
        <v>45792</v>
      </c>
      <c r="L117" s="40">
        <v>45808</v>
      </c>
      <c r="M117" s="167"/>
      <c r="N117" s="167" t="str">
        <f t="array" ref="N117">_xlfn.IFS(L117&lt;$M$3,"Concluído",AND(K117&gt;=$M$3,I117&lt;$M$3,L117&gt;$M$3),"Em andamento",AND(L117&gt;=$M$3,J117&lt;$M$3),"Atrasado",AND(L117&gt;=$M$3,J117&gt;=$M$3,I117&gt;$M$3,K117&lt;=$M$3),"Em andamento",AND(L117&gt;=$M$3,J117&gt;=$M$3,I117&lt;=$M$3,K117&lt;=$M$3),"Em andamento",AND(K117&gt;$M$3,I117&gt;$M$3),"Não iniciado",AND(L117&gt;=$M$3,J117&gt;=$M$3,K117&gt;=$M$3,I117&lt;$M$3),"Atrasado",AND(L117&gt;=$M$3,J117&gt;=$M$3,K117&gt;=$M$3,I117&gt;$M$3),"Não iniciado",AND($I117&lt;=$M$3,$K117&gt;$M$3),"Atrasado")</f>
        <v>Concluído</v>
      </c>
      <c r="O117" s="167">
        <f t="array" ref="O117">_xlfn.IFS(N117="Não iniciado",0,N117="Em andamento",1,N117="Concluído",2,N117="Atrasado",3)</f>
        <v>2</v>
      </c>
      <c r="P117" s="169"/>
      <c r="Q117" s="152">
        <f t="array" aca="1" ref="Q117" ca="1">_xlfn.IFS(AND($I117&lt;$N$3,$J117&lt;$N$3),1,AND($I117&lt;=$N$3,$J117&gt;=$N$3),0.5,AND($I117&gt;=$N$3,$J117&gt;=$N$3),0)</f>
        <v>1</v>
      </c>
      <c r="R117" s="152">
        <f t="array" aca="1" ref="R117" ca="1">_xlfn.IFS(AND($K117&lt;$N$3,$L117&lt;$N$3),1,AND($K117&lt;=$N$3,$L117&gt;=$N$3),0.5,AND($K117&gt;=$N$3,$L117&gt;=$N$3),0)</f>
        <v>1</v>
      </c>
      <c r="S117" s="201" t="e">
        <f t="array" ref="S117">_xlfn.IFS(AND($K117&gt;R$7,$L117&gt;R$7),0,AND($K117&lt;=R$7,$L117&lt;=R$7),1,AND($K117&lt;=R$7,$L117&gt;R$7),((R$7-$K117)/($L117-$K117)))</f>
        <v>#REF!</v>
      </c>
      <c r="T117" s="201" t="e">
        <f t="array" ref="T117">_xlfn.IFS(AND($K117&gt;S$7,$L117&gt;S$7),0,AND($K117&lt;=S$7,$L117&lt;=S$7),1,AND($K117&lt;=S$7,$L117&gt;S$7),((S$7-$K117)/($L117-$K117)))</f>
        <v>#REF!</v>
      </c>
      <c r="U117" s="201" t="e">
        <f t="array" ref="U117">_xlfn.IFS(AND($K117&gt;T$7,$L117&gt;T$7),0,AND($K117&lt;=T$7,$L117&lt;=T$7),1,AND($K117&lt;=T$7,$L117&gt;T$7),((T$7-$K117)/($L117-$K117)))</f>
        <v>#REF!</v>
      </c>
      <c r="V117" s="201" t="e">
        <f t="array" ref="V117">_xlfn.IFS(AND($K117&gt;U$7,$L117&gt;U$7),0,AND($K117&lt;=U$7,$L117&lt;=U$7),1,AND($K117&lt;=U$7,$L117&gt;U$7),((U$7-$K117)/($L117-$K117)))</f>
        <v>#REF!</v>
      </c>
      <c r="W117" s="201" t="e">
        <f t="array" ref="W117">_xlfn.IFS(AND($K117&gt;V$7,$L117&gt;V$7),0,AND($K117&lt;=V$7,$L117&lt;=V$7),1,AND($K117&lt;=V$7,$L117&gt;V$7),((V$7-$K117)/($L117-$K117)))</f>
        <v>#REF!</v>
      </c>
      <c r="X117" s="201" t="e">
        <f t="array" ref="X117">_xlfn.IFS(AND($K117&gt;W$7,$L117&gt;W$7),0,AND($K117&lt;=W$7,$L117&lt;=W$7),1,AND($K117&lt;=W$7,$L117&gt;W$7),((W$7-$K117)/($L117-$K117)))</f>
        <v>#REF!</v>
      </c>
      <c r="Y117" s="201" t="e">
        <f t="array" ref="Y117">_xlfn.IFS(AND($K117&gt;X$7,$L117&gt;X$7),0,AND($K117&lt;=X$7,$L117&lt;=X$7),1,AND($K117&lt;=X$7,$L117&gt;X$7),((X$7-$K117)/($L117-$K117)))</f>
        <v>#REF!</v>
      </c>
      <c r="Z117" s="201" t="e">
        <f t="array" ref="Z117">_xlfn.IFS(AND($K117&gt;Y$7,$L117&gt;Y$7),0,AND($K117&lt;=Y$7,$L117&lt;=Y$7),1,AND($K117&lt;=Y$7,$L117&gt;Y$7),((Y$7-$K117)/($L117-$K117)))</f>
        <v>#REF!</v>
      </c>
      <c r="AA117" s="201" t="e">
        <f t="array" ref="AA117">_xlfn.IFS(AND($K117&gt;Z$7,$L117&gt;Z$7),0,AND($K117&lt;=Z$7,$L117&lt;=Z$7),1,AND($K117&lt;=Z$7,$L117&gt;Z$7),((Z$7-$K117)/($L117-$K117)))</f>
        <v>#REF!</v>
      </c>
      <c r="AB117" s="201" t="e">
        <f t="array" ref="AB117">_xlfn.IFS(AND($K117&gt;AA$7,$L117&gt;AA$7),0,AND($K117&lt;=AA$7,$L117&lt;=AA$7),1,AND($K117&lt;=AA$7,$L117&gt;AA$7),((AA$7-$K117)/($L117-$K117)))</f>
        <v>#REF!</v>
      </c>
      <c r="AC117" s="201" t="e">
        <f t="array" ref="AC117">_xlfn.IFS(AND($K117&gt;AB$7,$L117&gt;AB$7),0,AND($K117&lt;=AB$7,$L117&lt;=AB$7),1,AND($K117&lt;=AB$7,$L117&gt;AB$7),((AB$7-$K117)/($L117-$K117)))</f>
        <v>#REF!</v>
      </c>
      <c r="AD117" s="201" t="e">
        <f t="array" ref="AD117">_xlfn.IFS(AND($K117&gt;AC$7,$L117&gt;AC$7),0,AND($K117&lt;=AC$7,$L117&lt;=AC$7),1,AND($K117&lt;=AC$7,$L117&gt;AC$7),((AC$7-$K117)/($L117-$K117)))</f>
        <v>#REF!</v>
      </c>
      <c r="AE117" s="201" t="e">
        <f t="array" ref="AE117">_xlfn.IFS(AND($K117&gt;AD$7,$L117&gt;AD$7),0,AND($K117&lt;=AD$7,$L117&lt;=AD$7),1,AND($K117&lt;=AD$7,$L117&gt;AD$7),((AD$7-$K117)/($L117-$K117)))</f>
        <v>#REF!</v>
      </c>
      <c r="AF117" s="201" t="e">
        <f t="array" ref="AF117">_xlfn.IFS(AND($K117&gt;AE$7,$L117&gt;AE$7),0,AND($K117&lt;=AE$7,$L117&lt;=AE$7),1,AND($K117&lt;=AE$7,$L117&gt;AE$7),((AE$7-$K117)/($L117-$K117)))</f>
        <v>#REF!</v>
      </c>
      <c r="AG117" s="201" t="e">
        <f t="array" ref="AG117">_xlfn.IFS(AND($K117&gt;AF$7,$L117&gt;AF$7),0,AND($K117&lt;=AF$7,$L117&lt;=AF$7),1,AND($K117&lt;=AF$7,$L117&gt;AF$7),((AF$7-$K117)/($L117-$K117)))</f>
        <v>#REF!</v>
      </c>
      <c r="AH117" s="201" t="e">
        <f t="array" ref="AH117">_xlfn.IFS(AND($K117&gt;AG$7,$L117&gt;AG$7),0,AND($K117&lt;=AG$7,$L117&lt;=AG$7),1,AND($K117&lt;=AG$7,$L117&gt;AG$7),((AG$7-$K117)/($L117-$K117)))</f>
        <v>#REF!</v>
      </c>
      <c r="AI117" s="201" t="e">
        <f t="array" ref="AI117">_xlfn.IFS(AND($K117&gt;AH$7,$L117&gt;AH$7),0,AND($K117&lt;=AH$7,$L117&lt;=AH$7),1,AND($K117&lt;=AH$7,$L117&gt;AH$7),((AH$7-$K117)/($L117-$K117)))</f>
        <v>#REF!</v>
      </c>
      <c r="AJ117" s="201" t="e">
        <f t="array" ref="AJ117">_xlfn.IFS(AND($K117&gt;AI$7,$L117&gt;AI$7),0,AND($K117&lt;=AI$7,$L117&lt;=AI$7),1,AND($K117&lt;=AI$7,$L117&gt;AI$7),((AI$7-$K117)/($L117-$K117)))</f>
        <v>#REF!</v>
      </c>
      <c r="AK117" s="201" t="e">
        <f t="array" ref="AK117">_xlfn.IFS(AND($K117&gt;AJ$7,$L117&gt;AJ$7),0,AND($K117&lt;=AJ$7,$L117&lt;=AJ$7),1,AND($K117&lt;=AJ$7,$L117&gt;AJ$7),((AJ$7-$K117)/($L117-$K117)))</f>
        <v>#REF!</v>
      </c>
      <c r="AL117" s="201" t="e">
        <f t="array" ref="AL117">_xlfn.IFS(AND($K117&gt;AK$7,$L117&gt;AK$7),0,AND($K117&lt;=AK$7,$L117&lt;=AK$7),1,AND($K117&lt;=AK$7,$L117&gt;AK$7),((AK$7-$K117)/($L117-$K117)))</f>
        <v>#REF!</v>
      </c>
      <c r="AM117" s="201" t="e">
        <f t="array" ref="AM117">_xlfn.IFS(AND($K117&gt;AL$7,$L117&gt;AL$7),0,AND($K117&lt;=AL$7,$L117&lt;=AL$7),1,AND($K117&lt;=AL$7,$L117&gt;AL$7),((AL$7-$K117)/($L117-$K117)))</f>
        <v>#REF!</v>
      </c>
      <c r="AN117" s="201" t="e">
        <f t="array" ref="AN117">_xlfn.IFS(AND($K117&gt;AM$7,$L117&gt;AM$7),0,AND($K117&lt;=AM$7,$L117&lt;=AM$7),1,AND($K117&lt;=AM$7,$L117&gt;AM$7),((AM$7-$K117)/($L117-$K117)))</f>
        <v>#REF!</v>
      </c>
      <c r="AO117" s="201" t="e">
        <f t="array" ref="AO117">_xlfn.IFS(AND($K117&gt;AN$7,$L117&gt;AN$7),0,AND($K117&lt;=AN$7,$L117&lt;=AN$7),1,AND($K117&lt;=AN$7,$L117&gt;AN$7),((AN$7-$K117)/($L117-$K117)))</f>
        <v>#REF!</v>
      </c>
      <c r="AP117" s="201" t="e">
        <f t="array" ref="AP117">_xlfn.IFS(AND($K117&gt;AO$7,$L117&gt;AO$7),0,AND($K117&lt;=AO$7,$L117&lt;=AO$7),1,AND($K117&lt;=AO$7,$L117&gt;AO$7),((AO$7-$K117)/($L117-$K117)))</f>
        <v>#REF!</v>
      </c>
      <c r="AQ117" s="201" t="e">
        <f t="array" ref="AQ117">_xlfn.IFS(AND($K117&gt;AP$7,$L117&gt;AP$7),0,AND($K117&lt;=AP$7,$L117&lt;=AP$7),1,AND($K117&lt;=AP$7,$L117&gt;AP$7),((AP$7-$K117)/($L117-$K117)))</f>
        <v>#REF!</v>
      </c>
      <c r="AR117" s="201" t="e">
        <f t="array" ref="AR117">_xlfn.IFS(AND($K117&gt;AQ$7,$L117&gt;AQ$7),0,AND($K117&lt;=AQ$7,$L117&lt;=AQ$7),1,AND($K117&lt;=AQ$7,$L117&gt;AQ$7),((AQ$7-$K117)/($L117-$K117)))</f>
        <v>#REF!</v>
      </c>
      <c r="AS117" s="201" t="e">
        <f t="array" ref="AS117">_xlfn.IFS(AND($K117&gt;AR$7,$L117&gt;AR$7),0,AND($K117&lt;=AR$7,$L117&lt;=AR$7),1,AND($K117&lt;=AR$7,$L117&gt;AR$7),((AR$7-$K117)/($L117-$K117)))</f>
        <v>#REF!</v>
      </c>
      <c r="AT117" s="201" t="e">
        <f t="array" ref="AT117">_xlfn.IFS(AND($K117&gt;AS$7,$L117&gt;AS$7),0,AND($K117&lt;=AS$7,$L117&lt;=AS$7),1,AND($K117&lt;=AS$7,$L117&gt;AS$7),((AS$7-$K117)/($L117-$K117)))</f>
        <v>#REF!</v>
      </c>
      <c r="AU117" s="201" t="e">
        <f t="array" ref="AU117">_xlfn.IFS(AND($K117&gt;AT$7,$L117&gt;AT$7),0,AND($K117&lt;=AT$7,$L117&lt;=AT$7),1,AND($K117&lt;=AT$7,$L117&gt;AT$7),((AT$7-$K117)/($L117-$K117)))</f>
        <v>#REF!</v>
      </c>
      <c r="AV117" s="201" t="e">
        <f t="array" ref="AV117">_xlfn.IFS(AND($K117&gt;AU$7,$L117&gt;AU$7),0,AND($K117&lt;=AU$7,$L117&lt;=AU$7),1,AND($K117&lt;=AU$7,$L117&gt;AU$7),((AU$7-$K117)/($L117-$K117)))</f>
        <v>#REF!</v>
      </c>
      <c r="AW117" s="201" t="e">
        <f t="array" ref="AW117">_xlfn.IFS(AND($K117&gt;AV$7,$L117&gt;AV$7),0,AND($K117&lt;=AV$7,$L117&lt;=AV$7),1,AND($K117&lt;=AV$7,$L117&gt;AV$7),((AV$7-$K117)/($L117-$K117)))</f>
        <v>#REF!</v>
      </c>
      <c r="AX117" s="201" t="e">
        <f t="array" ref="AX117">_xlfn.IFS(AND($K117&gt;AW$7,$L117&gt;AW$7),0,AND($K117&lt;=AW$7,$L117&lt;=AW$7),1,AND($K117&lt;=AW$7,$L117&gt;AW$7),((AW$7-$K117)/($L117-$K117)))</f>
        <v>#REF!</v>
      </c>
      <c r="AY117" s="201" t="e">
        <f t="array" ref="AY117">_xlfn.IFS(AND($K117&gt;AX$7,$L117&gt;AX$7),0,AND($K117&lt;=AX$7,$L117&lt;=AX$7),1,AND($K117&lt;=AX$7,$L117&gt;AX$7),((AX$7-$K117)/($L117-$K117)))</f>
        <v>#REF!</v>
      </c>
      <c r="AZ117" s="201" t="e">
        <f t="array" ref="AZ117">_xlfn.IFS(AND($K117&gt;AY$7,$L117&gt;AY$7),0,AND($K117&lt;=AY$7,$L117&lt;=AY$7),1,AND($K117&lt;=AY$7,$L117&gt;AY$7),((AY$7-$K117)/($L117-$K117)))</f>
        <v>#REF!</v>
      </c>
      <c r="BA117" s="201" t="e">
        <f t="array" ref="BA117">_xlfn.IFS(AND($K117&gt;AZ$7,$L117&gt;AZ$7),0,AND($K117&lt;=AZ$7,$L117&lt;=AZ$7),1,AND($K117&lt;=AZ$7,$L117&gt;AZ$7),((AZ$7-$K117)/($L117-$K117)))</f>
        <v>#REF!</v>
      </c>
      <c r="BB117" s="201" t="e">
        <f t="array" ref="BB117">_xlfn.IFS(AND($K117&gt;BA$7,$L117&gt;BA$7),0,AND($K117&lt;=BA$7,$L117&lt;=BA$7),1,AND($K117&lt;=BA$7,$L117&gt;BA$7),((BA$7-$K117)/($L117-$K117)))</f>
        <v>#REF!</v>
      </c>
      <c r="BC117" s="201" t="e">
        <f t="array" ref="BC117">_xlfn.IFS(AND($K117&gt;BB$7,$L117&gt;BB$7),0,AND($K117&lt;=BB$7,$L117&lt;=BB$7),1,AND($K117&lt;=BB$7,$L117&gt;BB$7),((BB$7-$K117)/($L117-$K117)))</f>
        <v>#REF!</v>
      </c>
      <c r="BD117" s="201" t="e">
        <f t="array" ref="BD117">_xlfn.IFS(AND($K117&gt;BC$7,$L117&gt;BC$7),0,AND($K117&lt;=BC$7,$L117&lt;=BC$7),1,AND($K117&lt;=BC$7,$L117&gt;BC$7),((BC$7-$K117)/($L117-$K117)))</f>
        <v>#REF!</v>
      </c>
      <c r="BE117" s="201" t="e">
        <f t="array" ref="BE117">_xlfn.IFS(AND($K117&gt;BD$7,$L117&gt;BD$7),0,AND($K117&lt;=BD$7,$L117&lt;=BD$7),1,AND($K117&lt;=BD$7,$L117&gt;BD$7),((BD$7-$K117)/($L117-$K117)))</f>
        <v>#REF!</v>
      </c>
      <c r="BF117" s="201" t="e">
        <f t="array" ref="BF117">_xlfn.IFS(AND($K117&gt;BE$7,$L117&gt;BE$7),0,AND($K117&lt;=BE$7,$L117&lt;=BE$7),1,AND($K117&lt;=BE$7,$L117&gt;BE$7),((BE$7-$K117)/($L117-$K117)))</f>
        <v>#REF!</v>
      </c>
      <c r="BG117" s="201" t="e">
        <f t="array" ref="BG117">_xlfn.IFS(AND($K117&gt;BF$7,$L117&gt;BF$7),0,AND($K117&lt;=BF$7,$L117&lt;=BF$7),1,AND($K117&lt;=BF$7,$L117&gt;BF$7),((BF$7-$K117)/($L117-$K117)))</f>
        <v>#REF!</v>
      </c>
      <c r="BH117" s="201" t="e">
        <f t="array" ref="BH117">_xlfn.IFS(AND($K117&gt;BG$7,$L117&gt;BG$7),0,AND($K117&lt;=BG$7,$L117&lt;=BG$7),1,AND($K117&lt;=BG$7,$L117&gt;BG$7),((BG$7-$K117)/($L117-$K117)))</f>
        <v>#REF!</v>
      </c>
      <c r="BI117" s="201" t="e">
        <f t="array" ref="BI117">_xlfn.IFS(AND($K117&gt;BH$7,$L117&gt;BH$7),0,AND($K117&lt;=BH$7,$L117&lt;=BH$7),1,AND($K117&lt;=BH$7,$L117&gt;BH$7),((BH$7-$K117)/($L117-$K117)))</f>
        <v>#REF!</v>
      </c>
      <c r="BJ117" s="201" t="e">
        <f t="array" ref="BJ117">_xlfn.IFS(AND($K117&gt;BI$7,$L117&gt;BI$7),0,AND($K117&lt;=BI$7,$L117&lt;=BI$7),1,AND($K117&lt;=BI$7,$L117&gt;BI$7),((BI$7-$K117)/($L117-$K117)))</f>
        <v>#REF!</v>
      </c>
      <c r="BK117" s="201" t="e">
        <f t="array" ref="BK117">_xlfn.IFS(AND($K117&gt;BJ$7,$L117&gt;BJ$7),0,AND($K117&lt;=BJ$7,$L117&lt;=BJ$7),1,AND($K117&lt;=BJ$7,$L117&gt;BJ$7),((BJ$7-$K117)/($L117-$K117)))</f>
        <v>#REF!</v>
      </c>
      <c r="BL117" s="201" t="e">
        <f t="array" ref="BL117">_xlfn.IFS(AND($K117&gt;BK$7,$L117&gt;BK$7),0,AND($K117&lt;=BK$7,$L117&lt;=BK$7),1,AND($K117&lt;=BK$7,$L117&gt;BK$7),((BK$7-$K117)/($L117-$K117)))</f>
        <v>#REF!</v>
      </c>
      <c r="BM117" s="201" t="e">
        <f t="array" ref="BM117">_xlfn.IFS(AND($K117&gt;BL$7,$L117&gt;BL$7),0,AND($K117&lt;=BL$7,$L117&lt;=BL$7),1,AND($K117&lt;=BL$7,$L117&gt;BL$7),((BL$7-$K117)/($L117-$K117)))</f>
        <v>#REF!</v>
      </c>
      <c r="BN117" s="201" t="e">
        <f t="array" ref="BN117">_xlfn.IFS(AND($K117&gt;BM$7,$L117&gt;BM$7),0,AND($K117&lt;=BM$7,$L117&lt;=BM$7),1,AND($K117&lt;=BM$7,$L117&gt;BM$7),((BM$7-$K117)/($L117-$K117)))</f>
        <v>#REF!</v>
      </c>
    </row>
    <row r="118" spans="2:66" x14ac:dyDescent="0.3">
      <c r="B118" s="166" t="str">
        <f t="array" ref="B118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18" s="166" t="s">
        <v>282</v>
      </c>
      <c r="D118" s="177"/>
      <c r="E118" s="170" t="str">
        <f t="shared" si="51"/>
        <v>Desenvolvimento da Transformação dos Processos</v>
      </c>
      <c r="F118" s="174" t="str">
        <f t="shared" si="48"/>
        <v>Transformação do Processo</v>
      </c>
      <c r="G118" s="166" t="str">
        <f t="shared" si="52"/>
        <v>Transformação do Processo</v>
      </c>
      <c r="H118" s="197" t="s">
        <v>283</v>
      </c>
      <c r="I118" s="166">
        <v>45809</v>
      </c>
      <c r="J118" s="166">
        <v>45823</v>
      </c>
      <c r="K118" s="166">
        <v>45809</v>
      </c>
      <c r="L118" s="166">
        <v>45823</v>
      </c>
      <c r="M118" s="167"/>
      <c r="N118" s="167" t="str">
        <f t="array" ref="N118">_xlfn.IFS(L118&lt;$M$3,"Concluído",AND(K118&gt;=$M$3,I118&lt;$M$3,L118&gt;$M$3),"Em andamento",AND(L118&gt;=$M$3,J118&lt;$M$3),"Atrasado",AND(L118&gt;=$M$3,J118&gt;=$M$3,I118&gt;$M$3,K118&lt;=$M$3),"Em andamento",AND(L118&gt;=$M$3,J118&gt;=$M$3,I118&lt;=$M$3,K118&lt;=$M$3),"Em andamento",AND(K118&gt;$M$3,I118&gt;$M$3),"Não iniciado",AND(L118&gt;=$M$3,J118&gt;=$M$3,K118&gt;=$M$3,I118&lt;$M$3),"Atrasado",AND(L118&gt;=$M$3,J118&gt;=$M$3,K118&gt;=$M$3,I118&gt;$M$3),"Não iniciado",AND($I118&lt;=$M$3,$K118&gt;$M$3),"Atrasado")</f>
        <v>Concluído</v>
      </c>
      <c r="O118" s="167">
        <f t="array" ref="O118">_xlfn.IFS(N118="Não iniciado",0,N118="Em andamento",1,N118="Concluído",2,N118="Atrasado",3)</f>
        <v>2</v>
      </c>
      <c r="P118" s="169"/>
      <c r="Q118" s="152">
        <f t="array" aca="1" ref="Q118" ca="1">_xlfn.IFS(AND($I118&lt;$N$3,$J118&lt;$N$3),1,AND($I118&lt;=$N$3,$J118&gt;=$N$3),0.5,AND($I118&gt;=$N$3,$J118&gt;=$N$3),0)</f>
        <v>1</v>
      </c>
      <c r="R118" s="152">
        <f t="array" aca="1" ref="R118" ca="1">_xlfn.IFS(AND($K118&lt;$N$3,$L118&lt;$N$3),1,AND($K118&lt;=$N$3,$L118&gt;=$N$3),0.5,AND($K118&gt;=$N$3,$L118&gt;=$N$3),0)</f>
        <v>1</v>
      </c>
      <c r="S118" s="201" t="e">
        <f t="array" ref="S118">_xlfn.IFS(AND($K118&gt;R$7,$L118&gt;R$7),0,AND($K118&lt;=R$7,$L118&lt;=R$7),1,AND($K118&lt;=R$7,$L118&gt;R$7),((R$7-$K118)/($L118-$K118)))</f>
        <v>#REF!</v>
      </c>
      <c r="T118" s="201" t="e">
        <f t="array" ref="T118">_xlfn.IFS(AND($K118&gt;S$7,$L118&gt;S$7),0,AND($K118&lt;=S$7,$L118&lt;=S$7),1,AND($K118&lt;=S$7,$L118&gt;S$7),((S$7-$K118)/($L118-$K118)))</f>
        <v>#REF!</v>
      </c>
      <c r="U118" s="201" t="e">
        <f t="array" ref="U118">_xlfn.IFS(AND($K118&gt;T$7,$L118&gt;T$7),0,AND($K118&lt;=T$7,$L118&lt;=T$7),1,AND($K118&lt;=T$7,$L118&gt;T$7),((T$7-$K118)/($L118-$K118)))</f>
        <v>#REF!</v>
      </c>
      <c r="V118" s="201" t="e">
        <f t="array" ref="V118">_xlfn.IFS(AND($K118&gt;U$7,$L118&gt;U$7),0,AND($K118&lt;=U$7,$L118&lt;=U$7),1,AND($K118&lt;=U$7,$L118&gt;U$7),((U$7-$K118)/($L118-$K118)))</f>
        <v>#REF!</v>
      </c>
      <c r="W118" s="201" t="e">
        <f t="array" ref="W118">_xlfn.IFS(AND($K118&gt;V$7,$L118&gt;V$7),0,AND($K118&lt;=V$7,$L118&lt;=V$7),1,AND($K118&lt;=V$7,$L118&gt;V$7),((V$7-$K118)/($L118-$K118)))</f>
        <v>#REF!</v>
      </c>
      <c r="X118" s="201" t="e">
        <f t="array" ref="X118">_xlfn.IFS(AND($K118&gt;W$7,$L118&gt;W$7),0,AND($K118&lt;=W$7,$L118&lt;=W$7),1,AND($K118&lt;=W$7,$L118&gt;W$7),((W$7-$K118)/($L118-$K118)))</f>
        <v>#REF!</v>
      </c>
      <c r="Y118" s="201" t="e">
        <f t="array" ref="Y118">_xlfn.IFS(AND($K118&gt;X$7,$L118&gt;X$7),0,AND($K118&lt;=X$7,$L118&lt;=X$7),1,AND($K118&lt;=X$7,$L118&gt;X$7),((X$7-$K118)/($L118-$K118)))</f>
        <v>#REF!</v>
      </c>
      <c r="Z118" s="201" t="e">
        <f t="array" ref="Z118">_xlfn.IFS(AND($K118&gt;Y$7,$L118&gt;Y$7),0,AND($K118&lt;=Y$7,$L118&lt;=Y$7),1,AND($K118&lt;=Y$7,$L118&gt;Y$7),((Y$7-$K118)/($L118-$K118)))</f>
        <v>#REF!</v>
      </c>
      <c r="AA118" s="201" t="e">
        <f t="array" ref="AA118">_xlfn.IFS(AND($K118&gt;Z$7,$L118&gt;Z$7),0,AND($K118&lt;=Z$7,$L118&lt;=Z$7),1,AND($K118&lt;=Z$7,$L118&gt;Z$7),((Z$7-$K118)/($L118-$K118)))</f>
        <v>#REF!</v>
      </c>
      <c r="AB118" s="201" t="e">
        <f t="array" ref="AB118">_xlfn.IFS(AND($K118&gt;AA$7,$L118&gt;AA$7),0,AND($K118&lt;=AA$7,$L118&lt;=AA$7),1,AND($K118&lt;=AA$7,$L118&gt;AA$7),((AA$7-$K118)/($L118-$K118)))</f>
        <v>#REF!</v>
      </c>
      <c r="AC118" s="201" t="e">
        <f t="array" ref="AC118">_xlfn.IFS(AND($K118&gt;AB$7,$L118&gt;AB$7),0,AND($K118&lt;=AB$7,$L118&lt;=AB$7),1,AND($K118&lt;=AB$7,$L118&gt;AB$7),((AB$7-$K118)/($L118-$K118)))</f>
        <v>#REF!</v>
      </c>
      <c r="AD118" s="201" t="e">
        <f t="array" ref="AD118">_xlfn.IFS(AND($K118&gt;AC$7,$L118&gt;AC$7),0,AND($K118&lt;=AC$7,$L118&lt;=AC$7),1,AND($K118&lt;=AC$7,$L118&gt;AC$7),((AC$7-$K118)/($L118-$K118)))</f>
        <v>#REF!</v>
      </c>
      <c r="AE118" s="201" t="e">
        <f t="array" ref="AE118">_xlfn.IFS(AND($K118&gt;AD$7,$L118&gt;AD$7),0,AND($K118&lt;=AD$7,$L118&lt;=AD$7),1,AND($K118&lt;=AD$7,$L118&gt;AD$7),((AD$7-$K118)/($L118-$K118)))</f>
        <v>#REF!</v>
      </c>
      <c r="AF118" s="201" t="e">
        <f t="array" ref="AF118">_xlfn.IFS(AND($K118&gt;AE$7,$L118&gt;AE$7),0,AND($K118&lt;=AE$7,$L118&lt;=AE$7),1,AND($K118&lt;=AE$7,$L118&gt;AE$7),((AE$7-$K118)/($L118-$K118)))</f>
        <v>#REF!</v>
      </c>
      <c r="AG118" s="201" t="e">
        <f t="array" ref="AG118">_xlfn.IFS(AND($K118&gt;AF$7,$L118&gt;AF$7),0,AND($K118&lt;=AF$7,$L118&lt;=AF$7),1,AND($K118&lt;=AF$7,$L118&gt;AF$7),((AF$7-$K118)/($L118-$K118)))</f>
        <v>#REF!</v>
      </c>
      <c r="AH118" s="201" t="e">
        <f t="array" ref="AH118">_xlfn.IFS(AND($K118&gt;AG$7,$L118&gt;AG$7),0,AND($K118&lt;=AG$7,$L118&lt;=AG$7),1,AND($K118&lt;=AG$7,$L118&gt;AG$7),((AG$7-$K118)/($L118-$K118)))</f>
        <v>#REF!</v>
      </c>
      <c r="AI118" s="201" t="e">
        <f t="array" ref="AI118">_xlfn.IFS(AND($K118&gt;AH$7,$L118&gt;AH$7),0,AND($K118&lt;=AH$7,$L118&lt;=AH$7),1,AND($K118&lt;=AH$7,$L118&gt;AH$7),((AH$7-$K118)/($L118-$K118)))</f>
        <v>#REF!</v>
      </c>
      <c r="AJ118" s="201" t="e">
        <f t="array" ref="AJ118">_xlfn.IFS(AND($K118&gt;AI$7,$L118&gt;AI$7),0,AND($K118&lt;=AI$7,$L118&lt;=AI$7),1,AND($K118&lt;=AI$7,$L118&gt;AI$7),((AI$7-$K118)/($L118-$K118)))</f>
        <v>#REF!</v>
      </c>
      <c r="AK118" s="201" t="e">
        <f t="array" ref="AK118">_xlfn.IFS(AND($K118&gt;AJ$7,$L118&gt;AJ$7),0,AND($K118&lt;=AJ$7,$L118&lt;=AJ$7),1,AND($K118&lt;=AJ$7,$L118&gt;AJ$7),((AJ$7-$K118)/($L118-$K118)))</f>
        <v>#REF!</v>
      </c>
      <c r="AL118" s="201" t="e">
        <f t="array" ref="AL118">_xlfn.IFS(AND($K118&gt;AK$7,$L118&gt;AK$7),0,AND($K118&lt;=AK$7,$L118&lt;=AK$7),1,AND($K118&lt;=AK$7,$L118&gt;AK$7),((AK$7-$K118)/($L118-$K118)))</f>
        <v>#REF!</v>
      </c>
      <c r="AM118" s="201" t="e">
        <f t="array" ref="AM118">_xlfn.IFS(AND($K118&gt;AL$7,$L118&gt;AL$7),0,AND($K118&lt;=AL$7,$L118&lt;=AL$7),1,AND($K118&lt;=AL$7,$L118&gt;AL$7),((AL$7-$K118)/($L118-$K118)))</f>
        <v>#REF!</v>
      </c>
      <c r="AN118" s="201" t="e">
        <f t="array" ref="AN118">_xlfn.IFS(AND($K118&gt;AM$7,$L118&gt;AM$7),0,AND($K118&lt;=AM$7,$L118&lt;=AM$7),1,AND($K118&lt;=AM$7,$L118&gt;AM$7),((AM$7-$K118)/($L118-$K118)))</f>
        <v>#REF!</v>
      </c>
      <c r="AO118" s="201" t="e">
        <f t="array" ref="AO118">_xlfn.IFS(AND($K118&gt;AN$7,$L118&gt;AN$7),0,AND($K118&lt;=AN$7,$L118&lt;=AN$7),1,AND($K118&lt;=AN$7,$L118&gt;AN$7),((AN$7-$K118)/($L118-$K118)))</f>
        <v>#REF!</v>
      </c>
      <c r="AP118" s="201" t="e">
        <f t="array" ref="AP118">_xlfn.IFS(AND($K118&gt;AO$7,$L118&gt;AO$7),0,AND($K118&lt;=AO$7,$L118&lt;=AO$7),1,AND($K118&lt;=AO$7,$L118&gt;AO$7),((AO$7-$K118)/($L118-$K118)))</f>
        <v>#REF!</v>
      </c>
      <c r="AQ118" s="201" t="e">
        <f t="array" ref="AQ118">_xlfn.IFS(AND($K118&gt;AP$7,$L118&gt;AP$7),0,AND($K118&lt;=AP$7,$L118&lt;=AP$7),1,AND($K118&lt;=AP$7,$L118&gt;AP$7),((AP$7-$K118)/($L118-$K118)))</f>
        <v>#REF!</v>
      </c>
      <c r="AR118" s="201" t="e">
        <f t="array" ref="AR118">_xlfn.IFS(AND($K118&gt;AQ$7,$L118&gt;AQ$7),0,AND($K118&lt;=AQ$7,$L118&lt;=AQ$7),1,AND($K118&lt;=AQ$7,$L118&gt;AQ$7),((AQ$7-$K118)/($L118-$K118)))</f>
        <v>#REF!</v>
      </c>
      <c r="AS118" s="201" t="e">
        <f t="array" ref="AS118">_xlfn.IFS(AND($K118&gt;AR$7,$L118&gt;AR$7),0,AND($K118&lt;=AR$7,$L118&lt;=AR$7),1,AND($K118&lt;=AR$7,$L118&gt;AR$7),((AR$7-$K118)/($L118-$K118)))</f>
        <v>#REF!</v>
      </c>
      <c r="AT118" s="201" t="e">
        <f t="array" ref="AT118">_xlfn.IFS(AND($K118&gt;AS$7,$L118&gt;AS$7),0,AND($K118&lt;=AS$7,$L118&lt;=AS$7),1,AND($K118&lt;=AS$7,$L118&gt;AS$7),((AS$7-$K118)/($L118-$K118)))</f>
        <v>#REF!</v>
      </c>
      <c r="AU118" s="201" t="e">
        <f t="array" ref="AU118">_xlfn.IFS(AND($K118&gt;AT$7,$L118&gt;AT$7),0,AND($K118&lt;=AT$7,$L118&lt;=AT$7),1,AND($K118&lt;=AT$7,$L118&gt;AT$7),((AT$7-$K118)/($L118-$K118)))</f>
        <v>#REF!</v>
      </c>
      <c r="AV118" s="201" t="e">
        <f t="array" ref="AV118">_xlfn.IFS(AND($K118&gt;AU$7,$L118&gt;AU$7),0,AND($K118&lt;=AU$7,$L118&lt;=AU$7),1,AND($K118&lt;=AU$7,$L118&gt;AU$7),((AU$7-$K118)/($L118-$K118)))</f>
        <v>#REF!</v>
      </c>
      <c r="AW118" s="201" t="e">
        <f t="array" ref="AW118">_xlfn.IFS(AND($K118&gt;AV$7,$L118&gt;AV$7),0,AND($K118&lt;=AV$7,$L118&lt;=AV$7),1,AND($K118&lt;=AV$7,$L118&gt;AV$7),((AV$7-$K118)/($L118-$K118)))</f>
        <v>#REF!</v>
      </c>
      <c r="AX118" s="201" t="e">
        <f t="array" ref="AX118">_xlfn.IFS(AND($K118&gt;AW$7,$L118&gt;AW$7),0,AND($K118&lt;=AW$7,$L118&lt;=AW$7),1,AND($K118&lt;=AW$7,$L118&gt;AW$7),((AW$7-$K118)/($L118-$K118)))</f>
        <v>#REF!</v>
      </c>
      <c r="AY118" s="201" t="e">
        <f t="array" ref="AY118">_xlfn.IFS(AND($K118&gt;AX$7,$L118&gt;AX$7),0,AND($K118&lt;=AX$7,$L118&lt;=AX$7),1,AND($K118&lt;=AX$7,$L118&gt;AX$7),((AX$7-$K118)/($L118-$K118)))</f>
        <v>#REF!</v>
      </c>
      <c r="AZ118" s="201" t="e">
        <f t="array" ref="AZ118">_xlfn.IFS(AND($K118&gt;AY$7,$L118&gt;AY$7),0,AND($K118&lt;=AY$7,$L118&lt;=AY$7),1,AND($K118&lt;=AY$7,$L118&gt;AY$7),((AY$7-$K118)/($L118-$K118)))</f>
        <v>#REF!</v>
      </c>
      <c r="BA118" s="201" t="e">
        <f t="array" ref="BA118">_xlfn.IFS(AND($K118&gt;AZ$7,$L118&gt;AZ$7),0,AND($K118&lt;=AZ$7,$L118&lt;=AZ$7),1,AND($K118&lt;=AZ$7,$L118&gt;AZ$7),((AZ$7-$K118)/($L118-$K118)))</f>
        <v>#REF!</v>
      </c>
      <c r="BB118" s="201" t="e">
        <f t="array" ref="BB118">_xlfn.IFS(AND($K118&gt;BA$7,$L118&gt;BA$7),0,AND($K118&lt;=BA$7,$L118&lt;=BA$7),1,AND($K118&lt;=BA$7,$L118&gt;BA$7),((BA$7-$K118)/($L118-$K118)))</f>
        <v>#REF!</v>
      </c>
      <c r="BC118" s="201" t="e">
        <f t="array" ref="BC118">_xlfn.IFS(AND($K118&gt;BB$7,$L118&gt;BB$7),0,AND($K118&lt;=BB$7,$L118&lt;=BB$7),1,AND($K118&lt;=BB$7,$L118&gt;BB$7),((BB$7-$K118)/($L118-$K118)))</f>
        <v>#REF!</v>
      </c>
      <c r="BD118" s="201" t="e">
        <f t="array" ref="BD118">_xlfn.IFS(AND($K118&gt;BC$7,$L118&gt;BC$7),0,AND($K118&lt;=BC$7,$L118&lt;=BC$7),1,AND($K118&lt;=BC$7,$L118&gt;BC$7),((BC$7-$K118)/($L118-$K118)))</f>
        <v>#REF!</v>
      </c>
      <c r="BE118" s="201" t="e">
        <f t="array" ref="BE118">_xlfn.IFS(AND($K118&gt;BD$7,$L118&gt;BD$7),0,AND($K118&lt;=BD$7,$L118&lt;=BD$7),1,AND($K118&lt;=BD$7,$L118&gt;BD$7),((BD$7-$K118)/($L118-$K118)))</f>
        <v>#REF!</v>
      </c>
      <c r="BF118" s="201" t="e">
        <f t="array" ref="BF118">_xlfn.IFS(AND($K118&gt;BE$7,$L118&gt;BE$7),0,AND($K118&lt;=BE$7,$L118&lt;=BE$7),1,AND($K118&lt;=BE$7,$L118&gt;BE$7),((BE$7-$K118)/($L118-$K118)))</f>
        <v>#REF!</v>
      </c>
      <c r="BG118" s="201" t="e">
        <f t="array" ref="BG118">_xlfn.IFS(AND($K118&gt;BF$7,$L118&gt;BF$7),0,AND($K118&lt;=BF$7,$L118&lt;=BF$7),1,AND($K118&lt;=BF$7,$L118&gt;BF$7),((BF$7-$K118)/($L118-$K118)))</f>
        <v>#REF!</v>
      </c>
      <c r="BH118" s="201" t="e">
        <f t="array" ref="BH118">_xlfn.IFS(AND($K118&gt;BG$7,$L118&gt;BG$7),0,AND($K118&lt;=BG$7,$L118&lt;=BG$7),1,AND($K118&lt;=BG$7,$L118&gt;BG$7),((BG$7-$K118)/($L118-$K118)))</f>
        <v>#REF!</v>
      </c>
      <c r="BI118" s="201" t="e">
        <f t="array" ref="BI118">_xlfn.IFS(AND($K118&gt;BH$7,$L118&gt;BH$7),0,AND($K118&lt;=BH$7,$L118&lt;=BH$7),1,AND($K118&lt;=BH$7,$L118&gt;BH$7),((BH$7-$K118)/($L118-$K118)))</f>
        <v>#REF!</v>
      </c>
      <c r="BJ118" s="201" t="e">
        <f t="array" ref="BJ118">_xlfn.IFS(AND($K118&gt;BI$7,$L118&gt;BI$7),0,AND($K118&lt;=BI$7,$L118&lt;=BI$7),1,AND($K118&lt;=BI$7,$L118&gt;BI$7),((BI$7-$K118)/($L118-$K118)))</f>
        <v>#REF!</v>
      </c>
      <c r="BK118" s="201" t="e">
        <f t="array" ref="BK118">_xlfn.IFS(AND($K118&gt;BJ$7,$L118&gt;BJ$7),0,AND($K118&lt;=BJ$7,$L118&lt;=BJ$7),1,AND($K118&lt;=BJ$7,$L118&gt;BJ$7),((BJ$7-$K118)/($L118-$K118)))</f>
        <v>#REF!</v>
      </c>
      <c r="BL118" s="201" t="e">
        <f t="array" ref="BL118">_xlfn.IFS(AND($K118&gt;BK$7,$L118&gt;BK$7),0,AND($K118&lt;=BK$7,$L118&lt;=BK$7),1,AND($K118&lt;=BK$7,$L118&gt;BK$7),((BK$7-$K118)/($L118-$K118)))</f>
        <v>#REF!</v>
      </c>
      <c r="BM118" s="201" t="e">
        <f t="array" ref="BM118">_xlfn.IFS(AND($K118&gt;BL$7,$L118&gt;BL$7),0,AND($K118&lt;=BL$7,$L118&lt;=BL$7),1,AND($K118&lt;=BL$7,$L118&gt;BL$7),((BL$7-$K118)/($L118-$K118)))</f>
        <v>#REF!</v>
      </c>
      <c r="BN118" s="201" t="e">
        <f t="array" ref="BN118">_xlfn.IFS(AND($K118&gt;BM$7,$L118&gt;BM$7),0,AND($K118&lt;=BM$7,$L118&lt;=BM$7),1,AND($K118&lt;=BM$7,$L118&gt;BM$7),((BM$7-$K118)/($L118-$K118)))</f>
        <v>#REF!</v>
      </c>
    </row>
    <row r="119" spans="2:66" x14ac:dyDescent="0.3">
      <c r="B119" s="166" t="s">
        <v>161</v>
      </c>
      <c r="C119" s="166" t="s">
        <v>284</v>
      </c>
      <c r="D119" s="177"/>
      <c r="E119" s="170" t="str">
        <f t="shared" si="51"/>
        <v>Desenvolvimento da Transformação dos Processos</v>
      </c>
      <c r="F119" s="174" t="str">
        <f t="shared" si="48"/>
        <v>Transformação do Processo</v>
      </c>
      <c r="G119" s="166" t="str">
        <f t="shared" si="52"/>
        <v>Transformação do Processo</v>
      </c>
      <c r="H119" s="197" t="s">
        <v>285</v>
      </c>
      <c r="I119" s="166">
        <v>45824</v>
      </c>
      <c r="J119" s="166">
        <v>45842</v>
      </c>
      <c r="K119" s="166">
        <v>45824</v>
      </c>
      <c r="L119" s="166">
        <v>45842</v>
      </c>
      <c r="M119" s="167"/>
      <c r="N119" s="167" t="str">
        <f t="array" ref="N119">_xlfn.IFS(L119&lt;$M$3,"Concluído",AND(K119&gt;=$M$3,I119&lt;$M$3,L119&gt;$M$3),"Em andamento",AND(L119&gt;=$M$3,J119&lt;$M$3),"Atrasado",AND(L119&gt;=$M$3,J119&gt;=$M$3,I119&gt;$M$3,K119&lt;=$M$3),"Em andamento",AND(L119&gt;=$M$3,J119&gt;=$M$3,I119&lt;=$M$3,K119&lt;=$M$3),"Em andamento",AND(K119&gt;$M$3,I119&gt;$M$3),"Não iniciado",AND(L119&gt;=$M$3,J119&gt;=$M$3,K119&gt;=$M$3,I119&lt;$M$3),"Atrasado",AND(L119&gt;=$M$3,J119&gt;=$M$3,K119&gt;=$M$3,I119&gt;$M$3),"Não iniciado",AND($I119&lt;=$M$3,$K119&gt;$M$3),"Atrasado")</f>
        <v>Concluído</v>
      </c>
      <c r="O119" s="167">
        <f t="array" ref="O119">_xlfn.IFS(N119="Não iniciado",0,N119="Em andamento",1,N119="Concluído",2,N119="Atrasado",3)</f>
        <v>2</v>
      </c>
      <c r="P119" s="169"/>
      <c r="Q119" s="152">
        <f t="array" aca="1" ref="Q119" ca="1">_xlfn.IFS(AND($I119&lt;$N$3,$J119&lt;$N$3),1,AND($I119&lt;=$N$3,$J119&gt;=$N$3),0.5,AND($I119&gt;=$N$3,$J119&gt;=$N$3),0)</f>
        <v>1</v>
      </c>
      <c r="R119" s="152">
        <f t="array" aca="1" ref="R119" ca="1">_xlfn.IFS(AND($K119&lt;$N$3,$L119&lt;$N$3),1,AND($K119&lt;=$N$3,$L119&gt;=$N$3),0.5,AND($K119&gt;=$N$3,$L119&gt;=$N$3),0)</f>
        <v>1</v>
      </c>
      <c r="S119" s="201" t="e">
        <f t="array" ref="S119">_xlfn.IFS(AND($K119&gt;R$7,$L119&gt;R$7),0,AND($K119&lt;=R$7,$L119&lt;=R$7),1,AND($K119&lt;=R$7,$L119&gt;R$7),((R$7-$K119)/($L119-$K119)))</f>
        <v>#REF!</v>
      </c>
      <c r="T119" s="201" t="e">
        <f t="array" ref="T119">_xlfn.IFS(AND($K119&gt;S$7,$L119&gt;S$7),0,AND($K119&lt;=S$7,$L119&lt;=S$7),1,AND($K119&lt;=S$7,$L119&gt;S$7),((S$7-$K119)/($L119-$K119)))</f>
        <v>#REF!</v>
      </c>
      <c r="U119" s="201" t="e">
        <f t="array" ref="U119">_xlfn.IFS(AND($K119&gt;T$7,$L119&gt;T$7),0,AND($K119&lt;=T$7,$L119&lt;=T$7),1,AND($K119&lt;=T$7,$L119&gt;T$7),((T$7-$K119)/($L119-$K119)))</f>
        <v>#REF!</v>
      </c>
      <c r="V119" s="201" t="e">
        <f t="array" ref="V119">_xlfn.IFS(AND($K119&gt;U$7,$L119&gt;U$7),0,AND($K119&lt;=U$7,$L119&lt;=U$7),1,AND($K119&lt;=U$7,$L119&gt;U$7),((U$7-$K119)/($L119-$K119)))</f>
        <v>#REF!</v>
      </c>
      <c r="W119" s="201" t="e">
        <f t="array" ref="W119">_xlfn.IFS(AND($K119&gt;V$7,$L119&gt;V$7),0,AND($K119&lt;=V$7,$L119&lt;=V$7),1,AND($K119&lt;=V$7,$L119&gt;V$7),((V$7-$K119)/($L119-$K119)))</f>
        <v>#REF!</v>
      </c>
      <c r="X119" s="201" t="e">
        <f t="array" ref="X119">_xlfn.IFS(AND($K119&gt;W$7,$L119&gt;W$7),0,AND($K119&lt;=W$7,$L119&lt;=W$7),1,AND($K119&lt;=W$7,$L119&gt;W$7),((W$7-$K119)/($L119-$K119)))</f>
        <v>#REF!</v>
      </c>
      <c r="Y119" s="201" t="e">
        <f t="array" ref="Y119">_xlfn.IFS(AND($K119&gt;X$7,$L119&gt;X$7),0,AND($K119&lt;=X$7,$L119&lt;=X$7),1,AND($K119&lt;=X$7,$L119&gt;X$7),((X$7-$K119)/($L119-$K119)))</f>
        <v>#REF!</v>
      </c>
      <c r="Z119" s="201" t="e">
        <f t="array" ref="Z119">_xlfn.IFS(AND($K119&gt;Y$7,$L119&gt;Y$7),0,AND($K119&lt;=Y$7,$L119&lt;=Y$7),1,AND($K119&lt;=Y$7,$L119&gt;Y$7),((Y$7-$K119)/($L119-$K119)))</f>
        <v>#REF!</v>
      </c>
      <c r="AA119" s="201" t="e">
        <f t="array" ref="AA119">_xlfn.IFS(AND($K119&gt;Z$7,$L119&gt;Z$7),0,AND($K119&lt;=Z$7,$L119&lt;=Z$7),1,AND($K119&lt;=Z$7,$L119&gt;Z$7),((Z$7-$K119)/($L119-$K119)))</f>
        <v>#REF!</v>
      </c>
      <c r="AB119" s="201" t="e">
        <f t="array" ref="AB119">_xlfn.IFS(AND($K119&gt;AA$7,$L119&gt;AA$7),0,AND($K119&lt;=AA$7,$L119&lt;=AA$7),1,AND($K119&lt;=AA$7,$L119&gt;AA$7),((AA$7-$K119)/($L119-$K119)))</f>
        <v>#REF!</v>
      </c>
      <c r="AC119" s="201" t="e">
        <f t="array" ref="AC119">_xlfn.IFS(AND($K119&gt;AB$7,$L119&gt;AB$7),0,AND($K119&lt;=AB$7,$L119&lt;=AB$7),1,AND($K119&lt;=AB$7,$L119&gt;AB$7),((AB$7-$K119)/($L119-$K119)))</f>
        <v>#REF!</v>
      </c>
      <c r="AD119" s="201" t="e">
        <f t="array" ref="AD119">_xlfn.IFS(AND($K119&gt;AC$7,$L119&gt;AC$7),0,AND($K119&lt;=AC$7,$L119&lt;=AC$7),1,AND($K119&lt;=AC$7,$L119&gt;AC$7),((AC$7-$K119)/($L119-$K119)))</f>
        <v>#REF!</v>
      </c>
      <c r="AE119" s="201" t="e">
        <f t="array" ref="AE119">_xlfn.IFS(AND($K119&gt;AD$7,$L119&gt;AD$7),0,AND($K119&lt;=AD$7,$L119&lt;=AD$7),1,AND($K119&lt;=AD$7,$L119&gt;AD$7),((AD$7-$K119)/($L119-$K119)))</f>
        <v>#REF!</v>
      </c>
      <c r="AF119" s="201" t="e">
        <f t="array" ref="AF119">_xlfn.IFS(AND($K119&gt;AE$7,$L119&gt;AE$7),0,AND($K119&lt;=AE$7,$L119&lt;=AE$7),1,AND($K119&lt;=AE$7,$L119&gt;AE$7),((AE$7-$K119)/($L119-$K119)))</f>
        <v>#REF!</v>
      </c>
      <c r="AG119" s="201" t="e">
        <f t="array" ref="AG119">_xlfn.IFS(AND($K119&gt;AF$7,$L119&gt;AF$7),0,AND($K119&lt;=AF$7,$L119&lt;=AF$7),1,AND($K119&lt;=AF$7,$L119&gt;AF$7),((AF$7-$K119)/($L119-$K119)))</f>
        <v>#REF!</v>
      </c>
      <c r="AH119" s="201" t="e">
        <f t="array" ref="AH119">_xlfn.IFS(AND($K119&gt;AG$7,$L119&gt;AG$7),0,AND($K119&lt;=AG$7,$L119&lt;=AG$7),1,AND($K119&lt;=AG$7,$L119&gt;AG$7),((AG$7-$K119)/($L119-$K119)))</f>
        <v>#REF!</v>
      </c>
      <c r="AI119" s="201" t="e">
        <f t="array" ref="AI119">_xlfn.IFS(AND($K119&gt;AH$7,$L119&gt;AH$7),0,AND($K119&lt;=AH$7,$L119&lt;=AH$7),1,AND($K119&lt;=AH$7,$L119&gt;AH$7),((AH$7-$K119)/($L119-$K119)))</f>
        <v>#REF!</v>
      </c>
      <c r="AJ119" s="201" t="e">
        <f t="array" ref="AJ119">_xlfn.IFS(AND($K119&gt;AI$7,$L119&gt;AI$7),0,AND($K119&lt;=AI$7,$L119&lt;=AI$7),1,AND($K119&lt;=AI$7,$L119&gt;AI$7),((AI$7-$K119)/($L119-$K119)))</f>
        <v>#REF!</v>
      </c>
      <c r="AK119" s="201" t="e">
        <f t="array" ref="AK119">_xlfn.IFS(AND($K119&gt;AJ$7,$L119&gt;AJ$7),0,AND($K119&lt;=AJ$7,$L119&lt;=AJ$7),1,AND($K119&lt;=AJ$7,$L119&gt;AJ$7),((AJ$7-$K119)/($L119-$K119)))</f>
        <v>#REF!</v>
      </c>
      <c r="AL119" s="201" t="e">
        <f t="array" ref="AL119">_xlfn.IFS(AND($K119&gt;AK$7,$L119&gt;AK$7),0,AND($K119&lt;=AK$7,$L119&lt;=AK$7),1,AND($K119&lt;=AK$7,$L119&gt;AK$7),((AK$7-$K119)/($L119-$K119)))</f>
        <v>#REF!</v>
      </c>
      <c r="AM119" s="201" t="e">
        <f t="array" ref="AM119">_xlfn.IFS(AND($K119&gt;AL$7,$L119&gt;AL$7),0,AND($K119&lt;=AL$7,$L119&lt;=AL$7),1,AND($K119&lt;=AL$7,$L119&gt;AL$7),((AL$7-$K119)/($L119-$K119)))</f>
        <v>#REF!</v>
      </c>
      <c r="AN119" s="201" t="e">
        <f t="array" ref="AN119">_xlfn.IFS(AND($K119&gt;AM$7,$L119&gt;AM$7),0,AND($K119&lt;=AM$7,$L119&lt;=AM$7),1,AND($K119&lt;=AM$7,$L119&gt;AM$7),((AM$7-$K119)/($L119-$K119)))</f>
        <v>#REF!</v>
      </c>
      <c r="AO119" s="201" t="e">
        <f t="array" ref="AO119">_xlfn.IFS(AND($K119&gt;AN$7,$L119&gt;AN$7),0,AND($K119&lt;=AN$7,$L119&lt;=AN$7),1,AND($K119&lt;=AN$7,$L119&gt;AN$7),((AN$7-$K119)/($L119-$K119)))</f>
        <v>#REF!</v>
      </c>
      <c r="AP119" s="201" t="e">
        <f t="array" ref="AP119">_xlfn.IFS(AND($K119&gt;AO$7,$L119&gt;AO$7),0,AND($K119&lt;=AO$7,$L119&lt;=AO$7),1,AND($K119&lt;=AO$7,$L119&gt;AO$7),((AO$7-$K119)/($L119-$K119)))</f>
        <v>#REF!</v>
      </c>
      <c r="AQ119" s="201" t="e">
        <f t="array" ref="AQ119">_xlfn.IFS(AND($K119&gt;AP$7,$L119&gt;AP$7),0,AND($K119&lt;=AP$7,$L119&lt;=AP$7),1,AND($K119&lt;=AP$7,$L119&gt;AP$7),((AP$7-$K119)/($L119-$K119)))</f>
        <v>#REF!</v>
      </c>
      <c r="AR119" s="201" t="e">
        <f t="array" ref="AR119">_xlfn.IFS(AND($K119&gt;AQ$7,$L119&gt;AQ$7),0,AND($K119&lt;=AQ$7,$L119&lt;=AQ$7),1,AND($K119&lt;=AQ$7,$L119&gt;AQ$7),((AQ$7-$K119)/($L119-$K119)))</f>
        <v>#REF!</v>
      </c>
      <c r="AS119" s="201" t="e">
        <f t="array" ref="AS119">_xlfn.IFS(AND($K119&gt;AR$7,$L119&gt;AR$7),0,AND($K119&lt;=AR$7,$L119&lt;=AR$7),1,AND($K119&lt;=AR$7,$L119&gt;AR$7),((AR$7-$K119)/($L119-$K119)))</f>
        <v>#REF!</v>
      </c>
      <c r="AT119" s="201" t="e">
        <f t="array" ref="AT119">_xlfn.IFS(AND($K119&gt;AS$7,$L119&gt;AS$7),0,AND($K119&lt;=AS$7,$L119&lt;=AS$7),1,AND($K119&lt;=AS$7,$L119&gt;AS$7),((AS$7-$K119)/($L119-$K119)))</f>
        <v>#REF!</v>
      </c>
      <c r="AU119" s="201" t="e">
        <f t="array" ref="AU119">_xlfn.IFS(AND($K119&gt;AT$7,$L119&gt;AT$7),0,AND($K119&lt;=AT$7,$L119&lt;=AT$7),1,AND($K119&lt;=AT$7,$L119&gt;AT$7),((AT$7-$K119)/($L119-$K119)))</f>
        <v>#REF!</v>
      </c>
      <c r="AV119" s="201" t="e">
        <f t="array" ref="AV119">_xlfn.IFS(AND($K119&gt;AU$7,$L119&gt;AU$7),0,AND($K119&lt;=AU$7,$L119&lt;=AU$7),1,AND($K119&lt;=AU$7,$L119&gt;AU$7),((AU$7-$K119)/($L119-$K119)))</f>
        <v>#REF!</v>
      </c>
      <c r="AW119" s="201" t="e">
        <f t="array" ref="AW119">_xlfn.IFS(AND($K119&gt;AV$7,$L119&gt;AV$7),0,AND($K119&lt;=AV$7,$L119&lt;=AV$7),1,AND($K119&lt;=AV$7,$L119&gt;AV$7),((AV$7-$K119)/($L119-$K119)))</f>
        <v>#REF!</v>
      </c>
      <c r="AX119" s="201" t="e">
        <f t="array" ref="AX119">_xlfn.IFS(AND($K119&gt;AW$7,$L119&gt;AW$7),0,AND($K119&lt;=AW$7,$L119&lt;=AW$7),1,AND($K119&lt;=AW$7,$L119&gt;AW$7),((AW$7-$K119)/($L119-$K119)))</f>
        <v>#REF!</v>
      </c>
      <c r="AY119" s="201" t="e">
        <f t="array" ref="AY119">_xlfn.IFS(AND($K119&gt;AX$7,$L119&gt;AX$7),0,AND($K119&lt;=AX$7,$L119&lt;=AX$7),1,AND($K119&lt;=AX$7,$L119&gt;AX$7),((AX$7-$K119)/($L119-$K119)))</f>
        <v>#REF!</v>
      </c>
      <c r="AZ119" s="201" t="e">
        <f t="array" ref="AZ119">_xlfn.IFS(AND($K119&gt;AY$7,$L119&gt;AY$7),0,AND($K119&lt;=AY$7,$L119&lt;=AY$7),1,AND($K119&lt;=AY$7,$L119&gt;AY$7),((AY$7-$K119)/($L119-$K119)))</f>
        <v>#REF!</v>
      </c>
      <c r="BA119" s="201" t="e">
        <f t="array" ref="BA119">_xlfn.IFS(AND($K119&gt;AZ$7,$L119&gt;AZ$7),0,AND($K119&lt;=AZ$7,$L119&lt;=AZ$7),1,AND($K119&lt;=AZ$7,$L119&gt;AZ$7),((AZ$7-$K119)/($L119-$K119)))</f>
        <v>#REF!</v>
      </c>
      <c r="BB119" s="201" t="e">
        <f t="array" ref="BB119">_xlfn.IFS(AND($K119&gt;BA$7,$L119&gt;BA$7),0,AND($K119&lt;=BA$7,$L119&lt;=BA$7),1,AND($K119&lt;=BA$7,$L119&gt;BA$7),((BA$7-$K119)/($L119-$K119)))</f>
        <v>#REF!</v>
      </c>
      <c r="BC119" s="201" t="e">
        <f t="array" ref="BC119">_xlfn.IFS(AND($K119&gt;BB$7,$L119&gt;BB$7),0,AND($K119&lt;=BB$7,$L119&lt;=BB$7),1,AND($K119&lt;=BB$7,$L119&gt;BB$7),((BB$7-$K119)/($L119-$K119)))</f>
        <v>#REF!</v>
      </c>
      <c r="BD119" s="201" t="e">
        <f t="array" ref="BD119">_xlfn.IFS(AND($K119&gt;BC$7,$L119&gt;BC$7),0,AND($K119&lt;=BC$7,$L119&lt;=BC$7),1,AND($K119&lt;=BC$7,$L119&gt;BC$7),((BC$7-$K119)/($L119-$K119)))</f>
        <v>#REF!</v>
      </c>
      <c r="BE119" s="201" t="e">
        <f t="array" ref="BE119">_xlfn.IFS(AND($K119&gt;BD$7,$L119&gt;BD$7),0,AND($K119&lt;=BD$7,$L119&lt;=BD$7),1,AND($K119&lt;=BD$7,$L119&gt;BD$7),((BD$7-$K119)/($L119-$K119)))</f>
        <v>#REF!</v>
      </c>
      <c r="BF119" s="201" t="e">
        <f t="array" ref="BF119">_xlfn.IFS(AND($K119&gt;BE$7,$L119&gt;BE$7),0,AND($K119&lt;=BE$7,$L119&lt;=BE$7),1,AND($K119&lt;=BE$7,$L119&gt;BE$7),((BE$7-$K119)/($L119-$K119)))</f>
        <v>#REF!</v>
      </c>
      <c r="BG119" s="201" t="e">
        <f t="array" ref="BG119">_xlfn.IFS(AND($K119&gt;BF$7,$L119&gt;BF$7),0,AND($K119&lt;=BF$7,$L119&lt;=BF$7),1,AND($K119&lt;=BF$7,$L119&gt;BF$7),((BF$7-$K119)/($L119-$K119)))</f>
        <v>#REF!</v>
      </c>
      <c r="BH119" s="201" t="e">
        <f t="array" ref="BH119">_xlfn.IFS(AND($K119&gt;BG$7,$L119&gt;BG$7),0,AND($K119&lt;=BG$7,$L119&lt;=BG$7),1,AND($K119&lt;=BG$7,$L119&gt;BG$7),((BG$7-$K119)/($L119-$K119)))</f>
        <v>#REF!</v>
      </c>
      <c r="BI119" s="201" t="e">
        <f t="array" ref="BI119">_xlfn.IFS(AND($K119&gt;BH$7,$L119&gt;BH$7),0,AND($K119&lt;=BH$7,$L119&lt;=BH$7),1,AND($K119&lt;=BH$7,$L119&gt;BH$7),((BH$7-$K119)/($L119-$K119)))</f>
        <v>#REF!</v>
      </c>
      <c r="BJ119" s="201" t="e">
        <f t="array" ref="BJ119">_xlfn.IFS(AND($K119&gt;BI$7,$L119&gt;BI$7),0,AND($K119&lt;=BI$7,$L119&lt;=BI$7),1,AND($K119&lt;=BI$7,$L119&gt;BI$7),((BI$7-$K119)/($L119-$K119)))</f>
        <v>#REF!</v>
      </c>
      <c r="BK119" s="201" t="e">
        <f t="array" ref="BK119">_xlfn.IFS(AND($K119&gt;BJ$7,$L119&gt;BJ$7),0,AND($K119&lt;=BJ$7,$L119&lt;=BJ$7),1,AND($K119&lt;=BJ$7,$L119&gt;BJ$7),((BJ$7-$K119)/($L119-$K119)))</f>
        <v>#REF!</v>
      </c>
      <c r="BL119" s="201" t="e">
        <f t="array" ref="BL119">_xlfn.IFS(AND($K119&gt;BK$7,$L119&gt;BK$7),0,AND($K119&lt;=BK$7,$L119&lt;=BK$7),1,AND($K119&lt;=BK$7,$L119&gt;BK$7),((BK$7-$K119)/($L119-$K119)))</f>
        <v>#REF!</v>
      </c>
      <c r="BM119" s="201" t="e">
        <f t="array" ref="BM119">_xlfn.IFS(AND($K119&gt;BL$7,$L119&gt;BL$7),0,AND($K119&lt;=BL$7,$L119&lt;=BL$7),1,AND($K119&lt;=BL$7,$L119&gt;BL$7),((BL$7-$K119)/($L119-$K119)))</f>
        <v>#REF!</v>
      </c>
      <c r="BN119" s="201" t="e">
        <f t="array" ref="BN119">_xlfn.IFS(AND($K119&gt;BM$7,$L119&gt;BM$7),0,AND($K119&lt;=BM$7,$L119&lt;=BM$7),1,AND($K119&lt;=BM$7,$L119&gt;BM$7),((BM$7-$K119)/($L119-$K119)))</f>
        <v>#REF!</v>
      </c>
    </row>
    <row r="120" spans="2:66" x14ac:dyDescent="0.3">
      <c r="B120" s="166" t="s">
        <v>161</v>
      </c>
      <c r="C120" s="166" t="s">
        <v>286</v>
      </c>
      <c r="D120" s="177"/>
      <c r="E120" s="170" t="str">
        <f t="shared" si="51"/>
        <v>Desenvolvimento da Transformação dos Processos</v>
      </c>
      <c r="F120" s="174" t="str">
        <f t="shared" si="48"/>
        <v>Transformação do Processo</v>
      </c>
      <c r="G120" s="166" t="str">
        <f t="shared" si="52"/>
        <v>Transformação do Processo</v>
      </c>
      <c r="H120" s="197" t="s">
        <v>287</v>
      </c>
      <c r="I120" s="166">
        <v>45824</v>
      </c>
      <c r="J120" s="166">
        <v>45842</v>
      </c>
      <c r="K120" s="166">
        <v>45824</v>
      </c>
      <c r="L120" s="166">
        <v>45842</v>
      </c>
      <c r="M120" s="167"/>
      <c r="N120" s="167" t="str">
        <f t="array" ref="N120">_xlfn.IFS(L120&lt;$M$3,"Concluído",AND(K120&gt;=$M$3,I120&lt;$M$3,L120&gt;$M$3),"Em andamento",AND(L120&gt;=$M$3,J120&lt;$M$3),"Atrasado",AND(L120&gt;=$M$3,J120&gt;=$M$3,I120&gt;$M$3,K120&lt;=$M$3),"Em andamento",AND(L120&gt;=$M$3,J120&gt;=$M$3,I120&lt;=$M$3,K120&lt;=$M$3),"Em andamento",AND(K120&gt;$M$3,I120&gt;$M$3),"Não iniciado",AND(L120&gt;=$M$3,J120&gt;=$M$3,K120&gt;=$M$3,I120&lt;$M$3),"Atrasado",AND(L120&gt;=$M$3,J120&gt;=$M$3,K120&gt;=$M$3,I120&gt;$M$3),"Não iniciado",AND($I120&lt;=$M$3,$K120&gt;$M$3),"Atrasado")</f>
        <v>Concluído</v>
      </c>
      <c r="O120" s="167">
        <f t="array" ref="O120">_xlfn.IFS(N120="Não iniciado",0,N120="Em andamento",1,N120="Concluído",2,N120="Atrasado",3)</f>
        <v>2</v>
      </c>
      <c r="P120" s="169"/>
      <c r="Q120" s="152">
        <f t="array" aca="1" ref="Q120" ca="1">_xlfn.IFS(AND($I120&lt;$N$3,$J120&lt;$N$3),1,AND($I120&lt;=$N$3,$J120&gt;=$N$3),0.5,AND($I120&gt;=$N$3,$J120&gt;=$N$3),0)</f>
        <v>1</v>
      </c>
      <c r="R120" s="152">
        <f t="array" aca="1" ref="R120" ca="1">_xlfn.IFS(AND($K120&lt;$N$3,$L120&lt;$N$3),1,AND($K120&lt;=$N$3,$L120&gt;=$N$3),0.5,AND($K120&gt;=$N$3,$L120&gt;=$N$3),0)</f>
        <v>1</v>
      </c>
      <c r="S120" s="201" t="e">
        <f t="array" ref="S120">_xlfn.IFS(AND($K120&gt;R$7,$L120&gt;R$7),0,AND($K120&lt;=R$7,$L120&lt;=R$7),1,AND($K120&lt;=R$7,$L120&gt;R$7),((R$7-$K120)/($L120-$K120)))</f>
        <v>#REF!</v>
      </c>
      <c r="T120" s="201" t="e">
        <f t="array" ref="T120">_xlfn.IFS(AND($K120&gt;S$7,$L120&gt;S$7),0,AND($K120&lt;=S$7,$L120&lt;=S$7),1,AND($K120&lt;=S$7,$L120&gt;S$7),((S$7-$K120)/($L120-$K120)))</f>
        <v>#REF!</v>
      </c>
      <c r="U120" s="201" t="e">
        <f t="array" ref="U120">_xlfn.IFS(AND($K120&gt;T$7,$L120&gt;T$7),0,AND($K120&lt;=T$7,$L120&lt;=T$7),1,AND($K120&lt;=T$7,$L120&gt;T$7),((T$7-$K120)/($L120-$K120)))</f>
        <v>#REF!</v>
      </c>
      <c r="V120" s="201" t="e">
        <f t="array" ref="V120">_xlfn.IFS(AND($K120&gt;U$7,$L120&gt;U$7),0,AND($K120&lt;=U$7,$L120&lt;=U$7),1,AND($K120&lt;=U$7,$L120&gt;U$7),((U$7-$K120)/($L120-$K120)))</f>
        <v>#REF!</v>
      </c>
      <c r="W120" s="201" t="e">
        <f t="array" ref="W120">_xlfn.IFS(AND($K120&gt;V$7,$L120&gt;V$7),0,AND($K120&lt;=V$7,$L120&lt;=V$7),1,AND($K120&lt;=V$7,$L120&gt;V$7),((V$7-$K120)/($L120-$K120)))</f>
        <v>#REF!</v>
      </c>
      <c r="X120" s="201" t="e">
        <f t="array" ref="X120">_xlfn.IFS(AND($K120&gt;W$7,$L120&gt;W$7),0,AND($K120&lt;=W$7,$L120&lt;=W$7),1,AND($K120&lt;=W$7,$L120&gt;W$7),((W$7-$K120)/($L120-$K120)))</f>
        <v>#REF!</v>
      </c>
      <c r="Y120" s="201" t="e">
        <f t="array" ref="Y120">_xlfn.IFS(AND($K120&gt;X$7,$L120&gt;X$7),0,AND($K120&lt;=X$7,$L120&lt;=X$7),1,AND($K120&lt;=X$7,$L120&gt;X$7),((X$7-$K120)/($L120-$K120)))</f>
        <v>#REF!</v>
      </c>
      <c r="Z120" s="201" t="e">
        <f t="array" ref="Z120">_xlfn.IFS(AND($K120&gt;Y$7,$L120&gt;Y$7),0,AND($K120&lt;=Y$7,$L120&lt;=Y$7),1,AND($K120&lt;=Y$7,$L120&gt;Y$7),((Y$7-$K120)/($L120-$K120)))</f>
        <v>#REF!</v>
      </c>
      <c r="AA120" s="201" t="e">
        <f t="array" ref="AA120">_xlfn.IFS(AND($K120&gt;Z$7,$L120&gt;Z$7),0,AND($K120&lt;=Z$7,$L120&lt;=Z$7),1,AND($K120&lt;=Z$7,$L120&gt;Z$7),((Z$7-$K120)/($L120-$K120)))</f>
        <v>#REF!</v>
      </c>
      <c r="AB120" s="201" t="e">
        <f t="array" ref="AB120">_xlfn.IFS(AND($K120&gt;AA$7,$L120&gt;AA$7),0,AND($K120&lt;=AA$7,$L120&lt;=AA$7),1,AND($K120&lt;=AA$7,$L120&gt;AA$7),((AA$7-$K120)/($L120-$K120)))</f>
        <v>#REF!</v>
      </c>
      <c r="AC120" s="201" t="e">
        <f t="array" ref="AC120">_xlfn.IFS(AND($K120&gt;AB$7,$L120&gt;AB$7),0,AND($K120&lt;=AB$7,$L120&lt;=AB$7),1,AND($K120&lt;=AB$7,$L120&gt;AB$7),((AB$7-$K120)/($L120-$K120)))</f>
        <v>#REF!</v>
      </c>
      <c r="AD120" s="201" t="e">
        <f t="array" ref="AD120">_xlfn.IFS(AND($K120&gt;AC$7,$L120&gt;AC$7),0,AND($K120&lt;=AC$7,$L120&lt;=AC$7),1,AND($K120&lt;=AC$7,$L120&gt;AC$7),((AC$7-$K120)/($L120-$K120)))</f>
        <v>#REF!</v>
      </c>
      <c r="AE120" s="201" t="e">
        <f t="array" ref="AE120">_xlfn.IFS(AND($K120&gt;AD$7,$L120&gt;AD$7),0,AND($K120&lt;=AD$7,$L120&lt;=AD$7),1,AND($K120&lt;=AD$7,$L120&gt;AD$7),((AD$7-$K120)/($L120-$K120)))</f>
        <v>#REF!</v>
      </c>
      <c r="AF120" s="201" t="e">
        <f t="array" ref="AF120">_xlfn.IFS(AND($K120&gt;AE$7,$L120&gt;AE$7),0,AND($K120&lt;=AE$7,$L120&lt;=AE$7),1,AND($K120&lt;=AE$7,$L120&gt;AE$7),((AE$7-$K120)/($L120-$K120)))</f>
        <v>#REF!</v>
      </c>
      <c r="AG120" s="201" t="e">
        <f t="array" ref="AG120">_xlfn.IFS(AND($K120&gt;AF$7,$L120&gt;AF$7),0,AND($K120&lt;=AF$7,$L120&lt;=AF$7),1,AND($K120&lt;=AF$7,$L120&gt;AF$7),((AF$7-$K120)/($L120-$K120)))</f>
        <v>#REF!</v>
      </c>
      <c r="AH120" s="201" t="e">
        <f t="array" ref="AH120">_xlfn.IFS(AND($K120&gt;AG$7,$L120&gt;AG$7),0,AND($K120&lt;=AG$7,$L120&lt;=AG$7),1,AND($K120&lt;=AG$7,$L120&gt;AG$7),((AG$7-$K120)/($L120-$K120)))</f>
        <v>#REF!</v>
      </c>
      <c r="AI120" s="201" t="e">
        <f t="array" ref="AI120">_xlfn.IFS(AND($K120&gt;AH$7,$L120&gt;AH$7),0,AND($K120&lt;=AH$7,$L120&lt;=AH$7),1,AND($K120&lt;=AH$7,$L120&gt;AH$7),((AH$7-$K120)/($L120-$K120)))</f>
        <v>#REF!</v>
      </c>
      <c r="AJ120" s="201" t="e">
        <f t="array" ref="AJ120">_xlfn.IFS(AND($K120&gt;AI$7,$L120&gt;AI$7),0,AND($K120&lt;=AI$7,$L120&lt;=AI$7),1,AND($K120&lt;=AI$7,$L120&gt;AI$7),((AI$7-$K120)/($L120-$K120)))</f>
        <v>#REF!</v>
      </c>
      <c r="AK120" s="201" t="e">
        <f t="array" ref="AK120">_xlfn.IFS(AND($K120&gt;AJ$7,$L120&gt;AJ$7),0,AND($K120&lt;=AJ$7,$L120&lt;=AJ$7),1,AND($K120&lt;=AJ$7,$L120&gt;AJ$7),((AJ$7-$K120)/($L120-$K120)))</f>
        <v>#REF!</v>
      </c>
      <c r="AL120" s="201" t="e">
        <f t="array" ref="AL120">_xlfn.IFS(AND($K120&gt;AK$7,$L120&gt;AK$7),0,AND($K120&lt;=AK$7,$L120&lt;=AK$7),1,AND($K120&lt;=AK$7,$L120&gt;AK$7),((AK$7-$K120)/($L120-$K120)))</f>
        <v>#REF!</v>
      </c>
      <c r="AM120" s="201" t="e">
        <f t="array" ref="AM120">_xlfn.IFS(AND($K120&gt;AL$7,$L120&gt;AL$7),0,AND($K120&lt;=AL$7,$L120&lt;=AL$7),1,AND($K120&lt;=AL$7,$L120&gt;AL$7),((AL$7-$K120)/($L120-$K120)))</f>
        <v>#REF!</v>
      </c>
      <c r="AN120" s="201" t="e">
        <f t="array" ref="AN120">_xlfn.IFS(AND($K120&gt;AM$7,$L120&gt;AM$7),0,AND($K120&lt;=AM$7,$L120&lt;=AM$7),1,AND($K120&lt;=AM$7,$L120&gt;AM$7),((AM$7-$K120)/($L120-$K120)))</f>
        <v>#REF!</v>
      </c>
      <c r="AO120" s="201" t="e">
        <f t="array" ref="AO120">_xlfn.IFS(AND($K120&gt;AN$7,$L120&gt;AN$7),0,AND($K120&lt;=AN$7,$L120&lt;=AN$7),1,AND($K120&lt;=AN$7,$L120&gt;AN$7),((AN$7-$K120)/($L120-$K120)))</f>
        <v>#REF!</v>
      </c>
      <c r="AP120" s="201" t="e">
        <f t="array" ref="AP120">_xlfn.IFS(AND($K120&gt;AO$7,$L120&gt;AO$7),0,AND($K120&lt;=AO$7,$L120&lt;=AO$7),1,AND($K120&lt;=AO$7,$L120&gt;AO$7),((AO$7-$K120)/($L120-$K120)))</f>
        <v>#REF!</v>
      </c>
      <c r="AQ120" s="201" t="e">
        <f t="array" ref="AQ120">_xlfn.IFS(AND($K120&gt;AP$7,$L120&gt;AP$7),0,AND($K120&lt;=AP$7,$L120&lt;=AP$7),1,AND($K120&lt;=AP$7,$L120&gt;AP$7),((AP$7-$K120)/($L120-$K120)))</f>
        <v>#REF!</v>
      </c>
      <c r="AR120" s="201" t="e">
        <f t="array" ref="AR120">_xlfn.IFS(AND($K120&gt;AQ$7,$L120&gt;AQ$7),0,AND($K120&lt;=AQ$7,$L120&lt;=AQ$7),1,AND($K120&lt;=AQ$7,$L120&gt;AQ$7),((AQ$7-$K120)/($L120-$K120)))</f>
        <v>#REF!</v>
      </c>
      <c r="AS120" s="201" t="e">
        <f t="array" ref="AS120">_xlfn.IFS(AND($K120&gt;AR$7,$L120&gt;AR$7),0,AND($K120&lt;=AR$7,$L120&lt;=AR$7),1,AND($K120&lt;=AR$7,$L120&gt;AR$7),((AR$7-$K120)/($L120-$K120)))</f>
        <v>#REF!</v>
      </c>
      <c r="AT120" s="201" t="e">
        <f t="array" ref="AT120">_xlfn.IFS(AND($K120&gt;AS$7,$L120&gt;AS$7),0,AND($K120&lt;=AS$7,$L120&lt;=AS$7),1,AND($K120&lt;=AS$7,$L120&gt;AS$7),((AS$7-$K120)/($L120-$K120)))</f>
        <v>#REF!</v>
      </c>
      <c r="AU120" s="201" t="e">
        <f t="array" ref="AU120">_xlfn.IFS(AND($K120&gt;AT$7,$L120&gt;AT$7),0,AND($K120&lt;=AT$7,$L120&lt;=AT$7),1,AND($K120&lt;=AT$7,$L120&gt;AT$7),((AT$7-$K120)/($L120-$K120)))</f>
        <v>#REF!</v>
      </c>
      <c r="AV120" s="201" t="e">
        <f t="array" ref="AV120">_xlfn.IFS(AND($K120&gt;AU$7,$L120&gt;AU$7),0,AND($K120&lt;=AU$7,$L120&lt;=AU$7),1,AND($K120&lt;=AU$7,$L120&gt;AU$7),((AU$7-$K120)/($L120-$K120)))</f>
        <v>#REF!</v>
      </c>
      <c r="AW120" s="201" t="e">
        <f t="array" ref="AW120">_xlfn.IFS(AND($K120&gt;AV$7,$L120&gt;AV$7),0,AND($K120&lt;=AV$7,$L120&lt;=AV$7),1,AND($K120&lt;=AV$7,$L120&gt;AV$7),((AV$7-$K120)/($L120-$K120)))</f>
        <v>#REF!</v>
      </c>
      <c r="AX120" s="201" t="e">
        <f t="array" ref="AX120">_xlfn.IFS(AND($K120&gt;AW$7,$L120&gt;AW$7),0,AND($K120&lt;=AW$7,$L120&lt;=AW$7),1,AND($K120&lt;=AW$7,$L120&gt;AW$7),((AW$7-$K120)/($L120-$K120)))</f>
        <v>#REF!</v>
      </c>
      <c r="AY120" s="201" t="e">
        <f t="array" ref="AY120">_xlfn.IFS(AND($K120&gt;AX$7,$L120&gt;AX$7),0,AND($K120&lt;=AX$7,$L120&lt;=AX$7),1,AND($K120&lt;=AX$7,$L120&gt;AX$7),((AX$7-$K120)/($L120-$K120)))</f>
        <v>#REF!</v>
      </c>
      <c r="AZ120" s="201" t="e">
        <f t="array" ref="AZ120">_xlfn.IFS(AND($K120&gt;AY$7,$L120&gt;AY$7),0,AND($K120&lt;=AY$7,$L120&lt;=AY$7),1,AND($K120&lt;=AY$7,$L120&gt;AY$7),((AY$7-$K120)/($L120-$K120)))</f>
        <v>#REF!</v>
      </c>
      <c r="BA120" s="201" t="e">
        <f t="array" ref="BA120">_xlfn.IFS(AND($K120&gt;AZ$7,$L120&gt;AZ$7),0,AND($K120&lt;=AZ$7,$L120&lt;=AZ$7),1,AND($K120&lt;=AZ$7,$L120&gt;AZ$7),((AZ$7-$K120)/($L120-$K120)))</f>
        <v>#REF!</v>
      </c>
      <c r="BB120" s="201" t="e">
        <f t="array" ref="BB120">_xlfn.IFS(AND($K120&gt;BA$7,$L120&gt;BA$7),0,AND($K120&lt;=BA$7,$L120&lt;=BA$7),1,AND($K120&lt;=BA$7,$L120&gt;BA$7),((BA$7-$K120)/($L120-$K120)))</f>
        <v>#REF!</v>
      </c>
      <c r="BC120" s="201" t="e">
        <f t="array" ref="BC120">_xlfn.IFS(AND($K120&gt;BB$7,$L120&gt;BB$7),0,AND($K120&lt;=BB$7,$L120&lt;=BB$7),1,AND($K120&lt;=BB$7,$L120&gt;BB$7),((BB$7-$K120)/($L120-$K120)))</f>
        <v>#REF!</v>
      </c>
      <c r="BD120" s="201" t="e">
        <f t="array" ref="BD120">_xlfn.IFS(AND($K120&gt;BC$7,$L120&gt;BC$7),0,AND($K120&lt;=BC$7,$L120&lt;=BC$7),1,AND($K120&lt;=BC$7,$L120&gt;BC$7),((BC$7-$K120)/($L120-$K120)))</f>
        <v>#REF!</v>
      </c>
      <c r="BE120" s="201" t="e">
        <f t="array" ref="BE120">_xlfn.IFS(AND($K120&gt;BD$7,$L120&gt;BD$7),0,AND($K120&lt;=BD$7,$L120&lt;=BD$7),1,AND($K120&lt;=BD$7,$L120&gt;BD$7),((BD$7-$K120)/($L120-$K120)))</f>
        <v>#REF!</v>
      </c>
      <c r="BF120" s="201" t="e">
        <f t="array" ref="BF120">_xlfn.IFS(AND($K120&gt;BE$7,$L120&gt;BE$7),0,AND($K120&lt;=BE$7,$L120&lt;=BE$7),1,AND($K120&lt;=BE$7,$L120&gt;BE$7),((BE$7-$K120)/($L120-$K120)))</f>
        <v>#REF!</v>
      </c>
      <c r="BG120" s="201" t="e">
        <f t="array" ref="BG120">_xlfn.IFS(AND($K120&gt;BF$7,$L120&gt;BF$7),0,AND($K120&lt;=BF$7,$L120&lt;=BF$7),1,AND($K120&lt;=BF$7,$L120&gt;BF$7),((BF$7-$K120)/($L120-$K120)))</f>
        <v>#REF!</v>
      </c>
      <c r="BH120" s="201" t="e">
        <f t="array" ref="BH120">_xlfn.IFS(AND($K120&gt;BG$7,$L120&gt;BG$7),0,AND($K120&lt;=BG$7,$L120&lt;=BG$7),1,AND($K120&lt;=BG$7,$L120&gt;BG$7),((BG$7-$K120)/($L120-$K120)))</f>
        <v>#REF!</v>
      </c>
      <c r="BI120" s="201" t="e">
        <f t="array" ref="BI120">_xlfn.IFS(AND($K120&gt;BH$7,$L120&gt;BH$7),0,AND($K120&lt;=BH$7,$L120&lt;=BH$7),1,AND($K120&lt;=BH$7,$L120&gt;BH$7),((BH$7-$K120)/($L120-$K120)))</f>
        <v>#REF!</v>
      </c>
      <c r="BJ120" s="201" t="e">
        <f t="array" ref="BJ120">_xlfn.IFS(AND($K120&gt;BI$7,$L120&gt;BI$7),0,AND($K120&lt;=BI$7,$L120&lt;=BI$7),1,AND($K120&lt;=BI$7,$L120&gt;BI$7),((BI$7-$K120)/($L120-$K120)))</f>
        <v>#REF!</v>
      </c>
      <c r="BK120" s="201" t="e">
        <f t="array" ref="BK120">_xlfn.IFS(AND($K120&gt;BJ$7,$L120&gt;BJ$7),0,AND($K120&lt;=BJ$7,$L120&lt;=BJ$7),1,AND($K120&lt;=BJ$7,$L120&gt;BJ$7),((BJ$7-$K120)/($L120-$K120)))</f>
        <v>#REF!</v>
      </c>
      <c r="BL120" s="201" t="e">
        <f t="array" ref="BL120">_xlfn.IFS(AND($K120&gt;BK$7,$L120&gt;BK$7),0,AND($K120&lt;=BK$7,$L120&lt;=BK$7),1,AND($K120&lt;=BK$7,$L120&gt;BK$7),((BK$7-$K120)/($L120-$K120)))</f>
        <v>#REF!</v>
      </c>
      <c r="BM120" s="201" t="e">
        <f t="array" ref="BM120">_xlfn.IFS(AND($K120&gt;BL$7,$L120&gt;BL$7),0,AND($K120&lt;=BL$7,$L120&lt;=BL$7),1,AND($K120&lt;=BL$7,$L120&gt;BL$7),((BL$7-$K120)/($L120-$K120)))</f>
        <v>#REF!</v>
      </c>
      <c r="BN120" s="201" t="e">
        <f t="array" ref="BN120">_xlfn.IFS(AND($K120&gt;BM$7,$L120&gt;BM$7),0,AND($K120&lt;=BM$7,$L120&lt;=BM$7),1,AND($K120&lt;=BM$7,$L120&gt;BM$7),((BM$7-$K120)/($L120-$K120)))</f>
        <v>#REF!</v>
      </c>
    </row>
    <row r="121" spans="2:66" x14ac:dyDescent="0.3">
      <c r="B121" s="166" t="s">
        <v>161</v>
      </c>
      <c r="C121" s="166" t="s">
        <v>288</v>
      </c>
      <c r="D121" s="177"/>
      <c r="E121" s="170" t="str">
        <f t="shared" si="51"/>
        <v>Desenvolvimento da Transformação dos Processos</v>
      </c>
      <c r="F121" s="174" t="str">
        <f t="shared" si="48"/>
        <v>Transformação do Processo</v>
      </c>
      <c r="G121" s="166" t="str">
        <f t="shared" si="52"/>
        <v>Transformação do Processo</v>
      </c>
      <c r="H121" s="197" t="s">
        <v>289</v>
      </c>
      <c r="I121" s="166">
        <v>45824</v>
      </c>
      <c r="J121" s="166">
        <v>45842</v>
      </c>
      <c r="K121" s="166">
        <v>45824</v>
      </c>
      <c r="L121" s="166">
        <v>45842</v>
      </c>
      <c r="M121" s="167"/>
      <c r="N121" s="167" t="str">
        <f t="array" ref="N121">_xlfn.IFS(L121&lt;$M$3,"Concluído",AND(K121&gt;=$M$3,I121&lt;$M$3,L121&gt;$M$3),"Em andamento",AND(L121&gt;=$M$3,J121&lt;$M$3),"Atrasado",AND(L121&gt;=$M$3,J121&gt;=$M$3,I121&gt;$M$3,K121&lt;=$M$3),"Em andamento",AND(L121&gt;=$M$3,J121&gt;=$M$3,I121&lt;=$M$3,K121&lt;=$M$3),"Em andamento",AND(K121&gt;$M$3,I121&gt;$M$3),"Não iniciado",AND(L121&gt;=$M$3,J121&gt;=$M$3,K121&gt;=$M$3,I121&lt;$M$3),"Atrasado",AND(L121&gt;=$M$3,J121&gt;=$M$3,K121&gt;=$M$3,I121&gt;$M$3),"Não iniciado",AND($I121&lt;=$M$3,$K121&gt;$M$3),"Atrasado")</f>
        <v>Concluído</v>
      </c>
      <c r="O121" s="167">
        <f t="array" ref="O121">_xlfn.IFS(N121="Não iniciado",0,N121="Em andamento",1,N121="Concluído",2,N121="Atrasado",3)</f>
        <v>2</v>
      </c>
      <c r="P121" s="169"/>
      <c r="Q121" s="152">
        <f t="array" aca="1" ref="Q121" ca="1">_xlfn.IFS(AND($I121&lt;$N$3,$J121&lt;$N$3),1,AND($I121&lt;=$N$3,$J121&gt;=$N$3),0.5,AND($I121&gt;=$N$3,$J121&gt;=$N$3),0)</f>
        <v>1</v>
      </c>
      <c r="R121" s="152">
        <f t="array" aca="1" ref="R121" ca="1">_xlfn.IFS(AND($K121&lt;$N$3,$L121&lt;$N$3),1,AND($K121&lt;=$N$3,$L121&gt;=$N$3),0.5,AND($K121&gt;=$N$3,$L121&gt;=$N$3),0)</f>
        <v>1</v>
      </c>
      <c r="S121" s="201" t="e">
        <f t="array" ref="S121">_xlfn.IFS(AND($K121&gt;R$7,$L121&gt;R$7),0,AND($K121&lt;=R$7,$L121&lt;=R$7),1,AND($K121&lt;=R$7,$L121&gt;R$7),((R$7-$K121)/($L121-$K121)))</f>
        <v>#REF!</v>
      </c>
      <c r="T121" s="201" t="e">
        <f t="array" ref="T121">_xlfn.IFS(AND($K121&gt;S$7,$L121&gt;S$7),0,AND($K121&lt;=S$7,$L121&lt;=S$7),1,AND($K121&lt;=S$7,$L121&gt;S$7),((S$7-$K121)/($L121-$K121)))</f>
        <v>#REF!</v>
      </c>
      <c r="U121" s="201" t="e">
        <f t="array" ref="U121">_xlfn.IFS(AND($K121&gt;T$7,$L121&gt;T$7),0,AND($K121&lt;=T$7,$L121&lt;=T$7),1,AND($K121&lt;=T$7,$L121&gt;T$7),((T$7-$K121)/($L121-$K121)))</f>
        <v>#REF!</v>
      </c>
      <c r="V121" s="201" t="e">
        <f t="array" ref="V121">_xlfn.IFS(AND($K121&gt;U$7,$L121&gt;U$7),0,AND($K121&lt;=U$7,$L121&lt;=U$7),1,AND($K121&lt;=U$7,$L121&gt;U$7),((U$7-$K121)/($L121-$K121)))</f>
        <v>#REF!</v>
      </c>
      <c r="W121" s="201" t="e">
        <f t="array" ref="W121">_xlfn.IFS(AND($K121&gt;V$7,$L121&gt;V$7),0,AND($K121&lt;=V$7,$L121&lt;=V$7),1,AND($K121&lt;=V$7,$L121&gt;V$7),((V$7-$K121)/($L121-$K121)))</f>
        <v>#REF!</v>
      </c>
      <c r="X121" s="201" t="e">
        <f t="array" ref="X121">_xlfn.IFS(AND($K121&gt;W$7,$L121&gt;W$7),0,AND($K121&lt;=W$7,$L121&lt;=W$7),1,AND($K121&lt;=W$7,$L121&gt;W$7),((W$7-$K121)/($L121-$K121)))</f>
        <v>#REF!</v>
      </c>
      <c r="Y121" s="201" t="e">
        <f t="array" ref="Y121">_xlfn.IFS(AND($K121&gt;X$7,$L121&gt;X$7),0,AND($K121&lt;=X$7,$L121&lt;=X$7),1,AND($K121&lt;=X$7,$L121&gt;X$7),((X$7-$K121)/($L121-$K121)))</f>
        <v>#REF!</v>
      </c>
      <c r="Z121" s="201" t="e">
        <f t="array" ref="Z121">_xlfn.IFS(AND($K121&gt;Y$7,$L121&gt;Y$7),0,AND($K121&lt;=Y$7,$L121&lt;=Y$7),1,AND($K121&lt;=Y$7,$L121&gt;Y$7),((Y$7-$K121)/($L121-$K121)))</f>
        <v>#REF!</v>
      </c>
      <c r="AA121" s="201" t="e">
        <f t="array" ref="AA121">_xlfn.IFS(AND($K121&gt;Z$7,$L121&gt;Z$7),0,AND($K121&lt;=Z$7,$L121&lt;=Z$7),1,AND($K121&lt;=Z$7,$L121&gt;Z$7),((Z$7-$K121)/($L121-$K121)))</f>
        <v>#REF!</v>
      </c>
      <c r="AB121" s="201" t="e">
        <f t="array" ref="AB121">_xlfn.IFS(AND($K121&gt;AA$7,$L121&gt;AA$7),0,AND($K121&lt;=AA$7,$L121&lt;=AA$7),1,AND($K121&lt;=AA$7,$L121&gt;AA$7),((AA$7-$K121)/($L121-$K121)))</f>
        <v>#REF!</v>
      </c>
      <c r="AC121" s="201" t="e">
        <f t="array" ref="AC121">_xlfn.IFS(AND($K121&gt;AB$7,$L121&gt;AB$7),0,AND($K121&lt;=AB$7,$L121&lt;=AB$7),1,AND($K121&lt;=AB$7,$L121&gt;AB$7),((AB$7-$K121)/($L121-$K121)))</f>
        <v>#REF!</v>
      </c>
      <c r="AD121" s="201" t="e">
        <f t="array" ref="AD121">_xlfn.IFS(AND($K121&gt;AC$7,$L121&gt;AC$7),0,AND($K121&lt;=AC$7,$L121&lt;=AC$7),1,AND($K121&lt;=AC$7,$L121&gt;AC$7),((AC$7-$K121)/($L121-$K121)))</f>
        <v>#REF!</v>
      </c>
      <c r="AE121" s="201" t="e">
        <f t="array" ref="AE121">_xlfn.IFS(AND($K121&gt;AD$7,$L121&gt;AD$7),0,AND($K121&lt;=AD$7,$L121&lt;=AD$7),1,AND($K121&lt;=AD$7,$L121&gt;AD$7),((AD$7-$K121)/($L121-$K121)))</f>
        <v>#REF!</v>
      </c>
      <c r="AF121" s="201" t="e">
        <f t="array" ref="AF121">_xlfn.IFS(AND($K121&gt;AE$7,$L121&gt;AE$7),0,AND($K121&lt;=AE$7,$L121&lt;=AE$7),1,AND($K121&lt;=AE$7,$L121&gt;AE$7),((AE$7-$K121)/($L121-$K121)))</f>
        <v>#REF!</v>
      </c>
      <c r="AG121" s="201" t="e">
        <f t="array" ref="AG121">_xlfn.IFS(AND($K121&gt;AF$7,$L121&gt;AF$7),0,AND($K121&lt;=AF$7,$L121&lt;=AF$7),1,AND($K121&lt;=AF$7,$L121&gt;AF$7),((AF$7-$K121)/($L121-$K121)))</f>
        <v>#REF!</v>
      </c>
      <c r="AH121" s="201" t="e">
        <f t="array" ref="AH121">_xlfn.IFS(AND($K121&gt;AG$7,$L121&gt;AG$7),0,AND($K121&lt;=AG$7,$L121&lt;=AG$7),1,AND($K121&lt;=AG$7,$L121&gt;AG$7),((AG$7-$K121)/($L121-$K121)))</f>
        <v>#REF!</v>
      </c>
      <c r="AI121" s="201" t="e">
        <f t="array" ref="AI121">_xlfn.IFS(AND($K121&gt;AH$7,$L121&gt;AH$7),0,AND($K121&lt;=AH$7,$L121&lt;=AH$7),1,AND($K121&lt;=AH$7,$L121&gt;AH$7),((AH$7-$K121)/($L121-$K121)))</f>
        <v>#REF!</v>
      </c>
      <c r="AJ121" s="201" t="e">
        <f t="array" ref="AJ121">_xlfn.IFS(AND($K121&gt;AI$7,$L121&gt;AI$7),0,AND($K121&lt;=AI$7,$L121&lt;=AI$7),1,AND($K121&lt;=AI$7,$L121&gt;AI$7),((AI$7-$K121)/($L121-$K121)))</f>
        <v>#REF!</v>
      </c>
      <c r="AK121" s="201" t="e">
        <f t="array" ref="AK121">_xlfn.IFS(AND($K121&gt;AJ$7,$L121&gt;AJ$7),0,AND($K121&lt;=AJ$7,$L121&lt;=AJ$7),1,AND($K121&lt;=AJ$7,$L121&gt;AJ$7),((AJ$7-$K121)/($L121-$K121)))</f>
        <v>#REF!</v>
      </c>
      <c r="AL121" s="201" t="e">
        <f t="array" ref="AL121">_xlfn.IFS(AND($K121&gt;AK$7,$L121&gt;AK$7),0,AND($K121&lt;=AK$7,$L121&lt;=AK$7),1,AND($K121&lt;=AK$7,$L121&gt;AK$7),((AK$7-$K121)/($L121-$K121)))</f>
        <v>#REF!</v>
      </c>
      <c r="AM121" s="201" t="e">
        <f t="array" ref="AM121">_xlfn.IFS(AND($K121&gt;AL$7,$L121&gt;AL$7),0,AND($K121&lt;=AL$7,$L121&lt;=AL$7),1,AND($K121&lt;=AL$7,$L121&gt;AL$7),((AL$7-$K121)/($L121-$K121)))</f>
        <v>#REF!</v>
      </c>
      <c r="AN121" s="201" t="e">
        <f t="array" ref="AN121">_xlfn.IFS(AND($K121&gt;AM$7,$L121&gt;AM$7),0,AND($K121&lt;=AM$7,$L121&lt;=AM$7),1,AND($K121&lt;=AM$7,$L121&gt;AM$7),((AM$7-$K121)/($L121-$K121)))</f>
        <v>#REF!</v>
      </c>
      <c r="AO121" s="201" t="e">
        <f t="array" ref="AO121">_xlfn.IFS(AND($K121&gt;AN$7,$L121&gt;AN$7),0,AND($K121&lt;=AN$7,$L121&lt;=AN$7),1,AND($K121&lt;=AN$7,$L121&gt;AN$7),((AN$7-$K121)/($L121-$K121)))</f>
        <v>#REF!</v>
      </c>
      <c r="AP121" s="201" t="e">
        <f t="array" ref="AP121">_xlfn.IFS(AND($K121&gt;AO$7,$L121&gt;AO$7),0,AND($K121&lt;=AO$7,$L121&lt;=AO$7),1,AND($K121&lt;=AO$7,$L121&gt;AO$7),((AO$7-$K121)/($L121-$K121)))</f>
        <v>#REF!</v>
      </c>
      <c r="AQ121" s="201" t="e">
        <f t="array" ref="AQ121">_xlfn.IFS(AND($K121&gt;AP$7,$L121&gt;AP$7),0,AND($K121&lt;=AP$7,$L121&lt;=AP$7),1,AND($K121&lt;=AP$7,$L121&gt;AP$7),((AP$7-$K121)/($L121-$K121)))</f>
        <v>#REF!</v>
      </c>
      <c r="AR121" s="201" t="e">
        <f t="array" ref="AR121">_xlfn.IFS(AND($K121&gt;AQ$7,$L121&gt;AQ$7),0,AND($K121&lt;=AQ$7,$L121&lt;=AQ$7),1,AND($K121&lt;=AQ$7,$L121&gt;AQ$7),((AQ$7-$K121)/($L121-$K121)))</f>
        <v>#REF!</v>
      </c>
      <c r="AS121" s="201" t="e">
        <f t="array" ref="AS121">_xlfn.IFS(AND($K121&gt;AR$7,$L121&gt;AR$7),0,AND($K121&lt;=AR$7,$L121&lt;=AR$7),1,AND($K121&lt;=AR$7,$L121&gt;AR$7),((AR$7-$K121)/($L121-$K121)))</f>
        <v>#REF!</v>
      </c>
      <c r="AT121" s="201" t="e">
        <f t="array" ref="AT121">_xlfn.IFS(AND($K121&gt;AS$7,$L121&gt;AS$7),0,AND($K121&lt;=AS$7,$L121&lt;=AS$7),1,AND($K121&lt;=AS$7,$L121&gt;AS$7),((AS$7-$K121)/($L121-$K121)))</f>
        <v>#REF!</v>
      </c>
      <c r="AU121" s="201" t="e">
        <f t="array" ref="AU121">_xlfn.IFS(AND($K121&gt;AT$7,$L121&gt;AT$7),0,AND($K121&lt;=AT$7,$L121&lt;=AT$7),1,AND($K121&lt;=AT$7,$L121&gt;AT$7),((AT$7-$K121)/($L121-$K121)))</f>
        <v>#REF!</v>
      </c>
      <c r="AV121" s="201" t="e">
        <f t="array" ref="AV121">_xlfn.IFS(AND($K121&gt;AU$7,$L121&gt;AU$7),0,AND($K121&lt;=AU$7,$L121&lt;=AU$7),1,AND($K121&lt;=AU$7,$L121&gt;AU$7),((AU$7-$K121)/($L121-$K121)))</f>
        <v>#REF!</v>
      </c>
      <c r="AW121" s="201" t="e">
        <f t="array" ref="AW121">_xlfn.IFS(AND($K121&gt;AV$7,$L121&gt;AV$7),0,AND($K121&lt;=AV$7,$L121&lt;=AV$7),1,AND($K121&lt;=AV$7,$L121&gt;AV$7),((AV$7-$K121)/($L121-$K121)))</f>
        <v>#REF!</v>
      </c>
      <c r="AX121" s="201" t="e">
        <f t="array" ref="AX121">_xlfn.IFS(AND($K121&gt;AW$7,$L121&gt;AW$7),0,AND($K121&lt;=AW$7,$L121&lt;=AW$7),1,AND($K121&lt;=AW$7,$L121&gt;AW$7),((AW$7-$K121)/($L121-$K121)))</f>
        <v>#REF!</v>
      </c>
      <c r="AY121" s="201" t="e">
        <f t="array" ref="AY121">_xlfn.IFS(AND($K121&gt;AX$7,$L121&gt;AX$7),0,AND($K121&lt;=AX$7,$L121&lt;=AX$7),1,AND($K121&lt;=AX$7,$L121&gt;AX$7),((AX$7-$K121)/($L121-$K121)))</f>
        <v>#REF!</v>
      </c>
      <c r="AZ121" s="201" t="e">
        <f t="array" ref="AZ121">_xlfn.IFS(AND($K121&gt;AY$7,$L121&gt;AY$7),0,AND($K121&lt;=AY$7,$L121&lt;=AY$7),1,AND($K121&lt;=AY$7,$L121&gt;AY$7),((AY$7-$K121)/($L121-$K121)))</f>
        <v>#REF!</v>
      </c>
      <c r="BA121" s="201" t="e">
        <f t="array" ref="BA121">_xlfn.IFS(AND($K121&gt;AZ$7,$L121&gt;AZ$7),0,AND($K121&lt;=AZ$7,$L121&lt;=AZ$7),1,AND($K121&lt;=AZ$7,$L121&gt;AZ$7),((AZ$7-$K121)/($L121-$K121)))</f>
        <v>#REF!</v>
      </c>
      <c r="BB121" s="201" t="e">
        <f t="array" ref="BB121">_xlfn.IFS(AND($K121&gt;BA$7,$L121&gt;BA$7),0,AND($K121&lt;=BA$7,$L121&lt;=BA$7),1,AND($K121&lt;=BA$7,$L121&gt;BA$7),((BA$7-$K121)/($L121-$K121)))</f>
        <v>#REF!</v>
      </c>
      <c r="BC121" s="201" t="e">
        <f t="array" ref="BC121">_xlfn.IFS(AND($K121&gt;BB$7,$L121&gt;BB$7),0,AND($K121&lt;=BB$7,$L121&lt;=BB$7),1,AND($K121&lt;=BB$7,$L121&gt;BB$7),((BB$7-$K121)/($L121-$K121)))</f>
        <v>#REF!</v>
      </c>
      <c r="BD121" s="201" t="e">
        <f t="array" ref="BD121">_xlfn.IFS(AND($K121&gt;BC$7,$L121&gt;BC$7),0,AND($K121&lt;=BC$7,$L121&lt;=BC$7),1,AND($K121&lt;=BC$7,$L121&gt;BC$7),((BC$7-$K121)/($L121-$K121)))</f>
        <v>#REF!</v>
      </c>
      <c r="BE121" s="201" t="e">
        <f t="array" ref="BE121">_xlfn.IFS(AND($K121&gt;BD$7,$L121&gt;BD$7),0,AND($K121&lt;=BD$7,$L121&lt;=BD$7),1,AND($K121&lt;=BD$7,$L121&gt;BD$7),((BD$7-$K121)/($L121-$K121)))</f>
        <v>#REF!</v>
      </c>
      <c r="BF121" s="201" t="e">
        <f t="array" ref="BF121">_xlfn.IFS(AND($K121&gt;BE$7,$L121&gt;BE$7),0,AND($K121&lt;=BE$7,$L121&lt;=BE$7),1,AND($K121&lt;=BE$7,$L121&gt;BE$7),((BE$7-$K121)/($L121-$K121)))</f>
        <v>#REF!</v>
      </c>
      <c r="BG121" s="201" t="e">
        <f t="array" ref="BG121">_xlfn.IFS(AND($K121&gt;BF$7,$L121&gt;BF$7),0,AND($K121&lt;=BF$7,$L121&lt;=BF$7),1,AND($K121&lt;=BF$7,$L121&gt;BF$7),((BF$7-$K121)/($L121-$K121)))</f>
        <v>#REF!</v>
      </c>
      <c r="BH121" s="201" t="e">
        <f t="array" ref="BH121">_xlfn.IFS(AND($K121&gt;BG$7,$L121&gt;BG$7),0,AND($K121&lt;=BG$7,$L121&lt;=BG$7),1,AND($K121&lt;=BG$7,$L121&gt;BG$7),((BG$7-$K121)/($L121-$K121)))</f>
        <v>#REF!</v>
      </c>
      <c r="BI121" s="201" t="e">
        <f t="array" ref="BI121">_xlfn.IFS(AND($K121&gt;BH$7,$L121&gt;BH$7),0,AND($K121&lt;=BH$7,$L121&lt;=BH$7),1,AND($K121&lt;=BH$7,$L121&gt;BH$7),((BH$7-$K121)/($L121-$K121)))</f>
        <v>#REF!</v>
      </c>
      <c r="BJ121" s="201" t="e">
        <f t="array" ref="BJ121">_xlfn.IFS(AND($K121&gt;BI$7,$L121&gt;BI$7),0,AND($K121&lt;=BI$7,$L121&lt;=BI$7),1,AND($K121&lt;=BI$7,$L121&gt;BI$7),((BI$7-$K121)/($L121-$K121)))</f>
        <v>#REF!</v>
      </c>
      <c r="BK121" s="201" t="e">
        <f t="array" ref="BK121">_xlfn.IFS(AND($K121&gt;BJ$7,$L121&gt;BJ$7),0,AND($K121&lt;=BJ$7,$L121&lt;=BJ$7),1,AND($K121&lt;=BJ$7,$L121&gt;BJ$7),((BJ$7-$K121)/($L121-$K121)))</f>
        <v>#REF!</v>
      </c>
      <c r="BL121" s="201" t="e">
        <f t="array" ref="BL121">_xlfn.IFS(AND($K121&gt;BK$7,$L121&gt;BK$7),0,AND($K121&lt;=BK$7,$L121&lt;=BK$7),1,AND($K121&lt;=BK$7,$L121&gt;BK$7),((BK$7-$K121)/($L121-$K121)))</f>
        <v>#REF!</v>
      </c>
      <c r="BM121" s="201" t="e">
        <f t="array" ref="BM121">_xlfn.IFS(AND($K121&gt;BL$7,$L121&gt;BL$7),0,AND($K121&lt;=BL$7,$L121&lt;=BL$7),1,AND($K121&lt;=BL$7,$L121&gt;BL$7),((BL$7-$K121)/($L121-$K121)))</f>
        <v>#REF!</v>
      </c>
      <c r="BN121" s="201" t="e">
        <f t="array" ref="BN121">_xlfn.IFS(AND($K121&gt;BM$7,$L121&gt;BM$7),0,AND($K121&lt;=BM$7,$L121&lt;=BM$7),1,AND($K121&lt;=BM$7,$L121&gt;BM$7),((BM$7-$K121)/($L121-$K121)))</f>
        <v>#REF!</v>
      </c>
    </row>
    <row r="122" spans="2:66" x14ac:dyDescent="0.3">
      <c r="B122" s="166" t="s">
        <v>161</v>
      </c>
      <c r="C122" s="166" t="s">
        <v>290</v>
      </c>
      <c r="D122" s="177"/>
      <c r="E122" s="170" t="str">
        <f t="shared" si="51"/>
        <v>Desenvolvimento da Transformação dos Processos</v>
      </c>
      <c r="F122" s="174" t="str">
        <f t="shared" si="48"/>
        <v>Transformação do Processo</v>
      </c>
      <c r="G122" s="166" t="str">
        <f t="shared" si="52"/>
        <v>Transformação do Processo</v>
      </c>
      <c r="H122" s="197" t="s">
        <v>291</v>
      </c>
      <c r="I122" s="166">
        <v>45852</v>
      </c>
      <c r="J122" s="166">
        <v>45869</v>
      </c>
      <c r="K122" s="166">
        <v>45852</v>
      </c>
      <c r="L122" s="166">
        <v>45869</v>
      </c>
      <c r="M122" s="167"/>
      <c r="N122" s="167" t="str">
        <f t="array" ref="N122">_xlfn.IFS(L122&lt;$M$3,"Concluído",AND(K122&gt;=$M$3,I122&lt;$M$3,L122&gt;$M$3),"Em andamento",AND(L122&gt;=$M$3,J122&lt;$M$3),"Atrasado",AND(L122&gt;=$M$3,J122&gt;=$M$3,I122&gt;$M$3,K122&lt;=$M$3),"Em andamento",AND(L122&gt;=$M$3,J122&gt;=$M$3,I122&lt;=$M$3,K122&lt;=$M$3),"Em andamento",AND(K122&gt;$M$3,I122&gt;$M$3),"Não iniciado",AND(L122&gt;=$M$3,J122&gt;=$M$3,K122&gt;=$M$3,I122&lt;$M$3),"Atrasado",AND(L122&gt;=$M$3,J122&gt;=$M$3,K122&gt;=$M$3,I122&gt;$M$3),"Não iniciado",AND($I122&lt;=$M$3,$K122&gt;$M$3),"Atrasado")</f>
        <v>Concluído</v>
      </c>
      <c r="O122" s="167">
        <f t="array" ref="O122">_xlfn.IFS(N122="Não iniciado",0,N122="Em andamento",1,N122="Concluído",2,N122="Atrasado",3)</f>
        <v>2</v>
      </c>
      <c r="P122" s="169"/>
      <c r="Q122" s="152">
        <f t="array" aca="1" ref="Q122" ca="1">_xlfn.IFS(AND($I122&lt;$N$3,$J122&lt;$N$3),1,AND($I122&lt;=$N$3,$J122&gt;=$N$3),0.5,AND($I122&gt;=$N$3,$J122&gt;=$N$3),0)</f>
        <v>1</v>
      </c>
      <c r="R122" s="152">
        <f t="array" aca="1" ref="R122" ca="1">_xlfn.IFS(AND($K122&lt;$N$3,$L122&lt;$N$3),1,AND($K122&lt;=$N$3,$L122&gt;=$N$3),0.5,AND($K122&gt;=$N$3,$L122&gt;=$N$3),0)</f>
        <v>1</v>
      </c>
      <c r="S122" s="201" t="e">
        <f t="array" ref="S122">_xlfn.IFS(AND($K122&gt;R$7,$L122&gt;R$7),0,AND($K122&lt;=R$7,$L122&lt;=R$7),1,AND($K122&lt;=R$7,$L122&gt;R$7),((R$7-$K122)/($L122-$K122)))</f>
        <v>#REF!</v>
      </c>
      <c r="T122" s="201" t="e">
        <f t="array" ref="T122">_xlfn.IFS(AND($K122&gt;S$7,$L122&gt;S$7),0,AND($K122&lt;=S$7,$L122&lt;=S$7),1,AND($K122&lt;=S$7,$L122&gt;S$7),((S$7-$K122)/($L122-$K122)))</f>
        <v>#REF!</v>
      </c>
      <c r="U122" s="201" t="e">
        <f t="array" ref="U122">_xlfn.IFS(AND($K122&gt;T$7,$L122&gt;T$7),0,AND($K122&lt;=T$7,$L122&lt;=T$7),1,AND($K122&lt;=T$7,$L122&gt;T$7),((T$7-$K122)/($L122-$K122)))</f>
        <v>#REF!</v>
      </c>
      <c r="V122" s="201" t="e">
        <f t="array" ref="V122">_xlfn.IFS(AND($K122&gt;U$7,$L122&gt;U$7),0,AND($K122&lt;=U$7,$L122&lt;=U$7),1,AND($K122&lt;=U$7,$L122&gt;U$7),((U$7-$K122)/($L122-$K122)))</f>
        <v>#REF!</v>
      </c>
      <c r="W122" s="201" t="e">
        <f t="array" ref="W122">_xlfn.IFS(AND($K122&gt;V$7,$L122&gt;V$7),0,AND($K122&lt;=V$7,$L122&lt;=V$7),1,AND($K122&lt;=V$7,$L122&gt;V$7),((V$7-$K122)/($L122-$K122)))</f>
        <v>#REF!</v>
      </c>
      <c r="X122" s="201" t="e">
        <f t="array" ref="X122">_xlfn.IFS(AND($K122&gt;W$7,$L122&gt;W$7),0,AND($K122&lt;=W$7,$L122&lt;=W$7),1,AND($K122&lt;=W$7,$L122&gt;W$7),((W$7-$K122)/($L122-$K122)))</f>
        <v>#REF!</v>
      </c>
      <c r="Y122" s="201" t="e">
        <f t="array" ref="Y122">_xlfn.IFS(AND($K122&gt;X$7,$L122&gt;X$7),0,AND($K122&lt;=X$7,$L122&lt;=X$7),1,AND($K122&lt;=X$7,$L122&gt;X$7),((X$7-$K122)/($L122-$K122)))</f>
        <v>#REF!</v>
      </c>
      <c r="Z122" s="201" t="e">
        <f t="array" ref="Z122">_xlfn.IFS(AND($K122&gt;Y$7,$L122&gt;Y$7),0,AND($K122&lt;=Y$7,$L122&lt;=Y$7),1,AND($K122&lt;=Y$7,$L122&gt;Y$7),((Y$7-$K122)/($L122-$K122)))</f>
        <v>#REF!</v>
      </c>
      <c r="AA122" s="201" t="e">
        <f t="array" ref="AA122">_xlfn.IFS(AND($K122&gt;Z$7,$L122&gt;Z$7),0,AND($K122&lt;=Z$7,$L122&lt;=Z$7),1,AND($K122&lt;=Z$7,$L122&gt;Z$7),((Z$7-$K122)/($L122-$K122)))</f>
        <v>#REF!</v>
      </c>
      <c r="AB122" s="201" t="e">
        <f t="array" ref="AB122">_xlfn.IFS(AND($K122&gt;AA$7,$L122&gt;AA$7),0,AND($K122&lt;=AA$7,$L122&lt;=AA$7),1,AND($K122&lt;=AA$7,$L122&gt;AA$7),((AA$7-$K122)/($L122-$K122)))</f>
        <v>#REF!</v>
      </c>
      <c r="AC122" s="201" t="e">
        <f t="array" ref="AC122">_xlfn.IFS(AND($K122&gt;AB$7,$L122&gt;AB$7),0,AND($K122&lt;=AB$7,$L122&lt;=AB$7),1,AND($K122&lt;=AB$7,$L122&gt;AB$7),((AB$7-$K122)/($L122-$K122)))</f>
        <v>#REF!</v>
      </c>
      <c r="AD122" s="201" t="e">
        <f t="array" ref="AD122">_xlfn.IFS(AND($K122&gt;AC$7,$L122&gt;AC$7),0,AND($K122&lt;=AC$7,$L122&lt;=AC$7),1,AND($K122&lt;=AC$7,$L122&gt;AC$7),((AC$7-$K122)/($L122-$K122)))</f>
        <v>#REF!</v>
      </c>
      <c r="AE122" s="201" t="e">
        <f t="array" ref="AE122">_xlfn.IFS(AND($K122&gt;AD$7,$L122&gt;AD$7),0,AND($K122&lt;=AD$7,$L122&lt;=AD$7),1,AND($K122&lt;=AD$7,$L122&gt;AD$7),((AD$7-$K122)/($L122-$K122)))</f>
        <v>#REF!</v>
      </c>
      <c r="AF122" s="201" t="e">
        <f t="array" ref="AF122">_xlfn.IFS(AND($K122&gt;AE$7,$L122&gt;AE$7),0,AND($K122&lt;=AE$7,$L122&lt;=AE$7),1,AND($K122&lt;=AE$7,$L122&gt;AE$7),((AE$7-$K122)/($L122-$K122)))</f>
        <v>#REF!</v>
      </c>
      <c r="AG122" s="201" t="e">
        <f t="array" ref="AG122">_xlfn.IFS(AND($K122&gt;AF$7,$L122&gt;AF$7),0,AND($K122&lt;=AF$7,$L122&lt;=AF$7),1,AND($K122&lt;=AF$7,$L122&gt;AF$7),((AF$7-$K122)/($L122-$K122)))</f>
        <v>#REF!</v>
      </c>
      <c r="AH122" s="201" t="e">
        <f t="array" ref="AH122">_xlfn.IFS(AND($K122&gt;AG$7,$L122&gt;AG$7),0,AND($K122&lt;=AG$7,$L122&lt;=AG$7),1,AND($K122&lt;=AG$7,$L122&gt;AG$7),((AG$7-$K122)/($L122-$K122)))</f>
        <v>#REF!</v>
      </c>
      <c r="AI122" s="201" t="e">
        <f t="array" ref="AI122">_xlfn.IFS(AND($K122&gt;AH$7,$L122&gt;AH$7),0,AND($K122&lt;=AH$7,$L122&lt;=AH$7),1,AND($K122&lt;=AH$7,$L122&gt;AH$7),((AH$7-$K122)/($L122-$K122)))</f>
        <v>#REF!</v>
      </c>
      <c r="AJ122" s="201" t="e">
        <f t="array" ref="AJ122">_xlfn.IFS(AND($K122&gt;AI$7,$L122&gt;AI$7),0,AND($K122&lt;=AI$7,$L122&lt;=AI$7),1,AND($K122&lt;=AI$7,$L122&gt;AI$7),((AI$7-$K122)/($L122-$K122)))</f>
        <v>#REF!</v>
      </c>
      <c r="AK122" s="201" t="e">
        <f t="array" ref="AK122">_xlfn.IFS(AND($K122&gt;AJ$7,$L122&gt;AJ$7),0,AND($K122&lt;=AJ$7,$L122&lt;=AJ$7),1,AND($K122&lt;=AJ$7,$L122&gt;AJ$7),((AJ$7-$K122)/($L122-$K122)))</f>
        <v>#REF!</v>
      </c>
      <c r="AL122" s="201" t="e">
        <f t="array" ref="AL122">_xlfn.IFS(AND($K122&gt;AK$7,$L122&gt;AK$7),0,AND($K122&lt;=AK$7,$L122&lt;=AK$7),1,AND($K122&lt;=AK$7,$L122&gt;AK$7),((AK$7-$K122)/($L122-$K122)))</f>
        <v>#REF!</v>
      </c>
      <c r="AM122" s="201" t="e">
        <f t="array" ref="AM122">_xlfn.IFS(AND($K122&gt;AL$7,$L122&gt;AL$7),0,AND($K122&lt;=AL$7,$L122&lt;=AL$7),1,AND($K122&lt;=AL$7,$L122&gt;AL$7),((AL$7-$K122)/($L122-$K122)))</f>
        <v>#REF!</v>
      </c>
      <c r="AN122" s="201" t="e">
        <f t="array" ref="AN122">_xlfn.IFS(AND($K122&gt;AM$7,$L122&gt;AM$7),0,AND($K122&lt;=AM$7,$L122&lt;=AM$7),1,AND($K122&lt;=AM$7,$L122&gt;AM$7),((AM$7-$K122)/($L122-$K122)))</f>
        <v>#REF!</v>
      </c>
      <c r="AO122" s="201" t="e">
        <f t="array" ref="AO122">_xlfn.IFS(AND($K122&gt;AN$7,$L122&gt;AN$7),0,AND($K122&lt;=AN$7,$L122&lt;=AN$7),1,AND($K122&lt;=AN$7,$L122&gt;AN$7),((AN$7-$K122)/($L122-$K122)))</f>
        <v>#REF!</v>
      </c>
      <c r="AP122" s="201" t="e">
        <f t="array" ref="AP122">_xlfn.IFS(AND($K122&gt;AO$7,$L122&gt;AO$7),0,AND($K122&lt;=AO$7,$L122&lt;=AO$7),1,AND($K122&lt;=AO$7,$L122&gt;AO$7),((AO$7-$K122)/($L122-$K122)))</f>
        <v>#REF!</v>
      </c>
      <c r="AQ122" s="201" t="e">
        <f t="array" ref="AQ122">_xlfn.IFS(AND($K122&gt;AP$7,$L122&gt;AP$7),0,AND($K122&lt;=AP$7,$L122&lt;=AP$7),1,AND($K122&lt;=AP$7,$L122&gt;AP$7),((AP$7-$K122)/($L122-$K122)))</f>
        <v>#REF!</v>
      </c>
      <c r="AR122" s="201" t="e">
        <f t="array" ref="AR122">_xlfn.IFS(AND($K122&gt;AQ$7,$L122&gt;AQ$7),0,AND($K122&lt;=AQ$7,$L122&lt;=AQ$7),1,AND($K122&lt;=AQ$7,$L122&gt;AQ$7),((AQ$7-$K122)/($L122-$K122)))</f>
        <v>#REF!</v>
      </c>
      <c r="AS122" s="201" t="e">
        <f t="array" ref="AS122">_xlfn.IFS(AND($K122&gt;AR$7,$L122&gt;AR$7),0,AND($K122&lt;=AR$7,$L122&lt;=AR$7),1,AND($K122&lt;=AR$7,$L122&gt;AR$7),((AR$7-$K122)/($L122-$K122)))</f>
        <v>#REF!</v>
      </c>
      <c r="AT122" s="201" t="e">
        <f t="array" ref="AT122">_xlfn.IFS(AND($K122&gt;AS$7,$L122&gt;AS$7),0,AND($K122&lt;=AS$7,$L122&lt;=AS$7),1,AND($K122&lt;=AS$7,$L122&gt;AS$7),((AS$7-$K122)/($L122-$K122)))</f>
        <v>#REF!</v>
      </c>
      <c r="AU122" s="201" t="e">
        <f t="array" ref="AU122">_xlfn.IFS(AND($K122&gt;AT$7,$L122&gt;AT$7),0,AND($K122&lt;=AT$7,$L122&lt;=AT$7),1,AND($K122&lt;=AT$7,$L122&gt;AT$7),((AT$7-$K122)/($L122-$K122)))</f>
        <v>#REF!</v>
      </c>
      <c r="AV122" s="201" t="e">
        <f t="array" ref="AV122">_xlfn.IFS(AND($K122&gt;AU$7,$L122&gt;AU$7),0,AND($K122&lt;=AU$7,$L122&lt;=AU$7),1,AND($K122&lt;=AU$7,$L122&gt;AU$7),((AU$7-$K122)/($L122-$K122)))</f>
        <v>#REF!</v>
      </c>
      <c r="AW122" s="201" t="e">
        <f t="array" ref="AW122">_xlfn.IFS(AND($K122&gt;AV$7,$L122&gt;AV$7),0,AND($K122&lt;=AV$7,$L122&lt;=AV$7),1,AND($K122&lt;=AV$7,$L122&gt;AV$7),((AV$7-$K122)/($L122-$K122)))</f>
        <v>#REF!</v>
      </c>
      <c r="AX122" s="201" t="e">
        <f t="array" ref="AX122">_xlfn.IFS(AND($K122&gt;AW$7,$L122&gt;AW$7),0,AND($K122&lt;=AW$7,$L122&lt;=AW$7),1,AND($K122&lt;=AW$7,$L122&gt;AW$7),((AW$7-$K122)/($L122-$K122)))</f>
        <v>#REF!</v>
      </c>
      <c r="AY122" s="201" t="e">
        <f t="array" ref="AY122">_xlfn.IFS(AND($K122&gt;AX$7,$L122&gt;AX$7),0,AND($K122&lt;=AX$7,$L122&lt;=AX$7),1,AND($K122&lt;=AX$7,$L122&gt;AX$7),((AX$7-$K122)/($L122-$K122)))</f>
        <v>#REF!</v>
      </c>
      <c r="AZ122" s="201" t="e">
        <f t="array" ref="AZ122">_xlfn.IFS(AND($K122&gt;AY$7,$L122&gt;AY$7),0,AND($K122&lt;=AY$7,$L122&lt;=AY$7),1,AND($K122&lt;=AY$7,$L122&gt;AY$7),((AY$7-$K122)/($L122-$K122)))</f>
        <v>#REF!</v>
      </c>
      <c r="BA122" s="201" t="e">
        <f t="array" ref="BA122">_xlfn.IFS(AND($K122&gt;AZ$7,$L122&gt;AZ$7),0,AND($K122&lt;=AZ$7,$L122&lt;=AZ$7),1,AND($K122&lt;=AZ$7,$L122&gt;AZ$7),((AZ$7-$K122)/($L122-$K122)))</f>
        <v>#REF!</v>
      </c>
      <c r="BB122" s="201" t="e">
        <f t="array" ref="BB122">_xlfn.IFS(AND($K122&gt;BA$7,$L122&gt;BA$7),0,AND($K122&lt;=BA$7,$L122&lt;=BA$7),1,AND($K122&lt;=BA$7,$L122&gt;BA$7),((BA$7-$K122)/($L122-$K122)))</f>
        <v>#REF!</v>
      </c>
      <c r="BC122" s="201" t="e">
        <f t="array" ref="BC122">_xlfn.IFS(AND($K122&gt;BB$7,$L122&gt;BB$7),0,AND($K122&lt;=BB$7,$L122&lt;=BB$7),1,AND($K122&lt;=BB$7,$L122&gt;BB$7),((BB$7-$K122)/($L122-$K122)))</f>
        <v>#REF!</v>
      </c>
      <c r="BD122" s="201" t="e">
        <f t="array" ref="BD122">_xlfn.IFS(AND($K122&gt;BC$7,$L122&gt;BC$7),0,AND($K122&lt;=BC$7,$L122&lt;=BC$7),1,AND($K122&lt;=BC$7,$L122&gt;BC$7),((BC$7-$K122)/($L122-$K122)))</f>
        <v>#REF!</v>
      </c>
      <c r="BE122" s="201" t="e">
        <f t="array" ref="BE122">_xlfn.IFS(AND($K122&gt;BD$7,$L122&gt;BD$7),0,AND($K122&lt;=BD$7,$L122&lt;=BD$7),1,AND($K122&lt;=BD$7,$L122&gt;BD$7),((BD$7-$K122)/($L122-$K122)))</f>
        <v>#REF!</v>
      </c>
      <c r="BF122" s="201" t="e">
        <f t="array" ref="BF122">_xlfn.IFS(AND($K122&gt;BE$7,$L122&gt;BE$7),0,AND($K122&lt;=BE$7,$L122&lt;=BE$7),1,AND($K122&lt;=BE$7,$L122&gt;BE$7),((BE$7-$K122)/($L122-$K122)))</f>
        <v>#REF!</v>
      </c>
      <c r="BG122" s="201" t="e">
        <f t="array" ref="BG122">_xlfn.IFS(AND($K122&gt;BF$7,$L122&gt;BF$7),0,AND($K122&lt;=BF$7,$L122&lt;=BF$7),1,AND($K122&lt;=BF$7,$L122&gt;BF$7),((BF$7-$K122)/($L122-$K122)))</f>
        <v>#REF!</v>
      </c>
      <c r="BH122" s="201" t="e">
        <f t="array" ref="BH122">_xlfn.IFS(AND($K122&gt;BG$7,$L122&gt;BG$7),0,AND($K122&lt;=BG$7,$L122&lt;=BG$7),1,AND($K122&lt;=BG$7,$L122&gt;BG$7),((BG$7-$K122)/($L122-$K122)))</f>
        <v>#REF!</v>
      </c>
      <c r="BI122" s="201" t="e">
        <f t="array" ref="BI122">_xlfn.IFS(AND($K122&gt;BH$7,$L122&gt;BH$7),0,AND($K122&lt;=BH$7,$L122&lt;=BH$7),1,AND($K122&lt;=BH$7,$L122&gt;BH$7),((BH$7-$K122)/($L122-$K122)))</f>
        <v>#REF!</v>
      </c>
      <c r="BJ122" s="201" t="e">
        <f t="array" ref="BJ122">_xlfn.IFS(AND($K122&gt;BI$7,$L122&gt;BI$7),0,AND($K122&lt;=BI$7,$L122&lt;=BI$7),1,AND($K122&lt;=BI$7,$L122&gt;BI$7),((BI$7-$K122)/($L122-$K122)))</f>
        <v>#REF!</v>
      </c>
      <c r="BK122" s="201" t="e">
        <f t="array" ref="BK122">_xlfn.IFS(AND($K122&gt;BJ$7,$L122&gt;BJ$7),0,AND($K122&lt;=BJ$7,$L122&lt;=BJ$7),1,AND($K122&lt;=BJ$7,$L122&gt;BJ$7),((BJ$7-$K122)/($L122-$K122)))</f>
        <v>#REF!</v>
      </c>
      <c r="BL122" s="201" t="e">
        <f t="array" ref="BL122">_xlfn.IFS(AND($K122&gt;BK$7,$L122&gt;BK$7),0,AND($K122&lt;=BK$7,$L122&lt;=BK$7),1,AND($K122&lt;=BK$7,$L122&gt;BK$7),((BK$7-$K122)/($L122-$K122)))</f>
        <v>#REF!</v>
      </c>
      <c r="BM122" s="201" t="e">
        <f t="array" ref="BM122">_xlfn.IFS(AND($K122&gt;BL$7,$L122&gt;BL$7),0,AND($K122&lt;=BL$7,$L122&lt;=BL$7),1,AND($K122&lt;=BL$7,$L122&gt;BL$7),((BL$7-$K122)/($L122-$K122)))</f>
        <v>#REF!</v>
      </c>
      <c r="BN122" s="201" t="e">
        <f t="array" ref="BN122">_xlfn.IFS(AND($K122&gt;BM$7,$L122&gt;BM$7),0,AND($K122&lt;=BM$7,$L122&lt;=BM$7),1,AND($K122&lt;=BM$7,$L122&gt;BM$7),((BM$7-$K122)/($L122-$K122)))</f>
        <v>#REF!</v>
      </c>
    </row>
    <row r="123" spans="2:66" x14ac:dyDescent="0.3">
      <c r="B123" s="166" t="s">
        <v>161</v>
      </c>
      <c r="C123" s="166" t="s">
        <v>292</v>
      </c>
      <c r="D123" s="177"/>
      <c r="E123" s="170" t="str">
        <f t="shared" si="51"/>
        <v>Desenvolvimento da Transformação dos Processos</v>
      </c>
      <c r="F123" s="174" t="str">
        <f t="shared" si="48"/>
        <v>Transformação do Processo</v>
      </c>
      <c r="G123" s="166" t="str">
        <f t="shared" si="52"/>
        <v>Transformação do Processo</v>
      </c>
      <c r="H123" s="197" t="s">
        <v>293</v>
      </c>
      <c r="I123" s="166">
        <v>45852</v>
      </c>
      <c r="J123" s="166">
        <v>45869</v>
      </c>
      <c r="K123" s="166">
        <v>45852</v>
      </c>
      <c r="L123" s="166">
        <v>45869</v>
      </c>
      <c r="M123" s="167"/>
      <c r="N123" s="167" t="str">
        <f t="array" ref="N123">_xlfn.IFS(L123&lt;$M$3,"Concluído",AND(K123&gt;=$M$3,I123&lt;$M$3,L123&gt;$M$3),"Em andamento",AND(L123&gt;=$M$3,J123&lt;$M$3),"Atrasado",AND(L123&gt;=$M$3,J123&gt;=$M$3,I123&gt;$M$3,K123&lt;=$M$3),"Em andamento",AND(L123&gt;=$M$3,J123&gt;=$M$3,I123&lt;=$M$3,K123&lt;=$M$3),"Em andamento",AND(K123&gt;$M$3,I123&gt;$M$3),"Não iniciado",AND(L123&gt;=$M$3,J123&gt;=$M$3,K123&gt;=$M$3,I123&lt;$M$3),"Atrasado",AND(L123&gt;=$M$3,J123&gt;=$M$3,K123&gt;=$M$3,I123&gt;$M$3),"Não iniciado",AND($I123&lt;=$M$3,$K123&gt;$M$3),"Atrasado")</f>
        <v>Concluído</v>
      </c>
      <c r="O123" s="167">
        <f t="array" ref="O123">_xlfn.IFS(N123="Não iniciado",0,N123="Em andamento",1,N123="Concluído",2,N123="Atrasado",3)</f>
        <v>2</v>
      </c>
      <c r="P123" s="169"/>
      <c r="Q123" s="152">
        <f t="array" aca="1" ref="Q123" ca="1">_xlfn.IFS(AND($I123&lt;$N$3,$J123&lt;$N$3),1,AND($I123&lt;=$N$3,$J123&gt;=$N$3),0.5,AND($I123&gt;=$N$3,$J123&gt;=$N$3),0)</f>
        <v>1</v>
      </c>
      <c r="R123" s="152">
        <f t="array" aca="1" ref="R123" ca="1">_xlfn.IFS(AND($K123&lt;$N$3,$L123&lt;$N$3),1,AND($K123&lt;=$N$3,$L123&gt;=$N$3),0.5,AND($K123&gt;=$N$3,$L123&gt;=$N$3),0)</f>
        <v>1</v>
      </c>
      <c r="S123" s="201" t="e">
        <f t="array" ref="S123">_xlfn.IFS(AND($K123&gt;R$7,$L123&gt;R$7),0,AND($K123&lt;=R$7,$L123&lt;=R$7),1,AND($K123&lt;=R$7,$L123&gt;R$7),((R$7-$K123)/($L123-$K123)))</f>
        <v>#REF!</v>
      </c>
      <c r="T123" s="201" t="e">
        <f t="array" ref="T123">_xlfn.IFS(AND($K123&gt;S$7,$L123&gt;S$7),0,AND($K123&lt;=S$7,$L123&lt;=S$7),1,AND($K123&lt;=S$7,$L123&gt;S$7),((S$7-$K123)/($L123-$K123)))</f>
        <v>#REF!</v>
      </c>
      <c r="U123" s="201" t="e">
        <f t="array" ref="U123">_xlfn.IFS(AND($K123&gt;T$7,$L123&gt;T$7),0,AND($K123&lt;=T$7,$L123&lt;=T$7),1,AND($K123&lt;=T$7,$L123&gt;T$7),((T$7-$K123)/($L123-$K123)))</f>
        <v>#REF!</v>
      </c>
      <c r="V123" s="201" t="e">
        <f t="array" ref="V123">_xlfn.IFS(AND($K123&gt;U$7,$L123&gt;U$7),0,AND($K123&lt;=U$7,$L123&lt;=U$7),1,AND($K123&lt;=U$7,$L123&gt;U$7),((U$7-$K123)/($L123-$K123)))</f>
        <v>#REF!</v>
      </c>
      <c r="W123" s="201" t="e">
        <f t="array" ref="W123">_xlfn.IFS(AND($K123&gt;V$7,$L123&gt;V$7),0,AND($K123&lt;=V$7,$L123&lt;=V$7),1,AND($K123&lt;=V$7,$L123&gt;V$7),((V$7-$K123)/($L123-$K123)))</f>
        <v>#REF!</v>
      </c>
      <c r="X123" s="201" t="e">
        <f t="array" ref="X123">_xlfn.IFS(AND($K123&gt;W$7,$L123&gt;W$7),0,AND($K123&lt;=W$7,$L123&lt;=W$7),1,AND($K123&lt;=W$7,$L123&gt;W$7),((W$7-$K123)/($L123-$K123)))</f>
        <v>#REF!</v>
      </c>
      <c r="Y123" s="201" t="e">
        <f t="array" ref="Y123">_xlfn.IFS(AND($K123&gt;X$7,$L123&gt;X$7),0,AND($K123&lt;=X$7,$L123&lt;=X$7),1,AND($K123&lt;=X$7,$L123&gt;X$7),((X$7-$K123)/($L123-$K123)))</f>
        <v>#REF!</v>
      </c>
      <c r="Z123" s="201" t="e">
        <f t="array" ref="Z123">_xlfn.IFS(AND($K123&gt;Y$7,$L123&gt;Y$7),0,AND($K123&lt;=Y$7,$L123&lt;=Y$7),1,AND($K123&lt;=Y$7,$L123&gt;Y$7),((Y$7-$K123)/($L123-$K123)))</f>
        <v>#REF!</v>
      </c>
      <c r="AA123" s="201" t="e">
        <f t="array" ref="AA123">_xlfn.IFS(AND($K123&gt;Z$7,$L123&gt;Z$7),0,AND($K123&lt;=Z$7,$L123&lt;=Z$7),1,AND($K123&lt;=Z$7,$L123&gt;Z$7),((Z$7-$K123)/($L123-$K123)))</f>
        <v>#REF!</v>
      </c>
      <c r="AB123" s="201" t="e">
        <f t="array" ref="AB123">_xlfn.IFS(AND($K123&gt;AA$7,$L123&gt;AA$7),0,AND($K123&lt;=AA$7,$L123&lt;=AA$7),1,AND($K123&lt;=AA$7,$L123&gt;AA$7),((AA$7-$K123)/($L123-$K123)))</f>
        <v>#REF!</v>
      </c>
      <c r="AC123" s="201" t="e">
        <f t="array" ref="AC123">_xlfn.IFS(AND($K123&gt;AB$7,$L123&gt;AB$7),0,AND($K123&lt;=AB$7,$L123&lt;=AB$7),1,AND($K123&lt;=AB$7,$L123&gt;AB$7),((AB$7-$K123)/($L123-$K123)))</f>
        <v>#REF!</v>
      </c>
      <c r="AD123" s="201" t="e">
        <f t="array" ref="AD123">_xlfn.IFS(AND($K123&gt;AC$7,$L123&gt;AC$7),0,AND($K123&lt;=AC$7,$L123&lt;=AC$7),1,AND($K123&lt;=AC$7,$L123&gt;AC$7),((AC$7-$K123)/($L123-$K123)))</f>
        <v>#REF!</v>
      </c>
      <c r="AE123" s="201" t="e">
        <f t="array" ref="AE123">_xlfn.IFS(AND($K123&gt;AD$7,$L123&gt;AD$7),0,AND($K123&lt;=AD$7,$L123&lt;=AD$7),1,AND($K123&lt;=AD$7,$L123&gt;AD$7),((AD$7-$K123)/($L123-$K123)))</f>
        <v>#REF!</v>
      </c>
      <c r="AF123" s="201" t="e">
        <f t="array" ref="AF123">_xlfn.IFS(AND($K123&gt;AE$7,$L123&gt;AE$7),0,AND($K123&lt;=AE$7,$L123&lt;=AE$7),1,AND($K123&lt;=AE$7,$L123&gt;AE$7),((AE$7-$K123)/($L123-$K123)))</f>
        <v>#REF!</v>
      </c>
      <c r="AG123" s="201" t="e">
        <f t="array" ref="AG123">_xlfn.IFS(AND($K123&gt;AF$7,$L123&gt;AF$7),0,AND($K123&lt;=AF$7,$L123&lt;=AF$7),1,AND($K123&lt;=AF$7,$L123&gt;AF$7),((AF$7-$K123)/($L123-$K123)))</f>
        <v>#REF!</v>
      </c>
      <c r="AH123" s="201" t="e">
        <f t="array" ref="AH123">_xlfn.IFS(AND($K123&gt;AG$7,$L123&gt;AG$7),0,AND($K123&lt;=AG$7,$L123&lt;=AG$7),1,AND($K123&lt;=AG$7,$L123&gt;AG$7),((AG$7-$K123)/($L123-$K123)))</f>
        <v>#REF!</v>
      </c>
      <c r="AI123" s="201" t="e">
        <f t="array" ref="AI123">_xlfn.IFS(AND($K123&gt;AH$7,$L123&gt;AH$7),0,AND($K123&lt;=AH$7,$L123&lt;=AH$7),1,AND($K123&lt;=AH$7,$L123&gt;AH$7),((AH$7-$K123)/($L123-$K123)))</f>
        <v>#REF!</v>
      </c>
      <c r="AJ123" s="201" t="e">
        <f t="array" ref="AJ123">_xlfn.IFS(AND($K123&gt;AI$7,$L123&gt;AI$7),0,AND($K123&lt;=AI$7,$L123&lt;=AI$7),1,AND($K123&lt;=AI$7,$L123&gt;AI$7),((AI$7-$K123)/($L123-$K123)))</f>
        <v>#REF!</v>
      </c>
      <c r="AK123" s="201" t="e">
        <f t="array" ref="AK123">_xlfn.IFS(AND($K123&gt;AJ$7,$L123&gt;AJ$7),0,AND($K123&lt;=AJ$7,$L123&lt;=AJ$7),1,AND($K123&lt;=AJ$7,$L123&gt;AJ$7),((AJ$7-$K123)/($L123-$K123)))</f>
        <v>#REF!</v>
      </c>
      <c r="AL123" s="201" t="e">
        <f t="array" ref="AL123">_xlfn.IFS(AND($K123&gt;AK$7,$L123&gt;AK$7),0,AND($K123&lt;=AK$7,$L123&lt;=AK$7),1,AND($K123&lt;=AK$7,$L123&gt;AK$7),((AK$7-$K123)/($L123-$K123)))</f>
        <v>#REF!</v>
      </c>
      <c r="AM123" s="201" t="e">
        <f t="array" ref="AM123">_xlfn.IFS(AND($K123&gt;AL$7,$L123&gt;AL$7),0,AND($K123&lt;=AL$7,$L123&lt;=AL$7),1,AND($K123&lt;=AL$7,$L123&gt;AL$7),((AL$7-$K123)/($L123-$K123)))</f>
        <v>#REF!</v>
      </c>
      <c r="AN123" s="201" t="e">
        <f t="array" ref="AN123">_xlfn.IFS(AND($K123&gt;AM$7,$L123&gt;AM$7),0,AND($K123&lt;=AM$7,$L123&lt;=AM$7),1,AND($K123&lt;=AM$7,$L123&gt;AM$7),((AM$7-$K123)/($L123-$K123)))</f>
        <v>#REF!</v>
      </c>
      <c r="AO123" s="201" t="e">
        <f t="array" ref="AO123">_xlfn.IFS(AND($K123&gt;AN$7,$L123&gt;AN$7),0,AND($K123&lt;=AN$7,$L123&lt;=AN$7),1,AND($K123&lt;=AN$7,$L123&gt;AN$7),((AN$7-$K123)/($L123-$K123)))</f>
        <v>#REF!</v>
      </c>
      <c r="AP123" s="201" t="e">
        <f t="array" ref="AP123">_xlfn.IFS(AND($K123&gt;AO$7,$L123&gt;AO$7),0,AND($K123&lt;=AO$7,$L123&lt;=AO$7),1,AND($K123&lt;=AO$7,$L123&gt;AO$7),((AO$7-$K123)/($L123-$K123)))</f>
        <v>#REF!</v>
      </c>
      <c r="AQ123" s="201" t="e">
        <f t="array" ref="AQ123">_xlfn.IFS(AND($K123&gt;AP$7,$L123&gt;AP$7),0,AND($K123&lt;=AP$7,$L123&lt;=AP$7),1,AND($K123&lt;=AP$7,$L123&gt;AP$7),((AP$7-$K123)/($L123-$K123)))</f>
        <v>#REF!</v>
      </c>
      <c r="AR123" s="201" t="e">
        <f t="array" ref="AR123">_xlfn.IFS(AND($K123&gt;AQ$7,$L123&gt;AQ$7),0,AND($K123&lt;=AQ$7,$L123&lt;=AQ$7),1,AND($K123&lt;=AQ$7,$L123&gt;AQ$7),((AQ$7-$K123)/($L123-$K123)))</f>
        <v>#REF!</v>
      </c>
      <c r="AS123" s="201" t="e">
        <f t="array" ref="AS123">_xlfn.IFS(AND($K123&gt;AR$7,$L123&gt;AR$7),0,AND($K123&lt;=AR$7,$L123&lt;=AR$7),1,AND($K123&lt;=AR$7,$L123&gt;AR$7),((AR$7-$K123)/($L123-$K123)))</f>
        <v>#REF!</v>
      </c>
      <c r="AT123" s="201" t="e">
        <f t="array" ref="AT123">_xlfn.IFS(AND($K123&gt;AS$7,$L123&gt;AS$7),0,AND($K123&lt;=AS$7,$L123&lt;=AS$7),1,AND($K123&lt;=AS$7,$L123&gt;AS$7),((AS$7-$K123)/($L123-$K123)))</f>
        <v>#REF!</v>
      </c>
      <c r="AU123" s="201" t="e">
        <f t="array" ref="AU123">_xlfn.IFS(AND($K123&gt;AT$7,$L123&gt;AT$7),0,AND($K123&lt;=AT$7,$L123&lt;=AT$7),1,AND($K123&lt;=AT$7,$L123&gt;AT$7),((AT$7-$K123)/($L123-$K123)))</f>
        <v>#REF!</v>
      </c>
      <c r="AV123" s="201" t="e">
        <f t="array" ref="AV123">_xlfn.IFS(AND($K123&gt;AU$7,$L123&gt;AU$7),0,AND($K123&lt;=AU$7,$L123&lt;=AU$7),1,AND($K123&lt;=AU$7,$L123&gt;AU$7),((AU$7-$K123)/($L123-$K123)))</f>
        <v>#REF!</v>
      </c>
      <c r="AW123" s="201" t="e">
        <f t="array" ref="AW123">_xlfn.IFS(AND($K123&gt;AV$7,$L123&gt;AV$7),0,AND($K123&lt;=AV$7,$L123&lt;=AV$7),1,AND($K123&lt;=AV$7,$L123&gt;AV$7),((AV$7-$K123)/($L123-$K123)))</f>
        <v>#REF!</v>
      </c>
      <c r="AX123" s="201" t="e">
        <f t="array" ref="AX123">_xlfn.IFS(AND($K123&gt;AW$7,$L123&gt;AW$7),0,AND($K123&lt;=AW$7,$L123&lt;=AW$7),1,AND($K123&lt;=AW$7,$L123&gt;AW$7),((AW$7-$K123)/($L123-$K123)))</f>
        <v>#REF!</v>
      </c>
      <c r="AY123" s="201" t="e">
        <f t="array" ref="AY123">_xlfn.IFS(AND($K123&gt;AX$7,$L123&gt;AX$7),0,AND($K123&lt;=AX$7,$L123&lt;=AX$7),1,AND($K123&lt;=AX$7,$L123&gt;AX$7),((AX$7-$K123)/($L123-$K123)))</f>
        <v>#REF!</v>
      </c>
      <c r="AZ123" s="201" t="e">
        <f t="array" ref="AZ123">_xlfn.IFS(AND($K123&gt;AY$7,$L123&gt;AY$7),0,AND($K123&lt;=AY$7,$L123&lt;=AY$7),1,AND($K123&lt;=AY$7,$L123&gt;AY$7),((AY$7-$K123)/($L123-$K123)))</f>
        <v>#REF!</v>
      </c>
      <c r="BA123" s="201" t="e">
        <f t="array" ref="BA123">_xlfn.IFS(AND($K123&gt;AZ$7,$L123&gt;AZ$7),0,AND($K123&lt;=AZ$7,$L123&lt;=AZ$7),1,AND($K123&lt;=AZ$7,$L123&gt;AZ$7),((AZ$7-$K123)/($L123-$K123)))</f>
        <v>#REF!</v>
      </c>
      <c r="BB123" s="201" t="e">
        <f t="array" ref="BB123">_xlfn.IFS(AND($K123&gt;BA$7,$L123&gt;BA$7),0,AND($K123&lt;=BA$7,$L123&lt;=BA$7),1,AND($K123&lt;=BA$7,$L123&gt;BA$7),((BA$7-$K123)/($L123-$K123)))</f>
        <v>#REF!</v>
      </c>
      <c r="BC123" s="201" t="e">
        <f t="array" ref="BC123">_xlfn.IFS(AND($K123&gt;BB$7,$L123&gt;BB$7),0,AND($K123&lt;=BB$7,$L123&lt;=BB$7),1,AND($K123&lt;=BB$7,$L123&gt;BB$7),((BB$7-$K123)/($L123-$K123)))</f>
        <v>#REF!</v>
      </c>
      <c r="BD123" s="201" t="e">
        <f t="array" ref="BD123">_xlfn.IFS(AND($K123&gt;BC$7,$L123&gt;BC$7),0,AND($K123&lt;=BC$7,$L123&lt;=BC$7),1,AND($K123&lt;=BC$7,$L123&gt;BC$7),((BC$7-$K123)/($L123-$K123)))</f>
        <v>#REF!</v>
      </c>
      <c r="BE123" s="201" t="e">
        <f t="array" ref="BE123">_xlfn.IFS(AND($K123&gt;BD$7,$L123&gt;BD$7),0,AND($K123&lt;=BD$7,$L123&lt;=BD$7),1,AND($K123&lt;=BD$7,$L123&gt;BD$7),((BD$7-$K123)/($L123-$K123)))</f>
        <v>#REF!</v>
      </c>
      <c r="BF123" s="201" t="e">
        <f t="array" ref="BF123">_xlfn.IFS(AND($K123&gt;BE$7,$L123&gt;BE$7),0,AND($K123&lt;=BE$7,$L123&lt;=BE$7),1,AND($K123&lt;=BE$7,$L123&gt;BE$7),((BE$7-$K123)/($L123-$K123)))</f>
        <v>#REF!</v>
      </c>
      <c r="BG123" s="201" t="e">
        <f t="array" ref="BG123">_xlfn.IFS(AND($K123&gt;BF$7,$L123&gt;BF$7),0,AND($K123&lt;=BF$7,$L123&lt;=BF$7),1,AND($K123&lt;=BF$7,$L123&gt;BF$7),((BF$7-$K123)/($L123-$K123)))</f>
        <v>#REF!</v>
      </c>
      <c r="BH123" s="201" t="e">
        <f t="array" ref="BH123">_xlfn.IFS(AND($K123&gt;BG$7,$L123&gt;BG$7),0,AND($K123&lt;=BG$7,$L123&lt;=BG$7),1,AND($K123&lt;=BG$7,$L123&gt;BG$7),((BG$7-$K123)/($L123-$K123)))</f>
        <v>#REF!</v>
      </c>
      <c r="BI123" s="201" t="e">
        <f t="array" ref="BI123">_xlfn.IFS(AND($K123&gt;BH$7,$L123&gt;BH$7),0,AND($K123&lt;=BH$7,$L123&lt;=BH$7),1,AND($K123&lt;=BH$7,$L123&gt;BH$7),((BH$7-$K123)/($L123-$K123)))</f>
        <v>#REF!</v>
      </c>
      <c r="BJ123" s="201" t="e">
        <f t="array" ref="BJ123">_xlfn.IFS(AND($K123&gt;BI$7,$L123&gt;BI$7),0,AND($K123&lt;=BI$7,$L123&lt;=BI$7),1,AND($K123&lt;=BI$7,$L123&gt;BI$7),((BI$7-$K123)/($L123-$K123)))</f>
        <v>#REF!</v>
      </c>
      <c r="BK123" s="201" t="e">
        <f t="array" ref="BK123">_xlfn.IFS(AND($K123&gt;BJ$7,$L123&gt;BJ$7),0,AND($K123&lt;=BJ$7,$L123&lt;=BJ$7),1,AND($K123&lt;=BJ$7,$L123&gt;BJ$7),((BJ$7-$K123)/($L123-$K123)))</f>
        <v>#REF!</v>
      </c>
      <c r="BL123" s="201" t="e">
        <f t="array" ref="BL123">_xlfn.IFS(AND($K123&gt;BK$7,$L123&gt;BK$7),0,AND($K123&lt;=BK$7,$L123&lt;=BK$7),1,AND($K123&lt;=BK$7,$L123&gt;BK$7),((BK$7-$K123)/($L123-$K123)))</f>
        <v>#REF!</v>
      </c>
      <c r="BM123" s="201" t="e">
        <f t="array" ref="BM123">_xlfn.IFS(AND($K123&gt;BL$7,$L123&gt;BL$7),0,AND($K123&lt;=BL$7,$L123&lt;=BL$7),1,AND($K123&lt;=BL$7,$L123&gt;BL$7),((BL$7-$K123)/($L123-$K123)))</f>
        <v>#REF!</v>
      </c>
      <c r="BN123" s="201" t="e">
        <f t="array" ref="BN123">_xlfn.IFS(AND($K123&gt;BM$7,$L123&gt;BM$7),0,AND($K123&lt;=BM$7,$L123&lt;=BM$7),1,AND($K123&lt;=BM$7,$L123&gt;BM$7),((BM$7-$K123)/($L123-$K123)))</f>
        <v>#REF!</v>
      </c>
    </row>
    <row r="124" spans="2:66" ht="27.6" customHeight="1" x14ac:dyDescent="0.3">
      <c r="B124" s="166" t="s">
        <v>161</v>
      </c>
      <c r="C124" s="166" t="s">
        <v>294</v>
      </c>
      <c r="D124" s="177"/>
      <c r="E124" s="170" t="str">
        <f t="shared" si="51"/>
        <v>Desenvolvimento da Transformação dos Processos</v>
      </c>
      <c r="F124" s="174" t="str">
        <f t="shared" si="48"/>
        <v>Transformação do Processo</v>
      </c>
      <c r="G124" s="166" t="str">
        <f t="shared" si="52"/>
        <v>Transformação do Processo</v>
      </c>
      <c r="H124" s="197" t="s">
        <v>295</v>
      </c>
      <c r="I124" s="166">
        <v>45852</v>
      </c>
      <c r="J124" s="166">
        <v>45869</v>
      </c>
      <c r="K124" s="166">
        <v>45852</v>
      </c>
      <c r="L124" s="166">
        <v>45869</v>
      </c>
      <c r="M124" s="167"/>
      <c r="N124" s="167" t="str">
        <f t="array" ref="N124">_xlfn.IFS(L124&lt;$M$3,"Concluído",AND(K124&gt;=$M$3,I124&lt;$M$3,L124&gt;$M$3),"Em andamento",AND(L124&gt;=$M$3,J124&lt;$M$3),"Atrasado",AND(L124&gt;=$M$3,J124&gt;=$M$3,I124&gt;$M$3,K124&lt;=$M$3),"Em andamento",AND(L124&gt;=$M$3,J124&gt;=$M$3,I124&lt;=$M$3,K124&lt;=$M$3),"Em andamento",AND(K124&gt;$M$3,I124&gt;$M$3),"Não iniciado",AND(L124&gt;=$M$3,J124&gt;=$M$3,K124&gt;=$M$3,I124&lt;$M$3),"Atrasado",AND(L124&gt;=$M$3,J124&gt;=$M$3,K124&gt;=$M$3,I124&gt;$M$3),"Não iniciado",AND($I124&lt;=$M$3,$K124&gt;$M$3),"Atrasado")</f>
        <v>Concluído</v>
      </c>
      <c r="O124" s="167">
        <f t="array" ref="O124">_xlfn.IFS(N124="Não iniciado",0,N124="Em andamento",1,N124="Concluído",2,N124="Atrasado",3)</f>
        <v>2</v>
      </c>
      <c r="P124" s="169"/>
      <c r="Q124" s="152">
        <f t="array" aca="1" ref="Q124" ca="1">_xlfn.IFS(AND($I124&lt;$N$3,$J124&lt;$N$3),1,AND($I124&lt;=$N$3,$J124&gt;=$N$3),0.5,AND($I124&gt;=$N$3,$J124&gt;=$N$3),0)</f>
        <v>1</v>
      </c>
      <c r="R124" s="152">
        <f t="array" aca="1" ref="R124" ca="1">_xlfn.IFS(AND($K124&lt;$N$3,$L124&lt;$N$3),1,AND($K124&lt;=$N$3,$L124&gt;=$N$3),0.5,AND($K124&gt;=$N$3,$L124&gt;=$N$3),0)</f>
        <v>1</v>
      </c>
      <c r="S124" s="201" t="e">
        <f t="array" ref="S124">_xlfn.IFS(AND($K124&gt;R$7,$L124&gt;R$7),0,AND($K124&lt;=R$7,$L124&lt;=R$7),1,AND($K124&lt;=R$7,$L124&gt;R$7),((R$7-$K124)/($L124-$K124)))</f>
        <v>#REF!</v>
      </c>
      <c r="T124" s="201" t="e">
        <f t="array" ref="T124">_xlfn.IFS(AND($K124&gt;S$7,$L124&gt;S$7),0,AND($K124&lt;=S$7,$L124&lt;=S$7),1,AND($K124&lt;=S$7,$L124&gt;S$7),((S$7-$K124)/($L124-$K124)))</f>
        <v>#REF!</v>
      </c>
      <c r="U124" s="201" t="e">
        <f t="array" ref="U124">_xlfn.IFS(AND($K124&gt;T$7,$L124&gt;T$7),0,AND($K124&lt;=T$7,$L124&lt;=T$7),1,AND($K124&lt;=T$7,$L124&gt;T$7),((T$7-$K124)/($L124-$K124)))</f>
        <v>#REF!</v>
      </c>
      <c r="V124" s="201" t="e">
        <f t="array" ref="V124">_xlfn.IFS(AND($K124&gt;U$7,$L124&gt;U$7),0,AND($K124&lt;=U$7,$L124&lt;=U$7),1,AND($K124&lt;=U$7,$L124&gt;U$7),((U$7-$K124)/($L124-$K124)))</f>
        <v>#REF!</v>
      </c>
      <c r="W124" s="201" t="e">
        <f t="array" ref="W124">_xlfn.IFS(AND($K124&gt;V$7,$L124&gt;V$7),0,AND($K124&lt;=V$7,$L124&lt;=V$7),1,AND($K124&lt;=V$7,$L124&gt;V$7),((V$7-$K124)/($L124-$K124)))</f>
        <v>#REF!</v>
      </c>
      <c r="X124" s="201" t="e">
        <f t="array" ref="X124">_xlfn.IFS(AND($K124&gt;W$7,$L124&gt;W$7),0,AND($K124&lt;=W$7,$L124&lt;=W$7),1,AND($K124&lt;=W$7,$L124&gt;W$7),((W$7-$K124)/($L124-$K124)))</f>
        <v>#REF!</v>
      </c>
      <c r="Y124" s="201" t="e">
        <f t="array" ref="Y124">_xlfn.IFS(AND($K124&gt;X$7,$L124&gt;X$7),0,AND($K124&lt;=X$7,$L124&lt;=X$7),1,AND($K124&lt;=X$7,$L124&gt;X$7),((X$7-$K124)/($L124-$K124)))</f>
        <v>#REF!</v>
      </c>
      <c r="Z124" s="201" t="e">
        <f t="array" ref="Z124">_xlfn.IFS(AND($K124&gt;Y$7,$L124&gt;Y$7),0,AND($K124&lt;=Y$7,$L124&lt;=Y$7),1,AND($K124&lt;=Y$7,$L124&gt;Y$7),((Y$7-$K124)/($L124-$K124)))</f>
        <v>#REF!</v>
      </c>
      <c r="AA124" s="201" t="e">
        <f t="array" ref="AA124">_xlfn.IFS(AND($K124&gt;Z$7,$L124&gt;Z$7),0,AND($K124&lt;=Z$7,$L124&lt;=Z$7),1,AND($K124&lt;=Z$7,$L124&gt;Z$7),((Z$7-$K124)/($L124-$K124)))</f>
        <v>#REF!</v>
      </c>
      <c r="AB124" s="201" t="e">
        <f t="array" ref="AB124">_xlfn.IFS(AND($K124&gt;AA$7,$L124&gt;AA$7),0,AND($K124&lt;=AA$7,$L124&lt;=AA$7),1,AND($K124&lt;=AA$7,$L124&gt;AA$7),((AA$7-$K124)/($L124-$K124)))</f>
        <v>#REF!</v>
      </c>
      <c r="AC124" s="201" t="e">
        <f t="array" ref="AC124">_xlfn.IFS(AND($K124&gt;AB$7,$L124&gt;AB$7),0,AND($K124&lt;=AB$7,$L124&lt;=AB$7),1,AND($K124&lt;=AB$7,$L124&gt;AB$7),((AB$7-$K124)/($L124-$K124)))</f>
        <v>#REF!</v>
      </c>
      <c r="AD124" s="201" t="e">
        <f t="array" ref="AD124">_xlfn.IFS(AND($K124&gt;AC$7,$L124&gt;AC$7),0,AND($K124&lt;=AC$7,$L124&lt;=AC$7),1,AND($K124&lt;=AC$7,$L124&gt;AC$7),((AC$7-$K124)/($L124-$K124)))</f>
        <v>#REF!</v>
      </c>
      <c r="AE124" s="201" t="e">
        <f t="array" ref="AE124">_xlfn.IFS(AND($K124&gt;AD$7,$L124&gt;AD$7),0,AND($K124&lt;=AD$7,$L124&lt;=AD$7),1,AND($K124&lt;=AD$7,$L124&gt;AD$7),((AD$7-$K124)/($L124-$K124)))</f>
        <v>#REF!</v>
      </c>
      <c r="AF124" s="201" t="e">
        <f t="array" ref="AF124">_xlfn.IFS(AND($K124&gt;AE$7,$L124&gt;AE$7),0,AND($K124&lt;=AE$7,$L124&lt;=AE$7),1,AND($K124&lt;=AE$7,$L124&gt;AE$7),((AE$7-$K124)/($L124-$K124)))</f>
        <v>#REF!</v>
      </c>
      <c r="AG124" s="201" t="e">
        <f t="array" ref="AG124">_xlfn.IFS(AND($K124&gt;AF$7,$L124&gt;AF$7),0,AND($K124&lt;=AF$7,$L124&lt;=AF$7),1,AND($K124&lt;=AF$7,$L124&gt;AF$7),((AF$7-$K124)/($L124-$K124)))</f>
        <v>#REF!</v>
      </c>
      <c r="AH124" s="201" t="e">
        <f t="array" ref="AH124">_xlfn.IFS(AND($K124&gt;AG$7,$L124&gt;AG$7),0,AND($K124&lt;=AG$7,$L124&lt;=AG$7),1,AND($K124&lt;=AG$7,$L124&gt;AG$7),((AG$7-$K124)/($L124-$K124)))</f>
        <v>#REF!</v>
      </c>
      <c r="AI124" s="201" t="e">
        <f t="array" ref="AI124">_xlfn.IFS(AND($K124&gt;AH$7,$L124&gt;AH$7),0,AND($K124&lt;=AH$7,$L124&lt;=AH$7),1,AND($K124&lt;=AH$7,$L124&gt;AH$7),((AH$7-$K124)/($L124-$K124)))</f>
        <v>#REF!</v>
      </c>
      <c r="AJ124" s="201" t="e">
        <f t="array" ref="AJ124">_xlfn.IFS(AND($K124&gt;AI$7,$L124&gt;AI$7),0,AND($K124&lt;=AI$7,$L124&lt;=AI$7),1,AND($K124&lt;=AI$7,$L124&gt;AI$7),((AI$7-$K124)/($L124-$K124)))</f>
        <v>#REF!</v>
      </c>
      <c r="AK124" s="201" t="e">
        <f t="array" ref="AK124">_xlfn.IFS(AND($K124&gt;AJ$7,$L124&gt;AJ$7),0,AND($K124&lt;=AJ$7,$L124&lt;=AJ$7),1,AND($K124&lt;=AJ$7,$L124&gt;AJ$7),((AJ$7-$K124)/($L124-$K124)))</f>
        <v>#REF!</v>
      </c>
      <c r="AL124" s="201" t="e">
        <f t="array" ref="AL124">_xlfn.IFS(AND($K124&gt;AK$7,$L124&gt;AK$7),0,AND($K124&lt;=AK$7,$L124&lt;=AK$7),1,AND($K124&lt;=AK$7,$L124&gt;AK$7),((AK$7-$K124)/($L124-$K124)))</f>
        <v>#REF!</v>
      </c>
      <c r="AM124" s="201" t="e">
        <f t="array" ref="AM124">_xlfn.IFS(AND($K124&gt;AL$7,$L124&gt;AL$7),0,AND($K124&lt;=AL$7,$L124&lt;=AL$7),1,AND($K124&lt;=AL$7,$L124&gt;AL$7),((AL$7-$K124)/($L124-$K124)))</f>
        <v>#REF!</v>
      </c>
      <c r="AN124" s="201" t="e">
        <f t="array" ref="AN124">_xlfn.IFS(AND($K124&gt;AM$7,$L124&gt;AM$7),0,AND($K124&lt;=AM$7,$L124&lt;=AM$7),1,AND($K124&lt;=AM$7,$L124&gt;AM$7),((AM$7-$K124)/($L124-$K124)))</f>
        <v>#REF!</v>
      </c>
      <c r="AO124" s="201" t="e">
        <f t="array" ref="AO124">_xlfn.IFS(AND($K124&gt;AN$7,$L124&gt;AN$7),0,AND($K124&lt;=AN$7,$L124&lt;=AN$7),1,AND($K124&lt;=AN$7,$L124&gt;AN$7),((AN$7-$K124)/($L124-$K124)))</f>
        <v>#REF!</v>
      </c>
      <c r="AP124" s="201" t="e">
        <f t="array" ref="AP124">_xlfn.IFS(AND($K124&gt;AO$7,$L124&gt;AO$7),0,AND($K124&lt;=AO$7,$L124&lt;=AO$7),1,AND($K124&lt;=AO$7,$L124&gt;AO$7),((AO$7-$K124)/($L124-$K124)))</f>
        <v>#REF!</v>
      </c>
      <c r="AQ124" s="201" t="e">
        <f t="array" ref="AQ124">_xlfn.IFS(AND($K124&gt;AP$7,$L124&gt;AP$7),0,AND($K124&lt;=AP$7,$L124&lt;=AP$7),1,AND($K124&lt;=AP$7,$L124&gt;AP$7),((AP$7-$K124)/($L124-$K124)))</f>
        <v>#REF!</v>
      </c>
      <c r="AR124" s="201" t="e">
        <f t="array" ref="AR124">_xlfn.IFS(AND($K124&gt;AQ$7,$L124&gt;AQ$7),0,AND($K124&lt;=AQ$7,$L124&lt;=AQ$7),1,AND($K124&lt;=AQ$7,$L124&gt;AQ$7),((AQ$7-$K124)/($L124-$K124)))</f>
        <v>#REF!</v>
      </c>
      <c r="AS124" s="201" t="e">
        <f t="array" ref="AS124">_xlfn.IFS(AND($K124&gt;AR$7,$L124&gt;AR$7),0,AND($K124&lt;=AR$7,$L124&lt;=AR$7),1,AND($K124&lt;=AR$7,$L124&gt;AR$7),((AR$7-$K124)/($L124-$K124)))</f>
        <v>#REF!</v>
      </c>
      <c r="AT124" s="201" t="e">
        <f t="array" ref="AT124">_xlfn.IFS(AND($K124&gt;AS$7,$L124&gt;AS$7),0,AND($K124&lt;=AS$7,$L124&lt;=AS$7),1,AND($K124&lt;=AS$7,$L124&gt;AS$7),((AS$7-$K124)/($L124-$K124)))</f>
        <v>#REF!</v>
      </c>
      <c r="AU124" s="201" t="e">
        <f t="array" ref="AU124">_xlfn.IFS(AND($K124&gt;AT$7,$L124&gt;AT$7),0,AND($K124&lt;=AT$7,$L124&lt;=AT$7),1,AND($K124&lt;=AT$7,$L124&gt;AT$7),((AT$7-$K124)/($L124-$K124)))</f>
        <v>#REF!</v>
      </c>
      <c r="AV124" s="201" t="e">
        <f t="array" ref="AV124">_xlfn.IFS(AND($K124&gt;AU$7,$L124&gt;AU$7),0,AND($K124&lt;=AU$7,$L124&lt;=AU$7),1,AND($K124&lt;=AU$7,$L124&gt;AU$7),((AU$7-$K124)/($L124-$K124)))</f>
        <v>#REF!</v>
      </c>
      <c r="AW124" s="201" t="e">
        <f t="array" ref="AW124">_xlfn.IFS(AND($K124&gt;AV$7,$L124&gt;AV$7),0,AND($K124&lt;=AV$7,$L124&lt;=AV$7),1,AND($K124&lt;=AV$7,$L124&gt;AV$7),((AV$7-$K124)/($L124-$K124)))</f>
        <v>#REF!</v>
      </c>
      <c r="AX124" s="201" t="e">
        <f t="array" ref="AX124">_xlfn.IFS(AND($K124&gt;AW$7,$L124&gt;AW$7),0,AND($K124&lt;=AW$7,$L124&lt;=AW$7),1,AND($K124&lt;=AW$7,$L124&gt;AW$7),((AW$7-$K124)/($L124-$K124)))</f>
        <v>#REF!</v>
      </c>
      <c r="AY124" s="201" t="e">
        <f t="array" ref="AY124">_xlfn.IFS(AND($K124&gt;AX$7,$L124&gt;AX$7),0,AND($K124&lt;=AX$7,$L124&lt;=AX$7),1,AND($K124&lt;=AX$7,$L124&gt;AX$7),((AX$7-$K124)/($L124-$K124)))</f>
        <v>#REF!</v>
      </c>
      <c r="AZ124" s="201" t="e">
        <f t="array" ref="AZ124">_xlfn.IFS(AND($K124&gt;AY$7,$L124&gt;AY$7),0,AND($K124&lt;=AY$7,$L124&lt;=AY$7),1,AND($K124&lt;=AY$7,$L124&gt;AY$7),((AY$7-$K124)/($L124-$K124)))</f>
        <v>#REF!</v>
      </c>
      <c r="BA124" s="201" t="e">
        <f t="array" ref="BA124">_xlfn.IFS(AND($K124&gt;AZ$7,$L124&gt;AZ$7),0,AND($K124&lt;=AZ$7,$L124&lt;=AZ$7),1,AND($K124&lt;=AZ$7,$L124&gt;AZ$7),((AZ$7-$K124)/($L124-$K124)))</f>
        <v>#REF!</v>
      </c>
      <c r="BB124" s="201" t="e">
        <f t="array" ref="BB124">_xlfn.IFS(AND($K124&gt;BA$7,$L124&gt;BA$7),0,AND($K124&lt;=BA$7,$L124&lt;=BA$7),1,AND($K124&lt;=BA$7,$L124&gt;BA$7),((BA$7-$K124)/($L124-$K124)))</f>
        <v>#REF!</v>
      </c>
      <c r="BC124" s="201" t="e">
        <f t="array" ref="BC124">_xlfn.IFS(AND($K124&gt;BB$7,$L124&gt;BB$7),0,AND($K124&lt;=BB$7,$L124&lt;=BB$7),1,AND($K124&lt;=BB$7,$L124&gt;BB$7),((BB$7-$K124)/($L124-$K124)))</f>
        <v>#REF!</v>
      </c>
      <c r="BD124" s="201" t="e">
        <f t="array" ref="BD124">_xlfn.IFS(AND($K124&gt;BC$7,$L124&gt;BC$7),0,AND($K124&lt;=BC$7,$L124&lt;=BC$7),1,AND($K124&lt;=BC$7,$L124&gt;BC$7),((BC$7-$K124)/($L124-$K124)))</f>
        <v>#REF!</v>
      </c>
      <c r="BE124" s="201" t="e">
        <f t="array" ref="BE124">_xlfn.IFS(AND($K124&gt;BD$7,$L124&gt;BD$7),0,AND($K124&lt;=BD$7,$L124&lt;=BD$7),1,AND($K124&lt;=BD$7,$L124&gt;BD$7),((BD$7-$K124)/($L124-$K124)))</f>
        <v>#REF!</v>
      </c>
      <c r="BF124" s="201" t="e">
        <f t="array" ref="BF124">_xlfn.IFS(AND($K124&gt;BE$7,$L124&gt;BE$7),0,AND($K124&lt;=BE$7,$L124&lt;=BE$7),1,AND($K124&lt;=BE$7,$L124&gt;BE$7),((BE$7-$K124)/($L124-$K124)))</f>
        <v>#REF!</v>
      </c>
      <c r="BG124" s="201" t="e">
        <f t="array" ref="BG124">_xlfn.IFS(AND($K124&gt;BF$7,$L124&gt;BF$7),0,AND($K124&lt;=BF$7,$L124&lt;=BF$7),1,AND($K124&lt;=BF$7,$L124&gt;BF$7),((BF$7-$K124)/($L124-$K124)))</f>
        <v>#REF!</v>
      </c>
      <c r="BH124" s="201" t="e">
        <f t="array" ref="BH124">_xlfn.IFS(AND($K124&gt;BG$7,$L124&gt;BG$7),0,AND($K124&lt;=BG$7,$L124&lt;=BG$7),1,AND($K124&lt;=BG$7,$L124&gt;BG$7),((BG$7-$K124)/($L124-$K124)))</f>
        <v>#REF!</v>
      </c>
      <c r="BI124" s="201" t="e">
        <f t="array" ref="BI124">_xlfn.IFS(AND($K124&gt;BH$7,$L124&gt;BH$7),0,AND($K124&lt;=BH$7,$L124&lt;=BH$7),1,AND($K124&lt;=BH$7,$L124&gt;BH$7),((BH$7-$K124)/($L124-$K124)))</f>
        <v>#REF!</v>
      </c>
      <c r="BJ124" s="201" t="e">
        <f t="array" ref="BJ124">_xlfn.IFS(AND($K124&gt;BI$7,$L124&gt;BI$7),0,AND($K124&lt;=BI$7,$L124&lt;=BI$7),1,AND($K124&lt;=BI$7,$L124&gt;BI$7),((BI$7-$K124)/($L124-$K124)))</f>
        <v>#REF!</v>
      </c>
      <c r="BK124" s="201" t="e">
        <f t="array" ref="BK124">_xlfn.IFS(AND($K124&gt;BJ$7,$L124&gt;BJ$7),0,AND($K124&lt;=BJ$7,$L124&lt;=BJ$7),1,AND($K124&lt;=BJ$7,$L124&gt;BJ$7),((BJ$7-$K124)/($L124-$K124)))</f>
        <v>#REF!</v>
      </c>
      <c r="BL124" s="201" t="e">
        <f t="array" ref="BL124">_xlfn.IFS(AND($K124&gt;BK$7,$L124&gt;BK$7),0,AND($K124&lt;=BK$7,$L124&lt;=BK$7),1,AND($K124&lt;=BK$7,$L124&gt;BK$7),((BK$7-$K124)/($L124-$K124)))</f>
        <v>#REF!</v>
      </c>
      <c r="BM124" s="201" t="e">
        <f t="array" ref="BM124">_xlfn.IFS(AND($K124&gt;BL$7,$L124&gt;BL$7),0,AND($K124&lt;=BL$7,$L124&lt;=BL$7),1,AND($K124&lt;=BL$7,$L124&gt;BL$7),((BL$7-$K124)/($L124-$K124)))</f>
        <v>#REF!</v>
      </c>
      <c r="BN124" s="201" t="e">
        <f t="array" ref="BN124">_xlfn.IFS(AND($K124&gt;BM$7,$L124&gt;BM$7),0,AND($K124&lt;=BM$7,$L124&lt;=BM$7),1,AND($K124&lt;=BM$7,$L124&gt;BM$7),((BM$7-$K124)/($L124-$K124)))</f>
        <v>#REF!</v>
      </c>
    </row>
    <row r="125" spans="2:66" x14ac:dyDescent="0.3">
      <c r="B125" s="166" t="s">
        <v>161</v>
      </c>
      <c r="C125" s="166" t="s">
        <v>296</v>
      </c>
      <c r="D125" s="177"/>
      <c r="E125" s="170" t="str">
        <f t="shared" si="51"/>
        <v>Desenvolvimento da Transformação dos Processos</v>
      </c>
      <c r="F125" s="174" t="str">
        <f t="shared" si="48"/>
        <v>Transformação do Processo</v>
      </c>
      <c r="G125" s="166" t="str">
        <f t="shared" si="52"/>
        <v>Transformação do Processo</v>
      </c>
      <c r="H125" s="197" t="s">
        <v>297</v>
      </c>
      <c r="I125" s="166">
        <v>45887</v>
      </c>
      <c r="J125" s="166">
        <v>45898</v>
      </c>
      <c r="K125" s="166">
        <v>45887</v>
      </c>
      <c r="L125" s="166">
        <v>45898</v>
      </c>
      <c r="M125" s="167"/>
      <c r="N125" s="167" t="str">
        <f t="array" ref="N125">_xlfn.IFS(L125&lt;$M$3,"Concluído",AND(K125&gt;=$M$3,I125&lt;$M$3,L125&gt;$M$3),"Em andamento",AND(L125&gt;=$M$3,J125&lt;$M$3),"Atrasado",AND(L125&gt;=$M$3,J125&gt;=$M$3,I125&gt;$M$3,K125&lt;=$M$3),"Em andamento",AND(L125&gt;=$M$3,J125&gt;=$M$3,I125&lt;=$M$3,K125&lt;=$M$3),"Em andamento",AND(K125&gt;$M$3,I125&gt;$M$3),"Não iniciado",AND(L125&gt;=$M$3,J125&gt;=$M$3,K125&gt;=$M$3,I125&lt;$M$3),"Atrasado",AND(L125&gt;=$M$3,J125&gt;=$M$3,K125&gt;=$M$3,I125&gt;$M$3),"Não iniciado",AND($I125&lt;=$M$3,$K125&gt;$M$3),"Atrasado")</f>
        <v>Concluído</v>
      </c>
      <c r="O125" s="167">
        <f t="array" ref="O125">_xlfn.IFS(N125="Não iniciado",0,N125="Em andamento",1,N125="Concluído",2,N125="Atrasado",3)</f>
        <v>2</v>
      </c>
      <c r="P125" s="169"/>
      <c r="Q125" s="152">
        <f t="array" aca="1" ref="Q125" ca="1">_xlfn.IFS(AND($I125&lt;$N$3,$J125&lt;$N$3),1,AND($I125&lt;=$N$3,$J125&gt;=$N$3),0.5,AND($I125&gt;=$N$3,$J125&gt;=$N$3),0)</f>
        <v>1</v>
      </c>
      <c r="R125" s="152">
        <f t="array" aca="1" ref="R125" ca="1">_xlfn.IFS(AND($K125&lt;$N$3,$L125&lt;$N$3),1,AND($K125&lt;=$N$3,$L125&gt;=$N$3),0.5,AND($K125&gt;=$N$3,$L125&gt;=$N$3),0)</f>
        <v>1</v>
      </c>
      <c r="S125" s="201" t="e">
        <f t="array" ref="S125">_xlfn.IFS(AND($K125&gt;R$7,$L125&gt;R$7),0,AND($K125&lt;=R$7,$L125&lt;=R$7),1,AND($K125&lt;=R$7,$L125&gt;R$7),((R$7-$K125)/($L125-$K125)))</f>
        <v>#REF!</v>
      </c>
      <c r="T125" s="201" t="e">
        <f t="array" ref="T125">_xlfn.IFS(AND($K125&gt;S$7,$L125&gt;S$7),0,AND($K125&lt;=S$7,$L125&lt;=S$7),1,AND($K125&lt;=S$7,$L125&gt;S$7),((S$7-$K125)/($L125-$K125)))</f>
        <v>#REF!</v>
      </c>
      <c r="U125" s="201" t="e">
        <f t="array" ref="U125">_xlfn.IFS(AND($K125&gt;T$7,$L125&gt;T$7),0,AND($K125&lt;=T$7,$L125&lt;=T$7),1,AND($K125&lt;=T$7,$L125&gt;T$7),((T$7-$K125)/($L125-$K125)))</f>
        <v>#REF!</v>
      </c>
      <c r="V125" s="201" t="e">
        <f t="array" ref="V125">_xlfn.IFS(AND($K125&gt;U$7,$L125&gt;U$7),0,AND($K125&lt;=U$7,$L125&lt;=U$7),1,AND($K125&lt;=U$7,$L125&gt;U$7),((U$7-$K125)/($L125-$K125)))</f>
        <v>#REF!</v>
      </c>
      <c r="W125" s="201" t="e">
        <f t="array" ref="W125">_xlfn.IFS(AND($K125&gt;V$7,$L125&gt;V$7),0,AND($K125&lt;=V$7,$L125&lt;=V$7),1,AND($K125&lt;=V$7,$L125&gt;V$7),((V$7-$K125)/($L125-$K125)))</f>
        <v>#REF!</v>
      </c>
      <c r="X125" s="201" t="e">
        <f t="array" ref="X125">_xlfn.IFS(AND($K125&gt;W$7,$L125&gt;W$7),0,AND($K125&lt;=W$7,$L125&lt;=W$7),1,AND($K125&lt;=W$7,$L125&gt;W$7),((W$7-$K125)/($L125-$K125)))</f>
        <v>#REF!</v>
      </c>
      <c r="Y125" s="201" t="e">
        <f t="array" ref="Y125">_xlfn.IFS(AND($K125&gt;X$7,$L125&gt;X$7),0,AND($K125&lt;=X$7,$L125&lt;=X$7),1,AND($K125&lt;=X$7,$L125&gt;X$7),((X$7-$K125)/($L125-$K125)))</f>
        <v>#REF!</v>
      </c>
      <c r="Z125" s="201" t="e">
        <f t="array" ref="Z125">_xlfn.IFS(AND($K125&gt;Y$7,$L125&gt;Y$7),0,AND($K125&lt;=Y$7,$L125&lt;=Y$7),1,AND($K125&lt;=Y$7,$L125&gt;Y$7),((Y$7-$K125)/($L125-$K125)))</f>
        <v>#REF!</v>
      </c>
      <c r="AA125" s="201" t="e">
        <f t="array" ref="AA125">_xlfn.IFS(AND($K125&gt;Z$7,$L125&gt;Z$7),0,AND($K125&lt;=Z$7,$L125&lt;=Z$7),1,AND($K125&lt;=Z$7,$L125&gt;Z$7),((Z$7-$K125)/($L125-$K125)))</f>
        <v>#REF!</v>
      </c>
      <c r="AB125" s="201" t="e">
        <f t="array" ref="AB125">_xlfn.IFS(AND($K125&gt;AA$7,$L125&gt;AA$7),0,AND($K125&lt;=AA$7,$L125&lt;=AA$7),1,AND($K125&lt;=AA$7,$L125&gt;AA$7),((AA$7-$K125)/($L125-$K125)))</f>
        <v>#REF!</v>
      </c>
      <c r="AC125" s="201" t="e">
        <f t="array" ref="AC125">_xlfn.IFS(AND($K125&gt;AB$7,$L125&gt;AB$7),0,AND($K125&lt;=AB$7,$L125&lt;=AB$7),1,AND($K125&lt;=AB$7,$L125&gt;AB$7),((AB$7-$K125)/($L125-$K125)))</f>
        <v>#REF!</v>
      </c>
      <c r="AD125" s="201" t="e">
        <f t="array" ref="AD125">_xlfn.IFS(AND($K125&gt;AC$7,$L125&gt;AC$7),0,AND($K125&lt;=AC$7,$L125&lt;=AC$7),1,AND($K125&lt;=AC$7,$L125&gt;AC$7),((AC$7-$K125)/($L125-$K125)))</f>
        <v>#REF!</v>
      </c>
      <c r="AE125" s="201" t="e">
        <f t="array" ref="AE125">_xlfn.IFS(AND($K125&gt;AD$7,$L125&gt;AD$7),0,AND($K125&lt;=AD$7,$L125&lt;=AD$7),1,AND($K125&lt;=AD$7,$L125&gt;AD$7),((AD$7-$K125)/($L125-$K125)))</f>
        <v>#REF!</v>
      </c>
      <c r="AF125" s="201" t="e">
        <f t="array" ref="AF125">_xlfn.IFS(AND($K125&gt;AE$7,$L125&gt;AE$7),0,AND($K125&lt;=AE$7,$L125&lt;=AE$7),1,AND($K125&lt;=AE$7,$L125&gt;AE$7),((AE$7-$K125)/($L125-$K125)))</f>
        <v>#REF!</v>
      </c>
      <c r="AG125" s="201" t="e">
        <f t="array" ref="AG125">_xlfn.IFS(AND($K125&gt;AF$7,$L125&gt;AF$7),0,AND($K125&lt;=AF$7,$L125&lt;=AF$7),1,AND($K125&lt;=AF$7,$L125&gt;AF$7),((AF$7-$K125)/($L125-$K125)))</f>
        <v>#REF!</v>
      </c>
      <c r="AH125" s="201" t="e">
        <f t="array" ref="AH125">_xlfn.IFS(AND($K125&gt;AG$7,$L125&gt;AG$7),0,AND($K125&lt;=AG$7,$L125&lt;=AG$7),1,AND($K125&lt;=AG$7,$L125&gt;AG$7),((AG$7-$K125)/($L125-$K125)))</f>
        <v>#REF!</v>
      </c>
      <c r="AI125" s="201" t="e">
        <f t="array" ref="AI125">_xlfn.IFS(AND($K125&gt;AH$7,$L125&gt;AH$7),0,AND($K125&lt;=AH$7,$L125&lt;=AH$7),1,AND($K125&lt;=AH$7,$L125&gt;AH$7),((AH$7-$K125)/($L125-$K125)))</f>
        <v>#REF!</v>
      </c>
      <c r="AJ125" s="201" t="e">
        <f t="array" ref="AJ125">_xlfn.IFS(AND($K125&gt;AI$7,$L125&gt;AI$7),0,AND($K125&lt;=AI$7,$L125&lt;=AI$7),1,AND($K125&lt;=AI$7,$L125&gt;AI$7),((AI$7-$K125)/($L125-$K125)))</f>
        <v>#REF!</v>
      </c>
      <c r="AK125" s="201" t="e">
        <f t="array" ref="AK125">_xlfn.IFS(AND($K125&gt;AJ$7,$L125&gt;AJ$7),0,AND($K125&lt;=AJ$7,$L125&lt;=AJ$7),1,AND($K125&lt;=AJ$7,$L125&gt;AJ$7),((AJ$7-$K125)/($L125-$K125)))</f>
        <v>#REF!</v>
      </c>
      <c r="AL125" s="201" t="e">
        <f t="array" ref="AL125">_xlfn.IFS(AND($K125&gt;AK$7,$L125&gt;AK$7),0,AND($K125&lt;=AK$7,$L125&lt;=AK$7),1,AND($K125&lt;=AK$7,$L125&gt;AK$7),((AK$7-$K125)/($L125-$K125)))</f>
        <v>#REF!</v>
      </c>
      <c r="AM125" s="201" t="e">
        <f t="array" ref="AM125">_xlfn.IFS(AND($K125&gt;AL$7,$L125&gt;AL$7),0,AND($K125&lt;=AL$7,$L125&lt;=AL$7),1,AND($K125&lt;=AL$7,$L125&gt;AL$7),((AL$7-$K125)/($L125-$K125)))</f>
        <v>#REF!</v>
      </c>
      <c r="AN125" s="201" t="e">
        <f t="array" ref="AN125">_xlfn.IFS(AND($K125&gt;AM$7,$L125&gt;AM$7),0,AND($K125&lt;=AM$7,$L125&lt;=AM$7),1,AND($K125&lt;=AM$7,$L125&gt;AM$7),((AM$7-$K125)/($L125-$K125)))</f>
        <v>#REF!</v>
      </c>
      <c r="AO125" s="201" t="e">
        <f t="array" ref="AO125">_xlfn.IFS(AND($K125&gt;AN$7,$L125&gt;AN$7),0,AND($K125&lt;=AN$7,$L125&lt;=AN$7),1,AND($K125&lt;=AN$7,$L125&gt;AN$7),((AN$7-$K125)/($L125-$K125)))</f>
        <v>#REF!</v>
      </c>
      <c r="AP125" s="201" t="e">
        <f t="array" ref="AP125">_xlfn.IFS(AND($K125&gt;AO$7,$L125&gt;AO$7),0,AND($K125&lt;=AO$7,$L125&lt;=AO$7),1,AND($K125&lt;=AO$7,$L125&gt;AO$7),((AO$7-$K125)/($L125-$K125)))</f>
        <v>#REF!</v>
      </c>
      <c r="AQ125" s="201" t="e">
        <f t="array" ref="AQ125">_xlfn.IFS(AND($K125&gt;AP$7,$L125&gt;AP$7),0,AND($K125&lt;=AP$7,$L125&lt;=AP$7),1,AND($K125&lt;=AP$7,$L125&gt;AP$7),((AP$7-$K125)/($L125-$K125)))</f>
        <v>#REF!</v>
      </c>
      <c r="AR125" s="201" t="e">
        <f t="array" ref="AR125">_xlfn.IFS(AND($K125&gt;AQ$7,$L125&gt;AQ$7),0,AND($K125&lt;=AQ$7,$L125&lt;=AQ$7),1,AND($K125&lt;=AQ$7,$L125&gt;AQ$7),((AQ$7-$K125)/($L125-$K125)))</f>
        <v>#REF!</v>
      </c>
      <c r="AS125" s="201" t="e">
        <f t="array" ref="AS125">_xlfn.IFS(AND($K125&gt;AR$7,$L125&gt;AR$7),0,AND($K125&lt;=AR$7,$L125&lt;=AR$7),1,AND($K125&lt;=AR$7,$L125&gt;AR$7),((AR$7-$K125)/($L125-$K125)))</f>
        <v>#REF!</v>
      </c>
      <c r="AT125" s="201" t="e">
        <f t="array" ref="AT125">_xlfn.IFS(AND($K125&gt;AS$7,$L125&gt;AS$7),0,AND($K125&lt;=AS$7,$L125&lt;=AS$7),1,AND($K125&lt;=AS$7,$L125&gt;AS$7),((AS$7-$K125)/($L125-$K125)))</f>
        <v>#REF!</v>
      </c>
      <c r="AU125" s="201" t="e">
        <f t="array" ref="AU125">_xlfn.IFS(AND($K125&gt;AT$7,$L125&gt;AT$7),0,AND($K125&lt;=AT$7,$L125&lt;=AT$7),1,AND($K125&lt;=AT$7,$L125&gt;AT$7),((AT$7-$K125)/($L125-$K125)))</f>
        <v>#REF!</v>
      </c>
      <c r="AV125" s="201" t="e">
        <f t="array" ref="AV125">_xlfn.IFS(AND($K125&gt;AU$7,$L125&gt;AU$7),0,AND($K125&lt;=AU$7,$L125&lt;=AU$7),1,AND($K125&lt;=AU$7,$L125&gt;AU$7),((AU$7-$K125)/($L125-$K125)))</f>
        <v>#REF!</v>
      </c>
      <c r="AW125" s="201" t="e">
        <f t="array" ref="AW125">_xlfn.IFS(AND($K125&gt;AV$7,$L125&gt;AV$7),0,AND($K125&lt;=AV$7,$L125&lt;=AV$7),1,AND($K125&lt;=AV$7,$L125&gt;AV$7),((AV$7-$K125)/($L125-$K125)))</f>
        <v>#REF!</v>
      </c>
      <c r="AX125" s="201" t="e">
        <f t="array" ref="AX125">_xlfn.IFS(AND($K125&gt;AW$7,$L125&gt;AW$7),0,AND($K125&lt;=AW$7,$L125&lt;=AW$7),1,AND($K125&lt;=AW$7,$L125&gt;AW$7),((AW$7-$K125)/($L125-$K125)))</f>
        <v>#REF!</v>
      </c>
      <c r="AY125" s="201" t="e">
        <f t="array" ref="AY125">_xlfn.IFS(AND($K125&gt;AX$7,$L125&gt;AX$7),0,AND($K125&lt;=AX$7,$L125&lt;=AX$7),1,AND($K125&lt;=AX$7,$L125&gt;AX$7),((AX$7-$K125)/($L125-$K125)))</f>
        <v>#REF!</v>
      </c>
      <c r="AZ125" s="201" t="e">
        <f t="array" ref="AZ125">_xlfn.IFS(AND($K125&gt;AY$7,$L125&gt;AY$7),0,AND($K125&lt;=AY$7,$L125&lt;=AY$7),1,AND($K125&lt;=AY$7,$L125&gt;AY$7),((AY$7-$K125)/($L125-$K125)))</f>
        <v>#REF!</v>
      </c>
      <c r="BA125" s="201" t="e">
        <f t="array" ref="BA125">_xlfn.IFS(AND($K125&gt;AZ$7,$L125&gt;AZ$7),0,AND($K125&lt;=AZ$7,$L125&lt;=AZ$7),1,AND($K125&lt;=AZ$7,$L125&gt;AZ$7),((AZ$7-$K125)/($L125-$K125)))</f>
        <v>#REF!</v>
      </c>
      <c r="BB125" s="201" t="e">
        <f t="array" ref="BB125">_xlfn.IFS(AND($K125&gt;BA$7,$L125&gt;BA$7),0,AND($K125&lt;=BA$7,$L125&lt;=BA$7),1,AND($K125&lt;=BA$7,$L125&gt;BA$7),((BA$7-$K125)/($L125-$K125)))</f>
        <v>#REF!</v>
      </c>
      <c r="BC125" s="201" t="e">
        <f t="array" ref="BC125">_xlfn.IFS(AND($K125&gt;BB$7,$L125&gt;BB$7),0,AND($K125&lt;=BB$7,$L125&lt;=BB$7),1,AND($K125&lt;=BB$7,$L125&gt;BB$7),((BB$7-$K125)/($L125-$K125)))</f>
        <v>#REF!</v>
      </c>
      <c r="BD125" s="201" t="e">
        <f t="array" ref="BD125">_xlfn.IFS(AND($K125&gt;BC$7,$L125&gt;BC$7),0,AND($K125&lt;=BC$7,$L125&lt;=BC$7),1,AND($K125&lt;=BC$7,$L125&gt;BC$7),((BC$7-$K125)/($L125-$K125)))</f>
        <v>#REF!</v>
      </c>
      <c r="BE125" s="201" t="e">
        <f t="array" ref="BE125">_xlfn.IFS(AND($K125&gt;BD$7,$L125&gt;BD$7),0,AND($K125&lt;=BD$7,$L125&lt;=BD$7),1,AND($K125&lt;=BD$7,$L125&gt;BD$7),((BD$7-$K125)/($L125-$K125)))</f>
        <v>#REF!</v>
      </c>
      <c r="BF125" s="201" t="e">
        <f t="array" ref="BF125">_xlfn.IFS(AND($K125&gt;BE$7,$L125&gt;BE$7),0,AND($K125&lt;=BE$7,$L125&lt;=BE$7),1,AND($K125&lt;=BE$7,$L125&gt;BE$7),((BE$7-$K125)/($L125-$K125)))</f>
        <v>#REF!</v>
      </c>
      <c r="BG125" s="201" t="e">
        <f t="array" ref="BG125">_xlfn.IFS(AND($K125&gt;BF$7,$L125&gt;BF$7),0,AND($K125&lt;=BF$7,$L125&lt;=BF$7),1,AND($K125&lt;=BF$7,$L125&gt;BF$7),((BF$7-$K125)/($L125-$K125)))</f>
        <v>#REF!</v>
      </c>
      <c r="BH125" s="201" t="e">
        <f t="array" ref="BH125">_xlfn.IFS(AND($K125&gt;BG$7,$L125&gt;BG$7),0,AND($K125&lt;=BG$7,$L125&lt;=BG$7),1,AND($K125&lt;=BG$7,$L125&gt;BG$7),((BG$7-$K125)/($L125-$K125)))</f>
        <v>#REF!</v>
      </c>
      <c r="BI125" s="201" t="e">
        <f t="array" ref="BI125">_xlfn.IFS(AND($K125&gt;BH$7,$L125&gt;BH$7),0,AND($K125&lt;=BH$7,$L125&lt;=BH$7),1,AND($K125&lt;=BH$7,$L125&gt;BH$7),((BH$7-$K125)/($L125-$K125)))</f>
        <v>#REF!</v>
      </c>
      <c r="BJ125" s="201" t="e">
        <f t="array" ref="BJ125">_xlfn.IFS(AND($K125&gt;BI$7,$L125&gt;BI$7),0,AND($K125&lt;=BI$7,$L125&lt;=BI$7),1,AND($K125&lt;=BI$7,$L125&gt;BI$7),((BI$7-$K125)/($L125-$K125)))</f>
        <v>#REF!</v>
      </c>
      <c r="BK125" s="201" t="e">
        <f t="array" ref="BK125">_xlfn.IFS(AND($K125&gt;BJ$7,$L125&gt;BJ$7),0,AND($K125&lt;=BJ$7,$L125&lt;=BJ$7),1,AND($K125&lt;=BJ$7,$L125&gt;BJ$7),((BJ$7-$K125)/($L125-$K125)))</f>
        <v>#REF!</v>
      </c>
      <c r="BL125" s="201" t="e">
        <f t="array" ref="BL125">_xlfn.IFS(AND($K125&gt;BK$7,$L125&gt;BK$7),0,AND($K125&lt;=BK$7,$L125&lt;=BK$7),1,AND($K125&lt;=BK$7,$L125&gt;BK$7),((BK$7-$K125)/($L125-$K125)))</f>
        <v>#REF!</v>
      </c>
      <c r="BM125" s="201" t="e">
        <f t="array" ref="BM125">_xlfn.IFS(AND($K125&gt;BL$7,$L125&gt;BL$7),0,AND($K125&lt;=BL$7,$L125&lt;=BL$7),1,AND($K125&lt;=BL$7,$L125&gt;BL$7),((BL$7-$K125)/($L125-$K125)))</f>
        <v>#REF!</v>
      </c>
      <c r="BN125" s="201" t="e">
        <f t="array" ref="BN125">_xlfn.IFS(AND($K125&gt;BM$7,$L125&gt;BM$7),0,AND($K125&lt;=BM$7,$L125&lt;=BM$7),1,AND($K125&lt;=BM$7,$L125&gt;BM$7),((BM$7-$K125)/($L125-$K125)))</f>
        <v>#REF!</v>
      </c>
    </row>
    <row r="126" spans="2:66" x14ac:dyDescent="0.3">
      <c r="B126" s="166" t="s">
        <v>161</v>
      </c>
      <c r="C126" s="166" t="s">
        <v>298</v>
      </c>
      <c r="D126" s="177"/>
      <c r="E126" s="170" t="str">
        <f t="shared" si="51"/>
        <v>Desenvolvimento da Transformação dos Processos</v>
      </c>
      <c r="F126" s="174" t="str">
        <f t="shared" si="48"/>
        <v>Transformação do Processo</v>
      </c>
      <c r="G126" s="166" t="str">
        <f t="shared" si="52"/>
        <v>Transformação do Processo</v>
      </c>
      <c r="H126" s="197" t="s">
        <v>299</v>
      </c>
      <c r="I126" s="166">
        <v>45887</v>
      </c>
      <c r="J126" s="166">
        <v>45898</v>
      </c>
      <c r="K126" s="166">
        <v>45887</v>
      </c>
      <c r="L126" s="166">
        <v>45898</v>
      </c>
      <c r="M126" s="167"/>
      <c r="N126" s="167" t="str">
        <f t="array" ref="N126">_xlfn.IFS(L126&lt;$M$3,"Concluído",AND(K126&gt;=$M$3,I126&lt;$M$3,L126&gt;$M$3),"Em andamento",AND(L126&gt;=$M$3,J126&lt;$M$3),"Atrasado",AND(L126&gt;=$M$3,J126&gt;=$M$3,I126&gt;$M$3,K126&lt;=$M$3),"Em andamento",AND(L126&gt;=$M$3,J126&gt;=$M$3,I126&lt;=$M$3,K126&lt;=$M$3),"Em andamento",AND(K126&gt;$M$3,I126&gt;$M$3),"Não iniciado",AND(L126&gt;=$M$3,J126&gt;=$M$3,K126&gt;=$M$3,I126&lt;$M$3),"Atrasado",AND(L126&gt;=$M$3,J126&gt;=$M$3,K126&gt;=$M$3,I126&gt;$M$3),"Não iniciado",AND($I126&lt;=$M$3,$K126&gt;$M$3),"Atrasado")</f>
        <v>Concluído</v>
      </c>
      <c r="O126" s="167">
        <f t="array" ref="O126">_xlfn.IFS(N126="Não iniciado",0,N126="Em andamento",1,N126="Concluído",2,N126="Atrasado",3)</f>
        <v>2</v>
      </c>
      <c r="P126" s="169"/>
      <c r="Q126" s="152">
        <f t="array" aca="1" ref="Q126" ca="1">_xlfn.IFS(AND($I126&lt;$N$3,$J126&lt;$N$3),1,AND($I126&lt;=$N$3,$J126&gt;=$N$3),0.5,AND($I126&gt;=$N$3,$J126&gt;=$N$3),0)</f>
        <v>1</v>
      </c>
      <c r="R126" s="152">
        <f t="array" aca="1" ref="R126" ca="1">_xlfn.IFS(AND($K126&lt;$N$3,$L126&lt;$N$3),1,AND($K126&lt;=$N$3,$L126&gt;=$N$3),0.5,AND($K126&gt;=$N$3,$L126&gt;=$N$3),0)</f>
        <v>1</v>
      </c>
      <c r="S126" s="201" t="e">
        <f t="array" ref="S126">_xlfn.IFS(AND($K126&gt;R$7,$L126&gt;R$7),0,AND($K126&lt;=R$7,$L126&lt;=R$7),1,AND($K126&lt;=R$7,$L126&gt;R$7),((R$7-$K126)/($L126-$K126)))</f>
        <v>#REF!</v>
      </c>
      <c r="T126" s="201" t="e">
        <f t="array" ref="T126">_xlfn.IFS(AND($K126&gt;S$7,$L126&gt;S$7),0,AND($K126&lt;=S$7,$L126&lt;=S$7),1,AND($K126&lt;=S$7,$L126&gt;S$7),((S$7-$K126)/($L126-$K126)))</f>
        <v>#REF!</v>
      </c>
      <c r="U126" s="201" t="e">
        <f t="array" ref="U126">_xlfn.IFS(AND($K126&gt;T$7,$L126&gt;T$7),0,AND($K126&lt;=T$7,$L126&lt;=T$7),1,AND($K126&lt;=T$7,$L126&gt;T$7),((T$7-$K126)/($L126-$K126)))</f>
        <v>#REF!</v>
      </c>
      <c r="V126" s="201" t="e">
        <f t="array" ref="V126">_xlfn.IFS(AND($K126&gt;U$7,$L126&gt;U$7),0,AND($K126&lt;=U$7,$L126&lt;=U$7),1,AND($K126&lt;=U$7,$L126&gt;U$7),((U$7-$K126)/($L126-$K126)))</f>
        <v>#REF!</v>
      </c>
      <c r="W126" s="201" t="e">
        <f t="array" ref="W126">_xlfn.IFS(AND($K126&gt;V$7,$L126&gt;V$7),0,AND($K126&lt;=V$7,$L126&lt;=V$7),1,AND($K126&lt;=V$7,$L126&gt;V$7),((V$7-$K126)/($L126-$K126)))</f>
        <v>#REF!</v>
      </c>
      <c r="X126" s="201" t="e">
        <f t="array" ref="X126">_xlfn.IFS(AND($K126&gt;W$7,$L126&gt;W$7),0,AND($K126&lt;=W$7,$L126&lt;=W$7),1,AND($K126&lt;=W$7,$L126&gt;W$7),((W$7-$K126)/($L126-$K126)))</f>
        <v>#REF!</v>
      </c>
      <c r="Y126" s="201" t="e">
        <f t="array" ref="Y126">_xlfn.IFS(AND($K126&gt;X$7,$L126&gt;X$7),0,AND($K126&lt;=X$7,$L126&lt;=X$7),1,AND($K126&lt;=X$7,$L126&gt;X$7),((X$7-$K126)/($L126-$K126)))</f>
        <v>#REF!</v>
      </c>
      <c r="Z126" s="201" t="e">
        <f t="array" ref="Z126">_xlfn.IFS(AND($K126&gt;Y$7,$L126&gt;Y$7),0,AND($K126&lt;=Y$7,$L126&lt;=Y$7),1,AND($K126&lt;=Y$7,$L126&gt;Y$7),((Y$7-$K126)/($L126-$K126)))</f>
        <v>#REF!</v>
      </c>
      <c r="AA126" s="201" t="e">
        <f t="array" ref="AA126">_xlfn.IFS(AND($K126&gt;Z$7,$L126&gt;Z$7),0,AND($K126&lt;=Z$7,$L126&lt;=Z$7),1,AND($K126&lt;=Z$7,$L126&gt;Z$7),((Z$7-$K126)/($L126-$K126)))</f>
        <v>#REF!</v>
      </c>
      <c r="AB126" s="201" t="e">
        <f t="array" ref="AB126">_xlfn.IFS(AND($K126&gt;AA$7,$L126&gt;AA$7),0,AND($K126&lt;=AA$7,$L126&lt;=AA$7),1,AND($K126&lt;=AA$7,$L126&gt;AA$7),((AA$7-$K126)/($L126-$K126)))</f>
        <v>#REF!</v>
      </c>
      <c r="AC126" s="201" t="e">
        <f t="array" ref="AC126">_xlfn.IFS(AND($K126&gt;AB$7,$L126&gt;AB$7),0,AND($K126&lt;=AB$7,$L126&lt;=AB$7),1,AND($K126&lt;=AB$7,$L126&gt;AB$7),((AB$7-$K126)/($L126-$K126)))</f>
        <v>#REF!</v>
      </c>
      <c r="AD126" s="201" t="e">
        <f t="array" ref="AD126">_xlfn.IFS(AND($K126&gt;AC$7,$L126&gt;AC$7),0,AND($K126&lt;=AC$7,$L126&lt;=AC$7),1,AND($K126&lt;=AC$7,$L126&gt;AC$7),((AC$7-$K126)/($L126-$K126)))</f>
        <v>#REF!</v>
      </c>
      <c r="AE126" s="201" t="e">
        <f t="array" ref="AE126">_xlfn.IFS(AND($K126&gt;AD$7,$L126&gt;AD$7),0,AND($K126&lt;=AD$7,$L126&lt;=AD$7),1,AND($K126&lt;=AD$7,$L126&gt;AD$7),((AD$7-$K126)/($L126-$K126)))</f>
        <v>#REF!</v>
      </c>
      <c r="AF126" s="201" t="e">
        <f t="array" ref="AF126">_xlfn.IFS(AND($K126&gt;AE$7,$L126&gt;AE$7),0,AND($K126&lt;=AE$7,$L126&lt;=AE$7),1,AND($K126&lt;=AE$7,$L126&gt;AE$7),((AE$7-$K126)/($L126-$K126)))</f>
        <v>#REF!</v>
      </c>
      <c r="AG126" s="201" t="e">
        <f t="array" ref="AG126">_xlfn.IFS(AND($K126&gt;AF$7,$L126&gt;AF$7),0,AND($K126&lt;=AF$7,$L126&lt;=AF$7),1,AND($K126&lt;=AF$7,$L126&gt;AF$7),((AF$7-$K126)/($L126-$K126)))</f>
        <v>#REF!</v>
      </c>
      <c r="AH126" s="201" t="e">
        <f t="array" ref="AH126">_xlfn.IFS(AND($K126&gt;AG$7,$L126&gt;AG$7),0,AND($K126&lt;=AG$7,$L126&lt;=AG$7),1,AND($K126&lt;=AG$7,$L126&gt;AG$7),((AG$7-$K126)/($L126-$K126)))</f>
        <v>#REF!</v>
      </c>
      <c r="AI126" s="201" t="e">
        <f t="array" ref="AI126">_xlfn.IFS(AND($K126&gt;AH$7,$L126&gt;AH$7),0,AND($K126&lt;=AH$7,$L126&lt;=AH$7),1,AND($K126&lt;=AH$7,$L126&gt;AH$7),((AH$7-$K126)/($L126-$K126)))</f>
        <v>#REF!</v>
      </c>
      <c r="AJ126" s="201" t="e">
        <f t="array" ref="AJ126">_xlfn.IFS(AND($K126&gt;AI$7,$L126&gt;AI$7),0,AND($K126&lt;=AI$7,$L126&lt;=AI$7),1,AND($K126&lt;=AI$7,$L126&gt;AI$7),((AI$7-$K126)/($L126-$K126)))</f>
        <v>#REF!</v>
      </c>
      <c r="AK126" s="201" t="e">
        <f t="array" ref="AK126">_xlfn.IFS(AND($K126&gt;AJ$7,$L126&gt;AJ$7),0,AND($K126&lt;=AJ$7,$L126&lt;=AJ$7),1,AND($K126&lt;=AJ$7,$L126&gt;AJ$7),((AJ$7-$K126)/($L126-$K126)))</f>
        <v>#REF!</v>
      </c>
      <c r="AL126" s="201" t="e">
        <f t="array" ref="AL126">_xlfn.IFS(AND($K126&gt;AK$7,$L126&gt;AK$7),0,AND($K126&lt;=AK$7,$L126&lt;=AK$7),1,AND($K126&lt;=AK$7,$L126&gt;AK$7),((AK$7-$K126)/($L126-$K126)))</f>
        <v>#REF!</v>
      </c>
      <c r="AM126" s="201" t="e">
        <f t="array" ref="AM126">_xlfn.IFS(AND($K126&gt;AL$7,$L126&gt;AL$7),0,AND($K126&lt;=AL$7,$L126&lt;=AL$7),1,AND($K126&lt;=AL$7,$L126&gt;AL$7),((AL$7-$K126)/($L126-$K126)))</f>
        <v>#REF!</v>
      </c>
      <c r="AN126" s="201" t="e">
        <f t="array" ref="AN126">_xlfn.IFS(AND($K126&gt;AM$7,$L126&gt;AM$7),0,AND($K126&lt;=AM$7,$L126&lt;=AM$7),1,AND($K126&lt;=AM$7,$L126&gt;AM$7),((AM$7-$K126)/($L126-$K126)))</f>
        <v>#REF!</v>
      </c>
      <c r="AO126" s="201" t="e">
        <f t="array" ref="AO126">_xlfn.IFS(AND($K126&gt;AN$7,$L126&gt;AN$7),0,AND($K126&lt;=AN$7,$L126&lt;=AN$7),1,AND($K126&lt;=AN$7,$L126&gt;AN$7),((AN$7-$K126)/($L126-$K126)))</f>
        <v>#REF!</v>
      </c>
      <c r="AP126" s="201" t="e">
        <f t="array" ref="AP126">_xlfn.IFS(AND($K126&gt;AO$7,$L126&gt;AO$7),0,AND($K126&lt;=AO$7,$L126&lt;=AO$7),1,AND($K126&lt;=AO$7,$L126&gt;AO$7),((AO$7-$K126)/($L126-$K126)))</f>
        <v>#REF!</v>
      </c>
      <c r="AQ126" s="201" t="e">
        <f t="array" ref="AQ126">_xlfn.IFS(AND($K126&gt;AP$7,$L126&gt;AP$7),0,AND($K126&lt;=AP$7,$L126&lt;=AP$7),1,AND($K126&lt;=AP$7,$L126&gt;AP$7),((AP$7-$K126)/($L126-$K126)))</f>
        <v>#REF!</v>
      </c>
      <c r="AR126" s="201" t="e">
        <f t="array" ref="AR126">_xlfn.IFS(AND($K126&gt;AQ$7,$L126&gt;AQ$7),0,AND($K126&lt;=AQ$7,$L126&lt;=AQ$7),1,AND($K126&lt;=AQ$7,$L126&gt;AQ$7),((AQ$7-$K126)/($L126-$K126)))</f>
        <v>#REF!</v>
      </c>
      <c r="AS126" s="201" t="e">
        <f t="array" ref="AS126">_xlfn.IFS(AND($K126&gt;AR$7,$L126&gt;AR$7),0,AND($K126&lt;=AR$7,$L126&lt;=AR$7),1,AND($K126&lt;=AR$7,$L126&gt;AR$7),((AR$7-$K126)/($L126-$K126)))</f>
        <v>#REF!</v>
      </c>
      <c r="AT126" s="201" t="e">
        <f t="array" ref="AT126">_xlfn.IFS(AND($K126&gt;AS$7,$L126&gt;AS$7),0,AND($K126&lt;=AS$7,$L126&lt;=AS$7),1,AND($K126&lt;=AS$7,$L126&gt;AS$7),((AS$7-$K126)/($L126-$K126)))</f>
        <v>#REF!</v>
      </c>
      <c r="AU126" s="201" t="e">
        <f t="array" ref="AU126">_xlfn.IFS(AND($K126&gt;AT$7,$L126&gt;AT$7),0,AND($K126&lt;=AT$7,$L126&lt;=AT$7),1,AND($K126&lt;=AT$7,$L126&gt;AT$7),((AT$7-$K126)/($L126-$K126)))</f>
        <v>#REF!</v>
      </c>
      <c r="AV126" s="201" t="e">
        <f t="array" ref="AV126">_xlfn.IFS(AND($K126&gt;AU$7,$L126&gt;AU$7),0,AND($K126&lt;=AU$7,$L126&lt;=AU$7),1,AND($K126&lt;=AU$7,$L126&gt;AU$7),((AU$7-$K126)/($L126-$K126)))</f>
        <v>#REF!</v>
      </c>
      <c r="AW126" s="201" t="e">
        <f t="array" ref="AW126">_xlfn.IFS(AND($K126&gt;AV$7,$L126&gt;AV$7),0,AND($K126&lt;=AV$7,$L126&lt;=AV$7),1,AND($K126&lt;=AV$7,$L126&gt;AV$7),((AV$7-$K126)/($L126-$K126)))</f>
        <v>#REF!</v>
      </c>
      <c r="AX126" s="201" t="e">
        <f t="array" ref="AX126">_xlfn.IFS(AND($K126&gt;AW$7,$L126&gt;AW$7),0,AND($K126&lt;=AW$7,$L126&lt;=AW$7),1,AND($K126&lt;=AW$7,$L126&gt;AW$7),((AW$7-$K126)/($L126-$K126)))</f>
        <v>#REF!</v>
      </c>
      <c r="AY126" s="201" t="e">
        <f t="array" ref="AY126">_xlfn.IFS(AND($K126&gt;AX$7,$L126&gt;AX$7),0,AND($K126&lt;=AX$7,$L126&lt;=AX$7),1,AND($K126&lt;=AX$7,$L126&gt;AX$7),((AX$7-$K126)/($L126-$K126)))</f>
        <v>#REF!</v>
      </c>
      <c r="AZ126" s="201" t="e">
        <f t="array" ref="AZ126">_xlfn.IFS(AND($K126&gt;AY$7,$L126&gt;AY$7),0,AND($K126&lt;=AY$7,$L126&lt;=AY$7),1,AND($K126&lt;=AY$7,$L126&gt;AY$7),((AY$7-$K126)/($L126-$K126)))</f>
        <v>#REF!</v>
      </c>
      <c r="BA126" s="201" t="e">
        <f t="array" ref="BA126">_xlfn.IFS(AND($K126&gt;AZ$7,$L126&gt;AZ$7),0,AND($K126&lt;=AZ$7,$L126&lt;=AZ$7),1,AND($K126&lt;=AZ$7,$L126&gt;AZ$7),((AZ$7-$K126)/($L126-$K126)))</f>
        <v>#REF!</v>
      </c>
      <c r="BB126" s="201" t="e">
        <f t="array" ref="BB126">_xlfn.IFS(AND($K126&gt;BA$7,$L126&gt;BA$7),0,AND($K126&lt;=BA$7,$L126&lt;=BA$7),1,AND($K126&lt;=BA$7,$L126&gt;BA$7),((BA$7-$K126)/($L126-$K126)))</f>
        <v>#REF!</v>
      </c>
      <c r="BC126" s="201" t="e">
        <f t="array" ref="BC126">_xlfn.IFS(AND($K126&gt;BB$7,$L126&gt;BB$7),0,AND($K126&lt;=BB$7,$L126&lt;=BB$7),1,AND($K126&lt;=BB$7,$L126&gt;BB$7),((BB$7-$K126)/($L126-$K126)))</f>
        <v>#REF!</v>
      </c>
      <c r="BD126" s="201" t="e">
        <f t="array" ref="BD126">_xlfn.IFS(AND($K126&gt;BC$7,$L126&gt;BC$7),0,AND($K126&lt;=BC$7,$L126&lt;=BC$7),1,AND($K126&lt;=BC$7,$L126&gt;BC$7),((BC$7-$K126)/($L126-$K126)))</f>
        <v>#REF!</v>
      </c>
      <c r="BE126" s="201" t="e">
        <f t="array" ref="BE126">_xlfn.IFS(AND($K126&gt;BD$7,$L126&gt;BD$7),0,AND($K126&lt;=BD$7,$L126&lt;=BD$7),1,AND($K126&lt;=BD$7,$L126&gt;BD$7),((BD$7-$K126)/($L126-$K126)))</f>
        <v>#REF!</v>
      </c>
      <c r="BF126" s="201" t="e">
        <f t="array" ref="BF126">_xlfn.IFS(AND($K126&gt;BE$7,$L126&gt;BE$7),0,AND($K126&lt;=BE$7,$L126&lt;=BE$7),1,AND($K126&lt;=BE$7,$L126&gt;BE$7),((BE$7-$K126)/($L126-$K126)))</f>
        <v>#REF!</v>
      </c>
      <c r="BG126" s="201" t="e">
        <f t="array" ref="BG126">_xlfn.IFS(AND($K126&gt;BF$7,$L126&gt;BF$7),0,AND($K126&lt;=BF$7,$L126&lt;=BF$7),1,AND($K126&lt;=BF$7,$L126&gt;BF$7),((BF$7-$K126)/($L126-$K126)))</f>
        <v>#REF!</v>
      </c>
      <c r="BH126" s="201" t="e">
        <f t="array" ref="BH126">_xlfn.IFS(AND($K126&gt;BG$7,$L126&gt;BG$7),0,AND($K126&lt;=BG$7,$L126&lt;=BG$7),1,AND($K126&lt;=BG$7,$L126&gt;BG$7),((BG$7-$K126)/($L126-$K126)))</f>
        <v>#REF!</v>
      </c>
      <c r="BI126" s="201" t="e">
        <f t="array" ref="BI126">_xlfn.IFS(AND($K126&gt;BH$7,$L126&gt;BH$7),0,AND($K126&lt;=BH$7,$L126&lt;=BH$7),1,AND($K126&lt;=BH$7,$L126&gt;BH$7),((BH$7-$K126)/($L126-$K126)))</f>
        <v>#REF!</v>
      </c>
      <c r="BJ126" s="201" t="e">
        <f t="array" ref="BJ126">_xlfn.IFS(AND($K126&gt;BI$7,$L126&gt;BI$7),0,AND($K126&lt;=BI$7,$L126&lt;=BI$7),1,AND($K126&lt;=BI$7,$L126&gt;BI$7),((BI$7-$K126)/($L126-$K126)))</f>
        <v>#REF!</v>
      </c>
      <c r="BK126" s="201" t="e">
        <f t="array" ref="BK126">_xlfn.IFS(AND($K126&gt;BJ$7,$L126&gt;BJ$7),0,AND($K126&lt;=BJ$7,$L126&lt;=BJ$7),1,AND($K126&lt;=BJ$7,$L126&gt;BJ$7),((BJ$7-$K126)/($L126-$K126)))</f>
        <v>#REF!</v>
      </c>
      <c r="BL126" s="201" t="e">
        <f t="array" ref="BL126">_xlfn.IFS(AND($K126&gt;BK$7,$L126&gt;BK$7),0,AND($K126&lt;=BK$7,$L126&lt;=BK$7),1,AND($K126&lt;=BK$7,$L126&gt;BK$7),((BK$7-$K126)/($L126-$K126)))</f>
        <v>#REF!</v>
      </c>
      <c r="BM126" s="201" t="e">
        <f t="array" ref="BM126">_xlfn.IFS(AND($K126&gt;BL$7,$L126&gt;BL$7),0,AND($K126&lt;=BL$7,$L126&lt;=BL$7),1,AND($K126&lt;=BL$7,$L126&gt;BL$7),((BL$7-$K126)/($L126-$K126)))</f>
        <v>#REF!</v>
      </c>
      <c r="BN126" s="201" t="e">
        <f t="array" ref="BN126">_xlfn.IFS(AND($K126&gt;BM$7,$L126&gt;BM$7),0,AND($K126&lt;=BM$7,$L126&lt;=BM$7),1,AND($K126&lt;=BM$7,$L126&gt;BM$7),((BM$7-$K126)/($L126-$K126)))</f>
        <v>#REF!</v>
      </c>
    </row>
    <row r="127" spans="2:66" x14ac:dyDescent="0.3">
      <c r="B127" s="166" t="s">
        <v>161</v>
      </c>
      <c r="C127" s="166" t="s">
        <v>300</v>
      </c>
      <c r="D127" s="177"/>
      <c r="E127" s="170" t="str">
        <f t="shared" si="51"/>
        <v>Desenvolvimento da Transformação dos Processos</v>
      </c>
      <c r="F127" s="174" t="str">
        <f t="shared" si="48"/>
        <v>Transformação do Processo</v>
      </c>
      <c r="G127" s="166" t="str">
        <f t="shared" si="52"/>
        <v>Transformação do Processo</v>
      </c>
      <c r="H127" s="197" t="s">
        <v>301</v>
      </c>
      <c r="I127" s="166">
        <v>45887</v>
      </c>
      <c r="J127" s="166">
        <v>45898</v>
      </c>
      <c r="K127" s="166">
        <v>45887</v>
      </c>
      <c r="L127" s="166">
        <v>45898</v>
      </c>
      <c r="M127" s="167"/>
      <c r="N127" s="167" t="str">
        <f t="array" ref="N127">_xlfn.IFS(L127&lt;$M$3,"Concluído",AND(K127&gt;=$M$3,I127&lt;$M$3,L127&gt;$M$3),"Em andamento",AND(L127&gt;=$M$3,J127&lt;$M$3),"Atrasado",AND(L127&gt;=$M$3,J127&gt;=$M$3,I127&gt;$M$3,K127&lt;=$M$3),"Em andamento",AND(L127&gt;=$M$3,J127&gt;=$M$3,I127&lt;=$M$3,K127&lt;=$M$3),"Em andamento",AND(K127&gt;$M$3,I127&gt;$M$3),"Não iniciado",AND(L127&gt;=$M$3,J127&gt;=$M$3,K127&gt;=$M$3,I127&lt;$M$3),"Atrasado",AND(L127&gt;=$M$3,J127&gt;=$M$3,K127&gt;=$M$3,I127&gt;$M$3),"Não iniciado",AND($I127&lt;=$M$3,$K127&gt;$M$3),"Atrasado")</f>
        <v>Concluído</v>
      </c>
      <c r="O127" s="167">
        <f t="array" ref="O127">_xlfn.IFS(N127="Não iniciado",0,N127="Em andamento",1,N127="Concluído",2,N127="Atrasado",3)</f>
        <v>2</v>
      </c>
      <c r="P127" s="169"/>
      <c r="Q127" s="152">
        <f t="array" aca="1" ref="Q127" ca="1">_xlfn.IFS(AND($I127&lt;$N$3,$J127&lt;$N$3),1,AND($I127&lt;=$N$3,$J127&gt;=$N$3),0.5,AND($I127&gt;=$N$3,$J127&gt;=$N$3),0)</f>
        <v>1</v>
      </c>
      <c r="R127" s="152">
        <f t="array" aca="1" ref="R127" ca="1">_xlfn.IFS(AND($K127&lt;$N$3,$L127&lt;$N$3),1,AND($K127&lt;=$N$3,$L127&gt;=$N$3),0.5,AND($K127&gt;=$N$3,$L127&gt;=$N$3),0)</f>
        <v>1</v>
      </c>
      <c r="S127" s="201" t="e">
        <f t="array" ref="S127">_xlfn.IFS(AND($K127&gt;R$7,$L127&gt;R$7),0,AND($K127&lt;=R$7,$L127&lt;=R$7),1,AND($K127&lt;=R$7,$L127&gt;R$7),((R$7-$K127)/($L127-$K127)))</f>
        <v>#REF!</v>
      </c>
      <c r="T127" s="201" t="e">
        <f t="array" ref="T127">_xlfn.IFS(AND($K127&gt;S$7,$L127&gt;S$7),0,AND($K127&lt;=S$7,$L127&lt;=S$7),1,AND($K127&lt;=S$7,$L127&gt;S$7),((S$7-$K127)/($L127-$K127)))</f>
        <v>#REF!</v>
      </c>
      <c r="U127" s="201" t="e">
        <f t="array" ref="U127">_xlfn.IFS(AND($K127&gt;T$7,$L127&gt;T$7),0,AND($K127&lt;=T$7,$L127&lt;=T$7),1,AND($K127&lt;=T$7,$L127&gt;T$7),((T$7-$K127)/($L127-$K127)))</f>
        <v>#REF!</v>
      </c>
      <c r="V127" s="201" t="e">
        <f t="array" ref="V127">_xlfn.IFS(AND($K127&gt;U$7,$L127&gt;U$7),0,AND($K127&lt;=U$7,$L127&lt;=U$7),1,AND($K127&lt;=U$7,$L127&gt;U$7),((U$7-$K127)/($L127-$K127)))</f>
        <v>#REF!</v>
      </c>
      <c r="W127" s="201" t="e">
        <f t="array" ref="W127">_xlfn.IFS(AND($K127&gt;V$7,$L127&gt;V$7),0,AND($K127&lt;=V$7,$L127&lt;=V$7),1,AND($K127&lt;=V$7,$L127&gt;V$7),((V$7-$K127)/($L127-$K127)))</f>
        <v>#REF!</v>
      </c>
      <c r="X127" s="201" t="e">
        <f t="array" ref="X127">_xlfn.IFS(AND($K127&gt;W$7,$L127&gt;W$7),0,AND($K127&lt;=W$7,$L127&lt;=W$7),1,AND($K127&lt;=W$7,$L127&gt;W$7),((W$7-$K127)/($L127-$K127)))</f>
        <v>#REF!</v>
      </c>
      <c r="Y127" s="201" t="e">
        <f t="array" ref="Y127">_xlfn.IFS(AND($K127&gt;X$7,$L127&gt;X$7),0,AND($K127&lt;=X$7,$L127&lt;=X$7),1,AND($K127&lt;=X$7,$L127&gt;X$7),((X$7-$K127)/($L127-$K127)))</f>
        <v>#REF!</v>
      </c>
      <c r="Z127" s="201" t="e">
        <f t="array" ref="Z127">_xlfn.IFS(AND($K127&gt;Y$7,$L127&gt;Y$7),0,AND($K127&lt;=Y$7,$L127&lt;=Y$7),1,AND($K127&lt;=Y$7,$L127&gt;Y$7),((Y$7-$K127)/($L127-$K127)))</f>
        <v>#REF!</v>
      </c>
      <c r="AA127" s="201" t="e">
        <f t="array" ref="AA127">_xlfn.IFS(AND($K127&gt;Z$7,$L127&gt;Z$7),0,AND($K127&lt;=Z$7,$L127&lt;=Z$7),1,AND($K127&lt;=Z$7,$L127&gt;Z$7),((Z$7-$K127)/($L127-$K127)))</f>
        <v>#REF!</v>
      </c>
      <c r="AB127" s="201" t="e">
        <f t="array" ref="AB127">_xlfn.IFS(AND($K127&gt;AA$7,$L127&gt;AA$7),0,AND($K127&lt;=AA$7,$L127&lt;=AA$7),1,AND($K127&lt;=AA$7,$L127&gt;AA$7),((AA$7-$K127)/($L127-$K127)))</f>
        <v>#REF!</v>
      </c>
      <c r="AC127" s="201" t="e">
        <f t="array" ref="AC127">_xlfn.IFS(AND($K127&gt;AB$7,$L127&gt;AB$7),0,AND($K127&lt;=AB$7,$L127&lt;=AB$7),1,AND($K127&lt;=AB$7,$L127&gt;AB$7),((AB$7-$K127)/($L127-$K127)))</f>
        <v>#REF!</v>
      </c>
      <c r="AD127" s="201" t="e">
        <f t="array" ref="AD127">_xlfn.IFS(AND($K127&gt;AC$7,$L127&gt;AC$7),0,AND($K127&lt;=AC$7,$L127&lt;=AC$7),1,AND($K127&lt;=AC$7,$L127&gt;AC$7),((AC$7-$K127)/($L127-$K127)))</f>
        <v>#REF!</v>
      </c>
      <c r="AE127" s="201" t="e">
        <f t="array" ref="AE127">_xlfn.IFS(AND($K127&gt;AD$7,$L127&gt;AD$7),0,AND($K127&lt;=AD$7,$L127&lt;=AD$7),1,AND($K127&lt;=AD$7,$L127&gt;AD$7),((AD$7-$K127)/($L127-$K127)))</f>
        <v>#REF!</v>
      </c>
      <c r="AF127" s="201" t="e">
        <f t="array" ref="AF127">_xlfn.IFS(AND($K127&gt;AE$7,$L127&gt;AE$7),0,AND($K127&lt;=AE$7,$L127&lt;=AE$7),1,AND($K127&lt;=AE$7,$L127&gt;AE$7),((AE$7-$K127)/($L127-$K127)))</f>
        <v>#REF!</v>
      </c>
      <c r="AG127" s="201" t="e">
        <f t="array" ref="AG127">_xlfn.IFS(AND($K127&gt;AF$7,$L127&gt;AF$7),0,AND($K127&lt;=AF$7,$L127&lt;=AF$7),1,AND($K127&lt;=AF$7,$L127&gt;AF$7),((AF$7-$K127)/($L127-$K127)))</f>
        <v>#REF!</v>
      </c>
      <c r="AH127" s="201" t="e">
        <f t="array" ref="AH127">_xlfn.IFS(AND($K127&gt;AG$7,$L127&gt;AG$7),0,AND($K127&lt;=AG$7,$L127&lt;=AG$7),1,AND($K127&lt;=AG$7,$L127&gt;AG$7),((AG$7-$K127)/($L127-$K127)))</f>
        <v>#REF!</v>
      </c>
      <c r="AI127" s="201" t="e">
        <f t="array" ref="AI127">_xlfn.IFS(AND($K127&gt;AH$7,$L127&gt;AH$7),0,AND($K127&lt;=AH$7,$L127&lt;=AH$7),1,AND($K127&lt;=AH$7,$L127&gt;AH$7),((AH$7-$K127)/($L127-$K127)))</f>
        <v>#REF!</v>
      </c>
      <c r="AJ127" s="201" t="e">
        <f t="array" ref="AJ127">_xlfn.IFS(AND($K127&gt;AI$7,$L127&gt;AI$7),0,AND($K127&lt;=AI$7,$L127&lt;=AI$7),1,AND($K127&lt;=AI$7,$L127&gt;AI$7),((AI$7-$K127)/($L127-$K127)))</f>
        <v>#REF!</v>
      </c>
      <c r="AK127" s="201" t="e">
        <f t="array" ref="AK127">_xlfn.IFS(AND($K127&gt;AJ$7,$L127&gt;AJ$7),0,AND($K127&lt;=AJ$7,$L127&lt;=AJ$7),1,AND($K127&lt;=AJ$7,$L127&gt;AJ$7),((AJ$7-$K127)/($L127-$K127)))</f>
        <v>#REF!</v>
      </c>
      <c r="AL127" s="201" t="e">
        <f t="array" ref="AL127">_xlfn.IFS(AND($K127&gt;AK$7,$L127&gt;AK$7),0,AND($K127&lt;=AK$7,$L127&lt;=AK$7),1,AND($K127&lt;=AK$7,$L127&gt;AK$7),((AK$7-$K127)/($L127-$K127)))</f>
        <v>#REF!</v>
      </c>
      <c r="AM127" s="201" t="e">
        <f t="array" ref="AM127">_xlfn.IFS(AND($K127&gt;AL$7,$L127&gt;AL$7),0,AND($K127&lt;=AL$7,$L127&lt;=AL$7),1,AND($K127&lt;=AL$7,$L127&gt;AL$7),((AL$7-$K127)/($L127-$K127)))</f>
        <v>#REF!</v>
      </c>
      <c r="AN127" s="201" t="e">
        <f t="array" ref="AN127">_xlfn.IFS(AND($K127&gt;AM$7,$L127&gt;AM$7),0,AND($K127&lt;=AM$7,$L127&lt;=AM$7),1,AND($K127&lt;=AM$7,$L127&gt;AM$7),((AM$7-$K127)/($L127-$K127)))</f>
        <v>#REF!</v>
      </c>
      <c r="AO127" s="201" t="e">
        <f t="array" ref="AO127">_xlfn.IFS(AND($K127&gt;AN$7,$L127&gt;AN$7),0,AND($K127&lt;=AN$7,$L127&lt;=AN$7),1,AND($K127&lt;=AN$7,$L127&gt;AN$7),((AN$7-$K127)/($L127-$K127)))</f>
        <v>#REF!</v>
      </c>
      <c r="AP127" s="201" t="e">
        <f t="array" ref="AP127">_xlfn.IFS(AND($K127&gt;AO$7,$L127&gt;AO$7),0,AND($K127&lt;=AO$7,$L127&lt;=AO$7),1,AND($K127&lt;=AO$7,$L127&gt;AO$7),((AO$7-$K127)/($L127-$K127)))</f>
        <v>#REF!</v>
      </c>
      <c r="AQ127" s="201" t="e">
        <f t="array" ref="AQ127">_xlfn.IFS(AND($K127&gt;AP$7,$L127&gt;AP$7),0,AND($K127&lt;=AP$7,$L127&lt;=AP$7),1,AND($K127&lt;=AP$7,$L127&gt;AP$7),((AP$7-$K127)/($L127-$K127)))</f>
        <v>#REF!</v>
      </c>
      <c r="AR127" s="201" t="e">
        <f t="array" ref="AR127">_xlfn.IFS(AND($K127&gt;AQ$7,$L127&gt;AQ$7),0,AND($K127&lt;=AQ$7,$L127&lt;=AQ$7),1,AND($K127&lt;=AQ$7,$L127&gt;AQ$7),((AQ$7-$K127)/($L127-$K127)))</f>
        <v>#REF!</v>
      </c>
      <c r="AS127" s="201" t="e">
        <f t="array" ref="AS127">_xlfn.IFS(AND($K127&gt;AR$7,$L127&gt;AR$7),0,AND($K127&lt;=AR$7,$L127&lt;=AR$7),1,AND($K127&lt;=AR$7,$L127&gt;AR$7),((AR$7-$K127)/($L127-$K127)))</f>
        <v>#REF!</v>
      </c>
      <c r="AT127" s="201" t="e">
        <f t="array" ref="AT127">_xlfn.IFS(AND($K127&gt;AS$7,$L127&gt;AS$7),0,AND($K127&lt;=AS$7,$L127&lt;=AS$7),1,AND($K127&lt;=AS$7,$L127&gt;AS$7),((AS$7-$K127)/($L127-$K127)))</f>
        <v>#REF!</v>
      </c>
      <c r="AU127" s="201" t="e">
        <f t="array" ref="AU127">_xlfn.IFS(AND($K127&gt;AT$7,$L127&gt;AT$7),0,AND($K127&lt;=AT$7,$L127&lt;=AT$7),1,AND($K127&lt;=AT$7,$L127&gt;AT$7),((AT$7-$K127)/($L127-$K127)))</f>
        <v>#REF!</v>
      </c>
      <c r="AV127" s="201" t="e">
        <f t="array" ref="AV127">_xlfn.IFS(AND($K127&gt;AU$7,$L127&gt;AU$7),0,AND($K127&lt;=AU$7,$L127&lt;=AU$7),1,AND($K127&lt;=AU$7,$L127&gt;AU$7),((AU$7-$K127)/($L127-$K127)))</f>
        <v>#REF!</v>
      </c>
      <c r="AW127" s="201" t="e">
        <f t="array" ref="AW127">_xlfn.IFS(AND($K127&gt;AV$7,$L127&gt;AV$7),0,AND($K127&lt;=AV$7,$L127&lt;=AV$7),1,AND($K127&lt;=AV$7,$L127&gt;AV$7),((AV$7-$K127)/($L127-$K127)))</f>
        <v>#REF!</v>
      </c>
      <c r="AX127" s="201" t="e">
        <f t="array" ref="AX127">_xlfn.IFS(AND($K127&gt;AW$7,$L127&gt;AW$7),0,AND($K127&lt;=AW$7,$L127&lt;=AW$7),1,AND($K127&lt;=AW$7,$L127&gt;AW$7),((AW$7-$K127)/($L127-$K127)))</f>
        <v>#REF!</v>
      </c>
      <c r="AY127" s="201" t="e">
        <f t="array" ref="AY127">_xlfn.IFS(AND($K127&gt;AX$7,$L127&gt;AX$7),0,AND($K127&lt;=AX$7,$L127&lt;=AX$7),1,AND($K127&lt;=AX$7,$L127&gt;AX$7),((AX$7-$K127)/($L127-$K127)))</f>
        <v>#REF!</v>
      </c>
      <c r="AZ127" s="201" t="e">
        <f t="array" ref="AZ127">_xlfn.IFS(AND($K127&gt;AY$7,$L127&gt;AY$7),0,AND($K127&lt;=AY$7,$L127&lt;=AY$7),1,AND($K127&lt;=AY$7,$L127&gt;AY$7),((AY$7-$K127)/($L127-$K127)))</f>
        <v>#REF!</v>
      </c>
      <c r="BA127" s="201" t="e">
        <f t="array" ref="BA127">_xlfn.IFS(AND($K127&gt;AZ$7,$L127&gt;AZ$7),0,AND($K127&lt;=AZ$7,$L127&lt;=AZ$7),1,AND($K127&lt;=AZ$7,$L127&gt;AZ$7),((AZ$7-$K127)/($L127-$K127)))</f>
        <v>#REF!</v>
      </c>
      <c r="BB127" s="201" t="e">
        <f t="array" ref="BB127">_xlfn.IFS(AND($K127&gt;BA$7,$L127&gt;BA$7),0,AND($K127&lt;=BA$7,$L127&lt;=BA$7),1,AND($K127&lt;=BA$7,$L127&gt;BA$7),((BA$7-$K127)/($L127-$K127)))</f>
        <v>#REF!</v>
      </c>
      <c r="BC127" s="201" t="e">
        <f t="array" ref="BC127">_xlfn.IFS(AND($K127&gt;BB$7,$L127&gt;BB$7),0,AND($K127&lt;=BB$7,$L127&lt;=BB$7),1,AND($K127&lt;=BB$7,$L127&gt;BB$7),((BB$7-$K127)/($L127-$K127)))</f>
        <v>#REF!</v>
      </c>
      <c r="BD127" s="201" t="e">
        <f t="array" ref="BD127">_xlfn.IFS(AND($K127&gt;BC$7,$L127&gt;BC$7),0,AND($K127&lt;=BC$7,$L127&lt;=BC$7),1,AND($K127&lt;=BC$7,$L127&gt;BC$7),((BC$7-$K127)/($L127-$K127)))</f>
        <v>#REF!</v>
      </c>
      <c r="BE127" s="201" t="e">
        <f t="array" ref="BE127">_xlfn.IFS(AND($K127&gt;BD$7,$L127&gt;BD$7),0,AND($K127&lt;=BD$7,$L127&lt;=BD$7),1,AND($K127&lt;=BD$7,$L127&gt;BD$7),((BD$7-$K127)/($L127-$K127)))</f>
        <v>#REF!</v>
      </c>
      <c r="BF127" s="201" t="e">
        <f t="array" ref="BF127">_xlfn.IFS(AND($K127&gt;BE$7,$L127&gt;BE$7),0,AND($K127&lt;=BE$7,$L127&lt;=BE$7),1,AND($K127&lt;=BE$7,$L127&gt;BE$7),((BE$7-$K127)/($L127-$K127)))</f>
        <v>#REF!</v>
      </c>
      <c r="BG127" s="201" t="e">
        <f t="array" ref="BG127">_xlfn.IFS(AND($K127&gt;BF$7,$L127&gt;BF$7),0,AND($K127&lt;=BF$7,$L127&lt;=BF$7),1,AND($K127&lt;=BF$7,$L127&gt;BF$7),((BF$7-$K127)/($L127-$K127)))</f>
        <v>#REF!</v>
      </c>
      <c r="BH127" s="201" t="e">
        <f t="array" ref="BH127">_xlfn.IFS(AND($K127&gt;BG$7,$L127&gt;BG$7),0,AND($K127&lt;=BG$7,$L127&lt;=BG$7),1,AND($K127&lt;=BG$7,$L127&gt;BG$7),((BG$7-$K127)/($L127-$K127)))</f>
        <v>#REF!</v>
      </c>
      <c r="BI127" s="201" t="e">
        <f t="array" ref="BI127">_xlfn.IFS(AND($K127&gt;BH$7,$L127&gt;BH$7),0,AND($K127&lt;=BH$7,$L127&lt;=BH$7),1,AND($K127&lt;=BH$7,$L127&gt;BH$7),((BH$7-$K127)/($L127-$K127)))</f>
        <v>#REF!</v>
      </c>
      <c r="BJ127" s="201" t="e">
        <f t="array" ref="BJ127">_xlfn.IFS(AND($K127&gt;BI$7,$L127&gt;BI$7),0,AND($K127&lt;=BI$7,$L127&lt;=BI$7),1,AND($K127&lt;=BI$7,$L127&gt;BI$7),((BI$7-$K127)/($L127-$K127)))</f>
        <v>#REF!</v>
      </c>
      <c r="BK127" s="201" t="e">
        <f t="array" ref="BK127">_xlfn.IFS(AND($K127&gt;BJ$7,$L127&gt;BJ$7),0,AND($K127&lt;=BJ$7,$L127&lt;=BJ$7),1,AND($K127&lt;=BJ$7,$L127&gt;BJ$7),((BJ$7-$K127)/($L127-$K127)))</f>
        <v>#REF!</v>
      </c>
      <c r="BL127" s="201" t="e">
        <f t="array" ref="BL127">_xlfn.IFS(AND($K127&gt;BK$7,$L127&gt;BK$7),0,AND($K127&lt;=BK$7,$L127&lt;=BK$7),1,AND($K127&lt;=BK$7,$L127&gt;BK$7),((BK$7-$K127)/($L127-$K127)))</f>
        <v>#REF!</v>
      </c>
      <c r="BM127" s="201" t="e">
        <f t="array" ref="BM127">_xlfn.IFS(AND($K127&gt;BL$7,$L127&gt;BL$7),0,AND($K127&lt;=BL$7,$L127&lt;=BL$7),1,AND($K127&lt;=BL$7,$L127&gt;BL$7),((BL$7-$K127)/($L127-$K127)))</f>
        <v>#REF!</v>
      </c>
      <c r="BN127" s="201" t="e">
        <f t="array" ref="BN127">_xlfn.IFS(AND($K127&gt;BM$7,$L127&gt;BM$7),0,AND($K127&lt;=BM$7,$L127&lt;=BM$7),1,AND($K127&lt;=BM$7,$L127&gt;BM$7),((BM$7-$K127)/($L127-$K127)))</f>
        <v>#REF!</v>
      </c>
    </row>
    <row r="128" spans="2:66" x14ac:dyDescent="0.3">
      <c r="B128" s="166" t="s">
        <v>161</v>
      </c>
      <c r="C128" s="166" t="s">
        <v>302</v>
      </c>
      <c r="D128" s="177"/>
      <c r="E128" s="170" t="str">
        <f t="shared" si="51"/>
        <v>Desenvolvimento da Transformação dos Processos</v>
      </c>
      <c r="F128" s="174" t="str">
        <f t="shared" si="48"/>
        <v>Transformação do Processo</v>
      </c>
      <c r="G128" s="166" t="str">
        <f t="shared" si="52"/>
        <v>Transformação do Processo</v>
      </c>
      <c r="H128" s="197" t="s">
        <v>303</v>
      </c>
      <c r="I128" s="166">
        <v>45915</v>
      </c>
      <c r="J128" s="166">
        <v>45926</v>
      </c>
      <c r="K128" s="166">
        <v>45915</v>
      </c>
      <c r="L128" s="166">
        <v>45926</v>
      </c>
      <c r="M128" s="167"/>
      <c r="N128" s="167" t="str">
        <f t="array" ref="N128">_xlfn.IFS(L128&lt;$M$3,"Concluído",AND(K128&gt;=$M$3,I128&lt;$M$3,L128&gt;$M$3),"Em andamento",AND(L128&gt;=$M$3,J128&lt;$M$3),"Atrasado",AND(L128&gt;=$M$3,J128&gt;=$M$3,I128&gt;$M$3,K128&lt;=$M$3),"Em andamento",AND(L128&gt;=$M$3,J128&gt;=$M$3,I128&lt;=$M$3,K128&lt;=$M$3),"Em andamento",AND(K128&gt;$M$3,I128&gt;$M$3),"Não iniciado",AND(L128&gt;=$M$3,J128&gt;=$M$3,K128&gt;=$M$3,I128&lt;$M$3),"Atrasado",AND(L128&gt;=$M$3,J128&gt;=$M$3,K128&gt;=$M$3,I128&gt;$M$3),"Não iniciado",AND($I128&lt;=$M$3,$K128&gt;$M$3),"Atrasado")</f>
        <v>Concluído</v>
      </c>
      <c r="O128" s="167">
        <f t="array" ref="O128">_xlfn.IFS(N128="Não iniciado",0,N128="Em andamento",1,N128="Concluído",2,N128="Atrasado",3)</f>
        <v>2</v>
      </c>
      <c r="P128" s="169"/>
      <c r="Q128" s="152">
        <f t="array" aca="1" ref="Q128" ca="1">_xlfn.IFS(AND($I128&lt;$N$3,$J128&lt;$N$3),1,AND($I128&lt;=$N$3,$J128&gt;=$N$3),0.5,AND($I128&gt;=$N$3,$J128&gt;=$N$3),0)</f>
        <v>1</v>
      </c>
      <c r="R128" s="152">
        <f t="array" aca="1" ref="R128" ca="1">_xlfn.IFS(AND($K128&lt;$N$3,$L128&lt;$N$3),1,AND($K128&lt;=$N$3,$L128&gt;=$N$3),0.5,AND($K128&gt;=$N$3,$L128&gt;=$N$3),0)</f>
        <v>1</v>
      </c>
      <c r="S128" s="201" t="e">
        <f t="array" ref="S128">_xlfn.IFS(AND($K128&gt;R$7,$L128&gt;R$7),0,AND($K128&lt;=R$7,$L128&lt;=R$7),1,AND($K128&lt;=R$7,$L128&gt;R$7),((R$7-$K128)/($L128-$K128)))</f>
        <v>#REF!</v>
      </c>
      <c r="T128" s="201" t="e">
        <f t="array" ref="T128">_xlfn.IFS(AND($K128&gt;S$7,$L128&gt;S$7),0,AND($K128&lt;=S$7,$L128&lt;=S$7),1,AND($K128&lt;=S$7,$L128&gt;S$7),((S$7-$K128)/($L128-$K128)))</f>
        <v>#REF!</v>
      </c>
      <c r="U128" s="201" t="e">
        <f t="array" ref="U128">_xlfn.IFS(AND($K128&gt;T$7,$L128&gt;T$7),0,AND($K128&lt;=T$7,$L128&lt;=T$7),1,AND($K128&lt;=T$7,$L128&gt;T$7),((T$7-$K128)/($L128-$K128)))</f>
        <v>#REF!</v>
      </c>
      <c r="V128" s="201" t="e">
        <f t="array" ref="V128">_xlfn.IFS(AND($K128&gt;U$7,$L128&gt;U$7),0,AND($K128&lt;=U$7,$L128&lt;=U$7),1,AND($K128&lt;=U$7,$L128&gt;U$7),((U$7-$K128)/($L128-$K128)))</f>
        <v>#REF!</v>
      </c>
      <c r="W128" s="201" t="e">
        <f t="array" ref="W128">_xlfn.IFS(AND($K128&gt;V$7,$L128&gt;V$7),0,AND($K128&lt;=V$7,$L128&lt;=V$7),1,AND($K128&lt;=V$7,$L128&gt;V$7),((V$7-$K128)/($L128-$K128)))</f>
        <v>#REF!</v>
      </c>
      <c r="X128" s="201" t="e">
        <f t="array" ref="X128">_xlfn.IFS(AND($K128&gt;W$7,$L128&gt;W$7),0,AND($K128&lt;=W$7,$L128&lt;=W$7),1,AND($K128&lt;=W$7,$L128&gt;W$7),((W$7-$K128)/($L128-$K128)))</f>
        <v>#REF!</v>
      </c>
      <c r="Y128" s="201" t="e">
        <f t="array" ref="Y128">_xlfn.IFS(AND($K128&gt;X$7,$L128&gt;X$7),0,AND($K128&lt;=X$7,$L128&lt;=X$7),1,AND($K128&lt;=X$7,$L128&gt;X$7),((X$7-$K128)/($L128-$K128)))</f>
        <v>#REF!</v>
      </c>
      <c r="Z128" s="201" t="e">
        <f t="array" ref="Z128">_xlfn.IFS(AND($K128&gt;Y$7,$L128&gt;Y$7),0,AND($K128&lt;=Y$7,$L128&lt;=Y$7),1,AND($K128&lt;=Y$7,$L128&gt;Y$7),((Y$7-$K128)/($L128-$K128)))</f>
        <v>#REF!</v>
      </c>
      <c r="AA128" s="201" t="e">
        <f t="array" ref="AA128">_xlfn.IFS(AND($K128&gt;Z$7,$L128&gt;Z$7),0,AND($K128&lt;=Z$7,$L128&lt;=Z$7),1,AND($K128&lt;=Z$7,$L128&gt;Z$7),((Z$7-$K128)/($L128-$K128)))</f>
        <v>#REF!</v>
      </c>
      <c r="AB128" s="201" t="e">
        <f t="array" ref="AB128">_xlfn.IFS(AND($K128&gt;AA$7,$L128&gt;AA$7),0,AND($K128&lt;=AA$7,$L128&lt;=AA$7),1,AND($K128&lt;=AA$7,$L128&gt;AA$7),((AA$7-$K128)/($L128-$K128)))</f>
        <v>#REF!</v>
      </c>
      <c r="AC128" s="201" t="e">
        <f t="array" ref="AC128">_xlfn.IFS(AND($K128&gt;AB$7,$L128&gt;AB$7),0,AND($K128&lt;=AB$7,$L128&lt;=AB$7),1,AND($K128&lt;=AB$7,$L128&gt;AB$7),((AB$7-$K128)/($L128-$K128)))</f>
        <v>#REF!</v>
      </c>
      <c r="AD128" s="201" t="e">
        <f t="array" ref="AD128">_xlfn.IFS(AND($K128&gt;AC$7,$L128&gt;AC$7),0,AND($K128&lt;=AC$7,$L128&lt;=AC$7),1,AND($K128&lt;=AC$7,$L128&gt;AC$7),((AC$7-$K128)/($L128-$K128)))</f>
        <v>#REF!</v>
      </c>
      <c r="AE128" s="201" t="e">
        <f t="array" ref="AE128">_xlfn.IFS(AND($K128&gt;AD$7,$L128&gt;AD$7),0,AND($K128&lt;=AD$7,$L128&lt;=AD$7),1,AND($K128&lt;=AD$7,$L128&gt;AD$7),((AD$7-$K128)/($L128-$K128)))</f>
        <v>#REF!</v>
      </c>
      <c r="AF128" s="201" t="e">
        <f t="array" ref="AF128">_xlfn.IFS(AND($K128&gt;AE$7,$L128&gt;AE$7),0,AND($K128&lt;=AE$7,$L128&lt;=AE$7),1,AND($K128&lt;=AE$7,$L128&gt;AE$7),((AE$7-$K128)/($L128-$K128)))</f>
        <v>#REF!</v>
      </c>
      <c r="AG128" s="201" t="e">
        <f t="array" ref="AG128">_xlfn.IFS(AND($K128&gt;AF$7,$L128&gt;AF$7),0,AND($K128&lt;=AF$7,$L128&lt;=AF$7),1,AND($K128&lt;=AF$7,$L128&gt;AF$7),((AF$7-$K128)/($L128-$K128)))</f>
        <v>#REF!</v>
      </c>
      <c r="AH128" s="201" t="e">
        <f t="array" ref="AH128">_xlfn.IFS(AND($K128&gt;AG$7,$L128&gt;AG$7),0,AND($K128&lt;=AG$7,$L128&lt;=AG$7),1,AND($K128&lt;=AG$7,$L128&gt;AG$7),((AG$7-$K128)/($L128-$K128)))</f>
        <v>#REF!</v>
      </c>
      <c r="AI128" s="201" t="e">
        <f t="array" ref="AI128">_xlfn.IFS(AND($K128&gt;AH$7,$L128&gt;AH$7),0,AND($K128&lt;=AH$7,$L128&lt;=AH$7),1,AND($K128&lt;=AH$7,$L128&gt;AH$7),((AH$7-$K128)/($L128-$K128)))</f>
        <v>#REF!</v>
      </c>
      <c r="AJ128" s="201" t="e">
        <f t="array" ref="AJ128">_xlfn.IFS(AND($K128&gt;AI$7,$L128&gt;AI$7),0,AND($K128&lt;=AI$7,$L128&lt;=AI$7),1,AND($K128&lt;=AI$7,$L128&gt;AI$7),((AI$7-$K128)/($L128-$K128)))</f>
        <v>#REF!</v>
      </c>
      <c r="AK128" s="201" t="e">
        <f t="array" ref="AK128">_xlfn.IFS(AND($K128&gt;AJ$7,$L128&gt;AJ$7),0,AND($K128&lt;=AJ$7,$L128&lt;=AJ$7),1,AND($K128&lt;=AJ$7,$L128&gt;AJ$7),((AJ$7-$K128)/($L128-$K128)))</f>
        <v>#REF!</v>
      </c>
      <c r="AL128" s="201" t="e">
        <f t="array" ref="AL128">_xlfn.IFS(AND($K128&gt;AK$7,$L128&gt;AK$7),0,AND($K128&lt;=AK$7,$L128&lt;=AK$7),1,AND($K128&lt;=AK$7,$L128&gt;AK$7),((AK$7-$K128)/($L128-$K128)))</f>
        <v>#REF!</v>
      </c>
      <c r="AM128" s="201" t="e">
        <f t="array" ref="AM128">_xlfn.IFS(AND($K128&gt;AL$7,$L128&gt;AL$7),0,AND($K128&lt;=AL$7,$L128&lt;=AL$7),1,AND($K128&lt;=AL$7,$L128&gt;AL$7),((AL$7-$K128)/($L128-$K128)))</f>
        <v>#REF!</v>
      </c>
      <c r="AN128" s="201" t="e">
        <f t="array" ref="AN128">_xlfn.IFS(AND($K128&gt;AM$7,$L128&gt;AM$7),0,AND($K128&lt;=AM$7,$L128&lt;=AM$7),1,AND($K128&lt;=AM$7,$L128&gt;AM$7),((AM$7-$K128)/($L128-$K128)))</f>
        <v>#REF!</v>
      </c>
      <c r="AO128" s="201" t="e">
        <f t="array" ref="AO128">_xlfn.IFS(AND($K128&gt;AN$7,$L128&gt;AN$7),0,AND($K128&lt;=AN$7,$L128&lt;=AN$7),1,AND($K128&lt;=AN$7,$L128&gt;AN$7),((AN$7-$K128)/($L128-$K128)))</f>
        <v>#REF!</v>
      </c>
      <c r="AP128" s="201" t="e">
        <f t="array" ref="AP128">_xlfn.IFS(AND($K128&gt;AO$7,$L128&gt;AO$7),0,AND($K128&lt;=AO$7,$L128&lt;=AO$7),1,AND($K128&lt;=AO$7,$L128&gt;AO$7),((AO$7-$K128)/($L128-$K128)))</f>
        <v>#REF!</v>
      </c>
      <c r="AQ128" s="201" t="e">
        <f t="array" ref="AQ128">_xlfn.IFS(AND($K128&gt;AP$7,$L128&gt;AP$7),0,AND($K128&lt;=AP$7,$L128&lt;=AP$7),1,AND($K128&lt;=AP$7,$L128&gt;AP$7),((AP$7-$K128)/($L128-$K128)))</f>
        <v>#REF!</v>
      </c>
      <c r="AR128" s="201" t="e">
        <f t="array" ref="AR128">_xlfn.IFS(AND($K128&gt;AQ$7,$L128&gt;AQ$7),0,AND($K128&lt;=AQ$7,$L128&lt;=AQ$7),1,AND($K128&lt;=AQ$7,$L128&gt;AQ$7),((AQ$7-$K128)/($L128-$K128)))</f>
        <v>#REF!</v>
      </c>
      <c r="AS128" s="201" t="e">
        <f t="array" ref="AS128">_xlfn.IFS(AND($K128&gt;AR$7,$L128&gt;AR$7),0,AND($K128&lt;=AR$7,$L128&lt;=AR$7),1,AND($K128&lt;=AR$7,$L128&gt;AR$7),((AR$7-$K128)/($L128-$K128)))</f>
        <v>#REF!</v>
      </c>
      <c r="AT128" s="201" t="e">
        <f t="array" ref="AT128">_xlfn.IFS(AND($K128&gt;AS$7,$L128&gt;AS$7),0,AND($K128&lt;=AS$7,$L128&lt;=AS$7),1,AND($K128&lt;=AS$7,$L128&gt;AS$7),((AS$7-$K128)/($L128-$K128)))</f>
        <v>#REF!</v>
      </c>
      <c r="AU128" s="201" t="e">
        <f t="array" ref="AU128">_xlfn.IFS(AND($K128&gt;AT$7,$L128&gt;AT$7),0,AND($K128&lt;=AT$7,$L128&lt;=AT$7),1,AND($K128&lt;=AT$7,$L128&gt;AT$7),((AT$7-$K128)/($L128-$K128)))</f>
        <v>#REF!</v>
      </c>
      <c r="AV128" s="201" t="e">
        <f t="array" ref="AV128">_xlfn.IFS(AND($K128&gt;AU$7,$L128&gt;AU$7),0,AND($K128&lt;=AU$7,$L128&lt;=AU$7),1,AND($K128&lt;=AU$7,$L128&gt;AU$7),((AU$7-$K128)/($L128-$K128)))</f>
        <v>#REF!</v>
      </c>
      <c r="AW128" s="201" t="e">
        <f t="array" ref="AW128">_xlfn.IFS(AND($K128&gt;AV$7,$L128&gt;AV$7),0,AND($K128&lt;=AV$7,$L128&lt;=AV$7),1,AND($K128&lt;=AV$7,$L128&gt;AV$7),((AV$7-$K128)/($L128-$K128)))</f>
        <v>#REF!</v>
      </c>
      <c r="AX128" s="201" t="e">
        <f t="array" ref="AX128">_xlfn.IFS(AND($K128&gt;AW$7,$L128&gt;AW$7),0,AND($K128&lt;=AW$7,$L128&lt;=AW$7),1,AND($K128&lt;=AW$7,$L128&gt;AW$7),((AW$7-$K128)/($L128-$K128)))</f>
        <v>#REF!</v>
      </c>
      <c r="AY128" s="201" t="e">
        <f t="array" ref="AY128">_xlfn.IFS(AND($K128&gt;AX$7,$L128&gt;AX$7),0,AND($K128&lt;=AX$7,$L128&lt;=AX$7),1,AND($K128&lt;=AX$7,$L128&gt;AX$7),((AX$7-$K128)/($L128-$K128)))</f>
        <v>#REF!</v>
      </c>
      <c r="AZ128" s="201" t="e">
        <f t="array" ref="AZ128">_xlfn.IFS(AND($K128&gt;AY$7,$L128&gt;AY$7),0,AND($K128&lt;=AY$7,$L128&lt;=AY$7),1,AND($K128&lt;=AY$7,$L128&gt;AY$7),((AY$7-$K128)/($L128-$K128)))</f>
        <v>#REF!</v>
      </c>
      <c r="BA128" s="201" t="e">
        <f t="array" ref="BA128">_xlfn.IFS(AND($K128&gt;AZ$7,$L128&gt;AZ$7),0,AND($K128&lt;=AZ$7,$L128&lt;=AZ$7),1,AND($K128&lt;=AZ$7,$L128&gt;AZ$7),((AZ$7-$K128)/($L128-$K128)))</f>
        <v>#REF!</v>
      </c>
      <c r="BB128" s="201" t="e">
        <f t="array" ref="BB128">_xlfn.IFS(AND($K128&gt;BA$7,$L128&gt;BA$7),0,AND($K128&lt;=BA$7,$L128&lt;=BA$7),1,AND($K128&lt;=BA$7,$L128&gt;BA$7),((BA$7-$K128)/($L128-$K128)))</f>
        <v>#REF!</v>
      </c>
      <c r="BC128" s="201" t="e">
        <f t="array" ref="BC128">_xlfn.IFS(AND($K128&gt;BB$7,$L128&gt;BB$7),0,AND($K128&lt;=BB$7,$L128&lt;=BB$7),1,AND($K128&lt;=BB$7,$L128&gt;BB$7),((BB$7-$K128)/($L128-$K128)))</f>
        <v>#REF!</v>
      </c>
      <c r="BD128" s="201" t="e">
        <f t="array" ref="BD128">_xlfn.IFS(AND($K128&gt;BC$7,$L128&gt;BC$7),0,AND($K128&lt;=BC$7,$L128&lt;=BC$7),1,AND($K128&lt;=BC$7,$L128&gt;BC$7),((BC$7-$K128)/($L128-$K128)))</f>
        <v>#REF!</v>
      </c>
      <c r="BE128" s="201" t="e">
        <f t="array" ref="BE128">_xlfn.IFS(AND($K128&gt;BD$7,$L128&gt;BD$7),0,AND($K128&lt;=BD$7,$L128&lt;=BD$7),1,AND($K128&lt;=BD$7,$L128&gt;BD$7),((BD$7-$K128)/($L128-$K128)))</f>
        <v>#REF!</v>
      </c>
      <c r="BF128" s="201" t="e">
        <f t="array" ref="BF128">_xlfn.IFS(AND($K128&gt;BE$7,$L128&gt;BE$7),0,AND($K128&lt;=BE$7,$L128&lt;=BE$7),1,AND($K128&lt;=BE$7,$L128&gt;BE$7),((BE$7-$K128)/($L128-$K128)))</f>
        <v>#REF!</v>
      </c>
      <c r="BG128" s="201" t="e">
        <f t="array" ref="BG128">_xlfn.IFS(AND($K128&gt;BF$7,$L128&gt;BF$7),0,AND($K128&lt;=BF$7,$L128&lt;=BF$7),1,AND($K128&lt;=BF$7,$L128&gt;BF$7),((BF$7-$K128)/($L128-$K128)))</f>
        <v>#REF!</v>
      </c>
      <c r="BH128" s="201" t="e">
        <f t="array" ref="BH128">_xlfn.IFS(AND($K128&gt;BG$7,$L128&gt;BG$7),0,AND($K128&lt;=BG$7,$L128&lt;=BG$7),1,AND($K128&lt;=BG$7,$L128&gt;BG$7),((BG$7-$K128)/($L128-$K128)))</f>
        <v>#REF!</v>
      </c>
      <c r="BI128" s="201" t="e">
        <f t="array" ref="BI128">_xlfn.IFS(AND($K128&gt;BH$7,$L128&gt;BH$7),0,AND($K128&lt;=BH$7,$L128&lt;=BH$7),1,AND($K128&lt;=BH$7,$L128&gt;BH$7),((BH$7-$K128)/($L128-$K128)))</f>
        <v>#REF!</v>
      </c>
      <c r="BJ128" s="201" t="e">
        <f t="array" ref="BJ128">_xlfn.IFS(AND($K128&gt;BI$7,$L128&gt;BI$7),0,AND($K128&lt;=BI$7,$L128&lt;=BI$7),1,AND($K128&lt;=BI$7,$L128&gt;BI$7),((BI$7-$K128)/($L128-$K128)))</f>
        <v>#REF!</v>
      </c>
      <c r="BK128" s="201" t="e">
        <f t="array" ref="BK128">_xlfn.IFS(AND($K128&gt;BJ$7,$L128&gt;BJ$7),0,AND($K128&lt;=BJ$7,$L128&lt;=BJ$7),1,AND($K128&lt;=BJ$7,$L128&gt;BJ$7),((BJ$7-$K128)/($L128-$K128)))</f>
        <v>#REF!</v>
      </c>
      <c r="BL128" s="201" t="e">
        <f t="array" ref="BL128">_xlfn.IFS(AND($K128&gt;BK$7,$L128&gt;BK$7),0,AND($K128&lt;=BK$7,$L128&lt;=BK$7),1,AND($K128&lt;=BK$7,$L128&gt;BK$7),((BK$7-$K128)/($L128-$K128)))</f>
        <v>#REF!</v>
      </c>
      <c r="BM128" s="201" t="e">
        <f t="array" ref="BM128">_xlfn.IFS(AND($K128&gt;BL$7,$L128&gt;BL$7),0,AND($K128&lt;=BL$7,$L128&lt;=BL$7),1,AND($K128&lt;=BL$7,$L128&gt;BL$7),((BL$7-$K128)/($L128-$K128)))</f>
        <v>#REF!</v>
      </c>
      <c r="BN128" s="201" t="e">
        <f t="array" ref="BN128">_xlfn.IFS(AND($K128&gt;BM$7,$L128&gt;BM$7),0,AND($K128&lt;=BM$7,$L128&lt;=BM$7),1,AND($K128&lt;=BM$7,$L128&gt;BM$7),((BM$7-$K128)/($L128-$K128)))</f>
        <v>#REF!</v>
      </c>
    </row>
    <row r="129" spans="2:66" ht="27.6" customHeight="1" x14ac:dyDescent="0.3">
      <c r="B129" s="166" t="s">
        <v>161</v>
      </c>
      <c r="C129" s="166" t="s">
        <v>304</v>
      </c>
      <c r="D129" s="177"/>
      <c r="E129" s="170" t="str">
        <f t="shared" si="51"/>
        <v>Desenvolvimento da Transformação dos Processos</v>
      </c>
      <c r="F129" s="174" t="str">
        <f t="shared" si="48"/>
        <v>Transformação do Processo</v>
      </c>
      <c r="G129" s="166" t="str">
        <f t="shared" si="52"/>
        <v>Transformação do Processo</v>
      </c>
      <c r="H129" s="197" t="s">
        <v>305</v>
      </c>
      <c r="I129" s="166">
        <v>45915</v>
      </c>
      <c r="J129" s="166">
        <v>45926</v>
      </c>
      <c r="K129" s="166">
        <v>45915</v>
      </c>
      <c r="L129" s="166">
        <v>45926</v>
      </c>
      <c r="M129" s="167"/>
      <c r="N129" s="167" t="str">
        <f t="array" ref="N129">_xlfn.IFS(L129&lt;$M$3,"Concluído",AND(K129&gt;=$M$3,I129&lt;$M$3,L129&gt;$M$3),"Em andamento",AND(L129&gt;=$M$3,J129&lt;$M$3),"Atrasado",AND(L129&gt;=$M$3,J129&gt;=$M$3,I129&gt;$M$3,K129&lt;=$M$3),"Em andamento",AND(L129&gt;=$M$3,J129&gt;=$M$3,I129&lt;=$M$3,K129&lt;=$M$3),"Em andamento",AND(K129&gt;$M$3,I129&gt;$M$3),"Não iniciado",AND(L129&gt;=$M$3,J129&gt;=$M$3,K129&gt;=$M$3,I129&lt;$M$3),"Atrasado",AND(L129&gt;=$M$3,J129&gt;=$M$3,K129&gt;=$M$3,I129&gt;$M$3),"Não iniciado",AND($I129&lt;=$M$3,$K129&gt;$M$3),"Atrasado")</f>
        <v>Concluído</v>
      </c>
      <c r="O129" s="167">
        <f t="array" ref="O129">_xlfn.IFS(N129="Não iniciado",0,N129="Em andamento",1,N129="Concluído",2,N129="Atrasado",3)</f>
        <v>2</v>
      </c>
      <c r="P129" s="169"/>
      <c r="Q129" s="152">
        <f t="array" aca="1" ref="Q129" ca="1">_xlfn.IFS(AND($I129&lt;$N$3,$J129&lt;$N$3),1,AND($I129&lt;=$N$3,$J129&gt;=$N$3),0.5,AND($I129&gt;=$N$3,$J129&gt;=$N$3),0)</f>
        <v>1</v>
      </c>
      <c r="R129" s="152">
        <f t="array" aca="1" ref="R129" ca="1">_xlfn.IFS(AND($K129&lt;$N$3,$L129&lt;$N$3),1,AND($K129&lt;=$N$3,$L129&gt;=$N$3),0.5,AND($K129&gt;=$N$3,$L129&gt;=$N$3),0)</f>
        <v>1</v>
      </c>
      <c r="S129" s="201" t="e">
        <f t="array" ref="S129">_xlfn.IFS(AND($K129&gt;R$7,$L129&gt;R$7),0,AND($K129&lt;=R$7,$L129&lt;=R$7),1,AND($K129&lt;=R$7,$L129&gt;R$7),((R$7-$K129)/($L129-$K129)))</f>
        <v>#REF!</v>
      </c>
      <c r="T129" s="201" t="e">
        <f t="array" ref="T129">_xlfn.IFS(AND($K129&gt;S$7,$L129&gt;S$7),0,AND($K129&lt;=S$7,$L129&lt;=S$7),1,AND($K129&lt;=S$7,$L129&gt;S$7),((S$7-$K129)/($L129-$K129)))</f>
        <v>#REF!</v>
      </c>
      <c r="U129" s="201" t="e">
        <f t="array" ref="U129">_xlfn.IFS(AND($K129&gt;T$7,$L129&gt;T$7),0,AND($K129&lt;=T$7,$L129&lt;=T$7),1,AND($K129&lt;=T$7,$L129&gt;T$7),((T$7-$K129)/($L129-$K129)))</f>
        <v>#REF!</v>
      </c>
      <c r="V129" s="201" t="e">
        <f t="array" ref="V129">_xlfn.IFS(AND($K129&gt;U$7,$L129&gt;U$7),0,AND($K129&lt;=U$7,$L129&lt;=U$7),1,AND($K129&lt;=U$7,$L129&gt;U$7),((U$7-$K129)/($L129-$K129)))</f>
        <v>#REF!</v>
      </c>
      <c r="W129" s="201" t="e">
        <f t="array" ref="W129">_xlfn.IFS(AND($K129&gt;V$7,$L129&gt;V$7),0,AND($K129&lt;=V$7,$L129&lt;=V$7),1,AND($K129&lt;=V$7,$L129&gt;V$7),((V$7-$K129)/($L129-$K129)))</f>
        <v>#REF!</v>
      </c>
      <c r="X129" s="201" t="e">
        <f t="array" ref="X129">_xlfn.IFS(AND($K129&gt;W$7,$L129&gt;W$7),0,AND($K129&lt;=W$7,$L129&lt;=W$7),1,AND($K129&lt;=W$7,$L129&gt;W$7),((W$7-$K129)/($L129-$K129)))</f>
        <v>#REF!</v>
      </c>
      <c r="Y129" s="201" t="e">
        <f t="array" ref="Y129">_xlfn.IFS(AND($K129&gt;X$7,$L129&gt;X$7),0,AND($K129&lt;=X$7,$L129&lt;=X$7),1,AND($K129&lt;=X$7,$L129&gt;X$7),((X$7-$K129)/($L129-$K129)))</f>
        <v>#REF!</v>
      </c>
      <c r="Z129" s="201" t="e">
        <f t="array" ref="Z129">_xlfn.IFS(AND($K129&gt;Y$7,$L129&gt;Y$7),0,AND($K129&lt;=Y$7,$L129&lt;=Y$7),1,AND($K129&lt;=Y$7,$L129&gt;Y$7),((Y$7-$K129)/($L129-$K129)))</f>
        <v>#REF!</v>
      </c>
      <c r="AA129" s="201" t="e">
        <f t="array" ref="AA129">_xlfn.IFS(AND($K129&gt;Z$7,$L129&gt;Z$7),0,AND($K129&lt;=Z$7,$L129&lt;=Z$7),1,AND($K129&lt;=Z$7,$L129&gt;Z$7),((Z$7-$K129)/($L129-$K129)))</f>
        <v>#REF!</v>
      </c>
      <c r="AB129" s="201" t="e">
        <f t="array" ref="AB129">_xlfn.IFS(AND($K129&gt;AA$7,$L129&gt;AA$7),0,AND($K129&lt;=AA$7,$L129&lt;=AA$7),1,AND($K129&lt;=AA$7,$L129&gt;AA$7),((AA$7-$K129)/($L129-$K129)))</f>
        <v>#REF!</v>
      </c>
      <c r="AC129" s="201" t="e">
        <f t="array" ref="AC129">_xlfn.IFS(AND($K129&gt;AB$7,$L129&gt;AB$7),0,AND($K129&lt;=AB$7,$L129&lt;=AB$7),1,AND($K129&lt;=AB$7,$L129&gt;AB$7),((AB$7-$K129)/($L129-$K129)))</f>
        <v>#REF!</v>
      </c>
      <c r="AD129" s="201" t="e">
        <f t="array" ref="AD129">_xlfn.IFS(AND($K129&gt;AC$7,$L129&gt;AC$7),0,AND($K129&lt;=AC$7,$L129&lt;=AC$7),1,AND($K129&lt;=AC$7,$L129&gt;AC$7),((AC$7-$K129)/($L129-$K129)))</f>
        <v>#REF!</v>
      </c>
      <c r="AE129" s="201" t="e">
        <f t="array" ref="AE129">_xlfn.IFS(AND($K129&gt;AD$7,$L129&gt;AD$7),0,AND($K129&lt;=AD$7,$L129&lt;=AD$7),1,AND($K129&lt;=AD$7,$L129&gt;AD$7),((AD$7-$K129)/($L129-$K129)))</f>
        <v>#REF!</v>
      </c>
      <c r="AF129" s="201" t="e">
        <f t="array" ref="AF129">_xlfn.IFS(AND($K129&gt;AE$7,$L129&gt;AE$7),0,AND($K129&lt;=AE$7,$L129&lt;=AE$7),1,AND($K129&lt;=AE$7,$L129&gt;AE$7),((AE$7-$K129)/($L129-$K129)))</f>
        <v>#REF!</v>
      </c>
      <c r="AG129" s="201" t="e">
        <f t="array" ref="AG129">_xlfn.IFS(AND($K129&gt;AF$7,$L129&gt;AF$7),0,AND($K129&lt;=AF$7,$L129&lt;=AF$7),1,AND($K129&lt;=AF$7,$L129&gt;AF$7),((AF$7-$K129)/($L129-$K129)))</f>
        <v>#REF!</v>
      </c>
      <c r="AH129" s="201" t="e">
        <f t="array" ref="AH129">_xlfn.IFS(AND($K129&gt;AG$7,$L129&gt;AG$7),0,AND($K129&lt;=AG$7,$L129&lt;=AG$7),1,AND($K129&lt;=AG$7,$L129&gt;AG$7),((AG$7-$K129)/($L129-$K129)))</f>
        <v>#REF!</v>
      </c>
      <c r="AI129" s="201" t="e">
        <f t="array" ref="AI129">_xlfn.IFS(AND($K129&gt;AH$7,$L129&gt;AH$7),0,AND($K129&lt;=AH$7,$L129&lt;=AH$7),1,AND($K129&lt;=AH$7,$L129&gt;AH$7),((AH$7-$K129)/($L129-$K129)))</f>
        <v>#REF!</v>
      </c>
      <c r="AJ129" s="201" t="e">
        <f t="array" ref="AJ129">_xlfn.IFS(AND($K129&gt;AI$7,$L129&gt;AI$7),0,AND($K129&lt;=AI$7,$L129&lt;=AI$7),1,AND($K129&lt;=AI$7,$L129&gt;AI$7),((AI$7-$K129)/($L129-$K129)))</f>
        <v>#REF!</v>
      </c>
      <c r="AK129" s="201" t="e">
        <f t="array" ref="AK129">_xlfn.IFS(AND($K129&gt;AJ$7,$L129&gt;AJ$7),0,AND($K129&lt;=AJ$7,$L129&lt;=AJ$7),1,AND($K129&lt;=AJ$7,$L129&gt;AJ$7),((AJ$7-$K129)/($L129-$K129)))</f>
        <v>#REF!</v>
      </c>
      <c r="AL129" s="201" t="e">
        <f t="array" ref="AL129">_xlfn.IFS(AND($K129&gt;AK$7,$L129&gt;AK$7),0,AND($K129&lt;=AK$7,$L129&lt;=AK$7),1,AND($K129&lt;=AK$7,$L129&gt;AK$7),((AK$7-$K129)/($L129-$K129)))</f>
        <v>#REF!</v>
      </c>
      <c r="AM129" s="201" t="e">
        <f t="array" ref="AM129">_xlfn.IFS(AND($K129&gt;AL$7,$L129&gt;AL$7),0,AND($K129&lt;=AL$7,$L129&lt;=AL$7),1,AND($K129&lt;=AL$7,$L129&gt;AL$7),((AL$7-$K129)/($L129-$K129)))</f>
        <v>#REF!</v>
      </c>
      <c r="AN129" s="201" t="e">
        <f t="array" ref="AN129">_xlfn.IFS(AND($K129&gt;AM$7,$L129&gt;AM$7),0,AND($K129&lt;=AM$7,$L129&lt;=AM$7),1,AND($K129&lt;=AM$7,$L129&gt;AM$7),((AM$7-$K129)/($L129-$K129)))</f>
        <v>#REF!</v>
      </c>
      <c r="AO129" s="201" t="e">
        <f t="array" ref="AO129">_xlfn.IFS(AND($K129&gt;AN$7,$L129&gt;AN$7),0,AND($K129&lt;=AN$7,$L129&lt;=AN$7),1,AND($K129&lt;=AN$7,$L129&gt;AN$7),((AN$7-$K129)/($L129-$K129)))</f>
        <v>#REF!</v>
      </c>
      <c r="AP129" s="201" t="e">
        <f t="array" ref="AP129">_xlfn.IFS(AND($K129&gt;AO$7,$L129&gt;AO$7),0,AND($K129&lt;=AO$7,$L129&lt;=AO$7),1,AND($K129&lt;=AO$7,$L129&gt;AO$7),((AO$7-$K129)/($L129-$K129)))</f>
        <v>#REF!</v>
      </c>
      <c r="AQ129" s="201" t="e">
        <f t="array" ref="AQ129">_xlfn.IFS(AND($K129&gt;AP$7,$L129&gt;AP$7),0,AND($K129&lt;=AP$7,$L129&lt;=AP$7),1,AND($K129&lt;=AP$7,$L129&gt;AP$7),((AP$7-$K129)/($L129-$K129)))</f>
        <v>#REF!</v>
      </c>
      <c r="AR129" s="201" t="e">
        <f t="array" ref="AR129">_xlfn.IFS(AND($K129&gt;AQ$7,$L129&gt;AQ$7),0,AND($K129&lt;=AQ$7,$L129&lt;=AQ$7),1,AND($K129&lt;=AQ$7,$L129&gt;AQ$7),((AQ$7-$K129)/($L129-$K129)))</f>
        <v>#REF!</v>
      </c>
      <c r="AS129" s="201" t="e">
        <f t="array" ref="AS129">_xlfn.IFS(AND($K129&gt;AR$7,$L129&gt;AR$7),0,AND($K129&lt;=AR$7,$L129&lt;=AR$7),1,AND($K129&lt;=AR$7,$L129&gt;AR$7),((AR$7-$K129)/($L129-$K129)))</f>
        <v>#REF!</v>
      </c>
      <c r="AT129" s="201" t="e">
        <f t="array" ref="AT129">_xlfn.IFS(AND($K129&gt;AS$7,$L129&gt;AS$7),0,AND($K129&lt;=AS$7,$L129&lt;=AS$7),1,AND($K129&lt;=AS$7,$L129&gt;AS$7),((AS$7-$K129)/($L129-$K129)))</f>
        <v>#REF!</v>
      </c>
      <c r="AU129" s="201" t="e">
        <f t="array" ref="AU129">_xlfn.IFS(AND($K129&gt;AT$7,$L129&gt;AT$7),0,AND($K129&lt;=AT$7,$L129&lt;=AT$7),1,AND($K129&lt;=AT$7,$L129&gt;AT$7),((AT$7-$K129)/($L129-$K129)))</f>
        <v>#REF!</v>
      </c>
      <c r="AV129" s="201" t="e">
        <f t="array" ref="AV129">_xlfn.IFS(AND($K129&gt;AU$7,$L129&gt;AU$7),0,AND($K129&lt;=AU$7,$L129&lt;=AU$7),1,AND($K129&lt;=AU$7,$L129&gt;AU$7),((AU$7-$K129)/($L129-$K129)))</f>
        <v>#REF!</v>
      </c>
      <c r="AW129" s="201" t="e">
        <f t="array" ref="AW129">_xlfn.IFS(AND($K129&gt;AV$7,$L129&gt;AV$7),0,AND($K129&lt;=AV$7,$L129&lt;=AV$7),1,AND($K129&lt;=AV$7,$L129&gt;AV$7),((AV$7-$K129)/($L129-$K129)))</f>
        <v>#REF!</v>
      </c>
      <c r="AX129" s="201" t="e">
        <f t="array" ref="AX129">_xlfn.IFS(AND($K129&gt;AW$7,$L129&gt;AW$7),0,AND($K129&lt;=AW$7,$L129&lt;=AW$7),1,AND($K129&lt;=AW$7,$L129&gt;AW$7),((AW$7-$K129)/($L129-$K129)))</f>
        <v>#REF!</v>
      </c>
      <c r="AY129" s="201" t="e">
        <f t="array" ref="AY129">_xlfn.IFS(AND($K129&gt;AX$7,$L129&gt;AX$7),0,AND($K129&lt;=AX$7,$L129&lt;=AX$7),1,AND($K129&lt;=AX$7,$L129&gt;AX$7),((AX$7-$K129)/($L129-$K129)))</f>
        <v>#REF!</v>
      </c>
      <c r="AZ129" s="201" t="e">
        <f t="array" ref="AZ129">_xlfn.IFS(AND($K129&gt;AY$7,$L129&gt;AY$7),0,AND($K129&lt;=AY$7,$L129&lt;=AY$7),1,AND($K129&lt;=AY$7,$L129&gt;AY$7),((AY$7-$K129)/($L129-$K129)))</f>
        <v>#REF!</v>
      </c>
      <c r="BA129" s="201" t="e">
        <f t="array" ref="BA129">_xlfn.IFS(AND($K129&gt;AZ$7,$L129&gt;AZ$7),0,AND($K129&lt;=AZ$7,$L129&lt;=AZ$7),1,AND($K129&lt;=AZ$7,$L129&gt;AZ$7),((AZ$7-$K129)/($L129-$K129)))</f>
        <v>#REF!</v>
      </c>
      <c r="BB129" s="201" t="e">
        <f t="array" ref="BB129">_xlfn.IFS(AND($K129&gt;BA$7,$L129&gt;BA$7),0,AND($K129&lt;=BA$7,$L129&lt;=BA$7),1,AND($K129&lt;=BA$7,$L129&gt;BA$7),((BA$7-$K129)/($L129-$K129)))</f>
        <v>#REF!</v>
      </c>
      <c r="BC129" s="201" t="e">
        <f t="array" ref="BC129">_xlfn.IFS(AND($K129&gt;BB$7,$L129&gt;BB$7),0,AND($K129&lt;=BB$7,$L129&lt;=BB$7),1,AND($K129&lt;=BB$7,$L129&gt;BB$7),((BB$7-$K129)/($L129-$K129)))</f>
        <v>#REF!</v>
      </c>
      <c r="BD129" s="201" t="e">
        <f t="array" ref="BD129">_xlfn.IFS(AND($K129&gt;BC$7,$L129&gt;BC$7),0,AND($K129&lt;=BC$7,$L129&lt;=BC$7),1,AND($K129&lt;=BC$7,$L129&gt;BC$7),((BC$7-$K129)/($L129-$K129)))</f>
        <v>#REF!</v>
      </c>
      <c r="BE129" s="201" t="e">
        <f t="array" ref="BE129">_xlfn.IFS(AND($K129&gt;BD$7,$L129&gt;BD$7),0,AND($K129&lt;=BD$7,$L129&lt;=BD$7),1,AND($K129&lt;=BD$7,$L129&gt;BD$7),((BD$7-$K129)/($L129-$K129)))</f>
        <v>#REF!</v>
      </c>
      <c r="BF129" s="201" t="e">
        <f t="array" ref="BF129">_xlfn.IFS(AND($K129&gt;BE$7,$L129&gt;BE$7),0,AND($K129&lt;=BE$7,$L129&lt;=BE$7),1,AND($K129&lt;=BE$7,$L129&gt;BE$7),((BE$7-$K129)/($L129-$K129)))</f>
        <v>#REF!</v>
      </c>
      <c r="BG129" s="201" t="e">
        <f t="array" ref="BG129">_xlfn.IFS(AND($K129&gt;BF$7,$L129&gt;BF$7),0,AND($K129&lt;=BF$7,$L129&lt;=BF$7),1,AND($K129&lt;=BF$7,$L129&gt;BF$7),((BF$7-$K129)/($L129-$K129)))</f>
        <v>#REF!</v>
      </c>
      <c r="BH129" s="201" t="e">
        <f t="array" ref="BH129">_xlfn.IFS(AND($K129&gt;BG$7,$L129&gt;BG$7),0,AND($K129&lt;=BG$7,$L129&lt;=BG$7),1,AND($K129&lt;=BG$7,$L129&gt;BG$7),((BG$7-$K129)/($L129-$K129)))</f>
        <v>#REF!</v>
      </c>
      <c r="BI129" s="201" t="e">
        <f t="array" ref="BI129">_xlfn.IFS(AND($K129&gt;BH$7,$L129&gt;BH$7),0,AND($K129&lt;=BH$7,$L129&lt;=BH$7),1,AND($K129&lt;=BH$7,$L129&gt;BH$7),((BH$7-$K129)/($L129-$K129)))</f>
        <v>#REF!</v>
      </c>
      <c r="BJ129" s="201" t="e">
        <f t="array" ref="BJ129">_xlfn.IFS(AND($K129&gt;BI$7,$L129&gt;BI$7),0,AND($K129&lt;=BI$7,$L129&lt;=BI$7),1,AND($K129&lt;=BI$7,$L129&gt;BI$7),((BI$7-$K129)/($L129-$K129)))</f>
        <v>#REF!</v>
      </c>
      <c r="BK129" s="201" t="e">
        <f t="array" ref="BK129">_xlfn.IFS(AND($K129&gt;BJ$7,$L129&gt;BJ$7),0,AND($K129&lt;=BJ$7,$L129&lt;=BJ$7),1,AND($K129&lt;=BJ$7,$L129&gt;BJ$7),((BJ$7-$K129)/($L129-$K129)))</f>
        <v>#REF!</v>
      </c>
      <c r="BL129" s="201" t="e">
        <f t="array" ref="BL129">_xlfn.IFS(AND($K129&gt;BK$7,$L129&gt;BK$7),0,AND($K129&lt;=BK$7,$L129&lt;=BK$7),1,AND($K129&lt;=BK$7,$L129&gt;BK$7),((BK$7-$K129)/($L129-$K129)))</f>
        <v>#REF!</v>
      </c>
      <c r="BM129" s="201" t="e">
        <f t="array" ref="BM129">_xlfn.IFS(AND($K129&gt;BL$7,$L129&gt;BL$7),0,AND($K129&lt;=BL$7,$L129&lt;=BL$7),1,AND($K129&lt;=BL$7,$L129&gt;BL$7),((BL$7-$K129)/($L129-$K129)))</f>
        <v>#REF!</v>
      </c>
      <c r="BN129" s="201" t="e">
        <f t="array" ref="BN129">_xlfn.IFS(AND($K129&gt;BM$7,$L129&gt;BM$7),0,AND($K129&lt;=BM$7,$L129&lt;=BM$7),1,AND($K129&lt;=BM$7,$L129&gt;BM$7),((BM$7-$K129)/($L129-$K129)))</f>
        <v>#REF!</v>
      </c>
    </row>
    <row r="130" spans="2:66" ht="27.6" customHeight="1" x14ac:dyDescent="0.3">
      <c r="B130" s="166" t="s">
        <v>161</v>
      </c>
      <c r="C130" s="166" t="s">
        <v>306</v>
      </c>
      <c r="D130" s="177"/>
      <c r="E130" s="170" t="str">
        <f t="shared" si="51"/>
        <v>Desenvolvimento da Transformação dos Processos</v>
      </c>
      <c r="F130" s="174" t="str">
        <f t="shared" si="48"/>
        <v>Transformação do Processo</v>
      </c>
      <c r="G130" s="166" t="str">
        <f t="shared" si="52"/>
        <v>Transformação do Processo</v>
      </c>
      <c r="H130" s="197" t="s">
        <v>307</v>
      </c>
      <c r="I130" s="166">
        <v>45915</v>
      </c>
      <c r="J130" s="166">
        <v>45926</v>
      </c>
      <c r="K130" s="166">
        <v>45915</v>
      </c>
      <c r="L130" s="166">
        <v>45926</v>
      </c>
      <c r="M130" s="167"/>
      <c r="N130" s="167" t="str">
        <f t="array" ref="N130">_xlfn.IFS(L130&lt;$M$3,"Concluído",AND(K130&gt;=$M$3,I130&lt;$M$3,L130&gt;$M$3),"Em andamento",AND(L130&gt;=$M$3,J130&lt;$M$3),"Atrasado",AND(L130&gt;=$M$3,J130&gt;=$M$3,I130&gt;$M$3,K130&lt;=$M$3),"Em andamento",AND(L130&gt;=$M$3,J130&gt;=$M$3,I130&lt;=$M$3,K130&lt;=$M$3),"Em andamento",AND(K130&gt;$M$3,I130&gt;$M$3),"Não iniciado",AND(L130&gt;=$M$3,J130&gt;=$M$3,K130&gt;=$M$3,I130&lt;$M$3),"Atrasado",AND(L130&gt;=$M$3,J130&gt;=$M$3,K130&gt;=$M$3,I130&gt;$M$3),"Não iniciado",AND($I130&lt;=$M$3,$K130&gt;$M$3),"Atrasado")</f>
        <v>Concluído</v>
      </c>
      <c r="O130" s="167">
        <f t="array" ref="O130">_xlfn.IFS(N130="Não iniciado",0,N130="Em andamento",1,N130="Concluído",2,N130="Atrasado",3)</f>
        <v>2</v>
      </c>
      <c r="P130" s="169"/>
      <c r="Q130" s="152">
        <f t="array" aca="1" ref="Q130" ca="1">_xlfn.IFS(AND($I130&lt;$N$3,$J130&lt;$N$3),1,AND($I130&lt;=$N$3,$J130&gt;=$N$3),0.5,AND($I130&gt;=$N$3,$J130&gt;=$N$3),0)</f>
        <v>1</v>
      </c>
      <c r="R130" s="152">
        <f t="array" aca="1" ref="R130" ca="1">_xlfn.IFS(AND($K130&lt;$N$3,$L130&lt;$N$3),1,AND($K130&lt;=$N$3,$L130&gt;=$N$3),0.5,AND($K130&gt;=$N$3,$L130&gt;=$N$3),0)</f>
        <v>1</v>
      </c>
      <c r="S130" s="201" t="e">
        <f t="array" ref="S130">_xlfn.IFS(AND($K130&gt;R$7,$L130&gt;R$7),0,AND($K130&lt;=R$7,$L130&lt;=R$7),1,AND($K130&lt;=R$7,$L130&gt;R$7),((R$7-$K130)/($L130-$K130)))</f>
        <v>#REF!</v>
      </c>
      <c r="T130" s="201" t="e">
        <f t="array" ref="T130">_xlfn.IFS(AND($K130&gt;S$7,$L130&gt;S$7),0,AND($K130&lt;=S$7,$L130&lt;=S$7),1,AND($K130&lt;=S$7,$L130&gt;S$7),((S$7-$K130)/($L130-$K130)))</f>
        <v>#REF!</v>
      </c>
      <c r="U130" s="201" t="e">
        <f t="array" ref="U130">_xlfn.IFS(AND($K130&gt;T$7,$L130&gt;T$7),0,AND($K130&lt;=T$7,$L130&lt;=T$7),1,AND($K130&lt;=T$7,$L130&gt;T$7),((T$7-$K130)/($L130-$K130)))</f>
        <v>#REF!</v>
      </c>
      <c r="V130" s="201" t="e">
        <f t="array" ref="V130">_xlfn.IFS(AND($K130&gt;U$7,$L130&gt;U$7),0,AND($K130&lt;=U$7,$L130&lt;=U$7),1,AND($K130&lt;=U$7,$L130&gt;U$7),((U$7-$K130)/($L130-$K130)))</f>
        <v>#REF!</v>
      </c>
      <c r="W130" s="201" t="e">
        <f t="array" ref="W130">_xlfn.IFS(AND($K130&gt;V$7,$L130&gt;V$7),0,AND($K130&lt;=V$7,$L130&lt;=V$7),1,AND($K130&lt;=V$7,$L130&gt;V$7),((V$7-$K130)/($L130-$K130)))</f>
        <v>#REF!</v>
      </c>
      <c r="X130" s="201" t="e">
        <f t="array" ref="X130">_xlfn.IFS(AND($K130&gt;W$7,$L130&gt;W$7),0,AND($K130&lt;=W$7,$L130&lt;=W$7),1,AND($K130&lt;=W$7,$L130&gt;W$7),((W$7-$K130)/($L130-$K130)))</f>
        <v>#REF!</v>
      </c>
      <c r="Y130" s="201" t="e">
        <f t="array" ref="Y130">_xlfn.IFS(AND($K130&gt;X$7,$L130&gt;X$7),0,AND($K130&lt;=X$7,$L130&lt;=X$7),1,AND($K130&lt;=X$7,$L130&gt;X$7),((X$7-$K130)/($L130-$K130)))</f>
        <v>#REF!</v>
      </c>
      <c r="Z130" s="201" t="e">
        <f t="array" ref="Z130">_xlfn.IFS(AND($K130&gt;Y$7,$L130&gt;Y$7),0,AND($K130&lt;=Y$7,$L130&lt;=Y$7),1,AND($K130&lt;=Y$7,$L130&gt;Y$7),((Y$7-$K130)/($L130-$K130)))</f>
        <v>#REF!</v>
      </c>
      <c r="AA130" s="201" t="e">
        <f t="array" ref="AA130">_xlfn.IFS(AND($K130&gt;Z$7,$L130&gt;Z$7),0,AND($K130&lt;=Z$7,$L130&lt;=Z$7),1,AND($K130&lt;=Z$7,$L130&gt;Z$7),((Z$7-$K130)/($L130-$K130)))</f>
        <v>#REF!</v>
      </c>
      <c r="AB130" s="201" t="e">
        <f t="array" ref="AB130">_xlfn.IFS(AND($K130&gt;AA$7,$L130&gt;AA$7),0,AND($K130&lt;=AA$7,$L130&lt;=AA$7),1,AND($K130&lt;=AA$7,$L130&gt;AA$7),((AA$7-$K130)/($L130-$K130)))</f>
        <v>#REF!</v>
      </c>
      <c r="AC130" s="201" t="e">
        <f t="array" ref="AC130">_xlfn.IFS(AND($K130&gt;AB$7,$L130&gt;AB$7),0,AND($K130&lt;=AB$7,$L130&lt;=AB$7),1,AND($K130&lt;=AB$7,$L130&gt;AB$7),((AB$7-$K130)/($L130-$K130)))</f>
        <v>#REF!</v>
      </c>
      <c r="AD130" s="201" t="e">
        <f t="array" ref="AD130">_xlfn.IFS(AND($K130&gt;AC$7,$L130&gt;AC$7),0,AND($K130&lt;=AC$7,$L130&lt;=AC$7),1,AND($K130&lt;=AC$7,$L130&gt;AC$7),((AC$7-$K130)/($L130-$K130)))</f>
        <v>#REF!</v>
      </c>
      <c r="AE130" s="201" t="e">
        <f t="array" ref="AE130">_xlfn.IFS(AND($K130&gt;AD$7,$L130&gt;AD$7),0,AND($K130&lt;=AD$7,$L130&lt;=AD$7),1,AND($K130&lt;=AD$7,$L130&gt;AD$7),((AD$7-$K130)/($L130-$K130)))</f>
        <v>#REF!</v>
      </c>
      <c r="AF130" s="201" t="e">
        <f t="array" ref="AF130">_xlfn.IFS(AND($K130&gt;AE$7,$L130&gt;AE$7),0,AND($K130&lt;=AE$7,$L130&lt;=AE$7),1,AND($K130&lt;=AE$7,$L130&gt;AE$7),((AE$7-$K130)/($L130-$K130)))</f>
        <v>#REF!</v>
      </c>
      <c r="AG130" s="201" t="e">
        <f t="array" ref="AG130">_xlfn.IFS(AND($K130&gt;AF$7,$L130&gt;AF$7),0,AND($K130&lt;=AF$7,$L130&lt;=AF$7),1,AND($K130&lt;=AF$7,$L130&gt;AF$7),((AF$7-$K130)/($L130-$K130)))</f>
        <v>#REF!</v>
      </c>
      <c r="AH130" s="201" t="e">
        <f t="array" ref="AH130">_xlfn.IFS(AND($K130&gt;AG$7,$L130&gt;AG$7),0,AND($K130&lt;=AG$7,$L130&lt;=AG$7),1,AND($K130&lt;=AG$7,$L130&gt;AG$7),((AG$7-$K130)/($L130-$K130)))</f>
        <v>#REF!</v>
      </c>
      <c r="AI130" s="201" t="e">
        <f t="array" ref="AI130">_xlfn.IFS(AND($K130&gt;AH$7,$L130&gt;AH$7),0,AND($K130&lt;=AH$7,$L130&lt;=AH$7),1,AND($K130&lt;=AH$7,$L130&gt;AH$7),((AH$7-$K130)/($L130-$K130)))</f>
        <v>#REF!</v>
      </c>
      <c r="AJ130" s="201" t="e">
        <f t="array" ref="AJ130">_xlfn.IFS(AND($K130&gt;AI$7,$L130&gt;AI$7),0,AND($K130&lt;=AI$7,$L130&lt;=AI$7),1,AND($K130&lt;=AI$7,$L130&gt;AI$7),((AI$7-$K130)/($L130-$K130)))</f>
        <v>#REF!</v>
      </c>
      <c r="AK130" s="201" t="e">
        <f t="array" ref="AK130">_xlfn.IFS(AND($K130&gt;AJ$7,$L130&gt;AJ$7),0,AND($K130&lt;=AJ$7,$L130&lt;=AJ$7),1,AND($K130&lt;=AJ$7,$L130&gt;AJ$7),((AJ$7-$K130)/($L130-$K130)))</f>
        <v>#REF!</v>
      </c>
      <c r="AL130" s="201" t="e">
        <f t="array" ref="AL130">_xlfn.IFS(AND($K130&gt;AK$7,$L130&gt;AK$7),0,AND($K130&lt;=AK$7,$L130&lt;=AK$7),1,AND($K130&lt;=AK$7,$L130&gt;AK$7),((AK$7-$K130)/($L130-$K130)))</f>
        <v>#REF!</v>
      </c>
      <c r="AM130" s="201" t="e">
        <f t="array" ref="AM130">_xlfn.IFS(AND($K130&gt;AL$7,$L130&gt;AL$7),0,AND($K130&lt;=AL$7,$L130&lt;=AL$7),1,AND($K130&lt;=AL$7,$L130&gt;AL$7),((AL$7-$K130)/($L130-$K130)))</f>
        <v>#REF!</v>
      </c>
      <c r="AN130" s="201" t="e">
        <f t="array" ref="AN130">_xlfn.IFS(AND($K130&gt;AM$7,$L130&gt;AM$7),0,AND($K130&lt;=AM$7,$L130&lt;=AM$7),1,AND($K130&lt;=AM$7,$L130&gt;AM$7),((AM$7-$K130)/($L130-$K130)))</f>
        <v>#REF!</v>
      </c>
      <c r="AO130" s="201" t="e">
        <f t="array" ref="AO130">_xlfn.IFS(AND($K130&gt;AN$7,$L130&gt;AN$7),0,AND($K130&lt;=AN$7,$L130&lt;=AN$7),1,AND($K130&lt;=AN$7,$L130&gt;AN$7),((AN$7-$K130)/($L130-$K130)))</f>
        <v>#REF!</v>
      </c>
      <c r="AP130" s="201" t="e">
        <f t="array" ref="AP130">_xlfn.IFS(AND($K130&gt;AO$7,$L130&gt;AO$7),0,AND($K130&lt;=AO$7,$L130&lt;=AO$7),1,AND($K130&lt;=AO$7,$L130&gt;AO$7),((AO$7-$K130)/($L130-$K130)))</f>
        <v>#REF!</v>
      </c>
      <c r="AQ130" s="201" t="e">
        <f t="array" ref="AQ130">_xlfn.IFS(AND($K130&gt;AP$7,$L130&gt;AP$7),0,AND($K130&lt;=AP$7,$L130&lt;=AP$7),1,AND($K130&lt;=AP$7,$L130&gt;AP$7),((AP$7-$K130)/($L130-$K130)))</f>
        <v>#REF!</v>
      </c>
      <c r="AR130" s="201" t="e">
        <f t="array" ref="AR130">_xlfn.IFS(AND($K130&gt;AQ$7,$L130&gt;AQ$7),0,AND($K130&lt;=AQ$7,$L130&lt;=AQ$7),1,AND($K130&lt;=AQ$7,$L130&gt;AQ$7),((AQ$7-$K130)/($L130-$K130)))</f>
        <v>#REF!</v>
      </c>
      <c r="AS130" s="201" t="e">
        <f t="array" ref="AS130">_xlfn.IFS(AND($K130&gt;AR$7,$L130&gt;AR$7),0,AND($K130&lt;=AR$7,$L130&lt;=AR$7),1,AND($K130&lt;=AR$7,$L130&gt;AR$7),((AR$7-$K130)/($L130-$K130)))</f>
        <v>#REF!</v>
      </c>
      <c r="AT130" s="201" t="e">
        <f t="array" ref="AT130">_xlfn.IFS(AND($K130&gt;AS$7,$L130&gt;AS$7),0,AND($K130&lt;=AS$7,$L130&lt;=AS$7),1,AND($K130&lt;=AS$7,$L130&gt;AS$7),((AS$7-$K130)/($L130-$K130)))</f>
        <v>#REF!</v>
      </c>
      <c r="AU130" s="201" t="e">
        <f t="array" ref="AU130">_xlfn.IFS(AND($K130&gt;AT$7,$L130&gt;AT$7),0,AND($K130&lt;=AT$7,$L130&lt;=AT$7),1,AND($K130&lt;=AT$7,$L130&gt;AT$7),((AT$7-$K130)/($L130-$K130)))</f>
        <v>#REF!</v>
      </c>
      <c r="AV130" s="201" t="e">
        <f t="array" ref="AV130">_xlfn.IFS(AND($K130&gt;AU$7,$L130&gt;AU$7),0,AND($K130&lt;=AU$7,$L130&lt;=AU$7),1,AND($K130&lt;=AU$7,$L130&gt;AU$7),((AU$7-$K130)/($L130-$K130)))</f>
        <v>#REF!</v>
      </c>
      <c r="AW130" s="201" t="e">
        <f t="array" ref="AW130">_xlfn.IFS(AND($K130&gt;AV$7,$L130&gt;AV$7),0,AND($K130&lt;=AV$7,$L130&lt;=AV$7),1,AND($K130&lt;=AV$7,$L130&gt;AV$7),((AV$7-$K130)/($L130-$K130)))</f>
        <v>#REF!</v>
      </c>
      <c r="AX130" s="201" t="e">
        <f t="array" ref="AX130">_xlfn.IFS(AND($K130&gt;AW$7,$L130&gt;AW$7),0,AND($K130&lt;=AW$7,$L130&lt;=AW$7),1,AND($K130&lt;=AW$7,$L130&gt;AW$7),((AW$7-$K130)/($L130-$K130)))</f>
        <v>#REF!</v>
      </c>
      <c r="AY130" s="201" t="e">
        <f t="array" ref="AY130">_xlfn.IFS(AND($K130&gt;AX$7,$L130&gt;AX$7),0,AND($K130&lt;=AX$7,$L130&lt;=AX$7),1,AND($K130&lt;=AX$7,$L130&gt;AX$7),((AX$7-$K130)/($L130-$K130)))</f>
        <v>#REF!</v>
      </c>
      <c r="AZ130" s="201" t="e">
        <f t="array" ref="AZ130">_xlfn.IFS(AND($K130&gt;AY$7,$L130&gt;AY$7),0,AND($K130&lt;=AY$7,$L130&lt;=AY$7),1,AND($K130&lt;=AY$7,$L130&gt;AY$7),((AY$7-$K130)/($L130-$K130)))</f>
        <v>#REF!</v>
      </c>
      <c r="BA130" s="201" t="e">
        <f t="array" ref="BA130">_xlfn.IFS(AND($K130&gt;AZ$7,$L130&gt;AZ$7),0,AND($K130&lt;=AZ$7,$L130&lt;=AZ$7),1,AND($K130&lt;=AZ$7,$L130&gt;AZ$7),((AZ$7-$K130)/($L130-$K130)))</f>
        <v>#REF!</v>
      </c>
      <c r="BB130" s="201" t="e">
        <f t="array" ref="BB130">_xlfn.IFS(AND($K130&gt;BA$7,$L130&gt;BA$7),0,AND($K130&lt;=BA$7,$L130&lt;=BA$7),1,AND($K130&lt;=BA$7,$L130&gt;BA$7),((BA$7-$K130)/($L130-$K130)))</f>
        <v>#REF!</v>
      </c>
      <c r="BC130" s="201" t="e">
        <f t="array" ref="BC130">_xlfn.IFS(AND($K130&gt;BB$7,$L130&gt;BB$7),0,AND($K130&lt;=BB$7,$L130&lt;=BB$7),1,AND($K130&lt;=BB$7,$L130&gt;BB$7),((BB$7-$K130)/($L130-$K130)))</f>
        <v>#REF!</v>
      </c>
      <c r="BD130" s="201" t="e">
        <f t="array" ref="BD130">_xlfn.IFS(AND($K130&gt;BC$7,$L130&gt;BC$7),0,AND($K130&lt;=BC$7,$L130&lt;=BC$7),1,AND($K130&lt;=BC$7,$L130&gt;BC$7),((BC$7-$K130)/($L130-$K130)))</f>
        <v>#REF!</v>
      </c>
      <c r="BE130" s="201" t="e">
        <f t="array" ref="BE130">_xlfn.IFS(AND($K130&gt;BD$7,$L130&gt;BD$7),0,AND($K130&lt;=BD$7,$L130&lt;=BD$7),1,AND($K130&lt;=BD$7,$L130&gt;BD$7),((BD$7-$K130)/($L130-$K130)))</f>
        <v>#REF!</v>
      </c>
      <c r="BF130" s="201" t="e">
        <f t="array" ref="BF130">_xlfn.IFS(AND($K130&gt;BE$7,$L130&gt;BE$7),0,AND($K130&lt;=BE$7,$L130&lt;=BE$7),1,AND($K130&lt;=BE$7,$L130&gt;BE$7),((BE$7-$K130)/($L130-$K130)))</f>
        <v>#REF!</v>
      </c>
      <c r="BG130" s="201" t="e">
        <f t="array" ref="BG130">_xlfn.IFS(AND($K130&gt;BF$7,$L130&gt;BF$7),0,AND($K130&lt;=BF$7,$L130&lt;=BF$7),1,AND($K130&lt;=BF$7,$L130&gt;BF$7),((BF$7-$K130)/($L130-$K130)))</f>
        <v>#REF!</v>
      </c>
      <c r="BH130" s="201" t="e">
        <f t="array" ref="BH130">_xlfn.IFS(AND($K130&gt;BG$7,$L130&gt;BG$7),0,AND($K130&lt;=BG$7,$L130&lt;=BG$7),1,AND($K130&lt;=BG$7,$L130&gt;BG$7),((BG$7-$K130)/($L130-$K130)))</f>
        <v>#REF!</v>
      </c>
      <c r="BI130" s="201" t="e">
        <f t="array" ref="BI130">_xlfn.IFS(AND($K130&gt;BH$7,$L130&gt;BH$7),0,AND($K130&lt;=BH$7,$L130&lt;=BH$7),1,AND($K130&lt;=BH$7,$L130&gt;BH$7),((BH$7-$K130)/($L130-$K130)))</f>
        <v>#REF!</v>
      </c>
      <c r="BJ130" s="201" t="e">
        <f t="array" ref="BJ130">_xlfn.IFS(AND($K130&gt;BI$7,$L130&gt;BI$7),0,AND($K130&lt;=BI$7,$L130&lt;=BI$7),1,AND($K130&lt;=BI$7,$L130&gt;BI$7),((BI$7-$K130)/($L130-$K130)))</f>
        <v>#REF!</v>
      </c>
      <c r="BK130" s="201" t="e">
        <f t="array" ref="BK130">_xlfn.IFS(AND($K130&gt;BJ$7,$L130&gt;BJ$7),0,AND($K130&lt;=BJ$7,$L130&lt;=BJ$7),1,AND($K130&lt;=BJ$7,$L130&gt;BJ$7),((BJ$7-$K130)/($L130-$K130)))</f>
        <v>#REF!</v>
      </c>
      <c r="BL130" s="201" t="e">
        <f t="array" ref="BL130">_xlfn.IFS(AND($K130&gt;BK$7,$L130&gt;BK$7),0,AND($K130&lt;=BK$7,$L130&lt;=BK$7),1,AND($K130&lt;=BK$7,$L130&gt;BK$7),((BK$7-$K130)/($L130-$K130)))</f>
        <v>#REF!</v>
      </c>
      <c r="BM130" s="201" t="e">
        <f t="array" ref="BM130">_xlfn.IFS(AND($K130&gt;BL$7,$L130&gt;BL$7),0,AND($K130&lt;=BL$7,$L130&lt;=BL$7),1,AND($K130&lt;=BL$7,$L130&gt;BL$7),((BL$7-$K130)/($L130-$K130)))</f>
        <v>#REF!</v>
      </c>
      <c r="BN130" s="201" t="e">
        <f t="array" ref="BN130">_xlfn.IFS(AND($K130&gt;BM$7,$L130&gt;BM$7),0,AND($K130&lt;=BM$7,$L130&lt;=BM$7),1,AND($K130&lt;=BM$7,$L130&gt;BM$7),((BM$7-$K130)/($L130-$K130)))</f>
        <v>#REF!</v>
      </c>
    </row>
    <row r="131" spans="2:66" x14ac:dyDescent="0.3">
      <c r="B131" s="166" t="s">
        <v>161</v>
      </c>
      <c r="C131" s="166" t="s">
        <v>308</v>
      </c>
      <c r="D131" s="177"/>
      <c r="E131" s="170" t="str">
        <f t="shared" si="51"/>
        <v>Desenvolvimento da Transformação dos Processos</v>
      </c>
      <c r="F131" s="174" t="str">
        <f t="shared" si="48"/>
        <v>Transformação do Processo</v>
      </c>
      <c r="G131" s="166" t="str">
        <f t="shared" si="52"/>
        <v>Transformação do Processo</v>
      </c>
      <c r="H131" s="197" t="s">
        <v>309</v>
      </c>
      <c r="I131" s="166">
        <v>45943</v>
      </c>
      <c r="J131" s="166">
        <v>45954</v>
      </c>
      <c r="K131" s="166">
        <v>45943</v>
      </c>
      <c r="L131" s="166">
        <v>45954</v>
      </c>
      <c r="M131" s="167"/>
      <c r="N131" s="167" t="str">
        <f t="array" ref="N131">_xlfn.IFS(L131&lt;$M$3,"Concluído",AND(K131&gt;=$M$3,I131&lt;$M$3,L131&gt;$M$3),"Em andamento",AND(L131&gt;=$M$3,J131&lt;$M$3),"Atrasado",AND(L131&gt;=$M$3,J131&gt;=$M$3,I131&gt;$M$3,K131&lt;=$M$3),"Em andamento",AND(L131&gt;=$M$3,J131&gt;=$M$3,I131&lt;=$M$3,K131&lt;=$M$3),"Em andamento",AND(K131&gt;$M$3,I131&gt;$M$3),"Não iniciado",AND(L131&gt;=$M$3,J131&gt;=$M$3,K131&gt;=$M$3,I131&lt;$M$3),"Atrasado",AND(L131&gt;=$M$3,J131&gt;=$M$3,K131&gt;=$M$3,I131&gt;$M$3),"Não iniciado",AND($I131&lt;=$M$3,$K131&gt;$M$3),"Atrasado")</f>
        <v>Concluído</v>
      </c>
      <c r="O131" s="167">
        <f t="array" ref="O131">_xlfn.IFS(N131="Não iniciado",0,N131="Em andamento",1,N131="Concluído",2,N131="Atrasado",3)</f>
        <v>2</v>
      </c>
      <c r="P131" s="169"/>
      <c r="Q131" s="152">
        <f t="array" aca="1" ref="Q131" ca="1">_xlfn.IFS(AND($I131&lt;$N$3,$J131&lt;$N$3),1,AND($I131&lt;=$N$3,$J131&gt;=$N$3),0.5,AND($I131&gt;=$N$3,$J131&gt;=$N$3),0)</f>
        <v>1</v>
      </c>
      <c r="R131" s="152">
        <f t="array" aca="1" ref="R131" ca="1">_xlfn.IFS(AND($K131&lt;$N$3,$L131&lt;$N$3),1,AND($K131&lt;=$N$3,$L131&gt;=$N$3),0.5,AND($K131&gt;=$N$3,$L131&gt;=$N$3),0)</f>
        <v>1</v>
      </c>
      <c r="S131" s="201" t="e">
        <f t="array" ref="S131">_xlfn.IFS(AND($K131&gt;R$7,$L131&gt;R$7),0,AND($K131&lt;=R$7,$L131&lt;=R$7),1,AND($K131&lt;=R$7,$L131&gt;R$7),((R$7-$K131)/($L131-$K131)))</f>
        <v>#REF!</v>
      </c>
      <c r="T131" s="201" t="e">
        <f t="array" ref="T131">_xlfn.IFS(AND($K131&gt;S$7,$L131&gt;S$7),0,AND($K131&lt;=S$7,$L131&lt;=S$7),1,AND($K131&lt;=S$7,$L131&gt;S$7),((S$7-$K131)/($L131-$K131)))</f>
        <v>#REF!</v>
      </c>
      <c r="U131" s="201" t="e">
        <f t="array" ref="U131">_xlfn.IFS(AND($K131&gt;T$7,$L131&gt;T$7),0,AND($K131&lt;=T$7,$L131&lt;=T$7),1,AND($K131&lt;=T$7,$L131&gt;T$7),((T$7-$K131)/($L131-$K131)))</f>
        <v>#REF!</v>
      </c>
      <c r="V131" s="201" t="e">
        <f t="array" ref="V131">_xlfn.IFS(AND($K131&gt;U$7,$L131&gt;U$7),0,AND($K131&lt;=U$7,$L131&lt;=U$7),1,AND($K131&lt;=U$7,$L131&gt;U$7),((U$7-$K131)/($L131-$K131)))</f>
        <v>#REF!</v>
      </c>
      <c r="W131" s="201" t="e">
        <f t="array" ref="W131">_xlfn.IFS(AND($K131&gt;V$7,$L131&gt;V$7),0,AND($K131&lt;=V$7,$L131&lt;=V$7),1,AND($K131&lt;=V$7,$L131&gt;V$7),((V$7-$K131)/($L131-$K131)))</f>
        <v>#REF!</v>
      </c>
      <c r="X131" s="201" t="e">
        <f t="array" ref="X131">_xlfn.IFS(AND($K131&gt;W$7,$L131&gt;W$7),0,AND($K131&lt;=W$7,$L131&lt;=W$7),1,AND($K131&lt;=W$7,$L131&gt;W$7),((W$7-$K131)/($L131-$K131)))</f>
        <v>#REF!</v>
      </c>
      <c r="Y131" s="201" t="e">
        <f t="array" ref="Y131">_xlfn.IFS(AND($K131&gt;X$7,$L131&gt;X$7),0,AND($K131&lt;=X$7,$L131&lt;=X$7),1,AND($K131&lt;=X$7,$L131&gt;X$7),((X$7-$K131)/($L131-$K131)))</f>
        <v>#REF!</v>
      </c>
      <c r="Z131" s="201" t="e">
        <f t="array" ref="Z131">_xlfn.IFS(AND($K131&gt;Y$7,$L131&gt;Y$7),0,AND($K131&lt;=Y$7,$L131&lt;=Y$7),1,AND($K131&lt;=Y$7,$L131&gt;Y$7),((Y$7-$K131)/($L131-$K131)))</f>
        <v>#REF!</v>
      </c>
      <c r="AA131" s="201" t="e">
        <f t="array" ref="AA131">_xlfn.IFS(AND($K131&gt;Z$7,$L131&gt;Z$7),0,AND($K131&lt;=Z$7,$L131&lt;=Z$7),1,AND($K131&lt;=Z$7,$L131&gt;Z$7),((Z$7-$K131)/($L131-$K131)))</f>
        <v>#REF!</v>
      </c>
      <c r="AB131" s="201" t="e">
        <f t="array" ref="AB131">_xlfn.IFS(AND($K131&gt;AA$7,$L131&gt;AA$7),0,AND($K131&lt;=AA$7,$L131&lt;=AA$7),1,AND($K131&lt;=AA$7,$L131&gt;AA$7),((AA$7-$K131)/($L131-$K131)))</f>
        <v>#REF!</v>
      </c>
      <c r="AC131" s="201" t="e">
        <f t="array" ref="AC131">_xlfn.IFS(AND($K131&gt;AB$7,$L131&gt;AB$7),0,AND($K131&lt;=AB$7,$L131&lt;=AB$7),1,AND($K131&lt;=AB$7,$L131&gt;AB$7),((AB$7-$K131)/($L131-$K131)))</f>
        <v>#REF!</v>
      </c>
      <c r="AD131" s="201" t="e">
        <f t="array" ref="AD131">_xlfn.IFS(AND($K131&gt;AC$7,$L131&gt;AC$7),0,AND($K131&lt;=AC$7,$L131&lt;=AC$7),1,AND($K131&lt;=AC$7,$L131&gt;AC$7),((AC$7-$K131)/($L131-$K131)))</f>
        <v>#REF!</v>
      </c>
      <c r="AE131" s="201" t="e">
        <f t="array" ref="AE131">_xlfn.IFS(AND($K131&gt;AD$7,$L131&gt;AD$7),0,AND($K131&lt;=AD$7,$L131&lt;=AD$7),1,AND($K131&lt;=AD$7,$L131&gt;AD$7),((AD$7-$K131)/($L131-$K131)))</f>
        <v>#REF!</v>
      </c>
      <c r="AF131" s="201" t="e">
        <f t="array" ref="AF131">_xlfn.IFS(AND($K131&gt;AE$7,$L131&gt;AE$7),0,AND($K131&lt;=AE$7,$L131&lt;=AE$7),1,AND($K131&lt;=AE$7,$L131&gt;AE$7),((AE$7-$K131)/($L131-$K131)))</f>
        <v>#REF!</v>
      </c>
      <c r="AG131" s="201" t="e">
        <f t="array" ref="AG131">_xlfn.IFS(AND($K131&gt;AF$7,$L131&gt;AF$7),0,AND($K131&lt;=AF$7,$L131&lt;=AF$7),1,AND($K131&lt;=AF$7,$L131&gt;AF$7),((AF$7-$K131)/($L131-$K131)))</f>
        <v>#REF!</v>
      </c>
      <c r="AH131" s="201" t="e">
        <f t="array" ref="AH131">_xlfn.IFS(AND($K131&gt;AG$7,$L131&gt;AG$7),0,AND($K131&lt;=AG$7,$L131&lt;=AG$7),1,AND($K131&lt;=AG$7,$L131&gt;AG$7),((AG$7-$K131)/($L131-$K131)))</f>
        <v>#REF!</v>
      </c>
      <c r="AI131" s="201" t="e">
        <f t="array" ref="AI131">_xlfn.IFS(AND($K131&gt;AH$7,$L131&gt;AH$7),0,AND($K131&lt;=AH$7,$L131&lt;=AH$7),1,AND($K131&lt;=AH$7,$L131&gt;AH$7),((AH$7-$K131)/($L131-$K131)))</f>
        <v>#REF!</v>
      </c>
      <c r="AJ131" s="201" t="e">
        <f t="array" ref="AJ131">_xlfn.IFS(AND($K131&gt;AI$7,$L131&gt;AI$7),0,AND($K131&lt;=AI$7,$L131&lt;=AI$7),1,AND($K131&lt;=AI$7,$L131&gt;AI$7),((AI$7-$K131)/($L131-$K131)))</f>
        <v>#REF!</v>
      </c>
      <c r="AK131" s="201" t="e">
        <f t="array" ref="AK131">_xlfn.IFS(AND($K131&gt;AJ$7,$L131&gt;AJ$7),0,AND($K131&lt;=AJ$7,$L131&lt;=AJ$7),1,AND($K131&lt;=AJ$7,$L131&gt;AJ$7),((AJ$7-$K131)/($L131-$K131)))</f>
        <v>#REF!</v>
      </c>
      <c r="AL131" s="201" t="e">
        <f t="array" ref="AL131">_xlfn.IFS(AND($K131&gt;AK$7,$L131&gt;AK$7),0,AND($K131&lt;=AK$7,$L131&lt;=AK$7),1,AND($K131&lt;=AK$7,$L131&gt;AK$7),((AK$7-$K131)/($L131-$K131)))</f>
        <v>#REF!</v>
      </c>
      <c r="AM131" s="201" t="e">
        <f t="array" ref="AM131">_xlfn.IFS(AND($K131&gt;AL$7,$L131&gt;AL$7),0,AND($K131&lt;=AL$7,$L131&lt;=AL$7),1,AND($K131&lt;=AL$7,$L131&gt;AL$7),((AL$7-$K131)/($L131-$K131)))</f>
        <v>#REF!</v>
      </c>
      <c r="AN131" s="201" t="e">
        <f t="array" ref="AN131">_xlfn.IFS(AND($K131&gt;AM$7,$L131&gt;AM$7),0,AND($K131&lt;=AM$7,$L131&lt;=AM$7),1,AND($K131&lt;=AM$7,$L131&gt;AM$7),((AM$7-$K131)/($L131-$K131)))</f>
        <v>#REF!</v>
      </c>
      <c r="AO131" s="201" t="e">
        <f t="array" ref="AO131">_xlfn.IFS(AND($K131&gt;AN$7,$L131&gt;AN$7),0,AND($K131&lt;=AN$7,$L131&lt;=AN$7),1,AND($K131&lt;=AN$7,$L131&gt;AN$7),((AN$7-$K131)/($L131-$K131)))</f>
        <v>#REF!</v>
      </c>
      <c r="AP131" s="201" t="e">
        <f t="array" ref="AP131">_xlfn.IFS(AND($K131&gt;AO$7,$L131&gt;AO$7),0,AND($K131&lt;=AO$7,$L131&lt;=AO$7),1,AND($K131&lt;=AO$7,$L131&gt;AO$7),((AO$7-$K131)/($L131-$K131)))</f>
        <v>#REF!</v>
      </c>
      <c r="AQ131" s="201" t="e">
        <f t="array" ref="AQ131">_xlfn.IFS(AND($K131&gt;AP$7,$L131&gt;AP$7),0,AND($K131&lt;=AP$7,$L131&lt;=AP$7),1,AND($K131&lt;=AP$7,$L131&gt;AP$7),((AP$7-$K131)/($L131-$K131)))</f>
        <v>#REF!</v>
      </c>
      <c r="AR131" s="201" t="e">
        <f t="array" ref="AR131">_xlfn.IFS(AND($K131&gt;AQ$7,$L131&gt;AQ$7),0,AND($K131&lt;=AQ$7,$L131&lt;=AQ$7),1,AND($K131&lt;=AQ$7,$L131&gt;AQ$7),((AQ$7-$K131)/($L131-$K131)))</f>
        <v>#REF!</v>
      </c>
      <c r="AS131" s="201" t="e">
        <f t="array" ref="AS131">_xlfn.IFS(AND($K131&gt;AR$7,$L131&gt;AR$7),0,AND($K131&lt;=AR$7,$L131&lt;=AR$7),1,AND($K131&lt;=AR$7,$L131&gt;AR$7),((AR$7-$K131)/($L131-$K131)))</f>
        <v>#REF!</v>
      </c>
      <c r="AT131" s="201" t="e">
        <f t="array" ref="AT131">_xlfn.IFS(AND($K131&gt;AS$7,$L131&gt;AS$7),0,AND($K131&lt;=AS$7,$L131&lt;=AS$7),1,AND($K131&lt;=AS$7,$L131&gt;AS$7),((AS$7-$K131)/($L131-$K131)))</f>
        <v>#REF!</v>
      </c>
      <c r="AU131" s="201" t="e">
        <f t="array" ref="AU131">_xlfn.IFS(AND($K131&gt;AT$7,$L131&gt;AT$7),0,AND($K131&lt;=AT$7,$L131&lt;=AT$7),1,AND($K131&lt;=AT$7,$L131&gt;AT$7),((AT$7-$K131)/($L131-$K131)))</f>
        <v>#REF!</v>
      </c>
      <c r="AV131" s="201" t="e">
        <f t="array" ref="AV131">_xlfn.IFS(AND($K131&gt;AU$7,$L131&gt;AU$7),0,AND($K131&lt;=AU$7,$L131&lt;=AU$7),1,AND($K131&lt;=AU$7,$L131&gt;AU$7),((AU$7-$K131)/($L131-$K131)))</f>
        <v>#REF!</v>
      </c>
      <c r="AW131" s="201" t="e">
        <f t="array" ref="AW131">_xlfn.IFS(AND($K131&gt;AV$7,$L131&gt;AV$7),0,AND($K131&lt;=AV$7,$L131&lt;=AV$7),1,AND($K131&lt;=AV$7,$L131&gt;AV$7),((AV$7-$K131)/($L131-$K131)))</f>
        <v>#REF!</v>
      </c>
      <c r="AX131" s="201" t="e">
        <f t="array" ref="AX131">_xlfn.IFS(AND($K131&gt;AW$7,$L131&gt;AW$7),0,AND($K131&lt;=AW$7,$L131&lt;=AW$7),1,AND($K131&lt;=AW$7,$L131&gt;AW$7),((AW$7-$K131)/($L131-$K131)))</f>
        <v>#REF!</v>
      </c>
      <c r="AY131" s="201" t="e">
        <f t="array" ref="AY131">_xlfn.IFS(AND($K131&gt;AX$7,$L131&gt;AX$7),0,AND($K131&lt;=AX$7,$L131&lt;=AX$7),1,AND($K131&lt;=AX$7,$L131&gt;AX$7),((AX$7-$K131)/($L131-$K131)))</f>
        <v>#REF!</v>
      </c>
      <c r="AZ131" s="201" t="e">
        <f t="array" ref="AZ131">_xlfn.IFS(AND($K131&gt;AY$7,$L131&gt;AY$7),0,AND($K131&lt;=AY$7,$L131&lt;=AY$7),1,AND($K131&lt;=AY$7,$L131&gt;AY$7),((AY$7-$K131)/($L131-$K131)))</f>
        <v>#REF!</v>
      </c>
      <c r="BA131" s="201" t="e">
        <f t="array" ref="BA131">_xlfn.IFS(AND($K131&gt;AZ$7,$L131&gt;AZ$7),0,AND($K131&lt;=AZ$7,$L131&lt;=AZ$7),1,AND($K131&lt;=AZ$7,$L131&gt;AZ$7),((AZ$7-$K131)/($L131-$K131)))</f>
        <v>#REF!</v>
      </c>
      <c r="BB131" s="201" t="e">
        <f t="array" ref="BB131">_xlfn.IFS(AND($K131&gt;BA$7,$L131&gt;BA$7),0,AND($K131&lt;=BA$7,$L131&lt;=BA$7),1,AND($K131&lt;=BA$7,$L131&gt;BA$7),((BA$7-$K131)/($L131-$K131)))</f>
        <v>#REF!</v>
      </c>
      <c r="BC131" s="201" t="e">
        <f t="array" ref="BC131">_xlfn.IFS(AND($K131&gt;BB$7,$L131&gt;BB$7),0,AND($K131&lt;=BB$7,$L131&lt;=BB$7),1,AND($K131&lt;=BB$7,$L131&gt;BB$7),((BB$7-$K131)/($L131-$K131)))</f>
        <v>#REF!</v>
      </c>
      <c r="BD131" s="201" t="e">
        <f t="array" ref="BD131">_xlfn.IFS(AND($K131&gt;BC$7,$L131&gt;BC$7),0,AND($K131&lt;=BC$7,$L131&lt;=BC$7),1,AND($K131&lt;=BC$7,$L131&gt;BC$7),((BC$7-$K131)/($L131-$K131)))</f>
        <v>#REF!</v>
      </c>
      <c r="BE131" s="201" t="e">
        <f t="array" ref="BE131">_xlfn.IFS(AND($K131&gt;BD$7,$L131&gt;BD$7),0,AND($K131&lt;=BD$7,$L131&lt;=BD$7),1,AND($K131&lt;=BD$7,$L131&gt;BD$7),((BD$7-$K131)/($L131-$K131)))</f>
        <v>#REF!</v>
      </c>
      <c r="BF131" s="201" t="e">
        <f t="array" ref="BF131">_xlfn.IFS(AND($K131&gt;BE$7,$L131&gt;BE$7),0,AND($K131&lt;=BE$7,$L131&lt;=BE$7),1,AND($K131&lt;=BE$7,$L131&gt;BE$7),((BE$7-$K131)/($L131-$K131)))</f>
        <v>#REF!</v>
      </c>
      <c r="BG131" s="201" t="e">
        <f t="array" ref="BG131">_xlfn.IFS(AND($K131&gt;BF$7,$L131&gt;BF$7),0,AND($K131&lt;=BF$7,$L131&lt;=BF$7),1,AND($K131&lt;=BF$7,$L131&gt;BF$7),((BF$7-$K131)/($L131-$K131)))</f>
        <v>#REF!</v>
      </c>
      <c r="BH131" s="201" t="e">
        <f t="array" ref="BH131">_xlfn.IFS(AND($K131&gt;BG$7,$L131&gt;BG$7),0,AND($K131&lt;=BG$7,$L131&lt;=BG$7),1,AND($K131&lt;=BG$7,$L131&gt;BG$7),((BG$7-$K131)/($L131-$K131)))</f>
        <v>#REF!</v>
      </c>
      <c r="BI131" s="201" t="e">
        <f t="array" ref="BI131">_xlfn.IFS(AND($K131&gt;BH$7,$L131&gt;BH$7),0,AND($K131&lt;=BH$7,$L131&lt;=BH$7),1,AND($K131&lt;=BH$7,$L131&gt;BH$7),((BH$7-$K131)/($L131-$K131)))</f>
        <v>#REF!</v>
      </c>
      <c r="BJ131" s="201" t="e">
        <f t="array" ref="BJ131">_xlfn.IFS(AND($K131&gt;BI$7,$L131&gt;BI$7),0,AND($K131&lt;=BI$7,$L131&lt;=BI$7),1,AND($K131&lt;=BI$7,$L131&gt;BI$7),((BI$7-$K131)/($L131-$K131)))</f>
        <v>#REF!</v>
      </c>
      <c r="BK131" s="201" t="e">
        <f t="array" ref="BK131">_xlfn.IFS(AND($K131&gt;BJ$7,$L131&gt;BJ$7),0,AND($K131&lt;=BJ$7,$L131&lt;=BJ$7),1,AND($K131&lt;=BJ$7,$L131&gt;BJ$7),((BJ$7-$K131)/($L131-$K131)))</f>
        <v>#REF!</v>
      </c>
      <c r="BL131" s="201" t="e">
        <f t="array" ref="BL131">_xlfn.IFS(AND($K131&gt;BK$7,$L131&gt;BK$7),0,AND($K131&lt;=BK$7,$L131&lt;=BK$7),1,AND($K131&lt;=BK$7,$L131&gt;BK$7),((BK$7-$K131)/($L131-$K131)))</f>
        <v>#REF!</v>
      </c>
      <c r="BM131" s="201" t="e">
        <f t="array" ref="BM131">_xlfn.IFS(AND($K131&gt;BL$7,$L131&gt;BL$7),0,AND($K131&lt;=BL$7,$L131&lt;=BL$7),1,AND($K131&lt;=BL$7,$L131&gt;BL$7),((BL$7-$K131)/($L131-$K131)))</f>
        <v>#REF!</v>
      </c>
      <c r="BN131" s="201" t="e">
        <f t="array" ref="BN131">_xlfn.IFS(AND($K131&gt;BM$7,$L131&gt;BM$7),0,AND($K131&lt;=BM$7,$L131&lt;=BM$7),1,AND($K131&lt;=BM$7,$L131&gt;BM$7),((BM$7-$K131)/($L131-$K131)))</f>
        <v>#REF!</v>
      </c>
    </row>
    <row r="132" spans="2:66" x14ac:dyDescent="0.3">
      <c r="B132" s="166" t="s">
        <v>161</v>
      </c>
      <c r="C132" s="166" t="s">
        <v>310</v>
      </c>
      <c r="D132" s="177"/>
      <c r="E132" s="170" t="str">
        <f t="shared" si="51"/>
        <v>Desenvolvimento da Transformação dos Processos</v>
      </c>
      <c r="F132" s="174" t="str">
        <f t="shared" si="48"/>
        <v>Transformação do Processo</v>
      </c>
      <c r="G132" s="166" t="str">
        <f t="shared" si="52"/>
        <v>Transformação do Processo</v>
      </c>
      <c r="H132" s="197" t="s">
        <v>311</v>
      </c>
      <c r="I132" s="166">
        <v>45943</v>
      </c>
      <c r="J132" s="166">
        <v>45954</v>
      </c>
      <c r="K132" s="166">
        <v>45943</v>
      </c>
      <c r="L132" s="166">
        <v>45954</v>
      </c>
      <c r="M132" s="167"/>
      <c r="N132" s="167" t="str">
        <f t="array" ref="N132">_xlfn.IFS(L132&lt;$M$3,"Concluído",AND(K132&gt;=$M$3,I132&lt;$M$3,L132&gt;$M$3),"Em andamento",AND(L132&gt;=$M$3,J132&lt;$M$3),"Atrasado",AND(L132&gt;=$M$3,J132&gt;=$M$3,I132&gt;$M$3,K132&lt;=$M$3),"Em andamento",AND(L132&gt;=$M$3,J132&gt;=$M$3,I132&lt;=$M$3,K132&lt;=$M$3),"Em andamento",AND(K132&gt;$M$3,I132&gt;$M$3),"Não iniciado",AND(L132&gt;=$M$3,J132&gt;=$M$3,K132&gt;=$M$3,I132&lt;$M$3),"Atrasado",AND(L132&gt;=$M$3,J132&gt;=$M$3,K132&gt;=$M$3,I132&gt;$M$3),"Não iniciado",AND($I132&lt;=$M$3,$K132&gt;$M$3),"Atrasado")</f>
        <v>Concluído</v>
      </c>
      <c r="O132" s="167">
        <f t="array" ref="O132">_xlfn.IFS(N132="Não iniciado",0,N132="Em andamento",1,N132="Concluído",2,N132="Atrasado",3)</f>
        <v>2</v>
      </c>
      <c r="P132" s="169"/>
      <c r="Q132" s="152">
        <f t="array" aca="1" ref="Q132" ca="1">_xlfn.IFS(AND($I132&lt;$N$3,$J132&lt;$N$3),1,AND($I132&lt;=$N$3,$J132&gt;=$N$3),0.5,AND($I132&gt;=$N$3,$J132&gt;=$N$3),0)</f>
        <v>1</v>
      </c>
      <c r="R132" s="152">
        <f t="array" aca="1" ref="R132" ca="1">_xlfn.IFS(AND($K132&lt;$N$3,$L132&lt;$N$3),1,AND($K132&lt;=$N$3,$L132&gt;=$N$3),0.5,AND($K132&gt;=$N$3,$L132&gt;=$N$3),0)</f>
        <v>1</v>
      </c>
      <c r="S132" s="201" t="e">
        <f t="array" ref="S132">_xlfn.IFS(AND($K132&gt;R$7,$L132&gt;R$7),0,AND($K132&lt;=R$7,$L132&lt;=R$7),1,AND($K132&lt;=R$7,$L132&gt;R$7),((R$7-$K132)/($L132-$K132)))</f>
        <v>#REF!</v>
      </c>
      <c r="T132" s="201" t="e">
        <f t="array" ref="T132">_xlfn.IFS(AND($K132&gt;S$7,$L132&gt;S$7),0,AND($K132&lt;=S$7,$L132&lt;=S$7),1,AND($K132&lt;=S$7,$L132&gt;S$7),((S$7-$K132)/($L132-$K132)))</f>
        <v>#REF!</v>
      </c>
      <c r="U132" s="201" t="e">
        <f t="array" ref="U132">_xlfn.IFS(AND($K132&gt;T$7,$L132&gt;T$7),0,AND($K132&lt;=T$7,$L132&lt;=T$7),1,AND($K132&lt;=T$7,$L132&gt;T$7),((T$7-$K132)/($L132-$K132)))</f>
        <v>#REF!</v>
      </c>
      <c r="V132" s="201" t="e">
        <f t="array" ref="V132">_xlfn.IFS(AND($K132&gt;U$7,$L132&gt;U$7),0,AND($K132&lt;=U$7,$L132&lt;=U$7),1,AND($K132&lt;=U$7,$L132&gt;U$7),((U$7-$K132)/($L132-$K132)))</f>
        <v>#REF!</v>
      </c>
      <c r="W132" s="201" t="e">
        <f t="array" ref="W132">_xlfn.IFS(AND($K132&gt;V$7,$L132&gt;V$7),0,AND($K132&lt;=V$7,$L132&lt;=V$7),1,AND($K132&lt;=V$7,$L132&gt;V$7),((V$7-$K132)/($L132-$K132)))</f>
        <v>#REF!</v>
      </c>
      <c r="X132" s="201" t="e">
        <f t="array" ref="X132">_xlfn.IFS(AND($K132&gt;W$7,$L132&gt;W$7),0,AND($K132&lt;=W$7,$L132&lt;=W$7),1,AND($K132&lt;=W$7,$L132&gt;W$7),((W$7-$K132)/($L132-$K132)))</f>
        <v>#REF!</v>
      </c>
      <c r="Y132" s="201" t="e">
        <f t="array" ref="Y132">_xlfn.IFS(AND($K132&gt;X$7,$L132&gt;X$7),0,AND($K132&lt;=X$7,$L132&lt;=X$7),1,AND($K132&lt;=X$7,$L132&gt;X$7),((X$7-$K132)/($L132-$K132)))</f>
        <v>#REF!</v>
      </c>
      <c r="Z132" s="201" t="e">
        <f t="array" ref="Z132">_xlfn.IFS(AND($K132&gt;Y$7,$L132&gt;Y$7),0,AND($K132&lt;=Y$7,$L132&lt;=Y$7),1,AND($K132&lt;=Y$7,$L132&gt;Y$7),((Y$7-$K132)/($L132-$K132)))</f>
        <v>#REF!</v>
      </c>
      <c r="AA132" s="201" t="e">
        <f t="array" ref="AA132">_xlfn.IFS(AND($K132&gt;Z$7,$L132&gt;Z$7),0,AND($K132&lt;=Z$7,$L132&lt;=Z$7),1,AND($K132&lt;=Z$7,$L132&gt;Z$7),((Z$7-$K132)/($L132-$K132)))</f>
        <v>#REF!</v>
      </c>
      <c r="AB132" s="201" t="e">
        <f t="array" ref="AB132">_xlfn.IFS(AND($K132&gt;AA$7,$L132&gt;AA$7),0,AND($K132&lt;=AA$7,$L132&lt;=AA$7),1,AND($K132&lt;=AA$7,$L132&gt;AA$7),((AA$7-$K132)/($L132-$K132)))</f>
        <v>#REF!</v>
      </c>
      <c r="AC132" s="201" t="e">
        <f t="array" ref="AC132">_xlfn.IFS(AND($K132&gt;AB$7,$L132&gt;AB$7),0,AND($K132&lt;=AB$7,$L132&lt;=AB$7),1,AND($K132&lt;=AB$7,$L132&gt;AB$7),((AB$7-$K132)/($L132-$K132)))</f>
        <v>#REF!</v>
      </c>
      <c r="AD132" s="201" t="e">
        <f t="array" ref="AD132">_xlfn.IFS(AND($K132&gt;AC$7,$L132&gt;AC$7),0,AND($K132&lt;=AC$7,$L132&lt;=AC$7),1,AND($K132&lt;=AC$7,$L132&gt;AC$7),((AC$7-$K132)/($L132-$K132)))</f>
        <v>#REF!</v>
      </c>
      <c r="AE132" s="201" t="e">
        <f t="array" ref="AE132">_xlfn.IFS(AND($K132&gt;AD$7,$L132&gt;AD$7),0,AND($K132&lt;=AD$7,$L132&lt;=AD$7),1,AND($K132&lt;=AD$7,$L132&gt;AD$7),((AD$7-$K132)/($L132-$K132)))</f>
        <v>#REF!</v>
      </c>
      <c r="AF132" s="201" t="e">
        <f t="array" ref="AF132">_xlfn.IFS(AND($K132&gt;AE$7,$L132&gt;AE$7),0,AND($K132&lt;=AE$7,$L132&lt;=AE$7),1,AND($K132&lt;=AE$7,$L132&gt;AE$7),((AE$7-$K132)/($L132-$K132)))</f>
        <v>#REF!</v>
      </c>
      <c r="AG132" s="201" t="e">
        <f t="array" ref="AG132">_xlfn.IFS(AND($K132&gt;AF$7,$L132&gt;AF$7),0,AND($K132&lt;=AF$7,$L132&lt;=AF$7),1,AND($K132&lt;=AF$7,$L132&gt;AF$7),((AF$7-$K132)/($L132-$K132)))</f>
        <v>#REF!</v>
      </c>
      <c r="AH132" s="201" t="e">
        <f t="array" ref="AH132">_xlfn.IFS(AND($K132&gt;AG$7,$L132&gt;AG$7),0,AND($K132&lt;=AG$7,$L132&lt;=AG$7),1,AND($K132&lt;=AG$7,$L132&gt;AG$7),((AG$7-$K132)/($L132-$K132)))</f>
        <v>#REF!</v>
      </c>
      <c r="AI132" s="201" t="e">
        <f t="array" ref="AI132">_xlfn.IFS(AND($K132&gt;AH$7,$L132&gt;AH$7),0,AND($K132&lt;=AH$7,$L132&lt;=AH$7),1,AND($K132&lt;=AH$7,$L132&gt;AH$7),((AH$7-$K132)/($L132-$K132)))</f>
        <v>#REF!</v>
      </c>
      <c r="AJ132" s="201" t="e">
        <f t="array" ref="AJ132">_xlfn.IFS(AND($K132&gt;AI$7,$L132&gt;AI$7),0,AND($K132&lt;=AI$7,$L132&lt;=AI$7),1,AND($K132&lt;=AI$7,$L132&gt;AI$7),((AI$7-$K132)/($L132-$K132)))</f>
        <v>#REF!</v>
      </c>
      <c r="AK132" s="201" t="e">
        <f t="array" ref="AK132">_xlfn.IFS(AND($K132&gt;AJ$7,$L132&gt;AJ$7),0,AND($K132&lt;=AJ$7,$L132&lt;=AJ$7),1,AND($K132&lt;=AJ$7,$L132&gt;AJ$7),((AJ$7-$K132)/($L132-$K132)))</f>
        <v>#REF!</v>
      </c>
      <c r="AL132" s="201" t="e">
        <f t="array" ref="AL132">_xlfn.IFS(AND($K132&gt;AK$7,$L132&gt;AK$7),0,AND($K132&lt;=AK$7,$L132&lt;=AK$7),1,AND($K132&lt;=AK$7,$L132&gt;AK$7),((AK$7-$K132)/($L132-$K132)))</f>
        <v>#REF!</v>
      </c>
      <c r="AM132" s="201" t="e">
        <f t="array" ref="AM132">_xlfn.IFS(AND($K132&gt;AL$7,$L132&gt;AL$7),0,AND($K132&lt;=AL$7,$L132&lt;=AL$7),1,AND($K132&lt;=AL$7,$L132&gt;AL$7),((AL$7-$K132)/($L132-$K132)))</f>
        <v>#REF!</v>
      </c>
      <c r="AN132" s="201" t="e">
        <f t="array" ref="AN132">_xlfn.IFS(AND($K132&gt;AM$7,$L132&gt;AM$7),0,AND($K132&lt;=AM$7,$L132&lt;=AM$7),1,AND($K132&lt;=AM$7,$L132&gt;AM$7),((AM$7-$K132)/($L132-$K132)))</f>
        <v>#REF!</v>
      </c>
      <c r="AO132" s="201" t="e">
        <f t="array" ref="AO132">_xlfn.IFS(AND($K132&gt;AN$7,$L132&gt;AN$7),0,AND($K132&lt;=AN$7,$L132&lt;=AN$7),1,AND($K132&lt;=AN$7,$L132&gt;AN$7),((AN$7-$K132)/($L132-$K132)))</f>
        <v>#REF!</v>
      </c>
      <c r="AP132" s="201" t="e">
        <f t="array" ref="AP132">_xlfn.IFS(AND($K132&gt;AO$7,$L132&gt;AO$7),0,AND($K132&lt;=AO$7,$L132&lt;=AO$7),1,AND($K132&lt;=AO$7,$L132&gt;AO$7),((AO$7-$K132)/($L132-$K132)))</f>
        <v>#REF!</v>
      </c>
      <c r="AQ132" s="201" t="e">
        <f t="array" ref="AQ132">_xlfn.IFS(AND($K132&gt;AP$7,$L132&gt;AP$7),0,AND($K132&lt;=AP$7,$L132&lt;=AP$7),1,AND($K132&lt;=AP$7,$L132&gt;AP$7),((AP$7-$K132)/($L132-$K132)))</f>
        <v>#REF!</v>
      </c>
      <c r="AR132" s="201" t="e">
        <f t="array" ref="AR132">_xlfn.IFS(AND($K132&gt;AQ$7,$L132&gt;AQ$7),0,AND($K132&lt;=AQ$7,$L132&lt;=AQ$7),1,AND($K132&lt;=AQ$7,$L132&gt;AQ$7),((AQ$7-$K132)/($L132-$K132)))</f>
        <v>#REF!</v>
      </c>
      <c r="AS132" s="201" t="e">
        <f t="array" ref="AS132">_xlfn.IFS(AND($K132&gt;AR$7,$L132&gt;AR$7),0,AND($K132&lt;=AR$7,$L132&lt;=AR$7),1,AND($K132&lt;=AR$7,$L132&gt;AR$7),((AR$7-$K132)/($L132-$K132)))</f>
        <v>#REF!</v>
      </c>
      <c r="AT132" s="201" t="e">
        <f t="array" ref="AT132">_xlfn.IFS(AND($K132&gt;AS$7,$L132&gt;AS$7),0,AND($K132&lt;=AS$7,$L132&lt;=AS$7),1,AND($K132&lt;=AS$7,$L132&gt;AS$7),((AS$7-$K132)/($L132-$K132)))</f>
        <v>#REF!</v>
      </c>
      <c r="AU132" s="201" t="e">
        <f t="array" ref="AU132">_xlfn.IFS(AND($K132&gt;AT$7,$L132&gt;AT$7),0,AND($K132&lt;=AT$7,$L132&lt;=AT$7),1,AND($K132&lt;=AT$7,$L132&gt;AT$7),((AT$7-$K132)/($L132-$K132)))</f>
        <v>#REF!</v>
      </c>
      <c r="AV132" s="201" t="e">
        <f t="array" ref="AV132">_xlfn.IFS(AND($K132&gt;AU$7,$L132&gt;AU$7),0,AND($K132&lt;=AU$7,$L132&lt;=AU$7),1,AND($K132&lt;=AU$7,$L132&gt;AU$7),((AU$7-$K132)/($L132-$K132)))</f>
        <v>#REF!</v>
      </c>
      <c r="AW132" s="201" t="e">
        <f t="array" ref="AW132">_xlfn.IFS(AND($K132&gt;AV$7,$L132&gt;AV$7),0,AND($K132&lt;=AV$7,$L132&lt;=AV$7),1,AND($K132&lt;=AV$7,$L132&gt;AV$7),((AV$7-$K132)/($L132-$K132)))</f>
        <v>#REF!</v>
      </c>
      <c r="AX132" s="201" t="e">
        <f t="array" ref="AX132">_xlfn.IFS(AND($K132&gt;AW$7,$L132&gt;AW$7),0,AND($K132&lt;=AW$7,$L132&lt;=AW$7),1,AND($K132&lt;=AW$7,$L132&gt;AW$7),((AW$7-$K132)/($L132-$K132)))</f>
        <v>#REF!</v>
      </c>
      <c r="AY132" s="201" t="e">
        <f t="array" ref="AY132">_xlfn.IFS(AND($K132&gt;AX$7,$L132&gt;AX$7),0,AND($K132&lt;=AX$7,$L132&lt;=AX$7),1,AND($K132&lt;=AX$7,$L132&gt;AX$7),((AX$7-$K132)/($L132-$K132)))</f>
        <v>#REF!</v>
      </c>
      <c r="AZ132" s="201" t="e">
        <f t="array" ref="AZ132">_xlfn.IFS(AND($K132&gt;AY$7,$L132&gt;AY$7),0,AND($K132&lt;=AY$7,$L132&lt;=AY$7),1,AND($K132&lt;=AY$7,$L132&gt;AY$7),((AY$7-$K132)/($L132-$K132)))</f>
        <v>#REF!</v>
      </c>
      <c r="BA132" s="201" t="e">
        <f t="array" ref="BA132">_xlfn.IFS(AND($K132&gt;AZ$7,$L132&gt;AZ$7),0,AND($K132&lt;=AZ$7,$L132&lt;=AZ$7),1,AND($K132&lt;=AZ$7,$L132&gt;AZ$7),((AZ$7-$K132)/($L132-$K132)))</f>
        <v>#REF!</v>
      </c>
      <c r="BB132" s="201" t="e">
        <f t="array" ref="BB132">_xlfn.IFS(AND($K132&gt;BA$7,$L132&gt;BA$7),0,AND($K132&lt;=BA$7,$L132&lt;=BA$7),1,AND($K132&lt;=BA$7,$L132&gt;BA$7),((BA$7-$K132)/($L132-$K132)))</f>
        <v>#REF!</v>
      </c>
      <c r="BC132" s="201" t="e">
        <f t="array" ref="BC132">_xlfn.IFS(AND($K132&gt;BB$7,$L132&gt;BB$7),0,AND($K132&lt;=BB$7,$L132&lt;=BB$7),1,AND($K132&lt;=BB$7,$L132&gt;BB$7),((BB$7-$K132)/($L132-$K132)))</f>
        <v>#REF!</v>
      </c>
      <c r="BD132" s="201" t="e">
        <f t="array" ref="BD132">_xlfn.IFS(AND($K132&gt;BC$7,$L132&gt;BC$7),0,AND($K132&lt;=BC$7,$L132&lt;=BC$7),1,AND($K132&lt;=BC$7,$L132&gt;BC$7),((BC$7-$K132)/($L132-$K132)))</f>
        <v>#REF!</v>
      </c>
      <c r="BE132" s="201" t="e">
        <f t="array" ref="BE132">_xlfn.IFS(AND($K132&gt;BD$7,$L132&gt;BD$7),0,AND($K132&lt;=BD$7,$L132&lt;=BD$7),1,AND($K132&lt;=BD$7,$L132&gt;BD$7),((BD$7-$K132)/($L132-$K132)))</f>
        <v>#REF!</v>
      </c>
      <c r="BF132" s="201" t="e">
        <f t="array" ref="BF132">_xlfn.IFS(AND($K132&gt;BE$7,$L132&gt;BE$7),0,AND($K132&lt;=BE$7,$L132&lt;=BE$7),1,AND($K132&lt;=BE$7,$L132&gt;BE$7),((BE$7-$K132)/($L132-$K132)))</f>
        <v>#REF!</v>
      </c>
      <c r="BG132" s="201" t="e">
        <f t="array" ref="BG132">_xlfn.IFS(AND($K132&gt;BF$7,$L132&gt;BF$7),0,AND($K132&lt;=BF$7,$L132&lt;=BF$7),1,AND($K132&lt;=BF$7,$L132&gt;BF$7),((BF$7-$K132)/($L132-$K132)))</f>
        <v>#REF!</v>
      </c>
      <c r="BH132" s="201" t="e">
        <f t="array" ref="BH132">_xlfn.IFS(AND($K132&gt;BG$7,$L132&gt;BG$7),0,AND($K132&lt;=BG$7,$L132&lt;=BG$7),1,AND($K132&lt;=BG$7,$L132&gt;BG$7),((BG$7-$K132)/($L132-$K132)))</f>
        <v>#REF!</v>
      </c>
      <c r="BI132" s="201" t="e">
        <f t="array" ref="BI132">_xlfn.IFS(AND($K132&gt;BH$7,$L132&gt;BH$7),0,AND($K132&lt;=BH$7,$L132&lt;=BH$7),1,AND($K132&lt;=BH$7,$L132&gt;BH$7),((BH$7-$K132)/($L132-$K132)))</f>
        <v>#REF!</v>
      </c>
      <c r="BJ132" s="201" t="e">
        <f t="array" ref="BJ132">_xlfn.IFS(AND($K132&gt;BI$7,$L132&gt;BI$7),0,AND($K132&lt;=BI$7,$L132&lt;=BI$7),1,AND($K132&lt;=BI$7,$L132&gt;BI$7),((BI$7-$K132)/($L132-$K132)))</f>
        <v>#REF!</v>
      </c>
      <c r="BK132" s="201" t="e">
        <f t="array" ref="BK132">_xlfn.IFS(AND($K132&gt;BJ$7,$L132&gt;BJ$7),0,AND($K132&lt;=BJ$7,$L132&lt;=BJ$7),1,AND($K132&lt;=BJ$7,$L132&gt;BJ$7),((BJ$7-$K132)/($L132-$K132)))</f>
        <v>#REF!</v>
      </c>
      <c r="BL132" s="201" t="e">
        <f t="array" ref="BL132">_xlfn.IFS(AND($K132&gt;BK$7,$L132&gt;BK$7),0,AND($K132&lt;=BK$7,$L132&lt;=BK$7),1,AND($K132&lt;=BK$7,$L132&gt;BK$7),((BK$7-$K132)/($L132-$K132)))</f>
        <v>#REF!</v>
      </c>
      <c r="BM132" s="201" t="e">
        <f t="array" ref="BM132">_xlfn.IFS(AND($K132&gt;BL$7,$L132&gt;BL$7),0,AND($K132&lt;=BL$7,$L132&lt;=BL$7),1,AND($K132&lt;=BL$7,$L132&gt;BL$7),((BL$7-$K132)/($L132-$K132)))</f>
        <v>#REF!</v>
      </c>
      <c r="BN132" s="201" t="e">
        <f t="array" ref="BN132">_xlfn.IFS(AND($K132&gt;BM$7,$L132&gt;BM$7),0,AND($K132&lt;=BM$7,$L132&lt;=BM$7),1,AND($K132&lt;=BM$7,$L132&gt;BM$7),((BM$7-$K132)/($L132-$K132)))</f>
        <v>#REF!</v>
      </c>
    </row>
    <row r="133" spans="2:66" x14ac:dyDescent="0.3">
      <c r="B133" s="166" t="s">
        <v>161</v>
      </c>
      <c r="C133" s="166" t="s">
        <v>312</v>
      </c>
      <c r="D133" s="177"/>
      <c r="E133" s="170" t="str">
        <f t="shared" si="51"/>
        <v>Desenvolvimento da Transformação dos Processos</v>
      </c>
      <c r="F133" s="174" t="str">
        <f t="shared" si="48"/>
        <v>Transformação do Processo</v>
      </c>
      <c r="G133" s="166" t="str">
        <f t="shared" si="52"/>
        <v>Transformação do Processo</v>
      </c>
      <c r="H133" s="197" t="s">
        <v>313</v>
      </c>
      <c r="I133" s="166">
        <v>45943</v>
      </c>
      <c r="J133" s="166">
        <v>45954</v>
      </c>
      <c r="K133" s="166">
        <v>45943</v>
      </c>
      <c r="L133" s="166">
        <v>45954</v>
      </c>
      <c r="M133" s="167"/>
      <c r="N133" s="167" t="str">
        <f t="array" ref="N133">_xlfn.IFS(L133&lt;$M$3,"Concluído",AND(K133&gt;=$M$3,I133&lt;$M$3,L133&gt;$M$3),"Em andamento",AND(L133&gt;=$M$3,J133&lt;$M$3),"Atrasado",AND(L133&gt;=$M$3,J133&gt;=$M$3,I133&gt;$M$3,K133&lt;=$M$3),"Em andamento",AND(L133&gt;=$M$3,J133&gt;=$M$3,I133&lt;=$M$3,K133&lt;=$M$3),"Em andamento",AND(K133&gt;$M$3,I133&gt;$M$3),"Não iniciado",AND(L133&gt;=$M$3,J133&gt;=$M$3,K133&gt;=$M$3,I133&lt;$M$3),"Atrasado",AND(L133&gt;=$M$3,J133&gt;=$M$3,K133&gt;=$M$3,I133&gt;$M$3),"Não iniciado",AND($I133&lt;=$M$3,$K133&gt;$M$3),"Atrasado")</f>
        <v>Concluído</v>
      </c>
      <c r="O133" s="167">
        <f t="array" ref="O133">_xlfn.IFS(N133="Não iniciado",0,N133="Em andamento",1,N133="Concluído",2,N133="Atrasado",3)</f>
        <v>2</v>
      </c>
      <c r="P133" s="169"/>
      <c r="Q133" s="152">
        <f t="array" aca="1" ref="Q133" ca="1">_xlfn.IFS(AND($I133&lt;$N$3,$J133&lt;$N$3),1,AND($I133&lt;=$N$3,$J133&gt;=$N$3),0.5,AND($I133&gt;=$N$3,$J133&gt;=$N$3),0)</f>
        <v>1</v>
      </c>
      <c r="R133" s="152">
        <f t="array" aca="1" ref="R133" ca="1">_xlfn.IFS(AND($K133&lt;$N$3,$L133&lt;$N$3),1,AND($K133&lt;=$N$3,$L133&gt;=$N$3),0.5,AND($K133&gt;=$N$3,$L133&gt;=$N$3),0)</f>
        <v>1</v>
      </c>
      <c r="S133" s="201" t="e">
        <f t="array" ref="S133">_xlfn.IFS(AND($K133&gt;R$7,$L133&gt;R$7),0,AND($K133&lt;=R$7,$L133&lt;=R$7),1,AND($K133&lt;=R$7,$L133&gt;R$7),((R$7-$K133)/($L133-$K133)))</f>
        <v>#REF!</v>
      </c>
      <c r="T133" s="201" t="e">
        <f t="array" ref="T133">_xlfn.IFS(AND($K133&gt;S$7,$L133&gt;S$7),0,AND($K133&lt;=S$7,$L133&lt;=S$7),1,AND($K133&lt;=S$7,$L133&gt;S$7),((S$7-$K133)/($L133-$K133)))</f>
        <v>#REF!</v>
      </c>
      <c r="U133" s="201" t="e">
        <f t="array" ref="U133">_xlfn.IFS(AND($K133&gt;T$7,$L133&gt;T$7),0,AND($K133&lt;=T$7,$L133&lt;=T$7),1,AND($K133&lt;=T$7,$L133&gt;T$7),((T$7-$K133)/($L133-$K133)))</f>
        <v>#REF!</v>
      </c>
      <c r="V133" s="201" t="e">
        <f t="array" ref="V133">_xlfn.IFS(AND($K133&gt;U$7,$L133&gt;U$7),0,AND($K133&lt;=U$7,$L133&lt;=U$7),1,AND($K133&lt;=U$7,$L133&gt;U$7),((U$7-$K133)/($L133-$K133)))</f>
        <v>#REF!</v>
      </c>
      <c r="W133" s="201" t="e">
        <f t="array" ref="W133">_xlfn.IFS(AND($K133&gt;V$7,$L133&gt;V$7),0,AND($K133&lt;=V$7,$L133&lt;=V$7),1,AND($K133&lt;=V$7,$L133&gt;V$7),((V$7-$K133)/($L133-$K133)))</f>
        <v>#REF!</v>
      </c>
      <c r="X133" s="201" t="e">
        <f t="array" ref="X133">_xlfn.IFS(AND($K133&gt;W$7,$L133&gt;W$7),0,AND($K133&lt;=W$7,$L133&lt;=W$7),1,AND($K133&lt;=W$7,$L133&gt;W$7),((W$7-$K133)/($L133-$K133)))</f>
        <v>#REF!</v>
      </c>
      <c r="Y133" s="201" t="e">
        <f t="array" ref="Y133">_xlfn.IFS(AND($K133&gt;X$7,$L133&gt;X$7),0,AND($K133&lt;=X$7,$L133&lt;=X$7),1,AND($K133&lt;=X$7,$L133&gt;X$7),((X$7-$K133)/($L133-$K133)))</f>
        <v>#REF!</v>
      </c>
      <c r="Z133" s="201" t="e">
        <f t="array" ref="Z133">_xlfn.IFS(AND($K133&gt;Y$7,$L133&gt;Y$7),0,AND($K133&lt;=Y$7,$L133&lt;=Y$7),1,AND($K133&lt;=Y$7,$L133&gt;Y$7),((Y$7-$K133)/($L133-$K133)))</f>
        <v>#REF!</v>
      </c>
      <c r="AA133" s="201" t="e">
        <f t="array" ref="AA133">_xlfn.IFS(AND($K133&gt;Z$7,$L133&gt;Z$7),0,AND($K133&lt;=Z$7,$L133&lt;=Z$7),1,AND($K133&lt;=Z$7,$L133&gt;Z$7),((Z$7-$K133)/($L133-$K133)))</f>
        <v>#REF!</v>
      </c>
      <c r="AB133" s="201" t="e">
        <f t="array" ref="AB133">_xlfn.IFS(AND($K133&gt;AA$7,$L133&gt;AA$7),0,AND($K133&lt;=AA$7,$L133&lt;=AA$7),1,AND($K133&lt;=AA$7,$L133&gt;AA$7),((AA$7-$K133)/($L133-$K133)))</f>
        <v>#REF!</v>
      </c>
      <c r="AC133" s="201" t="e">
        <f t="array" ref="AC133">_xlfn.IFS(AND($K133&gt;AB$7,$L133&gt;AB$7),0,AND($K133&lt;=AB$7,$L133&lt;=AB$7),1,AND($K133&lt;=AB$7,$L133&gt;AB$7),((AB$7-$K133)/($L133-$K133)))</f>
        <v>#REF!</v>
      </c>
      <c r="AD133" s="201" t="e">
        <f t="array" ref="AD133">_xlfn.IFS(AND($K133&gt;AC$7,$L133&gt;AC$7),0,AND($K133&lt;=AC$7,$L133&lt;=AC$7),1,AND($K133&lt;=AC$7,$L133&gt;AC$7),((AC$7-$K133)/($L133-$K133)))</f>
        <v>#REF!</v>
      </c>
      <c r="AE133" s="201" t="e">
        <f t="array" ref="AE133">_xlfn.IFS(AND($K133&gt;AD$7,$L133&gt;AD$7),0,AND($K133&lt;=AD$7,$L133&lt;=AD$7),1,AND($K133&lt;=AD$7,$L133&gt;AD$7),((AD$7-$K133)/($L133-$K133)))</f>
        <v>#REF!</v>
      </c>
      <c r="AF133" s="201" t="e">
        <f t="array" ref="AF133">_xlfn.IFS(AND($K133&gt;AE$7,$L133&gt;AE$7),0,AND($K133&lt;=AE$7,$L133&lt;=AE$7),1,AND($K133&lt;=AE$7,$L133&gt;AE$7),((AE$7-$K133)/($L133-$K133)))</f>
        <v>#REF!</v>
      </c>
      <c r="AG133" s="201" t="e">
        <f t="array" ref="AG133">_xlfn.IFS(AND($K133&gt;AF$7,$L133&gt;AF$7),0,AND($K133&lt;=AF$7,$L133&lt;=AF$7),1,AND($K133&lt;=AF$7,$L133&gt;AF$7),((AF$7-$K133)/($L133-$K133)))</f>
        <v>#REF!</v>
      </c>
      <c r="AH133" s="201" t="e">
        <f t="array" ref="AH133">_xlfn.IFS(AND($K133&gt;AG$7,$L133&gt;AG$7),0,AND($K133&lt;=AG$7,$L133&lt;=AG$7),1,AND($K133&lt;=AG$7,$L133&gt;AG$7),((AG$7-$K133)/($L133-$K133)))</f>
        <v>#REF!</v>
      </c>
      <c r="AI133" s="201" t="e">
        <f t="array" ref="AI133">_xlfn.IFS(AND($K133&gt;AH$7,$L133&gt;AH$7),0,AND($K133&lt;=AH$7,$L133&lt;=AH$7),1,AND($K133&lt;=AH$7,$L133&gt;AH$7),((AH$7-$K133)/($L133-$K133)))</f>
        <v>#REF!</v>
      </c>
      <c r="AJ133" s="201" t="e">
        <f t="array" ref="AJ133">_xlfn.IFS(AND($K133&gt;AI$7,$L133&gt;AI$7),0,AND($K133&lt;=AI$7,$L133&lt;=AI$7),1,AND($K133&lt;=AI$7,$L133&gt;AI$7),((AI$7-$K133)/($L133-$K133)))</f>
        <v>#REF!</v>
      </c>
      <c r="AK133" s="201" t="e">
        <f t="array" ref="AK133">_xlfn.IFS(AND($K133&gt;AJ$7,$L133&gt;AJ$7),0,AND($K133&lt;=AJ$7,$L133&lt;=AJ$7),1,AND($K133&lt;=AJ$7,$L133&gt;AJ$7),((AJ$7-$K133)/($L133-$K133)))</f>
        <v>#REF!</v>
      </c>
      <c r="AL133" s="201" t="e">
        <f t="array" ref="AL133">_xlfn.IFS(AND($K133&gt;AK$7,$L133&gt;AK$7),0,AND($K133&lt;=AK$7,$L133&lt;=AK$7),1,AND($K133&lt;=AK$7,$L133&gt;AK$7),((AK$7-$K133)/($L133-$K133)))</f>
        <v>#REF!</v>
      </c>
      <c r="AM133" s="201" t="e">
        <f t="array" ref="AM133">_xlfn.IFS(AND($K133&gt;AL$7,$L133&gt;AL$7),0,AND($K133&lt;=AL$7,$L133&lt;=AL$7),1,AND($K133&lt;=AL$7,$L133&gt;AL$7),((AL$7-$K133)/($L133-$K133)))</f>
        <v>#REF!</v>
      </c>
      <c r="AN133" s="201" t="e">
        <f t="array" ref="AN133">_xlfn.IFS(AND($K133&gt;AM$7,$L133&gt;AM$7),0,AND($K133&lt;=AM$7,$L133&lt;=AM$7),1,AND($K133&lt;=AM$7,$L133&gt;AM$7),((AM$7-$K133)/($L133-$K133)))</f>
        <v>#REF!</v>
      </c>
      <c r="AO133" s="201" t="e">
        <f t="array" ref="AO133">_xlfn.IFS(AND($K133&gt;AN$7,$L133&gt;AN$7),0,AND($K133&lt;=AN$7,$L133&lt;=AN$7),1,AND($K133&lt;=AN$7,$L133&gt;AN$7),((AN$7-$K133)/($L133-$K133)))</f>
        <v>#REF!</v>
      </c>
      <c r="AP133" s="201" t="e">
        <f t="array" ref="AP133">_xlfn.IFS(AND($K133&gt;AO$7,$L133&gt;AO$7),0,AND($K133&lt;=AO$7,$L133&lt;=AO$7),1,AND($K133&lt;=AO$7,$L133&gt;AO$7),((AO$7-$K133)/($L133-$K133)))</f>
        <v>#REF!</v>
      </c>
      <c r="AQ133" s="201" t="e">
        <f t="array" ref="AQ133">_xlfn.IFS(AND($K133&gt;AP$7,$L133&gt;AP$7),0,AND($K133&lt;=AP$7,$L133&lt;=AP$7),1,AND($K133&lt;=AP$7,$L133&gt;AP$7),((AP$7-$K133)/($L133-$K133)))</f>
        <v>#REF!</v>
      </c>
      <c r="AR133" s="201" t="e">
        <f t="array" ref="AR133">_xlfn.IFS(AND($K133&gt;AQ$7,$L133&gt;AQ$7),0,AND($K133&lt;=AQ$7,$L133&lt;=AQ$7),1,AND($K133&lt;=AQ$7,$L133&gt;AQ$7),((AQ$7-$K133)/($L133-$K133)))</f>
        <v>#REF!</v>
      </c>
      <c r="AS133" s="201" t="e">
        <f t="array" ref="AS133">_xlfn.IFS(AND($K133&gt;AR$7,$L133&gt;AR$7),0,AND($K133&lt;=AR$7,$L133&lt;=AR$7),1,AND($K133&lt;=AR$7,$L133&gt;AR$7),((AR$7-$K133)/($L133-$K133)))</f>
        <v>#REF!</v>
      </c>
      <c r="AT133" s="201" t="e">
        <f t="array" ref="AT133">_xlfn.IFS(AND($K133&gt;AS$7,$L133&gt;AS$7),0,AND($K133&lt;=AS$7,$L133&lt;=AS$7),1,AND($K133&lt;=AS$7,$L133&gt;AS$7),((AS$7-$K133)/($L133-$K133)))</f>
        <v>#REF!</v>
      </c>
      <c r="AU133" s="201" t="e">
        <f t="array" ref="AU133">_xlfn.IFS(AND($K133&gt;AT$7,$L133&gt;AT$7),0,AND($K133&lt;=AT$7,$L133&lt;=AT$7),1,AND($K133&lt;=AT$7,$L133&gt;AT$7),((AT$7-$K133)/($L133-$K133)))</f>
        <v>#REF!</v>
      </c>
      <c r="AV133" s="201" t="e">
        <f t="array" ref="AV133">_xlfn.IFS(AND($K133&gt;AU$7,$L133&gt;AU$7),0,AND($K133&lt;=AU$7,$L133&lt;=AU$7),1,AND($K133&lt;=AU$7,$L133&gt;AU$7),((AU$7-$K133)/($L133-$K133)))</f>
        <v>#REF!</v>
      </c>
      <c r="AW133" s="201" t="e">
        <f t="array" ref="AW133">_xlfn.IFS(AND($K133&gt;AV$7,$L133&gt;AV$7),0,AND($K133&lt;=AV$7,$L133&lt;=AV$7),1,AND($K133&lt;=AV$7,$L133&gt;AV$7),((AV$7-$K133)/($L133-$K133)))</f>
        <v>#REF!</v>
      </c>
      <c r="AX133" s="201" t="e">
        <f t="array" ref="AX133">_xlfn.IFS(AND($K133&gt;AW$7,$L133&gt;AW$7),0,AND($K133&lt;=AW$7,$L133&lt;=AW$7),1,AND($K133&lt;=AW$7,$L133&gt;AW$7),((AW$7-$K133)/($L133-$K133)))</f>
        <v>#REF!</v>
      </c>
      <c r="AY133" s="201" t="e">
        <f t="array" ref="AY133">_xlfn.IFS(AND($K133&gt;AX$7,$L133&gt;AX$7),0,AND($K133&lt;=AX$7,$L133&lt;=AX$7),1,AND($K133&lt;=AX$7,$L133&gt;AX$7),((AX$7-$K133)/($L133-$K133)))</f>
        <v>#REF!</v>
      </c>
      <c r="AZ133" s="201" t="e">
        <f t="array" ref="AZ133">_xlfn.IFS(AND($K133&gt;AY$7,$L133&gt;AY$7),0,AND($K133&lt;=AY$7,$L133&lt;=AY$7),1,AND($K133&lt;=AY$7,$L133&gt;AY$7),((AY$7-$K133)/($L133-$K133)))</f>
        <v>#REF!</v>
      </c>
      <c r="BA133" s="201" t="e">
        <f t="array" ref="BA133">_xlfn.IFS(AND($K133&gt;AZ$7,$L133&gt;AZ$7),0,AND($K133&lt;=AZ$7,$L133&lt;=AZ$7),1,AND($K133&lt;=AZ$7,$L133&gt;AZ$7),((AZ$7-$K133)/($L133-$K133)))</f>
        <v>#REF!</v>
      </c>
      <c r="BB133" s="201" t="e">
        <f t="array" ref="BB133">_xlfn.IFS(AND($K133&gt;BA$7,$L133&gt;BA$7),0,AND($K133&lt;=BA$7,$L133&lt;=BA$7),1,AND($K133&lt;=BA$7,$L133&gt;BA$7),((BA$7-$K133)/($L133-$K133)))</f>
        <v>#REF!</v>
      </c>
      <c r="BC133" s="201" t="e">
        <f t="array" ref="BC133">_xlfn.IFS(AND($K133&gt;BB$7,$L133&gt;BB$7),0,AND($K133&lt;=BB$7,$L133&lt;=BB$7),1,AND($K133&lt;=BB$7,$L133&gt;BB$7),((BB$7-$K133)/($L133-$K133)))</f>
        <v>#REF!</v>
      </c>
      <c r="BD133" s="201" t="e">
        <f t="array" ref="BD133">_xlfn.IFS(AND($K133&gt;BC$7,$L133&gt;BC$7),0,AND($K133&lt;=BC$7,$L133&lt;=BC$7),1,AND($K133&lt;=BC$7,$L133&gt;BC$7),((BC$7-$K133)/($L133-$K133)))</f>
        <v>#REF!</v>
      </c>
      <c r="BE133" s="201" t="e">
        <f t="array" ref="BE133">_xlfn.IFS(AND($K133&gt;BD$7,$L133&gt;BD$7),0,AND($K133&lt;=BD$7,$L133&lt;=BD$7),1,AND($K133&lt;=BD$7,$L133&gt;BD$7),((BD$7-$K133)/($L133-$K133)))</f>
        <v>#REF!</v>
      </c>
      <c r="BF133" s="201" t="e">
        <f t="array" ref="BF133">_xlfn.IFS(AND($K133&gt;BE$7,$L133&gt;BE$7),0,AND($K133&lt;=BE$7,$L133&lt;=BE$7),1,AND($K133&lt;=BE$7,$L133&gt;BE$7),((BE$7-$K133)/($L133-$K133)))</f>
        <v>#REF!</v>
      </c>
      <c r="BG133" s="201" t="e">
        <f t="array" ref="BG133">_xlfn.IFS(AND($K133&gt;BF$7,$L133&gt;BF$7),0,AND($K133&lt;=BF$7,$L133&lt;=BF$7),1,AND($K133&lt;=BF$7,$L133&gt;BF$7),((BF$7-$K133)/($L133-$K133)))</f>
        <v>#REF!</v>
      </c>
      <c r="BH133" s="201" t="e">
        <f t="array" ref="BH133">_xlfn.IFS(AND($K133&gt;BG$7,$L133&gt;BG$7),0,AND($K133&lt;=BG$7,$L133&lt;=BG$7),1,AND($K133&lt;=BG$7,$L133&gt;BG$7),((BG$7-$K133)/($L133-$K133)))</f>
        <v>#REF!</v>
      </c>
      <c r="BI133" s="201" t="e">
        <f t="array" ref="BI133">_xlfn.IFS(AND($K133&gt;BH$7,$L133&gt;BH$7),0,AND($K133&lt;=BH$7,$L133&lt;=BH$7),1,AND($K133&lt;=BH$7,$L133&gt;BH$7),((BH$7-$K133)/($L133-$K133)))</f>
        <v>#REF!</v>
      </c>
      <c r="BJ133" s="201" t="e">
        <f t="array" ref="BJ133">_xlfn.IFS(AND($K133&gt;BI$7,$L133&gt;BI$7),0,AND($K133&lt;=BI$7,$L133&lt;=BI$7),1,AND($K133&lt;=BI$7,$L133&gt;BI$7),((BI$7-$K133)/($L133-$K133)))</f>
        <v>#REF!</v>
      </c>
      <c r="BK133" s="201" t="e">
        <f t="array" ref="BK133">_xlfn.IFS(AND($K133&gt;BJ$7,$L133&gt;BJ$7),0,AND($K133&lt;=BJ$7,$L133&lt;=BJ$7),1,AND($K133&lt;=BJ$7,$L133&gt;BJ$7),((BJ$7-$K133)/($L133-$K133)))</f>
        <v>#REF!</v>
      </c>
      <c r="BL133" s="201" t="e">
        <f t="array" ref="BL133">_xlfn.IFS(AND($K133&gt;BK$7,$L133&gt;BK$7),0,AND($K133&lt;=BK$7,$L133&lt;=BK$7),1,AND($K133&lt;=BK$7,$L133&gt;BK$7),((BK$7-$K133)/($L133-$K133)))</f>
        <v>#REF!</v>
      </c>
      <c r="BM133" s="201" t="e">
        <f t="array" ref="BM133">_xlfn.IFS(AND($K133&gt;BL$7,$L133&gt;BL$7),0,AND($K133&lt;=BL$7,$L133&lt;=BL$7),1,AND($K133&lt;=BL$7,$L133&gt;BL$7),((BL$7-$K133)/($L133-$K133)))</f>
        <v>#REF!</v>
      </c>
      <c r="BN133" s="201" t="e">
        <f t="array" ref="BN133">_xlfn.IFS(AND($K133&gt;BM$7,$L133&gt;BM$7),0,AND($K133&lt;=BM$7,$L133&lt;=BM$7),1,AND($K133&lt;=BM$7,$L133&gt;BM$7),((BM$7-$K133)/($L133-$K133)))</f>
        <v>#REF!</v>
      </c>
    </row>
    <row r="134" spans="2:66" x14ac:dyDescent="0.3">
      <c r="B134" s="166" t="s">
        <v>161</v>
      </c>
      <c r="C134" s="166" t="s">
        <v>314</v>
      </c>
      <c r="D134" s="177"/>
      <c r="E134" s="170" t="str">
        <f t="shared" si="51"/>
        <v>Desenvolvimento da Transformação dos Processos</v>
      </c>
      <c r="F134" s="174" t="str">
        <f t="shared" si="48"/>
        <v>Transformação do Processo</v>
      </c>
      <c r="G134" s="166" t="str">
        <f t="shared" si="52"/>
        <v>Transformação do Processo</v>
      </c>
      <c r="H134" s="197" t="s">
        <v>315</v>
      </c>
      <c r="I134" s="166">
        <v>45971</v>
      </c>
      <c r="J134" s="166">
        <v>45982</v>
      </c>
      <c r="K134" s="166">
        <v>45971</v>
      </c>
      <c r="L134" s="166">
        <v>45982</v>
      </c>
      <c r="M134" s="167"/>
      <c r="N134" s="167" t="str">
        <f t="array" ref="N134">_xlfn.IFS(L134&lt;$M$3,"Concluído",AND(K134&gt;=$M$3,I134&lt;$M$3,L134&gt;$M$3),"Em andamento",AND(L134&gt;=$M$3,J134&lt;$M$3),"Atrasado",AND(L134&gt;=$M$3,J134&gt;=$M$3,I134&gt;$M$3,K134&lt;=$M$3),"Em andamento",AND(L134&gt;=$M$3,J134&gt;=$M$3,I134&lt;=$M$3,K134&lt;=$M$3),"Em andamento",AND(K134&gt;$M$3,I134&gt;$M$3),"Não iniciado",AND(L134&gt;=$M$3,J134&gt;=$M$3,K134&gt;=$M$3,I134&lt;$M$3),"Atrasado",AND(L134&gt;=$M$3,J134&gt;=$M$3,K134&gt;=$M$3,I134&gt;$M$3),"Não iniciado",AND($I134&lt;=$M$3,$K134&gt;$M$3),"Atrasado")</f>
        <v>Concluído</v>
      </c>
      <c r="O134" s="167">
        <f t="array" ref="O134">_xlfn.IFS(N134="Não iniciado",0,N134="Em andamento",1,N134="Concluído",2,N134="Atrasado",3)</f>
        <v>2</v>
      </c>
      <c r="P134" s="169"/>
      <c r="Q134" s="152">
        <f t="array" aca="1" ref="Q134" ca="1">_xlfn.IFS(AND($I134&lt;$N$3,$J134&lt;$N$3),1,AND($I134&lt;=$N$3,$J134&gt;=$N$3),0.5,AND($I134&gt;=$N$3,$J134&gt;=$N$3),0)</f>
        <v>1</v>
      </c>
      <c r="R134" s="152">
        <f t="array" aca="1" ref="R134" ca="1">_xlfn.IFS(AND($K134&lt;$N$3,$L134&lt;$N$3),1,AND($K134&lt;=$N$3,$L134&gt;=$N$3),0.5,AND($K134&gt;=$N$3,$L134&gt;=$N$3),0)</f>
        <v>1</v>
      </c>
      <c r="S134" s="201" t="e">
        <f t="array" ref="S134">_xlfn.IFS(AND($K134&gt;R$7,$L134&gt;R$7),0,AND($K134&lt;=R$7,$L134&lt;=R$7),1,AND($K134&lt;=R$7,$L134&gt;R$7),((R$7-$K134)/($L134-$K134)))</f>
        <v>#REF!</v>
      </c>
      <c r="T134" s="201" t="e">
        <f t="array" ref="T134">_xlfn.IFS(AND($K134&gt;S$7,$L134&gt;S$7),0,AND($K134&lt;=S$7,$L134&lt;=S$7),1,AND($K134&lt;=S$7,$L134&gt;S$7),((S$7-$K134)/($L134-$K134)))</f>
        <v>#REF!</v>
      </c>
      <c r="U134" s="201" t="e">
        <f t="array" ref="U134">_xlfn.IFS(AND($K134&gt;T$7,$L134&gt;T$7),0,AND($K134&lt;=T$7,$L134&lt;=T$7),1,AND($K134&lt;=T$7,$L134&gt;T$7),((T$7-$K134)/($L134-$K134)))</f>
        <v>#REF!</v>
      </c>
      <c r="V134" s="201" t="e">
        <f t="array" ref="V134">_xlfn.IFS(AND($K134&gt;U$7,$L134&gt;U$7),0,AND($K134&lt;=U$7,$L134&lt;=U$7),1,AND($K134&lt;=U$7,$L134&gt;U$7),((U$7-$K134)/($L134-$K134)))</f>
        <v>#REF!</v>
      </c>
      <c r="W134" s="201" t="e">
        <f t="array" ref="W134">_xlfn.IFS(AND($K134&gt;V$7,$L134&gt;V$7),0,AND($K134&lt;=V$7,$L134&lt;=V$7),1,AND($K134&lt;=V$7,$L134&gt;V$7),((V$7-$K134)/($L134-$K134)))</f>
        <v>#REF!</v>
      </c>
      <c r="X134" s="201" t="e">
        <f t="array" ref="X134">_xlfn.IFS(AND($K134&gt;W$7,$L134&gt;W$7),0,AND($K134&lt;=W$7,$L134&lt;=W$7),1,AND($K134&lt;=W$7,$L134&gt;W$7),((W$7-$K134)/($L134-$K134)))</f>
        <v>#REF!</v>
      </c>
      <c r="Y134" s="201" t="e">
        <f t="array" ref="Y134">_xlfn.IFS(AND($K134&gt;X$7,$L134&gt;X$7),0,AND($K134&lt;=X$7,$L134&lt;=X$7),1,AND($K134&lt;=X$7,$L134&gt;X$7),((X$7-$K134)/($L134-$K134)))</f>
        <v>#REF!</v>
      </c>
      <c r="Z134" s="201" t="e">
        <f t="array" ref="Z134">_xlfn.IFS(AND($K134&gt;Y$7,$L134&gt;Y$7),0,AND($K134&lt;=Y$7,$L134&lt;=Y$7),1,AND($K134&lt;=Y$7,$L134&gt;Y$7),((Y$7-$K134)/($L134-$K134)))</f>
        <v>#REF!</v>
      </c>
      <c r="AA134" s="201" t="e">
        <f t="array" ref="AA134">_xlfn.IFS(AND($K134&gt;Z$7,$L134&gt;Z$7),0,AND($K134&lt;=Z$7,$L134&lt;=Z$7),1,AND($K134&lt;=Z$7,$L134&gt;Z$7),((Z$7-$K134)/($L134-$K134)))</f>
        <v>#REF!</v>
      </c>
      <c r="AB134" s="201" t="e">
        <f t="array" ref="AB134">_xlfn.IFS(AND($K134&gt;AA$7,$L134&gt;AA$7),0,AND($K134&lt;=AA$7,$L134&lt;=AA$7),1,AND($K134&lt;=AA$7,$L134&gt;AA$7),((AA$7-$K134)/($L134-$K134)))</f>
        <v>#REF!</v>
      </c>
      <c r="AC134" s="201" t="e">
        <f t="array" ref="AC134">_xlfn.IFS(AND($K134&gt;AB$7,$L134&gt;AB$7),0,AND($K134&lt;=AB$7,$L134&lt;=AB$7),1,AND($K134&lt;=AB$7,$L134&gt;AB$7),((AB$7-$K134)/($L134-$K134)))</f>
        <v>#REF!</v>
      </c>
      <c r="AD134" s="201" t="e">
        <f t="array" ref="AD134">_xlfn.IFS(AND($K134&gt;AC$7,$L134&gt;AC$7),0,AND($K134&lt;=AC$7,$L134&lt;=AC$7),1,AND($K134&lt;=AC$7,$L134&gt;AC$7),((AC$7-$K134)/($L134-$K134)))</f>
        <v>#REF!</v>
      </c>
      <c r="AE134" s="201" t="e">
        <f t="array" ref="AE134">_xlfn.IFS(AND($K134&gt;AD$7,$L134&gt;AD$7),0,AND($K134&lt;=AD$7,$L134&lt;=AD$7),1,AND($K134&lt;=AD$7,$L134&gt;AD$7),((AD$7-$K134)/($L134-$K134)))</f>
        <v>#REF!</v>
      </c>
      <c r="AF134" s="201" t="e">
        <f t="array" ref="AF134">_xlfn.IFS(AND($K134&gt;AE$7,$L134&gt;AE$7),0,AND($K134&lt;=AE$7,$L134&lt;=AE$7),1,AND($K134&lt;=AE$7,$L134&gt;AE$7),((AE$7-$K134)/($L134-$K134)))</f>
        <v>#REF!</v>
      </c>
      <c r="AG134" s="201" t="e">
        <f t="array" ref="AG134">_xlfn.IFS(AND($K134&gt;AF$7,$L134&gt;AF$7),0,AND($K134&lt;=AF$7,$L134&lt;=AF$7),1,AND($K134&lt;=AF$7,$L134&gt;AF$7),((AF$7-$K134)/($L134-$K134)))</f>
        <v>#REF!</v>
      </c>
      <c r="AH134" s="201" t="e">
        <f t="array" ref="AH134">_xlfn.IFS(AND($K134&gt;AG$7,$L134&gt;AG$7),0,AND($K134&lt;=AG$7,$L134&lt;=AG$7),1,AND($K134&lt;=AG$7,$L134&gt;AG$7),((AG$7-$K134)/($L134-$K134)))</f>
        <v>#REF!</v>
      </c>
      <c r="AI134" s="201" t="e">
        <f t="array" ref="AI134">_xlfn.IFS(AND($K134&gt;AH$7,$L134&gt;AH$7),0,AND($K134&lt;=AH$7,$L134&lt;=AH$7),1,AND($K134&lt;=AH$7,$L134&gt;AH$7),((AH$7-$K134)/($L134-$K134)))</f>
        <v>#REF!</v>
      </c>
      <c r="AJ134" s="201" t="e">
        <f t="array" ref="AJ134">_xlfn.IFS(AND($K134&gt;AI$7,$L134&gt;AI$7),0,AND($K134&lt;=AI$7,$L134&lt;=AI$7),1,AND($K134&lt;=AI$7,$L134&gt;AI$7),((AI$7-$K134)/($L134-$K134)))</f>
        <v>#REF!</v>
      </c>
      <c r="AK134" s="201" t="e">
        <f t="array" ref="AK134">_xlfn.IFS(AND($K134&gt;AJ$7,$L134&gt;AJ$7),0,AND($K134&lt;=AJ$7,$L134&lt;=AJ$7),1,AND($K134&lt;=AJ$7,$L134&gt;AJ$7),((AJ$7-$K134)/($L134-$K134)))</f>
        <v>#REF!</v>
      </c>
      <c r="AL134" s="201" t="e">
        <f t="array" ref="AL134">_xlfn.IFS(AND($K134&gt;AK$7,$L134&gt;AK$7),0,AND($K134&lt;=AK$7,$L134&lt;=AK$7),1,AND($K134&lt;=AK$7,$L134&gt;AK$7),((AK$7-$K134)/($L134-$K134)))</f>
        <v>#REF!</v>
      </c>
      <c r="AM134" s="201" t="e">
        <f t="array" ref="AM134">_xlfn.IFS(AND($K134&gt;AL$7,$L134&gt;AL$7),0,AND($K134&lt;=AL$7,$L134&lt;=AL$7),1,AND($K134&lt;=AL$7,$L134&gt;AL$7),((AL$7-$K134)/($L134-$K134)))</f>
        <v>#REF!</v>
      </c>
      <c r="AN134" s="201" t="e">
        <f t="array" ref="AN134">_xlfn.IFS(AND($K134&gt;AM$7,$L134&gt;AM$7),0,AND($K134&lt;=AM$7,$L134&lt;=AM$7),1,AND($K134&lt;=AM$7,$L134&gt;AM$7),((AM$7-$K134)/($L134-$K134)))</f>
        <v>#REF!</v>
      </c>
      <c r="AO134" s="201" t="e">
        <f t="array" ref="AO134">_xlfn.IFS(AND($K134&gt;AN$7,$L134&gt;AN$7),0,AND($K134&lt;=AN$7,$L134&lt;=AN$7),1,AND($K134&lt;=AN$7,$L134&gt;AN$7),((AN$7-$K134)/($L134-$K134)))</f>
        <v>#REF!</v>
      </c>
      <c r="AP134" s="201" t="e">
        <f t="array" ref="AP134">_xlfn.IFS(AND($K134&gt;AO$7,$L134&gt;AO$7),0,AND($K134&lt;=AO$7,$L134&lt;=AO$7),1,AND($K134&lt;=AO$7,$L134&gt;AO$7),((AO$7-$K134)/($L134-$K134)))</f>
        <v>#REF!</v>
      </c>
      <c r="AQ134" s="201" t="e">
        <f t="array" ref="AQ134">_xlfn.IFS(AND($K134&gt;AP$7,$L134&gt;AP$7),0,AND($K134&lt;=AP$7,$L134&lt;=AP$7),1,AND($K134&lt;=AP$7,$L134&gt;AP$7),((AP$7-$K134)/($L134-$K134)))</f>
        <v>#REF!</v>
      </c>
      <c r="AR134" s="201" t="e">
        <f t="array" ref="AR134">_xlfn.IFS(AND($K134&gt;AQ$7,$L134&gt;AQ$7),0,AND($K134&lt;=AQ$7,$L134&lt;=AQ$7),1,AND($K134&lt;=AQ$7,$L134&gt;AQ$7),((AQ$7-$K134)/($L134-$K134)))</f>
        <v>#REF!</v>
      </c>
      <c r="AS134" s="201" t="e">
        <f t="array" ref="AS134">_xlfn.IFS(AND($K134&gt;AR$7,$L134&gt;AR$7),0,AND($K134&lt;=AR$7,$L134&lt;=AR$7),1,AND($K134&lt;=AR$7,$L134&gt;AR$7),((AR$7-$K134)/($L134-$K134)))</f>
        <v>#REF!</v>
      </c>
      <c r="AT134" s="201" t="e">
        <f t="array" ref="AT134">_xlfn.IFS(AND($K134&gt;AS$7,$L134&gt;AS$7),0,AND($K134&lt;=AS$7,$L134&lt;=AS$7),1,AND($K134&lt;=AS$7,$L134&gt;AS$7),((AS$7-$K134)/($L134-$K134)))</f>
        <v>#REF!</v>
      </c>
      <c r="AU134" s="201" t="e">
        <f t="array" ref="AU134">_xlfn.IFS(AND($K134&gt;AT$7,$L134&gt;AT$7),0,AND($K134&lt;=AT$7,$L134&lt;=AT$7),1,AND($K134&lt;=AT$7,$L134&gt;AT$7),((AT$7-$K134)/($L134-$K134)))</f>
        <v>#REF!</v>
      </c>
      <c r="AV134" s="201" t="e">
        <f t="array" ref="AV134">_xlfn.IFS(AND($K134&gt;AU$7,$L134&gt;AU$7),0,AND($K134&lt;=AU$7,$L134&lt;=AU$7),1,AND($K134&lt;=AU$7,$L134&gt;AU$7),((AU$7-$K134)/($L134-$K134)))</f>
        <v>#REF!</v>
      </c>
      <c r="AW134" s="201" t="e">
        <f t="array" ref="AW134">_xlfn.IFS(AND($K134&gt;AV$7,$L134&gt;AV$7),0,AND($K134&lt;=AV$7,$L134&lt;=AV$7),1,AND($K134&lt;=AV$7,$L134&gt;AV$7),((AV$7-$K134)/($L134-$K134)))</f>
        <v>#REF!</v>
      </c>
      <c r="AX134" s="201" t="e">
        <f t="array" ref="AX134">_xlfn.IFS(AND($K134&gt;AW$7,$L134&gt;AW$7),0,AND($K134&lt;=AW$7,$L134&lt;=AW$7),1,AND($K134&lt;=AW$7,$L134&gt;AW$7),((AW$7-$K134)/($L134-$K134)))</f>
        <v>#REF!</v>
      </c>
      <c r="AY134" s="201" t="e">
        <f t="array" ref="AY134">_xlfn.IFS(AND($K134&gt;AX$7,$L134&gt;AX$7),0,AND($K134&lt;=AX$7,$L134&lt;=AX$7),1,AND($K134&lt;=AX$7,$L134&gt;AX$7),((AX$7-$K134)/($L134-$K134)))</f>
        <v>#REF!</v>
      </c>
      <c r="AZ134" s="201" t="e">
        <f t="array" ref="AZ134">_xlfn.IFS(AND($K134&gt;AY$7,$L134&gt;AY$7),0,AND($K134&lt;=AY$7,$L134&lt;=AY$7),1,AND($K134&lt;=AY$7,$L134&gt;AY$7),((AY$7-$K134)/($L134-$K134)))</f>
        <v>#REF!</v>
      </c>
      <c r="BA134" s="201" t="e">
        <f t="array" ref="BA134">_xlfn.IFS(AND($K134&gt;AZ$7,$L134&gt;AZ$7),0,AND($K134&lt;=AZ$7,$L134&lt;=AZ$7),1,AND($K134&lt;=AZ$7,$L134&gt;AZ$7),((AZ$7-$K134)/($L134-$K134)))</f>
        <v>#REF!</v>
      </c>
      <c r="BB134" s="201" t="e">
        <f t="array" ref="BB134">_xlfn.IFS(AND($K134&gt;BA$7,$L134&gt;BA$7),0,AND($K134&lt;=BA$7,$L134&lt;=BA$7),1,AND($K134&lt;=BA$7,$L134&gt;BA$7),((BA$7-$K134)/($L134-$K134)))</f>
        <v>#REF!</v>
      </c>
      <c r="BC134" s="201" t="e">
        <f t="array" ref="BC134">_xlfn.IFS(AND($K134&gt;BB$7,$L134&gt;BB$7),0,AND($K134&lt;=BB$7,$L134&lt;=BB$7),1,AND($K134&lt;=BB$7,$L134&gt;BB$7),((BB$7-$K134)/($L134-$K134)))</f>
        <v>#REF!</v>
      </c>
      <c r="BD134" s="201" t="e">
        <f t="array" ref="BD134">_xlfn.IFS(AND($K134&gt;BC$7,$L134&gt;BC$7),0,AND($K134&lt;=BC$7,$L134&lt;=BC$7),1,AND($K134&lt;=BC$7,$L134&gt;BC$7),((BC$7-$K134)/($L134-$K134)))</f>
        <v>#REF!</v>
      </c>
      <c r="BE134" s="201" t="e">
        <f t="array" ref="BE134">_xlfn.IFS(AND($K134&gt;BD$7,$L134&gt;BD$7),0,AND($K134&lt;=BD$7,$L134&lt;=BD$7),1,AND($K134&lt;=BD$7,$L134&gt;BD$7),((BD$7-$K134)/($L134-$K134)))</f>
        <v>#REF!</v>
      </c>
      <c r="BF134" s="201" t="e">
        <f t="array" ref="BF134">_xlfn.IFS(AND($K134&gt;BE$7,$L134&gt;BE$7),0,AND($K134&lt;=BE$7,$L134&lt;=BE$7),1,AND($K134&lt;=BE$7,$L134&gt;BE$7),((BE$7-$K134)/($L134-$K134)))</f>
        <v>#REF!</v>
      </c>
      <c r="BG134" s="201" t="e">
        <f t="array" ref="BG134">_xlfn.IFS(AND($K134&gt;BF$7,$L134&gt;BF$7),0,AND($K134&lt;=BF$7,$L134&lt;=BF$7),1,AND($K134&lt;=BF$7,$L134&gt;BF$7),((BF$7-$K134)/($L134-$K134)))</f>
        <v>#REF!</v>
      </c>
      <c r="BH134" s="201" t="e">
        <f t="array" ref="BH134">_xlfn.IFS(AND($K134&gt;BG$7,$L134&gt;BG$7),0,AND($K134&lt;=BG$7,$L134&lt;=BG$7),1,AND($K134&lt;=BG$7,$L134&gt;BG$7),((BG$7-$K134)/($L134-$K134)))</f>
        <v>#REF!</v>
      </c>
      <c r="BI134" s="201" t="e">
        <f t="array" ref="BI134">_xlfn.IFS(AND($K134&gt;BH$7,$L134&gt;BH$7),0,AND($K134&lt;=BH$7,$L134&lt;=BH$7),1,AND($K134&lt;=BH$7,$L134&gt;BH$7),((BH$7-$K134)/($L134-$K134)))</f>
        <v>#REF!</v>
      </c>
      <c r="BJ134" s="201" t="e">
        <f t="array" ref="BJ134">_xlfn.IFS(AND($K134&gt;BI$7,$L134&gt;BI$7),0,AND($K134&lt;=BI$7,$L134&lt;=BI$7),1,AND($K134&lt;=BI$7,$L134&gt;BI$7),((BI$7-$K134)/($L134-$K134)))</f>
        <v>#REF!</v>
      </c>
      <c r="BK134" s="201" t="e">
        <f t="array" ref="BK134">_xlfn.IFS(AND($K134&gt;BJ$7,$L134&gt;BJ$7),0,AND($K134&lt;=BJ$7,$L134&lt;=BJ$7),1,AND($K134&lt;=BJ$7,$L134&gt;BJ$7),((BJ$7-$K134)/($L134-$K134)))</f>
        <v>#REF!</v>
      </c>
      <c r="BL134" s="201" t="e">
        <f t="array" ref="BL134">_xlfn.IFS(AND($K134&gt;BK$7,$L134&gt;BK$7),0,AND($K134&lt;=BK$7,$L134&lt;=BK$7),1,AND($K134&lt;=BK$7,$L134&gt;BK$7),((BK$7-$K134)/($L134-$K134)))</f>
        <v>#REF!</v>
      </c>
      <c r="BM134" s="201" t="e">
        <f t="array" ref="BM134">_xlfn.IFS(AND($K134&gt;BL$7,$L134&gt;BL$7),0,AND($K134&lt;=BL$7,$L134&lt;=BL$7),1,AND($K134&lt;=BL$7,$L134&gt;BL$7),((BL$7-$K134)/($L134-$K134)))</f>
        <v>#REF!</v>
      </c>
      <c r="BN134" s="201" t="e">
        <f t="array" ref="BN134">_xlfn.IFS(AND($K134&gt;BM$7,$L134&gt;BM$7),0,AND($K134&lt;=BM$7,$L134&lt;=BM$7),1,AND($K134&lt;=BM$7,$L134&gt;BM$7),((BM$7-$K134)/($L134-$K134)))</f>
        <v>#REF!</v>
      </c>
    </row>
    <row r="135" spans="2:66" ht="27.6" customHeight="1" x14ac:dyDescent="0.3">
      <c r="B135" s="166" t="s">
        <v>161</v>
      </c>
      <c r="C135" s="166" t="s">
        <v>316</v>
      </c>
      <c r="D135" s="177"/>
      <c r="E135" s="170" t="str">
        <f t="shared" si="51"/>
        <v>Desenvolvimento da Transformação dos Processos</v>
      </c>
      <c r="F135" s="174" t="str">
        <f t="shared" si="48"/>
        <v>Transformação do Processo</v>
      </c>
      <c r="G135" s="166" t="str">
        <f t="shared" si="52"/>
        <v>Transformação do Processo</v>
      </c>
      <c r="H135" s="197" t="s">
        <v>317</v>
      </c>
      <c r="I135" s="166">
        <v>45971</v>
      </c>
      <c r="J135" s="166">
        <v>45982</v>
      </c>
      <c r="K135" s="166">
        <v>45971</v>
      </c>
      <c r="L135" s="166">
        <v>45982</v>
      </c>
      <c r="M135" s="167"/>
      <c r="N135" s="167" t="str">
        <f t="array" ref="N135">_xlfn.IFS(L135&lt;$M$3,"Concluído",AND(K135&gt;=$M$3,I135&lt;$M$3,L135&gt;$M$3),"Em andamento",AND(L135&gt;=$M$3,J135&lt;$M$3),"Atrasado",AND(L135&gt;=$M$3,J135&gt;=$M$3,I135&gt;$M$3,K135&lt;=$M$3),"Em andamento",AND(L135&gt;=$M$3,J135&gt;=$M$3,I135&lt;=$M$3,K135&lt;=$M$3),"Em andamento",AND(K135&gt;$M$3,I135&gt;$M$3),"Não iniciado",AND(L135&gt;=$M$3,J135&gt;=$M$3,K135&gt;=$M$3,I135&lt;$M$3),"Atrasado",AND(L135&gt;=$M$3,J135&gt;=$M$3,K135&gt;=$M$3,I135&gt;$M$3),"Não iniciado",AND($I135&lt;=$M$3,$K135&gt;$M$3),"Atrasado")</f>
        <v>Concluído</v>
      </c>
      <c r="O135" s="167">
        <f t="array" ref="O135">_xlfn.IFS(N135="Não iniciado",0,N135="Em andamento",1,N135="Concluído",2,N135="Atrasado",3)</f>
        <v>2</v>
      </c>
      <c r="P135" s="169"/>
      <c r="Q135" s="152">
        <f t="array" aca="1" ref="Q135" ca="1">_xlfn.IFS(AND($I135&lt;$N$3,$J135&lt;$N$3),1,AND($I135&lt;=$N$3,$J135&gt;=$N$3),0.5,AND($I135&gt;=$N$3,$J135&gt;=$N$3),0)</f>
        <v>1</v>
      </c>
      <c r="R135" s="152">
        <f t="array" aca="1" ref="R135" ca="1">_xlfn.IFS(AND($K135&lt;$N$3,$L135&lt;$N$3),1,AND($K135&lt;=$N$3,$L135&gt;=$N$3),0.5,AND($K135&gt;=$N$3,$L135&gt;=$N$3),0)</f>
        <v>1</v>
      </c>
      <c r="S135" s="201" t="e">
        <f t="array" ref="S135">_xlfn.IFS(AND($K135&gt;R$7,$L135&gt;R$7),0,AND($K135&lt;=R$7,$L135&lt;=R$7),1,AND($K135&lt;=R$7,$L135&gt;R$7),((R$7-$K135)/($L135-$K135)))</f>
        <v>#REF!</v>
      </c>
      <c r="T135" s="201" t="e">
        <f t="array" ref="T135">_xlfn.IFS(AND($K135&gt;S$7,$L135&gt;S$7),0,AND($K135&lt;=S$7,$L135&lt;=S$7),1,AND($K135&lt;=S$7,$L135&gt;S$7),((S$7-$K135)/($L135-$K135)))</f>
        <v>#REF!</v>
      </c>
      <c r="U135" s="201" t="e">
        <f t="array" ref="U135">_xlfn.IFS(AND($K135&gt;T$7,$L135&gt;T$7),0,AND($K135&lt;=T$7,$L135&lt;=T$7),1,AND($K135&lt;=T$7,$L135&gt;T$7),((T$7-$K135)/($L135-$K135)))</f>
        <v>#REF!</v>
      </c>
      <c r="V135" s="201" t="e">
        <f t="array" ref="V135">_xlfn.IFS(AND($K135&gt;U$7,$L135&gt;U$7),0,AND($K135&lt;=U$7,$L135&lt;=U$7),1,AND($K135&lt;=U$7,$L135&gt;U$7),((U$7-$K135)/($L135-$K135)))</f>
        <v>#REF!</v>
      </c>
      <c r="W135" s="201" t="e">
        <f t="array" ref="W135">_xlfn.IFS(AND($K135&gt;V$7,$L135&gt;V$7),0,AND($K135&lt;=V$7,$L135&lt;=V$7),1,AND($K135&lt;=V$7,$L135&gt;V$7),((V$7-$K135)/($L135-$K135)))</f>
        <v>#REF!</v>
      </c>
      <c r="X135" s="201" t="e">
        <f t="array" ref="X135">_xlfn.IFS(AND($K135&gt;W$7,$L135&gt;W$7),0,AND($K135&lt;=W$7,$L135&lt;=W$7),1,AND($K135&lt;=W$7,$L135&gt;W$7),((W$7-$K135)/($L135-$K135)))</f>
        <v>#REF!</v>
      </c>
      <c r="Y135" s="201" t="e">
        <f t="array" ref="Y135">_xlfn.IFS(AND($K135&gt;X$7,$L135&gt;X$7),0,AND($K135&lt;=X$7,$L135&lt;=X$7),1,AND($K135&lt;=X$7,$L135&gt;X$7),((X$7-$K135)/($L135-$K135)))</f>
        <v>#REF!</v>
      </c>
      <c r="Z135" s="201" t="e">
        <f t="array" ref="Z135">_xlfn.IFS(AND($K135&gt;Y$7,$L135&gt;Y$7),0,AND($K135&lt;=Y$7,$L135&lt;=Y$7),1,AND($K135&lt;=Y$7,$L135&gt;Y$7),((Y$7-$K135)/($L135-$K135)))</f>
        <v>#REF!</v>
      </c>
      <c r="AA135" s="201" t="e">
        <f t="array" ref="AA135">_xlfn.IFS(AND($K135&gt;Z$7,$L135&gt;Z$7),0,AND($K135&lt;=Z$7,$L135&lt;=Z$7),1,AND($K135&lt;=Z$7,$L135&gt;Z$7),((Z$7-$K135)/($L135-$K135)))</f>
        <v>#REF!</v>
      </c>
      <c r="AB135" s="201" t="e">
        <f t="array" ref="AB135">_xlfn.IFS(AND($K135&gt;AA$7,$L135&gt;AA$7),0,AND($K135&lt;=AA$7,$L135&lt;=AA$7),1,AND($K135&lt;=AA$7,$L135&gt;AA$7),((AA$7-$K135)/($L135-$K135)))</f>
        <v>#REF!</v>
      </c>
      <c r="AC135" s="201" t="e">
        <f t="array" ref="AC135">_xlfn.IFS(AND($K135&gt;AB$7,$L135&gt;AB$7),0,AND($K135&lt;=AB$7,$L135&lt;=AB$7),1,AND($K135&lt;=AB$7,$L135&gt;AB$7),((AB$7-$K135)/($L135-$K135)))</f>
        <v>#REF!</v>
      </c>
      <c r="AD135" s="201" t="e">
        <f t="array" ref="AD135">_xlfn.IFS(AND($K135&gt;AC$7,$L135&gt;AC$7),0,AND($K135&lt;=AC$7,$L135&lt;=AC$7),1,AND($K135&lt;=AC$7,$L135&gt;AC$7),((AC$7-$K135)/($L135-$K135)))</f>
        <v>#REF!</v>
      </c>
      <c r="AE135" s="201" t="e">
        <f t="array" ref="AE135">_xlfn.IFS(AND($K135&gt;AD$7,$L135&gt;AD$7),0,AND($K135&lt;=AD$7,$L135&lt;=AD$7),1,AND($K135&lt;=AD$7,$L135&gt;AD$7),((AD$7-$K135)/($L135-$K135)))</f>
        <v>#REF!</v>
      </c>
      <c r="AF135" s="201" t="e">
        <f t="array" ref="AF135">_xlfn.IFS(AND($K135&gt;AE$7,$L135&gt;AE$7),0,AND($K135&lt;=AE$7,$L135&lt;=AE$7),1,AND($K135&lt;=AE$7,$L135&gt;AE$7),((AE$7-$K135)/($L135-$K135)))</f>
        <v>#REF!</v>
      </c>
      <c r="AG135" s="201" t="e">
        <f t="array" ref="AG135">_xlfn.IFS(AND($K135&gt;AF$7,$L135&gt;AF$7),0,AND($K135&lt;=AF$7,$L135&lt;=AF$7),1,AND($K135&lt;=AF$7,$L135&gt;AF$7),((AF$7-$K135)/($L135-$K135)))</f>
        <v>#REF!</v>
      </c>
      <c r="AH135" s="201" t="e">
        <f t="array" ref="AH135">_xlfn.IFS(AND($K135&gt;AG$7,$L135&gt;AG$7),0,AND($K135&lt;=AG$7,$L135&lt;=AG$7),1,AND($K135&lt;=AG$7,$L135&gt;AG$7),((AG$7-$K135)/($L135-$K135)))</f>
        <v>#REF!</v>
      </c>
      <c r="AI135" s="201" t="e">
        <f t="array" ref="AI135">_xlfn.IFS(AND($K135&gt;AH$7,$L135&gt;AH$7),0,AND($K135&lt;=AH$7,$L135&lt;=AH$7),1,AND($K135&lt;=AH$7,$L135&gt;AH$7),((AH$7-$K135)/($L135-$K135)))</f>
        <v>#REF!</v>
      </c>
      <c r="AJ135" s="201" t="e">
        <f t="array" ref="AJ135">_xlfn.IFS(AND($K135&gt;AI$7,$L135&gt;AI$7),0,AND($K135&lt;=AI$7,$L135&lt;=AI$7),1,AND($K135&lt;=AI$7,$L135&gt;AI$7),((AI$7-$K135)/($L135-$K135)))</f>
        <v>#REF!</v>
      </c>
      <c r="AK135" s="201" t="e">
        <f t="array" ref="AK135">_xlfn.IFS(AND($K135&gt;AJ$7,$L135&gt;AJ$7),0,AND($K135&lt;=AJ$7,$L135&lt;=AJ$7),1,AND($K135&lt;=AJ$7,$L135&gt;AJ$7),((AJ$7-$K135)/($L135-$K135)))</f>
        <v>#REF!</v>
      </c>
      <c r="AL135" s="201" t="e">
        <f t="array" ref="AL135">_xlfn.IFS(AND($K135&gt;AK$7,$L135&gt;AK$7),0,AND($K135&lt;=AK$7,$L135&lt;=AK$7),1,AND($K135&lt;=AK$7,$L135&gt;AK$7),((AK$7-$K135)/($L135-$K135)))</f>
        <v>#REF!</v>
      </c>
      <c r="AM135" s="201" t="e">
        <f t="array" ref="AM135">_xlfn.IFS(AND($K135&gt;AL$7,$L135&gt;AL$7),0,AND($K135&lt;=AL$7,$L135&lt;=AL$7),1,AND($K135&lt;=AL$7,$L135&gt;AL$7),((AL$7-$K135)/($L135-$K135)))</f>
        <v>#REF!</v>
      </c>
      <c r="AN135" s="201" t="e">
        <f t="array" ref="AN135">_xlfn.IFS(AND($K135&gt;AM$7,$L135&gt;AM$7),0,AND($K135&lt;=AM$7,$L135&lt;=AM$7),1,AND($K135&lt;=AM$7,$L135&gt;AM$7),((AM$7-$K135)/($L135-$K135)))</f>
        <v>#REF!</v>
      </c>
      <c r="AO135" s="201" t="e">
        <f t="array" ref="AO135">_xlfn.IFS(AND($K135&gt;AN$7,$L135&gt;AN$7),0,AND($K135&lt;=AN$7,$L135&lt;=AN$7),1,AND($K135&lt;=AN$7,$L135&gt;AN$7),((AN$7-$K135)/($L135-$K135)))</f>
        <v>#REF!</v>
      </c>
      <c r="AP135" s="201" t="e">
        <f t="array" ref="AP135">_xlfn.IFS(AND($K135&gt;AO$7,$L135&gt;AO$7),0,AND($K135&lt;=AO$7,$L135&lt;=AO$7),1,AND($K135&lt;=AO$7,$L135&gt;AO$7),((AO$7-$K135)/($L135-$K135)))</f>
        <v>#REF!</v>
      </c>
      <c r="AQ135" s="201" t="e">
        <f t="array" ref="AQ135">_xlfn.IFS(AND($K135&gt;AP$7,$L135&gt;AP$7),0,AND($K135&lt;=AP$7,$L135&lt;=AP$7),1,AND($K135&lt;=AP$7,$L135&gt;AP$7),((AP$7-$K135)/($L135-$K135)))</f>
        <v>#REF!</v>
      </c>
      <c r="AR135" s="201" t="e">
        <f t="array" ref="AR135">_xlfn.IFS(AND($K135&gt;AQ$7,$L135&gt;AQ$7),0,AND($K135&lt;=AQ$7,$L135&lt;=AQ$7),1,AND($K135&lt;=AQ$7,$L135&gt;AQ$7),((AQ$7-$K135)/($L135-$K135)))</f>
        <v>#REF!</v>
      </c>
      <c r="AS135" s="201" t="e">
        <f t="array" ref="AS135">_xlfn.IFS(AND($K135&gt;AR$7,$L135&gt;AR$7),0,AND($K135&lt;=AR$7,$L135&lt;=AR$7),1,AND($K135&lt;=AR$7,$L135&gt;AR$7),((AR$7-$K135)/($L135-$K135)))</f>
        <v>#REF!</v>
      </c>
      <c r="AT135" s="201" t="e">
        <f t="array" ref="AT135">_xlfn.IFS(AND($K135&gt;AS$7,$L135&gt;AS$7),0,AND($K135&lt;=AS$7,$L135&lt;=AS$7),1,AND($K135&lt;=AS$7,$L135&gt;AS$7),((AS$7-$K135)/($L135-$K135)))</f>
        <v>#REF!</v>
      </c>
      <c r="AU135" s="201" t="e">
        <f t="array" ref="AU135">_xlfn.IFS(AND($K135&gt;AT$7,$L135&gt;AT$7),0,AND($K135&lt;=AT$7,$L135&lt;=AT$7),1,AND($K135&lt;=AT$7,$L135&gt;AT$7),((AT$7-$K135)/($L135-$K135)))</f>
        <v>#REF!</v>
      </c>
      <c r="AV135" s="201" t="e">
        <f t="array" ref="AV135">_xlfn.IFS(AND($K135&gt;AU$7,$L135&gt;AU$7),0,AND($K135&lt;=AU$7,$L135&lt;=AU$7),1,AND($K135&lt;=AU$7,$L135&gt;AU$7),((AU$7-$K135)/($L135-$K135)))</f>
        <v>#REF!</v>
      </c>
      <c r="AW135" s="201" t="e">
        <f t="array" ref="AW135">_xlfn.IFS(AND($K135&gt;AV$7,$L135&gt;AV$7),0,AND($K135&lt;=AV$7,$L135&lt;=AV$7),1,AND($K135&lt;=AV$7,$L135&gt;AV$7),((AV$7-$K135)/($L135-$K135)))</f>
        <v>#REF!</v>
      </c>
      <c r="AX135" s="201" t="e">
        <f t="array" ref="AX135">_xlfn.IFS(AND($K135&gt;AW$7,$L135&gt;AW$7),0,AND($K135&lt;=AW$7,$L135&lt;=AW$7),1,AND($K135&lt;=AW$7,$L135&gt;AW$7),((AW$7-$K135)/($L135-$K135)))</f>
        <v>#REF!</v>
      </c>
      <c r="AY135" s="201" t="e">
        <f t="array" ref="AY135">_xlfn.IFS(AND($K135&gt;AX$7,$L135&gt;AX$7),0,AND($K135&lt;=AX$7,$L135&lt;=AX$7),1,AND($K135&lt;=AX$7,$L135&gt;AX$7),((AX$7-$K135)/($L135-$K135)))</f>
        <v>#REF!</v>
      </c>
      <c r="AZ135" s="201" t="e">
        <f t="array" ref="AZ135">_xlfn.IFS(AND($K135&gt;AY$7,$L135&gt;AY$7),0,AND($K135&lt;=AY$7,$L135&lt;=AY$7),1,AND($K135&lt;=AY$7,$L135&gt;AY$7),((AY$7-$K135)/($L135-$K135)))</f>
        <v>#REF!</v>
      </c>
      <c r="BA135" s="201" t="e">
        <f t="array" ref="BA135">_xlfn.IFS(AND($K135&gt;AZ$7,$L135&gt;AZ$7),0,AND($K135&lt;=AZ$7,$L135&lt;=AZ$7),1,AND($K135&lt;=AZ$7,$L135&gt;AZ$7),((AZ$7-$K135)/($L135-$K135)))</f>
        <v>#REF!</v>
      </c>
      <c r="BB135" s="201" t="e">
        <f t="array" ref="BB135">_xlfn.IFS(AND($K135&gt;BA$7,$L135&gt;BA$7),0,AND($K135&lt;=BA$7,$L135&lt;=BA$7),1,AND($K135&lt;=BA$7,$L135&gt;BA$7),((BA$7-$K135)/($L135-$K135)))</f>
        <v>#REF!</v>
      </c>
      <c r="BC135" s="201" t="e">
        <f t="array" ref="BC135">_xlfn.IFS(AND($K135&gt;BB$7,$L135&gt;BB$7),0,AND($K135&lt;=BB$7,$L135&lt;=BB$7),1,AND($K135&lt;=BB$7,$L135&gt;BB$7),((BB$7-$K135)/($L135-$K135)))</f>
        <v>#REF!</v>
      </c>
      <c r="BD135" s="201" t="e">
        <f t="array" ref="BD135">_xlfn.IFS(AND($K135&gt;BC$7,$L135&gt;BC$7),0,AND($K135&lt;=BC$7,$L135&lt;=BC$7),1,AND($K135&lt;=BC$7,$L135&gt;BC$7),((BC$7-$K135)/($L135-$K135)))</f>
        <v>#REF!</v>
      </c>
      <c r="BE135" s="201" t="e">
        <f t="array" ref="BE135">_xlfn.IFS(AND($K135&gt;BD$7,$L135&gt;BD$7),0,AND($K135&lt;=BD$7,$L135&lt;=BD$7),1,AND($K135&lt;=BD$7,$L135&gt;BD$7),((BD$7-$K135)/($L135-$K135)))</f>
        <v>#REF!</v>
      </c>
      <c r="BF135" s="201" t="e">
        <f t="array" ref="BF135">_xlfn.IFS(AND($K135&gt;BE$7,$L135&gt;BE$7),0,AND($K135&lt;=BE$7,$L135&lt;=BE$7),1,AND($K135&lt;=BE$7,$L135&gt;BE$7),((BE$7-$K135)/($L135-$K135)))</f>
        <v>#REF!</v>
      </c>
      <c r="BG135" s="201" t="e">
        <f t="array" ref="BG135">_xlfn.IFS(AND($K135&gt;BF$7,$L135&gt;BF$7),0,AND($K135&lt;=BF$7,$L135&lt;=BF$7),1,AND($K135&lt;=BF$7,$L135&gt;BF$7),((BF$7-$K135)/($L135-$K135)))</f>
        <v>#REF!</v>
      </c>
      <c r="BH135" s="201" t="e">
        <f t="array" ref="BH135">_xlfn.IFS(AND($K135&gt;BG$7,$L135&gt;BG$7),0,AND($K135&lt;=BG$7,$L135&lt;=BG$7),1,AND($K135&lt;=BG$7,$L135&gt;BG$7),((BG$7-$K135)/($L135-$K135)))</f>
        <v>#REF!</v>
      </c>
      <c r="BI135" s="201" t="e">
        <f t="array" ref="BI135">_xlfn.IFS(AND($K135&gt;BH$7,$L135&gt;BH$7),0,AND($K135&lt;=BH$7,$L135&lt;=BH$7),1,AND($K135&lt;=BH$7,$L135&gt;BH$7),((BH$7-$K135)/($L135-$K135)))</f>
        <v>#REF!</v>
      </c>
      <c r="BJ135" s="201" t="e">
        <f t="array" ref="BJ135">_xlfn.IFS(AND($K135&gt;BI$7,$L135&gt;BI$7),0,AND($K135&lt;=BI$7,$L135&lt;=BI$7),1,AND($K135&lt;=BI$7,$L135&gt;BI$7),((BI$7-$K135)/($L135-$K135)))</f>
        <v>#REF!</v>
      </c>
      <c r="BK135" s="201" t="e">
        <f t="array" ref="BK135">_xlfn.IFS(AND($K135&gt;BJ$7,$L135&gt;BJ$7),0,AND($K135&lt;=BJ$7,$L135&lt;=BJ$7),1,AND($K135&lt;=BJ$7,$L135&gt;BJ$7),((BJ$7-$K135)/($L135-$K135)))</f>
        <v>#REF!</v>
      </c>
      <c r="BL135" s="201" t="e">
        <f t="array" ref="BL135">_xlfn.IFS(AND($K135&gt;BK$7,$L135&gt;BK$7),0,AND($K135&lt;=BK$7,$L135&lt;=BK$7),1,AND($K135&lt;=BK$7,$L135&gt;BK$7),((BK$7-$K135)/($L135-$K135)))</f>
        <v>#REF!</v>
      </c>
      <c r="BM135" s="201" t="e">
        <f t="array" ref="BM135">_xlfn.IFS(AND($K135&gt;BL$7,$L135&gt;BL$7),0,AND($K135&lt;=BL$7,$L135&lt;=BL$7),1,AND($K135&lt;=BL$7,$L135&gt;BL$7),((BL$7-$K135)/($L135-$K135)))</f>
        <v>#REF!</v>
      </c>
      <c r="BN135" s="201" t="e">
        <f t="array" ref="BN135">_xlfn.IFS(AND($K135&gt;BM$7,$L135&gt;BM$7),0,AND($K135&lt;=BM$7,$L135&lt;=BM$7),1,AND($K135&lt;=BM$7,$L135&gt;BM$7),((BM$7-$K135)/($L135-$K135)))</f>
        <v>#REF!</v>
      </c>
    </row>
    <row r="136" spans="2:66" x14ac:dyDescent="0.3">
      <c r="B136" s="166" t="s">
        <v>161</v>
      </c>
      <c r="C136" s="166" t="s">
        <v>318</v>
      </c>
      <c r="D136" s="177"/>
      <c r="E136" s="170" t="str">
        <f t="shared" si="51"/>
        <v>Desenvolvimento da Transformação dos Processos</v>
      </c>
      <c r="F136" s="174" t="str">
        <f t="shared" si="48"/>
        <v>Transformação do Processo</v>
      </c>
      <c r="G136" s="166" t="str">
        <f t="shared" si="52"/>
        <v>Transformação do Processo</v>
      </c>
      <c r="H136" s="197" t="s">
        <v>319</v>
      </c>
      <c r="I136" s="166">
        <v>45971</v>
      </c>
      <c r="J136" s="166">
        <v>45982</v>
      </c>
      <c r="K136" s="166">
        <v>45971</v>
      </c>
      <c r="L136" s="166">
        <v>45982</v>
      </c>
      <c r="M136" s="167"/>
      <c r="N136" s="167" t="str">
        <f t="array" ref="N136">_xlfn.IFS(L136&lt;$M$3,"Concluído",AND(K136&gt;=$M$3,I136&lt;$M$3,L136&gt;$M$3),"Em andamento",AND(L136&gt;=$M$3,J136&lt;$M$3),"Atrasado",AND(L136&gt;=$M$3,J136&gt;=$M$3,I136&gt;$M$3,K136&lt;=$M$3),"Em andamento",AND(L136&gt;=$M$3,J136&gt;=$M$3,I136&lt;=$M$3,K136&lt;=$M$3),"Em andamento",AND(K136&gt;$M$3,I136&gt;$M$3),"Não iniciado",AND(L136&gt;=$M$3,J136&gt;=$M$3,K136&gt;=$M$3,I136&lt;$M$3),"Atrasado",AND(L136&gt;=$M$3,J136&gt;=$M$3,K136&gt;=$M$3,I136&gt;$M$3),"Não iniciado",AND($I136&lt;=$M$3,$K136&gt;$M$3),"Atrasado")</f>
        <v>Concluído</v>
      </c>
      <c r="O136" s="167">
        <f t="array" ref="O136">_xlfn.IFS(N136="Não iniciado",0,N136="Em andamento",1,N136="Concluído",2,N136="Atrasado",3)</f>
        <v>2</v>
      </c>
      <c r="P136" s="169"/>
      <c r="Q136" s="152">
        <f t="array" aca="1" ref="Q136" ca="1">_xlfn.IFS(AND($I136&lt;$N$3,$J136&lt;$N$3),1,AND($I136&lt;=$N$3,$J136&gt;=$N$3),0.5,AND($I136&gt;=$N$3,$J136&gt;=$N$3),0)</f>
        <v>1</v>
      </c>
      <c r="R136" s="152">
        <f t="array" aca="1" ref="R136" ca="1">_xlfn.IFS(AND($K136&lt;$N$3,$L136&lt;$N$3),1,AND($K136&lt;=$N$3,$L136&gt;=$N$3),0.5,AND($K136&gt;=$N$3,$L136&gt;=$N$3),0)</f>
        <v>1</v>
      </c>
      <c r="S136" s="201" t="e">
        <f t="array" ref="S136">_xlfn.IFS(AND($K136&gt;R$7,$L136&gt;R$7),0,AND($K136&lt;=R$7,$L136&lt;=R$7),1,AND($K136&lt;=R$7,$L136&gt;R$7),((R$7-$K136)/($L136-$K136)))</f>
        <v>#REF!</v>
      </c>
      <c r="T136" s="201" t="e">
        <f t="array" ref="T136">_xlfn.IFS(AND($K136&gt;S$7,$L136&gt;S$7),0,AND($K136&lt;=S$7,$L136&lt;=S$7),1,AND($K136&lt;=S$7,$L136&gt;S$7),((S$7-$K136)/($L136-$K136)))</f>
        <v>#REF!</v>
      </c>
      <c r="U136" s="201" t="e">
        <f t="array" ref="U136">_xlfn.IFS(AND($K136&gt;T$7,$L136&gt;T$7),0,AND($K136&lt;=T$7,$L136&lt;=T$7),1,AND($K136&lt;=T$7,$L136&gt;T$7),((T$7-$K136)/($L136-$K136)))</f>
        <v>#REF!</v>
      </c>
      <c r="V136" s="201" t="e">
        <f t="array" ref="V136">_xlfn.IFS(AND($K136&gt;U$7,$L136&gt;U$7),0,AND($K136&lt;=U$7,$L136&lt;=U$7),1,AND($K136&lt;=U$7,$L136&gt;U$7),((U$7-$K136)/($L136-$K136)))</f>
        <v>#REF!</v>
      </c>
      <c r="W136" s="201" t="e">
        <f t="array" ref="W136">_xlfn.IFS(AND($K136&gt;V$7,$L136&gt;V$7),0,AND($K136&lt;=V$7,$L136&lt;=V$7),1,AND($K136&lt;=V$7,$L136&gt;V$7),((V$7-$K136)/($L136-$K136)))</f>
        <v>#REF!</v>
      </c>
      <c r="X136" s="201" t="e">
        <f t="array" ref="X136">_xlfn.IFS(AND($K136&gt;W$7,$L136&gt;W$7),0,AND($K136&lt;=W$7,$L136&lt;=W$7),1,AND($K136&lt;=W$7,$L136&gt;W$7),((W$7-$K136)/($L136-$K136)))</f>
        <v>#REF!</v>
      </c>
      <c r="Y136" s="201" t="e">
        <f t="array" ref="Y136">_xlfn.IFS(AND($K136&gt;X$7,$L136&gt;X$7),0,AND($K136&lt;=X$7,$L136&lt;=X$7),1,AND($K136&lt;=X$7,$L136&gt;X$7),((X$7-$K136)/($L136-$K136)))</f>
        <v>#REF!</v>
      </c>
      <c r="Z136" s="201" t="e">
        <f t="array" ref="Z136">_xlfn.IFS(AND($K136&gt;Y$7,$L136&gt;Y$7),0,AND($K136&lt;=Y$7,$L136&lt;=Y$7),1,AND($K136&lt;=Y$7,$L136&gt;Y$7),((Y$7-$K136)/($L136-$K136)))</f>
        <v>#REF!</v>
      </c>
      <c r="AA136" s="201" t="e">
        <f t="array" ref="AA136">_xlfn.IFS(AND($K136&gt;Z$7,$L136&gt;Z$7),0,AND($K136&lt;=Z$7,$L136&lt;=Z$7),1,AND($K136&lt;=Z$7,$L136&gt;Z$7),((Z$7-$K136)/($L136-$K136)))</f>
        <v>#REF!</v>
      </c>
      <c r="AB136" s="201" t="e">
        <f t="array" ref="AB136">_xlfn.IFS(AND($K136&gt;AA$7,$L136&gt;AA$7),0,AND($K136&lt;=AA$7,$L136&lt;=AA$7),1,AND($K136&lt;=AA$7,$L136&gt;AA$7),((AA$7-$K136)/($L136-$K136)))</f>
        <v>#REF!</v>
      </c>
      <c r="AC136" s="201" t="e">
        <f t="array" ref="AC136">_xlfn.IFS(AND($K136&gt;AB$7,$L136&gt;AB$7),0,AND($K136&lt;=AB$7,$L136&lt;=AB$7),1,AND($K136&lt;=AB$7,$L136&gt;AB$7),((AB$7-$K136)/($L136-$K136)))</f>
        <v>#REF!</v>
      </c>
      <c r="AD136" s="201" t="e">
        <f t="array" ref="AD136">_xlfn.IFS(AND($K136&gt;AC$7,$L136&gt;AC$7),0,AND($K136&lt;=AC$7,$L136&lt;=AC$7),1,AND($K136&lt;=AC$7,$L136&gt;AC$7),((AC$7-$K136)/($L136-$K136)))</f>
        <v>#REF!</v>
      </c>
      <c r="AE136" s="201" t="e">
        <f t="array" ref="AE136">_xlfn.IFS(AND($K136&gt;AD$7,$L136&gt;AD$7),0,AND($K136&lt;=AD$7,$L136&lt;=AD$7),1,AND($K136&lt;=AD$7,$L136&gt;AD$7),((AD$7-$K136)/($L136-$K136)))</f>
        <v>#REF!</v>
      </c>
      <c r="AF136" s="201" t="e">
        <f t="array" ref="AF136">_xlfn.IFS(AND($K136&gt;AE$7,$L136&gt;AE$7),0,AND($K136&lt;=AE$7,$L136&lt;=AE$7),1,AND($K136&lt;=AE$7,$L136&gt;AE$7),((AE$7-$K136)/($L136-$K136)))</f>
        <v>#REF!</v>
      </c>
      <c r="AG136" s="201" t="e">
        <f t="array" ref="AG136">_xlfn.IFS(AND($K136&gt;AF$7,$L136&gt;AF$7),0,AND($K136&lt;=AF$7,$L136&lt;=AF$7),1,AND($K136&lt;=AF$7,$L136&gt;AF$7),((AF$7-$K136)/($L136-$K136)))</f>
        <v>#REF!</v>
      </c>
      <c r="AH136" s="201" t="e">
        <f t="array" ref="AH136">_xlfn.IFS(AND($K136&gt;AG$7,$L136&gt;AG$7),0,AND($K136&lt;=AG$7,$L136&lt;=AG$7),1,AND($K136&lt;=AG$7,$L136&gt;AG$7),((AG$7-$K136)/($L136-$K136)))</f>
        <v>#REF!</v>
      </c>
      <c r="AI136" s="201" t="e">
        <f t="array" ref="AI136">_xlfn.IFS(AND($K136&gt;AH$7,$L136&gt;AH$7),0,AND($K136&lt;=AH$7,$L136&lt;=AH$7),1,AND($K136&lt;=AH$7,$L136&gt;AH$7),((AH$7-$K136)/($L136-$K136)))</f>
        <v>#REF!</v>
      </c>
      <c r="AJ136" s="201" t="e">
        <f t="array" ref="AJ136">_xlfn.IFS(AND($K136&gt;AI$7,$L136&gt;AI$7),0,AND($K136&lt;=AI$7,$L136&lt;=AI$7),1,AND($K136&lt;=AI$7,$L136&gt;AI$7),((AI$7-$K136)/($L136-$K136)))</f>
        <v>#REF!</v>
      </c>
      <c r="AK136" s="201" t="e">
        <f t="array" ref="AK136">_xlfn.IFS(AND($K136&gt;AJ$7,$L136&gt;AJ$7),0,AND($K136&lt;=AJ$7,$L136&lt;=AJ$7),1,AND($K136&lt;=AJ$7,$L136&gt;AJ$7),((AJ$7-$K136)/($L136-$K136)))</f>
        <v>#REF!</v>
      </c>
      <c r="AL136" s="201" t="e">
        <f t="array" ref="AL136">_xlfn.IFS(AND($K136&gt;AK$7,$L136&gt;AK$7),0,AND($K136&lt;=AK$7,$L136&lt;=AK$7),1,AND($K136&lt;=AK$7,$L136&gt;AK$7),((AK$7-$K136)/($L136-$K136)))</f>
        <v>#REF!</v>
      </c>
      <c r="AM136" s="201" t="e">
        <f t="array" ref="AM136">_xlfn.IFS(AND($K136&gt;AL$7,$L136&gt;AL$7),0,AND($K136&lt;=AL$7,$L136&lt;=AL$7),1,AND($K136&lt;=AL$7,$L136&gt;AL$7),((AL$7-$K136)/($L136-$K136)))</f>
        <v>#REF!</v>
      </c>
      <c r="AN136" s="201" t="e">
        <f t="array" ref="AN136">_xlfn.IFS(AND($K136&gt;AM$7,$L136&gt;AM$7),0,AND($K136&lt;=AM$7,$L136&lt;=AM$7),1,AND($K136&lt;=AM$7,$L136&gt;AM$7),((AM$7-$K136)/($L136-$K136)))</f>
        <v>#REF!</v>
      </c>
      <c r="AO136" s="201" t="e">
        <f t="array" ref="AO136">_xlfn.IFS(AND($K136&gt;AN$7,$L136&gt;AN$7),0,AND($K136&lt;=AN$7,$L136&lt;=AN$7),1,AND($K136&lt;=AN$7,$L136&gt;AN$7),((AN$7-$K136)/($L136-$K136)))</f>
        <v>#REF!</v>
      </c>
      <c r="AP136" s="201" t="e">
        <f t="array" ref="AP136">_xlfn.IFS(AND($K136&gt;AO$7,$L136&gt;AO$7),0,AND($K136&lt;=AO$7,$L136&lt;=AO$7),1,AND($K136&lt;=AO$7,$L136&gt;AO$7),((AO$7-$K136)/($L136-$K136)))</f>
        <v>#REF!</v>
      </c>
      <c r="AQ136" s="201" t="e">
        <f t="array" ref="AQ136">_xlfn.IFS(AND($K136&gt;AP$7,$L136&gt;AP$7),0,AND($K136&lt;=AP$7,$L136&lt;=AP$7),1,AND($K136&lt;=AP$7,$L136&gt;AP$7),((AP$7-$K136)/($L136-$K136)))</f>
        <v>#REF!</v>
      </c>
      <c r="AR136" s="201" t="e">
        <f t="array" ref="AR136">_xlfn.IFS(AND($K136&gt;AQ$7,$L136&gt;AQ$7),0,AND($K136&lt;=AQ$7,$L136&lt;=AQ$7),1,AND($K136&lt;=AQ$7,$L136&gt;AQ$7),((AQ$7-$K136)/($L136-$K136)))</f>
        <v>#REF!</v>
      </c>
      <c r="AS136" s="201" t="e">
        <f t="array" ref="AS136">_xlfn.IFS(AND($K136&gt;AR$7,$L136&gt;AR$7),0,AND($K136&lt;=AR$7,$L136&lt;=AR$7),1,AND($K136&lt;=AR$7,$L136&gt;AR$7),((AR$7-$K136)/($L136-$K136)))</f>
        <v>#REF!</v>
      </c>
      <c r="AT136" s="201" t="e">
        <f t="array" ref="AT136">_xlfn.IFS(AND($K136&gt;AS$7,$L136&gt;AS$7),0,AND($K136&lt;=AS$7,$L136&lt;=AS$7),1,AND($K136&lt;=AS$7,$L136&gt;AS$7),((AS$7-$K136)/($L136-$K136)))</f>
        <v>#REF!</v>
      </c>
      <c r="AU136" s="201" t="e">
        <f t="array" ref="AU136">_xlfn.IFS(AND($K136&gt;AT$7,$L136&gt;AT$7),0,AND($K136&lt;=AT$7,$L136&lt;=AT$7),1,AND($K136&lt;=AT$7,$L136&gt;AT$7),((AT$7-$K136)/($L136-$K136)))</f>
        <v>#REF!</v>
      </c>
      <c r="AV136" s="201" t="e">
        <f t="array" ref="AV136">_xlfn.IFS(AND($K136&gt;AU$7,$L136&gt;AU$7),0,AND($K136&lt;=AU$7,$L136&lt;=AU$7),1,AND($K136&lt;=AU$7,$L136&gt;AU$7),((AU$7-$K136)/($L136-$K136)))</f>
        <v>#REF!</v>
      </c>
      <c r="AW136" s="201" t="e">
        <f t="array" ref="AW136">_xlfn.IFS(AND($K136&gt;AV$7,$L136&gt;AV$7),0,AND($K136&lt;=AV$7,$L136&lt;=AV$7),1,AND($K136&lt;=AV$7,$L136&gt;AV$7),((AV$7-$K136)/($L136-$K136)))</f>
        <v>#REF!</v>
      </c>
      <c r="AX136" s="201" t="e">
        <f t="array" ref="AX136">_xlfn.IFS(AND($K136&gt;AW$7,$L136&gt;AW$7),0,AND($K136&lt;=AW$7,$L136&lt;=AW$7),1,AND($K136&lt;=AW$7,$L136&gt;AW$7),((AW$7-$K136)/($L136-$K136)))</f>
        <v>#REF!</v>
      </c>
      <c r="AY136" s="201" t="e">
        <f t="array" ref="AY136">_xlfn.IFS(AND($K136&gt;AX$7,$L136&gt;AX$7),0,AND($K136&lt;=AX$7,$L136&lt;=AX$7),1,AND($K136&lt;=AX$7,$L136&gt;AX$7),((AX$7-$K136)/($L136-$K136)))</f>
        <v>#REF!</v>
      </c>
      <c r="AZ136" s="201" t="e">
        <f t="array" ref="AZ136">_xlfn.IFS(AND($K136&gt;AY$7,$L136&gt;AY$7),0,AND($K136&lt;=AY$7,$L136&lt;=AY$7),1,AND($K136&lt;=AY$7,$L136&gt;AY$7),((AY$7-$K136)/($L136-$K136)))</f>
        <v>#REF!</v>
      </c>
      <c r="BA136" s="201" t="e">
        <f t="array" ref="BA136">_xlfn.IFS(AND($K136&gt;AZ$7,$L136&gt;AZ$7),0,AND($K136&lt;=AZ$7,$L136&lt;=AZ$7),1,AND($K136&lt;=AZ$7,$L136&gt;AZ$7),((AZ$7-$K136)/($L136-$K136)))</f>
        <v>#REF!</v>
      </c>
      <c r="BB136" s="201" t="e">
        <f t="array" ref="BB136">_xlfn.IFS(AND($K136&gt;BA$7,$L136&gt;BA$7),0,AND($K136&lt;=BA$7,$L136&lt;=BA$7),1,AND($K136&lt;=BA$7,$L136&gt;BA$7),((BA$7-$K136)/($L136-$K136)))</f>
        <v>#REF!</v>
      </c>
      <c r="BC136" s="201" t="e">
        <f t="array" ref="BC136">_xlfn.IFS(AND($K136&gt;BB$7,$L136&gt;BB$7),0,AND($K136&lt;=BB$7,$L136&lt;=BB$7),1,AND($K136&lt;=BB$7,$L136&gt;BB$7),((BB$7-$K136)/($L136-$K136)))</f>
        <v>#REF!</v>
      </c>
      <c r="BD136" s="201" t="e">
        <f t="array" ref="BD136">_xlfn.IFS(AND($K136&gt;BC$7,$L136&gt;BC$7),0,AND($K136&lt;=BC$7,$L136&lt;=BC$7),1,AND($K136&lt;=BC$7,$L136&gt;BC$7),((BC$7-$K136)/($L136-$K136)))</f>
        <v>#REF!</v>
      </c>
      <c r="BE136" s="201" t="e">
        <f t="array" ref="BE136">_xlfn.IFS(AND($K136&gt;BD$7,$L136&gt;BD$7),0,AND($K136&lt;=BD$7,$L136&lt;=BD$7),1,AND($K136&lt;=BD$7,$L136&gt;BD$7),((BD$7-$K136)/($L136-$K136)))</f>
        <v>#REF!</v>
      </c>
      <c r="BF136" s="201" t="e">
        <f t="array" ref="BF136">_xlfn.IFS(AND($K136&gt;BE$7,$L136&gt;BE$7),0,AND($K136&lt;=BE$7,$L136&lt;=BE$7),1,AND($K136&lt;=BE$7,$L136&gt;BE$7),((BE$7-$K136)/($L136-$K136)))</f>
        <v>#REF!</v>
      </c>
      <c r="BG136" s="201" t="e">
        <f t="array" ref="BG136">_xlfn.IFS(AND($K136&gt;BF$7,$L136&gt;BF$7),0,AND($K136&lt;=BF$7,$L136&lt;=BF$7),1,AND($K136&lt;=BF$7,$L136&gt;BF$7),((BF$7-$K136)/($L136-$K136)))</f>
        <v>#REF!</v>
      </c>
      <c r="BH136" s="201" t="e">
        <f t="array" ref="BH136">_xlfn.IFS(AND($K136&gt;BG$7,$L136&gt;BG$7),0,AND($K136&lt;=BG$7,$L136&lt;=BG$7),1,AND($K136&lt;=BG$7,$L136&gt;BG$7),((BG$7-$K136)/($L136-$K136)))</f>
        <v>#REF!</v>
      </c>
      <c r="BI136" s="201" t="e">
        <f t="array" ref="BI136">_xlfn.IFS(AND($K136&gt;BH$7,$L136&gt;BH$7),0,AND($K136&lt;=BH$7,$L136&lt;=BH$7),1,AND($K136&lt;=BH$7,$L136&gt;BH$7),((BH$7-$K136)/($L136-$K136)))</f>
        <v>#REF!</v>
      </c>
      <c r="BJ136" s="201" t="e">
        <f t="array" ref="BJ136">_xlfn.IFS(AND($K136&gt;BI$7,$L136&gt;BI$7),0,AND($K136&lt;=BI$7,$L136&lt;=BI$7),1,AND($K136&lt;=BI$7,$L136&gt;BI$7),((BI$7-$K136)/($L136-$K136)))</f>
        <v>#REF!</v>
      </c>
      <c r="BK136" s="201" t="e">
        <f t="array" ref="BK136">_xlfn.IFS(AND($K136&gt;BJ$7,$L136&gt;BJ$7),0,AND($K136&lt;=BJ$7,$L136&lt;=BJ$7),1,AND($K136&lt;=BJ$7,$L136&gt;BJ$7),((BJ$7-$K136)/($L136-$K136)))</f>
        <v>#REF!</v>
      </c>
      <c r="BL136" s="201" t="e">
        <f t="array" ref="BL136">_xlfn.IFS(AND($K136&gt;BK$7,$L136&gt;BK$7),0,AND($K136&lt;=BK$7,$L136&lt;=BK$7),1,AND($K136&lt;=BK$7,$L136&gt;BK$7),((BK$7-$K136)/($L136-$K136)))</f>
        <v>#REF!</v>
      </c>
      <c r="BM136" s="201" t="e">
        <f t="array" ref="BM136">_xlfn.IFS(AND($K136&gt;BL$7,$L136&gt;BL$7),0,AND($K136&lt;=BL$7,$L136&lt;=BL$7),1,AND($K136&lt;=BL$7,$L136&gt;BL$7),((BL$7-$K136)/($L136-$K136)))</f>
        <v>#REF!</v>
      </c>
      <c r="BN136" s="201" t="e">
        <f t="array" ref="BN136">_xlfn.IFS(AND($K136&gt;BM$7,$L136&gt;BM$7),0,AND($K136&lt;=BM$7,$L136&lt;=BM$7),1,AND($K136&lt;=BM$7,$L136&gt;BM$7),((BM$7-$K136)/($L136-$K136)))</f>
        <v>#REF!</v>
      </c>
    </row>
    <row r="137" spans="2:66" x14ac:dyDescent="0.3">
      <c r="B137" s="166" t="s">
        <v>161</v>
      </c>
      <c r="C137" s="166" t="s">
        <v>320</v>
      </c>
      <c r="D137" s="177"/>
      <c r="E137" s="170" t="str">
        <f t="shared" si="51"/>
        <v>Desenvolvimento da Transformação dos Processos</v>
      </c>
      <c r="F137" s="174" t="str">
        <f t="shared" si="48"/>
        <v>Transformação do Processo</v>
      </c>
      <c r="G137" s="166" t="str">
        <f t="shared" si="52"/>
        <v>Transformação do Processo</v>
      </c>
      <c r="H137" s="197" t="s">
        <v>321</v>
      </c>
      <c r="I137" s="166">
        <v>45999</v>
      </c>
      <c r="J137" s="166">
        <v>46010</v>
      </c>
      <c r="K137" s="166">
        <v>45999</v>
      </c>
      <c r="L137" s="166">
        <v>46010</v>
      </c>
      <c r="M137" s="167"/>
      <c r="N137" s="167" t="str">
        <f t="array" ref="N137">_xlfn.IFS(L137&lt;$M$3,"Concluído",AND(K137&gt;=$M$3,I137&lt;$M$3,L137&gt;$M$3),"Em andamento",AND(L137&gt;=$M$3,J137&lt;$M$3),"Atrasado",AND(L137&gt;=$M$3,J137&gt;=$M$3,I137&gt;$M$3,K137&lt;=$M$3),"Em andamento",AND(L137&gt;=$M$3,J137&gt;=$M$3,I137&lt;=$M$3,K137&lt;=$M$3),"Em andamento",AND(K137&gt;$M$3,I137&gt;$M$3),"Não iniciado",AND(L137&gt;=$M$3,J137&gt;=$M$3,K137&gt;=$M$3,I137&lt;$M$3),"Atrasado",AND(L137&gt;=$M$3,J137&gt;=$M$3,K137&gt;=$M$3,I137&gt;$M$3),"Não iniciado",AND($I137&lt;=$M$3,$K137&gt;$M$3),"Atrasado")</f>
        <v>Concluído</v>
      </c>
      <c r="O137" s="167">
        <f t="array" ref="O137">_xlfn.IFS(N137="Não iniciado",0,N137="Em andamento",1,N137="Concluído",2,N137="Atrasado",3)</f>
        <v>2</v>
      </c>
      <c r="P137" s="169"/>
      <c r="Q137" s="152">
        <f t="array" aca="1" ref="Q137" ca="1">_xlfn.IFS(AND($I137&lt;$N$3,$J137&lt;$N$3),1,AND($I137&lt;=$N$3,$J137&gt;=$N$3),0.5,AND($I137&gt;=$N$3,$J137&gt;=$N$3),0)</f>
        <v>1</v>
      </c>
      <c r="R137" s="152">
        <f t="array" aca="1" ref="R137" ca="1">_xlfn.IFS(AND($K137&lt;$N$3,$L137&lt;$N$3),1,AND($K137&lt;=$N$3,$L137&gt;=$N$3),0.5,AND($K137&gt;=$N$3,$L137&gt;=$N$3),0)</f>
        <v>1</v>
      </c>
      <c r="S137" s="201" t="e">
        <f t="array" ref="S137">_xlfn.IFS(AND($K137&gt;R$7,$L137&gt;R$7),0,AND($K137&lt;=R$7,$L137&lt;=R$7),1,AND($K137&lt;=R$7,$L137&gt;R$7),((R$7-$K137)/($L137-$K137)))</f>
        <v>#REF!</v>
      </c>
      <c r="T137" s="201" t="e">
        <f t="array" ref="T137">_xlfn.IFS(AND($K137&gt;S$7,$L137&gt;S$7),0,AND($K137&lt;=S$7,$L137&lt;=S$7),1,AND($K137&lt;=S$7,$L137&gt;S$7),((S$7-$K137)/($L137-$K137)))</f>
        <v>#REF!</v>
      </c>
      <c r="U137" s="201" t="e">
        <f t="array" ref="U137">_xlfn.IFS(AND($K137&gt;T$7,$L137&gt;T$7),0,AND($K137&lt;=T$7,$L137&lt;=T$7),1,AND($K137&lt;=T$7,$L137&gt;T$7),((T$7-$K137)/($L137-$K137)))</f>
        <v>#REF!</v>
      </c>
      <c r="V137" s="201" t="e">
        <f t="array" ref="V137">_xlfn.IFS(AND($K137&gt;U$7,$L137&gt;U$7),0,AND($K137&lt;=U$7,$L137&lt;=U$7),1,AND($K137&lt;=U$7,$L137&gt;U$7),((U$7-$K137)/($L137-$K137)))</f>
        <v>#REF!</v>
      </c>
      <c r="W137" s="201" t="e">
        <f t="array" ref="W137">_xlfn.IFS(AND($K137&gt;V$7,$L137&gt;V$7),0,AND($K137&lt;=V$7,$L137&lt;=V$7),1,AND($K137&lt;=V$7,$L137&gt;V$7),((V$7-$K137)/($L137-$K137)))</f>
        <v>#REF!</v>
      </c>
      <c r="X137" s="201" t="e">
        <f t="array" ref="X137">_xlfn.IFS(AND($K137&gt;W$7,$L137&gt;W$7),0,AND($K137&lt;=W$7,$L137&lt;=W$7),1,AND($K137&lt;=W$7,$L137&gt;W$7),((W$7-$K137)/($L137-$K137)))</f>
        <v>#REF!</v>
      </c>
      <c r="Y137" s="201" t="e">
        <f t="array" ref="Y137">_xlfn.IFS(AND($K137&gt;X$7,$L137&gt;X$7),0,AND($K137&lt;=X$7,$L137&lt;=X$7),1,AND($K137&lt;=X$7,$L137&gt;X$7),((X$7-$K137)/($L137-$K137)))</f>
        <v>#REF!</v>
      </c>
      <c r="Z137" s="201" t="e">
        <f t="array" ref="Z137">_xlfn.IFS(AND($K137&gt;Y$7,$L137&gt;Y$7),0,AND($K137&lt;=Y$7,$L137&lt;=Y$7),1,AND($K137&lt;=Y$7,$L137&gt;Y$7),((Y$7-$K137)/($L137-$K137)))</f>
        <v>#REF!</v>
      </c>
      <c r="AA137" s="201" t="e">
        <f t="array" ref="AA137">_xlfn.IFS(AND($K137&gt;Z$7,$L137&gt;Z$7),0,AND($K137&lt;=Z$7,$L137&lt;=Z$7),1,AND($K137&lt;=Z$7,$L137&gt;Z$7),((Z$7-$K137)/($L137-$K137)))</f>
        <v>#REF!</v>
      </c>
      <c r="AB137" s="201" t="e">
        <f t="array" ref="AB137">_xlfn.IFS(AND($K137&gt;AA$7,$L137&gt;AA$7),0,AND($K137&lt;=AA$7,$L137&lt;=AA$7),1,AND($K137&lt;=AA$7,$L137&gt;AA$7),((AA$7-$K137)/($L137-$K137)))</f>
        <v>#REF!</v>
      </c>
      <c r="AC137" s="201" t="e">
        <f t="array" ref="AC137">_xlfn.IFS(AND($K137&gt;AB$7,$L137&gt;AB$7),0,AND($K137&lt;=AB$7,$L137&lt;=AB$7),1,AND($K137&lt;=AB$7,$L137&gt;AB$7),((AB$7-$K137)/($L137-$K137)))</f>
        <v>#REF!</v>
      </c>
      <c r="AD137" s="201" t="e">
        <f t="array" ref="AD137">_xlfn.IFS(AND($K137&gt;AC$7,$L137&gt;AC$7),0,AND($K137&lt;=AC$7,$L137&lt;=AC$7),1,AND($K137&lt;=AC$7,$L137&gt;AC$7),((AC$7-$K137)/($L137-$K137)))</f>
        <v>#REF!</v>
      </c>
      <c r="AE137" s="201" t="e">
        <f t="array" ref="AE137">_xlfn.IFS(AND($K137&gt;AD$7,$L137&gt;AD$7),0,AND($K137&lt;=AD$7,$L137&lt;=AD$7),1,AND($K137&lt;=AD$7,$L137&gt;AD$7),((AD$7-$K137)/($L137-$K137)))</f>
        <v>#REF!</v>
      </c>
      <c r="AF137" s="201" t="e">
        <f t="array" ref="AF137">_xlfn.IFS(AND($K137&gt;AE$7,$L137&gt;AE$7),0,AND($K137&lt;=AE$7,$L137&lt;=AE$7),1,AND($K137&lt;=AE$7,$L137&gt;AE$7),((AE$7-$K137)/($L137-$K137)))</f>
        <v>#REF!</v>
      </c>
      <c r="AG137" s="201" t="e">
        <f t="array" ref="AG137">_xlfn.IFS(AND($K137&gt;AF$7,$L137&gt;AF$7),0,AND($K137&lt;=AF$7,$L137&lt;=AF$7),1,AND($K137&lt;=AF$7,$L137&gt;AF$7),((AF$7-$K137)/($L137-$K137)))</f>
        <v>#REF!</v>
      </c>
      <c r="AH137" s="201" t="e">
        <f t="array" ref="AH137">_xlfn.IFS(AND($K137&gt;AG$7,$L137&gt;AG$7),0,AND($K137&lt;=AG$7,$L137&lt;=AG$7),1,AND($K137&lt;=AG$7,$L137&gt;AG$7),((AG$7-$K137)/($L137-$K137)))</f>
        <v>#REF!</v>
      </c>
      <c r="AI137" s="201" t="e">
        <f t="array" ref="AI137">_xlfn.IFS(AND($K137&gt;AH$7,$L137&gt;AH$7),0,AND($K137&lt;=AH$7,$L137&lt;=AH$7),1,AND($K137&lt;=AH$7,$L137&gt;AH$7),((AH$7-$K137)/($L137-$K137)))</f>
        <v>#REF!</v>
      </c>
      <c r="AJ137" s="201" t="e">
        <f t="array" ref="AJ137">_xlfn.IFS(AND($K137&gt;AI$7,$L137&gt;AI$7),0,AND($K137&lt;=AI$7,$L137&lt;=AI$7),1,AND($K137&lt;=AI$7,$L137&gt;AI$7),((AI$7-$K137)/($L137-$K137)))</f>
        <v>#REF!</v>
      </c>
      <c r="AK137" s="201" t="e">
        <f t="array" ref="AK137">_xlfn.IFS(AND($K137&gt;AJ$7,$L137&gt;AJ$7),0,AND($K137&lt;=AJ$7,$L137&lt;=AJ$7),1,AND($K137&lt;=AJ$7,$L137&gt;AJ$7),((AJ$7-$K137)/($L137-$K137)))</f>
        <v>#REF!</v>
      </c>
      <c r="AL137" s="201" t="e">
        <f t="array" ref="AL137">_xlfn.IFS(AND($K137&gt;AK$7,$L137&gt;AK$7),0,AND($K137&lt;=AK$7,$L137&lt;=AK$7),1,AND($K137&lt;=AK$7,$L137&gt;AK$7),((AK$7-$K137)/($L137-$K137)))</f>
        <v>#REF!</v>
      </c>
      <c r="AM137" s="201" t="e">
        <f t="array" ref="AM137">_xlfn.IFS(AND($K137&gt;AL$7,$L137&gt;AL$7),0,AND($K137&lt;=AL$7,$L137&lt;=AL$7),1,AND($K137&lt;=AL$7,$L137&gt;AL$7),((AL$7-$K137)/($L137-$K137)))</f>
        <v>#REF!</v>
      </c>
      <c r="AN137" s="201" t="e">
        <f t="array" ref="AN137">_xlfn.IFS(AND($K137&gt;AM$7,$L137&gt;AM$7),0,AND($K137&lt;=AM$7,$L137&lt;=AM$7),1,AND($K137&lt;=AM$7,$L137&gt;AM$7),((AM$7-$K137)/($L137-$K137)))</f>
        <v>#REF!</v>
      </c>
      <c r="AO137" s="201" t="e">
        <f t="array" ref="AO137">_xlfn.IFS(AND($K137&gt;AN$7,$L137&gt;AN$7),0,AND($K137&lt;=AN$7,$L137&lt;=AN$7),1,AND($K137&lt;=AN$7,$L137&gt;AN$7),((AN$7-$K137)/($L137-$K137)))</f>
        <v>#REF!</v>
      </c>
      <c r="AP137" s="201" t="e">
        <f t="array" ref="AP137">_xlfn.IFS(AND($K137&gt;AO$7,$L137&gt;AO$7),0,AND($K137&lt;=AO$7,$L137&lt;=AO$7),1,AND($K137&lt;=AO$7,$L137&gt;AO$7),((AO$7-$K137)/($L137-$K137)))</f>
        <v>#REF!</v>
      </c>
      <c r="AQ137" s="201" t="e">
        <f t="array" ref="AQ137">_xlfn.IFS(AND($K137&gt;AP$7,$L137&gt;AP$7),0,AND($K137&lt;=AP$7,$L137&lt;=AP$7),1,AND($K137&lt;=AP$7,$L137&gt;AP$7),((AP$7-$K137)/($L137-$K137)))</f>
        <v>#REF!</v>
      </c>
      <c r="AR137" s="201" t="e">
        <f t="array" ref="AR137">_xlfn.IFS(AND($K137&gt;AQ$7,$L137&gt;AQ$7),0,AND($K137&lt;=AQ$7,$L137&lt;=AQ$7),1,AND($K137&lt;=AQ$7,$L137&gt;AQ$7),((AQ$7-$K137)/($L137-$K137)))</f>
        <v>#REF!</v>
      </c>
      <c r="AS137" s="201" t="e">
        <f t="array" ref="AS137">_xlfn.IFS(AND($K137&gt;AR$7,$L137&gt;AR$7),0,AND($K137&lt;=AR$7,$L137&lt;=AR$7),1,AND($K137&lt;=AR$7,$L137&gt;AR$7),((AR$7-$K137)/($L137-$K137)))</f>
        <v>#REF!</v>
      </c>
      <c r="AT137" s="201" t="e">
        <f t="array" ref="AT137">_xlfn.IFS(AND($K137&gt;AS$7,$L137&gt;AS$7),0,AND($K137&lt;=AS$7,$L137&lt;=AS$7),1,AND($K137&lt;=AS$7,$L137&gt;AS$7),((AS$7-$K137)/($L137-$K137)))</f>
        <v>#REF!</v>
      </c>
      <c r="AU137" s="201" t="e">
        <f t="array" ref="AU137">_xlfn.IFS(AND($K137&gt;AT$7,$L137&gt;AT$7),0,AND($K137&lt;=AT$7,$L137&lt;=AT$7),1,AND($K137&lt;=AT$7,$L137&gt;AT$7),((AT$7-$K137)/($L137-$K137)))</f>
        <v>#REF!</v>
      </c>
      <c r="AV137" s="201" t="e">
        <f t="array" ref="AV137">_xlfn.IFS(AND($K137&gt;AU$7,$L137&gt;AU$7),0,AND($K137&lt;=AU$7,$L137&lt;=AU$7),1,AND($K137&lt;=AU$7,$L137&gt;AU$7),((AU$7-$K137)/($L137-$K137)))</f>
        <v>#REF!</v>
      </c>
      <c r="AW137" s="201" t="e">
        <f t="array" ref="AW137">_xlfn.IFS(AND($K137&gt;AV$7,$L137&gt;AV$7),0,AND($K137&lt;=AV$7,$L137&lt;=AV$7),1,AND($K137&lt;=AV$7,$L137&gt;AV$7),((AV$7-$K137)/($L137-$K137)))</f>
        <v>#REF!</v>
      </c>
      <c r="AX137" s="201" t="e">
        <f t="array" ref="AX137">_xlfn.IFS(AND($K137&gt;AW$7,$L137&gt;AW$7),0,AND($K137&lt;=AW$7,$L137&lt;=AW$7),1,AND($K137&lt;=AW$7,$L137&gt;AW$7),((AW$7-$K137)/($L137-$K137)))</f>
        <v>#REF!</v>
      </c>
      <c r="AY137" s="201" t="e">
        <f t="array" ref="AY137">_xlfn.IFS(AND($K137&gt;AX$7,$L137&gt;AX$7),0,AND($K137&lt;=AX$7,$L137&lt;=AX$7),1,AND($K137&lt;=AX$7,$L137&gt;AX$7),((AX$7-$K137)/($L137-$K137)))</f>
        <v>#REF!</v>
      </c>
      <c r="AZ137" s="201" t="e">
        <f t="array" ref="AZ137">_xlfn.IFS(AND($K137&gt;AY$7,$L137&gt;AY$7),0,AND($K137&lt;=AY$7,$L137&lt;=AY$7),1,AND($K137&lt;=AY$7,$L137&gt;AY$7),((AY$7-$K137)/($L137-$K137)))</f>
        <v>#REF!</v>
      </c>
      <c r="BA137" s="201" t="e">
        <f t="array" ref="BA137">_xlfn.IFS(AND($K137&gt;AZ$7,$L137&gt;AZ$7),0,AND($K137&lt;=AZ$7,$L137&lt;=AZ$7),1,AND($K137&lt;=AZ$7,$L137&gt;AZ$7),((AZ$7-$K137)/($L137-$K137)))</f>
        <v>#REF!</v>
      </c>
      <c r="BB137" s="201" t="e">
        <f t="array" ref="BB137">_xlfn.IFS(AND($K137&gt;BA$7,$L137&gt;BA$7),0,AND($K137&lt;=BA$7,$L137&lt;=BA$7),1,AND($K137&lt;=BA$7,$L137&gt;BA$7),((BA$7-$K137)/($L137-$K137)))</f>
        <v>#REF!</v>
      </c>
      <c r="BC137" s="201" t="e">
        <f t="array" ref="BC137">_xlfn.IFS(AND($K137&gt;BB$7,$L137&gt;BB$7),0,AND($K137&lt;=BB$7,$L137&lt;=BB$7),1,AND($K137&lt;=BB$7,$L137&gt;BB$7),((BB$7-$K137)/($L137-$K137)))</f>
        <v>#REF!</v>
      </c>
      <c r="BD137" s="201" t="e">
        <f t="array" ref="BD137">_xlfn.IFS(AND($K137&gt;BC$7,$L137&gt;BC$7),0,AND($K137&lt;=BC$7,$L137&lt;=BC$7),1,AND($K137&lt;=BC$7,$L137&gt;BC$7),((BC$7-$K137)/($L137-$K137)))</f>
        <v>#REF!</v>
      </c>
      <c r="BE137" s="201" t="e">
        <f t="array" ref="BE137">_xlfn.IFS(AND($K137&gt;BD$7,$L137&gt;BD$7),0,AND($K137&lt;=BD$7,$L137&lt;=BD$7),1,AND($K137&lt;=BD$7,$L137&gt;BD$7),((BD$7-$K137)/($L137-$K137)))</f>
        <v>#REF!</v>
      </c>
      <c r="BF137" s="201" t="e">
        <f t="array" ref="BF137">_xlfn.IFS(AND($K137&gt;BE$7,$L137&gt;BE$7),0,AND($K137&lt;=BE$7,$L137&lt;=BE$7),1,AND($K137&lt;=BE$7,$L137&gt;BE$7),((BE$7-$K137)/($L137-$K137)))</f>
        <v>#REF!</v>
      </c>
      <c r="BG137" s="201" t="e">
        <f t="array" ref="BG137">_xlfn.IFS(AND($K137&gt;BF$7,$L137&gt;BF$7),0,AND($K137&lt;=BF$7,$L137&lt;=BF$7),1,AND($K137&lt;=BF$7,$L137&gt;BF$7),((BF$7-$K137)/($L137-$K137)))</f>
        <v>#REF!</v>
      </c>
      <c r="BH137" s="201" t="e">
        <f t="array" ref="BH137">_xlfn.IFS(AND($K137&gt;BG$7,$L137&gt;BG$7),0,AND($K137&lt;=BG$7,$L137&lt;=BG$7),1,AND($K137&lt;=BG$7,$L137&gt;BG$7),((BG$7-$K137)/($L137-$K137)))</f>
        <v>#REF!</v>
      </c>
      <c r="BI137" s="201" t="e">
        <f t="array" ref="BI137">_xlfn.IFS(AND($K137&gt;BH$7,$L137&gt;BH$7),0,AND($K137&lt;=BH$7,$L137&lt;=BH$7),1,AND($K137&lt;=BH$7,$L137&gt;BH$7),((BH$7-$K137)/($L137-$K137)))</f>
        <v>#REF!</v>
      </c>
      <c r="BJ137" s="201" t="e">
        <f t="array" ref="BJ137">_xlfn.IFS(AND($K137&gt;BI$7,$L137&gt;BI$7),0,AND($K137&lt;=BI$7,$L137&lt;=BI$7),1,AND($K137&lt;=BI$7,$L137&gt;BI$7),((BI$7-$K137)/($L137-$K137)))</f>
        <v>#REF!</v>
      </c>
      <c r="BK137" s="201" t="e">
        <f t="array" ref="BK137">_xlfn.IFS(AND($K137&gt;BJ$7,$L137&gt;BJ$7),0,AND($K137&lt;=BJ$7,$L137&lt;=BJ$7),1,AND($K137&lt;=BJ$7,$L137&gt;BJ$7),((BJ$7-$K137)/($L137-$K137)))</f>
        <v>#REF!</v>
      </c>
      <c r="BL137" s="201" t="e">
        <f t="array" ref="BL137">_xlfn.IFS(AND($K137&gt;BK$7,$L137&gt;BK$7),0,AND($K137&lt;=BK$7,$L137&lt;=BK$7),1,AND($K137&lt;=BK$7,$L137&gt;BK$7),((BK$7-$K137)/($L137-$K137)))</f>
        <v>#REF!</v>
      </c>
      <c r="BM137" s="201" t="e">
        <f t="array" ref="BM137">_xlfn.IFS(AND($K137&gt;BL$7,$L137&gt;BL$7),0,AND($K137&lt;=BL$7,$L137&lt;=BL$7),1,AND($K137&lt;=BL$7,$L137&gt;BL$7),((BL$7-$K137)/($L137-$K137)))</f>
        <v>#REF!</v>
      </c>
      <c r="BN137" s="201" t="e">
        <f t="array" ref="BN137">_xlfn.IFS(AND($K137&gt;BM$7,$L137&gt;BM$7),0,AND($K137&lt;=BM$7,$L137&lt;=BM$7),1,AND($K137&lt;=BM$7,$L137&gt;BM$7),((BM$7-$K137)/($L137-$K137)))</f>
        <v>#REF!</v>
      </c>
    </row>
    <row r="138" spans="2:66" x14ac:dyDescent="0.3">
      <c r="B138" s="166" t="s">
        <v>161</v>
      </c>
      <c r="C138" s="166" t="s">
        <v>322</v>
      </c>
      <c r="D138" s="177"/>
      <c r="E138" s="170" t="str">
        <f t="shared" si="51"/>
        <v>Desenvolvimento da Transformação dos Processos</v>
      </c>
      <c r="F138" s="174" t="str">
        <f t="shared" si="48"/>
        <v>Transformação do Processo</v>
      </c>
      <c r="G138" s="166" t="str">
        <f t="shared" si="52"/>
        <v>Transformação do Processo</v>
      </c>
      <c r="H138" s="197" t="s">
        <v>323</v>
      </c>
      <c r="I138" s="166">
        <v>45999</v>
      </c>
      <c r="J138" s="166">
        <v>46010</v>
      </c>
      <c r="K138" s="166">
        <v>45999</v>
      </c>
      <c r="L138" s="166">
        <v>46010</v>
      </c>
      <c r="M138" s="167"/>
      <c r="N138" s="167" t="str">
        <f t="array" ref="N138">_xlfn.IFS(L138&lt;$M$3,"Concluído",AND(K138&gt;=$M$3,I138&lt;$M$3,L138&gt;$M$3),"Em andamento",AND(L138&gt;=$M$3,J138&lt;$M$3),"Atrasado",AND(L138&gt;=$M$3,J138&gt;=$M$3,I138&gt;$M$3,K138&lt;=$M$3),"Em andamento",AND(L138&gt;=$M$3,J138&gt;=$M$3,I138&lt;=$M$3,K138&lt;=$M$3),"Em andamento",AND(K138&gt;$M$3,I138&gt;$M$3),"Não iniciado",AND(L138&gt;=$M$3,J138&gt;=$M$3,K138&gt;=$M$3,I138&lt;$M$3),"Atrasado",AND(L138&gt;=$M$3,J138&gt;=$M$3,K138&gt;=$M$3,I138&gt;$M$3),"Não iniciado",AND($I138&lt;=$M$3,$K138&gt;$M$3),"Atrasado")</f>
        <v>Concluído</v>
      </c>
      <c r="O138" s="167">
        <f t="array" ref="O138">_xlfn.IFS(N138="Não iniciado",0,N138="Em andamento",1,N138="Concluído",2,N138="Atrasado",3)</f>
        <v>2</v>
      </c>
      <c r="P138" s="169"/>
      <c r="Q138" s="152">
        <f t="array" aca="1" ref="Q138" ca="1">_xlfn.IFS(AND($I138&lt;$N$3,$J138&lt;$N$3),1,AND($I138&lt;=$N$3,$J138&gt;=$N$3),0.5,AND($I138&gt;=$N$3,$J138&gt;=$N$3),0)</f>
        <v>1</v>
      </c>
      <c r="R138" s="152">
        <f t="array" aca="1" ref="R138" ca="1">_xlfn.IFS(AND($K138&lt;$N$3,$L138&lt;$N$3),1,AND($K138&lt;=$N$3,$L138&gt;=$N$3),0.5,AND($K138&gt;=$N$3,$L138&gt;=$N$3),0)</f>
        <v>1</v>
      </c>
      <c r="S138" s="201" t="e">
        <f t="array" ref="S138">_xlfn.IFS(AND($K138&gt;R$7,$L138&gt;R$7),0,AND($K138&lt;=R$7,$L138&lt;=R$7),1,AND($K138&lt;=R$7,$L138&gt;R$7),((R$7-$K138)/($L138-$K138)))</f>
        <v>#REF!</v>
      </c>
      <c r="T138" s="201" t="e">
        <f t="array" ref="T138">_xlfn.IFS(AND($K138&gt;S$7,$L138&gt;S$7),0,AND($K138&lt;=S$7,$L138&lt;=S$7),1,AND($K138&lt;=S$7,$L138&gt;S$7),((S$7-$K138)/($L138-$K138)))</f>
        <v>#REF!</v>
      </c>
      <c r="U138" s="201" t="e">
        <f t="array" ref="U138">_xlfn.IFS(AND($K138&gt;T$7,$L138&gt;T$7),0,AND($K138&lt;=T$7,$L138&lt;=T$7),1,AND($K138&lt;=T$7,$L138&gt;T$7),((T$7-$K138)/($L138-$K138)))</f>
        <v>#REF!</v>
      </c>
      <c r="V138" s="201" t="e">
        <f t="array" ref="V138">_xlfn.IFS(AND($K138&gt;U$7,$L138&gt;U$7),0,AND($K138&lt;=U$7,$L138&lt;=U$7),1,AND($K138&lt;=U$7,$L138&gt;U$7),((U$7-$K138)/($L138-$K138)))</f>
        <v>#REF!</v>
      </c>
      <c r="W138" s="201" t="e">
        <f t="array" ref="W138">_xlfn.IFS(AND($K138&gt;V$7,$L138&gt;V$7),0,AND($K138&lt;=V$7,$L138&lt;=V$7),1,AND($K138&lt;=V$7,$L138&gt;V$7),((V$7-$K138)/($L138-$K138)))</f>
        <v>#REF!</v>
      </c>
      <c r="X138" s="201" t="e">
        <f t="array" ref="X138">_xlfn.IFS(AND($K138&gt;W$7,$L138&gt;W$7),0,AND($K138&lt;=W$7,$L138&lt;=W$7),1,AND($K138&lt;=W$7,$L138&gt;W$7),((W$7-$K138)/($L138-$K138)))</f>
        <v>#REF!</v>
      </c>
      <c r="Y138" s="201" t="e">
        <f t="array" ref="Y138">_xlfn.IFS(AND($K138&gt;X$7,$L138&gt;X$7),0,AND($K138&lt;=X$7,$L138&lt;=X$7),1,AND($K138&lt;=X$7,$L138&gt;X$7),((X$7-$K138)/($L138-$K138)))</f>
        <v>#REF!</v>
      </c>
      <c r="Z138" s="201" t="e">
        <f t="array" ref="Z138">_xlfn.IFS(AND($K138&gt;Y$7,$L138&gt;Y$7),0,AND($K138&lt;=Y$7,$L138&lt;=Y$7),1,AND($K138&lt;=Y$7,$L138&gt;Y$7),((Y$7-$K138)/($L138-$K138)))</f>
        <v>#REF!</v>
      </c>
      <c r="AA138" s="201" t="e">
        <f t="array" ref="AA138">_xlfn.IFS(AND($K138&gt;Z$7,$L138&gt;Z$7),0,AND($K138&lt;=Z$7,$L138&lt;=Z$7),1,AND($K138&lt;=Z$7,$L138&gt;Z$7),((Z$7-$K138)/($L138-$K138)))</f>
        <v>#REF!</v>
      </c>
      <c r="AB138" s="201" t="e">
        <f t="array" ref="AB138">_xlfn.IFS(AND($K138&gt;AA$7,$L138&gt;AA$7),0,AND($K138&lt;=AA$7,$L138&lt;=AA$7),1,AND($K138&lt;=AA$7,$L138&gt;AA$7),((AA$7-$K138)/($L138-$K138)))</f>
        <v>#REF!</v>
      </c>
      <c r="AC138" s="201" t="e">
        <f t="array" ref="AC138">_xlfn.IFS(AND($K138&gt;AB$7,$L138&gt;AB$7),0,AND($K138&lt;=AB$7,$L138&lt;=AB$7),1,AND($K138&lt;=AB$7,$L138&gt;AB$7),((AB$7-$K138)/($L138-$K138)))</f>
        <v>#REF!</v>
      </c>
      <c r="AD138" s="201" t="e">
        <f t="array" ref="AD138">_xlfn.IFS(AND($K138&gt;AC$7,$L138&gt;AC$7),0,AND($K138&lt;=AC$7,$L138&lt;=AC$7),1,AND($K138&lt;=AC$7,$L138&gt;AC$7),((AC$7-$K138)/($L138-$K138)))</f>
        <v>#REF!</v>
      </c>
      <c r="AE138" s="201" t="e">
        <f t="array" ref="AE138">_xlfn.IFS(AND($K138&gt;AD$7,$L138&gt;AD$7),0,AND($K138&lt;=AD$7,$L138&lt;=AD$7),1,AND($K138&lt;=AD$7,$L138&gt;AD$7),((AD$7-$K138)/($L138-$K138)))</f>
        <v>#REF!</v>
      </c>
      <c r="AF138" s="201" t="e">
        <f t="array" ref="AF138">_xlfn.IFS(AND($K138&gt;AE$7,$L138&gt;AE$7),0,AND($K138&lt;=AE$7,$L138&lt;=AE$7),1,AND($K138&lt;=AE$7,$L138&gt;AE$7),((AE$7-$K138)/($L138-$K138)))</f>
        <v>#REF!</v>
      </c>
      <c r="AG138" s="201" t="e">
        <f t="array" ref="AG138">_xlfn.IFS(AND($K138&gt;AF$7,$L138&gt;AF$7),0,AND($K138&lt;=AF$7,$L138&lt;=AF$7),1,AND($K138&lt;=AF$7,$L138&gt;AF$7),((AF$7-$K138)/($L138-$K138)))</f>
        <v>#REF!</v>
      </c>
      <c r="AH138" s="201" t="e">
        <f t="array" ref="AH138">_xlfn.IFS(AND($K138&gt;AG$7,$L138&gt;AG$7),0,AND($K138&lt;=AG$7,$L138&lt;=AG$7),1,AND($K138&lt;=AG$7,$L138&gt;AG$7),((AG$7-$K138)/($L138-$K138)))</f>
        <v>#REF!</v>
      </c>
      <c r="AI138" s="201" t="e">
        <f t="array" ref="AI138">_xlfn.IFS(AND($K138&gt;AH$7,$L138&gt;AH$7),0,AND($K138&lt;=AH$7,$L138&lt;=AH$7),1,AND($K138&lt;=AH$7,$L138&gt;AH$7),((AH$7-$K138)/($L138-$K138)))</f>
        <v>#REF!</v>
      </c>
      <c r="AJ138" s="201" t="e">
        <f t="array" ref="AJ138">_xlfn.IFS(AND($K138&gt;AI$7,$L138&gt;AI$7),0,AND($K138&lt;=AI$7,$L138&lt;=AI$7),1,AND($K138&lt;=AI$7,$L138&gt;AI$7),((AI$7-$K138)/($L138-$K138)))</f>
        <v>#REF!</v>
      </c>
      <c r="AK138" s="201" t="e">
        <f t="array" ref="AK138">_xlfn.IFS(AND($K138&gt;AJ$7,$L138&gt;AJ$7),0,AND($K138&lt;=AJ$7,$L138&lt;=AJ$7),1,AND($K138&lt;=AJ$7,$L138&gt;AJ$7),((AJ$7-$K138)/($L138-$K138)))</f>
        <v>#REF!</v>
      </c>
      <c r="AL138" s="201" t="e">
        <f t="array" ref="AL138">_xlfn.IFS(AND($K138&gt;AK$7,$L138&gt;AK$7),0,AND($K138&lt;=AK$7,$L138&lt;=AK$7),1,AND($K138&lt;=AK$7,$L138&gt;AK$7),((AK$7-$K138)/($L138-$K138)))</f>
        <v>#REF!</v>
      </c>
      <c r="AM138" s="201" t="e">
        <f t="array" ref="AM138">_xlfn.IFS(AND($K138&gt;AL$7,$L138&gt;AL$7),0,AND($K138&lt;=AL$7,$L138&lt;=AL$7),1,AND($K138&lt;=AL$7,$L138&gt;AL$7),((AL$7-$K138)/($L138-$K138)))</f>
        <v>#REF!</v>
      </c>
      <c r="AN138" s="201" t="e">
        <f t="array" ref="AN138">_xlfn.IFS(AND($K138&gt;AM$7,$L138&gt;AM$7),0,AND($K138&lt;=AM$7,$L138&lt;=AM$7),1,AND($K138&lt;=AM$7,$L138&gt;AM$7),((AM$7-$K138)/($L138-$K138)))</f>
        <v>#REF!</v>
      </c>
      <c r="AO138" s="201" t="e">
        <f t="array" ref="AO138">_xlfn.IFS(AND($K138&gt;AN$7,$L138&gt;AN$7),0,AND($K138&lt;=AN$7,$L138&lt;=AN$7),1,AND($K138&lt;=AN$7,$L138&gt;AN$7),((AN$7-$K138)/($L138-$K138)))</f>
        <v>#REF!</v>
      </c>
      <c r="AP138" s="201" t="e">
        <f t="array" ref="AP138">_xlfn.IFS(AND($K138&gt;AO$7,$L138&gt;AO$7),0,AND($K138&lt;=AO$7,$L138&lt;=AO$7),1,AND($K138&lt;=AO$7,$L138&gt;AO$7),((AO$7-$K138)/($L138-$K138)))</f>
        <v>#REF!</v>
      </c>
      <c r="AQ138" s="201" t="e">
        <f t="array" ref="AQ138">_xlfn.IFS(AND($K138&gt;AP$7,$L138&gt;AP$7),0,AND($K138&lt;=AP$7,$L138&lt;=AP$7),1,AND($K138&lt;=AP$7,$L138&gt;AP$7),((AP$7-$K138)/($L138-$K138)))</f>
        <v>#REF!</v>
      </c>
      <c r="AR138" s="201" t="e">
        <f t="array" ref="AR138">_xlfn.IFS(AND($K138&gt;AQ$7,$L138&gt;AQ$7),0,AND($K138&lt;=AQ$7,$L138&lt;=AQ$7),1,AND($K138&lt;=AQ$7,$L138&gt;AQ$7),((AQ$7-$K138)/($L138-$K138)))</f>
        <v>#REF!</v>
      </c>
      <c r="AS138" s="201" t="e">
        <f t="array" ref="AS138">_xlfn.IFS(AND($K138&gt;AR$7,$L138&gt;AR$7),0,AND($K138&lt;=AR$7,$L138&lt;=AR$7),1,AND($K138&lt;=AR$7,$L138&gt;AR$7),((AR$7-$K138)/($L138-$K138)))</f>
        <v>#REF!</v>
      </c>
      <c r="AT138" s="201" t="e">
        <f t="array" ref="AT138">_xlfn.IFS(AND($K138&gt;AS$7,$L138&gt;AS$7),0,AND($K138&lt;=AS$7,$L138&lt;=AS$7),1,AND($K138&lt;=AS$7,$L138&gt;AS$7),((AS$7-$K138)/($L138-$K138)))</f>
        <v>#REF!</v>
      </c>
      <c r="AU138" s="201" t="e">
        <f t="array" ref="AU138">_xlfn.IFS(AND($K138&gt;AT$7,$L138&gt;AT$7),0,AND($K138&lt;=AT$7,$L138&lt;=AT$7),1,AND($K138&lt;=AT$7,$L138&gt;AT$7),((AT$7-$K138)/($L138-$K138)))</f>
        <v>#REF!</v>
      </c>
      <c r="AV138" s="201" t="e">
        <f t="array" ref="AV138">_xlfn.IFS(AND($K138&gt;AU$7,$L138&gt;AU$7),0,AND($K138&lt;=AU$7,$L138&lt;=AU$7),1,AND($K138&lt;=AU$7,$L138&gt;AU$7),((AU$7-$K138)/($L138-$K138)))</f>
        <v>#REF!</v>
      </c>
      <c r="AW138" s="201" t="e">
        <f t="array" ref="AW138">_xlfn.IFS(AND($K138&gt;AV$7,$L138&gt;AV$7),0,AND($K138&lt;=AV$7,$L138&lt;=AV$7),1,AND($K138&lt;=AV$7,$L138&gt;AV$7),((AV$7-$K138)/($L138-$K138)))</f>
        <v>#REF!</v>
      </c>
      <c r="AX138" s="201" t="e">
        <f t="array" ref="AX138">_xlfn.IFS(AND($K138&gt;AW$7,$L138&gt;AW$7),0,AND($K138&lt;=AW$7,$L138&lt;=AW$7),1,AND($K138&lt;=AW$7,$L138&gt;AW$7),((AW$7-$K138)/($L138-$K138)))</f>
        <v>#REF!</v>
      </c>
      <c r="AY138" s="201" t="e">
        <f t="array" ref="AY138">_xlfn.IFS(AND($K138&gt;AX$7,$L138&gt;AX$7),0,AND($K138&lt;=AX$7,$L138&lt;=AX$7),1,AND($K138&lt;=AX$7,$L138&gt;AX$7),((AX$7-$K138)/($L138-$K138)))</f>
        <v>#REF!</v>
      </c>
      <c r="AZ138" s="201" t="e">
        <f t="array" ref="AZ138">_xlfn.IFS(AND($K138&gt;AY$7,$L138&gt;AY$7),0,AND($K138&lt;=AY$7,$L138&lt;=AY$7),1,AND($K138&lt;=AY$7,$L138&gt;AY$7),((AY$7-$K138)/($L138-$K138)))</f>
        <v>#REF!</v>
      </c>
      <c r="BA138" s="201" t="e">
        <f t="array" ref="BA138">_xlfn.IFS(AND($K138&gt;AZ$7,$L138&gt;AZ$7),0,AND($K138&lt;=AZ$7,$L138&lt;=AZ$7),1,AND($K138&lt;=AZ$7,$L138&gt;AZ$7),((AZ$7-$K138)/($L138-$K138)))</f>
        <v>#REF!</v>
      </c>
      <c r="BB138" s="201" t="e">
        <f t="array" ref="BB138">_xlfn.IFS(AND($K138&gt;BA$7,$L138&gt;BA$7),0,AND($K138&lt;=BA$7,$L138&lt;=BA$7),1,AND($K138&lt;=BA$7,$L138&gt;BA$7),((BA$7-$K138)/($L138-$K138)))</f>
        <v>#REF!</v>
      </c>
      <c r="BC138" s="201" t="e">
        <f t="array" ref="BC138">_xlfn.IFS(AND($K138&gt;BB$7,$L138&gt;BB$7),0,AND($K138&lt;=BB$7,$L138&lt;=BB$7),1,AND($K138&lt;=BB$7,$L138&gt;BB$7),((BB$7-$K138)/($L138-$K138)))</f>
        <v>#REF!</v>
      </c>
      <c r="BD138" s="201" t="e">
        <f t="array" ref="BD138">_xlfn.IFS(AND($K138&gt;BC$7,$L138&gt;BC$7),0,AND($K138&lt;=BC$7,$L138&lt;=BC$7),1,AND($K138&lt;=BC$7,$L138&gt;BC$7),((BC$7-$K138)/($L138-$K138)))</f>
        <v>#REF!</v>
      </c>
      <c r="BE138" s="201" t="e">
        <f t="array" ref="BE138">_xlfn.IFS(AND($K138&gt;BD$7,$L138&gt;BD$7),0,AND($K138&lt;=BD$7,$L138&lt;=BD$7),1,AND($K138&lt;=BD$7,$L138&gt;BD$7),((BD$7-$K138)/($L138-$K138)))</f>
        <v>#REF!</v>
      </c>
      <c r="BF138" s="201" t="e">
        <f t="array" ref="BF138">_xlfn.IFS(AND($K138&gt;BE$7,$L138&gt;BE$7),0,AND($K138&lt;=BE$7,$L138&lt;=BE$7),1,AND($K138&lt;=BE$7,$L138&gt;BE$7),((BE$7-$K138)/($L138-$K138)))</f>
        <v>#REF!</v>
      </c>
      <c r="BG138" s="201" t="e">
        <f t="array" ref="BG138">_xlfn.IFS(AND($K138&gt;BF$7,$L138&gt;BF$7),0,AND($K138&lt;=BF$7,$L138&lt;=BF$7),1,AND($K138&lt;=BF$7,$L138&gt;BF$7),((BF$7-$K138)/($L138-$K138)))</f>
        <v>#REF!</v>
      </c>
      <c r="BH138" s="201" t="e">
        <f t="array" ref="BH138">_xlfn.IFS(AND($K138&gt;BG$7,$L138&gt;BG$7),0,AND($K138&lt;=BG$7,$L138&lt;=BG$7),1,AND($K138&lt;=BG$7,$L138&gt;BG$7),((BG$7-$K138)/($L138-$K138)))</f>
        <v>#REF!</v>
      </c>
      <c r="BI138" s="201" t="e">
        <f t="array" ref="BI138">_xlfn.IFS(AND($K138&gt;BH$7,$L138&gt;BH$7),0,AND($K138&lt;=BH$7,$L138&lt;=BH$7),1,AND($K138&lt;=BH$7,$L138&gt;BH$7),((BH$7-$K138)/($L138-$K138)))</f>
        <v>#REF!</v>
      </c>
      <c r="BJ138" s="201" t="e">
        <f t="array" ref="BJ138">_xlfn.IFS(AND($K138&gt;BI$7,$L138&gt;BI$7),0,AND($K138&lt;=BI$7,$L138&lt;=BI$7),1,AND($K138&lt;=BI$7,$L138&gt;BI$7),((BI$7-$K138)/($L138-$K138)))</f>
        <v>#REF!</v>
      </c>
      <c r="BK138" s="201" t="e">
        <f t="array" ref="BK138">_xlfn.IFS(AND($K138&gt;BJ$7,$L138&gt;BJ$7),0,AND($K138&lt;=BJ$7,$L138&lt;=BJ$7),1,AND($K138&lt;=BJ$7,$L138&gt;BJ$7),((BJ$7-$K138)/($L138-$K138)))</f>
        <v>#REF!</v>
      </c>
      <c r="BL138" s="201" t="e">
        <f t="array" ref="BL138">_xlfn.IFS(AND($K138&gt;BK$7,$L138&gt;BK$7),0,AND($K138&lt;=BK$7,$L138&lt;=BK$7),1,AND($K138&lt;=BK$7,$L138&gt;BK$7),((BK$7-$K138)/($L138-$K138)))</f>
        <v>#REF!</v>
      </c>
      <c r="BM138" s="201" t="e">
        <f t="array" ref="BM138">_xlfn.IFS(AND($K138&gt;BL$7,$L138&gt;BL$7),0,AND($K138&lt;=BL$7,$L138&lt;=BL$7),1,AND($K138&lt;=BL$7,$L138&gt;BL$7),((BL$7-$K138)/($L138-$K138)))</f>
        <v>#REF!</v>
      </c>
      <c r="BN138" s="201" t="e">
        <f t="array" ref="BN138">_xlfn.IFS(AND($K138&gt;BM$7,$L138&gt;BM$7),0,AND($K138&lt;=BM$7,$L138&lt;=BM$7),1,AND($K138&lt;=BM$7,$L138&gt;BM$7),((BM$7-$K138)/($L138-$K138)))</f>
        <v>#REF!</v>
      </c>
    </row>
    <row r="139" spans="2:66" x14ac:dyDescent="0.3">
      <c r="B139" s="166" t="s">
        <v>161</v>
      </c>
      <c r="C139" s="166" t="s">
        <v>324</v>
      </c>
      <c r="D139" s="177"/>
      <c r="E139" s="170" t="str">
        <f t="shared" si="51"/>
        <v>Desenvolvimento da Transformação dos Processos</v>
      </c>
      <c r="F139" s="174" t="str">
        <f t="shared" si="48"/>
        <v>Transformação do Processo</v>
      </c>
      <c r="G139" s="166" t="str">
        <f t="shared" si="52"/>
        <v>Transformação do Processo</v>
      </c>
      <c r="H139" s="197" t="s">
        <v>325</v>
      </c>
      <c r="I139" s="166">
        <v>45999</v>
      </c>
      <c r="J139" s="166">
        <v>46010</v>
      </c>
      <c r="K139" s="166">
        <v>45999</v>
      </c>
      <c r="L139" s="166">
        <v>46010</v>
      </c>
      <c r="M139" s="167"/>
      <c r="N139" s="167" t="str">
        <f t="array" ref="N139">_xlfn.IFS(L139&lt;$M$3,"Concluído",AND(K139&gt;=$M$3,I139&lt;$M$3,L139&gt;$M$3),"Em andamento",AND(L139&gt;=$M$3,J139&lt;$M$3),"Atrasado",AND(L139&gt;=$M$3,J139&gt;=$M$3,I139&gt;$M$3,K139&lt;=$M$3),"Em andamento",AND(L139&gt;=$M$3,J139&gt;=$M$3,I139&lt;=$M$3,K139&lt;=$M$3),"Em andamento",AND(K139&gt;$M$3,I139&gt;$M$3),"Não iniciado",AND(L139&gt;=$M$3,J139&gt;=$M$3,K139&gt;=$M$3,I139&lt;$M$3),"Atrasado",AND(L139&gt;=$M$3,J139&gt;=$M$3,K139&gt;=$M$3,I139&gt;$M$3),"Não iniciado",AND($I139&lt;=$M$3,$K139&gt;$M$3),"Atrasado")</f>
        <v>Concluído</v>
      </c>
      <c r="O139" s="167">
        <f t="array" ref="O139">_xlfn.IFS(N139="Não iniciado",0,N139="Em andamento",1,N139="Concluído",2,N139="Atrasado",3)</f>
        <v>2</v>
      </c>
      <c r="P139" s="169"/>
      <c r="Q139" s="152">
        <f t="array" aca="1" ref="Q139" ca="1">_xlfn.IFS(AND($I139&lt;$N$3,$J139&lt;$N$3),1,AND($I139&lt;=$N$3,$J139&gt;=$N$3),0.5,AND($I139&gt;=$N$3,$J139&gt;=$N$3),0)</f>
        <v>1</v>
      </c>
      <c r="R139" s="152">
        <f t="array" aca="1" ref="R139" ca="1">_xlfn.IFS(AND($K139&lt;$N$3,$L139&lt;$N$3),1,AND($K139&lt;=$N$3,$L139&gt;=$N$3),0.5,AND($K139&gt;=$N$3,$L139&gt;=$N$3),0)</f>
        <v>1</v>
      </c>
      <c r="S139" s="201" t="e">
        <f t="array" ref="S139">_xlfn.IFS(AND($K139&gt;R$7,$L139&gt;R$7),0,AND($K139&lt;=R$7,$L139&lt;=R$7),1,AND($K139&lt;=R$7,$L139&gt;R$7),((R$7-$K139)/($L139-$K139)))</f>
        <v>#REF!</v>
      </c>
      <c r="T139" s="201" t="e">
        <f t="array" ref="T139">_xlfn.IFS(AND($K139&gt;S$7,$L139&gt;S$7),0,AND($K139&lt;=S$7,$L139&lt;=S$7),1,AND($K139&lt;=S$7,$L139&gt;S$7),((S$7-$K139)/($L139-$K139)))</f>
        <v>#REF!</v>
      </c>
      <c r="U139" s="201" t="e">
        <f t="array" ref="U139">_xlfn.IFS(AND($K139&gt;T$7,$L139&gt;T$7),0,AND($K139&lt;=T$7,$L139&lt;=T$7),1,AND($K139&lt;=T$7,$L139&gt;T$7),((T$7-$K139)/($L139-$K139)))</f>
        <v>#REF!</v>
      </c>
      <c r="V139" s="201" t="e">
        <f t="array" ref="V139">_xlfn.IFS(AND($K139&gt;U$7,$L139&gt;U$7),0,AND($K139&lt;=U$7,$L139&lt;=U$7),1,AND($K139&lt;=U$7,$L139&gt;U$7),((U$7-$K139)/($L139-$K139)))</f>
        <v>#REF!</v>
      </c>
      <c r="W139" s="201" t="e">
        <f t="array" ref="W139">_xlfn.IFS(AND($K139&gt;V$7,$L139&gt;V$7),0,AND($K139&lt;=V$7,$L139&lt;=V$7),1,AND($K139&lt;=V$7,$L139&gt;V$7),((V$7-$K139)/($L139-$K139)))</f>
        <v>#REF!</v>
      </c>
      <c r="X139" s="201" t="e">
        <f t="array" ref="X139">_xlfn.IFS(AND($K139&gt;W$7,$L139&gt;W$7),0,AND($K139&lt;=W$7,$L139&lt;=W$7),1,AND($K139&lt;=W$7,$L139&gt;W$7),((W$7-$K139)/($L139-$K139)))</f>
        <v>#REF!</v>
      </c>
      <c r="Y139" s="201" t="e">
        <f t="array" ref="Y139">_xlfn.IFS(AND($K139&gt;X$7,$L139&gt;X$7),0,AND($K139&lt;=X$7,$L139&lt;=X$7),1,AND($K139&lt;=X$7,$L139&gt;X$7),((X$7-$K139)/($L139-$K139)))</f>
        <v>#REF!</v>
      </c>
      <c r="Z139" s="201" t="e">
        <f t="array" ref="Z139">_xlfn.IFS(AND($K139&gt;Y$7,$L139&gt;Y$7),0,AND($K139&lt;=Y$7,$L139&lt;=Y$7),1,AND($K139&lt;=Y$7,$L139&gt;Y$7),((Y$7-$K139)/($L139-$K139)))</f>
        <v>#REF!</v>
      </c>
      <c r="AA139" s="201" t="e">
        <f t="array" ref="AA139">_xlfn.IFS(AND($K139&gt;Z$7,$L139&gt;Z$7),0,AND($K139&lt;=Z$7,$L139&lt;=Z$7),1,AND($K139&lt;=Z$7,$L139&gt;Z$7),((Z$7-$K139)/($L139-$K139)))</f>
        <v>#REF!</v>
      </c>
      <c r="AB139" s="201" t="e">
        <f t="array" ref="AB139">_xlfn.IFS(AND($K139&gt;AA$7,$L139&gt;AA$7),0,AND($K139&lt;=AA$7,$L139&lt;=AA$7),1,AND($K139&lt;=AA$7,$L139&gt;AA$7),((AA$7-$K139)/($L139-$K139)))</f>
        <v>#REF!</v>
      </c>
      <c r="AC139" s="201" t="e">
        <f t="array" ref="AC139">_xlfn.IFS(AND($K139&gt;AB$7,$L139&gt;AB$7),0,AND($K139&lt;=AB$7,$L139&lt;=AB$7),1,AND($K139&lt;=AB$7,$L139&gt;AB$7),((AB$7-$K139)/($L139-$K139)))</f>
        <v>#REF!</v>
      </c>
      <c r="AD139" s="201" t="e">
        <f t="array" ref="AD139">_xlfn.IFS(AND($K139&gt;AC$7,$L139&gt;AC$7),0,AND($K139&lt;=AC$7,$L139&lt;=AC$7),1,AND($K139&lt;=AC$7,$L139&gt;AC$7),((AC$7-$K139)/($L139-$K139)))</f>
        <v>#REF!</v>
      </c>
      <c r="AE139" s="201" t="e">
        <f t="array" ref="AE139">_xlfn.IFS(AND($K139&gt;AD$7,$L139&gt;AD$7),0,AND($K139&lt;=AD$7,$L139&lt;=AD$7),1,AND($K139&lt;=AD$7,$L139&gt;AD$7),((AD$7-$K139)/($L139-$K139)))</f>
        <v>#REF!</v>
      </c>
      <c r="AF139" s="201" t="e">
        <f t="array" ref="AF139">_xlfn.IFS(AND($K139&gt;AE$7,$L139&gt;AE$7),0,AND($K139&lt;=AE$7,$L139&lt;=AE$7),1,AND($K139&lt;=AE$7,$L139&gt;AE$7),((AE$7-$K139)/($L139-$K139)))</f>
        <v>#REF!</v>
      </c>
      <c r="AG139" s="201" t="e">
        <f t="array" ref="AG139">_xlfn.IFS(AND($K139&gt;AF$7,$L139&gt;AF$7),0,AND($K139&lt;=AF$7,$L139&lt;=AF$7),1,AND($K139&lt;=AF$7,$L139&gt;AF$7),((AF$7-$K139)/($L139-$K139)))</f>
        <v>#REF!</v>
      </c>
      <c r="AH139" s="201" t="e">
        <f t="array" ref="AH139">_xlfn.IFS(AND($K139&gt;AG$7,$L139&gt;AG$7),0,AND($K139&lt;=AG$7,$L139&lt;=AG$7),1,AND($K139&lt;=AG$7,$L139&gt;AG$7),((AG$7-$K139)/($L139-$K139)))</f>
        <v>#REF!</v>
      </c>
      <c r="AI139" s="201" t="e">
        <f t="array" ref="AI139">_xlfn.IFS(AND($K139&gt;AH$7,$L139&gt;AH$7),0,AND($K139&lt;=AH$7,$L139&lt;=AH$7),1,AND($K139&lt;=AH$7,$L139&gt;AH$7),((AH$7-$K139)/($L139-$K139)))</f>
        <v>#REF!</v>
      </c>
      <c r="AJ139" s="201" t="e">
        <f t="array" ref="AJ139">_xlfn.IFS(AND($K139&gt;AI$7,$L139&gt;AI$7),0,AND($K139&lt;=AI$7,$L139&lt;=AI$7),1,AND($K139&lt;=AI$7,$L139&gt;AI$7),((AI$7-$K139)/($L139-$K139)))</f>
        <v>#REF!</v>
      </c>
      <c r="AK139" s="201" t="e">
        <f t="array" ref="AK139">_xlfn.IFS(AND($K139&gt;AJ$7,$L139&gt;AJ$7),0,AND($K139&lt;=AJ$7,$L139&lt;=AJ$7),1,AND($K139&lt;=AJ$7,$L139&gt;AJ$7),((AJ$7-$K139)/($L139-$K139)))</f>
        <v>#REF!</v>
      </c>
      <c r="AL139" s="201" t="e">
        <f t="array" ref="AL139">_xlfn.IFS(AND($K139&gt;AK$7,$L139&gt;AK$7),0,AND($K139&lt;=AK$7,$L139&lt;=AK$7),1,AND($K139&lt;=AK$7,$L139&gt;AK$7),((AK$7-$K139)/($L139-$K139)))</f>
        <v>#REF!</v>
      </c>
      <c r="AM139" s="201" t="e">
        <f t="array" ref="AM139">_xlfn.IFS(AND($K139&gt;AL$7,$L139&gt;AL$7),0,AND($K139&lt;=AL$7,$L139&lt;=AL$7),1,AND($K139&lt;=AL$7,$L139&gt;AL$7),((AL$7-$K139)/($L139-$K139)))</f>
        <v>#REF!</v>
      </c>
      <c r="AN139" s="201" t="e">
        <f t="array" ref="AN139">_xlfn.IFS(AND($K139&gt;AM$7,$L139&gt;AM$7),0,AND($K139&lt;=AM$7,$L139&lt;=AM$7),1,AND($K139&lt;=AM$7,$L139&gt;AM$7),((AM$7-$K139)/($L139-$K139)))</f>
        <v>#REF!</v>
      </c>
      <c r="AO139" s="201" t="e">
        <f t="array" ref="AO139">_xlfn.IFS(AND($K139&gt;AN$7,$L139&gt;AN$7),0,AND($K139&lt;=AN$7,$L139&lt;=AN$7),1,AND($K139&lt;=AN$7,$L139&gt;AN$7),((AN$7-$K139)/($L139-$K139)))</f>
        <v>#REF!</v>
      </c>
      <c r="AP139" s="201" t="e">
        <f t="array" ref="AP139">_xlfn.IFS(AND($K139&gt;AO$7,$L139&gt;AO$7),0,AND($K139&lt;=AO$7,$L139&lt;=AO$7),1,AND($K139&lt;=AO$7,$L139&gt;AO$7),((AO$7-$K139)/($L139-$K139)))</f>
        <v>#REF!</v>
      </c>
      <c r="AQ139" s="201" t="e">
        <f t="array" ref="AQ139">_xlfn.IFS(AND($K139&gt;AP$7,$L139&gt;AP$7),0,AND($K139&lt;=AP$7,$L139&lt;=AP$7),1,AND($K139&lt;=AP$7,$L139&gt;AP$7),((AP$7-$K139)/($L139-$K139)))</f>
        <v>#REF!</v>
      </c>
      <c r="AR139" s="201" t="e">
        <f t="array" ref="AR139">_xlfn.IFS(AND($K139&gt;AQ$7,$L139&gt;AQ$7),0,AND($K139&lt;=AQ$7,$L139&lt;=AQ$7),1,AND($K139&lt;=AQ$7,$L139&gt;AQ$7),((AQ$7-$K139)/($L139-$K139)))</f>
        <v>#REF!</v>
      </c>
      <c r="AS139" s="201" t="e">
        <f t="array" ref="AS139">_xlfn.IFS(AND($K139&gt;AR$7,$L139&gt;AR$7),0,AND($K139&lt;=AR$7,$L139&lt;=AR$7),1,AND($K139&lt;=AR$7,$L139&gt;AR$7),((AR$7-$K139)/($L139-$K139)))</f>
        <v>#REF!</v>
      </c>
      <c r="AT139" s="201" t="e">
        <f t="array" ref="AT139">_xlfn.IFS(AND($K139&gt;AS$7,$L139&gt;AS$7),0,AND($K139&lt;=AS$7,$L139&lt;=AS$7),1,AND($K139&lt;=AS$7,$L139&gt;AS$7),((AS$7-$K139)/($L139-$K139)))</f>
        <v>#REF!</v>
      </c>
      <c r="AU139" s="201" t="e">
        <f t="array" ref="AU139">_xlfn.IFS(AND($K139&gt;AT$7,$L139&gt;AT$7),0,AND($K139&lt;=AT$7,$L139&lt;=AT$7),1,AND($K139&lt;=AT$7,$L139&gt;AT$7),((AT$7-$K139)/($L139-$K139)))</f>
        <v>#REF!</v>
      </c>
      <c r="AV139" s="201" t="e">
        <f t="array" ref="AV139">_xlfn.IFS(AND($K139&gt;AU$7,$L139&gt;AU$7),0,AND($K139&lt;=AU$7,$L139&lt;=AU$7),1,AND($K139&lt;=AU$7,$L139&gt;AU$7),((AU$7-$K139)/($L139-$K139)))</f>
        <v>#REF!</v>
      </c>
      <c r="AW139" s="201" t="e">
        <f t="array" ref="AW139">_xlfn.IFS(AND($K139&gt;AV$7,$L139&gt;AV$7),0,AND($K139&lt;=AV$7,$L139&lt;=AV$7),1,AND($K139&lt;=AV$7,$L139&gt;AV$7),((AV$7-$K139)/($L139-$K139)))</f>
        <v>#REF!</v>
      </c>
      <c r="AX139" s="201" t="e">
        <f t="array" ref="AX139">_xlfn.IFS(AND($K139&gt;AW$7,$L139&gt;AW$7),0,AND($K139&lt;=AW$7,$L139&lt;=AW$7),1,AND($K139&lt;=AW$7,$L139&gt;AW$7),((AW$7-$K139)/($L139-$K139)))</f>
        <v>#REF!</v>
      </c>
      <c r="AY139" s="201" t="e">
        <f t="array" ref="AY139">_xlfn.IFS(AND($K139&gt;AX$7,$L139&gt;AX$7),0,AND($K139&lt;=AX$7,$L139&lt;=AX$7),1,AND($K139&lt;=AX$7,$L139&gt;AX$7),((AX$7-$K139)/($L139-$K139)))</f>
        <v>#REF!</v>
      </c>
      <c r="AZ139" s="201" t="e">
        <f t="array" ref="AZ139">_xlfn.IFS(AND($K139&gt;AY$7,$L139&gt;AY$7),0,AND($K139&lt;=AY$7,$L139&lt;=AY$7),1,AND($K139&lt;=AY$7,$L139&gt;AY$7),((AY$7-$K139)/($L139-$K139)))</f>
        <v>#REF!</v>
      </c>
      <c r="BA139" s="201" t="e">
        <f t="array" ref="BA139">_xlfn.IFS(AND($K139&gt;AZ$7,$L139&gt;AZ$7),0,AND($K139&lt;=AZ$7,$L139&lt;=AZ$7),1,AND($K139&lt;=AZ$7,$L139&gt;AZ$7),((AZ$7-$K139)/($L139-$K139)))</f>
        <v>#REF!</v>
      </c>
      <c r="BB139" s="201" t="e">
        <f t="array" ref="BB139">_xlfn.IFS(AND($K139&gt;BA$7,$L139&gt;BA$7),0,AND($K139&lt;=BA$7,$L139&lt;=BA$7),1,AND($K139&lt;=BA$7,$L139&gt;BA$7),((BA$7-$K139)/($L139-$K139)))</f>
        <v>#REF!</v>
      </c>
      <c r="BC139" s="201" t="e">
        <f t="array" ref="BC139">_xlfn.IFS(AND($K139&gt;BB$7,$L139&gt;BB$7),0,AND($K139&lt;=BB$7,$L139&lt;=BB$7),1,AND($K139&lt;=BB$7,$L139&gt;BB$7),((BB$7-$K139)/($L139-$K139)))</f>
        <v>#REF!</v>
      </c>
      <c r="BD139" s="201" t="e">
        <f t="array" ref="BD139">_xlfn.IFS(AND($K139&gt;BC$7,$L139&gt;BC$7),0,AND($K139&lt;=BC$7,$L139&lt;=BC$7),1,AND($K139&lt;=BC$7,$L139&gt;BC$7),((BC$7-$K139)/($L139-$K139)))</f>
        <v>#REF!</v>
      </c>
      <c r="BE139" s="201" t="e">
        <f t="array" ref="BE139">_xlfn.IFS(AND($K139&gt;BD$7,$L139&gt;BD$7),0,AND($K139&lt;=BD$7,$L139&lt;=BD$7),1,AND($K139&lt;=BD$7,$L139&gt;BD$7),((BD$7-$K139)/($L139-$K139)))</f>
        <v>#REF!</v>
      </c>
      <c r="BF139" s="201" t="e">
        <f t="array" ref="BF139">_xlfn.IFS(AND($K139&gt;BE$7,$L139&gt;BE$7),0,AND($K139&lt;=BE$7,$L139&lt;=BE$7),1,AND($K139&lt;=BE$7,$L139&gt;BE$7),((BE$7-$K139)/($L139-$K139)))</f>
        <v>#REF!</v>
      </c>
      <c r="BG139" s="201" t="e">
        <f t="array" ref="BG139">_xlfn.IFS(AND($K139&gt;BF$7,$L139&gt;BF$7),0,AND($K139&lt;=BF$7,$L139&lt;=BF$7),1,AND($K139&lt;=BF$7,$L139&gt;BF$7),((BF$7-$K139)/($L139-$K139)))</f>
        <v>#REF!</v>
      </c>
      <c r="BH139" s="201" t="e">
        <f t="array" ref="BH139">_xlfn.IFS(AND($K139&gt;BG$7,$L139&gt;BG$7),0,AND($K139&lt;=BG$7,$L139&lt;=BG$7),1,AND($K139&lt;=BG$7,$L139&gt;BG$7),((BG$7-$K139)/($L139-$K139)))</f>
        <v>#REF!</v>
      </c>
      <c r="BI139" s="201" t="e">
        <f t="array" ref="BI139">_xlfn.IFS(AND($K139&gt;BH$7,$L139&gt;BH$7),0,AND($K139&lt;=BH$7,$L139&lt;=BH$7),1,AND($K139&lt;=BH$7,$L139&gt;BH$7),((BH$7-$K139)/($L139-$K139)))</f>
        <v>#REF!</v>
      </c>
      <c r="BJ139" s="201" t="e">
        <f t="array" ref="BJ139">_xlfn.IFS(AND($K139&gt;BI$7,$L139&gt;BI$7),0,AND($K139&lt;=BI$7,$L139&lt;=BI$7),1,AND($K139&lt;=BI$7,$L139&gt;BI$7),((BI$7-$K139)/($L139-$K139)))</f>
        <v>#REF!</v>
      </c>
      <c r="BK139" s="201" t="e">
        <f t="array" ref="BK139">_xlfn.IFS(AND($K139&gt;BJ$7,$L139&gt;BJ$7),0,AND($K139&lt;=BJ$7,$L139&lt;=BJ$7),1,AND($K139&lt;=BJ$7,$L139&gt;BJ$7),((BJ$7-$K139)/($L139-$K139)))</f>
        <v>#REF!</v>
      </c>
      <c r="BL139" s="201" t="e">
        <f t="array" ref="BL139">_xlfn.IFS(AND($K139&gt;BK$7,$L139&gt;BK$7),0,AND($K139&lt;=BK$7,$L139&lt;=BK$7),1,AND($K139&lt;=BK$7,$L139&gt;BK$7),((BK$7-$K139)/($L139-$K139)))</f>
        <v>#REF!</v>
      </c>
      <c r="BM139" s="201" t="e">
        <f t="array" ref="BM139">_xlfn.IFS(AND($K139&gt;BL$7,$L139&gt;BL$7),0,AND($K139&lt;=BL$7,$L139&lt;=BL$7),1,AND($K139&lt;=BL$7,$L139&gt;BL$7),((BL$7-$K139)/($L139-$K139)))</f>
        <v>#REF!</v>
      </c>
      <c r="BN139" s="201" t="e">
        <f t="array" ref="BN139">_xlfn.IFS(AND($K139&gt;BM$7,$L139&gt;BM$7),0,AND($K139&lt;=BM$7,$L139&lt;=BM$7),1,AND($K139&lt;=BM$7,$L139&gt;BM$7),((BM$7-$K139)/($L139-$K139)))</f>
        <v>#REF!</v>
      </c>
    </row>
    <row r="140" spans="2:66" x14ac:dyDescent="0.3">
      <c r="B140" s="177" t="str">
        <f t="array" ref="B140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2</v>
      </c>
      <c r="C140" s="177" t="s">
        <v>326</v>
      </c>
      <c r="D140" s="177" t="str">
        <f t="shared" ref="D140:D156" si="53">$H$11</f>
        <v>Arquitetura de projetos GERDAU</v>
      </c>
      <c r="E140" s="177" t="s">
        <v>74</v>
      </c>
      <c r="F140" s="177" t="s">
        <v>74</v>
      </c>
      <c r="G140" s="177" t="s">
        <v>74</v>
      </c>
      <c r="H140" s="193" t="s">
        <v>327</v>
      </c>
      <c r="I140" s="177">
        <f>MIN(I141,I145,I150,I153)</f>
        <v>45762</v>
      </c>
      <c r="J140" s="177">
        <f>MAX(J141,J145,J150,J153)</f>
        <v>46014</v>
      </c>
      <c r="K140" s="177">
        <f>MIN(K141,K145,K150,K153)</f>
        <v>45762</v>
      </c>
      <c r="L140" s="177">
        <f>MAX(L141,L145,L150,L153)</f>
        <v>46014</v>
      </c>
      <c r="M140" s="178"/>
      <c r="N140" s="178" t="str">
        <f t="array" ref="N140">_xlfn.IFS(L140&lt;$M$3,"Concluído",AND(K140&gt;=$M$3,I140&lt;$M$3,L140&gt;$M$3),"Em andamento",AND(L140&gt;=$M$3,J140&lt;$M$3),"Atrasado",AND(L140&gt;=$M$3,J140&gt;=$M$3,I140&gt;$M$3,K140&lt;=$M$3),"Em andamento",AND(L140&gt;=$M$3,J140&gt;=$M$3,I140&lt;=$M$3,K140&lt;=$M$3),"Em andamento",AND(K140&gt;$M$3,I140&gt;$M$3),"Não iniciado",AND(L140&gt;=$M$3,J140&gt;=$M$3,K140&gt;=$M$3,I140&lt;$M$3),"Atrasado",AND(L140&gt;=$M$3,J140&gt;=$M$3,K140&gt;=$M$3,I140&gt;$M$3),"Não iniciado",AND($I140&lt;=$M$3,$K140&gt;$M$3),"Atrasado")</f>
        <v>Concluído</v>
      </c>
      <c r="O140" s="178">
        <f t="array" ref="O140">_xlfn.IFS(N140="Não iniciado",0,N140="Em andamento",1,N140="Concluído",2,N140="Atrasado",3)</f>
        <v>2</v>
      </c>
      <c r="P140" s="179"/>
      <c r="Q140" s="180">
        <f t="shared" ref="Q140:AV140" ca="1" si="54">AVERAGE(Q141,Q145,Q150,Q153)</f>
        <v>1</v>
      </c>
      <c r="R140" s="180">
        <f t="shared" ca="1" si="54"/>
        <v>1</v>
      </c>
      <c r="S140" s="180" t="e">
        <f t="shared" si="54"/>
        <v>#REF!</v>
      </c>
      <c r="T140" s="180" t="e">
        <f t="shared" si="54"/>
        <v>#REF!</v>
      </c>
      <c r="U140" s="180" t="e">
        <f t="shared" si="54"/>
        <v>#REF!</v>
      </c>
      <c r="V140" s="180" t="e">
        <f t="shared" si="54"/>
        <v>#REF!</v>
      </c>
      <c r="W140" s="180" t="e">
        <f t="shared" si="54"/>
        <v>#REF!</v>
      </c>
      <c r="X140" s="180" t="e">
        <f t="shared" si="54"/>
        <v>#REF!</v>
      </c>
      <c r="Y140" s="180" t="e">
        <f t="shared" si="54"/>
        <v>#REF!</v>
      </c>
      <c r="Z140" s="180" t="e">
        <f t="shared" si="54"/>
        <v>#REF!</v>
      </c>
      <c r="AA140" s="180" t="e">
        <f t="shared" si="54"/>
        <v>#REF!</v>
      </c>
      <c r="AB140" s="180" t="e">
        <f t="shared" si="54"/>
        <v>#REF!</v>
      </c>
      <c r="AC140" s="180" t="e">
        <f t="shared" si="54"/>
        <v>#REF!</v>
      </c>
      <c r="AD140" s="180" t="e">
        <f t="shared" si="54"/>
        <v>#REF!</v>
      </c>
      <c r="AE140" s="180" t="e">
        <f t="shared" si="54"/>
        <v>#REF!</v>
      </c>
      <c r="AF140" s="180" t="e">
        <f t="shared" si="54"/>
        <v>#REF!</v>
      </c>
      <c r="AG140" s="180" t="e">
        <f t="shared" si="54"/>
        <v>#REF!</v>
      </c>
      <c r="AH140" s="180" t="e">
        <f t="shared" si="54"/>
        <v>#REF!</v>
      </c>
      <c r="AI140" s="180" t="e">
        <f t="shared" si="54"/>
        <v>#REF!</v>
      </c>
      <c r="AJ140" s="180" t="e">
        <f t="shared" si="54"/>
        <v>#REF!</v>
      </c>
      <c r="AK140" s="180" t="e">
        <f t="shared" si="54"/>
        <v>#REF!</v>
      </c>
      <c r="AL140" s="180" t="e">
        <f t="shared" si="54"/>
        <v>#REF!</v>
      </c>
      <c r="AM140" s="180" t="e">
        <f t="shared" si="54"/>
        <v>#REF!</v>
      </c>
      <c r="AN140" s="180" t="e">
        <f t="shared" si="54"/>
        <v>#REF!</v>
      </c>
      <c r="AO140" s="180" t="e">
        <f t="shared" si="54"/>
        <v>#REF!</v>
      </c>
      <c r="AP140" s="180" t="e">
        <f t="shared" si="54"/>
        <v>#REF!</v>
      </c>
      <c r="AQ140" s="180" t="e">
        <f t="shared" si="54"/>
        <v>#REF!</v>
      </c>
      <c r="AR140" s="180" t="e">
        <f t="shared" si="54"/>
        <v>#REF!</v>
      </c>
      <c r="AS140" s="180" t="e">
        <f t="shared" si="54"/>
        <v>#REF!</v>
      </c>
      <c r="AT140" s="180" t="e">
        <f t="shared" si="54"/>
        <v>#REF!</v>
      </c>
      <c r="AU140" s="180" t="e">
        <f t="shared" si="54"/>
        <v>#REF!</v>
      </c>
      <c r="AV140" s="180" t="e">
        <f t="shared" si="54"/>
        <v>#REF!</v>
      </c>
      <c r="AW140" s="180" t="e">
        <f t="shared" ref="AW140:BN140" si="55">AVERAGE(AW141,AW145,AW150,AW153)</f>
        <v>#REF!</v>
      </c>
      <c r="AX140" s="180" t="e">
        <f t="shared" si="55"/>
        <v>#REF!</v>
      </c>
      <c r="AY140" s="180" t="e">
        <f t="shared" si="55"/>
        <v>#REF!</v>
      </c>
      <c r="AZ140" s="180" t="e">
        <f t="shared" si="55"/>
        <v>#REF!</v>
      </c>
      <c r="BA140" s="180" t="e">
        <f t="shared" si="55"/>
        <v>#REF!</v>
      </c>
      <c r="BB140" s="180" t="e">
        <f t="shared" si="55"/>
        <v>#REF!</v>
      </c>
      <c r="BC140" s="180" t="e">
        <f t="shared" si="55"/>
        <v>#REF!</v>
      </c>
      <c r="BD140" s="180" t="e">
        <f t="shared" si="55"/>
        <v>#REF!</v>
      </c>
      <c r="BE140" s="180" t="e">
        <f t="shared" si="55"/>
        <v>#REF!</v>
      </c>
      <c r="BF140" s="180" t="e">
        <f t="shared" si="55"/>
        <v>#REF!</v>
      </c>
      <c r="BG140" s="180" t="e">
        <f t="shared" si="55"/>
        <v>#REF!</v>
      </c>
      <c r="BH140" s="180" t="e">
        <f t="shared" si="55"/>
        <v>#REF!</v>
      </c>
      <c r="BI140" s="180" t="e">
        <f t="shared" si="55"/>
        <v>#REF!</v>
      </c>
      <c r="BJ140" s="180" t="e">
        <f t="shared" si="55"/>
        <v>#REF!</v>
      </c>
      <c r="BK140" s="180" t="e">
        <f t="shared" si="55"/>
        <v>#REF!</v>
      </c>
      <c r="BL140" s="180" t="e">
        <f t="shared" si="55"/>
        <v>#REF!</v>
      </c>
      <c r="BM140" s="180" t="e">
        <f t="shared" si="55"/>
        <v>#REF!</v>
      </c>
      <c r="BN140" s="180" t="e">
        <f t="shared" si="55"/>
        <v>#REF!</v>
      </c>
    </row>
    <row r="141" spans="2:66" x14ac:dyDescent="0.3">
      <c r="B141" s="170" t="str">
        <f t="array" ref="B141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3</v>
      </c>
      <c r="C141" s="170" t="s">
        <v>328</v>
      </c>
      <c r="D141" s="177" t="str">
        <f t="shared" si="53"/>
        <v>Arquitetura de projetos GERDAU</v>
      </c>
      <c r="E141" s="170" t="str">
        <f t="shared" ref="E141:E156" si="56">$H$140</f>
        <v>Dimensionamento de Headcount</v>
      </c>
      <c r="F141" s="170" t="s">
        <v>74</v>
      </c>
      <c r="G141" s="170" t="s">
        <v>74</v>
      </c>
      <c r="H141" s="194" t="s">
        <v>329</v>
      </c>
      <c r="I141" s="170">
        <f>MIN(I142:I142)</f>
        <v>45762</v>
      </c>
      <c r="J141" s="170">
        <f>MAX(J142:J142)</f>
        <v>45989</v>
      </c>
      <c r="K141" s="170">
        <f>MIN(K142:K142)</f>
        <v>45762</v>
      </c>
      <c r="L141" s="170">
        <f>MAX(L142:L142)</f>
        <v>45989</v>
      </c>
      <c r="M141" s="171"/>
      <c r="N141" s="171" t="str">
        <f t="array" ref="N141">_xlfn.IFS(L141&lt;$M$3,"Concluído",AND(K141&gt;=$M$3,I141&lt;$M$3,L141&gt;$M$3),"Em andamento",AND(L141&gt;=$M$3,J141&lt;$M$3),"Atrasado",AND(L141&gt;=$M$3,J141&gt;=$M$3,I141&gt;$M$3,K141&lt;=$M$3),"Em andamento",AND(L141&gt;=$M$3,J141&gt;=$M$3,I141&lt;=$M$3,K141&lt;=$M$3),"Em andamento",AND(K141&gt;$M$3,I141&gt;$M$3),"Não iniciado",AND(L141&gt;=$M$3,J141&gt;=$M$3,K141&gt;=$M$3,I141&lt;$M$3),"Atrasado",AND(L141&gt;=$M$3,J141&gt;=$M$3,K141&gt;=$M$3,I141&gt;$M$3),"Não iniciado",AND($I141&lt;=$M$3,$K141&gt;$M$3),"Atrasado")</f>
        <v>Concluído</v>
      </c>
      <c r="O141" s="171">
        <f t="array" ref="O141">_xlfn.IFS(N141="Não iniciado",0,N141="Em andamento",1,N141="Concluído",2,N141="Atrasado",3)</f>
        <v>2</v>
      </c>
      <c r="P141" s="172"/>
      <c r="Q141" s="173">
        <f t="shared" ref="Q141:AV141" ca="1" si="57">Q142</f>
        <v>1</v>
      </c>
      <c r="R141" s="173">
        <f t="shared" ca="1" si="57"/>
        <v>1</v>
      </c>
      <c r="S141" s="173" t="e">
        <f t="shared" si="57"/>
        <v>#REF!</v>
      </c>
      <c r="T141" s="173" t="e">
        <f t="shared" si="57"/>
        <v>#REF!</v>
      </c>
      <c r="U141" s="173" t="e">
        <f t="shared" si="57"/>
        <v>#REF!</v>
      </c>
      <c r="V141" s="173" t="e">
        <f t="shared" si="57"/>
        <v>#REF!</v>
      </c>
      <c r="W141" s="173" t="e">
        <f t="shared" si="57"/>
        <v>#REF!</v>
      </c>
      <c r="X141" s="173" t="e">
        <f t="shared" si="57"/>
        <v>#REF!</v>
      </c>
      <c r="Y141" s="173" t="e">
        <f t="shared" si="57"/>
        <v>#REF!</v>
      </c>
      <c r="Z141" s="173" t="e">
        <f t="shared" si="57"/>
        <v>#REF!</v>
      </c>
      <c r="AA141" s="173" t="e">
        <f t="shared" si="57"/>
        <v>#REF!</v>
      </c>
      <c r="AB141" s="173" t="e">
        <f t="shared" si="57"/>
        <v>#REF!</v>
      </c>
      <c r="AC141" s="173" t="e">
        <f t="shared" si="57"/>
        <v>#REF!</v>
      </c>
      <c r="AD141" s="173" t="e">
        <f t="shared" si="57"/>
        <v>#REF!</v>
      </c>
      <c r="AE141" s="173" t="e">
        <f t="shared" si="57"/>
        <v>#REF!</v>
      </c>
      <c r="AF141" s="173" t="e">
        <f t="shared" si="57"/>
        <v>#REF!</v>
      </c>
      <c r="AG141" s="173" t="e">
        <f t="shared" si="57"/>
        <v>#REF!</v>
      </c>
      <c r="AH141" s="173" t="e">
        <f t="shared" si="57"/>
        <v>#REF!</v>
      </c>
      <c r="AI141" s="173" t="e">
        <f t="shared" si="57"/>
        <v>#REF!</v>
      </c>
      <c r="AJ141" s="173" t="e">
        <f t="shared" si="57"/>
        <v>#REF!</v>
      </c>
      <c r="AK141" s="173" t="e">
        <f t="shared" si="57"/>
        <v>#REF!</v>
      </c>
      <c r="AL141" s="173" t="e">
        <f t="shared" si="57"/>
        <v>#REF!</v>
      </c>
      <c r="AM141" s="173" t="e">
        <f t="shared" si="57"/>
        <v>#REF!</v>
      </c>
      <c r="AN141" s="173" t="e">
        <f t="shared" si="57"/>
        <v>#REF!</v>
      </c>
      <c r="AO141" s="173" t="e">
        <f t="shared" si="57"/>
        <v>#REF!</v>
      </c>
      <c r="AP141" s="173" t="e">
        <f t="shared" si="57"/>
        <v>#REF!</v>
      </c>
      <c r="AQ141" s="173" t="e">
        <f t="shared" si="57"/>
        <v>#REF!</v>
      </c>
      <c r="AR141" s="173" t="e">
        <f t="shared" si="57"/>
        <v>#REF!</v>
      </c>
      <c r="AS141" s="173" t="e">
        <f t="shared" si="57"/>
        <v>#REF!</v>
      </c>
      <c r="AT141" s="173" t="e">
        <f t="shared" si="57"/>
        <v>#REF!</v>
      </c>
      <c r="AU141" s="173" t="e">
        <f t="shared" si="57"/>
        <v>#REF!</v>
      </c>
      <c r="AV141" s="173" t="e">
        <f t="shared" si="57"/>
        <v>#REF!</v>
      </c>
      <c r="AW141" s="173" t="e">
        <f t="shared" ref="AW141:BN141" si="58">AW142</f>
        <v>#REF!</v>
      </c>
      <c r="AX141" s="173" t="e">
        <f t="shared" si="58"/>
        <v>#REF!</v>
      </c>
      <c r="AY141" s="173" t="e">
        <f t="shared" si="58"/>
        <v>#REF!</v>
      </c>
      <c r="AZ141" s="173" t="e">
        <f t="shared" si="58"/>
        <v>#REF!</v>
      </c>
      <c r="BA141" s="173" t="e">
        <f t="shared" si="58"/>
        <v>#REF!</v>
      </c>
      <c r="BB141" s="173" t="e">
        <f t="shared" si="58"/>
        <v>#REF!</v>
      </c>
      <c r="BC141" s="173" t="e">
        <f t="shared" si="58"/>
        <v>#REF!</v>
      </c>
      <c r="BD141" s="173" t="e">
        <f t="shared" si="58"/>
        <v>#REF!</v>
      </c>
      <c r="BE141" s="173" t="e">
        <f t="shared" si="58"/>
        <v>#REF!</v>
      </c>
      <c r="BF141" s="173" t="e">
        <f t="shared" si="58"/>
        <v>#REF!</v>
      </c>
      <c r="BG141" s="173" t="e">
        <f t="shared" si="58"/>
        <v>#REF!</v>
      </c>
      <c r="BH141" s="173" t="e">
        <f t="shared" si="58"/>
        <v>#REF!</v>
      </c>
      <c r="BI141" s="173" t="e">
        <f t="shared" si="58"/>
        <v>#REF!</v>
      </c>
      <c r="BJ141" s="173" t="e">
        <f t="shared" si="58"/>
        <v>#REF!</v>
      </c>
      <c r="BK141" s="173" t="e">
        <f t="shared" si="58"/>
        <v>#REF!</v>
      </c>
      <c r="BL141" s="173" t="e">
        <f t="shared" si="58"/>
        <v>#REF!</v>
      </c>
      <c r="BM141" s="173" t="e">
        <f t="shared" si="58"/>
        <v>#REF!</v>
      </c>
      <c r="BN141" s="173" t="e">
        <f t="shared" si="58"/>
        <v>#REF!</v>
      </c>
    </row>
    <row r="142" spans="2:66" x14ac:dyDescent="0.3">
      <c r="B142" s="174" t="str">
        <f t="array" ref="B142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142" s="174" t="s">
        <v>330</v>
      </c>
      <c r="D142" s="177" t="str">
        <f t="shared" si="53"/>
        <v>Arquitetura de projetos GERDAU</v>
      </c>
      <c r="E142" s="170" t="str">
        <f t="shared" si="56"/>
        <v>Dimensionamento de Headcount</v>
      </c>
      <c r="F142" s="174" t="str">
        <f>$H$141</f>
        <v>Acompanhamento e Medição de Produtividade dos Processos</v>
      </c>
      <c r="G142" s="174" t="s">
        <v>74</v>
      </c>
      <c r="H142" s="195" t="s">
        <v>329</v>
      </c>
      <c r="I142" s="174">
        <f>MIN(I143:I144)</f>
        <v>45762</v>
      </c>
      <c r="J142" s="174">
        <f>MAX(J143:J144)</f>
        <v>45989</v>
      </c>
      <c r="K142" s="174">
        <f>MIN(K143:K144)</f>
        <v>45762</v>
      </c>
      <c r="L142" s="174">
        <f>MAX(L143:L144)</f>
        <v>45989</v>
      </c>
      <c r="M142" s="175"/>
      <c r="N142" s="175" t="str">
        <f t="array" ref="N142">_xlfn.IFS(L142&lt;$M$3,"Concluído",AND(K142&gt;=$M$3,I142&lt;$M$3,L142&gt;$M$3),"Em andamento",AND(L142&gt;=$M$3,J142&lt;$M$3),"Atrasado",AND(L142&gt;=$M$3,J142&gt;=$M$3,I142&gt;$M$3,K142&lt;=$M$3),"Em andamento",AND(L142&gt;=$M$3,J142&gt;=$M$3,I142&lt;=$M$3,K142&lt;=$M$3),"Em andamento",AND(K142&gt;$M$3,I142&gt;$M$3),"Não iniciado",AND(L142&gt;=$M$3,J142&gt;=$M$3,K142&gt;=$M$3,I142&lt;$M$3),"Atrasado",AND(L142&gt;=$M$3,J142&gt;=$M$3,K142&gt;=$M$3,I142&gt;$M$3),"Não iniciado",AND($I142&lt;=$M$3,$K142&gt;$M$3),"Atrasado")</f>
        <v>Concluído</v>
      </c>
      <c r="O142" s="175">
        <f t="array" ref="O142">_xlfn.IFS(N142="Não iniciado",0,N142="Em andamento",1,N142="Concluído",2,N142="Atrasado",3)</f>
        <v>2</v>
      </c>
      <c r="P142" s="176"/>
      <c r="Q142" s="156">
        <f t="shared" ref="Q142:AV142" ca="1" si="59">AVERAGE(Q143:Q144)</f>
        <v>1</v>
      </c>
      <c r="R142" s="156">
        <f t="shared" ca="1" si="59"/>
        <v>1</v>
      </c>
      <c r="S142" s="156" t="e">
        <f t="shared" si="59"/>
        <v>#REF!</v>
      </c>
      <c r="T142" s="156" t="e">
        <f t="shared" si="59"/>
        <v>#REF!</v>
      </c>
      <c r="U142" s="156" t="e">
        <f t="shared" si="59"/>
        <v>#REF!</v>
      </c>
      <c r="V142" s="156" t="e">
        <f t="shared" si="59"/>
        <v>#REF!</v>
      </c>
      <c r="W142" s="156" t="e">
        <f t="shared" si="59"/>
        <v>#REF!</v>
      </c>
      <c r="X142" s="156" t="e">
        <f t="shared" si="59"/>
        <v>#REF!</v>
      </c>
      <c r="Y142" s="156" t="e">
        <f t="shared" si="59"/>
        <v>#REF!</v>
      </c>
      <c r="Z142" s="156" t="e">
        <f t="shared" si="59"/>
        <v>#REF!</v>
      </c>
      <c r="AA142" s="156" t="e">
        <f t="shared" si="59"/>
        <v>#REF!</v>
      </c>
      <c r="AB142" s="156" t="e">
        <f t="shared" si="59"/>
        <v>#REF!</v>
      </c>
      <c r="AC142" s="156" t="e">
        <f t="shared" si="59"/>
        <v>#REF!</v>
      </c>
      <c r="AD142" s="156" t="e">
        <f t="shared" si="59"/>
        <v>#REF!</v>
      </c>
      <c r="AE142" s="156" t="e">
        <f t="shared" si="59"/>
        <v>#REF!</v>
      </c>
      <c r="AF142" s="156" t="e">
        <f t="shared" si="59"/>
        <v>#REF!</v>
      </c>
      <c r="AG142" s="156" t="e">
        <f t="shared" si="59"/>
        <v>#REF!</v>
      </c>
      <c r="AH142" s="156" t="e">
        <f t="shared" si="59"/>
        <v>#REF!</v>
      </c>
      <c r="AI142" s="156" t="e">
        <f t="shared" si="59"/>
        <v>#REF!</v>
      </c>
      <c r="AJ142" s="156" t="e">
        <f t="shared" si="59"/>
        <v>#REF!</v>
      </c>
      <c r="AK142" s="156" t="e">
        <f t="shared" si="59"/>
        <v>#REF!</v>
      </c>
      <c r="AL142" s="156" t="e">
        <f t="shared" si="59"/>
        <v>#REF!</v>
      </c>
      <c r="AM142" s="156" t="e">
        <f t="shared" si="59"/>
        <v>#REF!</v>
      </c>
      <c r="AN142" s="156" t="e">
        <f t="shared" si="59"/>
        <v>#REF!</v>
      </c>
      <c r="AO142" s="156" t="e">
        <f t="shared" si="59"/>
        <v>#REF!</v>
      </c>
      <c r="AP142" s="156" t="e">
        <f t="shared" si="59"/>
        <v>#REF!</v>
      </c>
      <c r="AQ142" s="156" t="e">
        <f t="shared" si="59"/>
        <v>#REF!</v>
      </c>
      <c r="AR142" s="156" t="e">
        <f t="shared" si="59"/>
        <v>#REF!</v>
      </c>
      <c r="AS142" s="156" t="e">
        <f t="shared" si="59"/>
        <v>#REF!</v>
      </c>
      <c r="AT142" s="156" t="e">
        <f t="shared" si="59"/>
        <v>#REF!</v>
      </c>
      <c r="AU142" s="156" t="e">
        <f t="shared" si="59"/>
        <v>#REF!</v>
      </c>
      <c r="AV142" s="156" t="e">
        <f t="shared" si="59"/>
        <v>#REF!</v>
      </c>
      <c r="AW142" s="156" t="e">
        <f t="shared" ref="AW142:BN142" si="60">AVERAGE(AW143:AW144)</f>
        <v>#REF!</v>
      </c>
      <c r="AX142" s="156" t="e">
        <f t="shared" si="60"/>
        <v>#REF!</v>
      </c>
      <c r="AY142" s="156" t="e">
        <f t="shared" si="60"/>
        <v>#REF!</v>
      </c>
      <c r="AZ142" s="156" t="e">
        <f t="shared" si="60"/>
        <v>#REF!</v>
      </c>
      <c r="BA142" s="156" t="e">
        <f t="shared" si="60"/>
        <v>#REF!</v>
      </c>
      <c r="BB142" s="156" t="e">
        <f t="shared" si="60"/>
        <v>#REF!</v>
      </c>
      <c r="BC142" s="156" t="e">
        <f t="shared" si="60"/>
        <v>#REF!</v>
      </c>
      <c r="BD142" s="156" t="e">
        <f t="shared" si="60"/>
        <v>#REF!</v>
      </c>
      <c r="BE142" s="156" t="e">
        <f t="shared" si="60"/>
        <v>#REF!</v>
      </c>
      <c r="BF142" s="156" t="e">
        <f t="shared" si="60"/>
        <v>#REF!</v>
      </c>
      <c r="BG142" s="156" t="e">
        <f t="shared" si="60"/>
        <v>#REF!</v>
      </c>
      <c r="BH142" s="156" t="e">
        <f t="shared" si="60"/>
        <v>#REF!</v>
      </c>
      <c r="BI142" s="156" t="e">
        <f t="shared" si="60"/>
        <v>#REF!</v>
      </c>
      <c r="BJ142" s="156" t="e">
        <f t="shared" si="60"/>
        <v>#REF!</v>
      </c>
      <c r="BK142" s="156" t="e">
        <f t="shared" si="60"/>
        <v>#REF!</v>
      </c>
      <c r="BL142" s="156" t="e">
        <f t="shared" si="60"/>
        <v>#REF!</v>
      </c>
      <c r="BM142" s="156" t="e">
        <f t="shared" si="60"/>
        <v>#REF!</v>
      </c>
      <c r="BN142" s="156" t="e">
        <f t="shared" si="60"/>
        <v>#REF!</v>
      </c>
    </row>
    <row r="143" spans="2:66" x14ac:dyDescent="0.3">
      <c r="B143" s="166" t="str">
        <f t="array" ref="B143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43" s="166" t="s">
        <v>331</v>
      </c>
      <c r="D143" s="177" t="str">
        <f t="shared" si="53"/>
        <v>Arquitetura de projetos GERDAU</v>
      </c>
      <c r="E143" s="170" t="str">
        <f t="shared" si="56"/>
        <v>Dimensionamento de Headcount</v>
      </c>
      <c r="F143" s="174" t="str">
        <f>$H$141</f>
        <v>Acompanhamento e Medição de Produtividade dos Processos</v>
      </c>
      <c r="G143" s="166" t="str">
        <f>H142</f>
        <v>Acompanhamento e Medição de Produtividade dos Processos</v>
      </c>
      <c r="H143" s="197" t="s">
        <v>332</v>
      </c>
      <c r="I143" s="166">
        <v>45762</v>
      </c>
      <c r="J143" s="166">
        <v>45989</v>
      </c>
      <c r="K143" s="166">
        <v>45762</v>
      </c>
      <c r="L143" s="166">
        <v>45989</v>
      </c>
      <c r="M143" s="167"/>
      <c r="N143" s="167" t="str">
        <f t="array" ref="N143">_xlfn.IFS(L143&lt;$M$3,"Concluído",AND(K143&gt;=$M$3,I143&lt;$M$3,L143&gt;$M$3),"Em andamento",AND(L143&gt;=$M$3,J143&lt;$M$3),"Atrasado",AND(L143&gt;=$M$3,J143&gt;=$M$3,I143&gt;$M$3,K143&lt;=$M$3),"Em andamento",AND(L143&gt;=$M$3,J143&gt;=$M$3,I143&lt;=$M$3,K143&lt;=$M$3),"Em andamento",AND(K143&gt;$M$3,I143&gt;$M$3),"Não iniciado",AND(L143&gt;=$M$3,J143&gt;=$M$3,K143&gt;=$M$3,I143&lt;$M$3),"Atrasado",AND(L143&gt;=$M$3,J143&gt;=$M$3,K143&gt;=$M$3,I143&gt;$M$3),"Não iniciado",AND($I143&lt;=$M$3,$K143&gt;$M$3),"Atrasado")</f>
        <v>Concluído</v>
      </c>
      <c r="O143" s="167">
        <f t="array" ref="O143">_xlfn.IFS(N143="Não iniciado",0,N143="Em andamento",1,N143="Concluído",2,N143="Atrasado",3)</f>
        <v>2</v>
      </c>
      <c r="P143" s="168"/>
      <c r="Q143" s="152">
        <f t="array" aca="1" ref="Q143" ca="1">_xlfn.IFS(AND($I143&lt;$N$3,$J143&lt;$N$3),1,AND($I143&lt;=$N$3,$J143&gt;=$N$3),0.5,AND($I143&gt;=$N$3,$J143&gt;=$N$3),0)</f>
        <v>1</v>
      </c>
      <c r="R143" s="152">
        <f t="array" aca="1" ref="R143" ca="1">_xlfn.IFS(AND($K143&lt;$N$3,$L143&lt;$N$3),1,AND($K143&lt;=$N$3,$L143&gt;=$N$3),0.5,AND($K143&gt;=$N$3,$L143&gt;=$N$3),0)</f>
        <v>1</v>
      </c>
      <c r="S143" s="201" t="e">
        <f t="array" ref="S143">_xlfn.IFS(AND($K143&gt;R$7,$L143&gt;R$7),0,AND($K143&lt;=R$7,$L143&lt;=R$7),1,AND($K143&lt;=R$7,$L143&gt;R$7),((R$7-$K143)/($L143-$K143)))</f>
        <v>#REF!</v>
      </c>
      <c r="T143" s="201" t="e">
        <f t="array" ref="T143">_xlfn.IFS(AND($K143&gt;S$7,$L143&gt;S$7),0,AND($K143&lt;=S$7,$L143&lt;=S$7),1,AND($K143&lt;=S$7,$L143&gt;S$7),((S$7-$K143)/($L143-$K143)))</f>
        <v>#REF!</v>
      </c>
      <c r="U143" s="201" t="e">
        <f t="array" ref="U143">_xlfn.IFS(AND($K143&gt;T$7,$L143&gt;T$7),0,AND($K143&lt;=T$7,$L143&lt;=T$7),1,AND($K143&lt;=T$7,$L143&gt;T$7),((T$7-$K143)/($L143-$K143)))</f>
        <v>#REF!</v>
      </c>
      <c r="V143" s="201" t="e">
        <f t="array" ref="V143">_xlfn.IFS(AND($K143&gt;U$7,$L143&gt;U$7),0,AND($K143&lt;=U$7,$L143&lt;=U$7),1,AND($K143&lt;=U$7,$L143&gt;U$7),((U$7-$K143)/($L143-$K143)))</f>
        <v>#REF!</v>
      </c>
      <c r="W143" s="201" t="e">
        <f t="array" ref="W143">_xlfn.IFS(AND($K143&gt;V$7,$L143&gt;V$7),0,AND($K143&lt;=V$7,$L143&lt;=V$7),1,AND($K143&lt;=V$7,$L143&gt;V$7),((V$7-$K143)/($L143-$K143)))</f>
        <v>#REF!</v>
      </c>
      <c r="X143" s="201" t="e">
        <f t="array" ref="X143">_xlfn.IFS(AND($K143&gt;W$7,$L143&gt;W$7),0,AND($K143&lt;=W$7,$L143&lt;=W$7),1,AND($K143&lt;=W$7,$L143&gt;W$7),((W$7-$K143)/($L143-$K143)))</f>
        <v>#REF!</v>
      </c>
      <c r="Y143" s="201" t="e">
        <f t="array" ref="Y143">_xlfn.IFS(AND($K143&gt;X$7,$L143&gt;X$7),0,AND($K143&lt;=X$7,$L143&lt;=X$7),1,AND($K143&lt;=X$7,$L143&gt;X$7),((X$7-$K143)/($L143-$K143)))</f>
        <v>#REF!</v>
      </c>
      <c r="Z143" s="201" t="e">
        <f t="array" ref="Z143">_xlfn.IFS(AND($K143&gt;Y$7,$L143&gt;Y$7),0,AND($K143&lt;=Y$7,$L143&lt;=Y$7),1,AND($K143&lt;=Y$7,$L143&gt;Y$7),((Y$7-$K143)/($L143-$K143)))</f>
        <v>#REF!</v>
      </c>
      <c r="AA143" s="201" t="e">
        <f t="array" ref="AA143">_xlfn.IFS(AND($K143&gt;Z$7,$L143&gt;Z$7),0,AND($K143&lt;=Z$7,$L143&lt;=Z$7),1,AND($K143&lt;=Z$7,$L143&gt;Z$7),((Z$7-$K143)/($L143-$K143)))</f>
        <v>#REF!</v>
      </c>
      <c r="AB143" s="201" t="e">
        <f t="array" ref="AB143">_xlfn.IFS(AND($K143&gt;AA$7,$L143&gt;AA$7),0,AND($K143&lt;=AA$7,$L143&lt;=AA$7),1,AND($K143&lt;=AA$7,$L143&gt;AA$7),((AA$7-$K143)/($L143-$K143)))</f>
        <v>#REF!</v>
      </c>
      <c r="AC143" s="201" t="e">
        <f t="array" ref="AC143">_xlfn.IFS(AND($K143&gt;AB$7,$L143&gt;AB$7),0,AND($K143&lt;=AB$7,$L143&lt;=AB$7),1,AND($K143&lt;=AB$7,$L143&gt;AB$7),((AB$7-$K143)/($L143-$K143)))</f>
        <v>#REF!</v>
      </c>
      <c r="AD143" s="201" t="e">
        <f t="array" ref="AD143">_xlfn.IFS(AND($K143&gt;AC$7,$L143&gt;AC$7),0,AND($K143&lt;=AC$7,$L143&lt;=AC$7),1,AND($K143&lt;=AC$7,$L143&gt;AC$7),((AC$7-$K143)/($L143-$K143)))</f>
        <v>#REF!</v>
      </c>
      <c r="AE143" s="201" t="e">
        <f t="array" ref="AE143">_xlfn.IFS(AND($K143&gt;AD$7,$L143&gt;AD$7),0,AND($K143&lt;=AD$7,$L143&lt;=AD$7),1,AND($K143&lt;=AD$7,$L143&gt;AD$7),((AD$7-$K143)/($L143-$K143)))</f>
        <v>#REF!</v>
      </c>
      <c r="AF143" s="201" t="e">
        <f t="array" ref="AF143">_xlfn.IFS(AND($K143&gt;AE$7,$L143&gt;AE$7),0,AND($K143&lt;=AE$7,$L143&lt;=AE$7),1,AND($K143&lt;=AE$7,$L143&gt;AE$7),((AE$7-$K143)/($L143-$K143)))</f>
        <v>#REF!</v>
      </c>
      <c r="AG143" s="201" t="e">
        <f t="array" ref="AG143">_xlfn.IFS(AND($K143&gt;AF$7,$L143&gt;AF$7),0,AND($K143&lt;=AF$7,$L143&lt;=AF$7),1,AND($K143&lt;=AF$7,$L143&gt;AF$7),((AF$7-$K143)/($L143-$K143)))</f>
        <v>#REF!</v>
      </c>
      <c r="AH143" s="201" t="e">
        <f t="array" ref="AH143">_xlfn.IFS(AND($K143&gt;AG$7,$L143&gt;AG$7),0,AND($K143&lt;=AG$7,$L143&lt;=AG$7),1,AND($K143&lt;=AG$7,$L143&gt;AG$7),((AG$7-$K143)/($L143-$K143)))</f>
        <v>#REF!</v>
      </c>
      <c r="AI143" s="201" t="e">
        <f t="array" ref="AI143">_xlfn.IFS(AND($K143&gt;AH$7,$L143&gt;AH$7),0,AND($K143&lt;=AH$7,$L143&lt;=AH$7),1,AND($K143&lt;=AH$7,$L143&gt;AH$7),((AH$7-$K143)/($L143-$K143)))</f>
        <v>#REF!</v>
      </c>
      <c r="AJ143" s="201" t="e">
        <f t="array" ref="AJ143">_xlfn.IFS(AND($K143&gt;AI$7,$L143&gt;AI$7),0,AND($K143&lt;=AI$7,$L143&lt;=AI$7),1,AND($K143&lt;=AI$7,$L143&gt;AI$7),((AI$7-$K143)/($L143-$K143)))</f>
        <v>#REF!</v>
      </c>
      <c r="AK143" s="201" t="e">
        <f t="array" ref="AK143">_xlfn.IFS(AND($K143&gt;AJ$7,$L143&gt;AJ$7),0,AND($K143&lt;=AJ$7,$L143&lt;=AJ$7),1,AND($K143&lt;=AJ$7,$L143&gt;AJ$7),((AJ$7-$K143)/($L143-$K143)))</f>
        <v>#REF!</v>
      </c>
      <c r="AL143" s="201" t="e">
        <f t="array" ref="AL143">_xlfn.IFS(AND($K143&gt;AK$7,$L143&gt;AK$7),0,AND($K143&lt;=AK$7,$L143&lt;=AK$7),1,AND($K143&lt;=AK$7,$L143&gt;AK$7),((AK$7-$K143)/($L143-$K143)))</f>
        <v>#REF!</v>
      </c>
      <c r="AM143" s="201" t="e">
        <f t="array" ref="AM143">_xlfn.IFS(AND($K143&gt;AL$7,$L143&gt;AL$7),0,AND($K143&lt;=AL$7,$L143&lt;=AL$7),1,AND($K143&lt;=AL$7,$L143&gt;AL$7),((AL$7-$K143)/($L143-$K143)))</f>
        <v>#REF!</v>
      </c>
      <c r="AN143" s="201" t="e">
        <f t="array" ref="AN143">_xlfn.IFS(AND($K143&gt;AM$7,$L143&gt;AM$7),0,AND($K143&lt;=AM$7,$L143&lt;=AM$7),1,AND($K143&lt;=AM$7,$L143&gt;AM$7),((AM$7-$K143)/($L143-$K143)))</f>
        <v>#REF!</v>
      </c>
      <c r="AO143" s="201" t="e">
        <f t="array" ref="AO143">_xlfn.IFS(AND($K143&gt;AN$7,$L143&gt;AN$7),0,AND($K143&lt;=AN$7,$L143&lt;=AN$7),1,AND($K143&lt;=AN$7,$L143&gt;AN$7),((AN$7-$K143)/($L143-$K143)))</f>
        <v>#REF!</v>
      </c>
      <c r="AP143" s="201" t="e">
        <f t="array" ref="AP143">_xlfn.IFS(AND($K143&gt;AO$7,$L143&gt;AO$7),0,AND($K143&lt;=AO$7,$L143&lt;=AO$7),1,AND($K143&lt;=AO$7,$L143&gt;AO$7),((AO$7-$K143)/($L143-$K143)))</f>
        <v>#REF!</v>
      </c>
      <c r="AQ143" s="201" t="e">
        <f t="array" ref="AQ143">_xlfn.IFS(AND($K143&gt;AP$7,$L143&gt;AP$7),0,AND($K143&lt;=AP$7,$L143&lt;=AP$7),1,AND($K143&lt;=AP$7,$L143&gt;AP$7),((AP$7-$K143)/($L143-$K143)))</f>
        <v>#REF!</v>
      </c>
      <c r="AR143" s="201" t="e">
        <f t="array" ref="AR143">_xlfn.IFS(AND($K143&gt;AQ$7,$L143&gt;AQ$7),0,AND($K143&lt;=AQ$7,$L143&lt;=AQ$7),1,AND($K143&lt;=AQ$7,$L143&gt;AQ$7),((AQ$7-$K143)/($L143-$K143)))</f>
        <v>#REF!</v>
      </c>
      <c r="AS143" s="201" t="e">
        <f t="array" ref="AS143">_xlfn.IFS(AND($K143&gt;AR$7,$L143&gt;AR$7),0,AND($K143&lt;=AR$7,$L143&lt;=AR$7),1,AND($K143&lt;=AR$7,$L143&gt;AR$7),((AR$7-$K143)/($L143-$K143)))</f>
        <v>#REF!</v>
      </c>
      <c r="AT143" s="201" t="e">
        <f t="array" ref="AT143">_xlfn.IFS(AND($K143&gt;AS$7,$L143&gt;AS$7),0,AND($K143&lt;=AS$7,$L143&lt;=AS$7),1,AND($K143&lt;=AS$7,$L143&gt;AS$7),((AS$7-$K143)/($L143-$K143)))</f>
        <v>#REF!</v>
      </c>
      <c r="AU143" s="201" t="e">
        <f t="array" ref="AU143">_xlfn.IFS(AND($K143&gt;AT$7,$L143&gt;AT$7),0,AND($K143&lt;=AT$7,$L143&lt;=AT$7),1,AND($K143&lt;=AT$7,$L143&gt;AT$7),((AT$7-$K143)/($L143-$K143)))</f>
        <v>#REF!</v>
      </c>
      <c r="AV143" s="201" t="e">
        <f t="array" ref="AV143">_xlfn.IFS(AND($K143&gt;AU$7,$L143&gt;AU$7),0,AND($K143&lt;=AU$7,$L143&lt;=AU$7),1,AND($K143&lt;=AU$7,$L143&gt;AU$7),((AU$7-$K143)/($L143-$K143)))</f>
        <v>#REF!</v>
      </c>
      <c r="AW143" s="201" t="e">
        <f t="array" ref="AW143">_xlfn.IFS(AND($K143&gt;AV$7,$L143&gt;AV$7),0,AND($K143&lt;=AV$7,$L143&lt;=AV$7),1,AND($K143&lt;=AV$7,$L143&gt;AV$7),((AV$7-$K143)/($L143-$K143)))</f>
        <v>#REF!</v>
      </c>
      <c r="AX143" s="201" t="e">
        <f t="array" ref="AX143">_xlfn.IFS(AND($K143&gt;AW$7,$L143&gt;AW$7),0,AND($K143&lt;=AW$7,$L143&lt;=AW$7),1,AND($K143&lt;=AW$7,$L143&gt;AW$7),((AW$7-$K143)/($L143-$K143)))</f>
        <v>#REF!</v>
      </c>
      <c r="AY143" s="201" t="e">
        <f t="array" ref="AY143">_xlfn.IFS(AND($K143&gt;AX$7,$L143&gt;AX$7),0,AND($K143&lt;=AX$7,$L143&lt;=AX$7),1,AND($K143&lt;=AX$7,$L143&gt;AX$7),((AX$7-$K143)/($L143-$K143)))</f>
        <v>#REF!</v>
      </c>
      <c r="AZ143" s="201" t="e">
        <f t="array" ref="AZ143">_xlfn.IFS(AND($K143&gt;AY$7,$L143&gt;AY$7),0,AND($K143&lt;=AY$7,$L143&lt;=AY$7),1,AND($K143&lt;=AY$7,$L143&gt;AY$7),((AY$7-$K143)/($L143-$K143)))</f>
        <v>#REF!</v>
      </c>
      <c r="BA143" s="201" t="e">
        <f t="array" ref="BA143">_xlfn.IFS(AND($K143&gt;AZ$7,$L143&gt;AZ$7),0,AND($K143&lt;=AZ$7,$L143&lt;=AZ$7),1,AND($K143&lt;=AZ$7,$L143&gt;AZ$7),((AZ$7-$K143)/($L143-$K143)))</f>
        <v>#REF!</v>
      </c>
      <c r="BB143" s="201" t="e">
        <f t="array" ref="BB143">_xlfn.IFS(AND($K143&gt;BA$7,$L143&gt;BA$7),0,AND($K143&lt;=BA$7,$L143&lt;=BA$7),1,AND($K143&lt;=BA$7,$L143&gt;BA$7),((BA$7-$K143)/($L143-$K143)))</f>
        <v>#REF!</v>
      </c>
      <c r="BC143" s="201" t="e">
        <f t="array" ref="BC143">_xlfn.IFS(AND($K143&gt;BB$7,$L143&gt;BB$7),0,AND($K143&lt;=BB$7,$L143&lt;=BB$7),1,AND($K143&lt;=BB$7,$L143&gt;BB$7),((BB$7-$K143)/($L143-$K143)))</f>
        <v>#REF!</v>
      </c>
      <c r="BD143" s="201" t="e">
        <f t="array" ref="BD143">_xlfn.IFS(AND($K143&gt;BC$7,$L143&gt;BC$7),0,AND($K143&lt;=BC$7,$L143&lt;=BC$7),1,AND($K143&lt;=BC$7,$L143&gt;BC$7),((BC$7-$K143)/($L143-$K143)))</f>
        <v>#REF!</v>
      </c>
      <c r="BE143" s="201" t="e">
        <f t="array" ref="BE143">_xlfn.IFS(AND($K143&gt;BD$7,$L143&gt;BD$7),0,AND($K143&lt;=BD$7,$L143&lt;=BD$7),1,AND($K143&lt;=BD$7,$L143&gt;BD$7),((BD$7-$K143)/($L143-$K143)))</f>
        <v>#REF!</v>
      </c>
      <c r="BF143" s="201" t="e">
        <f t="array" ref="BF143">_xlfn.IFS(AND($K143&gt;BE$7,$L143&gt;BE$7),0,AND($K143&lt;=BE$7,$L143&lt;=BE$7),1,AND($K143&lt;=BE$7,$L143&gt;BE$7),((BE$7-$K143)/($L143-$K143)))</f>
        <v>#REF!</v>
      </c>
      <c r="BG143" s="201" t="e">
        <f t="array" ref="BG143">_xlfn.IFS(AND($K143&gt;BF$7,$L143&gt;BF$7),0,AND($K143&lt;=BF$7,$L143&lt;=BF$7),1,AND($K143&lt;=BF$7,$L143&gt;BF$7),((BF$7-$K143)/($L143-$K143)))</f>
        <v>#REF!</v>
      </c>
      <c r="BH143" s="201" t="e">
        <f t="array" ref="BH143">_xlfn.IFS(AND($K143&gt;BG$7,$L143&gt;BG$7),0,AND($K143&lt;=BG$7,$L143&lt;=BG$7),1,AND($K143&lt;=BG$7,$L143&gt;BG$7),((BG$7-$K143)/($L143-$K143)))</f>
        <v>#REF!</v>
      </c>
      <c r="BI143" s="201" t="e">
        <f t="array" ref="BI143">_xlfn.IFS(AND($K143&gt;BH$7,$L143&gt;BH$7),0,AND($K143&lt;=BH$7,$L143&lt;=BH$7),1,AND($K143&lt;=BH$7,$L143&gt;BH$7),((BH$7-$K143)/($L143-$K143)))</f>
        <v>#REF!</v>
      </c>
      <c r="BJ143" s="201" t="e">
        <f t="array" ref="BJ143">_xlfn.IFS(AND($K143&gt;BI$7,$L143&gt;BI$7),0,AND($K143&lt;=BI$7,$L143&lt;=BI$7),1,AND($K143&lt;=BI$7,$L143&gt;BI$7),((BI$7-$K143)/($L143-$K143)))</f>
        <v>#REF!</v>
      </c>
      <c r="BK143" s="201" t="e">
        <f t="array" ref="BK143">_xlfn.IFS(AND($K143&gt;BJ$7,$L143&gt;BJ$7),0,AND($K143&lt;=BJ$7,$L143&lt;=BJ$7),1,AND($K143&lt;=BJ$7,$L143&gt;BJ$7),((BJ$7-$K143)/($L143-$K143)))</f>
        <v>#REF!</v>
      </c>
      <c r="BL143" s="201" t="e">
        <f t="array" ref="BL143">_xlfn.IFS(AND($K143&gt;BK$7,$L143&gt;BK$7),0,AND($K143&lt;=BK$7,$L143&lt;=BK$7),1,AND($K143&lt;=BK$7,$L143&gt;BK$7),((BK$7-$K143)/($L143-$K143)))</f>
        <v>#REF!</v>
      </c>
      <c r="BM143" s="201" t="e">
        <f t="array" ref="BM143">_xlfn.IFS(AND($K143&gt;BL$7,$L143&gt;BL$7),0,AND($K143&lt;=BL$7,$L143&lt;=BL$7),1,AND($K143&lt;=BL$7,$L143&gt;BL$7),((BL$7-$K143)/($L143-$K143)))</f>
        <v>#REF!</v>
      </c>
      <c r="BN143" s="201" t="e">
        <f t="array" ref="BN143">_xlfn.IFS(AND($K143&gt;BM$7,$L143&gt;BM$7),0,AND($K143&lt;=BM$7,$L143&lt;=BM$7),1,AND($K143&lt;=BM$7,$L143&gt;BM$7),((BM$7-$K143)/($L143-$K143)))</f>
        <v>#REF!</v>
      </c>
    </row>
    <row r="144" spans="2:66" x14ac:dyDescent="0.3">
      <c r="B144" s="166" t="str">
        <f t="array" ref="B144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44" s="166" t="s">
        <v>333</v>
      </c>
      <c r="D144" s="177" t="str">
        <f t="shared" si="53"/>
        <v>Arquitetura de projetos GERDAU</v>
      </c>
      <c r="E144" s="170" t="str">
        <f t="shared" si="56"/>
        <v>Dimensionamento de Headcount</v>
      </c>
      <c r="F144" s="174" t="str">
        <f>$H$141</f>
        <v>Acompanhamento e Medição de Produtividade dos Processos</v>
      </c>
      <c r="G144" s="166" t="str">
        <f>H142</f>
        <v>Acompanhamento e Medição de Produtividade dos Processos</v>
      </c>
      <c r="H144" s="197" t="s">
        <v>334</v>
      </c>
      <c r="I144" s="166">
        <v>45762</v>
      </c>
      <c r="J144" s="166">
        <v>45989</v>
      </c>
      <c r="K144" s="166">
        <v>45762</v>
      </c>
      <c r="L144" s="166">
        <v>45989</v>
      </c>
      <c r="M144" s="167"/>
      <c r="N144" s="167" t="str">
        <f t="array" ref="N144">_xlfn.IFS(L144&lt;$M$3,"Concluído",AND(K144&gt;=$M$3,I144&lt;$M$3,L144&gt;$M$3),"Em andamento",AND(L144&gt;=$M$3,J144&lt;$M$3),"Atrasado",AND(L144&gt;=$M$3,J144&gt;=$M$3,I144&gt;$M$3,K144&lt;=$M$3),"Em andamento",AND(L144&gt;=$M$3,J144&gt;=$M$3,I144&lt;=$M$3,K144&lt;=$M$3),"Em andamento",AND(K144&gt;$M$3,I144&gt;$M$3),"Não iniciado",AND(L144&gt;=$M$3,J144&gt;=$M$3,K144&gt;=$M$3,I144&lt;$M$3),"Atrasado",AND(L144&gt;=$M$3,J144&gt;=$M$3,K144&gt;=$M$3,I144&gt;$M$3),"Não iniciado",AND($I144&lt;=$M$3,$K144&gt;$M$3),"Atrasado")</f>
        <v>Concluído</v>
      </c>
      <c r="O144" s="167">
        <f t="array" ref="O144">_xlfn.IFS(N144="Não iniciado",0,N144="Em andamento",1,N144="Concluído",2,N144="Atrasado",3)</f>
        <v>2</v>
      </c>
      <c r="P144" s="168"/>
      <c r="Q144" s="152">
        <f t="array" aca="1" ref="Q144" ca="1">_xlfn.IFS(AND($I144&lt;$N$3,$J144&lt;$N$3),1,AND($I144&lt;=$N$3,$J144&gt;=$N$3),0.5,AND($I144&gt;=$N$3,$J144&gt;=$N$3),0)</f>
        <v>1</v>
      </c>
      <c r="R144" s="152">
        <f t="array" aca="1" ref="R144" ca="1">_xlfn.IFS(AND($K144&lt;$N$3,$L144&lt;$N$3),1,AND($K144&lt;=$N$3,$L144&gt;=$N$3),0.5,AND($K144&gt;=$N$3,$L144&gt;=$N$3),0)</f>
        <v>1</v>
      </c>
      <c r="S144" s="201" t="e">
        <f t="array" ref="S144">_xlfn.IFS(AND($K144&gt;R$7,$L144&gt;R$7),0,AND($K144&lt;=R$7,$L144&lt;=R$7),1,AND($K144&lt;=R$7,$L144&gt;R$7),((R$7-$K144)/($L144-$K144)))</f>
        <v>#REF!</v>
      </c>
      <c r="T144" s="201" t="e">
        <f t="array" ref="T144">_xlfn.IFS(AND($K144&gt;S$7,$L144&gt;S$7),0,AND($K144&lt;=S$7,$L144&lt;=S$7),1,AND($K144&lt;=S$7,$L144&gt;S$7),((S$7-$K144)/($L144-$K144)))</f>
        <v>#REF!</v>
      </c>
      <c r="U144" s="201" t="e">
        <f t="array" ref="U144">_xlfn.IFS(AND($K144&gt;T$7,$L144&gt;T$7),0,AND($K144&lt;=T$7,$L144&lt;=T$7),1,AND($K144&lt;=T$7,$L144&gt;T$7),((T$7-$K144)/($L144-$K144)))</f>
        <v>#REF!</v>
      </c>
      <c r="V144" s="201" t="e">
        <f t="array" ref="V144">_xlfn.IFS(AND($K144&gt;U$7,$L144&gt;U$7),0,AND($K144&lt;=U$7,$L144&lt;=U$7),1,AND($K144&lt;=U$7,$L144&gt;U$7),((U$7-$K144)/($L144-$K144)))</f>
        <v>#REF!</v>
      </c>
      <c r="W144" s="201" t="e">
        <f t="array" ref="W144">_xlfn.IFS(AND($K144&gt;V$7,$L144&gt;V$7),0,AND($K144&lt;=V$7,$L144&lt;=V$7),1,AND($K144&lt;=V$7,$L144&gt;V$7),((V$7-$K144)/($L144-$K144)))</f>
        <v>#REF!</v>
      </c>
      <c r="X144" s="201" t="e">
        <f t="array" ref="X144">_xlfn.IFS(AND($K144&gt;W$7,$L144&gt;W$7),0,AND($K144&lt;=W$7,$L144&lt;=W$7),1,AND($K144&lt;=W$7,$L144&gt;W$7),((W$7-$K144)/($L144-$K144)))</f>
        <v>#REF!</v>
      </c>
      <c r="Y144" s="201" t="e">
        <f t="array" ref="Y144">_xlfn.IFS(AND($K144&gt;X$7,$L144&gt;X$7),0,AND($K144&lt;=X$7,$L144&lt;=X$7),1,AND($K144&lt;=X$7,$L144&gt;X$7),((X$7-$K144)/($L144-$K144)))</f>
        <v>#REF!</v>
      </c>
      <c r="Z144" s="201" t="e">
        <f t="array" ref="Z144">_xlfn.IFS(AND($K144&gt;Y$7,$L144&gt;Y$7),0,AND($K144&lt;=Y$7,$L144&lt;=Y$7),1,AND($K144&lt;=Y$7,$L144&gt;Y$7),((Y$7-$K144)/($L144-$K144)))</f>
        <v>#REF!</v>
      </c>
      <c r="AA144" s="201" t="e">
        <f t="array" ref="AA144">_xlfn.IFS(AND($K144&gt;Z$7,$L144&gt;Z$7),0,AND($K144&lt;=Z$7,$L144&lt;=Z$7),1,AND($K144&lt;=Z$7,$L144&gt;Z$7),((Z$7-$K144)/($L144-$K144)))</f>
        <v>#REF!</v>
      </c>
      <c r="AB144" s="201" t="e">
        <f t="array" ref="AB144">_xlfn.IFS(AND($K144&gt;AA$7,$L144&gt;AA$7),0,AND($K144&lt;=AA$7,$L144&lt;=AA$7),1,AND($K144&lt;=AA$7,$L144&gt;AA$7),((AA$7-$K144)/($L144-$K144)))</f>
        <v>#REF!</v>
      </c>
      <c r="AC144" s="201" t="e">
        <f t="array" ref="AC144">_xlfn.IFS(AND($K144&gt;AB$7,$L144&gt;AB$7),0,AND($K144&lt;=AB$7,$L144&lt;=AB$7),1,AND($K144&lt;=AB$7,$L144&gt;AB$7),((AB$7-$K144)/($L144-$K144)))</f>
        <v>#REF!</v>
      </c>
      <c r="AD144" s="201" t="e">
        <f t="array" ref="AD144">_xlfn.IFS(AND($K144&gt;AC$7,$L144&gt;AC$7),0,AND($K144&lt;=AC$7,$L144&lt;=AC$7),1,AND($K144&lt;=AC$7,$L144&gt;AC$7),((AC$7-$K144)/($L144-$K144)))</f>
        <v>#REF!</v>
      </c>
      <c r="AE144" s="201" t="e">
        <f t="array" ref="AE144">_xlfn.IFS(AND($K144&gt;AD$7,$L144&gt;AD$7),0,AND($K144&lt;=AD$7,$L144&lt;=AD$7),1,AND($K144&lt;=AD$7,$L144&gt;AD$7),((AD$7-$K144)/($L144-$K144)))</f>
        <v>#REF!</v>
      </c>
      <c r="AF144" s="201" t="e">
        <f t="array" ref="AF144">_xlfn.IFS(AND($K144&gt;AE$7,$L144&gt;AE$7),0,AND($K144&lt;=AE$7,$L144&lt;=AE$7),1,AND($K144&lt;=AE$7,$L144&gt;AE$7),((AE$7-$K144)/($L144-$K144)))</f>
        <v>#REF!</v>
      </c>
      <c r="AG144" s="201" t="e">
        <f t="array" ref="AG144">_xlfn.IFS(AND($K144&gt;AF$7,$L144&gt;AF$7),0,AND($K144&lt;=AF$7,$L144&lt;=AF$7),1,AND($K144&lt;=AF$7,$L144&gt;AF$7),((AF$7-$K144)/($L144-$K144)))</f>
        <v>#REF!</v>
      </c>
      <c r="AH144" s="201" t="e">
        <f t="array" ref="AH144">_xlfn.IFS(AND($K144&gt;AG$7,$L144&gt;AG$7),0,AND($K144&lt;=AG$7,$L144&lt;=AG$7),1,AND($K144&lt;=AG$7,$L144&gt;AG$7),((AG$7-$K144)/($L144-$K144)))</f>
        <v>#REF!</v>
      </c>
      <c r="AI144" s="201" t="e">
        <f t="array" ref="AI144">_xlfn.IFS(AND($K144&gt;AH$7,$L144&gt;AH$7),0,AND($K144&lt;=AH$7,$L144&lt;=AH$7),1,AND($K144&lt;=AH$7,$L144&gt;AH$7),((AH$7-$K144)/($L144-$K144)))</f>
        <v>#REF!</v>
      </c>
      <c r="AJ144" s="201" t="e">
        <f t="array" ref="AJ144">_xlfn.IFS(AND($K144&gt;AI$7,$L144&gt;AI$7),0,AND($K144&lt;=AI$7,$L144&lt;=AI$7),1,AND($K144&lt;=AI$7,$L144&gt;AI$7),((AI$7-$K144)/($L144-$K144)))</f>
        <v>#REF!</v>
      </c>
      <c r="AK144" s="201" t="e">
        <f t="array" ref="AK144">_xlfn.IFS(AND($K144&gt;AJ$7,$L144&gt;AJ$7),0,AND($K144&lt;=AJ$7,$L144&lt;=AJ$7),1,AND($K144&lt;=AJ$7,$L144&gt;AJ$7),((AJ$7-$K144)/($L144-$K144)))</f>
        <v>#REF!</v>
      </c>
      <c r="AL144" s="201" t="e">
        <f t="array" ref="AL144">_xlfn.IFS(AND($K144&gt;AK$7,$L144&gt;AK$7),0,AND($K144&lt;=AK$7,$L144&lt;=AK$7),1,AND($K144&lt;=AK$7,$L144&gt;AK$7),((AK$7-$K144)/($L144-$K144)))</f>
        <v>#REF!</v>
      </c>
      <c r="AM144" s="201" t="e">
        <f t="array" ref="AM144">_xlfn.IFS(AND($K144&gt;AL$7,$L144&gt;AL$7),0,AND($K144&lt;=AL$7,$L144&lt;=AL$7),1,AND($K144&lt;=AL$7,$L144&gt;AL$7),((AL$7-$K144)/($L144-$K144)))</f>
        <v>#REF!</v>
      </c>
      <c r="AN144" s="201" t="e">
        <f t="array" ref="AN144">_xlfn.IFS(AND($K144&gt;AM$7,$L144&gt;AM$7),0,AND($K144&lt;=AM$7,$L144&lt;=AM$7),1,AND($K144&lt;=AM$7,$L144&gt;AM$7),((AM$7-$K144)/($L144-$K144)))</f>
        <v>#REF!</v>
      </c>
      <c r="AO144" s="201" t="e">
        <f t="array" ref="AO144">_xlfn.IFS(AND($K144&gt;AN$7,$L144&gt;AN$7),0,AND($K144&lt;=AN$7,$L144&lt;=AN$7),1,AND($K144&lt;=AN$7,$L144&gt;AN$7),((AN$7-$K144)/($L144-$K144)))</f>
        <v>#REF!</v>
      </c>
      <c r="AP144" s="201" t="e">
        <f t="array" ref="AP144">_xlfn.IFS(AND($K144&gt;AO$7,$L144&gt;AO$7),0,AND($K144&lt;=AO$7,$L144&lt;=AO$7),1,AND($K144&lt;=AO$7,$L144&gt;AO$7),((AO$7-$K144)/($L144-$K144)))</f>
        <v>#REF!</v>
      </c>
      <c r="AQ144" s="201" t="e">
        <f t="array" ref="AQ144">_xlfn.IFS(AND($K144&gt;AP$7,$L144&gt;AP$7),0,AND($K144&lt;=AP$7,$L144&lt;=AP$7),1,AND($K144&lt;=AP$7,$L144&gt;AP$7),((AP$7-$K144)/($L144-$K144)))</f>
        <v>#REF!</v>
      </c>
      <c r="AR144" s="201" t="e">
        <f t="array" ref="AR144">_xlfn.IFS(AND($K144&gt;AQ$7,$L144&gt;AQ$7),0,AND($K144&lt;=AQ$7,$L144&lt;=AQ$7),1,AND($K144&lt;=AQ$7,$L144&gt;AQ$7),((AQ$7-$K144)/($L144-$K144)))</f>
        <v>#REF!</v>
      </c>
      <c r="AS144" s="201" t="e">
        <f t="array" ref="AS144">_xlfn.IFS(AND($K144&gt;AR$7,$L144&gt;AR$7),0,AND($K144&lt;=AR$7,$L144&lt;=AR$7),1,AND($K144&lt;=AR$7,$L144&gt;AR$7),((AR$7-$K144)/($L144-$K144)))</f>
        <v>#REF!</v>
      </c>
      <c r="AT144" s="201" t="e">
        <f t="array" ref="AT144">_xlfn.IFS(AND($K144&gt;AS$7,$L144&gt;AS$7),0,AND($K144&lt;=AS$7,$L144&lt;=AS$7),1,AND($K144&lt;=AS$7,$L144&gt;AS$7),((AS$7-$K144)/($L144-$K144)))</f>
        <v>#REF!</v>
      </c>
      <c r="AU144" s="201" t="e">
        <f t="array" ref="AU144">_xlfn.IFS(AND($K144&gt;AT$7,$L144&gt;AT$7),0,AND($K144&lt;=AT$7,$L144&lt;=AT$7),1,AND($K144&lt;=AT$7,$L144&gt;AT$7),((AT$7-$K144)/($L144-$K144)))</f>
        <v>#REF!</v>
      </c>
      <c r="AV144" s="201" t="e">
        <f t="array" ref="AV144">_xlfn.IFS(AND($K144&gt;AU$7,$L144&gt;AU$7),0,AND($K144&lt;=AU$7,$L144&lt;=AU$7),1,AND($K144&lt;=AU$7,$L144&gt;AU$7),((AU$7-$K144)/($L144-$K144)))</f>
        <v>#REF!</v>
      </c>
      <c r="AW144" s="201" t="e">
        <f t="array" ref="AW144">_xlfn.IFS(AND($K144&gt;AV$7,$L144&gt;AV$7),0,AND($K144&lt;=AV$7,$L144&lt;=AV$7),1,AND($K144&lt;=AV$7,$L144&gt;AV$7),((AV$7-$K144)/($L144-$K144)))</f>
        <v>#REF!</v>
      </c>
      <c r="AX144" s="201" t="e">
        <f t="array" ref="AX144">_xlfn.IFS(AND($K144&gt;AW$7,$L144&gt;AW$7),0,AND($K144&lt;=AW$7,$L144&lt;=AW$7),1,AND($K144&lt;=AW$7,$L144&gt;AW$7),((AW$7-$K144)/($L144-$K144)))</f>
        <v>#REF!</v>
      </c>
      <c r="AY144" s="201" t="e">
        <f t="array" ref="AY144">_xlfn.IFS(AND($K144&gt;AX$7,$L144&gt;AX$7),0,AND($K144&lt;=AX$7,$L144&lt;=AX$7),1,AND($K144&lt;=AX$7,$L144&gt;AX$7),((AX$7-$K144)/($L144-$K144)))</f>
        <v>#REF!</v>
      </c>
      <c r="AZ144" s="201" t="e">
        <f t="array" ref="AZ144">_xlfn.IFS(AND($K144&gt;AY$7,$L144&gt;AY$7),0,AND($K144&lt;=AY$7,$L144&lt;=AY$7),1,AND($K144&lt;=AY$7,$L144&gt;AY$7),((AY$7-$K144)/($L144-$K144)))</f>
        <v>#REF!</v>
      </c>
      <c r="BA144" s="201" t="e">
        <f t="array" ref="BA144">_xlfn.IFS(AND($K144&gt;AZ$7,$L144&gt;AZ$7),0,AND($K144&lt;=AZ$7,$L144&lt;=AZ$7),1,AND($K144&lt;=AZ$7,$L144&gt;AZ$7),((AZ$7-$K144)/($L144-$K144)))</f>
        <v>#REF!</v>
      </c>
      <c r="BB144" s="201" t="e">
        <f t="array" ref="BB144">_xlfn.IFS(AND($K144&gt;BA$7,$L144&gt;BA$7),0,AND($K144&lt;=BA$7,$L144&lt;=BA$7),1,AND($K144&lt;=BA$7,$L144&gt;BA$7),((BA$7-$K144)/($L144-$K144)))</f>
        <v>#REF!</v>
      </c>
      <c r="BC144" s="201" t="e">
        <f t="array" ref="BC144">_xlfn.IFS(AND($K144&gt;BB$7,$L144&gt;BB$7),0,AND($K144&lt;=BB$7,$L144&lt;=BB$7),1,AND($K144&lt;=BB$7,$L144&gt;BB$7),((BB$7-$K144)/($L144-$K144)))</f>
        <v>#REF!</v>
      </c>
      <c r="BD144" s="201" t="e">
        <f t="array" ref="BD144">_xlfn.IFS(AND($K144&gt;BC$7,$L144&gt;BC$7),0,AND($K144&lt;=BC$7,$L144&lt;=BC$7),1,AND($K144&lt;=BC$7,$L144&gt;BC$7),((BC$7-$K144)/($L144-$K144)))</f>
        <v>#REF!</v>
      </c>
      <c r="BE144" s="201" t="e">
        <f t="array" ref="BE144">_xlfn.IFS(AND($K144&gt;BD$7,$L144&gt;BD$7),0,AND($K144&lt;=BD$7,$L144&lt;=BD$7),1,AND($K144&lt;=BD$7,$L144&gt;BD$7),((BD$7-$K144)/($L144-$K144)))</f>
        <v>#REF!</v>
      </c>
      <c r="BF144" s="201" t="e">
        <f t="array" ref="BF144">_xlfn.IFS(AND($K144&gt;BE$7,$L144&gt;BE$7),0,AND($K144&lt;=BE$7,$L144&lt;=BE$7),1,AND($K144&lt;=BE$7,$L144&gt;BE$7),((BE$7-$K144)/($L144-$K144)))</f>
        <v>#REF!</v>
      </c>
      <c r="BG144" s="201" t="e">
        <f t="array" ref="BG144">_xlfn.IFS(AND($K144&gt;BF$7,$L144&gt;BF$7),0,AND($K144&lt;=BF$7,$L144&lt;=BF$7),1,AND($K144&lt;=BF$7,$L144&gt;BF$7),((BF$7-$K144)/($L144-$K144)))</f>
        <v>#REF!</v>
      </c>
      <c r="BH144" s="201" t="e">
        <f t="array" ref="BH144">_xlfn.IFS(AND($K144&gt;BG$7,$L144&gt;BG$7),0,AND($K144&lt;=BG$7,$L144&lt;=BG$7),1,AND($K144&lt;=BG$7,$L144&gt;BG$7),((BG$7-$K144)/($L144-$K144)))</f>
        <v>#REF!</v>
      </c>
      <c r="BI144" s="201" t="e">
        <f t="array" ref="BI144">_xlfn.IFS(AND($K144&gt;BH$7,$L144&gt;BH$7),0,AND($K144&lt;=BH$7,$L144&lt;=BH$7),1,AND($K144&lt;=BH$7,$L144&gt;BH$7),((BH$7-$K144)/($L144-$K144)))</f>
        <v>#REF!</v>
      </c>
      <c r="BJ144" s="201" t="e">
        <f t="array" ref="BJ144">_xlfn.IFS(AND($K144&gt;BI$7,$L144&gt;BI$7),0,AND($K144&lt;=BI$7,$L144&lt;=BI$7),1,AND($K144&lt;=BI$7,$L144&gt;BI$7),((BI$7-$K144)/($L144-$K144)))</f>
        <v>#REF!</v>
      </c>
      <c r="BK144" s="201" t="e">
        <f t="array" ref="BK144">_xlfn.IFS(AND($K144&gt;BJ$7,$L144&gt;BJ$7),0,AND($K144&lt;=BJ$7,$L144&lt;=BJ$7),1,AND($K144&lt;=BJ$7,$L144&gt;BJ$7),((BJ$7-$K144)/($L144-$K144)))</f>
        <v>#REF!</v>
      </c>
      <c r="BL144" s="201" t="e">
        <f t="array" ref="BL144">_xlfn.IFS(AND($K144&gt;BK$7,$L144&gt;BK$7),0,AND($K144&lt;=BK$7,$L144&lt;=BK$7),1,AND($K144&lt;=BK$7,$L144&gt;BK$7),((BK$7-$K144)/($L144-$K144)))</f>
        <v>#REF!</v>
      </c>
      <c r="BM144" s="201" t="e">
        <f t="array" ref="BM144">_xlfn.IFS(AND($K144&gt;BL$7,$L144&gt;BL$7),0,AND($K144&lt;=BL$7,$L144&lt;=BL$7),1,AND($K144&lt;=BL$7,$L144&gt;BL$7),((BL$7-$K144)/($L144-$K144)))</f>
        <v>#REF!</v>
      </c>
      <c r="BN144" s="201" t="e">
        <f t="array" ref="BN144">_xlfn.IFS(AND($K144&gt;BM$7,$L144&gt;BM$7),0,AND($K144&lt;=BM$7,$L144&lt;=BM$7),1,AND($K144&lt;=BM$7,$L144&gt;BM$7),((BM$7-$K144)/($L144-$K144)))</f>
        <v>#REF!</v>
      </c>
    </row>
    <row r="145" spans="2:66" x14ac:dyDescent="0.3">
      <c r="B145" s="170" t="str">
        <f t="array" ref="B145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3</v>
      </c>
      <c r="C145" s="170" t="s">
        <v>335</v>
      </c>
      <c r="D145" s="177" t="str">
        <f t="shared" si="53"/>
        <v>Arquitetura de projetos GERDAU</v>
      </c>
      <c r="E145" s="170" t="str">
        <f t="shared" si="56"/>
        <v>Dimensionamento de Headcount</v>
      </c>
      <c r="F145" s="170" t="s">
        <v>74</v>
      </c>
      <c r="G145" s="170" t="s">
        <v>74</v>
      </c>
      <c r="H145" s="194" t="s">
        <v>336</v>
      </c>
      <c r="I145" s="170">
        <f>MIN(I146:I146)</f>
        <v>45962</v>
      </c>
      <c r="J145" s="170">
        <f>MAX(J146:J146)</f>
        <v>45989</v>
      </c>
      <c r="K145" s="170">
        <f>MIN(K146:K146)</f>
        <v>45962</v>
      </c>
      <c r="L145" s="170">
        <f>MAX(L146:L146)</f>
        <v>45989</v>
      </c>
      <c r="M145" s="171"/>
      <c r="N145" s="171" t="str">
        <f t="array" ref="N145">_xlfn.IFS(L145&lt;$M$3,"Concluído",AND(K145&gt;=$M$3,I145&lt;$M$3,L145&gt;$M$3),"Em andamento",AND(L145&gt;=$M$3,J145&lt;$M$3),"Atrasado",AND(L145&gt;=$M$3,J145&gt;=$M$3,I145&gt;$M$3,K145&lt;=$M$3),"Em andamento",AND(L145&gt;=$M$3,J145&gt;=$M$3,I145&lt;=$M$3,K145&lt;=$M$3),"Em andamento",AND(K145&gt;$M$3,I145&gt;$M$3),"Não iniciado",AND(L145&gt;=$M$3,J145&gt;=$M$3,K145&gt;=$M$3,I145&lt;$M$3),"Atrasado",AND(L145&gt;=$M$3,J145&gt;=$M$3,K145&gt;=$M$3,I145&gt;$M$3),"Não iniciado",AND($I145&lt;=$M$3,$K145&gt;$M$3),"Atrasado")</f>
        <v>Concluído</v>
      </c>
      <c r="O145" s="171">
        <f t="array" ref="O145">_xlfn.IFS(N145="Não iniciado",0,N145="Em andamento",1,N145="Concluído",2,N145="Atrasado",3)</f>
        <v>2</v>
      </c>
      <c r="P145" s="172"/>
      <c r="Q145" s="173">
        <f t="shared" ref="Q145:AV145" ca="1" si="61">Q146</f>
        <v>1</v>
      </c>
      <c r="R145" s="173">
        <f t="shared" ca="1" si="61"/>
        <v>1</v>
      </c>
      <c r="S145" s="173" t="e">
        <f t="shared" si="61"/>
        <v>#REF!</v>
      </c>
      <c r="T145" s="173" t="e">
        <f t="shared" si="61"/>
        <v>#REF!</v>
      </c>
      <c r="U145" s="173" t="e">
        <f t="shared" si="61"/>
        <v>#REF!</v>
      </c>
      <c r="V145" s="173" t="e">
        <f t="shared" si="61"/>
        <v>#REF!</v>
      </c>
      <c r="W145" s="173" t="e">
        <f t="shared" si="61"/>
        <v>#REF!</v>
      </c>
      <c r="X145" s="173" t="e">
        <f t="shared" si="61"/>
        <v>#REF!</v>
      </c>
      <c r="Y145" s="173" t="e">
        <f t="shared" si="61"/>
        <v>#REF!</v>
      </c>
      <c r="Z145" s="173" t="e">
        <f t="shared" si="61"/>
        <v>#REF!</v>
      </c>
      <c r="AA145" s="173" t="e">
        <f t="shared" si="61"/>
        <v>#REF!</v>
      </c>
      <c r="AB145" s="173" t="e">
        <f t="shared" si="61"/>
        <v>#REF!</v>
      </c>
      <c r="AC145" s="173" t="e">
        <f t="shared" si="61"/>
        <v>#REF!</v>
      </c>
      <c r="AD145" s="173" t="e">
        <f t="shared" si="61"/>
        <v>#REF!</v>
      </c>
      <c r="AE145" s="173" t="e">
        <f t="shared" si="61"/>
        <v>#REF!</v>
      </c>
      <c r="AF145" s="173" t="e">
        <f t="shared" si="61"/>
        <v>#REF!</v>
      </c>
      <c r="AG145" s="173" t="e">
        <f t="shared" si="61"/>
        <v>#REF!</v>
      </c>
      <c r="AH145" s="173" t="e">
        <f t="shared" si="61"/>
        <v>#REF!</v>
      </c>
      <c r="AI145" s="173" t="e">
        <f t="shared" si="61"/>
        <v>#REF!</v>
      </c>
      <c r="AJ145" s="173" t="e">
        <f t="shared" si="61"/>
        <v>#REF!</v>
      </c>
      <c r="AK145" s="173" t="e">
        <f t="shared" si="61"/>
        <v>#REF!</v>
      </c>
      <c r="AL145" s="173" t="e">
        <f t="shared" si="61"/>
        <v>#REF!</v>
      </c>
      <c r="AM145" s="173" t="e">
        <f t="shared" si="61"/>
        <v>#REF!</v>
      </c>
      <c r="AN145" s="173" t="e">
        <f t="shared" si="61"/>
        <v>#REF!</v>
      </c>
      <c r="AO145" s="173" t="e">
        <f t="shared" si="61"/>
        <v>#REF!</v>
      </c>
      <c r="AP145" s="173" t="e">
        <f t="shared" si="61"/>
        <v>#REF!</v>
      </c>
      <c r="AQ145" s="173" t="e">
        <f t="shared" si="61"/>
        <v>#REF!</v>
      </c>
      <c r="AR145" s="173" t="e">
        <f t="shared" si="61"/>
        <v>#REF!</v>
      </c>
      <c r="AS145" s="173" t="e">
        <f t="shared" si="61"/>
        <v>#REF!</v>
      </c>
      <c r="AT145" s="173" t="e">
        <f t="shared" si="61"/>
        <v>#REF!</v>
      </c>
      <c r="AU145" s="173" t="e">
        <f t="shared" si="61"/>
        <v>#REF!</v>
      </c>
      <c r="AV145" s="173" t="e">
        <f t="shared" si="61"/>
        <v>#REF!</v>
      </c>
      <c r="AW145" s="173" t="e">
        <f t="shared" ref="AW145:BN145" si="62">AW146</f>
        <v>#REF!</v>
      </c>
      <c r="AX145" s="173" t="e">
        <f t="shared" si="62"/>
        <v>#REF!</v>
      </c>
      <c r="AY145" s="173" t="e">
        <f t="shared" si="62"/>
        <v>#REF!</v>
      </c>
      <c r="AZ145" s="173" t="e">
        <f t="shared" si="62"/>
        <v>#REF!</v>
      </c>
      <c r="BA145" s="173" t="e">
        <f t="shared" si="62"/>
        <v>#REF!</v>
      </c>
      <c r="BB145" s="173" t="e">
        <f t="shared" si="62"/>
        <v>#REF!</v>
      </c>
      <c r="BC145" s="173" t="e">
        <f t="shared" si="62"/>
        <v>#REF!</v>
      </c>
      <c r="BD145" s="173" t="e">
        <f t="shared" si="62"/>
        <v>#REF!</v>
      </c>
      <c r="BE145" s="173" t="e">
        <f t="shared" si="62"/>
        <v>#REF!</v>
      </c>
      <c r="BF145" s="173" t="e">
        <f t="shared" si="62"/>
        <v>#REF!</v>
      </c>
      <c r="BG145" s="173" t="e">
        <f t="shared" si="62"/>
        <v>#REF!</v>
      </c>
      <c r="BH145" s="173" t="e">
        <f t="shared" si="62"/>
        <v>#REF!</v>
      </c>
      <c r="BI145" s="173" t="e">
        <f t="shared" si="62"/>
        <v>#REF!</v>
      </c>
      <c r="BJ145" s="173" t="e">
        <f t="shared" si="62"/>
        <v>#REF!</v>
      </c>
      <c r="BK145" s="173" t="e">
        <f t="shared" si="62"/>
        <v>#REF!</v>
      </c>
      <c r="BL145" s="173" t="e">
        <f t="shared" si="62"/>
        <v>#REF!</v>
      </c>
      <c r="BM145" s="173" t="e">
        <f t="shared" si="62"/>
        <v>#REF!</v>
      </c>
      <c r="BN145" s="173" t="e">
        <f t="shared" si="62"/>
        <v>#REF!</v>
      </c>
    </row>
    <row r="146" spans="2:66" x14ac:dyDescent="0.3">
      <c r="B146" s="174" t="str">
        <f t="array" ref="B146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146" s="174" t="s">
        <v>337</v>
      </c>
      <c r="D146" s="177" t="str">
        <f t="shared" si="53"/>
        <v>Arquitetura de projetos GERDAU</v>
      </c>
      <c r="E146" s="170" t="str">
        <f t="shared" si="56"/>
        <v>Dimensionamento de Headcount</v>
      </c>
      <c r="F146" s="174" t="str">
        <f>$H$145</f>
        <v>Revisão e Consolidação das Produtividades</v>
      </c>
      <c r="G146" s="174" t="s">
        <v>74</v>
      </c>
      <c r="H146" s="195" t="s">
        <v>336</v>
      </c>
      <c r="I146" s="174">
        <f>MIN(I147:I149)</f>
        <v>45962</v>
      </c>
      <c r="J146" s="174">
        <f>MAX(J147:J149)</f>
        <v>45989</v>
      </c>
      <c r="K146" s="174">
        <f>MIN(K147:K149)</f>
        <v>45962</v>
      </c>
      <c r="L146" s="174">
        <f>MAX(L147:L149)</f>
        <v>45989</v>
      </c>
      <c r="M146" s="175"/>
      <c r="N146" s="175" t="str">
        <f t="array" ref="N146">_xlfn.IFS(L146&lt;$M$3,"Concluído",AND(K146&gt;=$M$3,I146&lt;$M$3,L146&gt;$M$3),"Em andamento",AND(L146&gt;=$M$3,J146&lt;$M$3),"Atrasado",AND(L146&gt;=$M$3,J146&gt;=$M$3,I146&gt;$M$3,K146&lt;=$M$3),"Em andamento",AND(L146&gt;=$M$3,J146&gt;=$M$3,I146&lt;=$M$3,K146&lt;=$M$3),"Em andamento",AND(K146&gt;$M$3,I146&gt;$M$3),"Não iniciado",AND(L146&gt;=$M$3,J146&gt;=$M$3,K146&gt;=$M$3,I146&lt;$M$3),"Atrasado",AND(L146&gt;=$M$3,J146&gt;=$M$3,K146&gt;=$M$3,I146&gt;$M$3),"Não iniciado",AND($I146&lt;=$M$3,$K146&gt;$M$3),"Atrasado")</f>
        <v>Concluído</v>
      </c>
      <c r="O146" s="175">
        <f t="array" ref="O146">_xlfn.IFS(N146="Não iniciado",0,N146="Em andamento",1,N146="Concluído",2,N146="Atrasado",3)</f>
        <v>2</v>
      </c>
      <c r="P146" s="176"/>
      <c r="Q146" s="156">
        <f t="shared" ref="Q146:AV146" ca="1" si="63">AVERAGE(Q147:Q149)</f>
        <v>1</v>
      </c>
      <c r="R146" s="156">
        <f t="shared" ca="1" si="63"/>
        <v>1</v>
      </c>
      <c r="S146" s="205" t="e">
        <f t="shared" si="63"/>
        <v>#REF!</v>
      </c>
      <c r="T146" s="205" t="e">
        <f t="shared" si="63"/>
        <v>#REF!</v>
      </c>
      <c r="U146" s="205" t="e">
        <f t="shared" si="63"/>
        <v>#REF!</v>
      </c>
      <c r="V146" s="205" t="e">
        <f t="shared" si="63"/>
        <v>#REF!</v>
      </c>
      <c r="W146" s="205" t="e">
        <f t="shared" si="63"/>
        <v>#REF!</v>
      </c>
      <c r="X146" s="205" t="e">
        <f t="shared" si="63"/>
        <v>#REF!</v>
      </c>
      <c r="Y146" s="205" t="e">
        <f t="shared" si="63"/>
        <v>#REF!</v>
      </c>
      <c r="Z146" s="205" t="e">
        <f t="shared" si="63"/>
        <v>#REF!</v>
      </c>
      <c r="AA146" s="205" t="e">
        <f t="shared" si="63"/>
        <v>#REF!</v>
      </c>
      <c r="AB146" s="205" t="e">
        <f t="shared" si="63"/>
        <v>#REF!</v>
      </c>
      <c r="AC146" s="205" t="e">
        <f t="shared" si="63"/>
        <v>#REF!</v>
      </c>
      <c r="AD146" s="205" t="e">
        <f t="shared" si="63"/>
        <v>#REF!</v>
      </c>
      <c r="AE146" s="205" t="e">
        <f t="shared" si="63"/>
        <v>#REF!</v>
      </c>
      <c r="AF146" s="205" t="e">
        <f t="shared" si="63"/>
        <v>#REF!</v>
      </c>
      <c r="AG146" s="205" t="e">
        <f t="shared" si="63"/>
        <v>#REF!</v>
      </c>
      <c r="AH146" s="205" t="e">
        <f t="shared" si="63"/>
        <v>#REF!</v>
      </c>
      <c r="AI146" s="205" t="e">
        <f t="shared" si="63"/>
        <v>#REF!</v>
      </c>
      <c r="AJ146" s="205" t="e">
        <f t="shared" si="63"/>
        <v>#REF!</v>
      </c>
      <c r="AK146" s="205" t="e">
        <f t="shared" si="63"/>
        <v>#REF!</v>
      </c>
      <c r="AL146" s="205" t="e">
        <f t="shared" si="63"/>
        <v>#REF!</v>
      </c>
      <c r="AM146" s="205" t="e">
        <f t="shared" si="63"/>
        <v>#REF!</v>
      </c>
      <c r="AN146" s="205" t="e">
        <f t="shared" si="63"/>
        <v>#REF!</v>
      </c>
      <c r="AO146" s="205" t="e">
        <f t="shared" si="63"/>
        <v>#REF!</v>
      </c>
      <c r="AP146" s="205" t="e">
        <f t="shared" si="63"/>
        <v>#REF!</v>
      </c>
      <c r="AQ146" s="205" t="e">
        <f t="shared" si="63"/>
        <v>#REF!</v>
      </c>
      <c r="AR146" s="205" t="e">
        <f t="shared" si="63"/>
        <v>#REF!</v>
      </c>
      <c r="AS146" s="205" t="e">
        <f t="shared" si="63"/>
        <v>#REF!</v>
      </c>
      <c r="AT146" s="205" t="e">
        <f t="shared" si="63"/>
        <v>#REF!</v>
      </c>
      <c r="AU146" s="205" t="e">
        <f t="shared" si="63"/>
        <v>#REF!</v>
      </c>
      <c r="AV146" s="205" t="e">
        <f t="shared" si="63"/>
        <v>#REF!</v>
      </c>
      <c r="AW146" s="205" t="e">
        <f t="shared" ref="AW146:BN146" si="64">AVERAGE(AW147:AW149)</f>
        <v>#REF!</v>
      </c>
      <c r="AX146" s="205" t="e">
        <f t="shared" si="64"/>
        <v>#REF!</v>
      </c>
      <c r="AY146" s="205" t="e">
        <f t="shared" si="64"/>
        <v>#REF!</v>
      </c>
      <c r="AZ146" s="205" t="e">
        <f t="shared" si="64"/>
        <v>#REF!</v>
      </c>
      <c r="BA146" s="205" t="e">
        <f t="shared" si="64"/>
        <v>#REF!</v>
      </c>
      <c r="BB146" s="205" t="e">
        <f t="shared" si="64"/>
        <v>#REF!</v>
      </c>
      <c r="BC146" s="205" t="e">
        <f t="shared" si="64"/>
        <v>#REF!</v>
      </c>
      <c r="BD146" s="205" t="e">
        <f t="shared" si="64"/>
        <v>#REF!</v>
      </c>
      <c r="BE146" s="205" t="e">
        <f t="shared" si="64"/>
        <v>#REF!</v>
      </c>
      <c r="BF146" s="205" t="e">
        <f t="shared" si="64"/>
        <v>#REF!</v>
      </c>
      <c r="BG146" s="205" t="e">
        <f t="shared" si="64"/>
        <v>#REF!</v>
      </c>
      <c r="BH146" s="205" t="e">
        <f t="shared" si="64"/>
        <v>#REF!</v>
      </c>
      <c r="BI146" s="205" t="e">
        <f t="shared" si="64"/>
        <v>#REF!</v>
      </c>
      <c r="BJ146" s="205" t="e">
        <f t="shared" si="64"/>
        <v>#REF!</v>
      </c>
      <c r="BK146" s="205" t="e">
        <f t="shared" si="64"/>
        <v>#REF!</v>
      </c>
      <c r="BL146" s="205" t="e">
        <f t="shared" si="64"/>
        <v>#REF!</v>
      </c>
      <c r="BM146" s="205" t="e">
        <f t="shared" si="64"/>
        <v>#REF!</v>
      </c>
      <c r="BN146" s="205" t="e">
        <f t="shared" si="64"/>
        <v>#REF!</v>
      </c>
    </row>
    <row r="147" spans="2:66" x14ac:dyDescent="0.3">
      <c r="B147" s="166" t="str">
        <f t="array" ref="B147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47" s="166" t="s">
        <v>338</v>
      </c>
      <c r="D147" s="177" t="str">
        <f t="shared" si="53"/>
        <v>Arquitetura de projetos GERDAU</v>
      </c>
      <c r="E147" s="170" t="str">
        <f t="shared" si="56"/>
        <v>Dimensionamento de Headcount</v>
      </c>
      <c r="F147" s="174" t="str">
        <f>$H$145</f>
        <v>Revisão e Consolidação das Produtividades</v>
      </c>
      <c r="G147" s="166" t="str">
        <f>$H$146</f>
        <v>Revisão e Consolidação das Produtividades</v>
      </c>
      <c r="H147" s="197" t="s">
        <v>339</v>
      </c>
      <c r="I147" s="166">
        <v>45962</v>
      </c>
      <c r="J147" s="166">
        <v>45989</v>
      </c>
      <c r="K147" s="166">
        <v>45962</v>
      </c>
      <c r="L147" s="166">
        <v>45989</v>
      </c>
      <c r="M147" s="167"/>
      <c r="N147" s="167" t="str">
        <f t="array" ref="N147">_xlfn.IFS(L147&lt;$M$3,"Concluído",AND(K147&gt;=$M$3,I147&lt;$M$3,L147&gt;$M$3),"Em andamento",AND(L147&gt;=$M$3,J147&lt;$M$3),"Atrasado",AND(L147&gt;=$M$3,J147&gt;=$M$3,I147&gt;$M$3,K147&lt;=$M$3),"Em andamento",AND(L147&gt;=$M$3,J147&gt;=$M$3,I147&lt;=$M$3,K147&lt;=$M$3),"Em andamento",AND(K147&gt;$M$3,I147&gt;$M$3),"Não iniciado",AND(L147&gt;=$M$3,J147&gt;=$M$3,K147&gt;=$M$3,I147&lt;$M$3),"Atrasado",AND(L147&gt;=$M$3,J147&gt;=$M$3,K147&gt;=$M$3,I147&gt;$M$3),"Não iniciado",AND($I147&lt;=$M$3,$K147&gt;$M$3),"Atrasado")</f>
        <v>Concluído</v>
      </c>
      <c r="O147" s="167">
        <f t="array" ref="O147">_xlfn.IFS(N147="Não iniciado",0,N147="Em andamento",1,N147="Concluído",2,N147="Atrasado",3)</f>
        <v>2</v>
      </c>
      <c r="P147" s="168"/>
      <c r="Q147" s="152">
        <f t="array" aca="1" ref="Q147" ca="1">_xlfn.IFS(AND($I147&lt;$N$3,$J147&lt;$N$3),1,AND($I147&lt;=$N$3,$J147&gt;=$N$3),0.5,AND($I147&gt;=$N$3,$J147&gt;=$N$3),0)</f>
        <v>1</v>
      </c>
      <c r="R147" s="152">
        <f t="array" aca="1" ref="R147" ca="1">_xlfn.IFS(AND($K147&lt;$N$3,$L147&lt;$N$3),1,AND($K147&lt;=$N$3,$L147&gt;=$N$3),0.5,AND($K147&gt;=$N$3,$L147&gt;=$N$3),0)</f>
        <v>1</v>
      </c>
      <c r="S147" s="201" t="e">
        <f t="array" ref="S147">_xlfn.IFS(AND($K147&gt;R$7,$L147&gt;R$7),0,AND($K147&lt;=R$7,$L147&lt;=R$7),1,AND($K147&lt;=R$7,$L147&gt;R$7),((R$7-$K147)/($L147-$K147)))</f>
        <v>#REF!</v>
      </c>
      <c r="T147" s="201" t="e">
        <f t="array" ref="T147">_xlfn.IFS(AND($K147&gt;S$7,$L147&gt;S$7),0,AND($K147&lt;=S$7,$L147&lt;=S$7),1,AND($K147&lt;=S$7,$L147&gt;S$7),((S$7-$K147)/($L147-$K147)))</f>
        <v>#REF!</v>
      </c>
      <c r="U147" s="201" t="e">
        <f t="array" ref="U147">_xlfn.IFS(AND($K147&gt;T$7,$L147&gt;T$7),0,AND($K147&lt;=T$7,$L147&lt;=T$7),1,AND($K147&lt;=T$7,$L147&gt;T$7),((T$7-$K147)/($L147-$K147)))</f>
        <v>#REF!</v>
      </c>
      <c r="V147" s="201" t="e">
        <f t="array" ref="V147">_xlfn.IFS(AND($K147&gt;U$7,$L147&gt;U$7),0,AND($K147&lt;=U$7,$L147&lt;=U$7),1,AND($K147&lt;=U$7,$L147&gt;U$7),((U$7-$K147)/($L147-$K147)))</f>
        <v>#REF!</v>
      </c>
      <c r="W147" s="201" t="e">
        <f t="array" ref="W147">_xlfn.IFS(AND($K147&gt;V$7,$L147&gt;V$7),0,AND($K147&lt;=V$7,$L147&lt;=V$7),1,AND($K147&lt;=V$7,$L147&gt;V$7),((V$7-$K147)/($L147-$K147)))</f>
        <v>#REF!</v>
      </c>
      <c r="X147" s="201" t="e">
        <f t="array" ref="X147">_xlfn.IFS(AND($K147&gt;W$7,$L147&gt;W$7),0,AND($K147&lt;=W$7,$L147&lt;=W$7),1,AND($K147&lt;=W$7,$L147&gt;W$7),((W$7-$K147)/($L147-$K147)))</f>
        <v>#REF!</v>
      </c>
      <c r="Y147" s="201" t="e">
        <f t="array" ref="Y147">_xlfn.IFS(AND($K147&gt;X$7,$L147&gt;X$7),0,AND($K147&lt;=X$7,$L147&lt;=X$7),1,AND($K147&lt;=X$7,$L147&gt;X$7),((X$7-$K147)/($L147-$K147)))</f>
        <v>#REF!</v>
      </c>
      <c r="Z147" s="201" t="e">
        <f t="array" ref="Z147">_xlfn.IFS(AND($K147&gt;Y$7,$L147&gt;Y$7),0,AND($K147&lt;=Y$7,$L147&lt;=Y$7),1,AND($K147&lt;=Y$7,$L147&gt;Y$7),((Y$7-$K147)/($L147-$K147)))</f>
        <v>#REF!</v>
      </c>
      <c r="AA147" s="201" t="e">
        <f t="array" ref="AA147">_xlfn.IFS(AND($K147&gt;Z$7,$L147&gt;Z$7),0,AND($K147&lt;=Z$7,$L147&lt;=Z$7),1,AND($K147&lt;=Z$7,$L147&gt;Z$7),((Z$7-$K147)/($L147-$K147)))</f>
        <v>#REF!</v>
      </c>
      <c r="AB147" s="201" t="e">
        <f t="array" ref="AB147">_xlfn.IFS(AND($K147&gt;AA$7,$L147&gt;AA$7),0,AND($K147&lt;=AA$7,$L147&lt;=AA$7),1,AND($K147&lt;=AA$7,$L147&gt;AA$7),((AA$7-$K147)/($L147-$K147)))</f>
        <v>#REF!</v>
      </c>
      <c r="AC147" s="201" t="e">
        <f t="array" ref="AC147">_xlfn.IFS(AND($K147&gt;AB$7,$L147&gt;AB$7),0,AND($K147&lt;=AB$7,$L147&lt;=AB$7),1,AND($K147&lt;=AB$7,$L147&gt;AB$7),((AB$7-$K147)/($L147-$K147)))</f>
        <v>#REF!</v>
      </c>
      <c r="AD147" s="201" t="e">
        <f t="array" ref="AD147">_xlfn.IFS(AND($K147&gt;AC$7,$L147&gt;AC$7),0,AND($K147&lt;=AC$7,$L147&lt;=AC$7),1,AND($K147&lt;=AC$7,$L147&gt;AC$7),((AC$7-$K147)/($L147-$K147)))</f>
        <v>#REF!</v>
      </c>
      <c r="AE147" s="201" t="e">
        <f t="array" ref="AE147">_xlfn.IFS(AND($K147&gt;AD$7,$L147&gt;AD$7),0,AND($K147&lt;=AD$7,$L147&lt;=AD$7),1,AND($K147&lt;=AD$7,$L147&gt;AD$7),((AD$7-$K147)/($L147-$K147)))</f>
        <v>#REF!</v>
      </c>
      <c r="AF147" s="201" t="e">
        <f t="array" ref="AF147">_xlfn.IFS(AND($K147&gt;AE$7,$L147&gt;AE$7),0,AND($K147&lt;=AE$7,$L147&lt;=AE$7),1,AND($K147&lt;=AE$7,$L147&gt;AE$7),((AE$7-$K147)/($L147-$K147)))</f>
        <v>#REF!</v>
      </c>
      <c r="AG147" s="201" t="e">
        <f t="array" ref="AG147">_xlfn.IFS(AND($K147&gt;AF$7,$L147&gt;AF$7),0,AND($K147&lt;=AF$7,$L147&lt;=AF$7),1,AND($K147&lt;=AF$7,$L147&gt;AF$7),((AF$7-$K147)/($L147-$K147)))</f>
        <v>#REF!</v>
      </c>
      <c r="AH147" s="201" t="e">
        <f t="array" ref="AH147">_xlfn.IFS(AND($K147&gt;AG$7,$L147&gt;AG$7),0,AND($K147&lt;=AG$7,$L147&lt;=AG$7),1,AND($K147&lt;=AG$7,$L147&gt;AG$7),((AG$7-$K147)/($L147-$K147)))</f>
        <v>#REF!</v>
      </c>
      <c r="AI147" s="201" t="e">
        <f t="array" ref="AI147">_xlfn.IFS(AND($K147&gt;AH$7,$L147&gt;AH$7),0,AND($K147&lt;=AH$7,$L147&lt;=AH$7),1,AND($K147&lt;=AH$7,$L147&gt;AH$7),((AH$7-$K147)/($L147-$K147)))</f>
        <v>#REF!</v>
      </c>
      <c r="AJ147" s="201" t="e">
        <f t="array" ref="AJ147">_xlfn.IFS(AND($K147&gt;AI$7,$L147&gt;AI$7),0,AND($K147&lt;=AI$7,$L147&lt;=AI$7),1,AND($K147&lt;=AI$7,$L147&gt;AI$7),((AI$7-$K147)/($L147-$K147)))</f>
        <v>#REF!</v>
      </c>
      <c r="AK147" s="201" t="e">
        <f t="array" ref="AK147">_xlfn.IFS(AND($K147&gt;AJ$7,$L147&gt;AJ$7),0,AND($K147&lt;=AJ$7,$L147&lt;=AJ$7),1,AND($K147&lt;=AJ$7,$L147&gt;AJ$7),((AJ$7-$K147)/($L147-$K147)))</f>
        <v>#REF!</v>
      </c>
      <c r="AL147" s="201" t="e">
        <f t="array" ref="AL147">_xlfn.IFS(AND($K147&gt;AK$7,$L147&gt;AK$7),0,AND($K147&lt;=AK$7,$L147&lt;=AK$7),1,AND($K147&lt;=AK$7,$L147&gt;AK$7),((AK$7-$K147)/($L147-$K147)))</f>
        <v>#REF!</v>
      </c>
      <c r="AM147" s="201" t="e">
        <f t="array" ref="AM147">_xlfn.IFS(AND($K147&gt;AL$7,$L147&gt;AL$7),0,AND($K147&lt;=AL$7,$L147&lt;=AL$7),1,AND($K147&lt;=AL$7,$L147&gt;AL$7),((AL$7-$K147)/($L147-$K147)))</f>
        <v>#REF!</v>
      </c>
      <c r="AN147" s="201" t="e">
        <f t="array" ref="AN147">_xlfn.IFS(AND($K147&gt;AM$7,$L147&gt;AM$7),0,AND($K147&lt;=AM$7,$L147&lt;=AM$7),1,AND($K147&lt;=AM$7,$L147&gt;AM$7),((AM$7-$K147)/($L147-$K147)))</f>
        <v>#REF!</v>
      </c>
      <c r="AO147" s="201" t="e">
        <f t="array" ref="AO147">_xlfn.IFS(AND($K147&gt;AN$7,$L147&gt;AN$7),0,AND($K147&lt;=AN$7,$L147&lt;=AN$7),1,AND($K147&lt;=AN$7,$L147&gt;AN$7),((AN$7-$K147)/($L147-$K147)))</f>
        <v>#REF!</v>
      </c>
      <c r="AP147" s="201" t="e">
        <f t="array" ref="AP147">_xlfn.IFS(AND($K147&gt;AO$7,$L147&gt;AO$7),0,AND($K147&lt;=AO$7,$L147&lt;=AO$7),1,AND($K147&lt;=AO$7,$L147&gt;AO$7),((AO$7-$K147)/($L147-$K147)))</f>
        <v>#REF!</v>
      </c>
      <c r="AQ147" s="201" t="e">
        <f t="array" ref="AQ147">_xlfn.IFS(AND($K147&gt;AP$7,$L147&gt;AP$7),0,AND($K147&lt;=AP$7,$L147&lt;=AP$7),1,AND($K147&lt;=AP$7,$L147&gt;AP$7),((AP$7-$K147)/($L147-$K147)))</f>
        <v>#REF!</v>
      </c>
      <c r="AR147" s="201" t="e">
        <f t="array" ref="AR147">_xlfn.IFS(AND($K147&gt;AQ$7,$L147&gt;AQ$7),0,AND($K147&lt;=AQ$7,$L147&lt;=AQ$7),1,AND($K147&lt;=AQ$7,$L147&gt;AQ$7),((AQ$7-$K147)/($L147-$K147)))</f>
        <v>#REF!</v>
      </c>
      <c r="AS147" s="201" t="e">
        <f t="array" ref="AS147">_xlfn.IFS(AND($K147&gt;AR$7,$L147&gt;AR$7),0,AND($K147&lt;=AR$7,$L147&lt;=AR$7),1,AND($K147&lt;=AR$7,$L147&gt;AR$7),((AR$7-$K147)/($L147-$K147)))</f>
        <v>#REF!</v>
      </c>
      <c r="AT147" s="201" t="e">
        <f t="array" ref="AT147">_xlfn.IFS(AND($K147&gt;AS$7,$L147&gt;AS$7),0,AND($K147&lt;=AS$7,$L147&lt;=AS$7),1,AND($K147&lt;=AS$7,$L147&gt;AS$7),((AS$7-$K147)/($L147-$K147)))</f>
        <v>#REF!</v>
      </c>
      <c r="AU147" s="201" t="e">
        <f t="array" ref="AU147">_xlfn.IFS(AND($K147&gt;AT$7,$L147&gt;AT$7),0,AND($K147&lt;=AT$7,$L147&lt;=AT$7),1,AND($K147&lt;=AT$7,$L147&gt;AT$7),((AT$7-$K147)/($L147-$K147)))</f>
        <v>#REF!</v>
      </c>
      <c r="AV147" s="201" t="e">
        <f t="array" ref="AV147">_xlfn.IFS(AND($K147&gt;AU$7,$L147&gt;AU$7),0,AND($K147&lt;=AU$7,$L147&lt;=AU$7),1,AND($K147&lt;=AU$7,$L147&gt;AU$7),((AU$7-$K147)/($L147-$K147)))</f>
        <v>#REF!</v>
      </c>
      <c r="AW147" s="201" t="e">
        <f t="array" ref="AW147">_xlfn.IFS(AND($K147&gt;AV$7,$L147&gt;AV$7),0,AND($K147&lt;=AV$7,$L147&lt;=AV$7),1,AND($K147&lt;=AV$7,$L147&gt;AV$7),((AV$7-$K147)/($L147-$K147)))</f>
        <v>#REF!</v>
      </c>
      <c r="AX147" s="201" t="e">
        <f t="array" ref="AX147">_xlfn.IFS(AND($K147&gt;AW$7,$L147&gt;AW$7),0,AND($K147&lt;=AW$7,$L147&lt;=AW$7),1,AND($K147&lt;=AW$7,$L147&gt;AW$7),((AW$7-$K147)/($L147-$K147)))</f>
        <v>#REF!</v>
      </c>
      <c r="AY147" s="201" t="e">
        <f t="array" ref="AY147">_xlfn.IFS(AND($K147&gt;AX$7,$L147&gt;AX$7),0,AND($K147&lt;=AX$7,$L147&lt;=AX$7),1,AND($K147&lt;=AX$7,$L147&gt;AX$7),((AX$7-$K147)/($L147-$K147)))</f>
        <v>#REF!</v>
      </c>
      <c r="AZ147" s="201" t="e">
        <f t="array" ref="AZ147">_xlfn.IFS(AND($K147&gt;AY$7,$L147&gt;AY$7),0,AND($K147&lt;=AY$7,$L147&lt;=AY$7),1,AND($K147&lt;=AY$7,$L147&gt;AY$7),((AY$7-$K147)/($L147-$K147)))</f>
        <v>#REF!</v>
      </c>
      <c r="BA147" s="201" t="e">
        <f t="array" ref="BA147">_xlfn.IFS(AND($K147&gt;AZ$7,$L147&gt;AZ$7),0,AND($K147&lt;=AZ$7,$L147&lt;=AZ$7),1,AND($K147&lt;=AZ$7,$L147&gt;AZ$7),((AZ$7-$K147)/($L147-$K147)))</f>
        <v>#REF!</v>
      </c>
      <c r="BB147" s="201" t="e">
        <f t="array" ref="BB147">_xlfn.IFS(AND($K147&gt;BA$7,$L147&gt;BA$7),0,AND($K147&lt;=BA$7,$L147&lt;=BA$7),1,AND($K147&lt;=BA$7,$L147&gt;BA$7),((BA$7-$K147)/($L147-$K147)))</f>
        <v>#REF!</v>
      </c>
      <c r="BC147" s="201" t="e">
        <f t="array" ref="BC147">_xlfn.IFS(AND($K147&gt;BB$7,$L147&gt;BB$7),0,AND($K147&lt;=BB$7,$L147&lt;=BB$7),1,AND($K147&lt;=BB$7,$L147&gt;BB$7),((BB$7-$K147)/($L147-$K147)))</f>
        <v>#REF!</v>
      </c>
      <c r="BD147" s="201" t="e">
        <f t="array" ref="BD147">_xlfn.IFS(AND($K147&gt;BC$7,$L147&gt;BC$7),0,AND($K147&lt;=BC$7,$L147&lt;=BC$7),1,AND($K147&lt;=BC$7,$L147&gt;BC$7),((BC$7-$K147)/($L147-$K147)))</f>
        <v>#REF!</v>
      </c>
      <c r="BE147" s="201" t="e">
        <f t="array" ref="BE147">_xlfn.IFS(AND($K147&gt;BD$7,$L147&gt;BD$7),0,AND($K147&lt;=BD$7,$L147&lt;=BD$7),1,AND($K147&lt;=BD$7,$L147&gt;BD$7),((BD$7-$K147)/($L147-$K147)))</f>
        <v>#REF!</v>
      </c>
      <c r="BF147" s="201" t="e">
        <f t="array" ref="BF147">_xlfn.IFS(AND($K147&gt;BE$7,$L147&gt;BE$7),0,AND($K147&lt;=BE$7,$L147&lt;=BE$7),1,AND($K147&lt;=BE$7,$L147&gt;BE$7),((BE$7-$K147)/($L147-$K147)))</f>
        <v>#REF!</v>
      </c>
      <c r="BG147" s="201" t="e">
        <f t="array" ref="BG147">_xlfn.IFS(AND($K147&gt;BF$7,$L147&gt;BF$7),0,AND($K147&lt;=BF$7,$L147&lt;=BF$7),1,AND($K147&lt;=BF$7,$L147&gt;BF$7),((BF$7-$K147)/($L147-$K147)))</f>
        <v>#REF!</v>
      </c>
      <c r="BH147" s="201" t="e">
        <f t="array" ref="BH147">_xlfn.IFS(AND($K147&gt;BG$7,$L147&gt;BG$7),0,AND($K147&lt;=BG$7,$L147&lt;=BG$7),1,AND($K147&lt;=BG$7,$L147&gt;BG$7),((BG$7-$K147)/($L147-$K147)))</f>
        <v>#REF!</v>
      </c>
      <c r="BI147" s="201" t="e">
        <f t="array" ref="BI147">_xlfn.IFS(AND($K147&gt;BH$7,$L147&gt;BH$7),0,AND($K147&lt;=BH$7,$L147&lt;=BH$7),1,AND($K147&lt;=BH$7,$L147&gt;BH$7),((BH$7-$K147)/($L147-$K147)))</f>
        <v>#REF!</v>
      </c>
      <c r="BJ147" s="201" t="e">
        <f t="array" ref="BJ147">_xlfn.IFS(AND($K147&gt;BI$7,$L147&gt;BI$7),0,AND($K147&lt;=BI$7,$L147&lt;=BI$7),1,AND($K147&lt;=BI$7,$L147&gt;BI$7),((BI$7-$K147)/($L147-$K147)))</f>
        <v>#REF!</v>
      </c>
      <c r="BK147" s="201" t="e">
        <f t="array" ref="BK147">_xlfn.IFS(AND($K147&gt;BJ$7,$L147&gt;BJ$7),0,AND($K147&lt;=BJ$7,$L147&lt;=BJ$7),1,AND($K147&lt;=BJ$7,$L147&gt;BJ$7),((BJ$7-$K147)/($L147-$K147)))</f>
        <v>#REF!</v>
      </c>
      <c r="BL147" s="201" t="e">
        <f t="array" ref="BL147">_xlfn.IFS(AND($K147&gt;BK$7,$L147&gt;BK$7),0,AND($K147&lt;=BK$7,$L147&lt;=BK$7),1,AND($K147&lt;=BK$7,$L147&gt;BK$7),((BK$7-$K147)/($L147-$K147)))</f>
        <v>#REF!</v>
      </c>
      <c r="BM147" s="201" t="e">
        <f t="array" ref="BM147">_xlfn.IFS(AND($K147&gt;BL$7,$L147&gt;BL$7),0,AND($K147&lt;=BL$7,$L147&lt;=BL$7),1,AND($K147&lt;=BL$7,$L147&gt;BL$7),((BL$7-$K147)/($L147-$K147)))</f>
        <v>#REF!</v>
      </c>
      <c r="BN147" s="201" t="e">
        <f t="array" ref="BN147">_xlfn.IFS(AND($K147&gt;BM$7,$L147&gt;BM$7),0,AND($K147&lt;=BM$7,$L147&lt;=BM$7),1,AND($K147&lt;=BM$7,$L147&gt;BM$7),((BM$7-$K147)/($L147-$K147)))</f>
        <v>#REF!</v>
      </c>
    </row>
    <row r="148" spans="2:66" x14ac:dyDescent="0.3">
      <c r="B148" s="166" t="str">
        <f t="array" ref="B148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48" s="166" t="s">
        <v>340</v>
      </c>
      <c r="D148" s="177" t="str">
        <f t="shared" si="53"/>
        <v>Arquitetura de projetos GERDAU</v>
      </c>
      <c r="E148" s="170" t="str">
        <f t="shared" si="56"/>
        <v>Dimensionamento de Headcount</v>
      </c>
      <c r="F148" s="174" t="str">
        <f>$H$145</f>
        <v>Revisão e Consolidação das Produtividades</v>
      </c>
      <c r="G148" s="166" t="str">
        <f>$H$146</f>
        <v>Revisão e Consolidação das Produtividades</v>
      </c>
      <c r="H148" s="197" t="s">
        <v>341</v>
      </c>
      <c r="I148" s="166">
        <v>45962</v>
      </c>
      <c r="J148" s="166">
        <v>45989</v>
      </c>
      <c r="K148" s="166">
        <v>45962</v>
      </c>
      <c r="L148" s="166">
        <v>45989</v>
      </c>
      <c r="M148" s="167"/>
      <c r="N148" s="167" t="str">
        <f t="array" ref="N148">_xlfn.IFS(L148&lt;$M$3,"Concluído",AND(K148&gt;=$M$3,I148&lt;$M$3,L148&gt;$M$3),"Em andamento",AND(L148&gt;=$M$3,J148&lt;$M$3),"Atrasado",AND(L148&gt;=$M$3,J148&gt;=$M$3,I148&gt;$M$3,K148&lt;=$M$3),"Em andamento",AND(L148&gt;=$M$3,J148&gt;=$M$3,I148&lt;=$M$3,K148&lt;=$M$3),"Em andamento",AND(K148&gt;$M$3,I148&gt;$M$3),"Não iniciado",AND(L148&gt;=$M$3,J148&gt;=$M$3,K148&gt;=$M$3,I148&lt;$M$3),"Atrasado",AND(L148&gt;=$M$3,J148&gt;=$M$3,K148&gt;=$M$3,I148&gt;$M$3),"Não iniciado",AND($I148&lt;=$M$3,$K148&gt;$M$3),"Atrasado")</f>
        <v>Concluído</v>
      </c>
      <c r="O148" s="167">
        <f t="array" ref="O148">_xlfn.IFS(N148="Não iniciado",0,N148="Em andamento",1,N148="Concluído",2,N148="Atrasado",3)</f>
        <v>2</v>
      </c>
      <c r="P148" s="168"/>
      <c r="Q148" s="152">
        <f t="array" aca="1" ref="Q148" ca="1">_xlfn.IFS(AND($I148&lt;$N$3,$J148&lt;$N$3),1,AND($I148&lt;=$N$3,$J148&gt;=$N$3),0.5,AND($I148&gt;=$N$3,$J148&gt;=$N$3),0)</f>
        <v>1</v>
      </c>
      <c r="R148" s="152">
        <f t="array" aca="1" ref="R148" ca="1">_xlfn.IFS(AND($K148&lt;$N$3,$L148&lt;$N$3),1,AND($K148&lt;=$N$3,$L148&gt;=$N$3),0.5,AND($K148&gt;=$N$3,$L148&gt;=$N$3),0)</f>
        <v>1</v>
      </c>
      <c r="S148" s="201" t="e">
        <f t="array" ref="S148">_xlfn.IFS(AND($K148&gt;R$7,$L148&gt;R$7),0,AND($K148&lt;=R$7,$L148&lt;=R$7),1,AND($K148&lt;=R$7,$L148&gt;R$7),((R$7-$K148)/($L148-$K148)))</f>
        <v>#REF!</v>
      </c>
      <c r="T148" s="201" t="e">
        <f t="array" ref="T148">_xlfn.IFS(AND($K148&gt;S$7,$L148&gt;S$7),0,AND($K148&lt;=S$7,$L148&lt;=S$7),1,AND($K148&lt;=S$7,$L148&gt;S$7),((S$7-$K148)/($L148-$K148)))</f>
        <v>#REF!</v>
      </c>
      <c r="U148" s="201" t="e">
        <f t="array" ref="U148">_xlfn.IFS(AND($K148&gt;T$7,$L148&gt;T$7),0,AND($K148&lt;=T$7,$L148&lt;=T$7),1,AND($K148&lt;=T$7,$L148&gt;T$7),((T$7-$K148)/($L148-$K148)))</f>
        <v>#REF!</v>
      </c>
      <c r="V148" s="201" t="e">
        <f t="array" ref="V148">_xlfn.IFS(AND($K148&gt;U$7,$L148&gt;U$7),0,AND($K148&lt;=U$7,$L148&lt;=U$7),1,AND($K148&lt;=U$7,$L148&gt;U$7),((U$7-$K148)/($L148-$K148)))</f>
        <v>#REF!</v>
      </c>
      <c r="W148" s="201" t="e">
        <f t="array" ref="W148">_xlfn.IFS(AND($K148&gt;V$7,$L148&gt;V$7),0,AND($K148&lt;=V$7,$L148&lt;=V$7),1,AND($K148&lt;=V$7,$L148&gt;V$7),((V$7-$K148)/($L148-$K148)))</f>
        <v>#REF!</v>
      </c>
      <c r="X148" s="201" t="e">
        <f t="array" ref="X148">_xlfn.IFS(AND($K148&gt;W$7,$L148&gt;W$7),0,AND($K148&lt;=W$7,$L148&lt;=W$7),1,AND($K148&lt;=W$7,$L148&gt;W$7),((W$7-$K148)/($L148-$K148)))</f>
        <v>#REF!</v>
      </c>
      <c r="Y148" s="201" t="e">
        <f t="array" ref="Y148">_xlfn.IFS(AND($K148&gt;X$7,$L148&gt;X$7),0,AND($K148&lt;=X$7,$L148&lt;=X$7),1,AND($K148&lt;=X$7,$L148&gt;X$7),((X$7-$K148)/($L148-$K148)))</f>
        <v>#REF!</v>
      </c>
      <c r="Z148" s="201" t="e">
        <f t="array" ref="Z148">_xlfn.IFS(AND($K148&gt;Y$7,$L148&gt;Y$7),0,AND($K148&lt;=Y$7,$L148&lt;=Y$7),1,AND($K148&lt;=Y$7,$L148&gt;Y$7),((Y$7-$K148)/($L148-$K148)))</f>
        <v>#REF!</v>
      </c>
      <c r="AA148" s="201" t="e">
        <f t="array" ref="AA148">_xlfn.IFS(AND($K148&gt;Z$7,$L148&gt;Z$7),0,AND($K148&lt;=Z$7,$L148&lt;=Z$7),1,AND($K148&lt;=Z$7,$L148&gt;Z$7),((Z$7-$K148)/($L148-$K148)))</f>
        <v>#REF!</v>
      </c>
      <c r="AB148" s="201" t="e">
        <f t="array" ref="AB148">_xlfn.IFS(AND($K148&gt;AA$7,$L148&gt;AA$7),0,AND($K148&lt;=AA$7,$L148&lt;=AA$7),1,AND($K148&lt;=AA$7,$L148&gt;AA$7),((AA$7-$K148)/($L148-$K148)))</f>
        <v>#REF!</v>
      </c>
      <c r="AC148" s="201" t="e">
        <f t="array" ref="AC148">_xlfn.IFS(AND($K148&gt;AB$7,$L148&gt;AB$7),0,AND($K148&lt;=AB$7,$L148&lt;=AB$7),1,AND($K148&lt;=AB$7,$L148&gt;AB$7),((AB$7-$K148)/($L148-$K148)))</f>
        <v>#REF!</v>
      </c>
      <c r="AD148" s="201" t="e">
        <f t="array" ref="AD148">_xlfn.IFS(AND($K148&gt;AC$7,$L148&gt;AC$7),0,AND($K148&lt;=AC$7,$L148&lt;=AC$7),1,AND($K148&lt;=AC$7,$L148&gt;AC$7),((AC$7-$K148)/($L148-$K148)))</f>
        <v>#REF!</v>
      </c>
      <c r="AE148" s="201" t="e">
        <f t="array" ref="AE148">_xlfn.IFS(AND($K148&gt;AD$7,$L148&gt;AD$7),0,AND($K148&lt;=AD$7,$L148&lt;=AD$7),1,AND($K148&lt;=AD$7,$L148&gt;AD$7),((AD$7-$K148)/($L148-$K148)))</f>
        <v>#REF!</v>
      </c>
      <c r="AF148" s="201" t="e">
        <f t="array" ref="AF148">_xlfn.IFS(AND($K148&gt;AE$7,$L148&gt;AE$7),0,AND($K148&lt;=AE$7,$L148&lt;=AE$7),1,AND($K148&lt;=AE$7,$L148&gt;AE$7),((AE$7-$K148)/($L148-$K148)))</f>
        <v>#REF!</v>
      </c>
      <c r="AG148" s="201" t="e">
        <f t="array" ref="AG148">_xlfn.IFS(AND($K148&gt;AF$7,$L148&gt;AF$7),0,AND($K148&lt;=AF$7,$L148&lt;=AF$7),1,AND($K148&lt;=AF$7,$L148&gt;AF$7),((AF$7-$K148)/($L148-$K148)))</f>
        <v>#REF!</v>
      </c>
      <c r="AH148" s="201" t="e">
        <f t="array" ref="AH148">_xlfn.IFS(AND($K148&gt;AG$7,$L148&gt;AG$7),0,AND($K148&lt;=AG$7,$L148&lt;=AG$7),1,AND($K148&lt;=AG$7,$L148&gt;AG$7),((AG$7-$K148)/($L148-$K148)))</f>
        <v>#REF!</v>
      </c>
      <c r="AI148" s="201" t="e">
        <f t="array" ref="AI148">_xlfn.IFS(AND($K148&gt;AH$7,$L148&gt;AH$7),0,AND($K148&lt;=AH$7,$L148&lt;=AH$7),1,AND($K148&lt;=AH$7,$L148&gt;AH$7),((AH$7-$K148)/($L148-$K148)))</f>
        <v>#REF!</v>
      </c>
      <c r="AJ148" s="201" t="e">
        <f t="array" ref="AJ148">_xlfn.IFS(AND($K148&gt;AI$7,$L148&gt;AI$7),0,AND($K148&lt;=AI$7,$L148&lt;=AI$7),1,AND($K148&lt;=AI$7,$L148&gt;AI$7),((AI$7-$K148)/($L148-$K148)))</f>
        <v>#REF!</v>
      </c>
      <c r="AK148" s="201" t="e">
        <f t="array" ref="AK148">_xlfn.IFS(AND($K148&gt;AJ$7,$L148&gt;AJ$7),0,AND($K148&lt;=AJ$7,$L148&lt;=AJ$7),1,AND($K148&lt;=AJ$7,$L148&gt;AJ$7),((AJ$7-$K148)/($L148-$K148)))</f>
        <v>#REF!</v>
      </c>
      <c r="AL148" s="201" t="e">
        <f t="array" ref="AL148">_xlfn.IFS(AND($K148&gt;AK$7,$L148&gt;AK$7),0,AND($K148&lt;=AK$7,$L148&lt;=AK$7),1,AND($K148&lt;=AK$7,$L148&gt;AK$7),((AK$7-$K148)/($L148-$K148)))</f>
        <v>#REF!</v>
      </c>
      <c r="AM148" s="201" t="e">
        <f t="array" ref="AM148">_xlfn.IFS(AND($K148&gt;AL$7,$L148&gt;AL$7),0,AND($K148&lt;=AL$7,$L148&lt;=AL$7),1,AND($K148&lt;=AL$7,$L148&gt;AL$7),((AL$7-$K148)/($L148-$K148)))</f>
        <v>#REF!</v>
      </c>
      <c r="AN148" s="201" t="e">
        <f t="array" ref="AN148">_xlfn.IFS(AND($K148&gt;AM$7,$L148&gt;AM$7),0,AND($K148&lt;=AM$7,$L148&lt;=AM$7),1,AND($K148&lt;=AM$7,$L148&gt;AM$7),((AM$7-$K148)/($L148-$K148)))</f>
        <v>#REF!</v>
      </c>
      <c r="AO148" s="201" t="e">
        <f t="array" ref="AO148">_xlfn.IFS(AND($K148&gt;AN$7,$L148&gt;AN$7),0,AND($K148&lt;=AN$7,$L148&lt;=AN$7),1,AND($K148&lt;=AN$7,$L148&gt;AN$7),((AN$7-$K148)/($L148-$K148)))</f>
        <v>#REF!</v>
      </c>
      <c r="AP148" s="201" t="e">
        <f t="array" ref="AP148">_xlfn.IFS(AND($K148&gt;AO$7,$L148&gt;AO$7),0,AND($K148&lt;=AO$7,$L148&lt;=AO$7),1,AND($K148&lt;=AO$7,$L148&gt;AO$7),((AO$7-$K148)/($L148-$K148)))</f>
        <v>#REF!</v>
      </c>
      <c r="AQ148" s="201" t="e">
        <f t="array" ref="AQ148">_xlfn.IFS(AND($K148&gt;AP$7,$L148&gt;AP$7),0,AND($K148&lt;=AP$7,$L148&lt;=AP$7),1,AND($K148&lt;=AP$7,$L148&gt;AP$7),((AP$7-$K148)/($L148-$K148)))</f>
        <v>#REF!</v>
      </c>
      <c r="AR148" s="201" t="e">
        <f t="array" ref="AR148">_xlfn.IFS(AND($K148&gt;AQ$7,$L148&gt;AQ$7),0,AND($K148&lt;=AQ$7,$L148&lt;=AQ$7),1,AND($K148&lt;=AQ$7,$L148&gt;AQ$7),((AQ$7-$K148)/($L148-$K148)))</f>
        <v>#REF!</v>
      </c>
      <c r="AS148" s="201" t="e">
        <f t="array" ref="AS148">_xlfn.IFS(AND($K148&gt;AR$7,$L148&gt;AR$7),0,AND($K148&lt;=AR$7,$L148&lt;=AR$7),1,AND($K148&lt;=AR$7,$L148&gt;AR$7),((AR$7-$K148)/($L148-$K148)))</f>
        <v>#REF!</v>
      </c>
      <c r="AT148" s="201" t="e">
        <f t="array" ref="AT148">_xlfn.IFS(AND($K148&gt;AS$7,$L148&gt;AS$7),0,AND($K148&lt;=AS$7,$L148&lt;=AS$7),1,AND($K148&lt;=AS$7,$L148&gt;AS$7),((AS$7-$K148)/($L148-$K148)))</f>
        <v>#REF!</v>
      </c>
      <c r="AU148" s="201" t="e">
        <f t="array" ref="AU148">_xlfn.IFS(AND($K148&gt;AT$7,$L148&gt;AT$7),0,AND($K148&lt;=AT$7,$L148&lt;=AT$7),1,AND($K148&lt;=AT$7,$L148&gt;AT$7),((AT$7-$K148)/($L148-$K148)))</f>
        <v>#REF!</v>
      </c>
      <c r="AV148" s="201" t="e">
        <f t="array" ref="AV148">_xlfn.IFS(AND($K148&gt;AU$7,$L148&gt;AU$7),0,AND($K148&lt;=AU$7,$L148&lt;=AU$7),1,AND($K148&lt;=AU$7,$L148&gt;AU$7),((AU$7-$K148)/($L148-$K148)))</f>
        <v>#REF!</v>
      </c>
      <c r="AW148" s="201" t="e">
        <f t="array" ref="AW148">_xlfn.IFS(AND($K148&gt;AV$7,$L148&gt;AV$7),0,AND($K148&lt;=AV$7,$L148&lt;=AV$7),1,AND($K148&lt;=AV$7,$L148&gt;AV$7),((AV$7-$K148)/($L148-$K148)))</f>
        <v>#REF!</v>
      </c>
      <c r="AX148" s="201" t="e">
        <f t="array" ref="AX148">_xlfn.IFS(AND($K148&gt;AW$7,$L148&gt;AW$7),0,AND($K148&lt;=AW$7,$L148&lt;=AW$7),1,AND($K148&lt;=AW$7,$L148&gt;AW$7),((AW$7-$K148)/($L148-$K148)))</f>
        <v>#REF!</v>
      </c>
      <c r="AY148" s="201" t="e">
        <f t="array" ref="AY148">_xlfn.IFS(AND($K148&gt;AX$7,$L148&gt;AX$7),0,AND($K148&lt;=AX$7,$L148&lt;=AX$7),1,AND($K148&lt;=AX$7,$L148&gt;AX$7),((AX$7-$K148)/($L148-$K148)))</f>
        <v>#REF!</v>
      </c>
      <c r="AZ148" s="201" t="e">
        <f t="array" ref="AZ148">_xlfn.IFS(AND($K148&gt;AY$7,$L148&gt;AY$7),0,AND($K148&lt;=AY$7,$L148&lt;=AY$7),1,AND($K148&lt;=AY$7,$L148&gt;AY$7),((AY$7-$K148)/($L148-$K148)))</f>
        <v>#REF!</v>
      </c>
      <c r="BA148" s="201" t="e">
        <f t="array" ref="BA148">_xlfn.IFS(AND($K148&gt;AZ$7,$L148&gt;AZ$7),0,AND($K148&lt;=AZ$7,$L148&lt;=AZ$7),1,AND($K148&lt;=AZ$7,$L148&gt;AZ$7),((AZ$7-$K148)/($L148-$K148)))</f>
        <v>#REF!</v>
      </c>
      <c r="BB148" s="201" t="e">
        <f t="array" ref="BB148">_xlfn.IFS(AND($K148&gt;BA$7,$L148&gt;BA$7),0,AND($K148&lt;=BA$7,$L148&lt;=BA$7),1,AND($K148&lt;=BA$7,$L148&gt;BA$7),((BA$7-$K148)/($L148-$K148)))</f>
        <v>#REF!</v>
      </c>
      <c r="BC148" s="201" t="e">
        <f t="array" ref="BC148">_xlfn.IFS(AND($K148&gt;BB$7,$L148&gt;BB$7),0,AND($K148&lt;=BB$7,$L148&lt;=BB$7),1,AND($K148&lt;=BB$7,$L148&gt;BB$7),((BB$7-$K148)/($L148-$K148)))</f>
        <v>#REF!</v>
      </c>
      <c r="BD148" s="201" t="e">
        <f t="array" ref="BD148">_xlfn.IFS(AND($K148&gt;BC$7,$L148&gt;BC$7),0,AND($K148&lt;=BC$7,$L148&lt;=BC$7),1,AND($K148&lt;=BC$7,$L148&gt;BC$7),((BC$7-$K148)/($L148-$K148)))</f>
        <v>#REF!</v>
      </c>
      <c r="BE148" s="201" t="e">
        <f t="array" ref="BE148">_xlfn.IFS(AND($K148&gt;BD$7,$L148&gt;BD$7),0,AND($K148&lt;=BD$7,$L148&lt;=BD$7),1,AND($K148&lt;=BD$7,$L148&gt;BD$7),((BD$7-$K148)/($L148-$K148)))</f>
        <v>#REF!</v>
      </c>
      <c r="BF148" s="201" t="e">
        <f t="array" ref="BF148">_xlfn.IFS(AND($K148&gt;BE$7,$L148&gt;BE$7),0,AND($K148&lt;=BE$7,$L148&lt;=BE$7),1,AND($K148&lt;=BE$7,$L148&gt;BE$7),((BE$7-$K148)/($L148-$K148)))</f>
        <v>#REF!</v>
      </c>
      <c r="BG148" s="201" t="e">
        <f t="array" ref="BG148">_xlfn.IFS(AND($K148&gt;BF$7,$L148&gt;BF$7),0,AND($K148&lt;=BF$7,$L148&lt;=BF$7),1,AND($K148&lt;=BF$7,$L148&gt;BF$7),((BF$7-$K148)/($L148-$K148)))</f>
        <v>#REF!</v>
      </c>
      <c r="BH148" s="201" t="e">
        <f t="array" ref="BH148">_xlfn.IFS(AND($K148&gt;BG$7,$L148&gt;BG$7),0,AND($K148&lt;=BG$7,$L148&lt;=BG$7),1,AND($K148&lt;=BG$7,$L148&gt;BG$7),((BG$7-$K148)/($L148-$K148)))</f>
        <v>#REF!</v>
      </c>
      <c r="BI148" s="201" t="e">
        <f t="array" ref="BI148">_xlfn.IFS(AND($K148&gt;BH$7,$L148&gt;BH$7),0,AND($K148&lt;=BH$7,$L148&lt;=BH$7),1,AND($K148&lt;=BH$7,$L148&gt;BH$7),((BH$7-$K148)/($L148-$K148)))</f>
        <v>#REF!</v>
      </c>
      <c r="BJ148" s="201" t="e">
        <f t="array" ref="BJ148">_xlfn.IFS(AND($K148&gt;BI$7,$L148&gt;BI$7),0,AND($K148&lt;=BI$7,$L148&lt;=BI$7),1,AND($K148&lt;=BI$7,$L148&gt;BI$7),((BI$7-$K148)/($L148-$K148)))</f>
        <v>#REF!</v>
      </c>
      <c r="BK148" s="201" t="e">
        <f t="array" ref="BK148">_xlfn.IFS(AND($K148&gt;BJ$7,$L148&gt;BJ$7),0,AND($K148&lt;=BJ$7,$L148&lt;=BJ$7),1,AND($K148&lt;=BJ$7,$L148&gt;BJ$7),((BJ$7-$K148)/($L148-$K148)))</f>
        <v>#REF!</v>
      </c>
      <c r="BL148" s="201" t="e">
        <f t="array" ref="BL148">_xlfn.IFS(AND($K148&gt;BK$7,$L148&gt;BK$7),0,AND($K148&lt;=BK$7,$L148&lt;=BK$7),1,AND($K148&lt;=BK$7,$L148&gt;BK$7),((BK$7-$K148)/($L148-$K148)))</f>
        <v>#REF!</v>
      </c>
      <c r="BM148" s="201" t="e">
        <f t="array" ref="BM148">_xlfn.IFS(AND($K148&gt;BL$7,$L148&gt;BL$7),0,AND($K148&lt;=BL$7,$L148&lt;=BL$7),1,AND($K148&lt;=BL$7,$L148&gt;BL$7),((BL$7-$K148)/($L148-$K148)))</f>
        <v>#REF!</v>
      </c>
      <c r="BN148" s="201" t="e">
        <f t="array" ref="BN148">_xlfn.IFS(AND($K148&gt;BM$7,$L148&gt;BM$7),0,AND($K148&lt;=BM$7,$L148&lt;=BM$7),1,AND($K148&lt;=BM$7,$L148&gt;BM$7),((BM$7-$K148)/($L148-$K148)))</f>
        <v>#REF!</v>
      </c>
    </row>
    <row r="149" spans="2:66" x14ac:dyDescent="0.3">
      <c r="B149" s="166" t="str">
        <f t="array" ref="B149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49" s="166" t="s">
        <v>342</v>
      </c>
      <c r="D149" s="177" t="str">
        <f t="shared" si="53"/>
        <v>Arquitetura de projetos GERDAU</v>
      </c>
      <c r="E149" s="170" t="str">
        <f t="shared" si="56"/>
        <v>Dimensionamento de Headcount</v>
      </c>
      <c r="F149" s="174" t="str">
        <f>$H$145</f>
        <v>Revisão e Consolidação das Produtividades</v>
      </c>
      <c r="G149" s="166" t="str">
        <f>$H$146</f>
        <v>Revisão e Consolidação das Produtividades</v>
      </c>
      <c r="H149" s="197" t="s">
        <v>343</v>
      </c>
      <c r="I149" s="166">
        <v>45985</v>
      </c>
      <c r="J149" s="166">
        <v>45989</v>
      </c>
      <c r="K149" s="166">
        <v>45985</v>
      </c>
      <c r="L149" s="166">
        <v>45989</v>
      </c>
      <c r="M149" s="167"/>
      <c r="N149" s="167" t="str">
        <f t="array" ref="N149">_xlfn.IFS(L149&lt;$M$3,"Concluído",AND(K149&gt;=$M$3,I149&lt;$M$3,L149&gt;$M$3),"Em andamento",AND(L149&gt;=$M$3,J149&lt;$M$3),"Atrasado",AND(L149&gt;=$M$3,J149&gt;=$M$3,I149&gt;$M$3,K149&lt;=$M$3),"Em andamento",AND(L149&gt;=$M$3,J149&gt;=$M$3,I149&lt;=$M$3,K149&lt;=$M$3),"Em andamento",AND(K149&gt;$M$3,I149&gt;$M$3),"Não iniciado",AND(L149&gt;=$M$3,J149&gt;=$M$3,K149&gt;=$M$3,I149&lt;$M$3),"Atrasado",AND(L149&gt;=$M$3,J149&gt;=$M$3,K149&gt;=$M$3,I149&gt;$M$3),"Não iniciado",AND($I149&lt;=$M$3,$K149&gt;$M$3),"Atrasado")</f>
        <v>Concluído</v>
      </c>
      <c r="O149" s="167">
        <f t="array" ref="O149">_xlfn.IFS(N149="Não iniciado",0,N149="Em andamento",1,N149="Concluído",2,N149="Atrasado",3)</f>
        <v>2</v>
      </c>
      <c r="P149" s="168"/>
      <c r="Q149" s="152">
        <f t="array" aca="1" ref="Q149" ca="1">_xlfn.IFS(AND($I149&lt;$N$3,$J149&lt;$N$3),1,AND($I149&lt;=$N$3,$J149&gt;=$N$3),0.5,AND($I149&gt;=$N$3,$J149&gt;=$N$3),0)</f>
        <v>1</v>
      </c>
      <c r="R149" s="152">
        <f t="array" aca="1" ref="R149" ca="1">_xlfn.IFS(AND($K149&lt;$N$3,$L149&lt;$N$3),1,AND($K149&lt;=$N$3,$L149&gt;=$N$3),0.5,AND($K149&gt;=$N$3,$L149&gt;=$N$3),0)</f>
        <v>1</v>
      </c>
      <c r="S149" s="201" t="e">
        <f t="array" ref="S149">_xlfn.IFS(AND($K149&gt;R$7,$L149&gt;R$7),0,AND($K149&lt;=R$7,$L149&lt;=R$7),1,AND($K149&lt;=R$7,$L149&gt;R$7),((R$7-$K149)/($L149-$K149)))</f>
        <v>#REF!</v>
      </c>
      <c r="T149" s="201" t="e">
        <f t="array" ref="T149">_xlfn.IFS(AND($K149&gt;S$7,$L149&gt;S$7),0,AND($K149&lt;=S$7,$L149&lt;=S$7),1,AND($K149&lt;=S$7,$L149&gt;S$7),((S$7-$K149)/($L149-$K149)))</f>
        <v>#REF!</v>
      </c>
      <c r="U149" s="201" t="e">
        <f t="array" ref="U149">_xlfn.IFS(AND($K149&gt;T$7,$L149&gt;T$7),0,AND($K149&lt;=T$7,$L149&lt;=T$7),1,AND($K149&lt;=T$7,$L149&gt;T$7),((T$7-$K149)/($L149-$K149)))</f>
        <v>#REF!</v>
      </c>
      <c r="V149" s="201" t="e">
        <f t="array" ref="V149">_xlfn.IFS(AND($K149&gt;U$7,$L149&gt;U$7),0,AND($K149&lt;=U$7,$L149&lt;=U$7),1,AND($K149&lt;=U$7,$L149&gt;U$7),((U$7-$K149)/($L149-$K149)))</f>
        <v>#REF!</v>
      </c>
      <c r="W149" s="201" t="e">
        <f t="array" ref="W149">_xlfn.IFS(AND($K149&gt;V$7,$L149&gt;V$7),0,AND($K149&lt;=V$7,$L149&lt;=V$7),1,AND($K149&lt;=V$7,$L149&gt;V$7),((V$7-$K149)/($L149-$K149)))</f>
        <v>#REF!</v>
      </c>
      <c r="X149" s="201" t="e">
        <f t="array" ref="X149">_xlfn.IFS(AND($K149&gt;W$7,$L149&gt;W$7),0,AND($K149&lt;=W$7,$L149&lt;=W$7),1,AND($K149&lt;=W$7,$L149&gt;W$7),((W$7-$K149)/($L149-$K149)))</f>
        <v>#REF!</v>
      </c>
      <c r="Y149" s="201" t="e">
        <f t="array" ref="Y149">_xlfn.IFS(AND($K149&gt;X$7,$L149&gt;X$7),0,AND($K149&lt;=X$7,$L149&lt;=X$7),1,AND($K149&lt;=X$7,$L149&gt;X$7),((X$7-$K149)/($L149-$K149)))</f>
        <v>#REF!</v>
      </c>
      <c r="Z149" s="201" t="e">
        <f t="array" ref="Z149">_xlfn.IFS(AND($K149&gt;Y$7,$L149&gt;Y$7),0,AND($K149&lt;=Y$7,$L149&lt;=Y$7),1,AND($K149&lt;=Y$7,$L149&gt;Y$7),((Y$7-$K149)/($L149-$K149)))</f>
        <v>#REF!</v>
      </c>
      <c r="AA149" s="201" t="e">
        <f t="array" ref="AA149">_xlfn.IFS(AND($K149&gt;Z$7,$L149&gt;Z$7),0,AND($K149&lt;=Z$7,$L149&lt;=Z$7),1,AND($K149&lt;=Z$7,$L149&gt;Z$7),((Z$7-$K149)/($L149-$K149)))</f>
        <v>#REF!</v>
      </c>
      <c r="AB149" s="201" t="e">
        <f t="array" ref="AB149">_xlfn.IFS(AND($K149&gt;AA$7,$L149&gt;AA$7),0,AND($K149&lt;=AA$7,$L149&lt;=AA$7),1,AND($K149&lt;=AA$7,$L149&gt;AA$7),((AA$7-$K149)/($L149-$K149)))</f>
        <v>#REF!</v>
      </c>
      <c r="AC149" s="201" t="e">
        <f t="array" ref="AC149">_xlfn.IFS(AND($K149&gt;AB$7,$L149&gt;AB$7),0,AND($K149&lt;=AB$7,$L149&lt;=AB$7),1,AND($K149&lt;=AB$7,$L149&gt;AB$7),((AB$7-$K149)/($L149-$K149)))</f>
        <v>#REF!</v>
      </c>
      <c r="AD149" s="201" t="e">
        <f t="array" ref="AD149">_xlfn.IFS(AND($K149&gt;AC$7,$L149&gt;AC$7),0,AND($K149&lt;=AC$7,$L149&lt;=AC$7),1,AND($K149&lt;=AC$7,$L149&gt;AC$7),((AC$7-$K149)/($L149-$K149)))</f>
        <v>#REF!</v>
      </c>
      <c r="AE149" s="201" t="e">
        <f t="array" ref="AE149">_xlfn.IFS(AND($K149&gt;AD$7,$L149&gt;AD$7),0,AND($K149&lt;=AD$7,$L149&lt;=AD$7),1,AND($K149&lt;=AD$7,$L149&gt;AD$7),((AD$7-$K149)/($L149-$K149)))</f>
        <v>#REF!</v>
      </c>
      <c r="AF149" s="201" t="e">
        <f t="array" ref="AF149">_xlfn.IFS(AND($K149&gt;AE$7,$L149&gt;AE$7),0,AND($K149&lt;=AE$7,$L149&lt;=AE$7),1,AND($K149&lt;=AE$7,$L149&gt;AE$7),((AE$7-$K149)/($L149-$K149)))</f>
        <v>#REF!</v>
      </c>
      <c r="AG149" s="201" t="e">
        <f t="array" ref="AG149">_xlfn.IFS(AND($K149&gt;AF$7,$L149&gt;AF$7),0,AND($K149&lt;=AF$7,$L149&lt;=AF$7),1,AND($K149&lt;=AF$7,$L149&gt;AF$7),((AF$7-$K149)/($L149-$K149)))</f>
        <v>#REF!</v>
      </c>
      <c r="AH149" s="201" t="e">
        <f t="array" ref="AH149">_xlfn.IFS(AND($K149&gt;AG$7,$L149&gt;AG$7),0,AND($K149&lt;=AG$7,$L149&lt;=AG$7),1,AND($K149&lt;=AG$7,$L149&gt;AG$7),((AG$7-$K149)/($L149-$K149)))</f>
        <v>#REF!</v>
      </c>
      <c r="AI149" s="201" t="e">
        <f t="array" ref="AI149">_xlfn.IFS(AND($K149&gt;AH$7,$L149&gt;AH$7),0,AND($K149&lt;=AH$7,$L149&lt;=AH$7),1,AND($K149&lt;=AH$7,$L149&gt;AH$7),((AH$7-$K149)/($L149-$K149)))</f>
        <v>#REF!</v>
      </c>
      <c r="AJ149" s="201" t="e">
        <f t="array" ref="AJ149">_xlfn.IFS(AND($K149&gt;AI$7,$L149&gt;AI$7),0,AND($K149&lt;=AI$7,$L149&lt;=AI$7),1,AND($K149&lt;=AI$7,$L149&gt;AI$7),((AI$7-$K149)/($L149-$K149)))</f>
        <v>#REF!</v>
      </c>
      <c r="AK149" s="201" t="e">
        <f t="array" ref="AK149">_xlfn.IFS(AND($K149&gt;AJ$7,$L149&gt;AJ$7),0,AND($K149&lt;=AJ$7,$L149&lt;=AJ$7),1,AND($K149&lt;=AJ$7,$L149&gt;AJ$7),((AJ$7-$K149)/($L149-$K149)))</f>
        <v>#REF!</v>
      </c>
      <c r="AL149" s="201" t="e">
        <f t="array" ref="AL149">_xlfn.IFS(AND($K149&gt;AK$7,$L149&gt;AK$7),0,AND($K149&lt;=AK$7,$L149&lt;=AK$7),1,AND($K149&lt;=AK$7,$L149&gt;AK$7),((AK$7-$K149)/($L149-$K149)))</f>
        <v>#REF!</v>
      </c>
      <c r="AM149" s="201" t="e">
        <f t="array" ref="AM149">_xlfn.IFS(AND($K149&gt;AL$7,$L149&gt;AL$7),0,AND($K149&lt;=AL$7,$L149&lt;=AL$7),1,AND($K149&lt;=AL$7,$L149&gt;AL$7),((AL$7-$K149)/($L149-$K149)))</f>
        <v>#REF!</v>
      </c>
      <c r="AN149" s="201" t="e">
        <f t="array" ref="AN149">_xlfn.IFS(AND($K149&gt;AM$7,$L149&gt;AM$7),0,AND($K149&lt;=AM$7,$L149&lt;=AM$7),1,AND($K149&lt;=AM$7,$L149&gt;AM$7),((AM$7-$K149)/($L149-$K149)))</f>
        <v>#REF!</v>
      </c>
      <c r="AO149" s="201" t="e">
        <f t="array" ref="AO149">_xlfn.IFS(AND($K149&gt;AN$7,$L149&gt;AN$7),0,AND($K149&lt;=AN$7,$L149&lt;=AN$7),1,AND($K149&lt;=AN$7,$L149&gt;AN$7),((AN$7-$K149)/($L149-$K149)))</f>
        <v>#REF!</v>
      </c>
      <c r="AP149" s="201" t="e">
        <f t="array" ref="AP149">_xlfn.IFS(AND($K149&gt;AO$7,$L149&gt;AO$7),0,AND($K149&lt;=AO$7,$L149&lt;=AO$7),1,AND($K149&lt;=AO$7,$L149&gt;AO$7),((AO$7-$K149)/($L149-$K149)))</f>
        <v>#REF!</v>
      </c>
      <c r="AQ149" s="201" t="e">
        <f t="array" ref="AQ149">_xlfn.IFS(AND($K149&gt;AP$7,$L149&gt;AP$7),0,AND($K149&lt;=AP$7,$L149&lt;=AP$7),1,AND($K149&lt;=AP$7,$L149&gt;AP$7),((AP$7-$K149)/($L149-$K149)))</f>
        <v>#REF!</v>
      </c>
      <c r="AR149" s="201" t="e">
        <f t="array" ref="AR149">_xlfn.IFS(AND($K149&gt;AQ$7,$L149&gt;AQ$7),0,AND($K149&lt;=AQ$7,$L149&lt;=AQ$7),1,AND($K149&lt;=AQ$7,$L149&gt;AQ$7),((AQ$7-$K149)/($L149-$K149)))</f>
        <v>#REF!</v>
      </c>
      <c r="AS149" s="201" t="e">
        <f t="array" ref="AS149">_xlfn.IFS(AND($K149&gt;AR$7,$L149&gt;AR$7),0,AND($K149&lt;=AR$7,$L149&lt;=AR$7),1,AND($K149&lt;=AR$7,$L149&gt;AR$7),((AR$7-$K149)/($L149-$K149)))</f>
        <v>#REF!</v>
      </c>
      <c r="AT149" s="201" t="e">
        <f t="array" ref="AT149">_xlfn.IFS(AND($K149&gt;AS$7,$L149&gt;AS$7),0,AND($K149&lt;=AS$7,$L149&lt;=AS$7),1,AND($K149&lt;=AS$7,$L149&gt;AS$7),((AS$7-$K149)/($L149-$K149)))</f>
        <v>#REF!</v>
      </c>
      <c r="AU149" s="201" t="e">
        <f t="array" ref="AU149">_xlfn.IFS(AND($K149&gt;AT$7,$L149&gt;AT$7),0,AND($K149&lt;=AT$7,$L149&lt;=AT$7),1,AND($K149&lt;=AT$7,$L149&gt;AT$7),((AT$7-$K149)/($L149-$K149)))</f>
        <v>#REF!</v>
      </c>
      <c r="AV149" s="201" t="e">
        <f t="array" ref="AV149">_xlfn.IFS(AND($K149&gt;AU$7,$L149&gt;AU$7),0,AND($K149&lt;=AU$7,$L149&lt;=AU$7),1,AND($K149&lt;=AU$7,$L149&gt;AU$7),((AU$7-$K149)/($L149-$K149)))</f>
        <v>#REF!</v>
      </c>
      <c r="AW149" s="201" t="e">
        <f t="array" ref="AW149">_xlfn.IFS(AND($K149&gt;AV$7,$L149&gt;AV$7),0,AND($K149&lt;=AV$7,$L149&lt;=AV$7),1,AND($K149&lt;=AV$7,$L149&gt;AV$7),((AV$7-$K149)/($L149-$K149)))</f>
        <v>#REF!</v>
      </c>
      <c r="AX149" s="201" t="e">
        <f t="array" ref="AX149">_xlfn.IFS(AND($K149&gt;AW$7,$L149&gt;AW$7),0,AND($K149&lt;=AW$7,$L149&lt;=AW$7),1,AND($K149&lt;=AW$7,$L149&gt;AW$7),((AW$7-$K149)/($L149-$K149)))</f>
        <v>#REF!</v>
      </c>
      <c r="AY149" s="201" t="e">
        <f t="array" ref="AY149">_xlfn.IFS(AND($K149&gt;AX$7,$L149&gt;AX$7),0,AND($K149&lt;=AX$7,$L149&lt;=AX$7),1,AND($K149&lt;=AX$7,$L149&gt;AX$7),((AX$7-$K149)/($L149-$K149)))</f>
        <v>#REF!</v>
      </c>
      <c r="AZ149" s="201" t="e">
        <f t="array" ref="AZ149">_xlfn.IFS(AND($K149&gt;AY$7,$L149&gt;AY$7),0,AND($K149&lt;=AY$7,$L149&lt;=AY$7),1,AND($K149&lt;=AY$7,$L149&gt;AY$7),((AY$7-$K149)/($L149-$K149)))</f>
        <v>#REF!</v>
      </c>
      <c r="BA149" s="201" t="e">
        <f t="array" ref="BA149">_xlfn.IFS(AND($K149&gt;AZ$7,$L149&gt;AZ$7),0,AND($K149&lt;=AZ$7,$L149&lt;=AZ$7),1,AND($K149&lt;=AZ$7,$L149&gt;AZ$7),((AZ$7-$K149)/($L149-$K149)))</f>
        <v>#REF!</v>
      </c>
      <c r="BB149" s="201" t="e">
        <f t="array" ref="BB149">_xlfn.IFS(AND($K149&gt;BA$7,$L149&gt;BA$7),0,AND($K149&lt;=BA$7,$L149&lt;=BA$7),1,AND($K149&lt;=BA$7,$L149&gt;BA$7),((BA$7-$K149)/($L149-$K149)))</f>
        <v>#REF!</v>
      </c>
      <c r="BC149" s="201" t="e">
        <f t="array" ref="BC149">_xlfn.IFS(AND($K149&gt;BB$7,$L149&gt;BB$7),0,AND($K149&lt;=BB$7,$L149&lt;=BB$7),1,AND($K149&lt;=BB$7,$L149&gt;BB$7),((BB$7-$K149)/($L149-$K149)))</f>
        <v>#REF!</v>
      </c>
      <c r="BD149" s="201" t="e">
        <f t="array" ref="BD149">_xlfn.IFS(AND($K149&gt;BC$7,$L149&gt;BC$7),0,AND($K149&lt;=BC$7,$L149&lt;=BC$7),1,AND($K149&lt;=BC$7,$L149&gt;BC$7),((BC$7-$K149)/($L149-$K149)))</f>
        <v>#REF!</v>
      </c>
      <c r="BE149" s="201" t="e">
        <f t="array" ref="BE149">_xlfn.IFS(AND($K149&gt;BD$7,$L149&gt;BD$7),0,AND($K149&lt;=BD$7,$L149&lt;=BD$7),1,AND($K149&lt;=BD$7,$L149&gt;BD$7),((BD$7-$K149)/($L149-$K149)))</f>
        <v>#REF!</v>
      </c>
      <c r="BF149" s="201" t="e">
        <f t="array" ref="BF149">_xlfn.IFS(AND($K149&gt;BE$7,$L149&gt;BE$7),0,AND($K149&lt;=BE$7,$L149&lt;=BE$7),1,AND($K149&lt;=BE$7,$L149&gt;BE$7),((BE$7-$K149)/($L149-$K149)))</f>
        <v>#REF!</v>
      </c>
      <c r="BG149" s="201" t="e">
        <f t="array" ref="BG149">_xlfn.IFS(AND($K149&gt;BF$7,$L149&gt;BF$7),0,AND($K149&lt;=BF$7,$L149&lt;=BF$7),1,AND($K149&lt;=BF$7,$L149&gt;BF$7),((BF$7-$K149)/($L149-$K149)))</f>
        <v>#REF!</v>
      </c>
      <c r="BH149" s="201" t="e">
        <f t="array" ref="BH149">_xlfn.IFS(AND($K149&gt;BG$7,$L149&gt;BG$7),0,AND($K149&lt;=BG$7,$L149&lt;=BG$7),1,AND($K149&lt;=BG$7,$L149&gt;BG$7),((BG$7-$K149)/($L149-$K149)))</f>
        <v>#REF!</v>
      </c>
      <c r="BI149" s="201" t="e">
        <f t="array" ref="BI149">_xlfn.IFS(AND($K149&gt;BH$7,$L149&gt;BH$7),0,AND($K149&lt;=BH$7,$L149&lt;=BH$7),1,AND($K149&lt;=BH$7,$L149&gt;BH$7),((BH$7-$K149)/($L149-$K149)))</f>
        <v>#REF!</v>
      </c>
      <c r="BJ149" s="201" t="e">
        <f t="array" ref="BJ149">_xlfn.IFS(AND($K149&gt;BI$7,$L149&gt;BI$7),0,AND($K149&lt;=BI$7,$L149&lt;=BI$7),1,AND($K149&lt;=BI$7,$L149&gt;BI$7),((BI$7-$K149)/($L149-$K149)))</f>
        <v>#REF!</v>
      </c>
      <c r="BK149" s="201" t="e">
        <f t="array" ref="BK149">_xlfn.IFS(AND($K149&gt;BJ$7,$L149&gt;BJ$7),0,AND($K149&lt;=BJ$7,$L149&lt;=BJ$7),1,AND($K149&lt;=BJ$7,$L149&gt;BJ$7),((BJ$7-$K149)/($L149-$K149)))</f>
        <v>#REF!</v>
      </c>
      <c r="BL149" s="201" t="e">
        <f t="array" ref="BL149">_xlfn.IFS(AND($K149&gt;BK$7,$L149&gt;BK$7),0,AND($K149&lt;=BK$7,$L149&lt;=BK$7),1,AND($K149&lt;=BK$7,$L149&gt;BK$7),((BK$7-$K149)/($L149-$K149)))</f>
        <v>#REF!</v>
      </c>
      <c r="BM149" s="201" t="e">
        <f t="array" ref="BM149">_xlfn.IFS(AND($K149&gt;BL$7,$L149&gt;BL$7),0,AND($K149&lt;=BL$7,$L149&lt;=BL$7),1,AND($K149&lt;=BL$7,$L149&gt;BL$7),((BL$7-$K149)/($L149-$K149)))</f>
        <v>#REF!</v>
      </c>
      <c r="BN149" s="201" t="e">
        <f t="array" ref="BN149">_xlfn.IFS(AND($K149&gt;BM$7,$L149&gt;BM$7),0,AND($K149&lt;=BM$7,$L149&lt;=BM$7),1,AND($K149&lt;=BM$7,$L149&gt;BM$7),((BM$7-$K149)/($L149-$K149)))</f>
        <v>#REF!</v>
      </c>
    </row>
    <row r="150" spans="2:66" x14ac:dyDescent="0.3">
      <c r="B150" s="170" t="str">
        <f t="array" ref="B150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3</v>
      </c>
      <c r="C150" s="170" t="s">
        <v>344</v>
      </c>
      <c r="D150" s="177" t="str">
        <f t="shared" si="53"/>
        <v>Arquitetura de projetos GERDAU</v>
      </c>
      <c r="E150" s="170" t="str">
        <f t="shared" si="56"/>
        <v>Dimensionamento de Headcount</v>
      </c>
      <c r="F150" s="170" t="s">
        <v>74</v>
      </c>
      <c r="G150" s="170" t="s">
        <v>74</v>
      </c>
      <c r="H150" s="194" t="s">
        <v>345</v>
      </c>
      <c r="I150" s="170">
        <f>MIN(I151:I152)</f>
        <v>45992</v>
      </c>
      <c r="J150" s="170">
        <f>MAX(J151:J152)</f>
        <v>46003</v>
      </c>
      <c r="K150" s="170">
        <f>MIN(K151:K152)</f>
        <v>45992</v>
      </c>
      <c r="L150" s="170">
        <f>MAX(L151:L152)</f>
        <v>46003</v>
      </c>
      <c r="M150" s="171"/>
      <c r="N150" s="171" t="str">
        <f t="array" ref="N150">_xlfn.IFS(L150&lt;$M$3,"Concluído",AND(K150&gt;=$M$3,I150&lt;$M$3,L150&gt;$M$3),"Em andamento",AND(L150&gt;=$M$3,J150&lt;$M$3),"Atrasado",AND(L150&gt;=$M$3,J150&gt;=$M$3,I150&gt;$M$3,K150&lt;=$M$3),"Em andamento",AND(L150&gt;=$M$3,J150&gt;=$M$3,I150&lt;=$M$3,K150&lt;=$M$3),"Em andamento",AND(K150&gt;$M$3,I150&gt;$M$3),"Não iniciado",AND(L150&gt;=$M$3,J150&gt;=$M$3,K150&gt;=$M$3,I150&lt;$M$3),"Atrasado",AND(L150&gt;=$M$3,J150&gt;=$M$3,K150&gt;=$M$3,I150&gt;$M$3),"Não iniciado",AND($I150&lt;=$M$3,$K150&gt;$M$3),"Atrasado")</f>
        <v>Concluído</v>
      </c>
      <c r="O150" s="171">
        <f t="array" ref="O150">_xlfn.IFS(N150="Não iniciado",0,N150="Em andamento",1,N150="Concluído",2,N150="Atrasado",3)</f>
        <v>2</v>
      </c>
      <c r="P150" s="172"/>
      <c r="Q150" s="173">
        <f ca="1">Q151</f>
        <v>1</v>
      </c>
      <c r="R150" s="173">
        <f ca="1">R151</f>
        <v>1</v>
      </c>
      <c r="S150" s="204" t="e">
        <f t="shared" ref="S150:BN150" si="65">AVERAGE(S151)</f>
        <v>#REF!</v>
      </c>
      <c r="T150" s="204" t="e">
        <f t="shared" si="65"/>
        <v>#REF!</v>
      </c>
      <c r="U150" s="204" t="e">
        <f t="shared" si="65"/>
        <v>#REF!</v>
      </c>
      <c r="V150" s="204" t="e">
        <f t="shared" si="65"/>
        <v>#REF!</v>
      </c>
      <c r="W150" s="204" t="e">
        <f t="shared" si="65"/>
        <v>#REF!</v>
      </c>
      <c r="X150" s="204" t="e">
        <f t="shared" si="65"/>
        <v>#REF!</v>
      </c>
      <c r="Y150" s="204" t="e">
        <f t="shared" si="65"/>
        <v>#REF!</v>
      </c>
      <c r="Z150" s="204" t="e">
        <f t="shared" si="65"/>
        <v>#REF!</v>
      </c>
      <c r="AA150" s="204" t="e">
        <f t="shared" si="65"/>
        <v>#REF!</v>
      </c>
      <c r="AB150" s="204" t="e">
        <f t="shared" si="65"/>
        <v>#REF!</v>
      </c>
      <c r="AC150" s="204" t="e">
        <f t="shared" si="65"/>
        <v>#REF!</v>
      </c>
      <c r="AD150" s="204" t="e">
        <f t="shared" si="65"/>
        <v>#REF!</v>
      </c>
      <c r="AE150" s="204" t="e">
        <f t="shared" si="65"/>
        <v>#REF!</v>
      </c>
      <c r="AF150" s="204" t="e">
        <f t="shared" si="65"/>
        <v>#REF!</v>
      </c>
      <c r="AG150" s="204" t="e">
        <f t="shared" si="65"/>
        <v>#REF!</v>
      </c>
      <c r="AH150" s="204" t="e">
        <f t="shared" si="65"/>
        <v>#REF!</v>
      </c>
      <c r="AI150" s="204" t="e">
        <f t="shared" si="65"/>
        <v>#REF!</v>
      </c>
      <c r="AJ150" s="204" t="e">
        <f t="shared" si="65"/>
        <v>#REF!</v>
      </c>
      <c r="AK150" s="204" t="e">
        <f t="shared" si="65"/>
        <v>#REF!</v>
      </c>
      <c r="AL150" s="204" t="e">
        <f t="shared" si="65"/>
        <v>#REF!</v>
      </c>
      <c r="AM150" s="204" t="e">
        <f t="shared" si="65"/>
        <v>#REF!</v>
      </c>
      <c r="AN150" s="204" t="e">
        <f t="shared" si="65"/>
        <v>#REF!</v>
      </c>
      <c r="AO150" s="204" t="e">
        <f t="shared" si="65"/>
        <v>#REF!</v>
      </c>
      <c r="AP150" s="204" t="e">
        <f t="shared" si="65"/>
        <v>#REF!</v>
      </c>
      <c r="AQ150" s="204" t="e">
        <f t="shared" si="65"/>
        <v>#REF!</v>
      </c>
      <c r="AR150" s="204" t="e">
        <f t="shared" si="65"/>
        <v>#REF!</v>
      </c>
      <c r="AS150" s="204" t="e">
        <f t="shared" si="65"/>
        <v>#REF!</v>
      </c>
      <c r="AT150" s="204" t="e">
        <f t="shared" si="65"/>
        <v>#REF!</v>
      </c>
      <c r="AU150" s="204" t="e">
        <f t="shared" si="65"/>
        <v>#REF!</v>
      </c>
      <c r="AV150" s="204" t="e">
        <f t="shared" si="65"/>
        <v>#REF!</v>
      </c>
      <c r="AW150" s="204" t="e">
        <f t="shared" si="65"/>
        <v>#REF!</v>
      </c>
      <c r="AX150" s="204" t="e">
        <f t="shared" si="65"/>
        <v>#REF!</v>
      </c>
      <c r="AY150" s="204" t="e">
        <f t="shared" si="65"/>
        <v>#REF!</v>
      </c>
      <c r="AZ150" s="204" t="e">
        <f t="shared" si="65"/>
        <v>#REF!</v>
      </c>
      <c r="BA150" s="204" t="e">
        <f t="shared" si="65"/>
        <v>#REF!</v>
      </c>
      <c r="BB150" s="204" t="e">
        <f t="shared" si="65"/>
        <v>#REF!</v>
      </c>
      <c r="BC150" s="204" t="e">
        <f t="shared" si="65"/>
        <v>#REF!</v>
      </c>
      <c r="BD150" s="204" t="e">
        <f t="shared" si="65"/>
        <v>#REF!</v>
      </c>
      <c r="BE150" s="204" t="e">
        <f t="shared" si="65"/>
        <v>#REF!</v>
      </c>
      <c r="BF150" s="204" t="e">
        <f t="shared" si="65"/>
        <v>#REF!</v>
      </c>
      <c r="BG150" s="204" t="e">
        <f t="shared" si="65"/>
        <v>#REF!</v>
      </c>
      <c r="BH150" s="204" t="e">
        <f t="shared" si="65"/>
        <v>#REF!</v>
      </c>
      <c r="BI150" s="204" t="e">
        <f t="shared" si="65"/>
        <v>#REF!</v>
      </c>
      <c r="BJ150" s="204" t="e">
        <f t="shared" si="65"/>
        <v>#REF!</v>
      </c>
      <c r="BK150" s="204" t="e">
        <f t="shared" si="65"/>
        <v>#REF!</v>
      </c>
      <c r="BL150" s="204" t="e">
        <f t="shared" si="65"/>
        <v>#REF!</v>
      </c>
      <c r="BM150" s="204" t="e">
        <f t="shared" si="65"/>
        <v>#REF!</v>
      </c>
      <c r="BN150" s="204" t="e">
        <f t="shared" si="65"/>
        <v>#REF!</v>
      </c>
    </row>
    <row r="151" spans="2:66" x14ac:dyDescent="0.3">
      <c r="B151" s="174" t="str">
        <f t="array" ref="B151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151" s="174" t="s">
        <v>346</v>
      </c>
      <c r="D151" s="177" t="str">
        <f t="shared" si="53"/>
        <v>Arquitetura de projetos GERDAU</v>
      </c>
      <c r="E151" s="170" t="str">
        <f t="shared" si="56"/>
        <v>Dimensionamento de Headcount</v>
      </c>
      <c r="F151" s="174" t="str">
        <f>$H$150</f>
        <v>Alocação Anual dos Recursos</v>
      </c>
      <c r="G151" s="174" t="s">
        <v>74</v>
      </c>
      <c r="H151" s="195" t="s">
        <v>345</v>
      </c>
      <c r="I151" s="174">
        <f>MIN(I152:I152)</f>
        <v>45992</v>
      </c>
      <c r="J151" s="174">
        <f>MAX(J152:J152)</f>
        <v>46003</v>
      </c>
      <c r="K151" s="174">
        <f>MIN(K152:K152)</f>
        <v>45992</v>
      </c>
      <c r="L151" s="174">
        <f>MAX(L152:L152)</f>
        <v>46003</v>
      </c>
      <c r="M151" s="175"/>
      <c r="N151" s="175" t="str">
        <f t="array" ref="N151">_xlfn.IFS(L151&lt;$M$3,"Concluído",AND(K151&gt;=$M$3,I151&lt;$M$3,L151&gt;$M$3),"Em andamento",AND(L151&gt;=$M$3,J151&lt;$M$3),"Atrasado",AND(L151&gt;=$M$3,J151&gt;=$M$3,I151&gt;$M$3,K151&lt;=$M$3),"Em andamento",AND(L151&gt;=$M$3,J151&gt;=$M$3,I151&lt;=$M$3,K151&lt;=$M$3),"Em andamento",AND(K151&gt;$M$3,I151&gt;$M$3),"Não iniciado",AND(L151&gt;=$M$3,J151&gt;=$M$3,K151&gt;=$M$3,I151&lt;$M$3),"Atrasado",AND(L151&gt;=$M$3,J151&gt;=$M$3,K151&gt;=$M$3,I151&gt;$M$3),"Não iniciado",AND($I151&lt;=$M$3,$K151&gt;$M$3),"Atrasado")</f>
        <v>Concluído</v>
      </c>
      <c r="O151" s="175">
        <f t="array" ref="O151">_xlfn.IFS(N151="Não iniciado",0,N151="Em andamento",1,N151="Concluído",2,N151="Atrasado",3)</f>
        <v>2</v>
      </c>
      <c r="P151" s="176"/>
      <c r="Q151" s="156">
        <f t="shared" ref="Q151:AV151" ca="1" si="66">AVERAGE(Q152:Q152)</f>
        <v>1</v>
      </c>
      <c r="R151" s="156">
        <f t="shared" ca="1" si="66"/>
        <v>1</v>
      </c>
      <c r="S151" s="205" t="e">
        <f t="shared" si="66"/>
        <v>#REF!</v>
      </c>
      <c r="T151" s="205" t="e">
        <f t="shared" si="66"/>
        <v>#REF!</v>
      </c>
      <c r="U151" s="205" t="e">
        <f t="shared" si="66"/>
        <v>#REF!</v>
      </c>
      <c r="V151" s="205" t="e">
        <f t="shared" si="66"/>
        <v>#REF!</v>
      </c>
      <c r="W151" s="205" t="e">
        <f t="shared" si="66"/>
        <v>#REF!</v>
      </c>
      <c r="X151" s="205" t="e">
        <f t="shared" si="66"/>
        <v>#REF!</v>
      </c>
      <c r="Y151" s="205" t="e">
        <f t="shared" si="66"/>
        <v>#REF!</v>
      </c>
      <c r="Z151" s="205" t="e">
        <f t="shared" si="66"/>
        <v>#REF!</v>
      </c>
      <c r="AA151" s="205" t="e">
        <f t="shared" si="66"/>
        <v>#REF!</v>
      </c>
      <c r="AB151" s="205" t="e">
        <f t="shared" si="66"/>
        <v>#REF!</v>
      </c>
      <c r="AC151" s="205" t="e">
        <f t="shared" si="66"/>
        <v>#REF!</v>
      </c>
      <c r="AD151" s="205" t="e">
        <f t="shared" si="66"/>
        <v>#REF!</v>
      </c>
      <c r="AE151" s="205" t="e">
        <f t="shared" si="66"/>
        <v>#REF!</v>
      </c>
      <c r="AF151" s="205" t="e">
        <f t="shared" si="66"/>
        <v>#REF!</v>
      </c>
      <c r="AG151" s="205" t="e">
        <f t="shared" si="66"/>
        <v>#REF!</v>
      </c>
      <c r="AH151" s="205" t="e">
        <f t="shared" si="66"/>
        <v>#REF!</v>
      </c>
      <c r="AI151" s="205" t="e">
        <f t="shared" si="66"/>
        <v>#REF!</v>
      </c>
      <c r="AJ151" s="205" t="e">
        <f t="shared" si="66"/>
        <v>#REF!</v>
      </c>
      <c r="AK151" s="205" t="e">
        <f t="shared" si="66"/>
        <v>#REF!</v>
      </c>
      <c r="AL151" s="205" t="e">
        <f t="shared" si="66"/>
        <v>#REF!</v>
      </c>
      <c r="AM151" s="205" t="e">
        <f t="shared" si="66"/>
        <v>#REF!</v>
      </c>
      <c r="AN151" s="205" t="e">
        <f t="shared" si="66"/>
        <v>#REF!</v>
      </c>
      <c r="AO151" s="205" t="e">
        <f t="shared" si="66"/>
        <v>#REF!</v>
      </c>
      <c r="AP151" s="205" t="e">
        <f t="shared" si="66"/>
        <v>#REF!</v>
      </c>
      <c r="AQ151" s="205" t="e">
        <f t="shared" si="66"/>
        <v>#REF!</v>
      </c>
      <c r="AR151" s="205" t="e">
        <f t="shared" si="66"/>
        <v>#REF!</v>
      </c>
      <c r="AS151" s="205" t="e">
        <f t="shared" si="66"/>
        <v>#REF!</v>
      </c>
      <c r="AT151" s="205" t="e">
        <f t="shared" si="66"/>
        <v>#REF!</v>
      </c>
      <c r="AU151" s="205" t="e">
        <f t="shared" si="66"/>
        <v>#REF!</v>
      </c>
      <c r="AV151" s="205" t="e">
        <f t="shared" si="66"/>
        <v>#REF!</v>
      </c>
      <c r="AW151" s="205" t="e">
        <f t="shared" ref="AW151:BN151" si="67">AVERAGE(AW152:AW152)</f>
        <v>#REF!</v>
      </c>
      <c r="AX151" s="205" t="e">
        <f t="shared" si="67"/>
        <v>#REF!</v>
      </c>
      <c r="AY151" s="205" t="e">
        <f t="shared" si="67"/>
        <v>#REF!</v>
      </c>
      <c r="AZ151" s="205" t="e">
        <f t="shared" si="67"/>
        <v>#REF!</v>
      </c>
      <c r="BA151" s="205" t="e">
        <f t="shared" si="67"/>
        <v>#REF!</v>
      </c>
      <c r="BB151" s="205" t="e">
        <f t="shared" si="67"/>
        <v>#REF!</v>
      </c>
      <c r="BC151" s="205" t="e">
        <f t="shared" si="67"/>
        <v>#REF!</v>
      </c>
      <c r="BD151" s="205" t="e">
        <f t="shared" si="67"/>
        <v>#REF!</v>
      </c>
      <c r="BE151" s="205" t="e">
        <f t="shared" si="67"/>
        <v>#REF!</v>
      </c>
      <c r="BF151" s="205" t="e">
        <f t="shared" si="67"/>
        <v>#REF!</v>
      </c>
      <c r="BG151" s="205" t="e">
        <f t="shared" si="67"/>
        <v>#REF!</v>
      </c>
      <c r="BH151" s="205" t="e">
        <f t="shared" si="67"/>
        <v>#REF!</v>
      </c>
      <c r="BI151" s="205" t="e">
        <f t="shared" si="67"/>
        <v>#REF!</v>
      </c>
      <c r="BJ151" s="205" t="e">
        <f t="shared" si="67"/>
        <v>#REF!</v>
      </c>
      <c r="BK151" s="205" t="e">
        <f t="shared" si="67"/>
        <v>#REF!</v>
      </c>
      <c r="BL151" s="205" t="e">
        <f t="shared" si="67"/>
        <v>#REF!</v>
      </c>
      <c r="BM151" s="205" t="e">
        <f t="shared" si="67"/>
        <v>#REF!</v>
      </c>
      <c r="BN151" s="205" t="e">
        <f t="shared" si="67"/>
        <v>#REF!</v>
      </c>
    </row>
    <row r="152" spans="2:66" x14ac:dyDescent="0.3">
      <c r="B152" s="166" t="str">
        <f t="array" ref="B152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52" s="166" t="s">
        <v>347</v>
      </c>
      <c r="D152" s="177" t="str">
        <f t="shared" si="53"/>
        <v>Arquitetura de projetos GERDAU</v>
      </c>
      <c r="E152" s="170" t="str">
        <f t="shared" si="56"/>
        <v>Dimensionamento de Headcount</v>
      </c>
      <c r="F152" s="174" t="str">
        <f>$H$150</f>
        <v>Alocação Anual dos Recursos</v>
      </c>
      <c r="G152" s="166" t="str">
        <f>H151</f>
        <v>Alocação Anual dos Recursos</v>
      </c>
      <c r="H152" s="198" t="s">
        <v>348</v>
      </c>
      <c r="I152" s="166">
        <v>45992</v>
      </c>
      <c r="J152" s="166">
        <v>46003</v>
      </c>
      <c r="K152" s="166">
        <v>45992</v>
      </c>
      <c r="L152" s="166">
        <v>46003</v>
      </c>
      <c r="M152" s="167"/>
      <c r="N152" s="167" t="str">
        <f t="array" ref="N152">_xlfn.IFS(L152&lt;$M$3,"Concluído",AND(K152&gt;=$M$3,I152&lt;$M$3,L152&gt;$M$3),"Em andamento",AND(L152&gt;=$M$3,J152&lt;$M$3),"Atrasado",AND(L152&gt;=$M$3,J152&gt;=$M$3,I152&gt;$M$3,K152&lt;=$M$3),"Em andamento",AND(L152&gt;=$M$3,J152&gt;=$M$3,I152&lt;=$M$3,K152&lt;=$M$3),"Em andamento",AND(K152&gt;$M$3,I152&gt;$M$3),"Não iniciado",AND(L152&gt;=$M$3,J152&gt;=$M$3,K152&gt;=$M$3,I152&lt;$M$3),"Atrasado",AND(L152&gt;=$M$3,J152&gt;=$M$3,K152&gt;=$M$3,I152&gt;$M$3),"Não iniciado",AND($I152&lt;=$M$3,$K152&gt;$M$3),"Atrasado")</f>
        <v>Concluído</v>
      </c>
      <c r="O152" s="167">
        <f t="array" ref="O152">_xlfn.IFS(N152="Não iniciado",0,N152="Em andamento",1,N152="Concluído",2,N152="Atrasado",3)</f>
        <v>2</v>
      </c>
      <c r="P152" s="168"/>
      <c r="Q152" s="152">
        <f t="array" aca="1" ref="Q152" ca="1">_xlfn.IFS(AND($I152&lt;$N$3,$J152&lt;$N$3),1,AND($I152&lt;=$N$3,$J152&gt;=$N$3),0.5,AND($I152&gt;=$N$3,$J152&gt;=$N$3),0)</f>
        <v>1</v>
      </c>
      <c r="R152" s="152">
        <f t="array" aca="1" ref="R152" ca="1">_xlfn.IFS(AND($K152&lt;$N$3,$L152&lt;$N$3),1,AND($K152&lt;=$N$3,$L152&gt;=$N$3),0.5,AND($K152&gt;=$N$3,$L152&gt;=$N$3),0)</f>
        <v>1</v>
      </c>
      <c r="S152" s="201" t="e">
        <f t="array" ref="S152">_xlfn.IFS(AND($K152&gt;R$7,$L152&gt;R$7),0,AND($K152&lt;=R$7,$L152&lt;=R$7),1,AND($K152&lt;=R$7,$L152&gt;R$7),((R$7-$K152)/($L152-$K152)))</f>
        <v>#REF!</v>
      </c>
      <c r="T152" s="201" t="e">
        <f t="array" ref="T152">_xlfn.IFS(AND($K152&gt;S$7,$L152&gt;S$7),0,AND($K152&lt;=S$7,$L152&lt;=S$7),1,AND($K152&lt;=S$7,$L152&gt;S$7),((S$7-$K152)/($L152-$K152)))</f>
        <v>#REF!</v>
      </c>
      <c r="U152" s="201" t="e">
        <f t="array" ref="U152">_xlfn.IFS(AND($K152&gt;T$7,$L152&gt;T$7),0,AND($K152&lt;=T$7,$L152&lt;=T$7),1,AND($K152&lt;=T$7,$L152&gt;T$7),((T$7-$K152)/($L152-$K152)))</f>
        <v>#REF!</v>
      </c>
      <c r="V152" s="201" t="e">
        <f t="array" ref="V152">_xlfn.IFS(AND($K152&gt;U$7,$L152&gt;U$7),0,AND($K152&lt;=U$7,$L152&lt;=U$7),1,AND($K152&lt;=U$7,$L152&gt;U$7),((U$7-$K152)/($L152-$K152)))</f>
        <v>#REF!</v>
      </c>
      <c r="W152" s="201" t="e">
        <f t="array" ref="W152">_xlfn.IFS(AND($K152&gt;V$7,$L152&gt;V$7),0,AND($K152&lt;=V$7,$L152&lt;=V$7),1,AND($K152&lt;=V$7,$L152&gt;V$7),((V$7-$K152)/($L152-$K152)))</f>
        <v>#REF!</v>
      </c>
      <c r="X152" s="201" t="e">
        <f t="array" ref="X152">_xlfn.IFS(AND($K152&gt;W$7,$L152&gt;W$7),0,AND($K152&lt;=W$7,$L152&lt;=W$7),1,AND($K152&lt;=W$7,$L152&gt;W$7),((W$7-$K152)/($L152-$K152)))</f>
        <v>#REF!</v>
      </c>
      <c r="Y152" s="201" t="e">
        <f t="array" ref="Y152">_xlfn.IFS(AND($K152&gt;X$7,$L152&gt;X$7),0,AND($K152&lt;=X$7,$L152&lt;=X$7),1,AND($K152&lt;=X$7,$L152&gt;X$7),((X$7-$K152)/($L152-$K152)))</f>
        <v>#REF!</v>
      </c>
      <c r="Z152" s="201" t="e">
        <f t="array" ref="Z152">_xlfn.IFS(AND($K152&gt;Y$7,$L152&gt;Y$7),0,AND($K152&lt;=Y$7,$L152&lt;=Y$7),1,AND($K152&lt;=Y$7,$L152&gt;Y$7),((Y$7-$K152)/($L152-$K152)))</f>
        <v>#REF!</v>
      </c>
      <c r="AA152" s="201" t="e">
        <f t="array" ref="AA152">_xlfn.IFS(AND($K152&gt;Z$7,$L152&gt;Z$7),0,AND($K152&lt;=Z$7,$L152&lt;=Z$7),1,AND($K152&lt;=Z$7,$L152&gt;Z$7),((Z$7-$K152)/($L152-$K152)))</f>
        <v>#REF!</v>
      </c>
      <c r="AB152" s="201" t="e">
        <f t="array" ref="AB152">_xlfn.IFS(AND($K152&gt;AA$7,$L152&gt;AA$7),0,AND($K152&lt;=AA$7,$L152&lt;=AA$7),1,AND($K152&lt;=AA$7,$L152&gt;AA$7),((AA$7-$K152)/($L152-$K152)))</f>
        <v>#REF!</v>
      </c>
      <c r="AC152" s="201" t="e">
        <f t="array" ref="AC152">_xlfn.IFS(AND($K152&gt;AB$7,$L152&gt;AB$7),0,AND($K152&lt;=AB$7,$L152&lt;=AB$7),1,AND($K152&lt;=AB$7,$L152&gt;AB$7),((AB$7-$K152)/($L152-$K152)))</f>
        <v>#REF!</v>
      </c>
      <c r="AD152" s="201" t="e">
        <f t="array" ref="AD152">_xlfn.IFS(AND($K152&gt;AC$7,$L152&gt;AC$7),0,AND($K152&lt;=AC$7,$L152&lt;=AC$7),1,AND($K152&lt;=AC$7,$L152&gt;AC$7),((AC$7-$K152)/($L152-$K152)))</f>
        <v>#REF!</v>
      </c>
      <c r="AE152" s="201" t="e">
        <f t="array" ref="AE152">_xlfn.IFS(AND($K152&gt;AD$7,$L152&gt;AD$7),0,AND($K152&lt;=AD$7,$L152&lt;=AD$7),1,AND($K152&lt;=AD$7,$L152&gt;AD$7),((AD$7-$K152)/($L152-$K152)))</f>
        <v>#REF!</v>
      </c>
      <c r="AF152" s="201" t="e">
        <f t="array" ref="AF152">_xlfn.IFS(AND($K152&gt;AE$7,$L152&gt;AE$7),0,AND($K152&lt;=AE$7,$L152&lt;=AE$7),1,AND($K152&lt;=AE$7,$L152&gt;AE$7),((AE$7-$K152)/($L152-$K152)))</f>
        <v>#REF!</v>
      </c>
      <c r="AG152" s="201" t="e">
        <f t="array" ref="AG152">_xlfn.IFS(AND($K152&gt;AF$7,$L152&gt;AF$7),0,AND($K152&lt;=AF$7,$L152&lt;=AF$7),1,AND($K152&lt;=AF$7,$L152&gt;AF$7),((AF$7-$K152)/($L152-$K152)))</f>
        <v>#REF!</v>
      </c>
      <c r="AH152" s="201" t="e">
        <f t="array" ref="AH152">_xlfn.IFS(AND($K152&gt;AG$7,$L152&gt;AG$7),0,AND($K152&lt;=AG$7,$L152&lt;=AG$7),1,AND($K152&lt;=AG$7,$L152&gt;AG$7),((AG$7-$K152)/($L152-$K152)))</f>
        <v>#REF!</v>
      </c>
      <c r="AI152" s="201" t="e">
        <f t="array" ref="AI152">_xlfn.IFS(AND($K152&gt;AH$7,$L152&gt;AH$7),0,AND($K152&lt;=AH$7,$L152&lt;=AH$7),1,AND($K152&lt;=AH$7,$L152&gt;AH$7),((AH$7-$K152)/($L152-$K152)))</f>
        <v>#REF!</v>
      </c>
      <c r="AJ152" s="201" t="e">
        <f t="array" ref="AJ152">_xlfn.IFS(AND($K152&gt;AI$7,$L152&gt;AI$7),0,AND($K152&lt;=AI$7,$L152&lt;=AI$7),1,AND($K152&lt;=AI$7,$L152&gt;AI$7),((AI$7-$K152)/($L152-$K152)))</f>
        <v>#REF!</v>
      </c>
      <c r="AK152" s="201" t="e">
        <f t="array" ref="AK152">_xlfn.IFS(AND($K152&gt;AJ$7,$L152&gt;AJ$7),0,AND($K152&lt;=AJ$7,$L152&lt;=AJ$7),1,AND($K152&lt;=AJ$7,$L152&gt;AJ$7),((AJ$7-$K152)/($L152-$K152)))</f>
        <v>#REF!</v>
      </c>
      <c r="AL152" s="201" t="e">
        <f t="array" ref="AL152">_xlfn.IFS(AND($K152&gt;AK$7,$L152&gt;AK$7),0,AND($K152&lt;=AK$7,$L152&lt;=AK$7),1,AND($K152&lt;=AK$7,$L152&gt;AK$7),((AK$7-$K152)/($L152-$K152)))</f>
        <v>#REF!</v>
      </c>
      <c r="AM152" s="201" t="e">
        <f t="array" ref="AM152">_xlfn.IFS(AND($K152&gt;AL$7,$L152&gt;AL$7),0,AND($K152&lt;=AL$7,$L152&lt;=AL$7),1,AND($K152&lt;=AL$7,$L152&gt;AL$7),((AL$7-$K152)/($L152-$K152)))</f>
        <v>#REF!</v>
      </c>
      <c r="AN152" s="201" t="e">
        <f t="array" ref="AN152">_xlfn.IFS(AND($K152&gt;AM$7,$L152&gt;AM$7),0,AND($K152&lt;=AM$7,$L152&lt;=AM$7),1,AND($K152&lt;=AM$7,$L152&gt;AM$7),((AM$7-$K152)/($L152-$K152)))</f>
        <v>#REF!</v>
      </c>
      <c r="AO152" s="201" t="e">
        <f t="array" ref="AO152">_xlfn.IFS(AND($K152&gt;AN$7,$L152&gt;AN$7),0,AND($K152&lt;=AN$7,$L152&lt;=AN$7),1,AND($K152&lt;=AN$7,$L152&gt;AN$7),((AN$7-$K152)/($L152-$K152)))</f>
        <v>#REF!</v>
      </c>
      <c r="AP152" s="201" t="e">
        <f t="array" ref="AP152">_xlfn.IFS(AND($K152&gt;AO$7,$L152&gt;AO$7),0,AND($K152&lt;=AO$7,$L152&lt;=AO$7),1,AND($K152&lt;=AO$7,$L152&gt;AO$7),((AO$7-$K152)/($L152-$K152)))</f>
        <v>#REF!</v>
      </c>
      <c r="AQ152" s="201" t="e">
        <f t="array" ref="AQ152">_xlfn.IFS(AND($K152&gt;AP$7,$L152&gt;AP$7),0,AND($K152&lt;=AP$7,$L152&lt;=AP$7),1,AND($K152&lt;=AP$7,$L152&gt;AP$7),((AP$7-$K152)/($L152-$K152)))</f>
        <v>#REF!</v>
      </c>
      <c r="AR152" s="201" t="e">
        <f t="array" ref="AR152">_xlfn.IFS(AND($K152&gt;AQ$7,$L152&gt;AQ$7),0,AND($K152&lt;=AQ$7,$L152&lt;=AQ$7),1,AND($K152&lt;=AQ$7,$L152&gt;AQ$7),((AQ$7-$K152)/($L152-$K152)))</f>
        <v>#REF!</v>
      </c>
      <c r="AS152" s="201" t="e">
        <f t="array" ref="AS152">_xlfn.IFS(AND($K152&gt;AR$7,$L152&gt;AR$7),0,AND($K152&lt;=AR$7,$L152&lt;=AR$7),1,AND($K152&lt;=AR$7,$L152&gt;AR$7),((AR$7-$K152)/($L152-$K152)))</f>
        <v>#REF!</v>
      </c>
      <c r="AT152" s="201" t="e">
        <f t="array" ref="AT152">_xlfn.IFS(AND($K152&gt;AS$7,$L152&gt;AS$7),0,AND($K152&lt;=AS$7,$L152&lt;=AS$7),1,AND($K152&lt;=AS$7,$L152&gt;AS$7),((AS$7-$K152)/($L152-$K152)))</f>
        <v>#REF!</v>
      </c>
      <c r="AU152" s="201" t="e">
        <f t="array" ref="AU152">_xlfn.IFS(AND($K152&gt;AT$7,$L152&gt;AT$7),0,AND($K152&lt;=AT$7,$L152&lt;=AT$7),1,AND($K152&lt;=AT$7,$L152&gt;AT$7),((AT$7-$K152)/($L152-$K152)))</f>
        <v>#REF!</v>
      </c>
      <c r="AV152" s="201" t="e">
        <f t="array" ref="AV152">_xlfn.IFS(AND($K152&gt;AU$7,$L152&gt;AU$7),0,AND($K152&lt;=AU$7,$L152&lt;=AU$7),1,AND($K152&lt;=AU$7,$L152&gt;AU$7),((AU$7-$K152)/($L152-$K152)))</f>
        <v>#REF!</v>
      </c>
      <c r="AW152" s="201" t="e">
        <f t="array" ref="AW152">_xlfn.IFS(AND($K152&gt;AV$7,$L152&gt;AV$7),0,AND($K152&lt;=AV$7,$L152&lt;=AV$7),1,AND($K152&lt;=AV$7,$L152&gt;AV$7),((AV$7-$K152)/($L152-$K152)))</f>
        <v>#REF!</v>
      </c>
      <c r="AX152" s="201" t="e">
        <f t="array" ref="AX152">_xlfn.IFS(AND($K152&gt;AW$7,$L152&gt;AW$7),0,AND($K152&lt;=AW$7,$L152&lt;=AW$7),1,AND($K152&lt;=AW$7,$L152&gt;AW$7),((AW$7-$K152)/($L152-$K152)))</f>
        <v>#REF!</v>
      </c>
      <c r="AY152" s="201" t="e">
        <f t="array" ref="AY152">_xlfn.IFS(AND($K152&gt;AX$7,$L152&gt;AX$7),0,AND($K152&lt;=AX$7,$L152&lt;=AX$7),1,AND($K152&lt;=AX$7,$L152&gt;AX$7),((AX$7-$K152)/($L152-$K152)))</f>
        <v>#REF!</v>
      </c>
      <c r="AZ152" s="201" t="e">
        <f t="array" ref="AZ152">_xlfn.IFS(AND($K152&gt;AY$7,$L152&gt;AY$7),0,AND($K152&lt;=AY$7,$L152&lt;=AY$7),1,AND($K152&lt;=AY$7,$L152&gt;AY$7),((AY$7-$K152)/($L152-$K152)))</f>
        <v>#REF!</v>
      </c>
      <c r="BA152" s="201" t="e">
        <f t="array" ref="BA152">_xlfn.IFS(AND($K152&gt;AZ$7,$L152&gt;AZ$7),0,AND($K152&lt;=AZ$7,$L152&lt;=AZ$7),1,AND($K152&lt;=AZ$7,$L152&gt;AZ$7),((AZ$7-$K152)/($L152-$K152)))</f>
        <v>#REF!</v>
      </c>
      <c r="BB152" s="201" t="e">
        <f t="array" ref="BB152">_xlfn.IFS(AND($K152&gt;BA$7,$L152&gt;BA$7),0,AND($K152&lt;=BA$7,$L152&lt;=BA$7),1,AND($K152&lt;=BA$7,$L152&gt;BA$7),((BA$7-$K152)/($L152-$K152)))</f>
        <v>#REF!</v>
      </c>
      <c r="BC152" s="201" t="e">
        <f t="array" ref="BC152">_xlfn.IFS(AND($K152&gt;BB$7,$L152&gt;BB$7),0,AND($K152&lt;=BB$7,$L152&lt;=BB$7),1,AND($K152&lt;=BB$7,$L152&gt;BB$7),((BB$7-$K152)/($L152-$K152)))</f>
        <v>#REF!</v>
      </c>
      <c r="BD152" s="201" t="e">
        <f t="array" ref="BD152">_xlfn.IFS(AND($K152&gt;BC$7,$L152&gt;BC$7),0,AND($K152&lt;=BC$7,$L152&lt;=BC$7),1,AND($K152&lt;=BC$7,$L152&gt;BC$7),((BC$7-$K152)/($L152-$K152)))</f>
        <v>#REF!</v>
      </c>
      <c r="BE152" s="201" t="e">
        <f t="array" ref="BE152">_xlfn.IFS(AND($K152&gt;BD$7,$L152&gt;BD$7),0,AND($K152&lt;=BD$7,$L152&lt;=BD$7),1,AND($K152&lt;=BD$7,$L152&gt;BD$7),((BD$7-$K152)/($L152-$K152)))</f>
        <v>#REF!</v>
      </c>
      <c r="BF152" s="201" t="e">
        <f t="array" ref="BF152">_xlfn.IFS(AND($K152&gt;BE$7,$L152&gt;BE$7),0,AND($K152&lt;=BE$7,$L152&lt;=BE$7),1,AND($K152&lt;=BE$7,$L152&gt;BE$7),((BE$7-$K152)/($L152-$K152)))</f>
        <v>#REF!</v>
      </c>
      <c r="BG152" s="201" t="e">
        <f t="array" ref="BG152">_xlfn.IFS(AND($K152&gt;BF$7,$L152&gt;BF$7),0,AND($K152&lt;=BF$7,$L152&lt;=BF$7),1,AND($K152&lt;=BF$7,$L152&gt;BF$7),((BF$7-$K152)/($L152-$K152)))</f>
        <v>#REF!</v>
      </c>
      <c r="BH152" s="201" t="e">
        <f t="array" ref="BH152">_xlfn.IFS(AND($K152&gt;BG$7,$L152&gt;BG$7),0,AND($K152&lt;=BG$7,$L152&lt;=BG$7),1,AND($K152&lt;=BG$7,$L152&gt;BG$7),((BG$7-$K152)/($L152-$K152)))</f>
        <v>#REF!</v>
      </c>
      <c r="BI152" s="201" t="e">
        <f t="array" ref="BI152">_xlfn.IFS(AND($K152&gt;BH$7,$L152&gt;BH$7),0,AND($K152&lt;=BH$7,$L152&lt;=BH$7),1,AND($K152&lt;=BH$7,$L152&gt;BH$7),((BH$7-$K152)/($L152-$K152)))</f>
        <v>#REF!</v>
      </c>
      <c r="BJ152" s="201" t="e">
        <f t="array" ref="BJ152">_xlfn.IFS(AND($K152&gt;BI$7,$L152&gt;BI$7),0,AND($K152&lt;=BI$7,$L152&lt;=BI$7),1,AND($K152&lt;=BI$7,$L152&gt;BI$7),((BI$7-$K152)/($L152-$K152)))</f>
        <v>#REF!</v>
      </c>
      <c r="BK152" s="201" t="e">
        <f t="array" ref="BK152">_xlfn.IFS(AND($K152&gt;BJ$7,$L152&gt;BJ$7),0,AND($K152&lt;=BJ$7,$L152&lt;=BJ$7),1,AND($K152&lt;=BJ$7,$L152&gt;BJ$7),((BJ$7-$K152)/($L152-$K152)))</f>
        <v>#REF!</v>
      </c>
      <c r="BL152" s="201" t="e">
        <f t="array" ref="BL152">_xlfn.IFS(AND($K152&gt;BK$7,$L152&gt;BK$7),0,AND($K152&lt;=BK$7,$L152&lt;=BK$7),1,AND($K152&lt;=BK$7,$L152&gt;BK$7),((BK$7-$K152)/($L152-$K152)))</f>
        <v>#REF!</v>
      </c>
      <c r="BM152" s="201" t="e">
        <f t="array" ref="BM152">_xlfn.IFS(AND($K152&gt;BL$7,$L152&gt;BL$7),0,AND($K152&lt;=BL$7,$L152&lt;=BL$7),1,AND($K152&lt;=BL$7,$L152&gt;BL$7),((BL$7-$K152)/($L152-$K152)))</f>
        <v>#REF!</v>
      </c>
      <c r="BN152" s="201" t="e">
        <f t="array" ref="BN152">_xlfn.IFS(AND($K152&gt;BM$7,$L152&gt;BM$7),0,AND($K152&lt;=BM$7,$L152&lt;=BM$7),1,AND($K152&lt;=BM$7,$L152&gt;BM$7),((BM$7-$K152)/($L152-$K152)))</f>
        <v>#REF!</v>
      </c>
    </row>
    <row r="153" spans="2:66" x14ac:dyDescent="0.3">
      <c r="B153" s="170" t="str">
        <f t="array" ref="B153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3</v>
      </c>
      <c r="C153" s="170" t="s">
        <v>349</v>
      </c>
      <c r="D153" s="177" t="str">
        <f t="shared" si="53"/>
        <v>Arquitetura de projetos GERDAU</v>
      </c>
      <c r="E153" s="170" t="str">
        <f t="shared" si="56"/>
        <v>Dimensionamento de Headcount</v>
      </c>
      <c r="F153" s="170" t="s">
        <v>350</v>
      </c>
      <c r="G153" s="170" t="s">
        <v>74</v>
      </c>
      <c r="H153" s="194" t="s">
        <v>351</v>
      </c>
      <c r="I153" s="170">
        <f>MIN(I154:I156)</f>
        <v>46006</v>
      </c>
      <c r="J153" s="170">
        <f>MAX(J154:J156)</f>
        <v>46014</v>
      </c>
      <c r="K153" s="170">
        <f>MIN(K154:K156)</f>
        <v>46006</v>
      </c>
      <c r="L153" s="170">
        <f>MAX(L154:L156)</f>
        <v>46014</v>
      </c>
      <c r="M153" s="171"/>
      <c r="N153" s="171" t="str">
        <f t="array" ref="N153">_xlfn.IFS(L153&lt;$M$3,"Concluído",AND(K153&gt;=$M$3,I153&lt;$M$3,L153&gt;$M$3),"Em andamento",AND(L153&gt;=$M$3,J153&lt;$M$3),"Atrasado",AND(L153&gt;=$M$3,J153&gt;=$M$3,I153&gt;$M$3,K153&lt;=$M$3),"Em andamento",AND(L153&gt;=$M$3,J153&gt;=$M$3,I153&lt;=$M$3,K153&lt;=$M$3),"Em andamento",AND(K153&gt;$M$3,I153&gt;$M$3),"Não iniciado",AND(L153&gt;=$M$3,J153&gt;=$M$3,K153&gt;=$M$3,I153&lt;$M$3),"Atrasado",AND(L153&gt;=$M$3,J153&gt;=$M$3,K153&gt;=$M$3,I153&gt;$M$3),"Não iniciado",AND($I153&lt;=$M$3,$K153&gt;$M$3),"Atrasado")</f>
        <v>Concluído</v>
      </c>
      <c r="O153" s="171">
        <f t="array" ref="O153">_xlfn.IFS(N153="Não iniciado",0,N153="Em andamento",1,N153="Concluído",2,N153="Atrasado",3)</f>
        <v>2</v>
      </c>
      <c r="P153" s="172"/>
      <c r="Q153" s="173">
        <f ca="1">Q154</f>
        <v>1</v>
      </c>
      <c r="R153" s="173">
        <f ca="1">R154</f>
        <v>1</v>
      </c>
      <c r="S153" s="173" t="e">
        <f t="shared" ref="S153:BN153" si="68">AVERAGE(S154)</f>
        <v>#REF!</v>
      </c>
      <c r="T153" s="173" t="e">
        <f t="shared" si="68"/>
        <v>#REF!</v>
      </c>
      <c r="U153" s="173" t="e">
        <f t="shared" si="68"/>
        <v>#REF!</v>
      </c>
      <c r="V153" s="173" t="e">
        <f t="shared" si="68"/>
        <v>#REF!</v>
      </c>
      <c r="W153" s="173" t="e">
        <f t="shared" si="68"/>
        <v>#REF!</v>
      </c>
      <c r="X153" s="173" t="e">
        <f t="shared" si="68"/>
        <v>#REF!</v>
      </c>
      <c r="Y153" s="173" t="e">
        <f t="shared" si="68"/>
        <v>#REF!</v>
      </c>
      <c r="Z153" s="173" t="e">
        <f t="shared" si="68"/>
        <v>#REF!</v>
      </c>
      <c r="AA153" s="173" t="e">
        <f t="shared" si="68"/>
        <v>#REF!</v>
      </c>
      <c r="AB153" s="173" t="e">
        <f t="shared" si="68"/>
        <v>#REF!</v>
      </c>
      <c r="AC153" s="173" t="e">
        <f t="shared" si="68"/>
        <v>#REF!</v>
      </c>
      <c r="AD153" s="173" t="e">
        <f t="shared" si="68"/>
        <v>#REF!</v>
      </c>
      <c r="AE153" s="173" t="e">
        <f t="shared" si="68"/>
        <v>#REF!</v>
      </c>
      <c r="AF153" s="173" t="e">
        <f t="shared" si="68"/>
        <v>#REF!</v>
      </c>
      <c r="AG153" s="173" t="e">
        <f t="shared" si="68"/>
        <v>#REF!</v>
      </c>
      <c r="AH153" s="173" t="e">
        <f t="shared" si="68"/>
        <v>#REF!</v>
      </c>
      <c r="AI153" s="173" t="e">
        <f t="shared" si="68"/>
        <v>#REF!</v>
      </c>
      <c r="AJ153" s="173" t="e">
        <f t="shared" si="68"/>
        <v>#REF!</v>
      </c>
      <c r="AK153" s="173" t="e">
        <f t="shared" si="68"/>
        <v>#REF!</v>
      </c>
      <c r="AL153" s="173" t="e">
        <f t="shared" si="68"/>
        <v>#REF!</v>
      </c>
      <c r="AM153" s="173" t="e">
        <f t="shared" si="68"/>
        <v>#REF!</v>
      </c>
      <c r="AN153" s="173" t="e">
        <f t="shared" si="68"/>
        <v>#REF!</v>
      </c>
      <c r="AO153" s="173" t="e">
        <f t="shared" si="68"/>
        <v>#REF!</v>
      </c>
      <c r="AP153" s="173" t="e">
        <f t="shared" si="68"/>
        <v>#REF!</v>
      </c>
      <c r="AQ153" s="173" t="e">
        <f t="shared" si="68"/>
        <v>#REF!</v>
      </c>
      <c r="AR153" s="173" t="e">
        <f t="shared" si="68"/>
        <v>#REF!</v>
      </c>
      <c r="AS153" s="173" t="e">
        <f t="shared" si="68"/>
        <v>#REF!</v>
      </c>
      <c r="AT153" s="173" t="e">
        <f t="shared" si="68"/>
        <v>#REF!</v>
      </c>
      <c r="AU153" s="173" t="e">
        <f t="shared" si="68"/>
        <v>#REF!</v>
      </c>
      <c r="AV153" s="173" t="e">
        <f t="shared" si="68"/>
        <v>#REF!</v>
      </c>
      <c r="AW153" s="173" t="e">
        <f t="shared" si="68"/>
        <v>#REF!</v>
      </c>
      <c r="AX153" s="173" t="e">
        <f t="shared" si="68"/>
        <v>#REF!</v>
      </c>
      <c r="AY153" s="173" t="e">
        <f t="shared" si="68"/>
        <v>#REF!</v>
      </c>
      <c r="AZ153" s="173" t="e">
        <f t="shared" si="68"/>
        <v>#REF!</v>
      </c>
      <c r="BA153" s="173" t="e">
        <f t="shared" si="68"/>
        <v>#REF!</v>
      </c>
      <c r="BB153" s="173" t="e">
        <f t="shared" si="68"/>
        <v>#REF!</v>
      </c>
      <c r="BC153" s="173" t="e">
        <f t="shared" si="68"/>
        <v>#REF!</v>
      </c>
      <c r="BD153" s="173" t="e">
        <f t="shared" si="68"/>
        <v>#REF!</v>
      </c>
      <c r="BE153" s="173" t="e">
        <f t="shared" si="68"/>
        <v>#REF!</v>
      </c>
      <c r="BF153" s="173" t="e">
        <f t="shared" si="68"/>
        <v>#REF!</v>
      </c>
      <c r="BG153" s="173" t="e">
        <f t="shared" si="68"/>
        <v>#REF!</v>
      </c>
      <c r="BH153" s="173" t="e">
        <f t="shared" si="68"/>
        <v>#REF!</v>
      </c>
      <c r="BI153" s="173" t="e">
        <f t="shared" si="68"/>
        <v>#REF!</v>
      </c>
      <c r="BJ153" s="173" t="e">
        <f t="shared" si="68"/>
        <v>#REF!</v>
      </c>
      <c r="BK153" s="173" t="e">
        <f t="shared" si="68"/>
        <v>#REF!</v>
      </c>
      <c r="BL153" s="173" t="e">
        <f t="shared" si="68"/>
        <v>#REF!</v>
      </c>
      <c r="BM153" s="173" t="e">
        <f t="shared" si="68"/>
        <v>#REF!</v>
      </c>
      <c r="BN153" s="173" t="e">
        <f t="shared" si="68"/>
        <v>#REF!</v>
      </c>
    </row>
    <row r="154" spans="2:66" x14ac:dyDescent="0.3">
      <c r="B154" s="174" t="str">
        <f t="array" ref="B154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4</v>
      </c>
      <c r="C154" s="174" t="s">
        <v>352</v>
      </c>
      <c r="D154" s="177" t="str">
        <f t="shared" si="53"/>
        <v>Arquitetura de projetos GERDAU</v>
      </c>
      <c r="E154" s="170" t="str">
        <f t="shared" si="56"/>
        <v>Dimensionamento de Headcount</v>
      </c>
      <c r="F154" s="174" t="str">
        <f>$H$153</f>
        <v>Nivelamento de Recursos e Proposta de Redimensionamento</v>
      </c>
      <c r="G154" s="174" t="s">
        <v>74</v>
      </c>
      <c r="H154" s="195" t="s">
        <v>351</v>
      </c>
      <c r="I154" s="174">
        <f>MIN(I155:I156)</f>
        <v>46006</v>
      </c>
      <c r="J154" s="174">
        <f>MAX(J155:J156)</f>
        <v>46014</v>
      </c>
      <c r="K154" s="174">
        <f>MIN(K155:K156)</f>
        <v>46006</v>
      </c>
      <c r="L154" s="174">
        <f>MAX(L155:L156)</f>
        <v>46014</v>
      </c>
      <c r="M154" s="175"/>
      <c r="N154" s="175" t="str">
        <f t="array" ref="N154">_xlfn.IFS(L154&lt;$M$3,"Concluído",AND(K154&gt;=$M$3,I154&lt;$M$3,L154&gt;$M$3),"Em andamento",AND(L154&gt;=$M$3,J154&lt;$M$3),"Atrasado",AND(L154&gt;=$M$3,J154&gt;=$M$3,I154&gt;$M$3,K154&lt;=$M$3),"Em andamento",AND(L154&gt;=$M$3,J154&gt;=$M$3,I154&lt;=$M$3,K154&lt;=$M$3),"Em andamento",AND(K154&gt;$M$3,I154&gt;$M$3),"Não iniciado",AND(L154&gt;=$M$3,J154&gt;=$M$3,K154&gt;=$M$3,I154&lt;$M$3),"Atrasado",AND(L154&gt;=$M$3,J154&gt;=$M$3,K154&gt;=$M$3,I154&gt;$M$3),"Não iniciado",AND($I154&lt;=$M$3,$K154&gt;$M$3),"Atrasado")</f>
        <v>Concluído</v>
      </c>
      <c r="O154" s="175">
        <f t="array" ref="O154">_xlfn.IFS(N154="Não iniciado",0,N154="Em andamento",1,N154="Concluído",2,N154="Atrasado",3)</f>
        <v>2</v>
      </c>
      <c r="P154" s="176"/>
      <c r="Q154" s="156">
        <f t="shared" ref="Q154:AV154" ca="1" si="69">AVERAGE(Q155:Q156)</f>
        <v>1</v>
      </c>
      <c r="R154" s="156">
        <f t="shared" ca="1" si="69"/>
        <v>1</v>
      </c>
      <c r="S154" s="205" t="e">
        <f t="shared" si="69"/>
        <v>#REF!</v>
      </c>
      <c r="T154" s="205" t="e">
        <f t="shared" si="69"/>
        <v>#REF!</v>
      </c>
      <c r="U154" s="205" t="e">
        <f t="shared" si="69"/>
        <v>#REF!</v>
      </c>
      <c r="V154" s="205" t="e">
        <f t="shared" si="69"/>
        <v>#REF!</v>
      </c>
      <c r="W154" s="205" t="e">
        <f t="shared" si="69"/>
        <v>#REF!</v>
      </c>
      <c r="X154" s="205" t="e">
        <f t="shared" si="69"/>
        <v>#REF!</v>
      </c>
      <c r="Y154" s="205" t="e">
        <f t="shared" si="69"/>
        <v>#REF!</v>
      </c>
      <c r="Z154" s="205" t="e">
        <f t="shared" si="69"/>
        <v>#REF!</v>
      </c>
      <c r="AA154" s="205" t="e">
        <f t="shared" si="69"/>
        <v>#REF!</v>
      </c>
      <c r="AB154" s="205" t="e">
        <f t="shared" si="69"/>
        <v>#REF!</v>
      </c>
      <c r="AC154" s="205" t="e">
        <f t="shared" si="69"/>
        <v>#REF!</v>
      </c>
      <c r="AD154" s="205" t="e">
        <f t="shared" si="69"/>
        <v>#REF!</v>
      </c>
      <c r="AE154" s="205" t="e">
        <f t="shared" si="69"/>
        <v>#REF!</v>
      </c>
      <c r="AF154" s="205" t="e">
        <f t="shared" si="69"/>
        <v>#REF!</v>
      </c>
      <c r="AG154" s="205" t="e">
        <f t="shared" si="69"/>
        <v>#REF!</v>
      </c>
      <c r="AH154" s="205" t="e">
        <f t="shared" si="69"/>
        <v>#REF!</v>
      </c>
      <c r="AI154" s="205" t="e">
        <f t="shared" si="69"/>
        <v>#REF!</v>
      </c>
      <c r="AJ154" s="205" t="e">
        <f t="shared" si="69"/>
        <v>#REF!</v>
      </c>
      <c r="AK154" s="205" t="e">
        <f t="shared" si="69"/>
        <v>#REF!</v>
      </c>
      <c r="AL154" s="205" t="e">
        <f t="shared" si="69"/>
        <v>#REF!</v>
      </c>
      <c r="AM154" s="205" t="e">
        <f t="shared" si="69"/>
        <v>#REF!</v>
      </c>
      <c r="AN154" s="205" t="e">
        <f t="shared" si="69"/>
        <v>#REF!</v>
      </c>
      <c r="AO154" s="205" t="e">
        <f t="shared" si="69"/>
        <v>#REF!</v>
      </c>
      <c r="AP154" s="205" t="e">
        <f t="shared" si="69"/>
        <v>#REF!</v>
      </c>
      <c r="AQ154" s="205" t="e">
        <f t="shared" si="69"/>
        <v>#REF!</v>
      </c>
      <c r="AR154" s="205" t="e">
        <f t="shared" si="69"/>
        <v>#REF!</v>
      </c>
      <c r="AS154" s="205" t="e">
        <f t="shared" si="69"/>
        <v>#REF!</v>
      </c>
      <c r="AT154" s="205" t="e">
        <f t="shared" si="69"/>
        <v>#REF!</v>
      </c>
      <c r="AU154" s="205" t="e">
        <f t="shared" si="69"/>
        <v>#REF!</v>
      </c>
      <c r="AV154" s="205" t="e">
        <f t="shared" si="69"/>
        <v>#REF!</v>
      </c>
      <c r="AW154" s="205" t="e">
        <f t="shared" ref="AW154:BN154" si="70">AVERAGE(AW155:AW156)</f>
        <v>#REF!</v>
      </c>
      <c r="AX154" s="205" t="e">
        <f t="shared" si="70"/>
        <v>#REF!</v>
      </c>
      <c r="AY154" s="205" t="e">
        <f t="shared" si="70"/>
        <v>#REF!</v>
      </c>
      <c r="AZ154" s="205" t="e">
        <f t="shared" si="70"/>
        <v>#REF!</v>
      </c>
      <c r="BA154" s="205" t="e">
        <f t="shared" si="70"/>
        <v>#REF!</v>
      </c>
      <c r="BB154" s="205" t="e">
        <f t="shared" si="70"/>
        <v>#REF!</v>
      </c>
      <c r="BC154" s="205" t="e">
        <f t="shared" si="70"/>
        <v>#REF!</v>
      </c>
      <c r="BD154" s="205" t="e">
        <f t="shared" si="70"/>
        <v>#REF!</v>
      </c>
      <c r="BE154" s="205" t="e">
        <f t="shared" si="70"/>
        <v>#REF!</v>
      </c>
      <c r="BF154" s="205" t="e">
        <f t="shared" si="70"/>
        <v>#REF!</v>
      </c>
      <c r="BG154" s="205" t="e">
        <f t="shared" si="70"/>
        <v>#REF!</v>
      </c>
      <c r="BH154" s="205" t="e">
        <f t="shared" si="70"/>
        <v>#REF!</v>
      </c>
      <c r="BI154" s="205" t="e">
        <f t="shared" si="70"/>
        <v>#REF!</v>
      </c>
      <c r="BJ154" s="205" t="e">
        <f t="shared" si="70"/>
        <v>#REF!</v>
      </c>
      <c r="BK154" s="205" t="e">
        <f t="shared" si="70"/>
        <v>#REF!</v>
      </c>
      <c r="BL154" s="205" t="e">
        <f t="shared" si="70"/>
        <v>#REF!</v>
      </c>
      <c r="BM154" s="205" t="e">
        <f t="shared" si="70"/>
        <v>#REF!</v>
      </c>
      <c r="BN154" s="205" t="e">
        <f t="shared" si="70"/>
        <v>#REF!</v>
      </c>
    </row>
    <row r="155" spans="2:66" x14ac:dyDescent="0.3">
      <c r="B155" s="166" t="str">
        <f t="array" ref="B155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55" s="166" t="s">
        <v>353</v>
      </c>
      <c r="D155" s="177" t="str">
        <f t="shared" si="53"/>
        <v>Arquitetura de projetos GERDAU</v>
      </c>
      <c r="E155" s="170" t="str">
        <f t="shared" si="56"/>
        <v>Dimensionamento de Headcount</v>
      </c>
      <c r="F155" s="174" t="str">
        <f>$H$153</f>
        <v>Nivelamento de Recursos e Proposta de Redimensionamento</v>
      </c>
      <c r="G155" s="166" t="str">
        <f>$H$154</f>
        <v>Nivelamento de Recursos e Proposta de Redimensionamento</v>
      </c>
      <c r="H155" s="197" t="s">
        <v>354</v>
      </c>
      <c r="I155" s="166">
        <v>46006</v>
      </c>
      <c r="J155" s="166">
        <v>46010</v>
      </c>
      <c r="K155" s="166">
        <v>46006</v>
      </c>
      <c r="L155" s="166">
        <v>46010</v>
      </c>
      <c r="M155" s="167"/>
      <c r="N155" s="167" t="str">
        <f t="array" ref="N155">_xlfn.IFS(L155&lt;$M$3,"Concluído",AND(K155&gt;=$M$3,I155&lt;$M$3,L155&gt;$M$3),"Em andamento",AND(L155&gt;=$M$3,J155&lt;$M$3),"Atrasado",AND(L155&gt;=$M$3,J155&gt;=$M$3,I155&gt;$M$3,K155&lt;=$M$3),"Em andamento",AND(L155&gt;=$M$3,J155&gt;=$M$3,I155&lt;=$M$3,K155&lt;=$M$3),"Em andamento",AND(K155&gt;$M$3,I155&gt;$M$3),"Não iniciado",AND(L155&gt;=$M$3,J155&gt;=$M$3,K155&gt;=$M$3,I155&lt;$M$3),"Atrasado",AND(L155&gt;=$M$3,J155&gt;=$M$3,K155&gt;=$M$3,I155&gt;$M$3),"Não iniciado",AND($I155&lt;=$M$3,$K155&gt;$M$3),"Atrasado")</f>
        <v>Concluído</v>
      </c>
      <c r="O155" s="167">
        <f t="array" ref="O155">_xlfn.IFS(N155="Não iniciado",0,N155="Em andamento",1,N155="Concluído",2,N155="Atrasado",3)</f>
        <v>2</v>
      </c>
      <c r="P155" s="168"/>
      <c r="Q155" s="152">
        <f t="array" aca="1" ref="Q155" ca="1">_xlfn.IFS(AND($I155&lt;$N$3,$J155&lt;$N$3),1,AND($I155&lt;=$N$3,$J155&gt;=$N$3),0.5,AND($I155&gt;=$N$3,$J155&gt;=$N$3),0)</f>
        <v>1</v>
      </c>
      <c r="R155" s="152">
        <f t="array" aca="1" ref="R155" ca="1">_xlfn.IFS(AND($K155&lt;$N$3,$L155&lt;$N$3),1,AND($K155&lt;=$N$3,$L155&gt;=$N$3),0.5,AND($K155&gt;=$N$3,$L155&gt;=$N$3),0)</f>
        <v>1</v>
      </c>
      <c r="S155" s="201" t="e">
        <f t="array" ref="S155">_xlfn.IFS(AND($K155&gt;R$7,$L155&gt;R$7),0,AND($K155&lt;=R$7,$L155&lt;=R$7),1,AND($K155&lt;=R$7,$L155&gt;R$7),((R$7-$K155)/($L155-$K155)))</f>
        <v>#REF!</v>
      </c>
      <c r="T155" s="201" t="e">
        <f t="array" ref="T155">_xlfn.IFS(AND($K155&gt;S$7,$L155&gt;S$7),0,AND($K155&lt;=S$7,$L155&lt;=S$7),1,AND($K155&lt;=S$7,$L155&gt;S$7),((S$7-$K155)/($L155-$K155)))</f>
        <v>#REF!</v>
      </c>
      <c r="U155" s="201" t="e">
        <f t="array" ref="U155">_xlfn.IFS(AND($K155&gt;T$7,$L155&gt;T$7),0,AND($K155&lt;=T$7,$L155&lt;=T$7),1,AND($K155&lt;=T$7,$L155&gt;T$7),((T$7-$K155)/($L155-$K155)))</f>
        <v>#REF!</v>
      </c>
      <c r="V155" s="201" t="e">
        <f t="array" ref="V155">_xlfn.IFS(AND($K155&gt;U$7,$L155&gt;U$7),0,AND($K155&lt;=U$7,$L155&lt;=U$7),1,AND($K155&lt;=U$7,$L155&gt;U$7),((U$7-$K155)/($L155-$K155)))</f>
        <v>#REF!</v>
      </c>
      <c r="W155" s="201" t="e">
        <f t="array" ref="W155">_xlfn.IFS(AND($K155&gt;V$7,$L155&gt;V$7),0,AND($K155&lt;=V$7,$L155&lt;=V$7),1,AND($K155&lt;=V$7,$L155&gt;V$7),((V$7-$K155)/($L155-$K155)))</f>
        <v>#REF!</v>
      </c>
      <c r="X155" s="201" t="e">
        <f t="array" ref="X155">_xlfn.IFS(AND($K155&gt;W$7,$L155&gt;W$7),0,AND($K155&lt;=W$7,$L155&lt;=W$7),1,AND($K155&lt;=W$7,$L155&gt;W$7),((W$7-$K155)/($L155-$K155)))</f>
        <v>#REF!</v>
      </c>
      <c r="Y155" s="201" t="e">
        <f t="array" ref="Y155">_xlfn.IFS(AND($K155&gt;X$7,$L155&gt;X$7),0,AND($K155&lt;=X$7,$L155&lt;=X$7),1,AND($K155&lt;=X$7,$L155&gt;X$7),((X$7-$K155)/($L155-$K155)))</f>
        <v>#REF!</v>
      </c>
      <c r="Z155" s="201" t="e">
        <f t="array" ref="Z155">_xlfn.IFS(AND($K155&gt;Y$7,$L155&gt;Y$7),0,AND($K155&lt;=Y$7,$L155&lt;=Y$7),1,AND($K155&lt;=Y$7,$L155&gt;Y$7),((Y$7-$K155)/($L155-$K155)))</f>
        <v>#REF!</v>
      </c>
      <c r="AA155" s="201" t="e">
        <f t="array" ref="AA155">_xlfn.IFS(AND($K155&gt;Z$7,$L155&gt;Z$7),0,AND($K155&lt;=Z$7,$L155&lt;=Z$7),1,AND($K155&lt;=Z$7,$L155&gt;Z$7),((Z$7-$K155)/($L155-$K155)))</f>
        <v>#REF!</v>
      </c>
      <c r="AB155" s="201" t="e">
        <f t="array" ref="AB155">_xlfn.IFS(AND($K155&gt;AA$7,$L155&gt;AA$7),0,AND($K155&lt;=AA$7,$L155&lt;=AA$7),1,AND($K155&lt;=AA$7,$L155&gt;AA$7),((AA$7-$K155)/($L155-$K155)))</f>
        <v>#REF!</v>
      </c>
      <c r="AC155" s="201" t="e">
        <f t="array" ref="AC155">_xlfn.IFS(AND($K155&gt;AB$7,$L155&gt;AB$7),0,AND($K155&lt;=AB$7,$L155&lt;=AB$7),1,AND($K155&lt;=AB$7,$L155&gt;AB$7),((AB$7-$K155)/($L155-$K155)))</f>
        <v>#REF!</v>
      </c>
      <c r="AD155" s="201" t="e">
        <f t="array" ref="AD155">_xlfn.IFS(AND($K155&gt;AC$7,$L155&gt;AC$7),0,AND($K155&lt;=AC$7,$L155&lt;=AC$7),1,AND($K155&lt;=AC$7,$L155&gt;AC$7),((AC$7-$K155)/($L155-$K155)))</f>
        <v>#REF!</v>
      </c>
      <c r="AE155" s="201" t="e">
        <f t="array" ref="AE155">_xlfn.IFS(AND($K155&gt;AD$7,$L155&gt;AD$7),0,AND($K155&lt;=AD$7,$L155&lt;=AD$7),1,AND($K155&lt;=AD$7,$L155&gt;AD$7),((AD$7-$K155)/($L155-$K155)))</f>
        <v>#REF!</v>
      </c>
      <c r="AF155" s="201" t="e">
        <f t="array" ref="AF155">_xlfn.IFS(AND($K155&gt;AE$7,$L155&gt;AE$7),0,AND($K155&lt;=AE$7,$L155&lt;=AE$7),1,AND($K155&lt;=AE$7,$L155&gt;AE$7),((AE$7-$K155)/($L155-$K155)))</f>
        <v>#REF!</v>
      </c>
      <c r="AG155" s="201" t="e">
        <f t="array" ref="AG155">_xlfn.IFS(AND($K155&gt;AF$7,$L155&gt;AF$7),0,AND($K155&lt;=AF$7,$L155&lt;=AF$7),1,AND($K155&lt;=AF$7,$L155&gt;AF$7),((AF$7-$K155)/($L155-$K155)))</f>
        <v>#REF!</v>
      </c>
      <c r="AH155" s="201" t="e">
        <f t="array" ref="AH155">_xlfn.IFS(AND($K155&gt;AG$7,$L155&gt;AG$7),0,AND($K155&lt;=AG$7,$L155&lt;=AG$7),1,AND($K155&lt;=AG$7,$L155&gt;AG$7),((AG$7-$K155)/($L155-$K155)))</f>
        <v>#REF!</v>
      </c>
      <c r="AI155" s="201" t="e">
        <f t="array" ref="AI155">_xlfn.IFS(AND($K155&gt;AH$7,$L155&gt;AH$7),0,AND($K155&lt;=AH$7,$L155&lt;=AH$7),1,AND($K155&lt;=AH$7,$L155&gt;AH$7),((AH$7-$K155)/($L155-$K155)))</f>
        <v>#REF!</v>
      </c>
      <c r="AJ155" s="201" t="e">
        <f t="array" ref="AJ155">_xlfn.IFS(AND($K155&gt;AI$7,$L155&gt;AI$7),0,AND($K155&lt;=AI$7,$L155&lt;=AI$7),1,AND($K155&lt;=AI$7,$L155&gt;AI$7),((AI$7-$K155)/($L155-$K155)))</f>
        <v>#REF!</v>
      </c>
      <c r="AK155" s="201" t="e">
        <f t="array" ref="AK155">_xlfn.IFS(AND($K155&gt;AJ$7,$L155&gt;AJ$7),0,AND($K155&lt;=AJ$7,$L155&lt;=AJ$7),1,AND($K155&lt;=AJ$7,$L155&gt;AJ$7),((AJ$7-$K155)/($L155-$K155)))</f>
        <v>#REF!</v>
      </c>
      <c r="AL155" s="201" t="e">
        <f t="array" ref="AL155">_xlfn.IFS(AND($K155&gt;AK$7,$L155&gt;AK$7),0,AND($K155&lt;=AK$7,$L155&lt;=AK$7),1,AND($K155&lt;=AK$7,$L155&gt;AK$7),((AK$7-$K155)/($L155-$K155)))</f>
        <v>#REF!</v>
      </c>
      <c r="AM155" s="201" t="e">
        <f t="array" ref="AM155">_xlfn.IFS(AND($K155&gt;AL$7,$L155&gt;AL$7),0,AND($K155&lt;=AL$7,$L155&lt;=AL$7),1,AND($K155&lt;=AL$7,$L155&gt;AL$7),((AL$7-$K155)/($L155-$K155)))</f>
        <v>#REF!</v>
      </c>
      <c r="AN155" s="201" t="e">
        <f t="array" ref="AN155">_xlfn.IFS(AND($K155&gt;AM$7,$L155&gt;AM$7),0,AND($K155&lt;=AM$7,$L155&lt;=AM$7),1,AND($K155&lt;=AM$7,$L155&gt;AM$7),((AM$7-$K155)/($L155-$K155)))</f>
        <v>#REF!</v>
      </c>
      <c r="AO155" s="201" t="e">
        <f t="array" ref="AO155">_xlfn.IFS(AND($K155&gt;AN$7,$L155&gt;AN$7),0,AND($K155&lt;=AN$7,$L155&lt;=AN$7),1,AND($K155&lt;=AN$7,$L155&gt;AN$7),((AN$7-$K155)/($L155-$K155)))</f>
        <v>#REF!</v>
      </c>
      <c r="AP155" s="201" t="e">
        <f t="array" ref="AP155">_xlfn.IFS(AND($K155&gt;AO$7,$L155&gt;AO$7),0,AND($K155&lt;=AO$7,$L155&lt;=AO$7),1,AND($K155&lt;=AO$7,$L155&gt;AO$7),((AO$7-$K155)/($L155-$K155)))</f>
        <v>#REF!</v>
      </c>
      <c r="AQ155" s="201" t="e">
        <f t="array" ref="AQ155">_xlfn.IFS(AND($K155&gt;AP$7,$L155&gt;AP$7),0,AND($K155&lt;=AP$7,$L155&lt;=AP$7),1,AND($K155&lt;=AP$7,$L155&gt;AP$7),((AP$7-$K155)/($L155-$K155)))</f>
        <v>#REF!</v>
      </c>
      <c r="AR155" s="201" t="e">
        <f t="array" ref="AR155">_xlfn.IFS(AND($K155&gt;AQ$7,$L155&gt;AQ$7),0,AND($K155&lt;=AQ$7,$L155&lt;=AQ$7),1,AND($K155&lt;=AQ$7,$L155&gt;AQ$7),((AQ$7-$K155)/($L155-$K155)))</f>
        <v>#REF!</v>
      </c>
      <c r="AS155" s="201" t="e">
        <f t="array" ref="AS155">_xlfn.IFS(AND($K155&gt;AR$7,$L155&gt;AR$7),0,AND($K155&lt;=AR$7,$L155&lt;=AR$7),1,AND($K155&lt;=AR$7,$L155&gt;AR$7),((AR$7-$K155)/($L155-$K155)))</f>
        <v>#REF!</v>
      </c>
      <c r="AT155" s="201" t="e">
        <f t="array" ref="AT155">_xlfn.IFS(AND($K155&gt;AS$7,$L155&gt;AS$7),0,AND($K155&lt;=AS$7,$L155&lt;=AS$7),1,AND($K155&lt;=AS$7,$L155&gt;AS$7),((AS$7-$K155)/($L155-$K155)))</f>
        <v>#REF!</v>
      </c>
      <c r="AU155" s="201" t="e">
        <f t="array" ref="AU155">_xlfn.IFS(AND($K155&gt;AT$7,$L155&gt;AT$7),0,AND($K155&lt;=AT$7,$L155&lt;=AT$7),1,AND($K155&lt;=AT$7,$L155&gt;AT$7),((AT$7-$K155)/($L155-$K155)))</f>
        <v>#REF!</v>
      </c>
      <c r="AV155" s="201" t="e">
        <f t="array" ref="AV155">_xlfn.IFS(AND($K155&gt;AU$7,$L155&gt;AU$7),0,AND($K155&lt;=AU$7,$L155&lt;=AU$7),1,AND($K155&lt;=AU$7,$L155&gt;AU$7),((AU$7-$K155)/($L155-$K155)))</f>
        <v>#REF!</v>
      </c>
      <c r="AW155" s="201" t="e">
        <f t="array" ref="AW155">_xlfn.IFS(AND($K155&gt;AV$7,$L155&gt;AV$7),0,AND($K155&lt;=AV$7,$L155&lt;=AV$7),1,AND($K155&lt;=AV$7,$L155&gt;AV$7),((AV$7-$K155)/($L155-$K155)))</f>
        <v>#REF!</v>
      </c>
      <c r="AX155" s="201" t="e">
        <f t="array" ref="AX155">_xlfn.IFS(AND($K155&gt;AW$7,$L155&gt;AW$7),0,AND($K155&lt;=AW$7,$L155&lt;=AW$7),1,AND($K155&lt;=AW$7,$L155&gt;AW$7),((AW$7-$K155)/($L155-$K155)))</f>
        <v>#REF!</v>
      </c>
      <c r="AY155" s="201" t="e">
        <f t="array" ref="AY155">_xlfn.IFS(AND($K155&gt;AX$7,$L155&gt;AX$7),0,AND($K155&lt;=AX$7,$L155&lt;=AX$7),1,AND($K155&lt;=AX$7,$L155&gt;AX$7),((AX$7-$K155)/($L155-$K155)))</f>
        <v>#REF!</v>
      </c>
      <c r="AZ155" s="201" t="e">
        <f t="array" ref="AZ155">_xlfn.IFS(AND($K155&gt;AY$7,$L155&gt;AY$7),0,AND($K155&lt;=AY$7,$L155&lt;=AY$7),1,AND($K155&lt;=AY$7,$L155&gt;AY$7),((AY$7-$K155)/($L155-$K155)))</f>
        <v>#REF!</v>
      </c>
      <c r="BA155" s="201" t="e">
        <f t="array" ref="BA155">_xlfn.IFS(AND($K155&gt;AZ$7,$L155&gt;AZ$7),0,AND($K155&lt;=AZ$7,$L155&lt;=AZ$7),1,AND($K155&lt;=AZ$7,$L155&gt;AZ$7),((AZ$7-$K155)/($L155-$K155)))</f>
        <v>#REF!</v>
      </c>
      <c r="BB155" s="201" t="e">
        <f t="array" ref="BB155">_xlfn.IFS(AND($K155&gt;BA$7,$L155&gt;BA$7),0,AND($K155&lt;=BA$7,$L155&lt;=BA$7),1,AND($K155&lt;=BA$7,$L155&gt;BA$7),((BA$7-$K155)/($L155-$K155)))</f>
        <v>#REF!</v>
      </c>
      <c r="BC155" s="201" t="e">
        <f t="array" ref="BC155">_xlfn.IFS(AND($K155&gt;BB$7,$L155&gt;BB$7),0,AND($K155&lt;=BB$7,$L155&lt;=BB$7),1,AND($K155&lt;=BB$7,$L155&gt;BB$7),((BB$7-$K155)/($L155-$K155)))</f>
        <v>#REF!</v>
      </c>
      <c r="BD155" s="201" t="e">
        <f t="array" ref="BD155">_xlfn.IFS(AND($K155&gt;BC$7,$L155&gt;BC$7),0,AND($K155&lt;=BC$7,$L155&lt;=BC$7),1,AND($K155&lt;=BC$7,$L155&gt;BC$7),((BC$7-$K155)/($L155-$K155)))</f>
        <v>#REF!</v>
      </c>
      <c r="BE155" s="201" t="e">
        <f t="array" ref="BE155">_xlfn.IFS(AND($K155&gt;BD$7,$L155&gt;BD$7),0,AND($K155&lt;=BD$7,$L155&lt;=BD$7),1,AND($K155&lt;=BD$7,$L155&gt;BD$7),((BD$7-$K155)/($L155-$K155)))</f>
        <v>#REF!</v>
      </c>
      <c r="BF155" s="201" t="e">
        <f t="array" ref="BF155">_xlfn.IFS(AND($K155&gt;BE$7,$L155&gt;BE$7),0,AND($K155&lt;=BE$7,$L155&lt;=BE$7),1,AND($K155&lt;=BE$7,$L155&gt;BE$7),((BE$7-$K155)/($L155-$K155)))</f>
        <v>#REF!</v>
      </c>
      <c r="BG155" s="201" t="e">
        <f t="array" ref="BG155">_xlfn.IFS(AND($K155&gt;BF$7,$L155&gt;BF$7),0,AND($K155&lt;=BF$7,$L155&lt;=BF$7),1,AND($K155&lt;=BF$7,$L155&gt;BF$7),((BF$7-$K155)/($L155-$K155)))</f>
        <v>#REF!</v>
      </c>
      <c r="BH155" s="201" t="e">
        <f t="array" ref="BH155">_xlfn.IFS(AND($K155&gt;BG$7,$L155&gt;BG$7),0,AND($K155&lt;=BG$7,$L155&lt;=BG$7),1,AND($K155&lt;=BG$7,$L155&gt;BG$7),((BG$7-$K155)/($L155-$K155)))</f>
        <v>#REF!</v>
      </c>
      <c r="BI155" s="201" t="e">
        <f t="array" ref="BI155">_xlfn.IFS(AND($K155&gt;BH$7,$L155&gt;BH$7),0,AND($K155&lt;=BH$7,$L155&lt;=BH$7),1,AND($K155&lt;=BH$7,$L155&gt;BH$7),((BH$7-$K155)/($L155-$K155)))</f>
        <v>#REF!</v>
      </c>
      <c r="BJ155" s="201" t="e">
        <f t="array" ref="BJ155">_xlfn.IFS(AND($K155&gt;BI$7,$L155&gt;BI$7),0,AND($K155&lt;=BI$7,$L155&lt;=BI$7),1,AND($K155&lt;=BI$7,$L155&gt;BI$7),((BI$7-$K155)/($L155-$K155)))</f>
        <v>#REF!</v>
      </c>
      <c r="BK155" s="201" t="e">
        <f t="array" ref="BK155">_xlfn.IFS(AND($K155&gt;BJ$7,$L155&gt;BJ$7),0,AND($K155&lt;=BJ$7,$L155&lt;=BJ$7),1,AND($K155&lt;=BJ$7,$L155&gt;BJ$7),((BJ$7-$K155)/($L155-$K155)))</f>
        <v>#REF!</v>
      </c>
      <c r="BL155" s="201" t="e">
        <f t="array" ref="BL155">_xlfn.IFS(AND($K155&gt;BK$7,$L155&gt;BK$7),0,AND($K155&lt;=BK$7,$L155&lt;=BK$7),1,AND($K155&lt;=BK$7,$L155&gt;BK$7),((BK$7-$K155)/($L155-$K155)))</f>
        <v>#REF!</v>
      </c>
      <c r="BM155" s="201" t="e">
        <f t="array" ref="BM155">_xlfn.IFS(AND($K155&gt;BL$7,$L155&gt;BL$7),0,AND($K155&lt;=BL$7,$L155&lt;=BL$7),1,AND($K155&lt;=BL$7,$L155&gt;BL$7),((BL$7-$K155)/($L155-$K155)))</f>
        <v>#REF!</v>
      </c>
      <c r="BN155" s="201" t="e">
        <f t="array" ref="BN155">_xlfn.IFS(AND($K155&gt;BM$7,$L155&gt;BM$7),0,AND($K155&lt;=BM$7,$L155&lt;=BM$7),1,AND($K155&lt;=BM$7,$L155&gt;BM$7),((BM$7-$K155)/($L155-$K155)))</f>
        <v>#REF!</v>
      </c>
    </row>
    <row r="156" spans="2:66" x14ac:dyDescent="0.3">
      <c r="B156" s="166" t="str">
        <f t="array" ref="B156">_xlfn.IFS(LEN(Tab.baseline[[#This Row],[EAP]])=1,"Nível 1",LEN(Tab.baseline[[#This Row],[EAP]])=3,"Nível 2",LEN(Tab.baseline[[#This Row],[EAP]])=5,"Nível 3",LEN(Tab.baseline[[#This Row],[EAP]])=7,"Nível 4",LEN(Tab.baseline[[#This Row],[EAP]])=9,"Nível 5",LEN(Tab.baseline[[#This Row],[EAP]])=11,"Nível 6",LEN(Tab.baseline[[#This Row],[EAP]])=11,"Nível 7")</f>
        <v>Nível 5</v>
      </c>
      <c r="C156" s="166" t="s">
        <v>355</v>
      </c>
      <c r="D156" s="177" t="str">
        <f t="shared" si="53"/>
        <v>Arquitetura de projetos GERDAU</v>
      </c>
      <c r="E156" s="170" t="str">
        <f t="shared" si="56"/>
        <v>Dimensionamento de Headcount</v>
      </c>
      <c r="F156" s="174" t="str">
        <f>$H$153</f>
        <v>Nivelamento de Recursos e Proposta de Redimensionamento</v>
      </c>
      <c r="G156" s="166" t="str">
        <f>$H$154</f>
        <v>Nivelamento de Recursos e Proposta de Redimensionamento</v>
      </c>
      <c r="H156" s="197" t="s">
        <v>356</v>
      </c>
      <c r="I156" s="166">
        <v>46013</v>
      </c>
      <c r="J156" s="166">
        <v>46014</v>
      </c>
      <c r="K156" s="166">
        <v>46013</v>
      </c>
      <c r="L156" s="166">
        <v>46014</v>
      </c>
      <c r="M156" s="167"/>
      <c r="N156" s="167" t="str">
        <f t="array" ref="N156">_xlfn.IFS(L156&lt;$M$3,"Concluído",AND(K156&gt;=$M$3,I156&lt;$M$3,L156&gt;$M$3),"Em andamento",AND(L156&gt;=$M$3,J156&lt;$M$3),"Atrasado",AND(L156&gt;=$M$3,J156&gt;=$M$3,I156&gt;$M$3,K156&lt;=$M$3),"Em andamento",AND(L156&gt;=$M$3,J156&gt;=$M$3,I156&lt;=$M$3,K156&lt;=$M$3),"Em andamento",AND(K156&gt;$M$3,I156&gt;$M$3),"Não iniciado",AND(L156&gt;=$M$3,J156&gt;=$M$3,K156&gt;=$M$3,I156&lt;$M$3),"Atrasado",AND(L156&gt;=$M$3,J156&gt;=$M$3,K156&gt;=$M$3,I156&gt;$M$3),"Não iniciado",AND($I156&lt;=$M$3,$K156&gt;$M$3),"Atrasado")</f>
        <v>Concluído</v>
      </c>
      <c r="O156" s="167">
        <f t="array" ref="O156">_xlfn.IFS(N156="Não iniciado",0,N156="Em andamento",1,N156="Concluído",2,N156="Atrasado",3)</f>
        <v>2</v>
      </c>
      <c r="P156" s="168"/>
      <c r="Q156" s="152">
        <f t="array" aca="1" ref="Q156" ca="1">_xlfn.IFS(AND($I156&lt;$N$3,$J156&lt;$N$3),1,AND($I156&lt;=$N$3,$J156&gt;=$N$3),0.5,AND($I156&gt;=$N$3,$J156&gt;=$N$3),0)</f>
        <v>1</v>
      </c>
      <c r="R156" s="152">
        <f t="array" aca="1" ref="R156" ca="1">_xlfn.IFS(AND($K156&lt;$N$3,$L156&lt;$N$3),1,AND($K156&lt;=$N$3,$L156&gt;=$N$3),0.5,AND($K156&gt;=$N$3,$L156&gt;=$N$3),0)</f>
        <v>1</v>
      </c>
      <c r="S156" s="201" t="e">
        <f t="array" ref="S156">_xlfn.IFS(AND($K156&gt;R$7,$L156&gt;R$7),0,AND($K156&lt;=R$7,$L156&lt;=R$7),1,AND($K156&lt;=R$7,$L156&gt;R$7),((R$7-$K156)/($L156-$K156)))</f>
        <v>#REF!</v>
      </c>
      <c r="T156" s="201" t="e">
        <f t="array" ref="T156">_xlfn.IFS(AND($K156&gt;S$7,$L156&gt;S$7),0,AND($K156&lt;=S$7,$L156&lt;=S$7),1,AND($K156&lt;=S$7,$L156&gt;S$7),((S$7-$K156)/($L156-$K156)))</f>
        <v>#REF!</v>
      </c>
      <c r="U156" s="201" t="e">
        <f t="array" ref="U156">_xlfn.IFS(AND($K156&gt;T$7,$L156&gt;T$7),0,AND($K156&lt;=T$7,$L156&lt;=T$7),1,AND($K156&lt;=T$7,$L156&gt;T$7),((T$7-$K156)/($L156-$K156)))</f>
        <v>#REF!</v>
      </c>
      <c r="V156" s="201" t="e">
        <f t="array" ref="V156">_xlfn.IFS(AND($K156&gt;U$7,$L156&gt;U$7),0,AND($K156&lt;=U$7,$L156&lt;=U$7),1,AND($K156&lt;=U$7,$L156&gt;U$7),((U$7-$K156)/($L156-$K156)))</f>
        <v>#REF!</v>
      </c>
      <c r="W156" s="201" t="e">
        <f t="array" ref="W156">_xlfn.IFS(AND($K156&gt;V$7,$L156&gt;V$7),0,AND($K156&lt;=V$7,$L156&lt;=V$7),1,AND($K156&lt;=V$7,$L156&gt;V$7),((V$7-$K156)/($L156-$K156)))</f>
        <v>#REF!</v>
      </c>
      <c r="X156" s="201" t="e">
        <f t="array" ref="X156">_xlfn.IFS(AND($K156&gt;W$7,$L156&gt;W$7),0,AND($K156&lt;=W$7,$L156&lt;=W$7),1,AND($K156&lt;=W$7,$L156&gt;W$7),((W$7-$K156)/($L156-$K156)))</f>
        <v>#REF!</v>
      </c>
      <c r="Y156" s="201" t="e">
        <f t="array" ref="Y156">_xlfn.IFS(AND($K156&gt;X$7,$L156&gt;X$7),0,AND($K156&lt;=X$7,$L156&lt;=X$7),1,AND($K156&lt;=X$7,$L156&gt;X$7),((X$7-$K156)/($L156-$K156)))</f>
        <v>#REF!</v>
      </c>
      <c r="Z156" s="201" t="e">
        <f t="array" ref="Z156">_xlfn.IFS(AND($K156&gt;Y$7,$L156&gt;Y$7),0,AND($K156&lt;=Y$7,$L156&lt;=Y$7),1,AND($K156&lt;=Y$7,$L156&gt;Y$7),((Y$7-$K156)/($L156-$K156)))</f>
        <v>#REF!</v>
      </c>
      <c r="AA156" s="201" t="e">
        <f t="array" ref="AA156">_xlfn.IFS(AND($K156&gt;Z$7,$L156&gt;Z$7),0,AND($K156&lt;=Z$7,$L156&lt;=Z$7),1,AND($K156&lt;=Z$7,$L156&gt;Z$7),((Z$7-$K156)/($L156-$K156)))</f>
        <v>#REF!</v>
      </c>
      <c r="AB156" s="201" t="e">
        <f t="array" ref="AB156">_xlfn.IFS(AND($K156&gt;AA$7,$L156&gt;AA$7),0,AND($K156&lt;=AA$7,$L156&lt;=AA$7),1,AND($K156&lt;=AA$7,$L156&gt;AA$7),((AA$7-$K156)/($L156-$K156)))</f>
        <v>#REF!</v>
      </c>
      <c r="AC156" s="201" t="e">
        <f t="array" ref="AC156">_xlfn.IFS(AND($K156&gt;AB$7,$L156&gt;AB$7),0,AND($K156&lt;=AB$7,$L156&lt;=AB$7),1,AND($K156&lt;=AB$7,$L156&gt;AB$7),((AB$7-$K156)/($L156-$K156)))</f>
        <v>#REF!</v>
      </c>
      <c r="AD156" s="201" t="e">
        <f t="array" ref="AD156">_xlfn.IFS(AND($K156&gt;AC$7,$L156&gt;AC$7),0,AND($K156&lt;=AC$7,$L156&lt;=AC$7),1,AND($K156&lt;=AC$7,$L156&gt;AC$7),((AC$7-$K156)/($L156-$K156)))</f>
        <v>#REF!</v>
      </c>
      <c r="AE156" s="201" t="e">
        <f t="array" ref="AE156">_xlfn.IFS(AND($K156&gt;AD$7,$L156&gt;AD$7),0,AND($K156&lt;=AD$7,$L156&lt;=AD$7),1,AND($K156&lt;=AD$7,$L156&gt;AD$7),((AD$7-$K156)/($L156-$K156)))</f>
        <v>#REF!</v>
      </c>
      <c r="AF156" s="201" t="e">
        <f t="array" ref="AF156">_xlfn.IFS(AND($K156&gt;AE$7,$L156&gt;AE$7),0,AND($K156&lt;=AE$7,$L156&lt;=AE$7),1,AND($K156&lt;=AE$7,$L156&gt;AE$7),((AE$7-$K156)/($L156-$K156)))</f>
        <v>#REF!</v>
      </c>
      <c r="AG156" s="201" t="e">
        <f t="array" ref="AG156">_xlfn.IFS(AND($K156&gt;AF$7,$L156&gt;AF$7),0,AND($K156&lt;=AF$7,$L156&lt;=AF$7),1,AND($K156&lt;=AF$7,$L156&gt;AF$7),((AF$7-$K156)/($L156-$K156)))</f>
        <v>#REF!</v>
      </c>
      <c r="AH156" s="201" t="e">
        <f t="array" ref="AH156">_xlfn.IFS(AND($K156&gt;AG$7,$L156&gt;AG$7),0,AND($K156&lt;=AG$7,$L156&lt;=AG$7),1,AND($K156&lt;=AG$7,$L156&gt;AG$7),((AG$7-$K156)/($L156-$K156)))</f>
        <v>#REF!</v>
      </c>
      <c r="AI156" s="201" t="e">
        <f t="array" ref="AI156">_xlfn.IFS(AND($K156&gt;AH$7,$L156&gt;AH$7),0,AND($K156&lt;=AH$7,$L156&lt;=AH$7),1,AND($K156&lt;=AH$7,$L156&gt;AH$7),((AH$7-$K156)/($L156-$K156)))</f>
        <v>#REF!</v>
      </c>
      <c r="AJ156" s="201" t="e">
        <f t="array" ref="AJ156">_xlfn.IFS(AND($K156&gt;AI$7,$L156&gt;AI$7),0,AND($K156&lt;=AI$7,$L156&lt;=AI$7),1,AND($K156&lt;=AI$7,$L156&gt;AI$7),((AI$7-$K156)/($L156-$K156)))</f>
        <v>#REF!</v>
      </c>
      <c r="AK156" s="201" t="e">
        <f t="array" ref="AK156">_xlfn.IFS(AND($K156&gt;AJ$7,$L156&gt;AJ$7),0,AND($K156&lt;=AJ$7,$L156&lt;=AJ$7),1,AND($K156&lt;=AJ$7,$L156&gt;AJ$7),((AJ$7-$K156)/($L156-$K156)))</f>
        <v>#REF!</v>
      </c>
      <c r="AL156" s="201" t="e">
        <f t="array" ref="AL156">_xlfn.IFS(AND($K156&gt;AK$7,$L156&gt;AK$7),0,AND($K156&lt;=AK$7,$L156&lt;=AK$7),1,AND($K156&lt;=AK$7,$L156&gt;AK$7),((AK$7-$K156)/($L156-$K156)))</f>
        <v>#REF!</v>
      </c>
      <c r="AM156" s="201" t="e">
        <f t="array" ref="AM156">_xlfn.IFS(AND($K156&gt;AL$7,$L156&gt;AL$7),0,AND($K156&lt;=AL$7,$L156&lt;=AL$7),1,AND($K156&lt;=AL$7,$L156&gt;AL$7),((AL$7-$K156)/($L156-$K156)))</f>
        <v>#REF!</v>
      </c>
      <c r="AN156" s="201" t="e">
        <f t="array" ref="AN156">_xlfn.IFS(AND($K156&gt;AM$7,$L156&gt;AM$7),0,AND($K156&lt;=AM$7,$L156&lt;=AM$7),1,AND($K156&lt;=AM$7,$L156&gt;AM$7),((AM$7-$K156)/($L156-$K156)))</f>
        <v>#REF!</v>
      </c>
      <c r="AO156" s="201" t="e">
        <f t="array" ref="AO156">_xlfn.IFS(AND($K156&gt;AN$7,$L156&gt;AN$7),0,AND($K156&lt;=AN$7,$L156&lt;=AN$7),1,AND($K156&lt;=AN$7,$L156&gt;AN$7),((AN$7-$K156)/($L156-$K156)))</f>
        <v>#REF!</v>
      </c>
      <c r="AP156" s="201" t="e">
        <f t="array" ref="AP156">_xlfn.IFS(AND($K156&gt;AO$7,$L156&gt;AO$7),0,AND($K156&lt;=AO$7,$L156&lt;=AO$7),1,AND($K156&lt;=AO$7,$L156&gt;AO$7),((AO$7-$K156)/($L156-$K156)))</f>
        <v>#REF!</v>
      </c>
      <c r="AQ156" s="201" t="e">
        <f t="array" ref="AQ156">_xlfn.IFS(AND($K156&gt;AP$7,$L156&gt;AP$7),0,AND($K156&lt;=AP$7,$L156&lt;=AP$7),1,AND($K156&lt;=AP$7,$L156&gt;AP$7),((AP$7-$K156)/($L156-$K156)))</f>
        <v>#REF!</v>
      </c>
      <c r="AR156" s="201" t="e">
        <f t="array" ref="AR156">_xlfn.IFS(AND($K156&gt;AQ$7,$L156&gt;AQ$7),0,AND($K156&lt;=AQ$7,$L156&lt;=AQ$7),1,AND($K156&lt;=AQ$7,$L156&gt;AQ$7),((AQ$7-$K156)/($L156-$K156)))</f>
        <v>#REF!</v>
      </c>
      <c r="AS156" s="201" t="e">
        <f t="array" ref="AS156">_xlfn.IFS(AND($K156&gt;AR$7,$L156&gt;AR$7),0,AND($K156&lt;=AR$7,$L156&lt;=AR$7),1,AND($K156&lt;=AR$7,$L156&gt;AR$7),((AR$7-$K156)/($L156-$K156)))</f>
        <v>#REF!</v>
      </c>
      <c r="AT156" s="201" t="e">
        <f t="array" ref="AT156">_xlfn.IFS(AND($K156&gt;AS$7,$L156&gt;AS$7),0,AND($K156&lt;=AS$7,$L156&lt;=AS$7),1,AND($K156&lt;=AS$7,$L156&gt;AS$7),((AS$7-$K156)/($L156-$K156)))</f>
        <v>#REF!</v>
      </c>
      <c r="AU156" s="201" t="e">
        <f t="array" ref="AU156">_xlfn.IFS(AND($K156&gt;AT$7,$L156&gt;AT$7),0,AND($K156&lt;=AT$7,$L156&lt;=AT$7),1,AND($K156&lt;=AT$7,$L156&gt;AT$7),((AT$7-$K156)/($L156-$K156)))</f>
        <v>#REF!</v>
      </c>
      <c r="AV156" s="201" t="e">
        <f t="array" ref="AV156">_xlfn.IFS(AND($K156&gt;AU$7,$L156&gt;AU$7),0,AND($K156&lt;=AU$7,$L156&lt;=AU$7),1,AND($K156&lt;=AU$7,$L156&gt;AU$7),((AU$7-$K156)/($L156-$K156)))</f>
        <v>#REF!</v>
      </c>
      <c r="AW156" s="201" t="e">
        <f t="array" ref="AW156">_xlfn.IFS(AND($K156&gt;AV$7,$L156&gt;AV$7),0,AND($K156&lt;=AV$7,$L156&lt;=AV$7),1,AND($K156&lt;=AV$7,$L156&gt;AV$7),((AV$7-$K156)/($L156-$K156)))</f>
        <v>#REF!</v>
      </c>
      <c r="AX156" s="201" t="e">
        <f t="array" ref="AX156">_xlfn.IFS(AND($K156&gt;AW$7,$L156&gt;AW$7),0,AND($K156&lt;=AW$7,$L156&lt;=AW$7),1,AND($K156&lt;=AW$7,$L156&gt;AW$7),((AW$7-$K156)/($L156-$K156)))</f>
        <v>#REF!</v>
      </c>
      <c r="AY156" s="201" t="e">
        <f t="array" ref="AY156">_xlfn.IFS(AND($K156&gt;AX$7,$L156&gt;AX$7),0,AND($K156&lt;=AX$7,$L156&lt;=AX$7),1,AND($K156&lt;=AX$7,$L156&gt;AX$7),((AX$7-$K156)/($L156-$K156)))</f>
        <v>#REF!</v>
      </c>
      <c r="AZ156" s="201" t="e">
        <f t="array" ref="AZ156">_xlfn.IFS(AND($K156&gt;AY$7,$L156&gt;AY$7),0,AND($K156&lt;=AY$7,$L156&lt;=AY$7),1,AND($K156&lt;=AY$7,$L156&gt;AY$7),((AY$7-$K156)/($L156-$K156)))</f>
        <v>#REF!</v>
      </c>
      <c r="BA156" s="201" t="e">
        <f t="array" ref="BA156">_xlfn.IFS(AND($K156&gt;AZ$7,$L156&gt;AZ$7),0,AND($K156&lt;=AZ$7,$L156&lt;=AZ$7),1,AND($K156&lt;=AZ$7,$L156&gt;AZ$7),((AZ$7-$K156)/($L156-$K156)))</f>
        <v>#REF!</v>
      </c>
      <c r="BB156" s="201" t="e">
        <f t="array" ref="BB156">_xlfn.IFS(AND($K156&gt;BA$7,$L156&gt;BA$7),0,AND($K156&lt;=BA$7,$L156&lt;=BA$7),1,AND($K156&lt;=BA$7,$L156&gt;BA$7),((BA$7-$K156)/($L156-$K156)))</f>
        <v>#REF!</v>
      </c>
      <c r="BC156" s="201" t="e">
        <f t="array" ref="BC156">_xlfn.IFS(AND($K156&gt;BB$7,$L156&gt;BB$7),0,AND($K156&lt;=BB$7,$L156&lt;=BB$7),1,AND($K156&lt;=BB$7,$L156&gt;BB$7),((BB$7-$K156)/($L156-$K156)))</f>
        <v>#REF!</v>
      </c>
      <c r="BD156" s="201" t="e">
        <f t="array" ref="BD156">_xlfn.IFS(AND($K156&gt;BC$7,$L156&gt;BC$7),0,AND($K156&lt;=BC$7,$L156&lt;=BC$7),1,AND($K156&lt;=BC$7,$L156&gt;BC$7),((BC$7-$K156)/($L156-$K156)))</f>
        <v>#REF!</v>
      </c>
      <c r="BE156" s="201" t="e">
        <f t="array" ref="BE156">_xlfn.IFS(AND($K156&gt;BD$7,$L156&gt;BD$7),0,AND($K156&lt;=BD$7,$L156&lt;=BD$7),1,AND($K156&lt;=BD$7,$L156&gt;BD$7),((BD$7-$K156)/($L156-$K156)))</f>
        <v>#REF!</v>
      </c>
      <c r="BF156" s="201" t="e">
        <f t="array" ref="BF156">_xlfn.IFS(AND($K156&gt;BE$7,$L156&gt;BE$7),0,AND($K156&lt;=BE$7,$L156&lt;=BE$7),1,AND($K156&lt;=BE$7,$L156&gt;BE$7),((BE$7-$K156)/($L156-$K156)))</f>
        <v>#REF!</v>
      </c>
      <c r="BG156" s="201" t="e">
        <f t="array" ref="BG156">_xlfn.IFS(AND($K156&gt;BF$7,$L156&gt;BF$7),0,AND($K156&lt;=BF$7,$L156&lt;=BF$7),1,AND($K156&lt;=BF$7,$L156&gt;BF$7),((BF$7-$K156)/($L156-$K156)))</f>
        <v>#REF!</v>
      </c>
      <c r="BH156" s="201" t="e">
        <f t="array" ref="BH156">_xlfn.IFS(AND($K156&gt;BG$7,$L156&gt;BG$7),0,AND($K156&lt;=BG$7,$L156&lt;=BG$7),1,AND($K156&lt;=BG$7,$L156&gt;BG$7),((BG$7-$K156)/($L156-$K156)))</f>
        <v>#REF!</v>
      </c>
      <c r="BI156" s="201" t="e">
        <f t="array" ref="BI156">_xlfn.IFS(AND($K156&gt;BH$7,$L156&gt;BH$7),0,AND($K156&lt;=BH$7,$L156&lt;=BH$7),1,AND($K156&lt;=BH$7,$L156&gt;BH$7),((BH$7-$K156)/($L156-$K156)))</f>
        <v>#REF!</v>
      </c>
      <c r="BJ156" s="201" t="e">
        <f t="array" ref="BJ156">_xlfn.IFS(AND($K156&gt;BI$7,$L156&gt;BI$7),0,AND($K156&lt;=BI$7,$L156&lt;=BI$7),1,AND($K156&lt;=BI$7,$L156&gt;BI$7),((BI$7-$K156)/($L156-$K156)))</f>
        <v>#REF!</v>
      </c>
      <c r="BK156" s="201" t="e">
        <f t="array" ref="BK156">_xlfn.IFS(AND($K156&gt;BJ$7,$L156&gt;BJ$7),0,AND($K156&lt;=BJ$7,$L156&lt;=BJ$7),1,AND($K156&lt;=BJ$7,$L156&gt;BJ$7),((BJ$7-$K156)/($L156-$K156)))</f>
        <v>#REF!</v>
      </c>
      <c r="BL156" s="201" t="e">
        <f t="array" ref="BL156">_xlfn.IFS(AND($K156&gt;BK$7,$L156&gt;BK$7),0,AND($K156&lt;=BK$7,$L156&lt;=BK$7),1,AND($K156&lt;=BK$7,$L156&gt;BK$7),((BK$7-$K156)/($L156-$K156)))</f>
        <v>#REF!</v>
      </c>
      <c r="BM156" s="201" t="e">
        <f t="array" ref="BM156">_xlfn.IFS(AND($K156&gt;BL$7,$L156&gt;BL$7),0,AND($K156&lt;=BL$7,$L156&lt;=BL$7),1,AND($K156&lt;=BL$7,$L156&gt;BL$7),((BL$7-$K156)/($L156-$K156)))</f>
        <v>#REF!</v>
      </c>
      <c r="BN156" s="201" t="e">
        <f t="array" ref="BN156">_xlfn.IFS(AND($K156&gt;BM$7,$L156&gt;BM$7),0,AND($K156&lt;=BM$7,$L156&lt;=BM$7),1,AND($K156&lt;=BM$7,$L156&gt;BM$7),((BM$7-$K156)/($L156-$K156)))</f>
        <v>#REF!</v>
      </c>
    </row>
    <row r="157" spans="2:66" x14ac:dyDescent="0.3">
      <c r="H157" s="199"/>
      <c r="I157" s="111"/>
      <c r="J157" s="111"/>
      <c r="K157" s="111"/>
      <c r="L157" s="111"/>
      <c r="M157" s="6"/>
      <c r="N157" s="138"/>
      <c r="O157" s="138"/>
      <c r="P157" s="9"/>
      <c r="Q157" s="9"/>
      <c r="R157" s="153"/>
    </row>
    <row r="158" spans="2:66" x14ac:dyDescent="0.3">
      <c r="H158" s="199"/>
      <c r="I158" s="111"/>
      <c r="J158" s="111"/>
      <c r="K158" s="111"/>
      <c r="L158" s="111"/>
      <c r="M158" s="6"/>
      <c r="N158" s="138"/>
      <c r="O158" s="138"/>
      <c r="P158" s="9"/>
      <c r="Q158" s="9"/>
      <c r="R158" s="153"/>
    </row>
    <row r="159" spans="2:66" x14ac:dyDescent="0.3">
      <c r="H159" s="199"/>
      <c r="I159" s="111"/>
      <c r="J159" s="111"/>
      <c r="K159" s="111"/>
      <c r="L159" s="111"/>
      <c r="M159" s="6"/>
      <c r="N159" s="138"/>
      <c r="O159" s="138"/>
      <c r="P159" s="9"/>
      <c r="Q159" s="9"/>
      <c r="R159" s="153"/>
    </row>
    <row r="160" spans="2:66" x14ac:dyDescent="0.3">
      <c r="H160" s="199"/>
      <c r="I160" s="111"/>
      <c r="J160" s="111"/>
      <c r="K160" s="111"/>
      <c r="L160" s="111"/>
      <c r="M160" s="6"/>
      <c r="N160" s="138"/>
      <c r="O160" s="138"/>
      <c r="P160" s="9"/>
      <c r="Q160" s="9"/>
      <c r="R160" s="153"/>
    </row>
    <row r="161" spans="8:18" x14ac:dyDescent="0.3">
      <c r="H161" s="199"/>
      <c r="I161" s="111"/>
      <c r="J161" s="111"/>
      <c r="K161" s="111"/>
      <c r="L161" s="111"/>
      <c r="M161" s="6"/>
      <c r="N161" s="138"/>
      <c r="O161" s="138"/>
      <c r="P161" s="9"/>
      <c r="Q161" s="9"/>
      <c r="R161" s="153"/>
    </row>
    <row r="162" spans="8:18" x14ac:dyDescent="0.3">
      <c r="H162" s="199"/>
      <c r="I162" s="111"/>
      <c r="J162" s="111"/>
      <c r="K162" s="111"/>
      <c r="L162" s="111"/>
      <c r="M162" s="6"/>
      <c r="N162" s="138"/>
      <c r="O162" s="138"/>
      <c r="P162" s="9"/>
      <c r="Q162" s="9"/>
      <c r="R162" s="153"/>
    </row>
    <row r="163" spans="8:18" x14ac:dyDescent="0.3">
      <c r="H163" s="199"/>
      <c r="I163" s="111"/>
      <c r="J163" s="111"/>
      <c r="K163" s="111"/>
      <c r="L163" s="111"/>
      <c r="M163" s="6"/>
      <c r="N163" s="138"/>
      <c r="O163" s="138"/>
      <c r="P163" s="9"/>
      <c r="Q163" s="9"/>
      <c r="R163" s="153"/>
    </row>
    <row r="164" spans="8:18" x14ac:dyDescent="0.3">
      <c r="H164" s="199"/>
      <c r="I164" s="111"/>
      <c r="J164" s="111"/>
      <c r="K164" s="111"/>
      <c r="L164" s="111"/>
      <c r="M164" s="6"/>
      <c r="N164" s="138"/>
      <c r="O164" s="138"/>
      <c r="P164" s="9"/>
      <c r="Q164" s="9"/>
      <c r="R164" s="153"/>
    </row>
    <row r="165" spans="8:18" x14ac:dyDescent="0.3">
      <c r="H165" s="199"/>
      <c r="I165" s="111"/>
      <c r="J165" s="111"/>
      <c r="K165" s="111"/>
      <c r="L165" s="111"/>
      <c r="M165" s="6"/>
      <c r="N165" s="138"/>
      <c r="O165" s="138"/>
      <c r="P165" s="9"/>
      <c r="Q165" s="9"/>
      <c r="R165" s="153"/>
    </row>
    <row r="166" spans="8:18" x14ac:dyDescent="0.3">
      <c r="H166" s="199"/>
      <c r="I166" s="111"/>
      <c r="J166" s="111"/>
      <c r="K166" s="111"/>
      <c r="L166" s="111"/>
      <c r="M166" s="6"/>
      <c r="N166" s="138"/>
      <c r="O166" s="138"/>
      <c r="P166" s="9"/>
      <c r="Q166" s="9"/>
      <c r="R166" s="153"/>
    </row>
    <row r="167" spans="8:18" x14ac:dyDescent="0.3">
      <c r="H167" s="199"/>
      <c r="I167" s="111"/>
      <c r="J167" s="111"/>
      <c r="K167" s="111"/>
      <c r="L167" s="111"/>
      <c r="M167" s="6"/>
      <c r="N167" s="138"/>
      <c r="O167" s="138"/>
      <c r="P167" s="9"/>
      <c r="Q167" s="9"/>
      <c r="R167" s="153"/>
    </row>
    <row r="168" spans="8:18" x14ac:dyDescent="0.3">
      <c r="H168" s="199"/>
      <c r="I168" s="111"/>
      <c r="J168" s="111"/>
      <c r="K168" s="111"/>
      <c r="L168" s="111"/>
      <c r="M168" s="6"/>
      <c r="N168" s="138"/>
      <c r="O168" s="138"/>
      <c r="P168" s="9"/>
      <c r="Q168" s="9"/>
      <c r="R168" s="153"/>
    </row>
    <row r="169" spans="8:18" x14ac:dyDescent="0.3">
      <c r="H169" s="199"/>
      <c r="I169" s="111"/>
      <c r="J169" s="111"/>
      <c r="K169" s="111"/>
      <c r="L169" s="111"/>
      <c r="M169" s="6"/>
      <c r="N169" s="138"/>
      <c r="O169" s="138"/>
      <c r="P169" s="9"/>
      <c r="Q169" s="9"/>
      <c r="R169" s="153"/>
    </row>
    <row r="170" spans="8:18" x14ac:dyDescent="0.3">
      <c r="H170" s="199"/>
      <c r="I170" s="111"/>
      <c r="J170" s="111"/>
      <c r="K170" s="111"/>
      <c r="L170" s="111"/>
      <c r="M170" s="6"/>
      <c r="N170" s="138"/>
      <c r="O170" s="138"/>
      <c r="P170" s="9"/>
      <c r="Q170" s="9"/>
      <c r="R170" s="153"/>
    </row>
    <row r="171" spans="8:18" x14ac:dyDescent="0.3">
      <c r="H171" s="199"/>
      <c r="I171" s="111"/>
      <c r="J171" s="111"/>
      <c r="K171" s="111"/>
      <c r="L171" s="111"/>
      <c r="M171" s="6"/>
      <c r="N171" s="138"/>
      <c r="O171" s="138"/>
      <c r="P171" s="9"/>
      <c r="Q171" s="9"/>
      <c r="R171" s="153"/>
    </row>
    <row r="172" spans="8:18" x14ac:dyDescent="0.3">
      <c r="H172" s="199"/>
      <c r="I172" s="111"/>
      <c r="J172" s="111"/>
      <c r="K172" s="111"/>
      <c r="L172" s="111"/>
      <c r="M172" s="6"/>
      <c r="N172" s="138"/>
      <c r="O172" s="138"/>
      <c r="P172" s="9"/>
      <c r="Q172" s="9"/>
      <c r="R172" s="153"/>
    </row>
    <row r="173" spans="8:18" x14ac:dyDescent="0.3">
      <c r="H173" s="199"/>
      <c r="I173" s="111"/>
      <c r="J173" s="111"/>
      <c r="K173" s="111"/>
      <c r="L173" s="111"/>
      <c r="M173" s="6"/>
      <c r="N173" s="138"/>
      <c r="O173" s="138"/>
      <c r="P173" s="9"/>
      <c r="Q173" s="9"/>
      <c r="R173" s="153"/>
    </row>
    <row r="174" spans="8:18" x14ac:dyDescent="0.3">
      <c r="H174" s="199"/>
      <c r="I174" s="111"/>
      <c r="J174" s="111"/>
      <c r="K174" s="111"/>
      <c r="L174" s="111"/>
      <c r="M174" s="6"/>
      <c r="N174" s="138"/>
      <c r="O174" s="138"/>
      <c r="P174" s="9"/>
      <c r="Q174" s="9"/>
      <c r="R174" s="153"/>
    </row>
    <row r="175" spans="8:18" x14ac:dyDescent="0.3">
      <c r="H175" s="199"/>
      <c r="I175" s="111"/>
      <c r="J175" s="111"/>
      <c r="K175" s="111"/>
      <c r="L175" s="111"/>
      <c r="M175" s="6"/>
      <c r="N175" s="138"/>
      <c r="O175" s="138"/>
      <c r="P175" s="9"/>
      <c r="Q175" s="9"/>
      <c r="R175" s="153"/>
    </row>
    <row r="176" spans="8:18" x14ac:dyDescent="0.3">
      <c r="H176" s="199"/>
      <c r="I176" s="111"/>
      <c r="J176" s="111"/>
      <c r="K176" s="111"/>
      <c r="L176" s="111"/>
      <c r="M176" s="6"/>
      <c r="N176" s="138"/>
      <c r="O176" s="138"/>
      <c r="P176" s="9"/>
      <c r="Q176" s="9"/>
      <c r="R176" s="153"/>
    </row>
    <row r="177" spans="8:18" x14ac:dyDescent="0.3">
      <c r="H177" s="199"/>
      <c r="I177" s="111"/>
      <c r="J177" s="111"/>
      <c r="K177" s="111"/>
      <c r="L177" s="111"/>
      <c r="M177" s="6"/>
      <c r="N177" s="138"/>
      <c r="O177" s="138"/>
      <c r="P177" s="9"/>
      <c r="Q177" s="9"/>
      <c r="R177" s="153"/>
    </row>
    <row r="178" spans="8:18" x14ac:dyDescent="0.3">
      <c r="H178" s="199"/>
      <c r="I178" s="111"/>
      <c r="J178" s="111"/>
      <c r="K178" s="111"/>
      <c r="L178" s="111"/>
      <c r="M178" s="6"/>
      <c r="N178" s="138"/>
      <c r="O178" s="138"/>
      <c r="P178" s="9"/>
      <c r="Q178" s="9"/>
      <c r="R178" s="153"/>
    </row>
    <row r="179" spans="8:18" x14ac:dyDescent="0.3">
      <c r="H179" s="199"/>
      <c r="I179" s="111"/>
      <c r="J179" s="111"/>
      <c r="K179" s="111"/>
      <c r="L179" s="111"/>
      <c r="M179" s="6"/>
      <c r="N179" s="138"/>
      <c r="O179" s="138"/>
      <c r="P179" s="9"/>
      <c r="Q179" s="9"/>
      <c r="R179" s="153"/>
    </row>
    <row r="180" spans="8:18" x14ac:dyDescent="0.3">
      <c r="H180" s="199"/>
      <c r="I180" s="111"/>
      <c r="J180" s="111"/>
      <c r="K180" s="111"/>
      <c r="L180" s="111"/>
      <c r="M180" s="6"/>
      <c r="N180" s="138"/>
      <c r="O180" s="138"/>
      <c r="P180" s="9"/>
      <c r="Q180" s="9"/>
      <c r="R180" s="153"/>
    </row>
    <row r="181" spans="8:18" x14ac:dyDescent="0.3">
      <c r="H181" s="199"/>
      <c r="I181" s="111"/>
      <c r="J181" s="111"/>
      <c r="K181" s="111"/>
      <c r="L181" s="111"/>
      <c r="M181" s="6"/>
      <c r="N181" s="138"/>
      <c r="O181" s="138"/>
      <c r="P181" s="9"/>
      <c r="Q181" s="9"/>
      <c r="R181" s="153"/>
    </row>
    <row r="182" spans="8:18" x14ac:dyDescent="0.3">
      <c r="H182" s="199"/>
      <c r="I182" s="111"/>
      <c r="J182" s="111"/>
      <c r="K182" s="111"/>
      <c r="L182" s="111"/>
      <c r="M182" s="6"/>
      <c r="N182" s="138"/>
      <c r="O182" s="138"/>
      <c r="P182" s="9"/>
      <c r="Q182" s="9"/>
      <c r="R182" s="153"/>
    </row>
    <row r="183" spans="8:18" x14ac:dyDescent="0.3">
      <c r="H183" s="199"/>
      <c r="I183" s="111"/>
      <c r="J183" s="111"/>
      <c r="K183" s="111"/>
      <c r="L183" s="111"/>
      <c r="M183" s="6"/>
      <c r="N183" s="138"/>
      <c r="O183" s="138"/>
      <c r="P183" s="9"/>
      <c r="Q183" s="9"/>
      <c r="R183" s="153"/>
    </row>
    <row r="184" spans="8:18" x14ac:dyDescent="0.3">
      <c r="H184" s="199"/>
      <c r="I184" s="111"/>
      <c r="J184" s="111"/>
      <c r="K184" s="111"/>
      <c r="L184" s="111"/>
      <c r="M184" s="6"/>
      <c r="N184" s="138"/>
      <c r="O184" s="138"/>
      <c r="P184" s="9"/>
      <c r="Q184" s="9"/>
      <c r="R184" s="153"/>
    </row>
    <row r="185" spans="8:18" x14ac:dyDescent="0.3">
      <c r="H185" s="199"/>
      <c r="I185" s="111"/>
      <c r="J185" s="111"/>
      <c r="K185" s="111"/>
      <c r="L185" s="111"/>
      <c r="M185" s="6"/>
      <c r="N185" s="138"/>
      <c r="O185" s="138"/>
      <c r="P185" s="9"/>
      <c r="Q185" s="9"/>
      <c r="R185" s="153"/>
    </row>
    <row r="186" spans="8:18" x14ac:dyDescent="0.3">
      <c r="H186" s="199"/>
      <c r="I186" s="111"/>
      <c r="J186" s="111"/>
      <c r="K186" s="111"/>
      <c r="L186" s="111"/>
      <c r="M186" s="6"/>
      <c r="N186" s="138"/>
      <c r="O186" s="138"/>
      <c r="P186" s="9"/>
      <c r="Q186" s="9"/>
      <c r="R186" s="153"/>
    </row>
    <row r="187" spans="8:18" x14ac:dyDescent="0.3">
      <c r="H187" s="199"/>
      <c r="I187" s="111"/>
      <c r="J187" s="111"/>
      <c r="K187" s="111"/>
      <c r="L187" s="111"/>
      <c r="M187" s="6"/>
      <c r="N187" s="138"/>
      <c r="O187" s="138"/>
      <c r="P187" s="9"/>
      <c r="Q187" s="9"/>
      <c r="R187" s="153"/>
    </row>
    <row r="188" spans="8:18" x14ac:dyDescent="0.3">
      <c r="H188" s="199"/>
      <c r="I188" s="111"/>
      <c r="J188" s="111"/>
      <c r="K188" s="111"/>
      <c r="L188" s="111"/>
      <c r="M188" s="6"/>
      <c r="N188" s="138"/>
      <c r="O188" s="138"/>
      <c r="P188" s="9"/>
      <c r="Q188" s="9"/>
      <c r="R188" s="153"/>
    </row>
    <row r="189" spans="8:18" x14ac:dyDescent="0.3">
      <c r="H189" s="199"/>
      <c r="I189" s="111"/>
      <c r="J189" s="111"/>
      <c r="K189" s="111"/>
      <c r="L189" s="111"/>
      <c r="M189" s="6"/>
      <c r="N189" s="138"/>
      <c r="O189" s="138"/>
      <c r="P189" s="9"/>
      <c r="Q189" s="9"/>
      <c r="R189" s="153"/>
    </row>
    <row r="190" spans="8:18" x14ac:dyDescent="0.3">
      <c r="H190" s="199"/>
      <c r="I190" s="111"/>
      <c r="J190" s="111"/>
      <c r="K190" s="111"/>
      <c r="L190" s="111"/>
      <c r="M190" s="6"/>
      <c r="N190" s="138"/>
      <c r="O190" s="138"/>
      <c r="P190" s="9"/>
      <c r="Q190" s="9"/>
      <c r="R190" s="153"/>
    </row>
    <row r="191" spans="8:18" x14ac:dyDescent="0.3">
      <c r="H191" s="199"/>
      <c r="I191" s="111"/>
      <c r="J191" s="111"/>
      <c r="K191" s="111"/>
      <c r="L191" s="111"/>
      <c r="M191" s="6"/>
      <c r="N191" s="138"/>
      <c r="O191" s="138"/>
      <c r="P191" s="9"/>
      <c r="Q191" s="9"/>
      <c r="R191" s="153"/>
    </row>
    <row r="192" spans="8:18" x14ac:dyDescent="0.3">
      <c r="H192" s="199"/>
      <c r="I192" s="111"/>
      <c r="J192" s="111"/>
      <c r="K192" s="111"/>
      <c r="L192" s="111"/>
      <c r="M192" s="6"/>
      <c r="N192" s="138"/>
      <c r="O192" s="138"/>
      <c r="P192" s="9"/>
      <c r="Q192" s="9"/>
      <c r="R192" s="153"/>
    </row>
    <row r="193" spans="8:18" x14ac:dyDescent="0.3">
      <c r="H193" s="199"/>
      <c r="I193" s="111"/>
      <c r="J193" s="111"/>
      <c r="K193" s="111"/>
      <c r="L193" s="111"/>
      <c r="M193" s="6"/>
      <c r="N193" s="138"/>
      <c r="O193" s="138"/>
      <c r="P193" s="9"/>
      <c r="Q193" s="9"/>
      <c r="R193" s="153"/>
    </row>
    <row r="194" spans="8:18" x14ac:dyDescent="0.3">
      <c r="H194" s="199"/>
      <c r="I194" s="111"/>
      <c r="J194" s="111"/>
      <c r="K194" s="111"/>
      <c r="L194" s="111"/>
      <c r="M194" s="6"/>
      <c r="N194" s="138"/>
      <c r="O194" s="138"/>
      <c r="P194" s="9"/>
      <c r="Q194" s="9"/>
      <c r="R194" s="153"/>
    </row>
    <row r="195" spans="8:18" x14ac:dyDescent="0.3">
      <c r="H195" s="199"/>
      <c r="I195" s="111"/>
      <c r="J195" s="111"/>
      <c r="K195" s="111"/>
      <c r="L195" s="111"/>
      <c r="M195" s="6"/>
      <c r="N195" s="138"/>
      <c r="O195" s="138"/>
      <c r="P195" s="9"/>
      <c r="Q195" s="9"/>
      <c r="R195" s="153"/>
    </row>
    <row r="196" spans="8:18" x14ac:dyDescent="0.3">
      <c r="H196" s="199"/>
      <c r="I196" s="111"/>
      <c r="J196" s="111"/>
      <c r="K196" s="111"/>
      <c r="L196" s="111"/>
      <c r="M196" s="6"/>
      <c r="N196" s="138"/>
      <c r="O196" s="138"/>
      <c r="P196" s="9"/>
      <c r="Q196" s="9"/>
      <c r="R196" s="153"/>
    </row>
    <row r="197" spans="8:18" x14ac:dyDescent="0.3">
      <c r="H197" s="199"/>
      <c r="I197" s="111"/>
      <c r="J197" s="111"/>
      <c r="K197" s="111"/>
      <c r="L197" s="111"/>
      <c r="M197" s="6"/>
      <c r="N197" s="138"/>
      <c r="O197" s="138"/>
      <c r="P197" s="9"/>
      <c r="Q197" s="9"/>
      <c r="R197" s="153"/>
    </row>
    <row r="198" spans="8:18" x14ac:dyDescent="0.3">
      <c r="H198" s="199"/>
      <c r="I198" s="111"/>
      <c r="J198" s="111"/>
      <c r="K198" s="111"/>
      <c r="L198" s="111"/>
      <c r="M198" s="6"/>
      <c r="N198" s="138"/>
      <c r="O198" s="138"/>
      <c r="P198" s="9"/>
      <c r="Q198" s="9"/>
      <c r="R198" s="153"/>
    </row>
    <row r="199" spans="8:18" x14ac:dyDescent="0.3">
      <c r="H199" s="199"/>
      <c r="I199" s="111"/>
      <c r="J199" s="111"/>
      <c r="K199" s="111"/>
      <c r="L199" s="111"/>
      <c r="M199" s="6"/>
      <c r="N199" s="138"/>
      <c r="O199" s="138"/>
      <c r="P199" s="9"/>
      <c r="Q199" s="9"/>
      <c r="R199" s="153"/>
    </row>
    <row r="200" spans="8:18" x14ac:dyDescent="0.3">
      <c r="H200" s="199"/>
      <c r="I200" s="111"/>
      <c r="J200" s="111"/>
      <c r="K200" s="111"/>
      <c r="L200" s="111"/>
      <c r="M200" s="6"/>
      <c r="N200" s="138"/>
      <c r="O200" s="138"/>
      <c r="P200" s="9"/>
      <c r="Q200" s="9"/>
      <c r="R200" s="153"/>
    </row>
    <row r="201" spans="8:18" x14ac:dyDescent="0.3">
      <c r="H201" s="199"/>
      <c r="I201" s="111"/>
      <c r="J201" s="111"/>
      <c r="K201" s="111"/>
      <c r="L201" s="111"/>
      <c r="M201" s="6"/>
      <c r="N201" s="138"/>
      <c r="O201" s="138"/>
      <c r="P201" s="9"/>
      <c r="Q201" s="9"/>
      <c r="R201" s="153"/>
    </row>
    <row r="202" spans="8:18" x14ac:dyDescent="0.3">
      <c r="H202" s="199"/>
      <c r="I202" s="111"/>
      <c r="J202" s="111"/>
      <c r="K202" s="111"/>
      <c r="L202" s="111"/>
      <c r="M202" s="6"/>
      <c r="N202" s="138"/>
      <c r="O202" s="138"/>
      <c r="P202" s="9"/>
      <c r="Q202" s="9"/>
      <c r="R202" s="153"/>
    </row>
    <row r="203" spans="8:18" x14ac:dyDescent="0.3">
      <c r="H203" s="199"/>
      <c r="I203" s="111"/>
      <c r="J203" s="111"/>
      <c r="K203" s="111"/>
      <c r="L203" s="111"/>
      <c r="M203" s="6"/>
      <c r="N203" s="138"/>
      <c r="O203" s="138"/>
      <c r="P203" s="9"/>
      <c r="Q203" s="9"/>
      <c r="R203" s="153"/>
    </row>
    <row r="204" spans="8:18" x14ac:dyDescent="0.3">
      <c r="H204" s="199"/>
      <c r="I204" s="111"/>
      <c r="J204" s="111"/>
      <c r="K204" s="111"/>
      <c r="L204" s="111"/>
      <c r="M204" s="6"/>
      <c r="N204" s="138"/>
      <c r="O204" s="138"/>
      <c r="P204" s="9"/>
      <c r="Q204" s="9"/>
      <c r="R204" s="153"/>
    </row>
    <row r="205" spans="8:18" x14ac:dyDescent="0.3">
      <c r="H205" s="199"/>
      <c r="I205" s="111"/>
      <c r="J205" s="111"/>
      <c r="K205" s="111"/>
      <c r="L205" s="111"/>
      <c r="M205" s="6"/>
      <c r="N205" s="138"/>
      <c r="O205" s="138"/>
      <c r="P205" s="9"/>
      <c r="Q205" s="9"/>
      <c r="R205" s="153"/>
    </row>
    <row r="206" spans="8:18" x14ac:dyDescent="0.3">
      <c r="H206" s="199"/>
      <c r="I206" s="111"/>
      <c r="J206" s="111"/>
      <c r="K206" s="111"/>
      <c r="L206" s="111"/>
      <c r="M206" s="6"/>
      <c r="N206" s="138"/>
      <c r="O206" s="138"/>
      <c r="P206" s="9"/>
      <c r="Q206" s="9"/>
      <c r="R206" s="153"/>
    </row>
    <row r="207" spans="8:18" x14ac:dyDescent="0.3">
      <c r="H207" s="199"/>
      <c r="I207" s="111"/>
      <c r="J207" s="111"/>
      <c r="K207" s="111"/>
      <c r="L207" s="111"/>
      <c r="M207" s="6"/>
      <c r="N207" s="138"/>
      <c r="O207" s="138"/>
      <c r="P207" s="9"/>
      <c r="Q207" s="9"/>
      <c r="R207" s="153"/>
    </row>
    <row r="208" spans="8:18" x14ac:dyDescent="0.3">
      <c r="H208" s="199"/>
      <c r="I208" s="111"/>
      <c r="J208" s="111"/>
      <c r="K208" s="111"/>
      <c r="L208" s="111"/>
      <c r="M208" s="6"/>
      <c r="N208" s="138"/>
      <c r="O208" s="138"/>
      <c r="P208" s="9"/>
      <c r="Q208" s="9"/>
      <c r="R208" s="153"/>
    </row>
    <row r="209" spans="8:18" x14ac:dyDescent="0.3">
      <c r="H209" s="199"/>
      <c r="I209" s="111"/>
      <c r="J209" s="111"/>
      <c r="K209" s="111"/>
      <c r="L209" s="111"/>
      <c r="M209" s="6"/>
      <c r="N209" s="138"/>
      <c r="O209" s="138"/>
      <c r="P209" s="9"/>
      <c r="Q209" s="9"/>
      <c r="R209" s="153"/>
    </row>
    <row r="210" spans="8:18" x14ac:dyDescent="0.3">
      <c r="H210" s="199"/>
      <c r="I210" s="111"/>
      <c r="J210" s="111"/>
      <c r="K210" s="111"/>
      <c r="L210" s="111"/>
      <c r="M210" s="6"/>
      <c r="N210" s="138"/>
      <c r="O210" s="138"/>
      <c r="P210" s="9"/>
      <c r="Q210" s="9"/>
      <c r="R210" s="153"/>
    </row>
    <row r="211" spans="8:18" x14ac:dyDescent="0.3">
      <c r="H211" s="199"/>
      <c r="I211" s="111"/>
      <c r="J211" s="111"/>
      <c r="K211" s="111"/>
      <c r="L211" s="111"/>
      <c r="M211" s="6"/>
      <c r="N211" s="138"/>
      <c r="O211" s="138"/>
      <c r="P211" s="9"/>
      <c r="Q211" s="9"/>
      <c r="R211" s="153"/>
    </row>
    <row r="212" spans="8:18" x14ac:dyDescent="0.3">
      <c r="H212" s="199"/>
      <c r="I212" s="111"/>
      <c r="J212" s="111"/>
      <c r="K212" s="111"/>
      <c r="L212" s="111"/>
      <c r="M212" s="6"/>
      <c r="N212" s="138"/>
      <c r="O212" s="138"/>
      <c r="P212" s="9"/>
      <c r="Q212" s="9"/>
      <c r="R212" s="153"/>
    </row>
    <row r="213" spans="8:18" x14ac:dyDescent="0.3">
      <c r="H213" s="199"/>
      <c r="I213" s="111"/>
      <c r="J213" s="111"/>
      <c r="K213" s="111"/>
      <c r="L213" s="111"/>
      <c r="M213" s="6"/>
      <c r="N213" s="138"/>
      <c r="O213" s="138"/>
      <c r="P213" s="9"/>
      <c r="Q213" s="9"/>
      <c r="R213" s="153"/>
    </row>
    <row r="214" spans="8:18" x14ac:dyDescent="0.3">
      <c r="H214" s="199"/>
      <c r="I214" s="111"/>
      <c r="J214" s="111"/>
      <c r="K214" s="111"/>
      <c r="L214" s="111"/>
      <c r="M214" s="6"/>
      <c r="N214" s="138"/>
      <c r="O214" s="138"/>
      <c r="P214" s="9"/>
      <c r="Q214" s="9"/>
      <c r="R214" s="153"/>
    </row>
    <row r="215" spans="8:18" x14ac:dyDescent="0.3">
      <c r="H215" s="199"/>
      <c r="I215" s="111"/>
      <c r="J215" s="111"/>
      <c r="K215" s="111"/>
      <c r="L215" s="111"/>
      <c r="M215" s="6"/>
      <c r="N215" s="138"/>
      <c r="O215" s="138"/>
      <c r="P215" s="9"/>
      <c r="Q215" s="9"/>
      <c r="R215" s="153"/>
    </row>
    <row r="216" spans="8:18" x14ac:dyDescent="0.3">
      <c r="H216" s="199"/>
      <c r="I216" s="111"/>
      <c r="J216" s="111"/>
      <c r="K216" s="111"/>
      <c r="L216" s="111"/>
      <c r="M216" s="6"/>
      <c r="N216" s="138"/>
      <c r="O216" s="138"/>
      <c r="P216" s="9"/>
      <c r="Q216" s="9"/>
      <c r="R216" s="153"/>
    </row>
    <row r="217" spans="8:18" x14ac:dyDescent="0.3">
      <c r="H217" s="199"/>
      <c r="I217" s="111"/>
      <c r="J217" s="111"/>
      <c r="K217" s="111"/>
      <c r="L217" s="111"/>
      <c r="M217" s="6"/>
      <c r="N217" s="138"/>
      <c r="O217" s="138"/>
      <c r="P217" s="9"/>
      <c r="Q217" s="9"/>
      <c r="R217" s="153"/>
    </row>
    <row r="218" spans="8:18" x14ac:dyDescent="0.3">
      <c r="H218" s="199"/>
      <c r="I218" s="111"/>
      <c r="J218" s="111"/>
      <c r="K218" s="111"/>
      <c r="L218" s="111"/>
      <c r="M218" s="6"/>
      <c r="N218" s="138"/>
      <c r="O218" s="138"/>
      <c r="P218" s="9"/>
      <c r="Q218" s="9"/>
      <c r="R218" s="153"/>
    </row>
    <row r="219" spans="8:18" x14ac:dyDescent="0.3">
      <c r="H219" s="199"/>
      <c r="I219" s="111"/>
      <c r="J219" s="111"/>
      <c r="K219" s="111"/>
      <c r="L219" s="111"/>
      <c r="M219" s="6"/>
      <c r="N219" s="138"/>
      <c r="O219" s="138"/>
      <c r="P219" s="9"/>
      <c r="Q219" s="9"/>
      <c r="R219" s="153"/>
    </row>
    <row r="220" spans="8:18" x14ac:dyDescent="0.3">
      <c r="H220" s="199"/>
      <c r="I220" s="111"/>
      <c r="J220" s="111"/>
      <c r="K220" s="111"/>
      <c r="L220" s="111"/>
      <c r="M220" s="6"/>
      <c r="N220" s="138"/>
      <c r="O220" s="138"/>
      <c r="P220" s="9"/>
      <c r="Q220" s="9"/>
      <c r="R220" s="153"/>
    </row>
    <row r="221" spans="8:18" x14ac:dyDescent="0.3">
      <c r="H221" s="199"/>
      <c r="I221" s="111"/>
      <c r="J221" s="111"/>
      <c r="K221" s="111"/>
      <c r="L221" s="111"/>
      <c r="M221" s="6"/>
      <c r="N221" s="138"/>
      <c r="O221" s="138"/>
      <c r="P221" s="9"/>
      <c r="Q221" s="9"/>
      <c r="R221" s="153"/>
    </row>
    <row r="222" spans="8:18" x14ac:dyDescent="0.3">
      <c r="H222" s="199"/>
      <c r="I222" s="111"/>
      <c r="J222" s="111"/>
      <c r="K222" s="111"/>
      <c r="L222" s="111"/>
      <c r="M222" s="6"/>
      <c r="N222" s="138"/>
      <c r="O222" s="138"/>
      <c r="P222" s="9"/>
      <c r="Q222" s="9"/>
      <c r="R222" s="153"/>
    </row>
    <row r="223" spans="8:18" x14ac:dyDescent="0.3">
      <c r="H223" s="199"/>
      <c r="I223" s="111"/>
      <c r="J223" s="111"/>
      <c r="K223" s="111"/>
      <c r="L223" s="111"/>
      <c r="M223" s="6"/>
      <c r="N223" s="138"/>
      <c r="O223" s="138"/>
      <c r="P223" s="9"/>
      <c r="Q223" s="9"/>
      <c r="R223" s="153"/>
    </row>
    <row r="224" spans="8:18" x14ac:dyDescent="0.3">
      <c r="H224" s="199"/>
      <c r="I224" s="111"/>
      <c r="J224" s="111"/>
      <c r="K224" s="111"/>
      <c r="L224" s="111"/>
      <c r="M224" s="6"/>
      <c r="N224" s="138"/>
      <c r="O224" s="138"/>
      <c r="P224" s="9"/>
      <c r="Q224" s="9"/>
      <c r="R224" s="153"/>
    </row>
    <row r="225" spans="8:18" x14ac:dyDescent="0.3">
      <c r="H225" s="199"/>
      <c r="I225" s="111"/>
      <c r="J225" s="111"/>
      <c r="K225" s="111"/>
      <c r="L225" s="111"/>
      <c r="M225" s="6"/>
      <c r="N225" s="138"/>
      <c r="O225" s="138"/>
      <c r="P225" s="9"/>
      <c r="Q225" s="9"/>
      <c r="R225" s="153"/>
    </row>
    <row r="226" spans="8:18" x14ac:dyDescent="0.3">
      <c r="H226" s="199"/>
      <c r="I226" s="111"/>
      <c r="J226" s="111"/>
      <c r="K226" s="111"/>
      <c r="L226" s="111"/>
      <c r="M226" s="6"/>
      <c r="N226" s="138"/>
      <c r="O226" s="138"/>
      <c r="P226" s="9"/>
      <c r="Q226" s="9"/>
      <c r="R226" s="153"/>
    </row>
    <row r="227" spans="8:18" x14ac:dyDescent="0.3">
      <c r="H227" s="199"/>
      <c r="I227" s="111"/>
      <c r="J227" s="111"/>
      <c r="K227" s="111"/>
      <c r="L227" s="111"/>
      <c r="M227" s="6"/>
      <c r="N227" s="138"/>
      <c r="O227" s="138"/>
      <c r="P227" s="9"/>
      <c r="Q227" s="9"/>
      <c r="R227" s="153"/>
    </row>
    <row r="228" spans="8:18" x14ac:dyDescent="0.3">
      <c r="H228" s="199"/>
      <c r="I228" s="111"/>
      <c r="J228" s="111"/>
      <c r="K228" s="111"/>
      <c r="L228" s="111"/>
      <c r="M228" s="6"/>
      <c r="N228" s="138"/>
      <c r="O228" s="138"/>
      <c r="P228" s="9"/>
      <c r="Q228" s="9"/>
      <c r="R228" s="153"/>
    </row>
    <row r="229" spans="8:18" x14ac:dyDescent="0.3">
      <c r="H229" s="199"/>
      <c r="I229" s="111"/>
      <c r="J229" s="111"/>
      <c r="K229" s="111"/>
      <c r="L229" s="111"/>
      <c r="M229" s="6"/>
      <c r="N229" s="138"/>
      <c r="O229" s="138"/>
      <c r="P229" s="9"/>
      <c r="Q229" s="9"/>
      <c r="R229" s="153"/>
    </row>
    <row r="230" spans="8:18" x14ac:dyDescent="0.3">
      <c r="H230" s="199"/>
      <c r="I230" s="111"/>
      <c r="J230" s="111"/>
      <c r="K230" s="111"/>
      <c r="L230" s="111"/>
      <c r="M230" s="6"/>
      <c r="N230" s="138"/>
      <c r="O230" s="138"/>
      <c r="P230" s="9"/>
      <c r="Q230" s="9"/>
      <c r="R230" s="153"/>
    </row>
    <row r="231" spans="8:18" x14ac:dyDescent="0.3">
      <c r="H231" s="199"/>
      <c r="I231" s="111"/>
      <c r="J231" s="111"/>
      <c r="K231" s="111"/>
      <c r="L231" s="111"/>
      <c r="M231" s="6"/>
      <c r="N231" s="138"/>
      <c r="O231" s="138"/>
      <c r="P231" s="9"/>
      <c r="Q231" s="9"/>
      <c r="R231" s="153"/>
    </row>
    <row r="232" spans="8:18" x14ac:dyDescent="0.3">
      <c r="H232" s="199"/>
      <c r="I232" s="111"/>
      <c r="J232" s="111"/>
      <c r="K232" s="111"/>
      <c r="L232" s="111"/>
      <c r="M232" s="6"/>
      <c r="N232" s="138"/>
      <c r="O232" s="138"/>
      <c r="P232" s="9"/>
      <c r="Q232" s="9"/>
      <c r="R232" s="153"/>
    </row>
    <row r="233" spans="8:18" x14ac:dyDescent="0.3">
      <c r="H233" s="199"/>
      <c r="I233" s="111"/>
      <c r="J233" s="111"/>
      <c r="K233" s="111"/>
      <c r="L233" s="111"/>
      <c r="M233" s="6"/>
      <c r="N233" s="138"/>
      <c r="O233" s="138"/>
      <c r="P233" s="9"/>
      <c r="Q233" s="9"/>
      <c r="R233" s="153"/>
    </row>
    <row r="234" spans="8:18" x14ac:dyDescent="0.3">
      <c r="H234" s="199"/>
      <c r="I234" s="111"/>
      <c r="J234" s="111"/>
      <c r="K234" s="111"/>
      <c r="L234" s="111"/>
      <c r="M234" s="6"/>
      <c r="N234" s="138"/>
      <c r="O234" s="138"/>
      <c r="P234" s="9"/>
      <c r="Q234" s="9"/>
      <c r="R234" s="153"/>
    </row>
    <row r="235" spans="8:18" x14ac:dyDescent="0.3">
      <c r="H235" s="199"/>
      <c r="I235" s="111"/>
      <c r="J235" s="111"/>
      <c r="K235" s="111"/>
      <c r="L235" s="111"/>
      <c r="M235" s="6"/>
      <c r="N235" s="138"/>
      <c r="O235" s="138"/>
      <c r="P235" s="9"/>
      <c r="Q235" s="9"/>
      <c r="R235" s="153"/>
    </row>
    <row r="236" spans="8:18" x14ac:dyDescent="0.3">
      <c r="H236" s="199"/>
      <c r="I236" s="111"/>
      <c r="J236" s="111"/>
      <c r="K236" s="111"/>
      <c r="L236" s="111"/>
      <c r="M236" s="6"/>
      <c r="N236" s="138"/>
      <c r="O236" s="138"/>
      <c r="P236" s="9"/>
      <c r="Q236" s="9"/>
      <c r="R236" s="153"/>
    </row>
    <row r="237" spans="8:18" x14ac:dyDescent="0.3">
      <c r="H237" s="199"/>
      <c r="I237" s="111"/>
      <c r="J237" s="111"/>
      <c r="K237" s="111"/>
      <c r="L237" s="111"/>
      <c r="M237" s="6"/>
      <c r="N237" s="138"/>
      <c r="O237" s="138"/>
      <c r="P237" s="9"/>
      <c r="Q237" s="9"/>
      <c r="R237" s="153"/>
    </row>
    <row r="238" spans="8:18" x14ac:dyDescent="0.3">
      <c r="H238" s="199"/>
      <c r="I238" s="111"/>
      <c r="J238" s="111"/>
      <c r="K238" s="111"/>
      <c r="L238" s="111"/>
      <c r="M238" s="6"/>
      <c r="N238" s="138"/>
      <c r="O238" s="138"/>
      <c r="P238" s="9"/>
      <c r="Q238" s="9"/>
      <c r="R238" s="153"/>
    </row>
    <row r="239" spans="8:18" x14ac:dyDescent="0.3">
      <c r="H239" s="199"/>
      <c r="I239" s="111"/>
      <c r="J239" s="111"/>
      <c r="K239" s="111"/>
      <c r="L239" s="111"/>
      <c r="M239" s="6"/>
      <c r="N239" s="138"/>
      <c r="O239" s="138"/>
      <c r="P239" s="9"/>
      <c r="Q239" s="9"/>
      <c r="R239" s="153"/>
    </row>
    <row r="240" spans="8:18" x14ac:dyDescent="0.3">
      <c r="H240" s="199"/>
      <c r="I240" s="111"/>
      <c r="J240" s="111"/>
      <c r="K240" s="111"/>
      <c r="L240" s="111"/>
      <c r="M240" s="6"/>
      <c r="N240" s="138"/>
      <c r="O240" s="138"/>
      <c r="P240" s="9"/>
      <c r="Q240" s="9"/>
      <c r="R240" s="153"/>
    </row>
    <row r="241" spans="8:18" x14ac:dyDescent="0.3">
      <c r="H241" s="199"/>
      <c r="I241" s="111"/>
      <c r="J241" s="111"/>
      <c r="K241" s="111"/>
      <c r="L241" s="111"/>
      <c r="M241" s="6"/>
      <c r="N241" s="138"/>
      <c r="O241" s="138"/>
      <c r="P241" s="9"/>
      <c r="Q241" s="9"/>
      <c r="R241" s="153"/>
    </row>
    <row r="242" spans="8:18" x14ac:dyDescent="0.3">
      <c r="H242" s="199"/>
      <c r="I242" s="111"/>
      <c r="J242" s="111"/>
      <c r="K242" s="111"/>
      <c r="L242" s="111"/>
      <c r="M242" s="6"/>
      <c r="N242" s="138"/>
      <c r="O242" s="138"/>
      <c r="P242" s="9"/>
      <c r="Q242" s="9"/>
      <c r="R242" s="153"/>
    </row>
    <row r="243" spans="8:18" x14ac:dyDescent="0.3">
      <c r="H243" s="199"/>
      <c r="I243" s="111"/>
      <c r="J243" s="111"/>
      <c r="K243" s="111"/>
      <c r="L243" s="111"/>
      <c r="M243" s="6"/>
      <c r="N243" s="138"/>
      <c r="O243" s="138"/>
      <c r="P243" s="9"/>
      <c r="Q243" s="9"/>
      <c r="R243" s="153"/>
    </row>
    <row r="244" spans="8:18" x14ac:dyDescent="0.3">
      <c r="H244" s="199"/>
      <c r="I244" s="111"/>
      <c r="J244" s="111"/>
      <c r="K244" s="111"/>
      <c r="L244" s="111"/>
      <c r="M244" s="6"/>
      <c r="N244" s="138"/>
      <c r="O244" s="138"/>
      <c r="P244" s="9"/>
      <c r="Q244" s="9"/>
      <c r="R244" s="153"/>
    </row>
    <row r="245" spans="8:18" x14ac:dyDescent="0.3">
      <c r="H245" s="199"/>
      <c r="I245" s="111"/>
      <c r="J245" s="111"/>
      <c r="K245" s="111"/>
      <c r="L245" s="111"/>
      <c r="M245" s="6"/>
      <c r="N245" s="138"/>
      <c r="O245" s="138"/>
      <c r="P245" s="9"/>
      <c r="Q245" s="9"/>
      <c r="R245" s="153"/>
    </row>
    <row r="246" spans="8:18" x14ac:dyDescent="0.3">
      <c r="H246" s="199"/>
      <c r="I246" s="111"/>
      <c r="J246" s="111"/>
      <c r="K246" s="111"/>
      <c r="L246" s="111"/>
      <c r="M246" s="6"/>
      <c r="N246" s="138"/>
      <c r="O246" s="138"/>
      <c r="P246" s="9"/>
      <c r="Q246" s="9"/>
      <c r="R246" s="153"/>
    </row>
    <row r="247" spans="8:18" x14ac:dyDescent="0.3">
      <c r="H247" s="199"/>
      <c r="I247" s="111"/>
      <c r="J247" s="111"/>
      <c r="K247" s="111"/>
      <c r="L247" s="111"/>
      <c r="M247" s="6"/>
      <c r="N247" s="138"/>
      <c r="O247" s="138"/>
      <c r="P247" s="9"/>
      <c r="Q247" s="9"/>
      <c r="R247" s="153"/>
    </row>
    <row r="248" spans="8:18" x14ac:dyDescent="0.3">
      <c r="H248" s="199"/>
      <c r="I248" s="111"/>
      <c r="J248" s="111"/>
      <c r="K248" s="111"/>
      <c r="L248" s="111"/>
      <c r="M248" s="6"/>
      <c r="N248" s="138"/>
      <c r="O248" s="138"/>
      <c r="P248" s="9"/>
      <c r="Q248" s="9"/>
      <c r="R248" s="153"/>
    </row>
    <row r="249" spans="8:18" x14ac:dyDescent="0.3">
      <c r="H249" s="199"/>
      <c r="I249" s="111"/>
      <c r="J249" s="111"/>
      <c r="K249" s="111"/>
      <c r="L249" s="111"/>
      <c r="M249" s="6"/>
      <c r="N249" s="138"/>
      <c r="O249" s="138"/>
      <c r="P249" s="9"/>
      <c r="Q249" s="9"/>
      <c r="R249" s="153"/>
    </row>
    <row r="250" spans="8:18" x14ac:dyDescent="0.3">
      <c r="H250" s="199"/>
      <c r="I250" s="111"/>
      <c r="J250" s="111"/>
      <c r="K250" s="111"/>
      <c r="L250" s="111"/>
      <c r="M250" s="6"/>
      <c r="N250" s="138"/>
      <c r="O250" s="138"/>
      <c r="P250" s="9"/>
      <c r="Q250" s="9"/>
      <c r="R250" s="153"/>
    </row>
    <row r="251" spans="8:18" x14ac:dyDescent="0.3">
      <c r="H251" s="199"/>
      <c r="I251" s="111"/>
      <c r="J251" s="111"/>
      <c r="K251" s="111"/>
      <c r="L251" s="111"/>
      <c r="M251" s="6"/>
      <c r="N251" s="138"/>
      <c r="O251" s="138"/>
      <c r="P251" s="9"/>
      <c r="Q251" s="9"/>
      <c r="R251" s="153"/>
    </row>
    <row r="252" spans="8:18" x14ac:dyDescent="0.3">
      <c r="H252" s="199"/>
      <c r="I252" s="111"/>
      <c r="J252" s="111"/>
      <c r="K252" s="111"/>
      <c r="L252" s="111"/>
      <c r="M252" s="6"/>
      <c r="N252" s="138"/>
      <c r="O252" s="138"/>
      <c r="P252" s="9"/>
      <c r="Q252" s="9"/>
      <c r="R252" s="153"/>
    </row>
    <row r="253" spans="8:18" x14ac:dyDescent="0.3">
      <c r="H253" s="199"/>
      <c r="I253" s="111"/>
      <c r="J253" s="111"/>
      <c r="K253" s="111"/>
      <c r="L253" s="111"/>
      <c r="M253" s="6"/>
      <c r="N253" s="138"/>
      <c r="O253" s="138"/>
      <c r="P253" s="9"/>
      <c r="Q253" s="9"/>
      <c r="R253" s="153"/>
    </row>
    <row r="254" spans="8:18" x14ac:dyDescent="0.3">
      <c r="H254" s="199"/>
      <c r="I254" s="111"/>
      <c r="J254" s="111"/>
      <c r="K254" s="111"/>
      <c r="L254" s="111"/>
      <c r="M254" s="6"/>
      <c r="N254" s="138"/>
      <c r="O254" s="138"/>
      <c r="P254" s="9"/>
      <c r="Q254" s="9"/>
      <c r="R254" s="153"/>
    </row>
    <row r="255" spans="8:18" x14ac:dyDescent="0.3">
      <c r="H255" s="199"/>
      <c r="I255" s="111"/>
      <c r="J255" s="111"/>
      <c r="K255" s="111"/>
      <c r="L255" s="111"/>
      <c r="M255" s="6"/>
      <c r="N255" s="138"/>
      <c r="O255" s="138"/>
      <c r="P255" s="9"/>
      <c r="Q255" s="9"/>
      <c r="R255" s="153"/>
    </row>
    <row r="256" spans="8:18" x14ac:dyDescent="0.3">
      <c r="H256" s="199"/>
      <c r="I256" s="111"/>
      <c r="J256" s="111"/>
      <c r="K256" s="111"/>
      <c r="L256" s="111"/>
      <c r="M256" s="6"/>
      <c r="N256" s="138"/>
      <c r="O256" s="138"/>
      <c r="P256" s="9"/>
      <c r="Q256" s="9"/>
      <c r="R256" s="153"/>
    </row>
    <row r="257" spans="8:18" x14ac:dyDescent="0.3">
      <c r="H257" s="199"/>
      <c r="I257" s="111"/>
      <c r="J257" s="111"/>
      <c r="K257" s="111"/>
      <c r="L257" s="111"/>
      <c r="M257" s="6"/>
      <c r="N257" s="138"/>
      <c r="O257" s="138"/>
      <c r="P257" s="9"/>
      <c r="Q257" s="9"/>
      <c r="R257" s="153"/>
    </row>
    <row r="258" spans="8:18" x14ac:dyDescent="0.3">
      <c r="H258" s="199"/>
      <c r="I258" s="111"/>
      <c r="J258" s="111"/>
      <c r="K258" s="111"/>
      <c r="L258" s="111"/>
      <c r="M258" s="6"/>
      <c r="N258" s="138"/>
      <c r="O258" s="138"/>
      <c r="P258" s="9"/>
      <c r="Q258" s="9"/>
      <c r="R258" s="153"/>
    </row>
    <row r="259" spans="8:18" x14ac:dyDescent="0.3">
      <c r="H259" s="199"/>
      <c r="I259" s="111"/>
      <c r="J259" s="111"/>
      <c r="K259" s="111"/>
      <c r="L259" s="111"/>
      <c r="M259" s="6"/>
      <c r="N259" s="138"/>
      <c r="O259" s="138"/>
      <c r="P259" s="9"/>
      <c r="Q259" s="9"/>
      <c r="R259" s="153"/>
    </row>
    <row r="260" spans="8:18" x14ac:dyDescent="0.3">
      <c r="H260" s="199"/>
      <c r="I260" s="111"/>
      <c r="J260" s="111"/>
      <c r="K260" s="111"/>
      <c r="L260" s="111"/>
      <c r="M260" s="6"/>
      <c r="N260" s="138"/>
      <c r="O260" s="138"/>
      <c r="P260" s="9"/>
      <c r="Q260" s="9"/>
      <c r="R260" s="153"/>
    </row>
    <row r="261" spans="8:18" x14ac:dyDescent="0.3">
      <c r="H261" s="199"/>
      <c r="I261" s="111"/>
      <c r="J261" s="111"/>
      <c r="K261" s="111"/>
      <c r="L261" s="111"/>
      <c r="M261" s="6"/>
      <c r="N261" s="138"/>
      <c r="O261" s="138"/>
      <c r="P261" s="9"/>
      <c r="Q261" s="9"/>
      <c r="R261" s="153"/>
    </row>
    <row r="262" spans="8:18" x14ac:dyDescent="0.3">
      <c r="H262" s="199"/>
      <c r="I262" s="111"/>
      <c r="J262" s="111"/>
      <c r="K262" s="111"/>
      <c r="L262" s="111"/>
      <c r="M262" s="6"/>
      <c r="N262" s="138"/>
      <c r="O262" s="138"/>
      <c r="P262" s="9"/>
      <c r="Q262" s="9"/>
      <c r="R262" s="153"/>
    </row>
    <row r="263" spans="8:18" x14ac:dyDescent="0.3">
      <c r="H263" s="199"/>
      <c r="I263" s="111"/>
      <c r="J263" s="111"/>
      <c r="K263" s="111"/>
      <c r="L263" s="111"/>
      <c r="M263" s="6"/>
      <c r="N263" s="138"/>
      <c r="O263" s="138"/>
      <c r="P263" s="9"/>
      <c r="Q263" s="9"/>
      <c r="R263" s="153"/>
    </row>
    <row r="264" spans="8:18" x14ac:dyDescent="0.3">
      <c r="H264" s="199"/>
      <c r="I264" s="111"/>
      <c r="J264" s="111"/>
      <c r="K264" s="111"/>
      <c r="L264" s="111"/>
      <c r="M264" s="6"/>
      <c r="N264" s="138"/>
      <c r="O264" s="138"/>
      <c r="P264" s="9"/>
      <c r="Q264" s="9"/>
      <c r="R264" s="153"/>
    </row>
    <row r="265" spans="8:18" x14ac:dyDescent="0.3">
      <c r="H265" s="199"/>
      <c r="I265" s="111"/>
      <c r="J265" s="111"/>
      <c r="K265" s="111"/>
      <c r="L265" s="111"/>
      <c r="M265" s="6"/>
      <c r="N265" s="138"/>
      <c r="O265" s="138"/>
      <c r="P265" s="9"/>
      <c r="Q265" s="9"/>
      <c r="R265" s="153"/>
    </row>
    <row r="266" spans="8:18" x14ac:dyDescent="0.3">
      <c r="H266" s="199"/>
      <c r="I266" s="111"/>
      <c r="J266" s="111"/>
      <c r="K266" s="111"/>
      <c r="L266" s="111"/>
      <c r="M266" s="6"/>
      <c r="N266" s="138"/>
      <c r="O266" s="138"/>
      <c r="P266" s="9"/>
      <c r="Q266" s="9"/>
      <c r="R266" s="153"/>
    </row>
    <row r="267" spans="8:18" x14ac:dyDescent="0.3">
      <c r="H267" s="199"/>
      <c r="I267" s="111"/>
      <c r="J267" s="111"/>
      <c r="K267" s="111"/>
      <c r="L267" s="111"/>
      <c r="M267" s="6"/>
      <c r="N267" s="138"/>
      <c r="O267" s="138"/>
      <c r="P267" s="9"/>
      <c r="Q267" s="9"/>
      <c r="R267" s="153"/>
    </row>
    <row r="268" spans="8:18" x14ac:dyDescent="0.3">
      <c r="H268" s="199"/>
      <c r="I268" s="111"/>
      <c r="J268" s="111"/>
      <c r="K268" s="111"/>
      <c r="L268" s="111"/>
      <c r="M268" s="6"/>
      <c r="N268" s="138"/>
      <c r="O268" s="138"/>
      <c r="P268" s="9"/>
      <c r="Q268" s="9"/>
      <c r="R268" s="153"/>
    </row>
    <row r="269" spans="8:18" x14ac:dyDescent="0.3">
      <c r="H269" s="199"/>
      <c r="I269" s="111"/>
      <c r="J269" s="111"/>
      <c r="K269" s="111"/>
      <c r="L269" s="111"/>
      <c r="M269" s="6"/>
      <c r="N269" s="138"/>
      <c r="O269" s="138"/>
      <c r="P269" s="9"/>
      <c r="Q269" s="9"/>
      <c r="R269" s="153"/>
    </row>
    <row r="270" spans="8:18" x14ac:dyDescent="0.3">
      <c r="H270" s="199"/>
      <c r="I270" s="111"/>
      <c r="J270" s="111"/>
      <c r="K270" s="111"/>
      <c r="L270" s="111"/>
      <c r="M270" s="6"/>
      <c r="N270" s="138"/>
      <c r="O270" s="138"/>
      <c r="P270" s="9"/>
      <c r="Q270" s="9"/>
      <c r="R270" s="153"/>
    </row>
    <row r="271" spans="8:18" x14ac:dyDescent="0.3">
      <c r="H271" s="199"/>
      <c r="I271" s="111"/>
      <c r="J271" s="111"/>
      <c r="K271" s="111"/>
      <c r="L271" s="111"/>
      <c r="M271" s="6"/>
      <c r="N271" s="138"/>
      <c r="O271" s="138"/>
      <c r="P271" s="9"/>
      <c r="Q271" s="9"/>
      <c r="R271" s="153"/>
    </row>
    <row r="272" spans="8:18" x14ac:dyDescent="0.3">
      <c r="H272" s="199"/>
      <c r="I272" s="111"/>
      <c r="J272" s="111"/>
      <c r="K272" s="111"/>
      <c r="L272" s="111"/>
      <c r="M272" s="6"/>
      <c r="N272" s="138"/>
      <c r="O272" s="138"/>
      <c r="P272" s="9"/>
      <c r="Q272" s="9"/>
      <c r="R272" s="153"/>
    </row>
    <row r="273" spans="8:18" x14ac:dyDescent="0.3">
      <c r="H273" s="199"/>
      <c r="I273" s="111"/>
      <c r="J273" s="111"/>
      <c r="K273" s="111"/>
      <c r="L273" s="111"/>
      <c r="M273" s="6"/>
      <c r="N273" s="138"/>
      <c r="O273" s="138"/>
      <c r="P273" s="9"/>
      <c r="Q273" s="9"/>
      <c r="R273" s="153"/>
    </row>
    <row r="274" spans="8:18" x14ac:dyDescent="0.3">
      <c r="H274" s="199"/>
      <c r="I274" s="111"/>
      <c r="J274" s="111"/>
      <c r="K274" s="111"/>
      <c r="L274" s="111"/>
      <c r="M274" s="6"/>
      <c r="N274" s="138"/>
      <c r="O274" s="138"/>
      <c r="P274" s="9"/>
      <c r="Q274" s="9"/>
      <c r="R274" s="153"/>
    </row>
    <row r="275" spans="8:18" x14ac:dyDescent="0.3">
      <c r="H275" s="199"/>
      <c r="I275" s="111"/>
      <c r="J275" s="111"/>
      <c r="K275" s="111"/>
      <c r="L275" s="111"/>
      <c r="M275" s="6"/>
      <c r="N275" s="138"/>
      <c r="O275" s="138"/>
      <c r="P275" s="9"/>
      <c r="Q275" s="9"/>
      <c r="R275" s="153"/>
    </row>
    <row r="276" spans="8:18" x14ac:dyDescent="0.3">
      <c r="H276" s="199"/>
      <c r="I276" s="111"/>
      <c r="J276" s="111"/>
      <c r="K276" s="111"/>
      <c r="L276" s="111"/>
      <c r="M276" s="6"/>
      <c r="N276" s="138"/>
      <c r="O276" s="138"/>
      <c r="P276" s="9"/>
      <c r="Q276" s="9"/>
      <c r="R276" s="153"/>
    </row>
    <row r="277" spans="8:18" x14ac:dyDescent="0.3">
      <c r="H277" s="199"/>
      <c r="I277" s="111"/>
      <c r="J277" s="111"/>
      <c r="K277" s="111"/>
      <c r="L277" s="111"/>
      <c r="M277" s="6"/>
      <c r="N277" s="138"/>
      <c r="O277" s="138"/>
      <c r="P277" s="9"/>
      <c r="Q277" s="9"/>
      <c r="R277" s="153"/>
    </row>
    <row r="278" spans="8:18" x14ac:dyDescent="0.3">
      <c r="H278" s="199"/>
      <c r="I278" s="111"/>
      <c r="J278" s="111"/>
      <c r="K278" s="111"/>
      <c r="L278" s="111"/>
      <c r="M278" s="6"/>
      <c r="N278" s="138"/>
      <c r="O278" s="138"/>
      <c r="P278" s="9"/>
      <c r="Q278" s="9"/>
      <c r="R278" s="153"/>
    </row>
    <row r="279" spans="8:18" x14ac:dyDescent="0.3">
      <c r="H279" s="199"/>
      <c r="I279" s="111"/>
      <c r="J279" s="111"/>
      <c r="K279" s="111"/>
      <c r="L279" s="111"/>
      <c r="M279" s="6"/>
      <c r="N279" s="138"/>
      <c r="O279" s="138"/>
      <c r="P279" s="9"/>
      <c r="Q279" s="9"/>
      <c r="R279" s="153"/>
    </row>
    <row r="280" spans="8:18" x14ac:dyDescent="0.3">
      <c r="H280" s="199"/>
      <c r="I280" s="111"/>
      <c r="J280" s="111"/>
      <c r="K280" s="111"/>
      <c r="L280" s="111"/>
      <c r="M280" s="6"/>
      <c r="N280" s="138"/>
      <c r="O280" s="138"/>
      <c r="P280" s="9"/>
      <c r="Q280" s="9"/>
      <c r="R280" s="153"/>
    </row>
    <row r="281" spans="8:18" x14ac:dyDescent="0.3">
      <c r="H281" s="199"/>
      <c r="I281" s="111"/>
      <c r="J281" s="111"/>
      <c r="K281" s="111"/>
      <c r="L281" s="111"/>
      <c r="M281" s="6"/>
      <c r="N281" s="138"/>
      <c r="O281" s="138"/>
      <c r="P281" s="9"/>
      <c r="Q281" s="9"/>
      <c r="R281" s="153"/>
    </row>
    <row r="282" spans="8:18" x14ac:dyDescent="0.3">
      <c r="H282" s="199"/>
      <c r="I282" s="111"/>
      <c r="J282" s="111"/>
      <c r="K282" s="111"/>
      <c r="L282" s="111"/>
      <c r="M282" s="6"/>
      <c r="N282" s="138"/>
      <c r="O282" s="138"/>
      <c r="P282" s="9"/>
      <c r="Q282" s="9"/>
      <c r="R282" s="153"/>
    </row>
    <row r="283" spans="8:18" x14ac:dyDescent="0.3">
      <c r="H283" s="199"/>
      <c r="I283" s="111"/>
      <c r="J283" s="111"/>
      <c r="K283" s="111"/>
      <c r="L283" s="111"/>
      <c r="M283" s="6"/>
      <c r="N283" s="138"/>
      <c r="O283" s="138"/>
      <c r="P283" s="9"/>
      <c r="Q283" s="9"/>
      <c r="R283" s="153"/>
    </row>
    <row r="284" spans="8:18" x14ac:dyDescent="0.3">
      <c r="H284" s="199"/>
      <c r="I284" s="111"/>
      <c r="J284" s="111"/>
      <c r="K284" s="111"/>
      <c r="L284" s="111"/>
      <c r="M284" s="6"/>
      <c r="N284" s="138"/>
      <c r="O284" s="138"/>
      <c r="P284" s="9"/>
      <c r="Q284" s="9"/>
      <c r="R284" s="153"/>
    </row>
    <row r="285" spans="8:18" x14ac:dyDescent="0.3">
      <c r="H285" s="199"/>
      <c r="I285" s="111"/>
      <c r="J285" s="111"/>
      <c r="K285" s="111"/>
      <c r="L285" s="111"/>
      <c r="M285" s="6"/>
      <c r="N285" s="138"/>
      <c r="O285" s="138"/>
      <c r="P285" s="9"/>
      <c r="Q285" s="9"/>
      <c r="R285" s="153"/>
    </row>
    <row r="286" spans="8:18" x14ac:dyDescent="0.3">
      <c r="H286" s="199"/>
      <c r="I286" s="111"/>
      <c r="J286" s="111"/>
      <c r="K286" s="111"/>
      <c r="L286" s="111"/>
      <c r="M286" s="6"/>
      <c r="N286" s="138"/>
      <c r="O286" s="138"/>
      <c r="P286" s="9"/>
      <c r="Q286" s="9"/>
      <c r="R286" s="153"/>
    </row>
    <row r="287" spans="8:18" x14ac:dyDescent="0.3">
      <c r="H287" s="199"/>
      <c r="I287" s="111"/>
      <c r="J287" s="111"/>
      <c r="K287" s="111"/>
      <c r="L287" s="111"/>
      <c r="M287" s="6"/>
      <c r="N287" s="138"/>
      <c r="O287" s="138"/>
      <c r="P287" s="9"/>
      <c r="Q287" s="9"/>
      <c r="R287" s="153"/>
    </row>
    <row r="288" spans="8:18" x14ac:dyDescent="0.3">
      <c r="H288" s="199"/>
      <c r="I288" s="111"/>
      <c r="J288" s="111"/>
      <c r="K288" s="111"/>
      <c r="L288" s="111"/>
      <c r="M288" s="6"/>
      <c r="N288" s="138"/>
      <c r="O288" s="138"/>
      <c r="P288" s="9"/>
      <c r="Q288" s="9"/>
      <c r="R288" s="153"/>
    </row>
    <row r="289" spans="8:18" x14ac:dyDescent="0.3">
      <c r="H289" s="199"/>
      <c r="I289" s="111"/>
      <c r="J289" s="111"/>
      <c r="K289" s="111"/>
      <c r="L289" s="111"/>
      <c r="M289" s="6"/>
      <c r="N289" s="138"/>
      <c r="O289" s="138"/>
      <c r="P289" s="9"/>
      <c r="Q289" s="9"/>
      <c r="R289" s="153"/>
    </row>
    <row r="290" spans="8:18" x14ac:dyDescent="0.3">
      <c r="H290" s="199"/>
      <c r="I290" s="111"/>
      <c r="J290" s="111"/>
      <c r="K290" s="111"/>
      <c r="L290" s="111"/>
      <c r="M290" s="6"/>
      <c r="N290" s="138"/>
      <c r="O290" s="138"/>
      <c r="P290" s="9"/>
      <c r="Q290" s="9"/>
      <c r="R290" s="153"/>
    </row>
    <row r="291" spans="8:18" x14ac:dyDescent="0.3">
      <c r="H291" s="199"/>
      <c r="I291" s="111"/>
      <c r="J291" s="111"/>
      <c r="K291" s="111"/>
      <c r="L291" s="111"/>
      <c r="M291" s="6"/>
      <c r="N291" s="138"/>
      <c r="O291" s="138"/>
      <c r="P291" s="9"/>
      <c r="Q291" s="9"/>
      <c r="R291" s="153"/>
    </row>
    <row r="292" spans="8:18" x14ac:dyDescent="0.3">
      <c r="H292" s="199"/>
      <c r="I292" s="111"/>
      <c r="J292" s="111"/>
      <c r="K292" s="111"/>
      <c r="L292" s="111"/>
      <c r="M292" s="6"/>
      <c r="N292" s="138"/>
      <c r="O292" s="138"/>
      <c r="P292" s="9"/>
      <c r="Q292" s="9"/>
      <c r="R292" s="153"/>
    </row>
    <row r="293" spans="8:18" x14ac:dyDescent="0.3">
      <c r="H293" s="199"/>
      <c r="I293" s="111"/>
      <c r="J293" s="111"/>
      <c r="K293" s="111"/>
      <c r="L293" s="111"/>
      <c r="M293" s="6"/>
      <c r="N293" s="138"/>
      <c r="O293" s="138"/>
      <c r="P293" s="9"/>
      <c r="Q293" s="9"/>
      <c r="R293" s="153"/>
    </row>
    <row r="294" spans="8:18" x14ac:dyDescent="0.3">
      <c r="H294" s="199"/>
      <c r="I294" s="111"/>
      <c r="J294" s="111"/>
      <c r="K294" s="111"/>
      <c r="L294" s="111"/>
      <c r="M294" s="6"/>
      <c r="N294" s="138"/>
      <c r="O294" s="138"/>
      <c r="P294" s="9"/>
      <c r="Q294" s="9"/>
      <c r="R294" s="153"/>
    </row>
    <row r="295" spans="8:18" x14ac:dyDescent="0.3">
      <c r="H295" s="199"/>
      <c r="I295" s="111"/>
      <c r="J295" s="111"/>
      <c r="K295" s="111"/>
      <c r="L295" s="111"/>
      <c r="M295" s="6"/>
      <c r="N295" s="138"/>
      <c r="O295" s="138"/>
      <c r="P295" s="9"/>
      <c r="Q295" s="9"/>
      <c r="R295" s="153"/>
    </row>
    <row r="296" spans="8:18" x14ac:dyDescent="0.3">
      <c r="H296" s="199"/>
      <c r="I296" s="111"/>
      <c r="J296" s="111"/>
      <c r="K296" s="111"/>
      <c r="L296" s="111"/>
      <c r="M296" s="6"/>
      <c r="N296" s="138"/>
      <c r="O296" s="138"/>
      <c r="P296" s="9"/>
      <c r="Q296" s="9"/>
      <c r="R296" s="153"/>
    </row>
    <row r="297" spans="8:18" x14ac:dyDescent="0.3">
      <c r="H297" s="199"/>
      <c r="I297" s="111"/>
      <c r="J297" s="111"/>
      <c r="K297" s="111"/>
      <c r="L297" s="111"/>
      <c r="M297" s="6"/>
      <c r="N297" s="138"/>
      <c r="O297" s="138"/>
      <c r="P297" s="9"/>
      <c r="Q297" s="9"/>
      <c r="R297" s="153"/>
    </row>
    <row r="298" spans="8:18" x14ac:dyDescent="0.3">
      <c r="H298" s="199"/>
      <c r="I298" s="111"/>
      <c r="J298" s="111"/>
      <c r="K298" s="111"/>
      <c r="L298" s="111"/>
      <c r="M298" s="6"/>
      <c r="N298" s="138"/>
      <c r="O298" s="138"/>
      <c r="P298" s="9"/>
      <c r="Q298" s="9"/>
      <c r="R298" s="153"/>
    </row>
    <row r="299" spans="8:18" x14ac:dyDescent="0.3">
      <c r="H299" s="199"/>
      <c r="I299" s="111"/>
      <c r="J299" s="111"/>
      <c r="K299" s="111"/>
      <c r="L299" s="111"/>
      <c r="M299" s="6"/>
      <c r="N299" s="138"/>
      <c r="O299" s="138"/>
      <c r="P299" s="9"/>
      <c r="Q299" s="9"/>
      <c r="R299" s="153"/>
    </row>
    <row r="300" spans="8:18" x14ac:dyDescent="0.3">
      <c r="H300" s="199"/>
      <c r="I300" s="111"/>
      <c r="J300" s="111"/>
      <c r="K300" s="111"/>
      <c r="L300" s="111"/>
      <c r="M300" s="6"/>
      <c r="N300" s="138"/>
      <c r="O300" s="138"/>
      <c r="P300" s="9"/>
      <c r="Q300" s="9"/>
      <c r="R300" s="153"/>
    </row>
    <row r="301" spans="8:18" x14ac:dyDescent="0.3">
      <c r="H301" s="199"/>
      <c r="I301" s="111"/>
      <c r="J301" s="111"/>
      <c r="K301" s="111"/>
      <c r="L301" s="111"/>
      <c r="M301" s="6"/>
      <c r="N301" s="138"/>
      <c r="O301" s="138"/>
      <c r="P301" s="9"/>
      <c r="Q301" s="9"/>
      <c r="R301" s="153"/>
    </row>
    <row r="302" spans="8:18" x14ac:dyDescent="0.3">
      <c r="H302" s="199"/>
      <c r="I302" s="111"/>
      <c r="J302" s="111"/>
      <c r="K302" s="111"/>
      <c r="L302" s="111"/>
      <c r="M302" s="6"/>
      <c r="N302" s="138"/>
      <c r="O302" s="138"/>
      <c r="P302" s="9"/>
      <c r="Q302" s="9"/>
      <c r="R302" s="153"/>
    </row>
    <row r="303" spans="8:18" x14ac:dyDescent="0.3">
      <c r="H303" s="199"/>
      <c r="I303" s="111"/>
      <c r="J303" s="111"/>
      <c r="K303" s="111"/>
      <c r="L303" s="111"/>
      <c r="M303" s="6"/>
      <c r="N303" s="138"/>
      <c r="O303" s="138"/>
      <c r="P303" s="9"/>
      <c r="Q303" s="9"/>
      <c r="R303" s="153"/>
    </row>
    <row r="304" spans="8:18" x14ac:dyDescent="0.3">
      <c r="H304" s="199"/>
      <c r="I304" s="111"/>
      <c r="J304" s="111"/>
      <c r="K304" s="111"/>
      <c r="L304" s="111"/>
      <c r="M304" s="6"/>
      <c r="N304" s="138"/>
      <c r="O304" s="138"/>
      <c r="P304" s="9"/>
      <c r="Q304" s="9"/>
      <c r="R304" s="153"/>
    </row>
    <row r="305" spans="8:18" x14ac:dyDescent="0.3">
      <c r="H305" s="199"/>
      <c r="I305" s="111"/>
      <c r="J305" s="111"/>
      <c r="K305" s="111"/>
      <c r="L305" s="111"/>
      <c r="M305" s="6"/>
      <c r="N305" s="138"/>
      <c r="O305" s="138"/>
      <c r="P305" s="9"/>
      <c r="Q305" s="9"/>
      <c r="R305" s="153"/>
    </row>
    <row r="306" spans="8:18" x14ac:dyDescent="0.3">
      <c r="H306" s="199"/>
      <c r="I306" s="111"/>
      <c r="J306" s="111"/>
      <c r="K306" s="111"/>
      <c r="L306" s="111"/>
      <c r="M306" s="6"/>
      <c r="N306" s="138"/>
      <c r="O306" s="138"/>
      <c r="P306" s="9"/>
      <c r="Q306" s="9"/>
      <c r="R306" s="153"/>
    </row>
    <row r="307" spans="8:18" x14ac:dyDescent="0.3">
      <c r="H307" s="199"/>
      <c r="I307" s="111"/>
      <c r="J307" s="111"/>
      <c r="K307" s="111"/>
      <c r="L307" s="111"/>
      <c r="M307" s="6"/>
      <c r="N307" s="138"/>
      <c r="O307" s="138"/>
      <c r="P307" s="9"/>
      <c r="Q307" s="9"/>
      <c r="R307" s="153"/>
    </row>
    <row r="308" spans="8:18" x14ac:dyDescent="0.3">
      <c r="H308" s="199"/>
      <c r="I308" s="111"/>
      <c r="J308" s="111"/>
      <c r="K308" s="111"/>
      <c r="L308" s="111"/>
      <c r="M308" s="6"/>
      <c r="N308" s="138"/>
      <c r="O308" s="138"/>
      <c r="P308" s="9"/>
      <c r="Q308" s="9"/>
      <c r="R308" s="153"/>
    </row>
    <row r="309" spans="8:18" x14ac:dyDescent="0.3">
      <c r="H309" s="199"/>
      <c r="I309" s="111"/>
      <c r="J309" s="111"/>
      <c r="K309" s="111"/>
      <c r="L309" s="111"/>
      <c r="M309" s="6"/>
      <c r="N309" s="138"/>
      <c r="O309" s="138"/>
      <c r="P309" s="9"/>
      <c r="Q309" s="9"/>
      <c r="R309" s="153"/>
    </row>
    <row r="310" spans="8:18" x14ac:dyDescent="0.3">
      <c r="H310" s="199"/>
      <c r="I310" s="111"/>
      <c r="J310" s="111"/>
      <c r="K310" s="111"/>
      <c r="L310" s="111"/>
      <c r="M310" s="6"/>
      <c r="N310" s="138"/>
      <c r="O310" s="138"/>
      <c r="P310" s="9"/>
      <c r="Q310" s="9"/>
      <c r="R310" s="153"/>
    </row>
    <row r="311" spans="8:18" x14ac:dyDescent="0.3">
      <c r="H311" s="199"/>
      <c r="I311" s="111"/>
      <c r="J311" s="111"/>
      <c r="K311" s="111"/>
      <c r="L311" s="111"/>
      <c r="M311" s="6"/>
      <c r="N311" s="138"/>
      <c r="O311" s="138"/>
      <c r="P311" s="9"/>
      <c r="Q311" s="9"/>
      <c r="R311" s="153"/>
    </row>
    <row r="312" spans="8:18" x14ac:dyDescent="0.3">
      <c r="H312" s="199"/>
      <c r="I312" s="111"/>
      <c r="J312" s="111"/>
      <c r="K312" s="111"/>
      <c r="L312" s="111"/>
      <c r="M312" s="6"/>
      <c r="N312" s="138"/>
      <c r="O312" s="138"/>
      <c r="P312" s="9"/>
      <c r="Q312" s="9"/>
      <c r="R312" s="153"/>
    </row>
    <row r="313" spans="8:18" x14ac:dyDescent="0.3">
      <c r="H313" s="199"/>
      <c r="I313" s="111"/>
      <c r="J313" s="111"/>
      <c r="K313" s="111"/>
      <c r="L313" s="111"/>
      <c r="M313" s="6"/>
      <c r="N313" s="138"/>
      <c r="O313" s="138"/>
      <c r="P313" s="9"/>
      <c r="Q313" s="9"/>
      <c r="R313" s="153"/>
    </row>
    <row r="314" spans="8:18" x14ac:dyDescent="0.3">
      <c r="H314" s="199"/>
      <c r="I314" s="111"/>
      <c r="J314" s="111"/>
      <c r="K314" s="111"/>
      <c r="L314" s="111"/>
      <c r="M314" s="6"/>
      <c r="N314" s="138"/>
      <c r="O314" s="138"/>
      <c r="P314" s="9"/>
      <c r="Q314" s="9"/>
      <c r="R314" s="153"/>
    </row>
    <row r="315" spans="8:18" x14ac:dyDescent="0.3">
      <c r="H315" s="199"/>
      <c r="I315" s="111"/>
      <c r="J315" s="111"/>
      <c r="K315" s="111"/>
      <c r="L315" s="111"/>
      <c r="M315" s="6"/>
      <c r="N315" s="138"/>
      <c r="O315" s="138"/>
      <c r="P315" s="9"/>
      <c r="Q315" s="9"/>
      <c r="R315" s="153"/>
    </row>
    <row r="316" spans="8:18" x14ac:dyDescent="0.3">
      <c r="H316" s="199"/>
      <c r="I316" s="111"/>
      <c r="J316" s="111"/>
      <c r="K316" s="111"/>
      <c r="L316" s="111"/>
      <c r="M316" s="6"/>
      <c r="N316" s="138"/>
      <c r="O316" s="138"/>
      <c r="P316" s="9"/>
      <c r="Q316" s="9"/>
      <c r="R316" s="153"/>
    </row>
    <row r="317" spans="8:18" x14ac:dyDescent="0.3">
      <c r="H317" s="199"/>
      <c r="I317" s="111"/>
      <c r="J317" s="111"/>
      <c r="K317" s="111"/>
      <c r="L317" s="111"/>
      <c r="M317" s="6"/>
      <c r="N317" s="138"/>
      <c r="O317" s="138"/>
      <c r="P317" s="9"/>
      <c r="Q317" s="9"/>
      <c r="R317" s="153"/>
    </row>
    <row r="318" spans="8:18" x14ac:dyDescent="0.3">
      <c r="H318" s="199"/>
      <c r="I318" s="111"/>
      <c r="J318" s="111"/>
      <c r="K318" s="111"/>
      <c r="L318" s="111"/>
      <c r="M318" s="6"/>
      <c r="N318" s="138"/>
      <c r="O318" s="138"/>
      <c r="P318" s="9"/>
      <c r="Q318" s="9"/>
      <c r="R318" s="153"/>
    </row>
    <row r="319" spans="8:18" x14ac:dyDescent="0.3">
      <c r="H319" s="199"/>
      <c r="I319" s="111"/>
      <c r="J319" s="111"/>
      <c r="K319" s="111"/>
      <c r="L319" s="111"/>
      <c r="M319" s="6"/>
      <c r="N319" s="138"/>
      <c r="O319" s="138"/>
      <c r="P319" s="9"/>
      <c r="Q319" s="9"/>
      <c r="R319" s="153"/>
    </row>
    <row r="320" spans="8:18" x14ac:dyDescent="0.3">
      <c r="H320" s="199"/>
      <c r="I320" s="111"/>
      <c r="J320" s="111"/>
      <c r="K320" s="111"/>
      <c r="L320" s="111"/>
      <c r="M320" s="6"/>
      <c r="N320" s="138"/>
      <c r="O320" s="138"/>
      <c r="P320" s="9"/>
      <c r="Q320" s="9"/>
      <c r="R320" s="153"/>
    </row>
    <row r="321" spans="8:18" x14ac:dyDescent="0.3">
      <c r="H321" s="199"/>
      <c r="I321" s="111"/>
      <c r="J321" s="111"/>
      <c r="K321" s="111"/>
      <c r="L321" s="111"/>
      <c r="M321" s="6"/>
      <c r="N321" s="138"/>
      <c r="O321" s="138"/>
      <c r="P321" s="9"/>
      <c r="Q321" s="9"/>
      <c r="R321" s="153"/>
    </row>
    <row r="322" spans="8:18" x14ac:dyDescent="0.3">
      <c r="H322" s="199"/>
      <c r="I322" s="111"/>
      <c r="J322" s="111"/>
      <c r="K322" s="111"/>
      <c r="L322" s="111"/>
      <c r="M322" s="6"/>
      <c r="N322" s="138"/>
      <c r="O322" s="138"/>
      <c r="P322" s="9"/>
      <c r="Q322" s="9"/>
      <c r="R322" s="153"/>
    </row>
    <row r="323" spans="8:18" x14ac:dyDescent="0.3">
      <c r="H323" s="199"/>
      <c r="I323" s="111"/>
      <c r="J323" s="111"/>
      <c r="K323" s="111"/>
      <c r="L323" s="111"/>
      <c r="M323" s="6"/>
      <c r="N323" s="138"/>
      <c r="O323" s="138"/>
      <c r="P323" s="9"/>
      <c r="Q323" s="9"/>
      <c r="R323" s="153"/>
    </row>
    <row r="324" spans="8:18" x14ac:dyDescent="0.3">
      <c r="H324" s="199"/>
      <c r="I324" s="111"/>
      <c r="J324" s="111"/>
      <c r="K324" s="111"/>
      <c r="L324" s="111"/>
      <c r="M324" s="6"/>
      <c r="N324" s="138"/>
      <c r="O324" s="138"/>
      <c r="P324" s="9"/>
      <c r="Q324" s="9"/>
      <c r="R324" s="153"/>
    </row>
    <row r="325" spans="8:18" x14ac:dyDescent="0.3">
      <c r="H325" s="199"/>
      <c r="I325" s="111"/>
      <c r="J325" s="111"/>
      <c r="K325" s="111"/>
      <c r="L325" s="111"/>
      <c r="M325" s="6"/>
      <c r="N325" s="138"/>
      <c r="O325" s="138"/>
      <c r="P325" s="9"/>
      <c r="Q325" s="9"/>
      <c r="R325" s="153"/>
    </row>
    <row r="326" spans="8:18" x14ac:dyDescent="0.3">
      <c r="H326" s="199"/>
      <c r="I326" s="111"/>
      <c r="J326" s="111"/>
      <c r="K326" s="111"/>
      <c r="L326" s="111"/>
      <c r="M326" s="6"/>
      <c r="N326" s="138"/>
      <c r="O326" s="138"/>
      <c r="P326" s="9"/>
      <c r="Q326" s="9"/>
      <c r="R326" s="153"/>
    </row>
    <row r="327" spans="8:18" x14ac:dyDescent="0.3">
      <c r="H327" s="199"/>
      <c r="I327" s="111"/>
      <c r="J327" s="111"/>
      <c r="K327" s="111"/>
      <c r="L327" s="111"/>
      <c r="M327" s="6"/>
      <c r="N327" s="138"/>
      <c r="O327" s="138"/>
      <c r="P327" s="9"/>
      <c r="Q327" s="9"/>
      <c r="R327" s="153"/>
    </row>
    <row r="328" spans="8:18" x14ac:dyDescent="0.3">
      <c r="H328" s="199"/>
      <c r="I328" s="111"/>
      <c r="J328" s="111"/>
      <c r="K328" s="111"/>
      <c r="L328" s="111"/>
      <c r="M328" s="6"/>
      <c r="N328" s="138"/>
      <c r="O328" s="138"/>
      <c r="P328" s="9"/>
      <c r="Q328" s="9"/>
      <c r="R328" s="153"/>
    </row>
    <row r="329" spans="8:18" x14ac:dyDescent="0.3">
      <c r="H329" s="199"/>
      <c r="I329" s="111"/>
      <c r="J329" s="111"/>
      <c r="K329" s="111"/>
      <c r="L329" s="111"/>
      <c r="M329" s="6"/>
      <c r="N329" s="138"/>
      <c r="O329" s="138"/>
      <c r="P329" s="9"/>
      <c r="Q329" s="9"/>
      <c r="R329" s="153"/>
    </row>
    <row r="330" spans="8:18" x14ac:dyDescent="0.3">
      <c r="H330" s="199"/>
      <c r="I330" s="111"/>
      <c r="J330" s="111"/>
      <c r="K330" s="111"/>
      <c r="L330" s="111"/>
      <c r="M330" s="6"/>
      <c r="N330" s="138"/>
      <c r="O330" s="138"/>
      <c r="P330" s="9"/>
      <c r="Q330" s="9"/>
      <c r="R330" s="153"/>
    </row>
    <row r="331" spans="8:18" x14ac:dyDescent="0.3">
      <c r="H331" s="199"/>
      <c r="I331" s="111"/>
      <c r="J331" s="111"/>
      <c r="K331" s="111"/>
      <c r="L331" s="111"/>
      <c r="M331" s="6"/>
      <c r="N331" s="138"/>
      <c r="O331" s="138"/>
      <c r="P331" s="9"/>
      <c r="Q331" s="9"/>
      <c r="R331" s="153"/>
    </row>
    <row r="332" spans="8:18" x14ac:dyDescent="0.3">
      <c r="H332" s="199"/>
      <c r="I332" s="111"/>
      <c r="J332" s="111"/>
      <c r="K332" s="111"/>
      <c r="L332" s="111"/>
      <c r="M332" s="6"/>
      <c r="N332" s="138"/>
      <c r="O332" s="138"/>
      <c r="P332" s="9"/>
      <c r="Q332" s="9"/>
      <c r="R332" s="153"/>
    </row>
    <row r="333" spans="8:18" x14ac:dyDescent="0.3">
      <c r="H333" s="199"/>
      <c r="I333" s="111"/>
      <c r="J333" s="111"/>
      <c r="K333" s="111"/>
      <c r="L333" s="111"/>
      <c r="M333" s="6"/>
      <c r="N333" s="138"/>
      <c r="O333" s="138"/>
      <c r="P333" s="9"/>
      <c r="Q333" s="9"/>
      <c r="R333" s="153"/>
    </row>
    <row r="334" spans="8:18" x14ac:dyDescent="0.3">
      <c r="H334" s="199"/>
      <c r="I334" s="111"/>
      <c r="J334" s="111"/>
      <c r="K334" s="111"/>
      <c r="L334" s="111"/>
      <c r="M334" s="6"/>
      <c r="N334" s="138"/>
      <c r="O334" s="138"/>
      <c r="P334" s="9"/>
      <c r="Q334" s="9"/>
      <c r="R334" s="153"/>
    </row>
    <row r="335" spans="8:18" x14ac:dyDescent="0.3">
      <c r="H335" s="199"/>
      <c r="I335" s="111"/>
      <c r="J335" s="111"/>
      <c r="K335" s="111"/>
      <c r="L335" s="111"/>
      <c r="M335" s="6"/>
      <c r="N335" s="138"/>
      <c r="O335" s="138"/>
      <c r="P335" s="9"/>
      <c r="Q335" s="9"/>
      <c r="R335" s="153"/>
    </row>
    <row r="336" spans="8:18" x14ac:dyDescent="0.3">
      <c r="H336" s="199"/>
      <c r="I336" s="111"/>
      <c r="J336" s="111"/>
      <c r="K336" s="111"/>
      <c r="L336" s="111"/>
      <c r="M336" s="6"/>
      <c r="N336" s="138"/>
      <c r="O336" s="138"/>
      <c r="P336" s="9"/>
      <c r="Q336" s="9"/>
      <c r="R336" s="153"/>
    </row>
    <row r="337" spans="8:18" x14ac:dyDescent="0.3">
      <c r="H337" s="199"/>
      <c r="I337" s="111"/>
      <c r="J337" s="111"/>
      <c r="K337" s="111"/>
      <c r="L337" s="111"/>
      <c r="M337" s="6"/>
      <c r="N337" s="138"/>
      <c r="O337" s="138"/>
      <c r="P337" s="9"/>
      <c r="Q337" s="9"/>
      <c r="R337" s="153"/>
    </row>
    <row r="338" spans="8:18" x14ac:dyDescent="0.3">
      <c r="H338" s="199"/>
      <c r="I338" s="111"/>
      <c r="J338" s="111"/>
      <c r="K338" s="111"/>
      <c r="L338" s="111"/>
      <c r="M338" s="6"/>
      <c r="N338" s="138"/>
      <c r="O338" s="138"/>
      <c r="P338" s="9"/>
      <c r="Q338" s="9"/>
      <c r="R338" s="153"/>
    </row>
    <row r="339" spans="8:18" x14ac:dyDescent="0.3">
      <c r="H339" s="199"/>
      <c r="I339" s="111"/>
      <c r="J339" s="111"/>
      <c r="K339" s="111"/>
      <c r="L339" s="111"/>
      <c r="M339" s="6"/>
      <c r="N339" s="138"/>
      <c r="O339" s="138"/>
      <c r="P339" s="9"/>
      <c r="Q339" s="9"/>
      <c r="R339" s="153"/>
    </row>
    <row r="340" spans="8:18" x14ac:dyDescent="0.3">
      <c r="H340" s="199"/>
      <c r="I340" s="111"/>
      <c r="J340" s="111"/>
      <c r="K340" s="111"/>
      <c r="L340" s="111"/>
      <c r="M340" s="6"/>
      <c r="N340" s="138"/>
      <c r="O340" s="138"/>
      <c r="P340" s="9"/>
      <c r="Q340" s="9"/>
      <c r="R340" s="153"/>
    </row>
    <row r="341" spans="8:18" x14ac:dyDescent="0.3">
      <c r="H341" s="199"/>
      <c r="I341" s="111"/>
      <c r="J341" s="111"/>
      <c r="K341" s="111"/>
      <c r="L341" s="111"/>
      <c r="M341" s="6"/>
      <c r="N341" s="138"/>
      <c r="O341" s="138"/>
      <c r="P341" s="9"/>
      <c r="Q341" s="9"/>
      <c r="R341" s="153"/>
    </row>
    <row r="342" spans="8:18" x14ac:dyDescent="0.3">
      <c r="H342" s="199"/>
      <c r="I342" s="111"/>
      <c r="J342" s="111"/>
      <c r="K342" s="111"/>
      <c r="L342" s="111"/>
      <c r="M342" s="6"/>
      <c r="N342" s="138"/>
      <c r="O342" s="138"/>
      <c r="P342" s="9"/>
      <c r="Q342" s="9"/>
      <c r="R342" s="153"/>
    </row>
    <row r="343" spans="8:18" x14ac:dyDescent="0.3">
      <c r="H343" s="199"/>
      <c r="I343" s="111"/>
      <c r="J343" s="111"/>
      <c r="K343" s="111"/>
      <c r="L343" s="111"/>
      <c r="M343" s="6"/>
      <c r="N343" s="138"/>
      <c r="O343" s="138"/>
      <c r="P343" s="9"/>
      <c r="Q343" s="9"/>
      <c r="R343" s="153"/>
    </row>
    <row r="344" spans="8:18" x14ac:dyDescent="0.3">
      <c r="H344" s="199"/>
      <c r="I344" s="111"/>
      <c r="J344" s="111"/>
      <c r="K344" s="111"/>
      <c r="L344" s="111"/>
      <c r="M344" s="6"/>
      <c r="N344" s="138"/>
      <c r="O344" s="138"/>
      <c r="P344" s="9"/>
      <c r="Q344" s="9"/>
      <c r="R344" s="153"/>
    </row>
    <row r="345" spans="8:18" x14ac:dyDescent="0.3">
      <c r="H345" s="199"/>
      <c r="I345" s="111"/>
      <c r="J345" s="111"/>
      <c r="K345" s="111"/>
      <c r="L345" s="111"/>
      <c r="M345" s="6"/>
      <c r="N345" s="138"/>
      <c r="O345" s="138"/>
      <c r="P345" s="9"/>
      <c r="Q345" s="9"/>
      <c r="R345" s="153"/>
    </row>
    <row r="346" spans="8:18" x14ac:dyDescent="0.3">
      <c r="H346" s="199"/>
      <c r="I346" s="111"/>
      <c r="J346" s="111"/>
      <c r="K346" s="111"/>
      <c r="L346" s="111"/>
      <c r="M346" s="6"/>
      <c r="N346" s="138"/>
      <c r="O346" s="138"/>
      <c r="P346" s="9"/>
      <c r="Q346" s="9"/>
      <c r="R346" s="153"/>
    </row>
    <row r="347" spans="8:18" x14ac:dyDescent="0.3">
      <c r="H347" s="199"/>
      <c r="I347" s="111"/>
      <c r="J347" s="111"/>
      <c r="K347" s="111"/>
      <c r="L347" s="111"/>
      <c r="M347" s="6"/>
      <c r="N347" s="138"/>
      <c r="O347" s="138"/>
      <c r="P347" s="9"/>
      <c r="Q347" s="9"/>
      <c r="R347" s="153"/>
    </row>
    <row r="348" spans="8:18" x14ac:dyDescent="0.3">
      <c r="H348" s="199"/>
      <c r="I348" s="111"/>
      <c r="J348" s="111"/>
      <c r="K348" s="111"/>
      <c r="L348" s="111"/>
      <c r="M348" s="6"/>
      <c r="N348" s="138"/>
      <c r="O348" s="138"/>
      <c r="P348" s="9"/>
      <c r="Q348" s="9"/>
      <c r="R348" s="153"/>
    </row>
    <row r="349" spans="8:18" x14ac:dyDescent="0.3">
      <c r="H349" s="199"/>
      <c r="I349" s="111"/>
      <c r="J349" s="111"/>
      <c r="K349" s="111"/>
      <c r="L349" s="111"/>
      <c r="M349" s="6"/>
      <c r="N349" s="138"/>
      <c r="O349" s="138"/>
      <c r="P349" s="9"/>
      <c r="Q349" s="9"/>
      <c r="R349" s="153"/>
    </row>
    <row r="350" spans="8:18" x14ac:dyDescent="0.3">
      <c r="H350" s="199"/>
      <c r="I350" s="111"/>
      <c r="J350" s="111"/>
      <c r="K350" s="111"/>
      <c r="L350" s="111"/>
      <c r="M350" s="6"/>
      <c r="N350" s="138"/>
      <c r="O350" s="138"/>
      <c r="P350" s="9"/>
      <c r="Q350" s="9"/>
      <c r="R350" s="153"/>
    </row>
    <row r="351" spans="8:18" x14ac:dyDescent="0.3">
      <c r="H351" s="199"/>
      <c r="I351" s="111"/>
      <c r="J351" s="111"/>
      <c r="K351" s="111"/>
      <c r="L351" s="111"/>
      <c r="M351" s="6"/>
      <c r="N351" s="138"/>
      <c r="O351" s="138"/>
      <c r="P351" s="9"/>
      <c r="Q351" s="9"/>
      <c r="R351" s="153"/>
    </row>
    <row r="352" spans="8:18" x14ac:dyDescent="0.3">
      <c r="H352" s="199"/>
      <c r="I352" s="111"/>
      <c r="J352" s="111"/>
      <c r="K352" s="111"/>
      <c r="L352" s="111"/>
      <c r="M352" s="6"/>
      <c r="N352" s="138"/>
      <c r="O352" s="138"/>
      <c r="P352" s="9"/>
      <c r="Q352" s="9"/>
      <c r="R352" s="153"/>
    </row>
    <row r="353" spans="8:18" x14ac:dyDescent="0.3">
      <c r="H353" s="199"/>
      <c r="I353" s="111"/>
      <c r="J353" s="111"/>
      <c r="K353" s="111"/>
      <c r="L353" s="111"/>
      <c r="M353" s="6"/>
      <c r="N353" s="138"/>
      <c r="O353" s="138"/>
      <c r="P353" s="9"/>
      <c r="Q353" s="9"/>
      <c r="R353" s="153"/>
    </row>
    <row r="354" spans="8:18" x14ac:dyDescent="0.3">
      <c r="H354" s="199"/>
      <c r="I354" s="111"/>
      <c r="J354" s="111"/>
      <c r="K354" s="111"/>
      <c r="L354" s="111"/>
      <c r="M354" s="6"/>
      <c r="N354" s="138"/>
      <c r="O354" s="138"/>
      <c r="P354" s="9"/>
      <c r="Q354" s="9"/>
      <c r="R354" s="153"/>
    </row>
    <row r="355" spans="8:18" x14ac:dyDescent="0.3">
      <c r="H355" s="199"/>
      <c r="I355" s="111"/>
      <c r="J355" s="111"/>
      <c r="K355" s="111"/>
      <c r="L355" s="111"/>
      <c r="M355" s="6"/>
      <c r="N355" s="138"/>
      <c r="O355" s="138"/>
      <c r="P355" s="9"/>
      <c r="Q355" s="9"/>
      <c r="R355" s="153"/>
    </row>
    <row r="356" spans="8:18" x14ac:dyDescent="0.3">
      <c r="H356" s="199"/>
      <c r="I356" s="111"/>
      <c r="J356" s="111"/>
      <c r="K356" s="111"/>
      <c r="L356" s="111"/>
      <c r="M356" s="6"/>
      <c r="N356" s="138"/>
      <c r="O356" s="138"/>
      <c r="P356" s="9"/>
      <c r="Q356" s="9"/>
      <c r="R356" s="153"/>
    </row>
    <row r="357" spans="8:18" x14ac:dyDescent="0.3">
      <c r="H357" s="199"/>
      <c r="I357" s="111"/>
      <c r="J357" s="111"/>
      <c r="K357" s="111"/>
      <c r="L357" s="111"/>
      <c r="M357" s="6"/>
      <c r="N357" s="138"/>
      <c r="O357" s="138"/>
      <c r="P357" s="9"/>
      <c r="Q357" s="9"/>
      <c r="R357" s="153"/>
    </row>
    <row r="358" spans="8:18" x14ac:dyDescent="0.3">
      <c r="H358" s="199"/>
      <c r="I358" s="111"/>
      <c r="J358" s="111"/>
      <c r="K358" s="111"/>
      <c r="L358" s="111"/>
      <c r="M358" s="6"/>
      <c r="N358" s="138"/>
      <c r="O358" s="138"/>
      <c r="P358" s="9"/>
      <c r="Q358" s="9"/>
      <c r="R358" s="153"/>
    </row>
    <row r="359" spans="8:18" x14ac:dyDescent="0.3">
      <c r="H359" s="199"/>
      <c r="I359" s="111"/>
      <c r="J359" s="111"/>
      <c r="K359" s="111"/>
      <c r="L359" s="111"/>
      <c r="M359" s="6"/>
      <c r="N359" s="138"/>
      <c r="O359" s="138"/>
      <c r="P359" s="9"/>
      <c r="Q359" s="9"/>
      <c r="R359" s="153"/>
    </row>
    <row r="360" spans="8:18" x14ac:dyDescent="0.3">
      <c r="H360" s="199"/>
      <c r="I360" s="111"/>
      <c r="J360" s="111"/>
      <c r="K360" s="111"/>
      <c r="L360" s="111"/>
      <c r="M360" s="6"/>
      <c r="N360" s="138"/>
      <c r="O360" s="138"/>
      <c r="P360" s="9"/>
      <c r="Q360" s="9"/>
      <c r="R360" s="153"/>
    </row>
    <row r="361" spans="8:18" x14ac:dyDescent="0.3">
      <c r="H361" s="199"/>
      <c r="I361" s="111"/>
      <c r="J361" s="111"/>
      <c r="K361" s="111"/>
      <c r="L361" s="111"/>
      <c r="M361" s="6"/>
      <c r="N361" s="138"/>
      <c r="O361" s="138"/>
      <c r="P361" s="9"/>
      <c r="Q361" s="9"/>
      <c r="R361" s="153"/>
    </row>
    <row r="362" spans="8:18" x14ac:dyDescent="0.3">
      <c r="H362" s="199"/>
      <c r="I362" s="111"/>
      <c r="J362" s="111"/>
      <c r="K362" s="111"/>
      <c r="L362" s="111"/>
      <c r="M362" s="6"/>
      <c r="N362" s="138"/>
      <c r="O362" s="138"/>
      <c r="P362" s="9"/>
      <c r="Q362" s="9"/>
      <c r="R362" s="153"/>
    </row>
    <row r="363" spans="8:18" x14ac:dyDescent="0.3">
      <c r="H363" s="199"/>
      <c r="I363" s="111"/>
      <c r="J363" s="111"/>
      <c r="K363" s="111"/>
      <c r="L363" s="111"/>
      <c r="M363" s="6"/>
      <c r="N363" s="138"/>
      <c r="O363" s="138"/>
      <c r="P363" s="9"/>
      <c r="Q363" s="9"/>
      <c r="R363" s="153"/>
    </row>
    <row r="364" spans="8:18" x14ac:dyDescent="0.3">
      <c r="H364" s="199"/>
      <c r="I364" s="111"/>
      <c r="J364" s="111"/>
      <c r="K364" s="111"/>
      <c r="L364" s="111"/>
      <c r="M364" s="6"/>
      <c r="N364" s="138"/>
      <c r="O364" s="138"/>
      <c r="P364" s="9"/>
      <c r="Q364" s="9"/>
      <c r="R364" s="153"/>
    </row>
    <row r="365" spans="8:18" x14ac:dyDescent="0.3">
      <c r="H365" s="199"/>
      <c r="I365" s="111"/>
      <c r="J365" s="111"/>
      <c r="K365" s="111"/>
      <c r="L365" s="111"/>
      <c r="M365" s="6"/>
      <c r="N365" s="138"/>
      <c r="O365" s="138"/>
      <c r="P365" s="9"/>
      <c r="Q365" s="9"/>
      <c r="R365" s="153"/>
    </row>
    <row r="366" spans="8:18" x14ac:dyDescent="0.3">
      <c r="H366" s="199"/>
      <c r="I366" s="111"/>
      <c r="J366" s="111"/>
      <c r="K366" s="111"/>
      <c r="L366" s="111"/>
      <c r="M366" s="6"/>
      <c r="N366" s="138"/>
      <c r="O366" s="138"/>
      <c r="P366" s="9"/>
      <c r="Q366" s="9"/>
      <c r="R366" s="153"/>
    </row>
    <row r="367" spans="8:18" x14ac:dyDescent="0.3">
      <c r="H367" s="199"/>
      <c r="I367" s="111"/>
      <c r="J367" s="111"/>
      <c r="K367" s="111"/>
      <c r="L367" s="111"/>
      <c r="M367" s="6"/>
      <c r="N367" s="138"/>
      <c r="O367" s="138"/>
      <c r="P367" s="9"/>
      <c r="Q367" s="9"/>
      <c r="R367" s="153"/>
    </row>
    <row r="368" spans="8:18" x14ac:dyDescent="0.3">
      <c r="H368" s="199"/>
      <c r="I368" s="111"/>
      <c r="J368" s="111"/>
      <c r="K368" s="111"/>
      <c r="L368" s="111"/>
      <c r="M368" s="6"/>
      <c r="N368" s="138"/>
      <c r="O368" s="138"/>
      <c r="P368" s="9"/>
      <c r="Q368" s="9"/>
      <c r="R368" s="153"/>
    </row>
    <row r="369" spans="8:18" x14ac:dyDescent="0.3">
      <c r="H369" s="199"/>
      <c r="I369" s="111"/>
      <c r="J369" s="111"/>
      <c r="K369" s="111"/>
      <c r="L369" s="111"/>
      <c r="M369" s="6"/>
      <c r="N369" s="138"/>
      <c r="O369" s="138"/>
      <c r="P369" s="9"/>
      <c r="Q369" s="9"/>
      <c r="R369" s="153"/>
    </row>
    <row r="370" spans="8:18" x14ac:dyDescent="0.3">
      <c r="H370" s="199"/>
      <c r="I370" s="111"/>
      <c r="J370" s="111"/>
      <c r="K370" s="111"/>
      <c r="L370" s="111"/>
      <c r="M370" s="6"/>
      <c r="N370" s="138"/>
      <c r="O370" s="138"/>
      <c r="P370" s="9"/>
      <c r="Q370" s="9"/>
      <c r="R370" s="153"/>
    </row>
    <row r="371" spans="8:18" x14ac:dyDescent="0.3">
      <c r="H371" s="199"/>
      <c r="I371" s="111"/>
      <c r="J371" s="111"/>
      <c r="K371" s="111"/>
      <c r="L371" s="111"/>
      <c r="M371" s="6"/>
      <c r="N371" s="138"/>
      <c r="O371" s="138"/>
      <c r="P371" s="9"/>
      <c r="Q371" s="9"/>
      <c r="R371" s="153"/>
    </row>
    <row r="372" spans="8:18" x14ac:dyDescent="0.3">
      <c r="H372" s="199"/>
      <c r="I372" s="111"/>
      <c r="J372" s="111"/>
      <c r="K372" s="111"/>
      <c r="L372" s="111"/>
      <c r="M372" s="6"/>
      <c r="N372" s="138"/>
      <c r="O372" s="138"/>
      <c r="P372" s="9"/>
      <c r="Q372" s="9"/>
      <c r="R372" s="153"/>
    </row>
    <row r="373" spans="8:18" x14ac:dyDescent="0.3">
      <c r="H373" s="199"/>
      <c r="I373" s="111"/>
      <c r="J373" s="111"/>
      <c r="K373" s="111"/>
      <c r="L373" s="111"/>
      <c r="M373" s="6"/>
      <c r="N373" s="138"/>
      <c r="O373" s="138"/>
      <c r="P373" s="9"/>
      <c r="Q373" s="9"/>
      <c r="R373" s="153"/>
    </row>
    <row r="374" spans="8:18" x14ac:dyDescent="0.3">
      <c r="H374" s="199"/>
      <c r="I374" s="111"/>
      <c r="J374" s="111"/>
      <c r="K374" s="111"/>
      <c r="L374" s="111"/>
      <c r="M374" s="6"/>
      <c r="N374" s="138"/>
      <c r="O374" s="138"/>
      <c r="P374" s="9"/>
      <c r="Q374" s="9"/>
      <c r="R374" s="153"/>
    </row>
    <row r="375" spans="8:18" x14ac:dyDescent="0.3">
      <c r="H375" s="199"/>
      <c r="I375" s="111"/>
      <c r="J375" s="111"/>
      <c r="K375" s="111"/>
      <c r="L375" s="111"/>
      <c r="M375" s="6"/>
      <c r="N375" s="138"/>
      <c r="O375" s="138"/>
      <c r="P375" s="9"/>
      <c r="Q375" s="9"/>
      <c r="R375" s="153"/>
    </row>
    <row r="376" spans="8:18" x14ac:dyDescent="0.3">
      <c r="H376" s="199"/>
      <c r="I376" s="111"/>
      <c r="J376" s="111"/>
      <c r="K376" s="111"/>
      <c r="L376" s="111"/>
      <c r="M376" s="6"/>
      <c r="N376" s="138"/>
      <c r="O376" s="138"/>
      <c r="P376" s="9"/>
      <c r="Q376" s="9"/>
      <c r="R376" s="153"/>
    </row>
    <row r="377" spans="8:18" x14ac:dyDescent="0.3">
      <c r="H377" s="199"/>
      <c r="I377" s="111"/>
      <c r="J377" s="111"/>
      <c r="K377" s="111"/>
      <c r="L377" s="111"/>
      <c r="M377" s="6"/>
      <c r="N377" s="138"/>
      <c r="O377" s="138"/>
      <c r="P377" s="9"/>
      <c r="Q377" s="9"/>
      <c r="R377" s="153"/>
    </row>
    <row r="378" spans="8:18" x14ac:dyDescent="0.3">
      <c r="H378" s="199"/>
      <c r="I378" s="111"/>
      <c r="J378" s="111"/>
      <c r="K378" s="111"/>
      <c r="L378" s="111"/>
      <c r="M378" s="6"/>
      <c r="N378" s="138"/>
      <c r="O378" s="138"/>
      <c r="P378" s="9"/>
      <c r="Q378" s="9"/>
      <c r="R378" s="153"/>
    </row>
    <row r="379" spans="8:18" x14ac:dyDescent="0.3">
      <c r="H379" s="199"/>
      <c r="I379" s="111"/>
      <c r="J379" s="111"/>
      <c r="K379" s="111"/>
      <c r="L379" s="111"/>
      <c r="M379" s="6"/>
      <c r="N379" s="138"/>
      <c r="O379" s="138"/>
      <c r="P379" s="9"/>
      <c r="Q379" s="9"/>
      <c r="R379" s="153"/>
    </row>
    <row r="380" spans="8:18" x14ac:dyDescent="0.3">
      <c r="H380" s="199"/>
      <c r="I380" s="111"/>
      <c r="J380" s="111"/>
      <c r="K380" s="111"/>
      <c r="L380" s="111"/>
      <c r="M380" s="6"/>
      <c r="N380" s="138"/>
      <c r="O380" s="138"/>
      <c r="P380" s="9"/>
      <c r="Q380" s="9"/>
      <c r="R380" s="153"/>
    </row>
    <row r="381" spans="8:18" x14ac:dyDescent="0.3">
      <c r="H381" s="199"/>
      <c r="I381" s="111"/>
      <c r="J381" s="111"/>
      <c r="K381" s="111"/>
      <c r="L381" s="111"/>
      <c r="M381" s="6"/>
      <c r="N381" s="138"/>
      <c r="O381" s="138"/>
      <c r="P381" s="9"/>
      <c r="Q381" s="9"/>
      <c r="R381" s="153"/>
    </row>
    <row r="382" spans="8:18" x14ac:dyDescent="0.3">
      <c r="H382" s="199"/>
      <c r="I382" s="111"/>
      <c r="J382" s="111"/>
      <c r="K382" s="111"/>
      <c r="L382" s="111"/>
      <c r="M382" s="6"/>
      <c r="N382" s="138"/>
      <c r="O382" s="138"/>
      <c r="P382" s="9"/>
      <c r="Q382" s="9"/>
      <c r="R382" s="153"/>
    </row>
    <row r="383" spans="8:18" x14ac:dyDescent="0.3">
      <c r="H383" s="199"/>
      <c r="I383" s="111"/>
      <c r="J383" s="111"/>
      <c r="K383" s="111"/>
      <c r="L383" s="111"/>
      <c r="M383" s="6"/>
      <c r="N383" s="138"/>
      <c r="O383" s="138"/>
      <c r="P383" s="9"/>
      <c r="Q383" s="9"/>
      <c r="R383" s="153"/>
    </row>
    <row r="384" spans="8:18" x14ac:dyDescent="0.3">
      <c r="H384" s="199"/>
      <c r="I384" s="111"/>
      <c r="J384" s="111"/>
      <c r="K384" s="111"/>
      <c r="L384" s="111"/>
      <c r="M384" s="6"/>
      <c r="N384" s="138"/>
      <c r="O384" s="138"/>
      <c r="P384" s="9"/>
      <c r="Q384" s="9"/>
      <c r="R384" s="153"/>
    </row>
    <row r="385" spans="8:18" x14ac:dyDescent="0.3">
      <c r="H385" s="199"/>
      <c r="I385" s="111"/>
      <c r="J385" s="111"/>
      <c r="K385" s="111"/>
      <c r="L385" s="111"/>
      <c r="M385" s="6"/>
      <c r="N385" s="138"/>
      <c r="O385" s="138"/>
      <c r="P385" s="9"/>
      <c r="Q385" s="9"/>
      <c r="R385" s="153"/>
    </row>
    <row r="386" spans="8:18" x14ac:dyDescent="0.3">
      <c r="H386" s="199"/>
      <c r="I386" s="111"/>
      <c r="J386" s="111"/>
      <c r="K386" s="111"/>
      <c r="L386" s="111"/>
      <c r="M386" s="6"/>
      <c r="N386" s="138"/>
      <c r="O386" s="138"/>
      <c r="P386" s="9"/>
      <c r="Q386" s="9"/>
      <c r="R386" s="153"/>
    </row>
    <row r="387" spans="8:18" x14ac:dyDescent="0.3">
      <c r="H387" s="199"/>
      <c r="I387" s="111"/>
      <c r="J387" s="111"/>
      <c r="K387" s="111"/>
      <c r="L387" s="111"/>
      <c r="M387" s="6"/>
      <c r="N387" s="138"/>
      <c r="O387" s="138"/>
      <c r="P387" s="9"/>
      <c r="Q387" s="9"/>
      <c r="R387" s="153"/>
    </row>
    <row r="388" spans="8:18" x14ac:dyDescent="0.3">
      <c r="H388" s="199"/>
      <c r="I388" s="111"/>
      <c r="J388" s="111"/>
      <c r="K388" s="111"/>
      <c r="L388" s="111"/>
      <c r="M388" s="6"/>
      <c r="N388" s="138"/>
      <c r="O388" s="138"/>
      <c r="P388" s="9"/>
      <c r="Q388" s="9"/>
      <c r="R388" s="153"/>
    </row>
    <row r="389" spans="8:18" x14ac:dyDescent="0.3">
      <c r="H389" s="199"/>
      <c r="I389" s="111"/>
      <c r="J389" s="111"/>
      <c r="K389" s="111"/>
      <c r="L389" s="111"/>
      <c r="M389" s="6"/>
      <c r="N389" s="138"/>
      <c r="O389" s="138"/>
      <c r="P389" s="9"/>
      <c r="Q389" s="9"/>
      <c r="R389" s="153"/>
    </row>
    <row r="390" spans="8:18" x14ac:dyDescent="0.3">
      <c r="H390" s="199"/>
      <c r="I390" s="111"/>
      <c r="J390" s="111"/>
      <c r="K390" s="111"/>
      <c r="L390" s="111"/>
      <c r="M390" s="6"/>
      <c r="N390" s="138"/>
      <c r="O390" s="138"/>
      <c r="P390" s="9"/>
      <c r="Q390" s="9"/>
      <c r="R390" s="153"/>
    </row>
    <row r="391" spans="8:18" x14ac:dyDescent="0.3">
      <c r="H391" s="199"/>
      <c r="I391" s="111"/>
      <c r="J391" s="111"/>
      <c r="K391" s="111"/>
      <c r="L391" s="111"/>
      <c r="M391" s="6"/>
      <c r="N391" s="138"/>
      <c r="O391" s="138"/>
      <c r="P391" s="9"/>
      <c r="Q391" s="9"/>
      <c r="R391" s="153"/>
    </row>
    <row r="392" spans="8:18" x14ac:dyDescent="0.3">
      <c r="H392" s="199"/>
      <c r="I392" s="111"/>
      <c r="J392" s="111"/>
      <c r="K392" s="111"/>
      <c r="L392" s="111"/>
      <c r="M392" s="6"/>
      <c r="N392" s="138"/>
      <c r="O392" s="138"/>
      <c r="P392" s="9"/>
      <c r="Q392" s="9"/>
      <c r="R392" s="153"/>
    </row>
    <row r="393" spans="8:18" x14ac:dyDescent="0.3">
      <c r="H393" s="199"/>
      <c r="I393" s="111"/>
      <c r="J393" s="111"/>
      <c r="K393" s="111"/>
      <c r="L393" s="111"/>
      <c r="M393" s="6"/>
      <c r="N393" s="138"/>
      <c r="O393" s="138"/>
      <c r="P393" s="9"/>
      <c r="Q393" s="9"/>
      <c r="R393" s="153"/>
    </row>
    <row r="394" spans="8:18" x14ac:dyDescent="0.3">
      <c r="H394" s="199"/>
      <c r="I394" s="111"/>
      <c r="J394" s="111"/>
      <c r="K394" s="111"/>
      <c r="L394" s="111"/>
      <c r="M394" s="6"/>
      <c r="N394" s="138"/>
      <c r="O394" s="138"/>
      <c r="P394" s="9"/>
      <c r="Q394" s="9"/>
      <c r="R394" s="153"/>
    </row>
    <row r="395" spans="8:18" x14ac:dyDescent="0.3">
      <c r="H395" s="199"/>
      <c r="I395" s="111"/>
      <c r="J395" s="111"/>
      <c r="K395" s="111"/>
      <c r="L395" s="111"/>
      <c r="M395" s="6"/>
      <c r="N395" s="138"/>
      <c r="O395" s="138"/>
      <c r="P395" s="9"/>
      <c r="Q395" s="9"/>
      <c r="R395" s="153"/>
    </row>
    <row r="396" spans="8:18" x14ac:dyDescent="0.3">
      <c r="H396" s="199"/>
      <c r="I396" s="111"/>
      <c r="J396" s="111"/>
      <c r="K396" s="111"/>
      <c r="L396" s="111"/>
      <c r="M396" s="6"/>
      <c r="N396" s="138"/>
      <c r="O396" s="138"/>
      <c r="P396" s="9"/>
      <c r="Q396" s="9"/>
      <c r="R396" s="153"/>
    </row>
    <row r="397" spans="8:18" x14ac:dyDescent="0.3">
      <c r="H397" s="199"/>
      <c r="I397" s="111"/>
      <c r="J397" s="111"/>
      <c r="K397" s="111"/>
      <c r="L397" s="111"/>
      <c r="M397" s="6"/>
      <c r="N397" s="138"/>
      <c r="O397" s="138"/>
      <c r="P397" s="9"/>
      <c r="Q397" s="9"/>
      <c r="R397" s="153"/>
    </row>
    <row r="398" spans="8:18" x14ac:dyDescent="0.3">
      <c r="H398" s="199"/>
      <c r="I398" s="111"/>
      <c r="J398" s="111"/>
      <c r="K398" s="111"/>
      <c r="L398" s="111"/>
      <c r="M398" s="6"/>
      <c r="N398" s="138"/>
      <c r="O398" s="138"/>
      <c r="P398" s="9"/>
      <c r="Q398" s="9"/>
      <c r="R398" s="153"/>
    </row>
    <row r="399" spans="8:18" x14ac:dyDescent="0.3">
      <c r="H399" s="199"/>
      <c r="I399" s="111"/>
      <c r="J399" s="111"/>
      <c r="K399" s="111"/>
      <c r="L399" s="111"/>
      <c r="M399" s="6"/>
      <c r="N399" s="138"/>
      <c r="O399" s="138"/>
      <c r="P399" s="9"/>
      <c r="Q399" s="9"/>
      <c r="R399" s="153"/>
    </row>
    <row r="400" spans="8:18" x14ac:dyDescent="0.3">
      <c r="H400" s="199"/>
      <c r="I400" s="111"/>
      <c r="J400" s="111"/>
      <c r="K400" s="111"/>
      <c r="L400" s="111"/>
      <c r="M400" s="6"/>
      <c r="N400" s="138"/>
      <c r="O400" s="138"/>
      <c r="P400" s="9"/>
      <c r="Q400" s="9"/>
      <c r="R400" s="153"/>
    </row>
    <row r="401" spans="8:18" x14ac:dyDescent="0.3">
      <c r="H401" s="199"/>
      <c r="I401" s="111"/>
      <c r="J401" s="111"/>
      <c r="K401" s="111"/>
      <c r="L401" s="111"/>
      <c r="M401" s="6"/>
      <c r="N401" s="138"/>
      <c r="O401" s="138"/>
      <c r="P401" s="9"/>
      <c r="Q401" s="9"/>
      <c r="R401" s="153"/>
    </row>
    <row r="402" spans="8:18" x14ac:dyDescent="0.3">
      <c r="H402" s="199"/>
      <c r="I402" s="111"/>
      <c r="J402" s="111"/>
      <c r="K402" s="111"/>
      <c r="L402" s="111"/>
      <c r="M402" s="6"/>
      <c r="N402" s="138"/>
      <c r="O402" s="138"/>
      <c r="P402" s="9"/>
      <c r="Q402" s="9"/>
      <c r="R402" s="153"/>
    </row>
    <row r="403" spans="8:18" x14ac:dyDescent="0.3">
      <c r="H403" s="199"/>
      <c r="I403" s="111"/>
      <c r="J403" s="111"/>
      <c r="K403" s="111"/>
      <c r="L403" s="111"/>
      <c r="M403" s="6"/>
      <c r="N403" s="138"/>
      <c r="O403" s="138"/>
      <c r="P403" s="9"/>
      <c r="Q403" s="9"/>
      <c r="R403" s="153"/>
    </row>
    <row r="404" spans="8:18" x14ac:dyDescent="0.3">
      <c r="H404" s="199"/>
      <c r="I404" s="111"/>
      <c r="J404" s="111"/>
      <c r="K404" s="111"/>
      <c r="L404" s="111"/>
      <c r="M404" s="6"/>
      <c r="N404" s="138"/>
      <c r="O404" s="138"/>
      <c r="P404" s="9"/>
      <c r="Q404" s="9"/>
      <c r="R404" s="153"/>
    </row>
    <row r="405" spans="8:18" x14ac:dyDescent="0.3">
      <c r="H405" s="199"/>
      <c r="I405" s="111"/>
      <c r="K405" s="111"/>
      <c r="M405" s="6"/>
      <c r="N405" s="138"/>
      <c r="O405" s="138"/>
      <c r="P405" s="9"/>
      <c r="Q405" s="9"/>
      <c r="R405" s="153"/>
    </row>
  </sheetData>
  <pageMargins left="0.511811024" right="0.511811024" top="0.78740157499999996" bottom="0.78740157499999996" header="0.31496062000000002" footer="0.31496062000000002"/>
  <pageSetup scale="44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79AC-48FC-4E87-B1BB-FD39BEAB5CCF}">
  <sheetPr>
    <tabColor rgb="FF00244A"/>
    <pageSetUpPr fitToPage="1"/>
  </sheetPr>
  <dimension ref="A1:BH297"/>
  <sheetViews>
    <sheetView showGridLines="0" tabSelected="1" topLeftCell="H5" zoomScale="85" zoomScaleNormal="85" workbookViewId="0">
      <selection activeCell="O7" sqref="O7"/>
    </sheetView>
  </sheetViews>
  <sheetFormatPr defaultColWidth="8.88671875" defaultRowHeight="14.4" outlineLevelCol="1" x14ac:dyDescent="0.3"/>
  <cols>
    <col min="1" max="1" width="3.44140625" style="232" customWidth="1"/>
    <col min="2" max="2" width="9" style="233" customWidth="1" outlineLevel="1"/>
    <col min="3" max="3" width="12" style="234" bestFit="1" customWidth="1" outlineLevel="1"/>
    <col min="4" max="4" width="10" style="181" hidden="1" customWidth="1" outlineLevel="1"/>
    <col min="5" max="5" width="9" style="181" hidden="1" customWidth="1" outlineLevel="1"/>
    <col min="6" max="6" width="8.6640625" style="181" hidden="1" customWidth="1" outlineLevel="1"/>
    <col min="7" max="7" width="11.5546875" style="181" hidden="1" customWidth="1" outlineLevel="1"/>
    <col min="8" max="8" width="62.44140625" style="235" bestFit="1" customWidth="1"/>
    <col min="9" max="9" width="28.44140625" style="236" bestFit="1" customWidth="1" outlineLevel="1"/>
    <col min="10" max="10" width="26.5546875" style="232" bestFit="1" customWidth="1"/>
    <col min="11" max="11" width="17.88671875" style="236" bestFit="1" customWidth="1"/>
    <col min="12" max="12" width="19.44140625" style="237" bestFit="1" customWidth="1"/>
    <col min="13" max="13" width="28.33203125" style="238" customWidth="1"/>
    <col min="14" max="14" width="16" style="238" customWidth="1"/>
    <col min="15" max="15" width="11.5546875" style="240" customWidth="1" outlineLevel="1"/>
    <col min="16" max="16" width="15.5546875" style="240" customWidth="1"/>
    <col min="17" max="17" width="13.77734375" style="241" customWidth="1"/>
    <col min="18" max="18" width="15" style="242" customWidth="1" outlineLevel="1"/>
    <col min="19" max="30" width="5.77734375" style="232" customWidth="1"/>
    <col min="31" max="31" width="5.77734375" style="242" customWidth="1" outlineLevel="1"/>
    <col min="32" max="32" width="5.77734375" style="232" customWidth="1"/>
    <col min="33" max="34" width="5.77734375" style="242" customWidth="1" outlineLevel="1"/>
    <col min="35" max="36" width="5.77734375" style="232" customWidth="1"/>
    <col min="37" max="37" width="5.77734375" style="242" customWidth="1" outlineLevel="1"/>
    <col min="38" max="38" width="5.77734375" style="243" customWidth="1"/>
    <col min="39" max="59" width="5.77734375" style="232" customWidth="1"/>
    <col min="60" max="16384" width="8.88671875" style="232"/>
  </cols>
  <sheetData>
    <row r="1" spans="1:60" customFormat="1" ht="4.5" customHeight="1" x14ac:dyDescent="0.3">
      <c r="B1" s="53"/>
      <c r="C1" s="181"/>
      <c r="D1" s="181"/>
      <c r="E1" s="181"/>
      <c r="F1" s="181"/>
      <c r="G1" s="181"/>
      <c r="H1" s="183"/>
      <c r="I1" s="106"/>
      <c r="K1" s="106"/>
      <c r="L1" s="4"/>
      <c r="M1" s="158"/>
      <c r="N1" s="158"/>
      <c r="O1" s="8"/>
      <c r="P1" s="8"/>
      <c r="Q1" s="147"/>
      <c r="R1" s="201"/>
      <c r="AE1" s="201"/>
      <c r="AG1" s="201"/>
      <c r="AH1" s="201"/>
      <c r="AK1" s="201"/>
      <c r="AL1" s="146"/>
    </row>
    <row r="2" spans="1:60" customFormat="1" x14ac:dyDescent="0.3">
      <c r="B2" s="53"/>
      <c r="C2" s="181"/>
      <c r="D2" s="181"/>
      <c r="E2" s="181"/>
      <c r="F2" s="181"/>
      <c r="G2" s="181"/>
      <c r="H2" s="184" t="s">
        <v>0</v>
      </c>
      <c r="I2" s="106"/>
      <c r="K2" s="106"/>
      <c r="L2" s="12"/>
      <c r="M2" s="159"/>
      <c r="N2" s="159"/>
      <c r="O2" s="13"/>
      <c r="P2" s="13"/>
      <c r="Q2" s="148"/>
      <c r="R2" s="201"/>
      <c r="AE2" s="201"/>
      <c r="AG2" s="201"/>
      <c r="AH2" s="201"/>
      <c r="AK2" s="201"/>
      <c r="AL2" s="146"/>
    </row>
    <row r="3" spans="1:60" customFormat="1" ht="15" customHeight="1" thickBot="1" x14ac:dyDescent="0.35">
      <c r="B3" s="53"/>
      <c r="C3" s="181"/>
      <c r="D3" s="181"/>
      <c r="E3" s="181"/>
      <c r="F3" s="181"/>
      <c r="G3" s="181"/>
      <c r="H3" s="185" t="s">
        <v>1</v>
      </c>
      <c r="I3" s="106"/>
      <c r="K3" s="106"/>
      <c r="L3" s="21" t="s">
        <v>2</v>
      </c>
      <c r="M3" s="160">
        <v>46164</v>
      </c>
      <c r="N3" s="160"/>
      <c r="O3" s="16"/>
      <c r="P3" s="16"/>
      <c r="Q3" s="149"/>
      <c r="R3" s="201"/>
      <c r="AE3" s="201"/>
      <c r="AG3" s="201"/>
      <c r="AH3" s="201"/>
      <c r="AK3" s="201"/>
      <c r="AL3" s="146"/>
    </row>
    <row r="4" spans="1:60" customFormat="1" ht="5.25" customHeight="1" x14ac:dyDescent="0.3">
      <c r="B4" s="53"/>
      <c r="C4" s="181"/>
      <c r="D4" s="181"/>
      <c r="E4" s="181"/>
      <c r="F4" s="181"/>
      <c r="G4" s="181"/>
      <c r="H4" s="186"/>
      <c r="I4" s="107"/>
      <c r="J4" s="107"/>
      <c r="K4" s="107"/>
      <c r="L4" s="18"/>
      <c r="M4" s="161"/>
      <c r="N4" s="161"/>
      <c r="O4" s="20"/>
      <c r="P4" s="20"/>
      <c r="Q4" s="150"/>
      <c r="R4" s="201"/>
      <c r="AE4" s="201"/>
      <c r="AG4" s="201"/>
      <c r="AH4" s="201"/>
      <c r="AK4" s="201"/>
      <c r="AL4" s="146"/>
    </row>
    <row r="5" spans="1:60" customFormat="1" ht="14.55" customHeight="1" x14ac:dyDescent="0.3">
      <c r="B5" s="53"/>
      <c r="C5" s="181"/>
      <c r="D5" s="181"/>
      <c r="E5" s="181"/>
      <c r="F5" s="181"/>
      <c r="G5" s="181"/>
      <c r="H5" s="187" t="s">
        <v>3</v>
      </c>
      <c r="I5" s="106"/>
      <c r="K5" s="106"/>
      <c r="L5" s="15"/>
      <c r="M5" s="131"/>
      <c r="N5" s="131"/>
      <c r="O5" s="16"/>
      <c r="P5" s="16"/>
      <c r="Q5" s="149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0"/>
      <c r="AM5" s="200"/>
    </row>
    <row r="6" spans="1:60" customFormat="1" ht="28.8" customHeight="1" x14ac:dyDescent="0.3">
      <c r="B6" s="53"/>
      <c r="C6" s="181"/>
      <c r="D6" s="181"/>
      <c r="E6" s="181"/>
      <c r="F6" s="181"/>
      <c r="G6" s="181"/>
      <c r="H6" s="188" t="s">
        <v>357</v>
      </c>
      <c r="I6" s="132"/>
      <c r="J6" s="108"/>
      <c r="K6" s="108"/>
      <c r="L6" s="15"/>
      <c r="M6" s="103"/>
      <c r="N6" s="103"/>
      <c r="O6" s="38" t="s">
        <v>844</v>
      </c>
      <c r="P6" s="38"/>
      <c r="Q6" s="149"/>
      <c r="R6" s="201"/>
      <c r="AE6" s="201"/>
      <c r="AG6" s="201"/>
      <c r="AH6" s="201"/>
      <c r="AK6" s="201"/>
      <c r="AL6" s="146"/>
    </row>
    <row r="7" spans="1:60" customFormat="1" x14ac:dyDescent="0.3">
      <c r="B7" s="53"/>
      <c r="C7" s="181"/>
      <c r="D7" s="181"/>
      <c r="E7" s="181"/>
      <c r="F7" s="181"/>
      <c r="G7" s="181"/>
      <c r="H7" s="189" t="s">
        <v>6</v>
      </c>
      <c r="I7" s="106"/>
      <c r="J7" s="108"/>
      <c r="K7" s="108"/>
      <c r="L7" s="15"/>
      <c r="M7" s="131"/>
      <c r="N7" s="131"/>
      <c r="O7" s="23" t="s">
        <v>7</v>
      </c>
      <c r="P7" s="23"/>
      <c r="Q7" s="149"/>
      <c r="R7" s="209">
        <f>DATEVALUE(Tab.plano6[[#Headers],[23/03/2026]])</f>
        <v>46104</v>
      </c>
      <c r="S7" s="209">
        <f>DATEVALUE(Tab.plano6[[#Headers],[30/03/2026]])</f>
        <v>46111</v>
      </c>
      <c r="T7" s="209">
        <f>DATEVALUE(Tab.plano6[[#Headers],[06/04/2026]])</f>
        <v>46118</v>
      </c>
      <c r="U7" s="209">
        <f>DATEVALUE(Tab.plano6[[#Headers],[13/04/2026]])</f>
        <v>46125</v>
      </c>
      <c r="V7" s="209">
        <f>DATEVALUE(Tab.plano6[[#Headers],[20/04/2026]])</f>
        <v>46132</v>
      </c>
      <c r="W7" s="209">
        <f>DATEVALUE(Tab.plano6[[#Headers],[27/04/2026]])</f>
        <v>46139</v>
      </c>
      <c r="X7" s="209">
        <f>DATEVALUE(Tab.plano6[[#Headers],[04/05/2026]])</f>
        <v>46146</v>
      </c>
      <c r="Y7" s="209">
        <f>DATEVALUE(Tab.plano6[[#Headers],[11/05/2026]])</f>
        <v>46153</v>
      </c>
      <c r="Z7" s="209">
        <f>DATEVALUE(Tab.plano6[[#Headers],[18/05/2026]])</f>
        <v>46160</v>
      </c>
      <c r="AA7" s="209">
        <f>DATEVALUE(Tab.plano6[[#Headers],[25/05/2026]])</f>
        <v>46167</v>
      </c>
      <c r="AB7" s="209">
        <f>DATEVALUE(Tab.plano6[[#Headers],[01/06/2026]])</f>
        <v>46174</v>
      </c>
      <c r="AC7" s="209">
        <f>DATEVALUE(Tab.plano6[[#Headers],[08/06/2026]])</f>
        <v>46181</v>
      </c>
      <c r="AD7" s="209">
        <f>DATEVALUE(Tab.plano6[[#Headers],[15/06/2026]])</f>
        <v>46188</v>
      </c>
      <c r="AE7" s="209">
        <f>DATEVALUE(Tab.plano6[[#Headers],[22/06/2026]])</f>
        <v>46195</v>
      </c>
      <c r="AF7" s="209">
        <f>DATEVALUE(Tab.plano6[[#Headers],[29/06/2026]])</f>
        <v>46202</v>
      </c>
      <c r="AG7" s="209">
        <f>DATEVALUE(Tab.plano6[[#Headers],[06/07/2026]])</f>
        <v>46209</v>
      </c>
      <c r="AH7" s="209">
        <f>DATEVALUE(Tab.plano6[[#Headers],[13/07/2026]])</f>
        <v>46216</v>
      </c>
      <c r="AI7" s="209">
        <f>DATEVALUE(Tab.plano6[[#Headers],[20/07/2026]])</f>
        <v>46223</v>
      </c>
      <c r="AJ7" s="209">
        <f>DATEVALUE(Tab.plano6[[#Headers],[27/07/2026]])</f>
        <v>46230</v>
      </c>
      <c r="AK7" s="209">
        <f>DATEVALUE(Tab.plano6[[#Headers],[03/08/2026]])</f>
        <v>46237</v>
      </c>
      <c r="AL7" s="209">
        <f>DATEVALUE(Tab.plano6[[#Headers],[10/08/2026]])</f>
        <v>46244</v>
      </c>
      <c r="AM7" s="209">
        <f>DATEVALUE(Tab.plano6[[#Headers],[17/08/2026]])</f>
        <v>46251</v>
      </c>
      <c r="AN7" s="209">
        <f>DATEVALUE(Tab.plano6[[#Headers],[24/08/2026]])</f>
        <v>46258</v>
      </c>
      <c r="AO7" s="209">
        <f>DATEVALUE(Tab.plano6[[#Headers],[31/08/2026]])</f>
        <v>46265</v>
      </c>
      <c r="AP7" s="209">
        <f>DATEVALUE(Tab.plano6[[#Headers],[07/09/2026]])</f>
        <v>46272</v>
      </c>
      <c r="AQ7" s="209">
        <f>DATEVALUE(Tab.plano6[[#Headers],[14/09/2026]])</f>
        <v>46279</v>
      </c>
      <c r="AR7" s="209">
        <f>DATEVALUE(Tab.plano6[[#Headers],[21/09/2026]])</f>
        <v>46286</v>
      </c>
      <c r="AS7" s="209">
        <f>DATEVALUE(Tab.plano6[[#Headers],[28/09/2026]])</f>
        <v>46293</v>
      </c>
      <c r="AT7" s="209">
        <f>DATEVALUE(Tab.plano6[[#Headers],[05/10/2026]])</f>
        <v>46300</v>
      </c>
      <c r="AU7" s="209">
        <f>DATEVALUE(Tab.plano6[[#Headers],[12/10/2026]])</f>
        <v>46307</v>
      </c>
      <c r="AV7" s="209">
        <f>DATEVALUE(Tab.plano6[[#Headers],[19/10/2026]])</f>
        <v>46314</v>
      </c>
      <c r="AW7" s="209">
        <f>DATEVALUE(Tab.plano6[[#Headers],[26/10/2026]])</f>
        <v>46321</v>
      </c>
      <c r="AX7" s="209">
        <f>DATEVALUE(Tab.plano6[[#Headers],[02/11/2026]])</f>
        <v>46328</v>
      </c>
      <c r="AY7" s="209">
        <f>DATEVALUE(Tab.plano6[[#Headers],[09/11/2026]])</f>
        <v>46335</v>
      </c>
      <c r="AZ7" s="209">
        <f>DATEVALUE(Tab.plano6[[#Headers],[16/11/2026]])</f>
        <v>46342</v>
      </c>
      <c r="BA7" s="209">
        <f>DATEVALUE(Tab.plano6[[#Headers],[23/11/2026]])</f>
        <v>46349</v>
      </c>
      <c r="BB7" s="209">
        <f>DATEVALUE(Tab.plano6[[#Headers],[30/11/2026]])</f>
        <v>46356</v>
      </c>
      <c r="BC7" s="209">
        <f>DATEVALUE(Tab.plano6[[#Headers],[07/12/2026]])</f>
        <v>46363</v>
      </c>
      <c r="BD7" s="209">
        <f>DATEVALUE(Tab.plano6[[#Headers],[14/12/2026]])</f>
        <v>46370</v>
      </c>
      <c r="BE7" s="209">
        <f>DATEVALUE(Tab.plano6[[#Headers],[21/12/2026]])</f>
        <v>46377</v>
      </c>
      <c r="BF7" s="209">
        <f>DATEVALUE(Tab.plano6[[#Headers],[28/12/2026]])</f>
        <v>46384</v>
      </c>
      <c r="BG7" s="209"/>
    </row>
    <row r="8" spans="1:60" customFormat="1" x14ac:dyDescent="0.3">
      <c r="B8" s="53"/>
      <c r="C8" s="181"/>
      <c r="D8" s="181"/>
      <c r="E8" s="181"/>
      <c r="F8" s="181"/>
      <c r="G8" s="181"/>
      <c r="H8" s="190"/>
      <c r="I8" s="106"/>
      <c r="J8" s="108"/>
      <c r="K8" s="108"/>
      <c r="L8" s="15"/>
      <c r="M8" s="131"/>
      <c r="N8" s="131"/>
      <c r="O8" s="16"/>
      <c r="P8" s="16"/>
      <c r="Q8" s="149"/>
      <c r="R8" s="201"/>
      <c r="AE8" s="201"/>
      <c r="AG8" s="201"/>
      <c r="AH8" s="201"/>
      <c r="AK8" s="201"/>
      <c r="AL8" s="146"/>
    </row>
    <row r="9" spans="1:60" customFormat="1" ht="4.5" customHeight="1" x14ac:dyDescent="0.3">
      <c r="B9" s="53"/>
      <c r="C9" s="181"/>
      <c r="D9" s="181"/>
      <c r="E9" s="181"/>
      <c r="F9" s="181"/>
      <c r="G9" s="181"/>
      <c r="H9" s="183"/>
      <c r="I9" s="106"/>
      <c r="K9" s="106"/>
      <c r="L9" s="4"/>
      <c r="M9" s="158"/>
      <c r="N9" s="158"/>
      <c r="O9" s="8"/>
      <c r="P9" s="8"/>
      <c r="Q9" s="147"/>
      <c r="R9" s="201"/>
      <c r="AE9" s="201"/>
      <c r="AG9" s="201"/>
      <c r="AH9" s="201"/>
      <c r="AK9" s="201"/>
      <c r="AL9" s="146"/>
    </row>
    <row r="10" spans="1:60" customFormat="1" ht="30" customHeight="1" x14ac:dyDescent="0.3">
      <c r="A10" s="164"/>
      <c r="B10" s="164" t="s">
        <v>8</v>
      </c>
      <c r="C10" s="182" t="s">
        <v>9</v>
      </c>
      <c r="D10" s="182" t="s">
        <v>10</v>
      </c>
      <c r="E10" s="182" t="s">
        <v>11</v>
      </c>
      <c r="F10" s="182" t="s">
        <v>12</v>
      </c>
      <c r="G10" s="182" t="s">
        <v>13</v>
      </c>
      <c r="H10" s="191" t="s">
        <v>14</v>
      </c>
      <c r="I10" s="157" t="s">
        <v>15</v>
      </c>
      <c r="J10" s="157" t="s">
        <v>16</v>
      </c>
      <c r="K10" s="122" t="s">
        <v>17</v>
      </c>
      <c r="L10" s="122" t="s">
        <v>18</v>
      </c>
      <c r="M10" s="122" t="s">
        <v>19</v>
      </c>
      <c r="N10" s="123" t="s">
        <v>20</v>
      </c>
      <c r="O10" s="262" t="s">
        <v>21</v>
      </c>
      <c r="P10" s="122" t="s">
        <v>22</v>
      </c>
      <c r="Q10" s="151" t="s">
        <v>23</v>
      </c>
      <c r="R10" s="151" t="s">
        <v>24</v>
      </c>
      <c r="S10" s="208" t="s">
        <v>358</v>
      </c>
      <c r="T10" s="208" t="s">
        <v>359</v>
      </c>
      <c r="U10" s="208" t="s">
        <v>360</v>
      </c>
      <c r="V10" s="208" t="s">
        <v>361</v>
      </c>
      <c r="W10" s="208" t="s">
        <v>362</v>
      </c>
      <c r="X10" s="208" t="s">
        <v>363</v>
      </c>
      <c r="Y10" s="208" t="s">
        <v>364</v>
      </c>
      <c r="Z10" s="208" t="s">
        <v>365</v>
      </c>
      <c r="AA10" s="208" t="s">
        <v>366</v>
      </c>
      <c r="AB10" s="208" t="s">
        <v>367</v>
      </c>
      <c r="AC10" s="208" t="s">
        <v>368</v>
      </c>
      <c r="AD10" s="208" t="s">
        <v>369</v>
      </c>
      <c r="AE10" s="208" t="s">
        <v>370</v>
      </c>
      <c r="AF10" s="208" t="s">
        <v>371</v>
      </c>
      <c r="AG10" s="208" t="s">
        <v>372</v>
      </c>
      <c r="AH10" s="208" t="s">
        <v>373</v>
      </c>
      <c r="AI10" s="208" t="s">
        <v>374</v>
      </c>
      <c r="AJ10" s="208" t="s">
        <v>375</v>
      </c>
      <c r="AK10" s="208" t="s">
        <v>376</v>
      </c>
      <c r="AL10" s="208" t="s">
        <v>377</v>
      </c>
      <c r="AM10" s="208" t="s">
        <v>378</v>
      </c>
      <c r="AN10" s="208" t="s">
        <v>379</v>
      </c>
      <c r="AO10" s="208" t="s">
        <v>380</v>
      </c>
      <c r="AP10" s="208" t="s">
        <v>381</v>
      </c>
      <c r="AQ10" s="208" t="s">
        <v>382</v>
      </c>
      <c r="AR10" s="208" t="s">
        <v>383</v>
      </c>
      <c r="AS10" s="208" t="s">
        <v>384</v>
      </c>
      <c r="AT10" s="208" t="s">
        <v>385</v>
      </c>
      <c r="AU10" s="208" t="s">
        <v>386</v>
      </c>
      <c r="AV10" s="208" t="s">
        <v>387</v>
      </c>
      <c r="AW10" s="208" t="s">
        <v>388</v>
      </c>
      <c r="AX10" s="208" t="s">
        <v>389</v>
      </c>
      <c r="AY10" s="208" t="s">
        <v>390</v>
      </c>
      <c r="AZ10" s="208" t="s">
        <v>391</v>
      </c>
      <c r="BA10" s="208" t="s">
        <v>392</v>
      </c>
      <c r="BB10" s="208" t="s">
        <v>393</v>
      </c>
      <c r="BC10" s="208" t="s">
        <v>394</v>
      </c>
      <c r="BD10" s="208" t="s">
        <v>395</v>
      </c>
      <c r="BE10" s="208" t="s">
        <v>396</v>
      </c>
      <c r="BF10" s="208" t="s">
        <v>397</v>
      </c>
      <c r="BG10" s="208" t="s">
        <v>398</v>
      </c>
      <c r="BH10" t="s">
        <v>816</v>
      </c>
    </row>
    <row r="11" spans="1:60" customFormat="1" ht="18" hidden="1" customHeight="1" x14ac:dyDescent="0.3">
      <c r="A11" s="212"/>
      <c r="B11" s="212" t="s">
        <v>10</v>
      </c>
      <c r="C11" s="212" t="s">
        <v>73</v>
      </c>
      <c r="D11" s="247" t="s">
        <v>74</v>
      </c>
      <c r="E11" s="247" t="s">
        <v>74</v>
      </c>
      <c r="F11" s="247" t="s">
        <v>74</v>
      </c>
      <c r="G11" s="247" t="s">
        <v>74</v>
      </c>
      <c r="H11" s="213" t="s">
        <v>399</v>
      </c>
      <c r="I11" s="255">
        <f>MIN(I12,I19,I26,I127,I133)</f>
        <v>46090</v>
      </c>
      <c r="J11" s="255">
        <f>MAX(J12,J19,J26,J127,J133)</f>
        <v>46234</v>
      </c>
      <c r="K11" s="255">
        <f>MIN(K12,K19,K26,K127,K133)</f>
        <v>46090</v>
      </c>
      <c r="L11" s="255">
        <f>MAX(L12,L19,L26,L127,L133)</f>
        <v>46234</v>
      </c>
      <c r="M11" s="227" t="s">
        <v>400</v>
      </c>
      <c r="N11" s="227" t="str" cm="1">
        <f t="array" ref="N11">_xlfn.IFS(L11&lt;$M$3,"Concluído",AND(K11&lt;=$M$3,L11&gt;=$M$3,L11&lt;=J11),"Em andamento",AND(K11&lt;=$M$3,L11&gt;=$M$3,L11&gt;J11),"Atrasado",AND(K11&gt;$M$3,I11&gt;$M$3),"Não iniciado",AND(K11&gt;$M$3,I11&lt;=$M$3),"Atrasado",TRUE,"Não iniciado")</f>
        <v>Em andamento</v>
      </c>
      <c r="O11" s="227" cm="1">
        <f t="array" ref="O11">_xlfn.IFS(N11="Não iniciado",0,N11="Em andamento",1,N11="Concluído",2,N11="Atrasado",3)</f>
        <v>1</v>
      </c>
      <c r="P11" s="212"/>
      <c r="Q11" s="222">
        <f t="shared" ref="Q11:BG11" si="0">0.1*Q12+0.1*Q19+0.5*Q26+0.1*Q127+0.2*Q133</f>
        <v>0.54583333333333339</v>
      </c>
      <c r="R11" s="222">
        <f t="shared" si="0"/>
        <v>0.50833333333333341</v>
      </c>
      <c r="S11" s="222">
        <f t="shared" si="0"/>
        <v>7.5000000000000011E-2</v>
      </c>
      <c r="T11" s="222">
        <f t="shared" si="0"/>
        <v>0.1</v>
      </c>
      <c r="U11" s="222">
        <f t="shared" si="0"/>
        <v>0.19071864449192233</v>
      </c>
      <c r="V11" s="222">
        <f t="shared" si="0"/>
        <v>0.23779419122505804</v>
      </c>
      <c r="W11" s="222">
        <f t="shared" si="0"/>
        <v>0.3082493675878234</v>
      </c>
      <c r="X11" s="222">
        <f t="shared" si="0"/>
        <v>0.3252788552835037</v>
      </c>
      <c r="Y11" s="222">
        <f t="shared" si="0"/>
        <v>0.38573823158170695</v>
      </c>
      <c r="Z11" s="222">
        <f t="shared" si="0"/>
        <v>0.41848321116551335</v>
      </c>
      <c r="AA11" s="222">
        <f t="shared" si="0"/>
        <v>0.47917980431367857</v>
      </c>
      <c r="AB11" s="222">
        <f t="shared" si="0"/>
        <v>0.54888113455481624</v>
      </c>
      <c r="AC11" s="222">
        <f t="shared" si="0"/>
        <v>0.59806725137607486</v>
      </c>
      <c r="AD11" s="222">
        <f t="shared" si="0"/>
        <v>0.62244685461597227</v>
      </c>
      <c r="AE11" s="222">
        <f t="shared" si="0"/>
        <v>0.63912337662337659</v>
      </c>
      <c r="AF11" s="222" t="e">
        <f t="shared" si="0"/>
        <v>#VALUE!</v>
      </c>
      <c r="AG11" s="222" t="e">
        <f t="shared" si="0"/>
        <v>#VALUE!</v>
      </c>
      <c r="AH11" s="222" t="e">
        <f t="shared" si="0"/>
        <v>#VALUE!</v>
      </c>
      <c r="AI11" s="222" t="e">
        <f t="shared" si="0"/>
        <v>#VALUE!</v>
      </c>
      <c r="AJ11" s="222" t="e">
        <f t="shared" si="0"/>
        <v>#VALUE!</v>
      </c>
      <c r="AK11" s="222" t="e">
        <f t="shared" si="0"/>
        <v>#VALUE!</v>
      </c>
      <c r="AL11" s="222" t="e">
        <f t="shared" si="0"/>
        <v>#VALUE!</v>
      </c>
      <c r="AM11" s="222" t="e">
        <f t="shared" si="0"/>
        <v>#VALUE!</v>
      </c>
      <c r="AN11" s="222" t="e">
        <f t="shared" si="0"/>
        <v>#VALUE!</v>
      </c>
      <c r="AO11" s="222" t="e">
        <f t="shared" si="0"/>
        <v>#VALUE!</v>
      </c>
      <c r="AP11" s="222" t="e">
        <f t="shared" si="0"/>
        <v>#VALUE!</v>
      </c>
      <c r="AQ11" s="222" t="e">
        <f t="shared" si="0"/>
        <v>#VALUE!</v>
      </c>
      <c r="AR11" s="222" t="e">
        <f t="shared" si="0"/>
        <v>#VALUE!</v>
      </c>
      <c r="AS11" s="222" t="e">
        <f t="shared" si="0"/>
        <v>#VALUE!</v>
      </c>
      <c r="AT11" s="222" t="e">
        <f t="shared" si="0"/>
        <v>#VALUE!</v>
      </c>
      <c r="AU11" s="222" t="e">
        <f t="shared" si="0"/>
        <v>#VALUE!</v>
      </c>
      <c r="AV11" s="222" t="e">
        <f t="shared" si="0"/>
        <v>#VALUE!</v>
      </c>
      <c r="AW11" s="222" t="e">
        <f t="shared" si="0"/>
        <v>#VALUE!</v>
      </c>
      <c r="AX11" s="222" t="e">
        <f t="shared" si="0"/>
        <v>#VALUE!</v>
      </c>
      <c r="AY11" s="222" t="e">
        <f t="shared" si="0"/>
        <v>#VALUE!</v>
      </c>
      <c r="AZ11" s="222" t="e">
        <f t="shared" si="0"/>
        <v>#VALUE!</v>
      </c>
      <c r="BA11" s="222" t="e">
        <f t="shared" si="0"/>
        <v>#VALUE!</v>
      </c>
      <c r="BB11" s="222" t="e">
        <f t="shared" si="0"/>
        <v>#VALUE!</v>
      </c>
      <c r="BC11" s="222" t="e">
        <f t="shared" si="0"/>
        <v>#VALUE!</v>
      </c>
      <c r="BD11" s="222" t="e">
        <f t="shared" si="0"/>
        <v>#VALUE!</v>
      </c>
      <c r="BE11" s="222" t="e">
        <f t="shared" si="0"/>
        <v>#VALUE!</v>
      </c>
      <c r="BF11" s="222" t="e">
        <f t="shared" si="0"/>
        <v>#VALUE!</v>
      </c>
      <c r="BG11" s="222" t="e">
        <f t="shared" si="0"/>
        <v>#VALUE!</v>
      </c>
      <c r="BH11">
        <f>Tab.plano6[[#This Row],[Data Término
Prevista]]-Tab.plano6[[#This Row],[Data Início
Previsto]]</f>
        <v>144</v>
      </c>
    </row>
    <row r="12" spans="1:60" customFormat="1" ht="18" hidden="1" customHeight="1" x14ac:dyDescent="0.3">
      <c r="A12" s="214"/>
      <c r="B12" s="214" t="s">
        <v>11</v>
      </c>
      <c r="C12" s="214" t="s">
        <v>76</v>
      </c>
      <c r="D12" s="248" t="s">
        <v>399</v>
      </c>
      <c r="E12" s="248" t="s">
        <v>74</v>
      </c>
      <c r="F12" s="248" t="s">
        <v>74</v>
      </c>
      <c r="G12" s="248" t="s">
        <v>74</v>
      </c>
      <c r="H12" s="215" t="s">
        <v>402</v>
      </c>
      <c r="I12" s="256">
        <f>MIN(I13)</f>
        <v>46090</v>
      </c>
      <c r="J12" s="256">
        <f>MAX(J13)</f>
        <v>46108</v>
      </c>
      <c r="K12" s="256">
        <f>MIN(K13)</f>
        <v>46090</v>
      </c>
      <c r="L12" s="256">
        <f>MAX(L13)</f>
        <v>46108</v>
      </c>
      <c r="M12" s="228" t="s">
        <v>400</v>
      </c>
      <c r="N12" s="227" t="str" cm="1">
        <f t="array" ref="N12">_xlfn.IFS(L12&lt;$M$3,"Concluído",AND(K12&lt;=$M$3,L12&gt;=$M$3,L12&lt;=J12),"Em andamento",AND(K12&lt;=$M$3,L12&gt;=$M$3,L12&gt;J12),"Atrasado",AND(K12&gt;$M$3,I12&gt;$M$3),"Não iniciado",AND(K12&gt;$M$3,I12&lt;=$M$3),"Atrasado",TRUE,"Não iniciado")</f>
        <v>Concluído</v>
      </c>
      <c r="O12" s="228" cm="1">
        <f t="array" ref="O12">_xlfn.IFS(N12="Não iniciado",0,N12="Em andamento",1,N12="Concluído",2,N12="Atrasado",3)</f>
        <v>2</v>
      </c>
      <c r="P12" s="214"/>
      <c r="Q12" s="223">
        <f t="shared" ref="Q12:Z13" si="1">Q13</f>
        <v>1</v>
      </c>
      <c r="R12" s="223">
        <f t="shared" si="1"/>
        <v>1</v>
      </c>
      <c r="S12" s="223">
        <f t="shared" si="1"/>
        <v>0.75</v>
      </c>
      <c r="T12" s="223">
        <f t="shared" si="1"/>
        <v>1</v>
      </c>
      <c r="U12" s="223">
        <f t="shared" si="1"/>
        <v>1</v>
      </c>
      <c r="V12" s="223">
        <f t="shared" si="1"/>
        <v>1</v>
      </c>
      <c r="W12" s="223">
        <f t="shared" si="1"/>
        <v>1</v>
      </c>
      <c r="X12" s="223">
        <f t="shared" si="1"/>
        <v>1</v>
      </c>
      <c r="Y12" s="223">
        <f t="shared" si="1"/>
        <v>1</v>
      </c>
      <c r="Z12" s="223">
        <f t="shared" si="1"/>
        <v>1</v>
      </c>
      <c r="AA12" s="223">
        <f t="shared" ref="AA12:AJ13" si="2">AA13</f>
        <v>1</v>
      </c>
      <c r="AB12" s="223">
        <f t="shared" si="2"/>
        <v>1</v>
      </c>
      <c r="AC12" s="223">
        <f t="shared" si="2"/>
        <v>1</v>
      </c>
      <c r="AD12" s="223">
        <f t="shared" si="2"/>
        <v>1</v>
      </c>
      <c r="AE12" s="223">
        <f t="shared" si="2"/>
        <v>1</v>
      </c>
      <c r="AF12" s="223">
        <f t="shared" si="2"/>
        <v>1</v>
      </c>
      <c r="AG12" s="223">
        <f t="shared" si="2"/>
        <v>1</v>
      </c>
      <c r="AH12" s="223">
        <f t="shared" si="2"/>
        <v>1</v>
      </c>
      <c r="AI12" s="223">
        <f t="shared" si="2"/>
        <v>1</v>
      </c>
      <c r="AJ12" s="223">
        <f t="shared" si="2"/>
        <v>1</v>
      </c>
      <c r="AK12" s="223">
        <f t="shared" ref="AK12:AT13" si="3">AK13</f>
        <v>1</v>
      </c>
      <c r="AL12" s="223">
        <f t="shared" si="3"/>
        <v>1</v>
      </c>
      <c r="AM12" s="223">
        <f t="shared" si="3"/>
        <v>1</v>
      </c>
      <c r="AN12" s="223">
        <f t="shared" si="3"/>
        <v>1</v>
      </c>
      <c r="AO12" s="223">
        <f t="shared" si="3"/>
        <v>1</v>
      </c>
      <c r="AP12" s="223">
        <f t="shared" si="3"/>
        <v>1</v>
      </c>
      <c r="AQ12" s="223">
        <f t="shared" si="3"/>
        <v>1</v>
      </c>
      <c r="AR12" s="223">
        <f t="shared" si="3"/>
        <v>1</v>
      </c>
      <c r="AS12" s="223">
        <f t="shared" si="3"/>
        <v>1</v>
      </c>
      <c r="AT12" s="223">
        <f t="shared" si="3"/>
        <v>1</v>
      </c>
      <c r="AU12" s="223">
        <f t="shared" ref="AU12:BD13" si="4">AU13</f>
        <v>1</v>
      </c>
      <c r="AV12" s="223">
        <f t="shared" si="4"/>
        <v>1</v>
      </c>
      <c r="AW12" s="223">
        <f t="shared" si="4"/>
        <v>1</v>
      </c>
      <c r="AX12" s="223">
        <f t="shared" si="4"/>
        <v>1</v>
      </c>
      <c r="AY12" s="223">
        <f t="shared" si="4"/>
        <v>1</v>
      </c>
      <c r="AZ12" s="223">
        <f t="shared" si="4"/>
        <v>1</v>
      </c>
      <c r="BA12" s="223">
        <f t="shared" si="4"/>
        <v>1</v>
      </c>
      <c r="BB12" s="223">
        <f t="shared" si="4"/>
        <v>1</v>
      </c>
      <c r="BC12" s="223">
        <f t="shared" si="4"/>
        <v>1</v>
      </c>
      <c r="BD12" s="223">
        <f t="shared" si="4"/>
        <v>1</v>
      </c>
      <c r="BE12" s="223">
        <f t="shared" ref="BE12:BG13" si="5">BE13</f>
        <v>1</v>
      </c>
      <c r="BF12" s="223">
        <f t="shared" si="5"/>
        <v>1</v>
      </c>
      <c r="BG12" s="223">
        <f t="shared" si="5"/>
        <v>1</v>
      </c>
      <c r="BH12">
        <f>Tab.plano6[[#This Row],[Data Término
Prevista]]-Tab.plano6[[#This Row],[Data Início
Previsto]]</f>
        <v>18</v>
      </c>
    </row>
    <row r="13" spans="1:60" customFormat="1" ht="18" hidden="1" customHeight="1" x14ac:dyDescent="0.3">
      <c r="A13" s="216"/>
      <c r="B13" s="216" t="s">
        <v>12</v>
      </c>
      <c r="C13" s="216" t="s">
        <v>78</v>
      </c>
      <c r="D13" s="249" t="s">
        <v>399</v>
      </c>
      <c r="E13" s="249" t="s">
        <v>402</v>
      </c>
      <c r="F13" s="249" t="s">
        <v>74</v>
      </c>
      <c r="G13" s="249" t="s">
        <v>74</v>
      </c>
      <c r="H13" s="217" t="s">
        <v>403</v>
      </c>
      <c r="I13" s="257">
        <f>I14</f>
        <v>46090</v>
      </c>
      <c r="J13" s="257">
        <f>J14</f>
        <v>46108</v>
      </c>
      <c r="K13" s="257">
        <f>K14</f>
        <v>46090</v>
      </c>
      <c r="L13" s="257">
        <f>L14</f>
        <v>46108</v>
      </c>
      <c r="M13" s="229" t="s">
        <v>400</v>
      </c>
      <c r="N13" s="227" t="str" cm="1">
        <f t="array" ref="N13">_xlfn.IFS(L13&lt;$M$3,"Concluído",AND(K13&lt;=$M$3,L13&gt;=$M$3,L13&lt;=J13),"Em andamento",AND(K13&lt;=$M$3,L13&gt;=$M$3,L13&gt;J13),"Atrasado",AND(K13&gt;$M$3,I13&gt;$M$3),"Não iniciado",AND(K13&gt;$M$3,I13&lt;=$M$3),"Atrasado",TRUE,"Não iniciado")</f>
        <v>Concluído</v>
      </c>
      <c r="O13" s="229" cm="1">
        <f t="array" ref="O13">_xlfn.IFS(N13="Não iniciado",0,N13="Em andamento",1,N13="Concluído",2,N13="Atrasado",3)</f>
        <v>2</v>
      </c>
      <c r="P13" s="216"/>
      <c r="Q13" s="224">
        <f t="shared" si="1"/>
        <v>1</v>
      </c>
      <c r="R13" s="224">
        <f t="shared" si="1"/>
        <v>1</v>
      </c>
      <c r="S13" s="224">
        <f t="shared" si="1"/>
        <v>0.75</v>
      </c>
      <c r="T13" s="224">
        <f t="shared" si="1"/>
        <v>1</v>
      </c>
      <c r="U13" s="224">
        <f t="shared" si="1"/>
        <v>1</v>
      </c>
      <c r="V13" s="224">
        <f t="shared" si="1"/>
        <v>1</v>
      </c>
      <c r="W13" s="224">
        <f t="shared" si="1"/>
        <v>1</v>
      </c>
      <c r="X13" s="224">
        <f t="shared" si="1"/>
        <v>1</v>
      </c>
      <c r="Y13" s="224">
        <f t="shared" si="1"/>
        <v>1</v>
      </c>
      <c r="Z13" s="224">
        <f t="shared" si="1"/>
        <v>1</v>
      </c>
      <c r="AA13" s="224">
        <f t="shared" si="2"/>
        <v>1</v>
      </c>
      <c r="AB13" s="224">
        <f t="shared" si="2"/>
        <v>1</v>
      </c>
      <c r="AC13" s="224">
        <f t="shared" si="2"/>
        <v>1</v>
      </c>
      <c r="AD13" s="224">
        <f t="shared" si="2"/>
        <v>1</v>
      </c>
      <c r="AE13" s="224">
        <f t="shared" si="2"/>
        <v>1</v>
      </c>
      <c r="AF13" s="224">
        <f t="shared" si="2"/>
        <v>1</v>
      </c>
      <c r="AG13" s="224">
        <f t="shared" si="2"/>
        <v>1</v>
      </c>
      <c r="AH13" s="224">
        <f t="shared" si="2"/>
        <v>1</v>
      </c>
      <c r="AI13" s="224">
        <f t="shared" si="2"/>
        <v>1</v>
      </c>
      <c r="AJ13" s="224">
        <f t="shared" si="2"/>
        <v>1</v>
      </c>
      <c r="AK13" s="224">
        <f t="shared" si="3"/>
        <v>1</v>
      </c>
      <c r="AL13" s="224">
        <f t="shared" si="3"/>
        <v>1</v>
      </c>
      <c r="AM13" s="224">
        <f t="shared" si="3"/>
        <v>1</v>
      </c>
      <c r="AN13" s="224">
        <f t="shared" si="3"/>
        <v>1</v>
      </c>
      <c r="AO13" s="224">
        <f t="shared" si="3"/>
        <v>1</v>
      </c>
      <c r="AP13" s="224">
        <f t="shared" si="3"/>
        <v>1</v>
      </c>
      <c r="AQ13" s="224">
        <f t="shared" si="3"/>
        <v>1</v>
      </c>
      <c r="AR13" s="224">
        <f t="shared" si="3"/>
        <v>1</v>
      </c>
      <c r="AS13" s="224">
        <f t="shared" si="3"/>
        <v>1</v>
      </c>
      <c r="AT13" s="224">
        <f t="shared" si="3"/>
        <v>1</v>
      </c>
      <c r="AU13" s="224">
        <f t="shared" si="4"/>
        <v>1</v>
      </c>
      <c r="AV13" s="224">
        <f t="shared" si="4"/>
        <v>1</v>
      </c>
      <c r="AW13" s="224">
        <f t="shared" si="4"/>
        <v>1</v>
      </c>
      <c r="AX13" s="224">
        <f t="shared" si="4"/>
        <v>1</v>
      </c>
      <c r="AY13" s="224">
        <f t="shared" si="4"/>
        <v>1</v>
      </c>
      <c r="AZ13" s="224">
        <f t="shared" si="4"/>
        <v>1</v>
      </c>
      <c r="BA13" s="224">
        <f t="shared" si="4"/>
        <v>1</v>
      </c>
      <c r="BB13" s="224">
        <f t="shared" si="4"/>
        <v>1</v>
      </c>
      <c r="BC13" s="224">
        <f t="shared" si="4"/>
        <v>1</v>
      </c>
      <c r="BD13" s="224">
        <f t="shared" si="4"/>
        <v>1</v>
      </c>
      <c r="BE13" s="224">
        <f t="shared" si="5"/>
        <v>1</v>
      </c>
      <c r="BF13" s="224">
        <f t="shared" si="5"/>
        <v>1</v>
      </c>
      <c r="BG13" s="224">
        <f t="shared" si="5"/>
        <v>1</v>
      </c>
      <c r="BH13">
        <f>Tab.plano6[[#This Row],[Data Término
Prevista]]-Tab.plano6[[#This Row],[Data Início
Previsto]]</f>
        <v>18</v>
      </c>
    </row>
    <row r="14" spans="1:60" customFormat="1" ht="18" hidden="1" customHeight="1" x14ac:dyDescent="0.3">
      <c r="A14" s="218"/>
      <c r="B14" s="218" t="s">
        <v>13</v>
      </c>
      <c r="C14" s="218" t="s">
        <v>79</v>
      </c>
      <c r="D14" s="250" t="s">
        <v>399</v>
      </c>
      <c r="E14" s="250" t="s">
        <v>402</v>
      </c>
      <c r="F14" s="250" t="s">
        <v>403</v>
      </c>
      <c r="G14" s="250" t="s">
        <v>74</v>
      </c>
      <c r="H14" s="219" t="s">
        <v>403</v>
      </c>
      <c r="I14" s="258">
        <f>MIN(I15:I18)</f>
        <v>46090</v>
      </c>
      <c r="J14" s="258">
        <f>MAX(J15:J18)</f>
        <v>46108</v>
      </c>
      <c r="K14" s="258">
        <f>MIN(K15:K18)</f>
        <v>46090</v>
      </c>
      <c r="L14" s="258">
        <f>MAX(L15:L18)</f>
        <v>46108</v>
      </c>
      <c r="M14" s="230" t="s">
        <v>400</v>
      </c>
      <c r="N14" s="227" t="str" cm="1">
        <f t="array" ref="N14">_xlfn.IFS(L14&lt;$M$3,"Concluído",AND(K14&lt;=$M$3,L14&gt;=$M$3,L14&lt;=J14),"Em andamento",AND(K14&lt;=$M$3,L14&gt;=$M$3,L14&gt;J14),"Atrasado",AND(K14&gt;$M$3,I14&gt;$M$3),"Não iniciado",AND(K14&gt;$M$3,I14&lt;=$M$3),"Atrasado",TRUE,"Não iniciado")</f>
        <v>Concluído</v>
      </c>
      <c r="O14" s="230" cm="1">
        <f t="array" ref="O14">_xlfn.IFS(N14="Não iniciado",0,N14="Em andamento",1,N14="Concluído",2,N14="Atrasado",3)</f>
        <v>2</v>
      </c>
      <c r="P14" s="218"/>
      <c r="Q14" s="225">
        <f t="shared" ref="Q14:BG14" si="6">AVERAGE(Q15:Q18)</f>
        <v>1</v>
      </c>
      <c r="R14" s="225">
        <f t="shared" si="6"/>
        <v>1</v>
      </c>
      <c r="S14" s="225">
        <f t="shared" si="6"/>
        <v>0.75</v>
      </c>
      <c r="T14" s="225">
        <f t="shared" si="6"/>
        <v>1</v>
      </c>
      <c r="U14" s="225">
        <f t="shared" si="6"/>
        <v>1</v>
      </c>
      <c r="V14" s="225">
        <f t="shared" si="6"/>
        <v>1</v>
      </c>
      <c r="W14" s="225">
        <f t="shared" si="6"/>
        <v>1</v>
      </c>
      <c r="X14" s="225">
        <f t="shared" si="6"/>
        <v>1</v>
      </c>
      <c r="Y14" s="225">
        <f t="shared" si="6"/>
        <v>1</v>
      </c>
      <c r="Z14" s="225">
        <f t="shared" si="6"/>
        <v>1</v>
      </c>
      <c r="AA14" s="225">
        <f t="shared" si="6"/>
        <v>1</v>
      </c>
      <c r="AB14" s="225">
        <f t="shared" si="6"/>
        <v>1</v>
      </c>
      <c r="AC14" s="225">
        <f t="shared" si="6"/>
        <v>1</v>
      </c>
      <c r="AD14" s="225">
        <f t="shared" si="6"/>
        <v>1</v>
      </c>
      <c r="AE14" s="225">
        <f t="shared" si="6"/>
        <v>1</v>
      </c>
      <c r="AF14" s="225">
        <f t="shared" si="6"/>
        <v>1</v>
      </c>
      <c r="AG14" s="225">
        <f t="shared" si="6"/>
        <v>1</v>
      </c>
      <c r="AH14" s="225">
        <f t="shared" si="6"/>
        <v>1</v>
      </c>
      <c r="AI14" s="225">
        <f t="shared" si="6"/>
        <v>1</v>
      </c>
      <c r="AJ14" s="225">
        <f t="shared" si="6"/>
        <v>1</v>
      </c>
      <c r="AK14" s="225">
        <f t="shared" si="6"/>
        <v>1</v>
      </c>
      <c r="AL14" s="225">
        <f t="shared" si="6"/>
        <v>1</v>
      </c>
      <c r="AM14" s="225">
        <f t="shared" si="6"/>
        <v>1</v>
      </c>
      <c r="AN14" s="225">
        <f t="shared" si="6"/>
        <v>1</v>
      </c>
      <c r="AO14" s="225">
        <f t="shared" si="6"/>
        <v>1</v>
      </c>
      <c r="AP14" s="225">
        <f t="shared" si="6"/>
        <v>1</v>
      </c>
      <c r="AQ14" s="225">
        <f t="shared" si="6"/>
        <v>1</v>
      </c>
      <c r="AR14" s="225">
        <f t="shared" si="6"/>
        <v>1</v>
      </c>
      <c r="AS14" s="225">
        <f t="shared" si="6"/>
        <v>1</v>
      </c>
      <c r="AT14" s="225">
        <f t="shared" si="6"/>
        <v>1</v>
      </c>
      <c r="AU14" s="225">
        <f t="shared" si="6"/>
        <v>1</v>
      </c>
      <c r="AV14" s="225">
        <f t="shared" si="6"/>
        <v>1</v>
      </c>
      <c r="AW14" s="225">
        <f t="shared" si="6"/>
        <v>1</v>
      </c>
      <c r="AX14" s="225">
        <f t="shared" si="6"/>
        <v>1</v>
      </c>
      <c r="AY14" s="225">
        <f t="shared" si="6"/>
        <v>1</v>
      </c>
      <c r="AZ14" s="225">
        <f t="shared" si="6"/>
        <v>1</v>
      </c>
      <c r="BA14" s="225">
        <f t="shared" si="6"/>
        <v>1</v>
      </c>
      <c r="BB14" s="225">
        <f t="shared" si="6"/>
        <v>1</v>
      </c>
      <c r="BC14" s="225">
        <f t="shared" si="6"/>
        <v>1</v>
      </c>
      <c r="BD14" s="225">
        <f t="shared" si="6"/>
        <v>1</v>
      </c>
      <c r="BE14" s="225">
        <f t="shared" si="6"/>
        <v>1</v>
      </c>
      <c r="BF14" s="225">
        <f t="shared" si="6"/>
        <v>1</v>
      </c>
      <c r="BG14" s="225">
        <f t="shared" si="6"/>
        <v>1</v>
      </c>
      <c r="BH14">
        <f>Tab.plano6[[#This Row],[Data Término
Prevista]]-Tab.plano6[[#This Row],[Data Início
Previsto]]</f>
        <v>18</v>
      </c>
    </row>
    <row r="15" spans="1:60" customFormat="1" ht="18" hidden="1" customHeight="1" x14ac:dyDescent="0.3">
      <c r="A15" s="220"/>
      <c r="B15" s="220" t="s">
        <v>161</v>
      </c>
      <c r="C15" s="220" t="s">
        <v>80</v>
      </c>
      <c r="D15" s="251" t="s">
        <v>399</v>
      </c>
      <c r="E15" s="251" t="s">
        <v>402</v>
      </c>
      <c r="F15" s="251" t="s">
        <v>403</v>
      </c>
      <c r="G15" s="251" t="s">
        <v>403</v>
      </c>
      <c r="H15" s="221" t="s">
        <v>404</v>
      </c>
      <c r="I15" s="260">
        <v>46090</v>
      </c>
      <c r="J15" s="260">
        <v>46092</v>
      </c>
      <c r="K15" s="260">
        <v>46090</v>
      </c>
      <c r="L15" s="260">
        <v>46092</v>
      </c>
      <c r="M15" s="231" t="s">
        <v>400</v>
      </c>
      <c r="N15" s="227" t="str" cm="1">
        <f t="array" ref="N15">_xlfn.IFS(L15&lt;$M$3,"Concluído",AND(K15&lt;=$M$3,L15&gt;=$M$3,L15&lt;=J15),"Em andamento",AND(K15&lt;=$M$3,L15&gt;=$M$3,L15&gt;J15),"Atrasado",AND(K15&gt;$M$3,I15&gt;$M$3),"Não iniciado",AND(K15&gt;$M$3,I15&lt;=$M$3),"Atrasado",TRUE,"Não iniciado")</f>
        <v>Concluído</v>
      </c>
      <c r="O15" s="231" cm="1">
        <f t="array" ref="O15">_xlfn.IFS(N15="Não iniciado",0,N15="Em andamento",1,N15="Concluído",2,N15="Atrasado",3)</f>
        <v>2</v>
      </c>
      <c r="P15" s="220"/>
      <c r="Q15" s="226" cm="1">
        <f t="array" ref="Q15">_xlfn.IFS(AND($I15&lt;$M$3,$J15&lt;$M$3),1,AND($I15&lt;=$M$3,$J15&gt;=$M$3),0.5,AND($I15&gt;=$M$3,$J15&gt;=$M$3),0)</f>
        <v>1</v>
      </c>
      <c r="R15" s="226" cm="1">
        <f t="array" ref="R15">_xlfn.IFS(AND($K15&lt;$M$3,$L15&lt;$M$3),1,AND($K15&lt;=$M$3,$L15&gt;=$M$3),0.5,AND($K15&gt;=$M$3,$L15&gt;=$M$3),0)</f>
        <v>1</v>
      </c>
      <c r="S15" s="226" cm="1">
        <f t="array" ref="S15">_xlfn.IFS(AND($K15&gt;R$7,$L15&gt;R$7),0,AND($K15&lt;=R$7,$L15&lt;=R$7),1,AND($K15&lt;=R$7,$L15&gt;R$7),((R$7-$K15)/($L15-$K15)))</f>
        <v>1</v>
      </c>
      <c r="T15" s="226" cm="1">
        <f t="array" ref="T15">_xlfn.IFS(AND($K15&gt;S$7,$L15&gt;S$7),0,AND($K15&lt;=S$7,$L15&lt;=S$7),1,AND($K15&lt;=S$7,$L15&gt;S$7),((S$7-$K15)/($L15-$K15)))</f>
        <v>1</v>
      </c>
      <c r="U15" s="226" cm="1">
        <f t="array" ref="U15">_xlfn.IFS(AND($K15&gt;T$7,$L15&gt;T$7),0,AND($K15&lt;=T$7,$L15&lt;=T$7),1,AND($K15&lt;=T$7,$L15&gt;T$7),((T$7-$K15)/($L15-$K15)))</f>
        <v>1</v>
      </c>
      <c r="V15" s="226" cm="1">
        <f t="array" ref="V15">_xlfn.IFS(AND($K15&gt;U$7,$L15&gt;U$7),0,AND($K15&lt;=U$7,$L15&lt;=U$7),1,AND($K15&lt;=U$7,$L15&gt;U$7),((U$7-$K15)/($L15-$K15)))</f>
        <v>1</v>
      </c>
      <c r="W15" s="226" cm="1">
        <f t="array" ref="W15">_xlfn.IFS(AND($K15&gt;V$7,$L15&gt;V$7),0,AND($K15&lt;=V$7,$L15&lt;=V$7),1,AND($K15&lt;=V$7,$L15&gt;V$7),((V$7-$K15)/($L15-$K15)))</f>
        <v>1</v>
      </c>
      <c r="X15" s="226" cm="1">
        <f t="array" ref="X15">_xlfn.IFS(AND($K15&gt;W$7,$L15&gt;W$7),0,AND($K15&lt;=W$7,$L15&lt;=W$7),1,AND($K15&lt;=W$7,$L15&gt;W$7),((W$7-$K15)/($L15-$K15)))</f>
        <v>1</v>
      </c>
      <c r="Y15" s="226" cm="1">
        <f t="array" ref="Y15">_xlfn.IFS(AND($K15&gt;X$7,$L15&gt;X$7),0,AND($K15&lt;=X$7,$L15&lt;=X$7),1,AND($K15&lt;=X$7,$L15&gt;X$7),((X$7-$K15)/($L15-$K15)))</f>
        <v>1</v>
      </c>
      <c r="Z15" s="226" cm="1">
        <f t="array" ref="Z15">_xlfn.IFS(AND($K15&gt;Y$7,$L15&gt;Y$7),0,AND($K15&lt;=Y$7,$L15&lt;=Y$7),1,AND($K15&lt;=Y$7,$L15&gt;Y$7),((Y$7-$K15)/($L15-$K15)))</f>
        <v>1</v>
      </c>
      <c r="AA15" s="226" cm="1">
        <f t="array" ref="AA15">_xlfn.IFS(AND($K15&gt;Z$7,$L15&gt;Z$7),0,AND($K15&lt;=Z$7,$L15&lt;=Z$7),1,AND($K15&lt;=Z$7,$L15&gt;Z$7),((Z$7-$K15)/($L15-$K15)))</f>
        <v>1</v>
      </c>
      <c r="AB15" s="226" cm="1">
        <f t="array" ref="AB15">_xlfn.IFS(AND($K15&gt;AA$7,$L15&gt;AA$7),0,AND($K15&lt;=AA$7,$L15&lt;=AA$7),1,AND($K15&lt;=AA$7,$L15&gt;AA$7),((AA$7-$K15)/($L15-$K15)))</f>
        <v>1</v>
      </c>
      <c r="AC15" s="226" cm="1">
        <f t="array" ref="AC15">_xlfn.IFS(AND($K15&gt;AB$7,$L15&gt;AB$7),0,AND($K15&lt;=AB$7,$L15&lt;=AB$7),1,AND($K15&lt;=AB$7,$L15&gt;AB$7),((AB$7-$K15)/($L15-$K15)))</f>
        <v>1</v>
      </c>
      <c r="AD15" s="226" cm="1">
        <f t="array" ref="AD15">_xlfn.IFS(AND($K15&gt;AC$7,$L15&gt;AC$7),0,AND($K15&lt;=AC$7,$L15&lt;=AC$7),1,AND($K15&lt;=AC$7,$L15&gt;AC$7),((AC$7-$K15)/($L15-$K15)))</f>
        <v>1</v>
      </c>
      <c r="AE15" s="226" cm="1">
        <f t="array" ref="AE15">_xlfn.IFS(AND($K15&gt;AD$7,$L15&gt;AD$7),0,AND($K15&lt;=AD$7,$L15&lt;=AD$7),1,AND($K15&lt;=AD$7,$L15&gt;AD$7),((AD$7-$K15)/($L15-$K15)))</f>
        <v>1</v>
      </c>
      <c r="AF15" s="226" cm="1">
        <f t="array" ref="AF15">_xlfn.IFS(AND($K15&gt;AE$7,$L15&gt;AE$7),0,AND($K15&lt;=AE$7,$L15&lt;=AE$7),1,AND($K15&lt;=AE$7,$L15&gt;AE$7),((AE$7-$K15)/($L15-$K15)))</f>
        <v>1</v>
      </c>
      <c r="AG15" s="226" cm="1">
        <f t="array" ref="AG15">_xlfn.IFS(AND($K15&gt;AF$7,$L15&gt;AF$7),0,AND($K15&lt;=AF$7,$L15&lt;=AF$7),1,AND($K15&lt;=AF$7,$L15&gt;AF$7),((AF$7-$K15)/($L15-$K15)))</f>
        <v>1</v>
      </c>
      <c r="AH15" s="226" cm="1">
        <f t="array" ref="AH15">_xlfn.IFS(AND($K15&gt;AG$7,$L15&gt;AG$7),0,AND($K15&lt;=AG$7,$L15&lt;=AG$7),1,AND($K15&lt;=AG$7,$L15&gt;AG$7),((AG$7-$K15)/($L15-$K15)))</f>
        <v>1</v>
      </c>
      <c r="AI15" s="226" cm="1">
        <f t="array" ref="AI15">_xlfn.IFS(AND($K15&gt;AH$7,$L15&gt;AH$7),0,AND($K15&lt;=AH$7,$L15&lt;=AH$7),1,AND($K15&lt;=AH$7,$L15&gt;AH$7),((AH$7-$K15)/($L15-$K15)))</f>
        <v>1</v>
      </c>
      <c r="AJ15" s="226" cm="1">
        <f t="array" ref="AJ15">_xlfn.IFS(AND($K15&gt;AI$7,$L15&gt;AI$7),0,AND($K15&lt;=AI$7,$L15&lt;=AI$7),1,AND($K15&lt;=AI$7,$L15&gt;AI$7),((AI$7-$K15)/($L15-$K15)))</f>
        <v>1</v>
      </c>
      <c r="AK15" s="226" cm="1">
        <f t="array" ref="AK15">_xlfn.IFS(AND($K15&gt;AJ$7,$L15&gt;AJ$7),0,AND($K15&lt;=AJ$7,$L15&lt;=AJ$7),1,AND($K15&lt;=AJ$7,$L15&gt;AJ$7),((AJ$7-$K15)/($L15-$K15)))</f>
        <v>1</v>
      </c>
      <c r="AL15" s="226" cm="1">
        <f t="array" ref="AL15">_xlfn.IFS(AND($K15&gt;AK$7,$L15&gt;AK$7),0,AND($K15&lt;=AK$7,$L15&lt;=AK$7),1,AND($K15&lt;=AK$7,$L15&gt;AK$7),((AK$7-$K15)/($L15-$K15)))</f>
        <v>1</v>
      </c>
      <c r="AM15" s="226" cm="1">
        <f t="array" ref="AM15">_xlfn.IFS(AND($K15&gt;AL$7,$L15&gt;AL$7),0,AND($K15&lt;=AL$7,$L15&lt;=AL$7),1,AND($K15&lt;=AL$7,$L15&gt;AL$7),((AL$7-$K15)/($L15-$K15)))</f>
        <v>1</v>
      </c>
      <c r="AN15" s="226" cm="1">
        <f t="array" ref="AN15">_xlfn.IFS(AND($K15&gt;AM$7,$L15&gt;AM$7),0,AND($K15&lt;=AM$7,$L15&lt;=AM$7),1,AND($K15&lt;=AM$7,$L15&gt;AM$7),((AM$7-$K15)/($L15-$K15)))</f>
        <v>1</v>
      </c>
      <c r="AO15" s="226" cm="1">
        <f t="array" ref="AO15">_xlfn.IFS(AND($K15&gt;AN$7,$L15&gt;AN$7),0,AND($K15&lt;=AN$7,$L15&lt;=AN$7),1,AND($K15&lt;=AN$7,$L15&gt;AN$7),((AN$7-$K15)/($L15-$K15)))</f>
        <v>1</v>
      </c>
      <c r="AP15" s="226" cm="1">
        <f t="array" ref="AP15">_xlfn.IFS(AND($K15&gt;AO$7,$L15&gt;AO$7),0,AND($K15&lt;=AO$7,$L15&lt;=AO$7),1,AND($K15&lt;=AO$7,$L15&gt;AO$7),((AO$7-$K15)/($L15-$K15)))</f>
        <v>1</v>
      </c>
      <c r="AQ15" s="226" cm="1">
        <f t="array" ref="AQ15">_xlfn.IFS(AND($K15&gt;AP$7,$L15&gt;AP$7),0,AND($K15&lt;=AP$7,$L15&lt;=AP$7),1,AND($K15&lt;=AP$7,$L15&gt;AP$7),((AP$7-$K15)/($L15-$K15)))</f>
        <v>1</v>
      </c>
      <c r="AR15" s="226" cm="1">
        <f t="array" ref="AR15">_xlfn.IFS(AND($K15&gt;AQ$7,$L15&gt;AQ$7),0,AND($K15&lt;=AQ$7,$L15&lt;=AQ$7),1,AND($K15&lt;=AQ$7,$L15&gt;AQ$7),((AQ$7-$K15)/($L15-$K15)))</f>
        <v>1</v>
      </c>
      <c r="AS15" s="226" cm="1">
        <f t="array" ref="AS15">_xlfn.IFS(AND($K15&gt;AR$7,$L15&gt;AR$7),0,AND($K15&lt;=AR$7,$L15&lt;=AR$7),1,AND($K15&lt;=AR$7,$L15&gt;AR$7),((AR$7-$K15)/($L15-$K15)))</f>
        <v>1</v>
      </c>
      <c r="AT15" s="226" cm="1">
        <f t="array" ref="AT15">_xlfn.IFS(AND($K15&gt;AS$7,$L15&gt;AS$7),0,AND($K15&lt;=AS$7,$L15&lt;=AS$7),1,AND($K15&lt;=AS$7,$L15&gt;AS$7),((AS$7-$K15)/($L15-$K15)))</f>
        <v>1</v>
      </c>
      <c r="AU15" s="226" cm="1">
        <f t="array" ref="AU15">_xlfn.IFS(AND($K15&gt;AT$7,$L15&gt;AT$7),0,AND($K15&lt;=AT$7,$L15&lt;=AT$7),1,AND($K15&lt;=AT$7,$L15&gt;AT$7),((AT$7-$K15)/($L15-$K15)))</f>
        <v>1</v>
      </c>
      <c r="AV15" s="226" cm="1">
        <f t="array" ref="AV15">_xlfn.IFS(AND($K15&gt;AU$7,$L15&gt;AU$7),0,AND($K15&lt;=AU$7,$L15&lt;=AU$7),1,AND($K15&lt;=AU$7,$L15&gt;AU$7),((AU$7-$K15)/($L15-$K15)))</f>
        <v>1</v>
      </c>
      <c r="AW15" s="226" cm="1">
        <f t="array" ref="AW15">_xlfn.IFS(AND($K15&gt;AV$7,$L15&gt;AV$7),0,AND($K15&lt;=AV$7,$L15&lt;=AV$7),1,AND($K15&lt;=AV$7,$L15&gt;AV$7),((AV$7-$K15)/($L15-$K15)))</f>
        <v>1</v>
      </c>
      <c r="AX15" s="226" cm="1">
        <f t="array" ref="AX15">_xlfn.IFS(AND($K15&gt;AW$7,$L15&gt;AW$7),0,AND($K15&lt;=AW$7,$L15&lt;=AW$7),1,AND($K15&lt;=AW$7,$L15&gt;AW$7),((AW$7-$K15)/($L15-$K15)))</f>
        <v>1</v>
      </c>
      <c r="AY15" s="226" cm="1">
        <f t="array" ref="AY15">_xlfn.IFS(AND($K15&gt;AX$7,$L15&gt;AX$7),0,AND($K15&lt;=AX$7,$L15&lt;=AX$7),1,AND($K15&lt;=AX$7,$L15&gt;AX$7),((AX$7-$K15)/($L15-$K15)))</f>
        <v>1</v>
      </c>
      <c r="AZ15" s="226" cm="1">
        <f t="array" ref="AZ15">_xlfn.IFS(AND($K15&gt;AY$7,$L15&gt;AY$7),0,AND($K15&lt;=AY$7,$L15&lt;=AY$7),1,AND($K15&lt;=AY$7,$L15&gt;AY$7),((AY$7-$K15)/($L15-$K15)))</f>
        <v>1</v>
      </c>
      <c r="BA15" s="226" cm="1">
        <f t="array" ref="BA15">_xlfn.IFS(AND($K15&gt;AZ$7,$L15&gt;AZ$7),0,AND($K15&lt;=AZ$7,$L15&lt;=AZ$7),1,AND($K15&lt;=AZ$7,$L15&gt;AZ$7),((AZ$7-$K15)/($L15-$K15)))</f>
        <v>1</v>
      </c>
      <c r="BB15" s="226" cm="1">
        <f t="array" ref="BB15">_xlfn.IFS(AND($K15&gt;BA$7,$L15&gt;BA$7),0,AND($K15&lt;=BA$7,$L15&lt;=BA$7),1,AND($K15&lt;=BA$7,$L15&gt;BA$7),((BA$7-$K15)/($L15-$K15)))</f>
        <v>1</v>
      </c>
      <c r="BC15" s="226" cm="1">
        <f t="array" ref="BC15">_xlfn.IFS(AND($K15&gt;BB$7,$L15&gt;BB$7),0,AND($K15&lt;=BB$7,$L15&lt;=BB$7),1,AND($K15&lt;=BB$7,$L15&gt;BB$7),((BB$7-$K15)/($L15-$K15)))</f>
        <v>1</v>
      </c>
      <c r="BD15" s="226" cm="1">
        <f t="array" ref="BD15">_xlfn.IFS(AND($K15&gt;BC$7,$L15&gt;BC$7),0,AND($K15&lt;=BC$7,$L15&lt;=BC$7),1,AND($K15&lt;=BC$7,$L15&gt;BC$7),((BC$7-$K15)/($L15-$K15)))</f>
        <v>1</v>
      </c>
      <c r="BE15" s="226" cm="1">
        <f t="array" ref="BE15">_xlfn.IFS(AND($K15&gt;BD$7,$L15&gt;BD$7),0,AND($K15&lt;=BD$7,$L15&lt;=BD$7),1,AND($K15&lt;=BD$7,$L15&gt;BD$7),((BD$7-$K15)/($L15-$K15)))</f>
        <v>1</v>
      </c>
      <c r="BF15" s="226" cm="1">
        <f t="array" ref="BF15">_xlfn.IFS(AND($K15&gt;BE$7,$L15&gt;BE$7),0,AND($K15&lt;=BE$7,$L15&lt;=BE$7),1,AND($K15&lt;=BE$7,$L15&gt;BE$7),((BE$7-$K15)/($L15-$K15)))</f>
        <v>1</v>
      </c>
      <c r="BG15" s="226" cm="1">
        <f t="array" ref="BG15">_xlfn.IFS(AND($K15&gt;BF$7,$L15&gt;BF$7),0,AND($K15&lt;=BF$7,$L15&lt;=BF$7),1,AND($K15&lt;=BF$7,$L15&gt;BF$7),((BF$7-$K15)/($L15-$K15)))</f>
        <v>1</v>
      </c>
      <c r="BH15">
        <f>Tab.plano6[[#This Row],[Data Término
Prevista]]-Tab.plano6[[#This Row],[Data Início
Previsto]]</f>
        <v>2</v>
      </c>
    </row>
    <row r="16" spans="1:60" customFormat="1" ht="18" hidden="1" customHeight="1" x14ac:dyDescent="0.3">
      <c r="A16" s="220"/>
      <c r="B16" s="220" t="s">
        <v>161</v>
      </c>
      <c r="C16" s="220" t="s">
        <v>406</v>
      </c>
      <c r="D16" s="251" t="s">
        <v>399</v>
      </c>
      <c r="E16" s="251" t="s">
        <v>402</v>
      </c>
      <c r="F16" s="251" t="s">
        <v>403</v>
      </c>
      <c r="G16" s="251" t="s">
        <v>403</v>
      </c>
      <c r="H16" s="221" t="s">
        <v>407</v>
      </c>
      <c r="I16" s="260">
        <v>46092</v>
      </c>
      <c r="J16" s="260">
        <v>46104</v>
      </c>
      <c r="K16" s="260">
        <v>46092</v>
      </c>
      <c r="L16" s="260">
        <v>46104</v>
      </c>
      <c r="M16" s="231" t="s">
        <v>400</v>
      </c>
      <c r="N16" s="227" t="str" cm="1">
        <f t="array" ref="N16">_xlfn.IFS(L16&lt;$M$3,"Concluído",AND(K16&lt;=$M$3,L16&gt;=$M$3,L16&lt;=J16),"Em andamento",AND(K16&lt;=$M$3,L16&gt;=$M$3,L16&gt;J16),"Atrasado",AND(K16&gt;$M$3,I16&gt;$M$3),"Não iniciado",AND(K16&gt;$M$3,I16&lt;=$M$3),"Atrasado",TRUE,"Não iniciado")</f>
        <v>Concluído</v>
      </c>
      <c r="O16" s="231" cm="1">
        <f t="array" ref="O16">_xlfn.IFS(N16="Não iniciado",0,N16="Em andamento",1,N16="Concluído",2,N16="Atrasado",3)</f>
        <v>2</v>
      </c>
      <c r="P16" s="220"/>
      <c r="Q16" s="226" cm="1">
        <f t="array" ref="Q16">_xlfn.IFS(AND($I16&lt;$M$3,$J16&lt;$M$3),1,AND($I16&lt;=$M$3,$J16&gt;=$M$3),0.5,AND($I16&gt;=$M$3,$J16&gt;=$M$3),0)</f>
        <v>1</v>
      </c>
      <c r="R16" s="226" cm="1">
        <f t="array" ref="R16">_xlfn.IFS(AND($K16&lt;$M$3,$L16&lt;$M$3),1,AND($K16&lt;=$M$3,$L16&gt;=$M$3),0.5,AND($K16&gt;=$M$3,$L16&gt;=$M$3),0)</f>
        <v>1</v>
      </c>
      <c r="S16" s="226" cm="1">
        <f t="array" ref="S16">_xlfn.IFS(AND($K16&gt;R$7,$L16&gt;R$7),0,AND($K16&lt;=R$7,$L16&lt;=R$7),1,AND($K16&lt;=R$7,$L16&gt;R$7),((R$7-$K16)/($L16-$K16)))</f>
        <v>1</v>
      </c>
      <c r="T16" s="226" cm="1">
        <f t="array" ref="T16">_xlfn.IFS(AND($K16&gt;S$7,$L16&gt;S$7),0,AND($K16&lt;=S$7,$L16&lt;=S$7),1,AND($K16&lt;=S$7,$L16&gt;S$7),((S$7-$K16)/($L16-$K16)))</f>
        <v>1</v>
      </c>
      <c r="U16" s="226" cm="1">
        <f t="array" ref="U16">_xlfn.IFS(AND($K16&gt;T$7,$L16&gt;T$7),0,AND($K16&lt;=T$7,$L16&lt;=T$7),1,AND($K16&lt;=T$7,$L16&gt;T$7),((T$7-$K16)/($L16-$K16)))</f>
        <v>1</v>
      </c>
      <c r="V16" s="226" cm="1">
        <f t="array" ref="V16">_xlfn.IFS(AND($K16&gt;U$7,$L16&gt;U$7),0,AND($K16&lt;=U$7,$L16&lt;=U$7),1,AND($K16&lt;=U$7,$L16&gt;U$7),((U$7-$K16)/($L16-$K16)))</f>
        <v>1</v>
      </c>
      <c r="W16" s="226" cm="1">
        <f t="array" ref="W16">_xlfn.IFS(AND($K16&gt;V$7,$L16&gt;V$7),0,AND($K16&lt;=V$7,$L16&lt;=V$7),1,AND($K16&lt;=V$7,$L16&gt;V$7),((V$7-$K16)/($L16-$K16)))</f>
        <v>1</v>
      </c>
      <c r="X16" s="226" cm="1">
        <f t="array" ref="X16">_xlfn.IFS(AND($K16&gt;W$7,$L16&gt;W$7),0,AND($K16&lt;=W$7,$L16&lt;=W$7),1,AND($K16&lt;=W$7,$L16&gt;W$7),((W$7-$K16)/($L16-$K16)))</f>
        <v>1</v>
      </c>
      <c r="Y16" s="226" cm="1">
        <f t="array" ref="Y16">_xlfn.IFS(AND($K16&gt;X$7,$L16&gt;X$7),0,AND($K16&lt;=X$7,$L16&lt;=X$7),1,AND($K16&lt;=X$7,$L16&gt;X$7),((X$7-$K16)/($L16-$K16)))</f>
        <v>1</v>
      </c>
      <c r="Z16" s="226" cm="1">
        <f t="array" ref="Z16">_xlfn.IFS(AND($K16&gt;Y$7,$L16&gt;Y$7),0,AND($K16&lt;=Y$7,$L16&lt;=Y$7),1,AND($K16&lt;=Y$7,$L16&gt;Y$7),((Y$7-$K16)/($L16-$K16)))</f>
        <v>1</v>
      </c>
      <c r="AA16" s="226" cm="1">
        <f t="array" ref="AA16">_xlfn.IFS(AND($K16&gt;Z$7,$L16&gt;Z$7),0,AND($K16&lt;=Z$7,$L16&lt;=Z$7),1,AND($K16&lt;=Z$7,$L16&gt;Z$7),((Z$7-$K16)/($L16-$K16)))</f>
        <v>1</v>
      </c>
      <c r="AB16" s="226" cm="1">
        <f t="array" ref="AB16">_xlfn.IFS(AND($K16&gt;AA$7,$L16&gt;AA$7),0,AND($K16&lt;=AA$7,$L16&lt;=AA$7),1,AND($K16&lt;=AA$7,$L16&gt;AA$7),((AA$7-$K16)/($L16-$K16)))</f>
        <v>1</v>
      </c>
      <c r="AC16" s="226" cm="1">
        <f t="array" ref="AC16">_xlfn.IFS(AND($K16&gt;AB$7,$L16&gt;AB$7),0,AND($K16&lt;=AB$7,$L16&lt;=AB$7),1,AND($K16&lt;=AB$7,$L16&gt;AB$7),((AB$7-$K16)/($L16-$K16)))</f>
        <v>1</v>
      </c>
      <c r="AD16" s="226" cm="1">
        <f t="array" ref="AD16">_xlfn.IFS(AND($K16&gt;AC$7,$L16&gt;AC$7),0,AND($K16&lt;=AC$7,$L16&lt;=AC$7),1,AND($K16&lt;=AC$7,$L16&gt;AC$7),((AC$7-$K16)/($L16-$K16)))</f>
        <v>1</v>
      </c>
      <c r="AE16" s="226" cm="1">
        <f t="array" ref="AE16">_xlfn.IFS(AND($K16&gt;AD$7,$L16&gt;AD$7),0,AND($K16&lt;=AD$7,$L16&lt;=AD$7),1,AND($K16&lt;=AD$7,$L16&gt;AD$7),((AD$7-$K16)/($L16-$K16)))</f>
        <v>1</v>
      </c>
      <c r="AF16" s="226" cm="1">
        <f t="array" ref="AF16">_xlfn.IFS(AND($K16&gt;AE$7,$L16&gt;AE$7),0,AND($K16&lt;=AE$7,$L16&lt;=AE$7),1,AND($K16&lt;=AE$7,$L16&gt;AE$7),((AE$7-$K16)/($L16-$K16)))</f>
        <v>1</v>
      </c>
      <c r="AG16" s="226" cm="1">
        <f t="array" ref="AG16">_xlfn.IFS(AND($K16&gt;AF$7,$L16&gt;AF$7),0,AND($K16&lt;=AF$7,$L16&lt;=AF$7),1,AND($K16&lt;=AF$7,$L16&gt;AF$7),((AF$7-$K16)/($L16-$K16)))</f>
        <v>1</v>
      </c>
      <c r="AH16" s="226" cm="1">
        <f t="array" ref="AH16">_xlfn.IFS(AND($K16&gt;AG$7,$L16&gt;AG$7),0,AND($K16&lt;=AG$7,$L16&lt;=AG$7),1,AND($K16&lt;=AG$7,$L16&gt;AG$7),((AG$7-$K16)/($L16-$K16)))</f>
        <v>1</v>
      </c>
      <c r="AI16" s="226" cm="1">
        <f t="array" ref="AI16">_xlfn.IFS(AND($K16&gt;AH$7,$L16&gt;AH$7),0,AND($K16&lt;=AH$7,$L16&lt;=AH$7),1,AND($K16&lt;=AH$7,$L16&gt;AH$7),((AH$7-$K16)/($L16-$K16)))</f>
        <v>1</v>
      </c>
      <c r="AJ16" s="226" cm="1">
        <f t="array" ref="AJ16">_xlfn.IFS(AND($K16&gt;AI$7,$L16&gt;AI$7),0,AND($K16&lt;=AI$7,$L16&lt;=AI$7),1,AND($K16&lt;=AI$7,$L16&gt;AI$7),((AI$7-$K16)/($L16-$K16)))</f>
        <v>1</v>
      </c>
      <c r="AK16" s="226" cm="1">
        <f t="array" ref="AK16">_xlfn.IFS(AND($K16&gt;AJ$7,$L16&gt;AJ$7),0,AND($K16&lt;=AJ$7,$L16&lt;=AJ$7),1,AND($K16&lt;=AJ$7,$L16&gt;AJ$7),((AJ$7-$K16)/($L16-$K16)))</f>
        <v>1</v>
      </c>
      <c r="AL16" s="226" cm="1">
        <f t="array" ref="AL16">_xlfn.IFS(AND($K16&gt;AK$7,$L16&gt;AK$7),0,AND($K16&lt;=AK$7,$L16&lt;=AK$7),1,AND($K16&lt;=AK$7,$L16&gt;AK$7),((AK$7-$K16)/($L16-$K16)))</f>
        <v>1</v>
      </c>
      <c r="AM16" s="226" cm="1">
        <f t="array" ref="AM16">_xlfn.IFS(AND($K16&gt;AL$7,$L16&gt;AL$7),0,AND($K16&lt;=AL$7,$L16&lt;=AL$7),1,AND($K16&lt;=AL$7,$L16&gt;AL$7),((AL$7-$K16)/($L16-$K16)))</f>
        <v>1</v>
      </c>
      <c r="AN16" s="226" cm="1">
        <f t="array" ref="AN16">_xlfn.IFS(AND($K16&gt;AM$7,$L16&gt;AM$7),0,AND($K16&lt;=AM$7,$L16&lt;=AM$7),1,AND($K16&lt;=AM$7,$L16&gt;AM$7),((AM$7-$K16)/($L16-$K16)))</f>
        <v>1</v>
      </c>
      <c r="AO16" s="226" cm="1">
        <f t="array" ref="AO16">_xlfn.IFS(AND($K16&gt;AN$7,$L16&gt;AN$7),0,AND($K16&lt;=AN$7,$L16&lt;=AN$7),1,AND($K16&lt;=AN$7,$L16&gt;AN$7),((AN$7-$K16)/($L16-$K16)))</f>
        <v>1</v>
      </c>
      <c r="AP16" s="226" cm="1">
        <f t="array" ref="AP16">_xlfn.IFS(AND($K16&gt;AO$7,$L16&gt;AO$7),0,AND($K16&lt;=AO$7,$L16&lt;=AO$7),1,AND($K16&lt;=AO$7,$L16&gt;AO$7),((AO$7-$K16)/($L16-$K16)))</f>
        <v>1</v>
      </c>
      <c r="AQ16" s="226" cm="1">
        <f t="array" ref="AQ16">_xlfn.IFS(AND($K16&gt;AP$7,$L16&gt;AP$7),0,AND($K16&lt;=AP$7,$L16&lt;=AP$7),1,AND($K16&lt;=AP$7,$L16&gt;AP$7),((AP$7-$K16)/($L16-$K16)))</f>
        <v>1</v>
      </c>
      <c r="AR16" s="226" cm="1">
        <f t="array" ref="AR16">_xlfn.IFS(AND($K16&gt;AQ$7,$L16&gt;AQ$7),0,AND($K16&lt;=AQ$7,$L16&lt;=AQ$7),1,AND($K16&lt;=AQ$7,$L16&gt;AQ$7),((AQ$7-$K16)/($L16-$K16)))</f>
        <v>1</v>
      </c>
      <c r="AS16" s="226" cm="1">
        <f t="array" ref="AS16">_xlfn.IFS(AND($K16&gt;AR$7,$L16&gt;AR$7),0,AND($K16&lt;=AR$7,$L16&lt;=AR$7),1,AND($K16&lt;=AR$7,$L16&gt;AR$7),((AR$7-$K16)/($L16-$K16)))</f>
        <v>1</v>
      </c>
      <c r="AT16" s="226" cm="1">
        <f t="array" ref="AT16">_xlfn.IFS(AND($K16&gt;AS$7,$L16&gt;AS$7),0,AND($K16&lt;=AS$7,$L16&lt;=AS$7),1,AND($K16&lt;=AS$7,$L16&gt;AS$7),((AS$7-$K16)/($L16-$K16)))</f>
        <v>1</v>
      </c>
      <c r="AU16" s="226" cm="1">
        <f t="array" ref="AU16">_xlfn.IFS(AND($K16&gt;AT$7,$L16&gt;AT$7),0,AND($K16&lt;=AT$7,$L16&lt;=AT$7),1,AND($K16&lt;=AT$7,$L16&gt;AT$7),((AT$7-$K16)/($L16-$K16)))</f>
        <v>1</v>
      </c>
      <c r="AV16" s="226" cm="1">
        <f t="array" ref="AV16">_xlfn.IFS(AND($K16&gt;AU$7,$L16&gt;AU$7),0,AND($K16&lt;=AU$7,$L16&lt;=AU$7),1,AND($K16&lt;=AU$7,$L16&gt;AU$7),((AU$7-$K16)/($L16-$K16)))</f>
        <v>1</v>
      </c>
      <c r="AW16" s="226" cm="1">
        <f t="array" ref="AW16">_xlfn.IFS(AND($K16&gt;AV$7,$L16&gt;AV$7),0,AND($K16&lt;=AV$7,$L16&lt;=AV$7),1,AND($K16&lt;=AV$7,$L16&gt;AV$7),((AV$7-$K16)/($L16-$K16)))</f>
        <v>1</v>
      </c>
      <c r="AX16" s="226" cm="1">
        <f t="array" ref="AX16">_xlfn.IFS(AND($K16&gt;AW$7,$L16&gt;AW$7),0,AND($K16&lt;=AW$7,$L16&lt;=AW$7),1,AND($K16&lt;=AW$7,$L16&gt;AW$7),((AW$7-$K16)/($L16-$K16)))</f>
        <v>1</v>
      </c>
      <c r="AY16" s="226" cm="1">
        <f t="array" ref="AY16">_xlfn.IFS(AND($K16&gt;AX$7,$L16&gt;AX$7),0,AND($K16&lt;=AX$7,$L16&lt;=AX$7),1,AND($K16&lt;=AX$7,$L16&gt;AX$7),((AX$7-$K16)/($L16-$K16)))</f>
        <v>1</v>
      </c>
      <c r="AZ16" s="226" cm="1">
        <f t="array" ref="AZ16">_xlfn.IFS(AND($K16&gt;AY$7,$L16&gt;AY$7),0,AND($K16&lt;=AY$7,$L16&lt;=AY$7),1,AND($K16&lt;=AY$7,$L16&gt;AY$7),((AY$7-$K16)/($L16-$K16)))</f>
        <v>1</v>
      </c>
      <c r="BA16" s="226" cm="1">
        <f t="array" ref="BA16">_xlfn.IFS(AND($K16&gt;AZ$7,$L16&gt;AZ$7),0,AND($K16&lt;=AZ$7,$L16&lt;=AZ$7),1,AND($K16&lt;=AZ$7,$L16&gt;AZ$7),((AZ$7-$K16)/($L16-$K16)))</f>
        <v>1</v>
      </c>
      <c r="BB16" s="226" cm="1">
        <f t="array" ref="BB16">_xlfn.IFS(AND($K16&gt;BA$7,$L16&gt;BA$7),0,AND($K16&lt;=BA$7,$L16&lt;=BA$7),1,AND($K16&lt;=BA$7,$L16&gt;BA$7),((BA$7-$K16)/($L16-$K16)))</f>
        <v>1</v>
      </c>
      <c r="BC16" s="226" cm="1">
        <f t="array" ref="BC16">_xlfn.IFS(AND($K16&gt;BB$7,$L16&gt;BB$7),0,AND($K16&lt;=BB$7,$L16&lt;=BB$7),1,AND($K16&lt;=BB$7,$L16&gt;BB$7),((BB$7-$K16)/($L16-$K16)))</f>
        <v>1</v>
      </c>
      <c r="BD16" s="226" cm="1">
        <f t="array" ref="BD16">_xlfn.IFS(AND($K16&gt;BC$7,$L16&gt;BC$7),0,AND($K16&lt;=BC$7,$L16&lt;=BC$7),1,AND($K16&lt;=BC$7,$L16&gt;BC$7),((BC$7-$K16)/($L16-$K16)))</f>
        <v>1</v>
      </c>
      <c r="BE16" s="226" cm="1">
        <f t="array" ref="BE16">_xlfn.IFS(AND($K16&gt;BD$7,$L16&gt;BD$7),0,AND($K16&lt;=BD$7,$L16&lt;=BD$7),1,AND($K16&lt;=BD$7,$L16&gt;BD$7),((BD$7-$K16)/($L16-$K16)))</f>
        <v>1</v>
      </c>
      <c r="BF16" s="226" cm="1">
        <f t="array" ref="BF16">_xlfn.IFS(AND($K16&gt;BE$7,$L16&gt;BE$7),0,AND($K16&lt;=BE$7,$L16&lt;=BE$7),1,AND($K16&lt;=BE$7,$L16&gt;BE$7),((BE$7-$K16)/($L16-$K16)))</f>
        <v>1</v>
      </c>
      <c r="BG16" s="226" cm="1">
        <f t="array" ref="BG16">_xlfn.IFS(AND($K16&gt;BF$7,$L16&gt;BF$7),0,AND($K16&lt;=BF$7,$L16&lt;=BF$7),1,AND($K16&lt;=BF$7,$L16&gt;BF$7),((BF$7-$K16)/($L16-$K16)))</f>
        <v>1</v>
      </c>
      <c r="BH16">
        <f>Tab.plano6[[#This Row],[Data Término
Prevista]]-Tab.plano6[[#This Row],[Data Início
Previsto]]</f>
        <v>12</v>
      </c>
    </row>
    <row r="17" spans="1:60" customFormat="1" ht="18" hidden="1" customHeight="1" x14ac:dyDescent="0.3">
      <c r="A17" s="220"/>
      <c r="B17" s="220" t="s">
        <v>161</v>
      </c>
      <c r="C17" s="220" t="s">
        <v>408</v>
      </c>
      <c r="D17" s="251" t="s">
        <v>399</v>
      </c>
      <c r="E17" s="251" t="s">
        <v>402</v>
      </c>
      <c r="F17" s="251" t="s">
        <v>403</v>
      </c>
      <c r="G17" s="251" t="s">
        <v>403</v>
      </c>
      <c r="H17" s="221" t="s">
        <v>409</v>
      </c>
      <c r="I17" s="260">
        <v>46092</v>
      </c>
      <c r="J17" s="260">
        <v>46094</v>
      </c>
      <c r="K17" s="260">
        <v>46092</v>
      </c>
      <c r="L17" s="260">
        <v>46094</v>
      </c>
      <c r="M17" s="231" t="s">
        <v>400</v>
      </c>
      <c r="N17" s="227" t="str" cm="1">
        <f t="array" ref="N17">_xlfn.IFS(L17&lt;$M$3,"Concluído",AND(K17&lt;=$M$3,L17&gt;=$M$3,L17&lt;=J17),"Em andamento",AND(K17&lt;=$M$3,L17&gt;=$M$3,L17&gt;J17),"Atrasado",AND(K17&gt;$M$3,I17&gt;$M$3),"Não iniciado",AND(K17&gt;$M$3,I17&lt;=$M$3),"Atrasado",TRUE,"Não iniciado")</f>
        <v>Concluído</v>
      </c>
      <c r="O17" s="231" cm="1">
        <f t="array" ref="O17">_xlfn.IFS(N17="Não iniciado",0,N17="Em andamento",1,N17="Concluído",2,N17="Atrasado",3)</f>
        <v>2</v>
      </c>
      <c r="P17" s="220"/>
      <c r="Q17" s="226" cm="1">
        <f t="array" ref="Q17">_xlfn.IFS(AND($I17&lt;$M$3,$J17&lt;$M$3),1,AND($I17&lt;=$M$3,$J17&gt;=$M$3),0.5,AND($I17&gt;=$M$3,$J17&gt;=$M$3),0)</f>
        <v>1</v>
      </c>
      <c r="R17" s="226" cm="1">
        <f t="array" ref="R17">_xlfn.IFS(AND($K17&lt;$M$3,$L17&lt;$M$3),1,AND($K17&lt;=$M$3,$L17&gt;=$M$3),0.5,AND($K17&gt;=$M$3,$L17&gt;=$M$3),0)</f>
        <v>1</v>
      </c>
      <c r="S17" s="226" cm="1">
        <f t="array" ref="S17">_xlfn.IFS(AND($K17&gt;R$7,$L17&gt;R$7),0,AND($K17&lt;=R$7,$L17&lt;=R$7),1,AND($K17&lt;=R$7,$L17&gt;R$7),((R$7-$K17)/($L17-$K17)))</f>
        <v>1</v>
      </c>
      <c r="T17" s="226" cm="1">
        <f t="array" ref="T17">_xlfn.IFS(AND($K17&gt;S$7,$L17&gt;S$7),0,AND($K17&lt;=S$7,$L17&lt;=S$7),1,AND($K17&lt;=S$7,$L17&gt;S$7),((S$7-$K17)/($L17-$K17)))</f>
        <v>1</v>
      </c>
      <c r="U17" s="226" cm="1">
        <f t="array" ref="U17">_xlfn.IFS(AND($K17&gt;T$7,$L17&gt;T$7),0,AND($K17&lt;=T$7,$L17&lt;=T$7),1,AND($K17&lt;=T$7,$L17&gt;T$7),((T$7-$K17)/($L17-$K17)))</f>
        <v>1</v>
      </c>
      <c r="V17" s="226" cm="1">
        <f t="array" ref="V17">_xlfn.IFS(AND($K17&gt;U$7,$L17&gt;U$7),0,AND($K17&lt;=U$7,$L17&lt;=U$7),1,AND($K17&lt;=U$7,$L17&gt;U$7),((U$7-$K17)/($L17-$K17)))</f>
        <v>1</v>
      </c>
      <c r="W17" s="226" cm="1">
        <f t="array" ref="W17">_xlfn.IFS(AND($K17&gt;V$7,$L17&gt;V$7),0,AND($K17&lt;=V$7,$L17&lt;=V$7),1,AND($K17&lt;=V$7,$L17&gt;V$7),((V$7-$K17)/($L17-$K17)))</f>
        <v>1</v>
      </c>
      <c r="X17" s="226" cm="1">
        <f t="array" ref="X17">_xlfn.IFS(AND($K17&gt;W$7,$L17&gt;W$7),0,AND($K17&lt;=W$7,$L17&lt;=W$7),1,AND($K17&lt;=W$7,$L17&gt;W$7),((W$7-$K17)/($L17-$K17)))</f>
        <v>1</v>
      </c>
      <c r="Y17" s="226" cm="1">
        <f t="array" ref="Y17">_xlfn.IFS(AND($K17&gt;X$7,$L17&gt;X$7),0,AND($K17&lt;=X$7,$L17&lt;=X$7),1,AND($K17&lt;=X$7,$L17&gt;X$7),((X$7-$K17)/($L17-$K17)))</f>
        <v>1</v>
      </c>
      <c r="Z17" s="226" cm="1">
        <f t="array" ref="Z17">_xlfn.IFS(AND($K17&gt;Y$7,$L17&gt;Y$7),0,AND($K17&lt;=Y$7,$L17&lt;=Y$7),1,AND($K17&lt;=Y$7,$L17&gt;Y$7),((Y$7-$K17)/($L17-$K17)))</f>
        <v>1</v>
      </c>
      <c r="AA17" s="226" cm="1">
        <f t="array" ref="AA17">_xlfn.IFS(AND($K17&gt;Z$7,$L17&gt;Z$7),0,AND($K17&lt;=Z$7,$L17&lt;=Z$7),1,AND($K17&lt;=Z$7,$L17&gt;Z$7),((Z$7-$K17)/($L17-$K17)))</f>
        <v>1</v>
      </c>
      <c r="AB17" s="226" cm="1">
        <f t="array" ref="AB17">_xlfn.IFS(AND($K17&gt;AA$7,$L17&gt;AA$7),0,AND($K17&lt;=AA$7,$L17&lt;=AA$7),1,AND($K17&lt;=AA$7,$L17&gt;AA$7),((AA$7-$K17)/($L17-$K17)))</f>
        <v>1</v>
      </c>
      <c r="AC17" s="226" cm="1">
        <f t="array" ref="AC17">_xlfn.IFS(AND($K17&gt;AB$7,$L17&gt;AB$7),0,AND($K17&lt;=AB$7,$L17&lt;=AB$7),1,AND($K17&lt;=AB$7,$L17&gt;AB$7),((AB$7-$K17)/($L17-$K17)))</f>
        <v>1</v>
      </c>
      <c r="AD17" s="226" cm="1">
        <f t="array" ref="AD17">_xlfn.IFS(AND($K17&gt;AC$7,$L17&gt;AC$7),0,AND($K17&lt;=AC$7,$L17&lt;=AC$7),1,AND($K17&lt;=AC$7,$L17&gt;AC$7),((AC$7-$K17)/($L17-$K17)))</f>
        <v>1</v>
      </c>
      <c r="AE17" s="226" cm="1">
        <f t="array" ref="AE17">_xlfn.IFS(AND($K17&gt;AD$7,$L17&gt;AD$7),0,AND($K17&lt;=AD$7,$L17&lt;=AD$7),1,AND($K17&lt;=AD$7,$L17&gt;AD$7),((AD$7-$K17)/($L17-$K17)))</f>
        <v>1</v>
      </c>
      <c r="AF17" s="226" cm="1">
        <f t="array" ref="AF17">_xlfn.IFS(AND($K17&gt;AE$7,$L17&gt;AE$7),0,AND($K17&lt;=AE$7,$L17&lt;=AE$7),1,AND($K17&lt;=AE$7,$L17&gt;AE$7),((AE$7-$K17)/($L17-$K17)))</f>
        <v>1</v>
      </c>
      <c r="AG17" s="226" cm="1">
        <f t="array" ref="AG17">_xlfn.IFS(AND($K17&gt;AF$7,$L17&gt;AF$7),0,AND($K17&lt;=AF$7,$L17&lt;=AF$7),1,AND($K17&lt;=AF$7,$L17&gt;AF$7),((AF$7-$K17)/($L17-$K17)))</f>
        <v>1</v>
      </c>
      <c r="AH17" s="226" cm="1">
        <f t="array" ref="AH17">_xlfn.IFS(AND($K17&gt;AG$7,$L17&gt;AG$7),0,AND($K17&lt;=AG$7,$L17&lt;=AG$7),1,AND($K17&lt;=AG$7,$L17&gt;AG$7),((AG$7-$K17)/($L17-$K17)))</f>
        <v>1</v>
      </c>
      <c r="AI17" s="226" cm="1">
        <f t="array" ref="AI17">_xlfn.IFS(AND($K17&gt;AH$7,$L17&gt;AH$7),0,AND($K17&lt;=AH$7,$L17&lt;=AH$7),1,AND($K17&lt;=AH$7,$L17&gt;AH$7),((AH$7-$K17)/($L17-$K17)))</f>
        <v>1</v>
      </c>
      <c r="AJ17" s="226" cm="1">
        <f t="array" ref="AJ17">_xlfn.IFS(AND($K17&gt;AI$7,$L17&gt;AI$7),0,AND($K17&lt;=AI$7,$L17&lt;=AI$7),1,AND($K17&lt;=AI$7,$L17&gt;AI$7),((AI$7-$K17)/($L17-$K17)))</f>
        <v>1</v>
      </c>
      <c r="AK17" s="226" cm="1">
        <f t="array" ref="AK17">_xlfn.IFS(AND($K17&gt;AJ$7,$L17&gt;AJ$7),0,AND($K17&lt;=AJ$7,$L17&lt;=AJ$7),1,AND($K17&lt;=AJ$7,$L17&gt;AJ$7),((AJ$7-$K17)/($L17-$K17)))</f>
        <v>1</v>
      </c>
      <c r="AL17" s="226" cm="1">
        <f t="array" ref="AL17">_xlfn.IFS(AND($K17&gt;AK$7,$L17&gt;AK$7),0,AND($K17&lt;=AK$7,$L17&lt;=AK$7),1,AND($K17&lt;=AK$7,$L17&gt;AK$7),((AK$7-$K17)/($L17-$K17)))</f>
        <v>1</v>
      </c>
      <c r="AM17" s="226" cm="1">
        <f t="array" ref="AM17">_xlfn.IFS(AND($K17&gt;AL$7,$L17&gt;AL$7),0,AND($K17&lt;=AL$7,$L17&lt;=AL$7),1,AND($K17&lt;=AL$7,$L17&gt;AL$7),((AL$7-$K17)/($L17-$K17)))</f>
        <v>1</v>
      </c>
      <c r="AN17" s="226" cm="1">
        <f t="array" ref="AN17">_xlfn.IFS(AND($K17&gt;AM$7,$L17&gt;AM$7),0,AND($K17&lt;=AM$7,$L17&lt;=AM$7),1,AND($K17&lt;=AM$7,$L17&gt;AM$7),((AM$7-$K17)/($L17-$K17)))</f>
        <v>1</v>
      </c>
      <c r="AO17" s="226" cm="1">
        <f t="array" ref="AO17">_xlfn.IFS(AND($K17&gt;AN$7,$L17&gt;AN$7),0,AND($K17&lt;=AN$7,$L17&lt;=AN$7),1,AND($K17&lt;=AN$7,$L17&gt;AN$7),((AN$7-$K17)/($L17-$K17)))</f>
        <v>1</v>
      </c>
      <c r="AP17" s="226" cm="1">
        <f t="array" ref="AP17">_xlfn.IFS(AND($K17&gt;AO$7,$L17&gt;AO$7),0,AND($K17&lt;=AO$7,$L17&lt;=AO$7),1,AND($K17&lt;=AO$7,$L17&gt;AO$7),((AO$7-$K17)/($L17-$K17)))</f>
        <v>1</v>
      </c>
      <c r="AQ17" s="226" cm="1">
        <f t="array" ref="AQ17">_xlfn.IFS(AND($K17&gt;AP$7,$L17&gt;AP$7),0,AND($K17&lt;=AP$7,$L17&lt;=AP$7),1,AND($K17&lt;=AP$7,$L17&gt;AP$7),((AP$7-$K17)/($L17-$K17)))</f>
        <v>1</v>
      </c>
      <c r="AR17" s="226" cm="1">
        <f t="array" ref="AR17">_xlfn.IFS(AND($K17&gt;AQ$7,$L17&gt;AQ$7),0,AND($K17&lt;=AQ$7,$L17&lt;=AQ$7),1,AND($K17&lt;=AQ$7,$L17&gt;AQ$7),((AQ$7-$K17)/($L17-$K17)))</f>
        <v>1</v>
      </c>
      <c r="AS17" s="226" cm="1">
        <f t="array" ref="AS17">_xlfn.IFS(AND($K17&gt;AR$7,$L17&gt;AR$7),0,AND($K17&lt;=AR$7,$L17&lt;=AR$7),1,AND($K17&lt;=AR$7,$L17&gt;AR$7),((AR$7-$K17)/($L17-$K17)))</f>
        <v>1</v>
      </c>
      <c r="AT17" s="226" cm="1">
        <f t="array" ref="AT17">_xlfn.IFS(AND($K17&gt;AS$7,$L17&gt;AS$7),0,AND($K17&lt;=AS$7,$L17&lt;=AS$7),1,AND($K17&lt;=AS$7,$L17&gt;AS$7),((AS$7-$K17)/($L17-$K17)))</f>
        <v>1</v>
      </c>
      <c r="AU17" s="226" cm="1">
        <f t="array" ref="AU17">_xlfn.IFS(AND($K17&gt;AT$7,$L17&gt;AT$7),0,AND($K17&lt;=AT$7,$L17&lt;=AT$7),1,AND($K17&lt;=AT$7,$L17&gt;AT$7),((AT$7-$K17)/($L17-$K17)))</f>
        <v>1</v>
      </c>
      <c r="AV17" s="226" cm="1">
        <f t="array" ref="AV17">_xlfn.IFS(AND($K17&gt;AU$7,$L17&gt;AU$7),0,AND($K17&lt;=AU$7,$L17&lt;=AU$7),1,AND($K17&lt;=AU$7,$L17&gt;AU$7),((AU$7-$K17)/($L17-$K17)))</f>
        <v>1</v>
      </c>
      <c r="AW17" s="226" cm="1">
        <f t="array" ref="AW17">_xlfn.IFS(AND($K17&gt;AV$7,$L17&gt;AV$7),0,AND($K17&lt;=AV$7,$L17&lt;=AV$7),1,AND($K17&lt;=AV$7,$L17&gt;AV$7),((AV$7-$K17)/($L17-$K17)))</f>
        <v>1</v>
      </c>
      <c r="AX17" s="226" cm="1">
        <f t="array" ref="AX17">_xlfn.IFS(AND($K17&gt;AW$7,$L17&gt;AW$7),0,AND($K17&lt;=AW$7,$L17&lt;=AW$7),1,AND($K17&lt;=AW$7,$L17&gt;AW$7),((AW$7-$K17)/($L17-$K17)))</f>
        <v>1</v>
      </c>
      <c r="AY17" s="226" cm="1">
        <f t="array" ref="AY17">_xlfn.IFS(AND($K17&gt;AX$7,$L17&gt;AX$7),0,AND($K17&lt;=AX$7,$L17&lt;=AX$7),1,AND($K17&lt;=AX$7,$L17&gt;AX$7),((AX$7-$K17)/($L17-$K17)))</f>
        <v>1</v>
      </c>
      <c r="AZ17" s="226" cm="1">
        <f t="array" ref="AZ17">_xlfn.IFS(AND($K17&gt;AY$7,$L17&gt;AY$7),0,AND($K17&lt;=AY$7,$L17&lt;=AY$7),1,AND($K17&lt;=AY$7,$L17&gt;AY$7),((AY$7-$K17)/($L17-$K17)))</f>
        <v>1</v>
      </c>
      <c r="BA17" s="226" cm="1">
        <f t="array" ref="BA17">_xlfn.IFS(AND($K17&gt;AZ$7,$L17&gt;AZ$7),0,AND($K17&lt;=AZ$7,$L17&lt;=AZ$7),1,AND($K17&lt;=AZ$7,$L17&gt;AZ$7),((AZ$7-$K17)/($L17-$K17)))</f>
        <v>1</v>
      </c>
      <c r="BB17" s="226" cm="1">
        <f t="array" ref="BB17">_xlfn.IFS(AND($K17&gt;BA$7,$L17&gt;BA$7),0,AND($K17&lt;=BA$7,$L17&lt;=BA$7),1,AND($K17&lt;=BA$7,$L17&gt;BA$7),((BA$7-$K17)/($L17-$K17)))</f>
        <v>1</v>
      </c>
      <c r="BC17" s="226" cm="1">
        <f t="array" ref="BC17">_xlfn.IFS(AND($K17&gt;BB$7,$L17&gt;BB$7),0,AND($K17&lt;=BB$7,$L17&lt;=BB$7),1,AND($K17&lt;=BB$7,$L17&gt;BB$7),((BB$7-$K17)/($L17-$K17)))</f>
        <v>1</v>
      </c>
      <c r="BD17" s="226" cm="1">
        <f t="array" ref="BD17">_xlfn.IFS(AND($K17&gt;BC$7,$L17&gt;BC$7),0,AND($K17&lt;=BC$7,$L17&lt;=BC$7),1,AND($K17&lt;=BC$7,$L17&gt;BC$7),((BC$7-$K17)/($L17-$K17)))</f>
        <v>1</v>
      </c>
      <c r="BE17" s="226" cm="1">
        <f t="array" ref="BE17">_xlfn.IFS(AND($K17&gt;BD$7,$L17&gt;BD$7),0,AND($K17&lt;=BD$7,$L17&lt;=BD$7),1,AND($K17&lt;=BD$7,$L17&gt;BD$7),((BD$7-$K17)/($L17-$K17)))</f>
        <v>1</v>
      </c>
      <c r="BF17" s="226" cm="1">
        <f t="array" ref="BF17">_xlfn.IFS(AND($K17&gt;BE$7,$L17&gt;BE$7),0,AND($K17&lt;=BE$7,$L17&lt;=BE$7),1,AND($K17&lt;=BE$7,$L17&gt;BE$7),((BE$7-$K17)/($L17-$K17)))</f>
        <v>1</v>
      </c>
      <c r="BG17" s="226" cm="1">
        <f t="array" ref="BG17">_xlfn.IFS(AND($K17&gt;BF$7,$L17&gt;BF$7),0,AND($K17&lt;=BF$7,$L17&lt;=BF$7),1,AND($K17&lt;=BF$7,$L17&gt;BF$7),((BF$7-$K17)/($L17-$K17)))</f>
        <v>1</v>
      </c>
      <c r="BH17">
        <f>Tab.plano6[[#This Row],[Data Término
Prevista]]-Tab.plano6[[#This Row],[Data Início
Previsto]]</f>
        <v>2</v>
      </c>
    </row>
    <row r="18" spans="1:60" customFormat="1" ht="18" hidden="1" customHeight="1" x14ac:dyDescent="0.3">
      <c r="A18" s="220"/>
      <c r="B18" s="220" t="s">
        <v>161</v>
      </c>
      <c r="C18" s="220" t="s">
        <v>410</v>
      </c>
      <c r="D18" s="251" t="s">
        <v>399</v>
      </c>
      <c r="E18" s="251" t="s">
        <v>402</v>
      </c>
      <c r="F18" s="251" t="s">
        <v>403</v>
      </c>
      <c r="G18" s="251" t="s">
        <v>403</v>
      </c>
      <c r="H18" s="221" t="s">
        <v>411</v>
      </c>
      <c r="I18" s="260">
        <v>46105</v>
      </c>
      <c r="J18" s="260">
        <v>46108</v>
      </c>
      <c r="K18" s="260">
        <v>46105</v>
      </c>
      <c r="L18" s="260">
        <v>46108</v>
      </c>
      <c r="M18" s="231" t="s">
        <v>400</v>
      </c>
      <c r="N18" s="227" t="str" cm="1">
        <f t="array" ref="N18">_xlfn.IFS(L18&lt;$M$3,"Concluído",AND(K18&lt;=$M$3,L18&gt;=$M$3,L18&lt;=J18),"Em andamento",AND(K18&lt;=$M$3,L18&gt;=$M$3,L18&gt;J18),"Atrasado",AND(K18&gt;$M$3,I18&gt;$M$3),"Não iniciado",AND(K18&gt;$M$3,I18&lt;=$M$3),"Atrasado",TRUE,"Não iniciado")</f>
        <v>Concluído</v>
      </c>
      <c r="O18" s="231" cm="1">
        <f t="array" ref="O18">_xlfn.IFS(N18="Não iniciado",0,N18="Em andamento",1,N18="Concluído",2,N18="Atrasado",3)</f>
        <v>2</v>
      </c>
      <c r="P18" s="220"/>
      <c r="Q18" s="226" cm="1">
        <f t="array" ref="Q18">_xlfn.IFS(AND($I18&lt;$M$3,$J18&lt;$M$3),1,AND($I18&lt;=$M$3,$J18&gt;=$M$3),0.5,AND($I18&gt;=$M$3,$J18&gt;=$M$3),0)</f>
        <v>1</v>
      </c>
      <c r="R18" s="226" cm="1">
        <f t="array" ref="R18">_xlfn.IFS(AND($K18&lt;$M$3,$L18&lt;$M$3),1,AND($K18&lt;=$M$3,$L18&gt;=$M$3),0.5,AND($K18&gt;=$M$3,$L18&gt;=$M$3),0)</f>
        <v>1</v>
      </c>
      <c r="S18" s="226" cm="1">
        <f t="array" ref="S18">_xlfn.IFS(AND($K18&gt;R$7,$L18&gt;R$7),0,AND($K18&lt;=R$7,$L18&lt;=R$7),1,AND($K18&lt;=R$7,$L18&gt;R$7),((R$7-$K18)/($L18-$K18)))</f>
        <v>0</v>
      </c>
      <c r="T18" s="226" cm="1">
        <f t="array" ref="T18">_xlfn.IFS(AND($K18&gt;S$7,$L18&gt;S$7),0,AND($K18&lt;=S$7,$L18&lt;=S$7),1,AND($K18&lt;=S$7,$L18&gt;S$7),((S$7-$K18)/($L18-$K18)))</f>
        <v>1</v>
      </c>
      <c r="U18" s="226" cm="1">
        <f t="array" ref="U18">_xlfn.IFS(AND($K18&gt;T$7,$L18&gt;T$7),0,AND($K18&lt;=T$7,$L18&lt;=T$7),1,AND($K18&lt;=T$7,$L18&gt;T$7),((T$7-$K18)/($L18-$K18)))</f>
        <v>1</v>
      </c>
      <c r="V18" s="226" cm="1">
        <f t="array" ref="V18">_xlfn.IFS(AND($K18&gt;U$7,$L18&gt;U$7),0,AND($K18&lt;=U$7,$L18&lt;=U$7),1,AND($K18&lt;=U$7,$L18&gt;U$7),((U$7-$K18)/($L18-$K18)))</f>
        <v>1</v>
      </c>
      <c r="W18" s="226" cm="1">
        <f t="array" ref="W18">_xlfn.IFS(AND($K18&gt;V$7,$L18&gt;V$7),0,AND($K18&lt;=V$7,$L18&lt;=V$7),1,AND($K18&lt;=V$7,$L18&gt;V$7),((V$7-$K18)/($L18-$K18)))</f>
        <v>1</v>
      </c>
      <c r="X18" s="226" cm="1">
        <f t="array" ref="X18">_xlfn.IFS(AND($K18&gt;W$7,$L18&gt;W$7),0,AND($K18&lt;=W$7,$L18&lt;=W$7),1,AND($K18&lt;=W$7,$L18&gt;W$7),((W$7-$K18)/($L18-$K18)))</f>
        <v>1</v>
      </c>
      <c r="Y18" s="226" cm="1">
        <f t="array" ref="Y18">_xlfn.IFS(AND($K18&gt;X$7,$L18&gt;X$7),0,AND($K18&lt;=X$7,$L18&lt;=X$7),1,AND($K18&lt;=X$7,$L18&gt;X$7),((X$7-$K18)/($L18-$K18)))</f>
        <v>1</v>
      </c>
      <c r="Z18" s="226" cm="1">
        <f t="array" ref="Z18">_xlfn.IFS(AND($K18&gt;Y$7,$L18&gt;Y$7),0,AND($K18&lt;=Y$7,$L18&lt;=Y$7),1,AND($K18&lt;=Y$7,$L18&gt;Y$7),((Y$7-$K18)/($L18-$K18)))</f>
        <v>1</v>
      </c>
      <c r="AA18" s="226" cm="1">
        <f t="array" ref="AA18">_xlfn.IFS(AND($K18&gt;Z$7,$L18&gt;Z$7),0,AND($K18&lt;=Z$7,$L18&lt;=Z$7),1,AND($K18&lt;=Z$7,$L18&gt;Z$7),((Z$7-$K18)/($L18-$K18)))</f>
        <v>1</v>
      </c>
      <c r="AB18" s="226" cm="1">
        <f t="array" ref="AB18">_xlfn.IFS(AND($K18&gt;AA$7,$L18&gt;AA$7),0,AND($K18&lt;=AA$7,$L18&lt;=AA$7),1,AND($K18&lt;=AA$7,$L18&gt;AA$7),((AA$7-$K18)/($L18-$K18)))</f>
        <v>1</v>
      </c>
      <c r="AC18" s="226" cm="1">
        <f t="array" ref="AC18">_xlfn.IFS(AND($K18&gt;AB$7,$L18&gt;AB$7),0,AND($K18&lt;=AB$7,$L18&lt;=AB$7),1,AND($K18&lt;=AB$7,$L18&gt;AB$7),((AB$7-$K18)/($L18-$K18)))</f>
        <v>1</v>
      </c>
      <c r="AD18" s="226" cm="1">
        <f t="array" ref="AD18">_xlfn.IFS(AND($K18&gt;AC$7,$L18&gt;AC$7),0,AND($K18&lt;=AC$7,$L18&lt;=AC$7),1,AND($K18&lt;=AC$7,$L18&gt;AC$7),((AC$7-$K18)/($L18-$K18)))</f>
        <v>1</v>
      </c>
      <c r="AE18" s="226" cm="1">
        <f t="array" ref="AE18">_xlfn.IFS(AND($K18&gt;AD$7,$L18&gt;AD$7),0,AND($K18&lt;=AD$7,$L18&lt;=AD$7),1,AND($K18&lt;=AD$7,$L18&gt;AD$7),((AD$7-$K18)/($L18-$K18)))</f>
        <v>1</v>
      </c>
      <c r="AF18" s="226" cm="1">
        <f t="array" ref="AF18">_xlfn.IFS(AND($K18&gt;AE$7,$L18&gt;AE$7),0,AND($K18&lt;=AE$7,$L18&lt;=AE$7),1,AND($K18&lt;=AE$7,$L18&gt;AE$7),((AE$7-$K18)/($L18-$K18)))</f>
        <v>1</v>
      </c>
      <c r="AG18" s="226" cm="1">
        <f t="array" ref="AG18">_xlfn.IFS(AND($K18&gt;AF$7,$L18&gt;AF$7),0,AND($K18&lt;=AF$7,$L18&lt;=AF$7),1,AND($K18&lt;=AF$7,$L18&gt;AF$7),((AF$7-$K18)/($L18-$K18)))</f>
        <v>1</v>
      </c>
      <c r="AH18" s="226" cm="1">
        <f t="array" ref="AH18">_xlfn.IFS(AND($K18&gt;AG$7,$L18&gt;AG$7),0,AND($K18&lt;=AG$7,$L18&lt;=AG$7),1,AND($K18&lt;=AG$7,$L18&gt;AG$7),((AG$7-$K18)/($L18-$K18)))</f>
        <v>1</v>
      </c>
      <c r="AI18" s="226" cm="1">
        <f t="array" ref="AI18">_xlfn.IFS(AND($K18&gt;AH$7,$L18&gt;AH$7),0,AND($K18&lt;=AH$7,$L18&lt;=AH$7),1,AND($K18&lt;=AH$7,$L18&gt;AH$7),((AH$7-$K18)/($L18-$K18)))</f>
        <v>1</v>
      </c>
      <c r="AJ18" s="226" cm="1">
        <f t="array" ref="AJ18">_xlfn.IFS(AND($K18&gt;AI$7,$L18&gt;AI$7),0,AND($K18&lt;=AI$7,$L18&lt;=AI$7),1,AND($K18&lt;=AI$7,$L18&gt;AI$7),((AI$7-$K18)/($L18-$K18)))</f>
        <v>1</v>
      </c>
      <c r="AK18" s="226" cm="1">
        <f t="array" ref="AK18">_xlfn.IFS(AND($K18&gt;AJ$7,$L18&gt;AJ$7),0,AND($K18&lt;=AJ$7,$L18&lt;=AJ$7),1,AND($K18&lt;=AJ$7,$L18&gt;AJ$7),((AJ$7-$K18)/($L18-$K18)))</f>
        <v>1</v>
      </c>
      <c r="AL18" s="226" cm="1">
        <f t="array" ref="AL18">_xlfn.IFS(AND($K18&gt;AK$7,$L18&gt;AK$7),0,AND($K18&lt;=AK$7,$L18&lt;=AK$7),1,AND($K18&lt;=AK$7,$L18&gt;AK$7),((AK$7-$K18)/($L18-$K18)))</f>
        <v>1</v>
      </c>
      <c r="AM18" s="226" cm="1">
        <f t="array" ref="AM18">_xlfn.IFS(AND($K18&gt;AL$7,$L18&gt;AL$7),0,AND($K18&lt;=AL$7,$L18&lt;=AL$7),1,AND($K18&lt;=AL$7,$L18&gt;AL$7),((AL$7-$K18)/($L18-$K18)))</f>
        <v>1</v>
      </c>
      <c r="AN18" s="226" cm="1">
        <f t="array" ref="AN18">_xlfn.IFS(AND($K18&gt;AM$7,$L18&gt;AM$7),0,AND($K18&lt;=AM$7,$L18&lt;=AM$7),1,AND($K18&lt;=AM$7,$L18&gt;AM$7),((AM$7-$K18)/($L18-$K18)))</f>
        <v>1</v>
      </c>
      <c r="AO18" s="226" cm="1">
        <f t="array" ref="AO18">_xlfn.IFS(AND($K18&gt;AN$7,$L18&gt;AN$7),0,AND($K18&lt;=AN$7,$L18&lt;=AN$7),1,AND($K18&lt;=AN$7,$L18&gt;AN$7),((AN$7-$K18)/($L18-$K18)))</f>
        <v>1</v>
      </c>
      <c r="AP18" s="226" cm="1">
        <f t="array" ref="AP18">_xlfn.IFS(AND($K18&gt;AO$7,$L18&gt;AO$7),0,AND($K18&lt;=AO$7,$L18&lt;=AO$7),1,AND($K18&lt;=AO$7,$L18&gt;AO$7),((AO$7-$K18)/($L18-$K18)))</f>
        <v>1</v>
      </c>
      <c r="AQ18" s="226" cm="1">
        <f t="array" ref="AQ18">_xlfn.IFS(AND($K18&gt;AP$7,$L18&gt;AP$7),0,AND($K18&lt;=AP$7,$L18&lt;=AP$7),1,AND($K18&lt;=AP$7,$L18&gt;AP$7),((AP$7-$K18)/($L18-$K18)))</f>
        <v>1</v>
      </c>
      <c r="AR18" s="226" cm="1">
        <f t="array" ref="AR18">_xlfn.IFS(AND($K18&gt;AQ$7,$L18&gt;AQ$7),0,AND($K18&lt;=AQ$7,$L18&lt;=AQ$7),1,AND($K18&lt;=AQ$7,$L18&gt;AQ$7),((AQ$7-$K18)/($L18-$K18)))</f>
        <v>1</v>
      </c>
      <c r="AS18" s="226" cm="1">
        <f t="array" ref="AS18">_xlfn.IFS(AND($K18&gt;AR$7,$L18&gt;AR$7),0,AND($K18&lt;=AR$7,$L18&lt;=AR$7),1,AND($K18&lt;=AR$7,$L18&gt;AR$7),((AR$7-$K18)/($L18-$K18)))</f>
        <v>1</v>
      </c>
      <c r="AT18" s="226" cm="1">
        <f t="array" ref="AT18">_xlfn.IFS(AND($K18&gt;AS$7,$L18&gt;AS$7),0,AND($K18&lt;=AS$7,$L18&lt;=AS$7),1,AND($K18&lt;=AS$7,$L18&gt;AS$7),((AS$7-$K18)/($L18-$K18)))</f>
        <v>1</v>
      </c>
      <c r="AU18" s="226" cm="1">
        <f t="array" ref="AU18">_xlfn.IFS(AND($K18&gt;AT$7,$L18&gt;AT$7),0,AND($K18&lt;=AT$7,$L18&lt;=AT$7),1,AND($K18&lt;=AT$7,$L18&gt;AT$7),((AT$7-$K18)/($L18-$K18)))</f>
        <v>1</v>
      </c>
      <c r="AV18" s="226" cm="1">
        <f t="array" ref="AV18">_xlfn.IFS(AND($K18&gt;AU$7,$L18&gt;AU$7),0,AND($K18&lt;=AU$7,$L18&lt;=AU$7),1,AND($K18&lt;=AU$7,$L18&gt;AU$7),((AU$7-$K18)/($L18-$K18)))</f>
        <v>1</v>
      </c>
      <c r="AW18" s="226" cm="1">
        <f t="array" ref="AW18">_xlfn.IFS(AND($K18&gt;AV$7,$L18&gt;AV$7),0,AND($K18&lt;=AV$7,$L18&lt;=AV$7),1,AND($K18&lt;=AV$7,$L18&gt;AV$7),((AV$7-$K18)/($L18-$K18)))</f>
        <v>1</v>
      </c>
      <c r="AX18" s="226" cm="1">
        <f t="array" ref="AX18">_xlfn.IFS(AND($K18&gt;AW$7,$L18&gt;AW$7),0,AND($K18&lt;=AW$7,$L18&lt;=AW$7),1,AND($K18&lt;=AW$7,$L18&gt;AW$7),((AW$7-$K18)/($L18-$K18)))</f>
        <v>1</v>
      </c>
      <c r="AY18" s="226" cm="1">
        <f t="array" ref="AY18">_xlfn.IFS(AND($K18&gt;AX$7,$L18&gt;AX$7),0,AND($K18&lt;=AX$7,$L18&lt;=AX$7),1,AND($K18&lt;=AX$7,$L18&gt;AX$7),((AX$7-$K18)/($L18-$K18)))</f>
        <v>1</v>
      </c>
      <c r="AZ18" s="226" cm="1">
        <f t="array" ref="AZ18">_xlfn.IFS(AND($K18&gt;AY$7,$L18&gt;AY$7),0,AND($K18&lt;=AY$7,$L18&lt;=AY$7),1,AND($K18&lt;=AY$7,$L18&gt;AY$7),((AY$7-$K18)/($L18-$K18)))</f>
        <v>1</v>
      </c>
      <c r="BA18" s="226" cm="1">
        <f t="array" ref="BA18">_xlfn.IFS(AND($K18&gt;AZ$7,$L18&gt;AZ$7),0,AND($K18&lt;=AZ$7,$L18&lt;=AZ$7),1,AND($K18&lt;=AZ$7,$L18&gt;AZ$7),((AZ$7-$K18)/($L18-$K18)))</f>
        <v>1</v>
      </c>
      <c r="BB18" s="226" cm="1">
        <f t="array" ref="BB18">_xlfn.IFS(AND($K18&gt;BA$7,$L18&gt;BA$7),0,AND($K18&lt;=BA$7,$L18&lt;=BA$7),1,AND($K18&lt;=BA$7,$L18&gt;BA$7),((BA$7-$K18)/($L18-$K18)))</f>
        <v>1</v>
      </c>
      <c r="BC18" s="226" cm="1">
        <f t="array" ref="BC18">_xlfn.IFS(AND($K18&gt;BB$7,$L18&gt;BB$7),0,AND($K18&lt;=BB$7,$L18&lt;=BB$7),1,AND($K18&lt;=BB$7,$L18&gt;BB$7),((BB$7-$K18)/($L18-$K18)))</f>
        <v>1</v>
      </c>
      <c r="BD18" s="226" cm="1">
        <f t="array" ref="BD18">_xlfn.IFS(AND($K18&gt;BC$7,$L18&gt;BC$7),0,AND($K18&lt;=BC$7,$L18&lt;=BC$7),1,AND($K18&lt;=BC$7,$L18&gt;BC$7),((BC$7-$K18)/($L18-$K18)))</f>
        <v>1</v>
      </c>
      <c r="BE18" s="226" cm="1">
        <f t="array" ref="BE18">_xlfn.IFS(AND($K18&gt;BD$7,$L18&gt;BD$7),0,AND($K18&lt;=BD$7,$L18&lt;=BD$7),1,AND($K18&lt;=BD$7,$L18&gt;BD$7),((BD$7-$K18)/($L18-$K18)))</f>
        <v>1</v>
      </c>
      <c r="BF18" s="226" cm="1">
        <f t="array" ref="BF18">_xlfn.IFS(AND($K18&gt;BE$7,$L18&gt;BE$7),0,AND($K18&lt;=BE$7,$L18&lt;=BE$7),1,AND($K18&lt;=BE$7,$L18&gt;BE$7),((BE$7-$K18)/($L18-$K18)))</f>
        <v>1</v>
      </c>
      <c r="BG18" s="226" cm="1">
        <f t="array" ref="BG18">_xlfn.IFS(AND($K18&gt;BF$7,$L18&gt;BF$7),0,AND($K18&lt;=BF$7,$L18&lt;=BF$7),1,AND($K18&lt;=BF$7,$L18&gt;BF$7),((BF$7-$K18)/($L18-$K18)))</f>
        <v>1</v>
      </c>
      <c r="BH18">
        <f>Tab.plano6[[#This Row],[Data Término
Prevista]]-Tab.plano6[[#This Row],[Data Início
Previsto]]</f>
        <v>3</v>
      </c>
    </row>
    <row r="19" spans="1:60" s="163" customFormat="1" ht="18" hidden="1" customHeight="1" x14ac:dyDescent="0.3">
      <c r="A19" s="214"/>
      <c r="B19" s="214" t="s">
        <v>11</v>
      </c>
      <c r="C19" s="214" t="s">
        <v>86</v>
      </c>
      <c r="D19" s="248" t="s">
        <v>399</v>
      </c>
      <c r="E19" s="248" t="s">
        <v>74</v>
      </c>
      <c r="F19" s="248" t="s">
        <v>74</v>
      </c>
      <c r="G19" s="248" t="s">
        <v>74</v>
      </c>
      <c r="H19" s="215" t="s">
        <v>412</v>
      </c>
      <c r="I19" s="256">
        <f>MIN(I20)</f>
        <v>46114</v>
      </c>
      <c r="J19" s="256">
        <f>MAX(J20)</f>
        <v>46192</v>
      </c>
      <c r="K19" s="256">
        <f>MIN(K20)</f>
        <v>46120</v>
      </c>
      <c r="L19" s="256">
        <f>MAX(L20)</f>
        <v>46192</v>
      </c>
      <c r="M19" s="228" t="s">
        <v>400</v>
      </c>
      <c r="N19" s="227" t="str" cm="1">
        <f t="array" ref="N19">_xlfn.IFS(L19&lt;$M$3,"Concluído",AND(K19&lt;=$M$3,L19&gt;=$M$3,L19&lt;=J19),"Em andamento",AND(K19&lt;=$M$3,L19&gt;=$M$3,L19&gt;J19),"Atrasado",AND(K19&gt;$M$3,I19&gt;$M$3),"Não iniciado",AND(K19&gt;$M$3,I19&lt;=$M$3),"Atrasado",TRUE,"Não iniciado")</f>
        <v>Em andamento</v>
      </c>
      <c r="O19" s="228" cm="1">
        <f t="array" ref="O19">_xlfn.IFS(N19="Não iniciado",0,N19="Em andamento",1,N19="Concluído",2,N19="Atrasado",3)</f>
        <v>1</v>
      </c>
      <c r="P19" s="214"/>
      <c r="Q19" s="223">
        <f t="shared" ref="Q19:S20" si="7">Q20</f>
        <v>0.875</v>
      </c>
      <c r="R19" s="223">
        <f t="shared" si="7"/>
        <v>0.875</v>
      </c>
      <c r="S19" s="223">
        <f t="shared" si="7"/>
        <v>0</v>
      </c>
      <c r="T19" s="223">
        <f t="shared" ref="T19:BG20" si="8">T20</f>
        <v>0</v>
      </c>
      <c r="U19" s="223">
        <f t="shared" si="8"/>
        <v>0</v>
      </c>
      <c r="V19" s="223">
        <f t="shared" si="8"/>
        <v>0.2673611111111111</v>
      </c>
      <c r="W19" s="223">
        <f t="shared" si="8"/>
        <v>0.79166666666666663</v>
      </c>
      <c r="X19" s="223">
        <f t="shared" si="8"/>
        <v>0.81597222222222221</v>
      </c>
      <c r="Y19" s="223">
        <f t="shared" si="8"/>
        <v>0.84027777777777779</v>
      </c>
      <c r="Z19" s="223">
        <f t="shared" si="8"/>
        <v>0.86458333333333337</v>
      </c>
      <c r="AA19" s="223">
        <f t="shared" si="8"/>
        <v>0.88888888888888884</v>
      </c>
      <c r="AB19" s="223">
        <f t="shared" si="8"/>
        <v>0.91319444444444442</v>
      </c>
      <c r="AC19" s="223">
        <f t="shared" si="8"/>
        <v>0.9375</v>
      </c>
      <c r="AD19" s="223">
        <f t="shared" si="8"/>
        <v>0.96180555555555558</v>
      </c>
      <c r="AE19" s="223">
        <f t="shared" si="8"/>
        <v>0.98611111111111116</v>
      </c>
      <c r="AF19" s="223">
        <f t="shared" si="8"/>
        <v>1</v>
      </c>
      <c r="AG19" s="223">
        <f t="shared" si="8"/>
        <v>1</v>
      </c>
      <c r="AH19" s="223">
        <f t="shared" si="8"/>
        <v>1</v>
      </c>
      <c r="AI19" s="223">
        <f t="shared" si="8"/>
        <v>1</v>
      </c>
      <c r="AJ19" s="223">
        <f t="shared" si="8"/>
        <v>1</v>
      </c>
      <c r="AK19" s="223">
        <f t="shared" si="8"/>
        <v>1</v>
      </c>
      <c r="AL19" s="223">
        <f t="shared" si="8"/>
        <v>1</v>
      </c>
      <c r="AM19" s="223">
        <f t="shared" si="8"/>
        <v>1</v>
      </c>
      <c r="AN19" s="223">
        <f t="shared" si="8"/>
        <v>1</v>
      </c>
      <c r="AO19" s="223">
        <f t="shared" si="8"/>
        <v>1</v>
      </c>
      <c r="AP19" s="223">
        <f t="shared" si="8"/>
        <v>1</v>
      </c>
      <c r="AQ19" s="223">
        <f t="shared" si="8"/>
        <v>1</v>
      </c>
      <c r="AR19" s="223">
        <f t="shared" si="8"/>
        <v>1</v>
      </c>
      <c r="AS19" s="223">
        <f t="shared" si="8"/>
        <v>1</v>
      </c>
      <c r="AT19" s="223">
        <f t="shared" si="8"/>
        <v>1</v>
      </c>
      <c r="AU19" s="223">
        <f t="shared" si="8"/>
        <v>1</v>
      </c>
      <c r="AV19" s="223">
        <f t="shared" si="8"/>
        <v>1</v>
      </c>
      <c r="AW19" s="223">
        <f t="shared" si="8"/>
        <v>1</v>
      </c>
      <c r="AX19" s="223">
        <f t="shared" si="8"/>
        <v>1</v>
      </c>
      <c r="AY19" s="223">
        <f t="shared" si="8"/>
        <v>1</v>
      </c>
      <c r="AZ19" s="223">
        <f t="shared" si="8"/>
        <v>1</v>
      </c>
      <c r="BA19" s="223">
        <f t="shared" si="8"/>
        <v>1</v>
      </c>
      <c r="BB19" s="223">
        <f t="shared" si="8"/>
        <v>1</v>
      </c>
      <c r="BC19" s="223">
        <f t="shared" si="8"/>
        <v>1</v>
      </c>
      <c r="BD19" s="223">
        <f t="shared" si="8"/>
        <v>1</v>
      </c>
      <c r="BE19" s="223">
        <f t="shared" si="8"/>
        <v>1</v>
      </c>
      <c r="BF19" s="223">
        <f t="shared" si="8"/>
        <v>1</v>
      </c>
      <c r="BG19" s="223">
        <f t="shared" si="8"/>
        <v>1</v>
      </c>
      <c r="BH19" s="163">
        <f>Tab.plano6[[#This Row],[Data Término
Prevista]]-Tab.plano6[[#This Row],[Data Início
Previsto]]</f>
        <v>78</v>
      </c>
    </row>
    <row r="20" spans="1:60" customFormat="1" ht="18" hidden="1" customHeight="1" x14ac:dyDescent="0.3">
      <c r="A20" s="216"/>
      <c r="B20" s="216" t="s">
        <v>12</v>
      </c>
      <c r="C20" s="216" t="s">
        <v>88</v>
      </c>
      <c r="D20" s="249" t="s">
        <v>399</v>
      </c>
      <c r="E20" s="249" t="s">
        <v>412</v>
      </c>
      <c r="F20" s="249" t="s">
        <v>74</v>
      </c>
      <c r="G20" s="249" t="s">
        <v>74</v>
      </c>
      <c r="H20" s="252" t="s">
        <v>414</v>
      </c>
      <c r="I20" s="257">
        <f>I21</f>
        <v>46114</v>
      </c>
      <c r="J20" s="257">
        <f>J21</f>
        <v>46192</v>
      </c>
      <c r="K20" s="257">
        <f>K21</f>
        <v>46120</v>
      </c>
      <c r="L20" s="257">
        <f>L21</f>
        <v>46192</v>
      </c>
      <c r="M20" s="229" t="s">
        <v>400</v>
      </c>
      <c r="N20" s="227" t="str" cm="1">
        <f t="array" ref="N20">_xlfn.IFS(L20&lt;$M$3,"Concluído",AND(K20&lt;=$M$3,L20&gt;=$M$3,L20&lt;=J20),"Em andamento",AND(K20&lt;=$M$3,L20&gt;=$M$3,L20&gt;J20),"Atrasado",AND(K20&gt;$M$3,I20&gt;$M$3),"Não iniciado",AND(K20&gt;$M$3,I20&lt;=$M$3),"Atrasado",TRUE,"Não iniciado")</f>
        <v>Em andamento</v>
      </c>
      <c r="O20" s="229" cm="1">
        <f t="array" ref="O20">_xlfn.IFS(N20="Não iniciado",0,N20="Em andamento",1,N20="Concluído",2,N20="Atrasado",3)</f>
        <v>1</v>
      </c>
      <c r="P20" s="216"/>
      <c r="Q20" s="224">
        <f t="shared" si="7"/>
        <v>0.875</v>
      </c>
      <c r="R20" s="224">
        <f t="shared" si="7"/>
        <v>0.875</v>
      </c>
      <c r="S20" s="224">
        <f t="shared" si="7"/>
        <v>0</v>
      </c>
      <c r="T20" s="224">
        <f t="shared" si="8"/>
        <v>0</v>
      </c>
      <c r="U20" s="224">
        <f t="shared" si="8"/>
        <v>0</v>
      </c>
      <c r="V20" s="224">
        <f t="shared" si="8"/>
        <v>0.2673611111111111</v>
      </c>
      <c r="W20" s="224">
        <f t="shared" si="8"/>
        <v>0.79166666666666663</v>
      </c>
      <c r="X20" s="224">
        <f t="shared" si="8"/>
        <v>0.81597222222222221</v>
      </c>
      <c r="Y20" s="224">
        <f t="shared" si="8"/>
        <v>0.84027777777777779</v>
      </c>
      <c r="Z20" s="224">
        <f t="shared" si="8"/>
        <v>0.86458333333333337</v>
      </c>
      <c r="AA20" s="224">
        <f t="shared" si="8"/>
        <v>0.88888888888888884</v>
      </c>
      <c r="AB20" s="224">
        <f t="shared" si="8"/>
        <v>0.91319444444444442</v>
      </c>
      <c r="AC20" s="224">
        <f t="shared" si="8"/>
        <v>0.9375</v>
      </c>
      <c r="AD20" s="224">
        <f t="shared" si="8"/>
        <v>0.96180555555555558</v>
      </c>
      <c r="AE20" s="224">
        <f t="shared" si="8"/>
        <v>0.98611111111111116</v>
      </c>
      <c r="AF20" s="224">
        <f t="shared" si="8"/>
        <v>1</v>
      </c>
      <c r="AG20" s="224">
        <f t="shared" si="8"/>
        <v>1</v>
      </c>
      <c r="AH20" s="224">
        <f t="shared" si="8"/>
        <v>1</v>
      </c>
      <c r="AI20" s="224">
        <f t="shared" si="8"/>
        <v>1</v>
      </c>
      <c r="AJ20" s="224">
        <f t="shared" si="8"/>
        <v>1</v>
      </c>
      <c r="AK20" s="224">
        <f t="shared" si="8"/>
        <v>1</v>
      </c>
      <c r="AL20" s="224">
        <f t="shared" si="8"/>
        <v>1</v>
      </c>
      <c r="AM20" s="224">
        <f t="shared" si="8"/>
        <v>1</v>
      </c>
      <c r="AN20" s="224">
        <f t="shared" si="8"/>
        <v>1</v>
      </c>
      <c r="AO20" s="224">
        <f t="shared" si="8"/>
        <v>1</v>
      </c>
      <c r="AP20" s="224">
        <f t="shared" si="8"/>
        <v>1</v>
      </c>
      <c r="AQ20" s="224">
        <f t="shared" si="8"/>
        <v>1</v>
      </c>
      <c r="AR20" s="224">
        <f t="shared" si="8"/>
        <v>1</v>
      </c>
      <c r="AS20" s="224">
        <f t="shared" si="8"/>
        <v>1</v>
      </c>
      <c r="AT20" s="224">
        <f t="shared" si="8"/>
        <v>1</v>
      </c>
      <c r="AU20" s="224">
        <f t="shared" si="8"/>
        <v>1</v>
      </c>
      <c r="AV20" s="224">
        <f t="shared" si="8"/>
        <v>1</v>
      </c>
      <c r="AW20" s="224">
        <f t="shared" si="8"/>
        <v>1</v>
      </c>
      <c r="AX20" s="224">
        <f t="shared" si="8"/>
        <v>1</v>
      </c>
      <c r="AY20" s="224">
        <f t="shared" si="8"/>
        <v>1</v>
      </c>
      <c r="AZ20" s="224">
        <f t="shared" si="8"/>
        <v>1</v>
      </c>
      <c r="BA20" s="224">
        <f t="shared" si="8"/>
        <v>1</v>
      </c>
      <c r="BB20" s="224">
        <f t="shared" si="8"/>
        <v>1</v>
      </c>
      <c r="BC20" s="224">
        <f t="shared" si="8"/>
        <v>1</v>
      </c>
      <c r="BD20" s="224">
        <f t="shared" si="8"/>
        <v>1</v>
      </c>
      <c r="BE20" s="224">
        <f t="shared" si="8"/>
        <v>1</v>
      </c>
      <c r="BF20" s="224">
        <f t="shared" si="8"/>
        <v>1</v>
      </c>
      <c r="BG20" s="224">
        <f t="shared" si="8"/>
        <v>1</v>
      </c>
      <c r="BH20">
        <f>Tab.plano6[[#This Row],[Data Término
Prevista]]-Tab.plano6[[#This Row],[Data Início
Previsto]]</f>
        <v>78</v>
      </c>
    </row>
    <row r="21" spans="1:60" customFormat="1" ht="18" hidden="1" customHeight="1" x14ac:dyDescent="0.3">
      <c r="A21" s="218"/>
      <c r="B21" s="218" t="s">
        <v>13</v>
      </c>
      <c r="C21" s="218" t="s">
        <v>90</v>
      </c>
      <c r="D21" s="250" t="s">
        <v>399</v>
      </c>
      <c r="E21" s="250" t="s">
        <v>412</v>
      </c>
      <c r="F21" s="250" t="s">
        <v>414</v>
      </c>
      <c r="G21" s="250" t="s">
        <v>74</v>
      </c>
      <c r="H21" s="219" t="s">
        <v>414</v>
      </c>
      <c r="I21" s="258">
        <f>MIN(I22:I25)</f>
        <v>46114</v>
      </c>
      <c r="J21" s="258">
        <f>MAX(J22:J25)</f>
        <v>46192</v>
      </c>
      <c r="K21" s="258">
        <f>MIN(K22:K25)</f>
        <v>46120</v>
      </c>
      <c r="L21" s="258">
        <f>MAX(L22:L25)</f>
        <v>46192</v>
      </c>
      <c r="M21" s="230" t="s">
        <v>400</v>
      </c>
      <c r="N21" s="227" t="str" cm="1">
        <f t="array" ref="N21">_xlfn.IFS(L21&lt;$M$3,"Concluído",AND(K21&lt;=$M$3,L21&gt;=$M$3,L21&lt;=J21),"Em andamento",AND(K21&lt;=$M$3,L21&gt;=$M$3,L21&gt;J21),"Atrasado",AND(K21&gt;$M$3,I21&gt;$M$3),"Não iniciado",AND(K21&gt;$M$3,I21&lt;=$M$3),"Atrasado",TRUE,"Não iniciado")</f>
        <v>Em andamento</v>
      </c>
      <c r="O21" s="230" cm="1">
        <f t="array" ref="O21">_xlfn.IFS(N21="Não iniciado",0,N21="Em andamento",1,N21="Concluído",2,N21="Atrasado",3)</f>
        <v>1</v>
      </c>
      <c r="P21" s="218"/>
      <c r="Q21" s="225">
        <f t="shared" ref="Q21:BG21" si="9">AVERAGE(Q22:Q25)</f>
        <v>0.875</v>
      </c>
      <c r="R21" s="225">
        <f t="shared" si="9"/>
        <v>0.875</v>
      </c>
      <c r="S21" s="225">
        <f t="shared" si="9"/>
        <v>0</v>
      </c>
      <c r="T21" s="225">
        <f t="shared" si="9"/>
        <v>0</v>
      </c>
      <c r="U21" s="225">
        <f t="shared" si="9"/>
        <v>0</v>
      </c>
      <c r="V21" s="225">
        <f t="shared" si="9"/>
        <v>0.2673611111111111</v>
      </c>
      <c r="W21" s="225">
        <f t="shared" si="9"/>
        <v>0.79166666666666663</v>
      </c>
      <c r="X21" s="225">
        <f t="shared" si="9"/>
        <v>0.81597222222222221</v>
      </c>
      <c r="Y21" s="225">
        <f t="shared" si="9"/>
        <v>0.84027777777777779</v>
      </c>
      <c r="Z21" s="225">
        <f t="shared" si="9"/>
        <v>0.86458333333333337</v>
      </c>
      <c r="AA21" s="225">
        <f t="shared" si="9"/>
        <v>0.88888888888888884</v>
      </c>
      <c r="AB21" s="225">
        <f t="shared" si="9"/>
        <v>0.91319444444444442</v>
      </c>
      <c r="AC21" s="225">
        <f t="shared" si="9"/>
        <v>0.9375</v>
      </c>
      <c r="AD21" s="225">
        <f t="shared" si="9"/>
        <v>0.96180555555555558</v>
      </c>
      <c r="AE21" s="225">
        <f t="shared" si="9"/>
        <v>0.98611111111111116</v>
      </c>
      <c r="AF21" s="225">
        <f t="shared" si="9"/>
        <v>1</v>
      </c>
      <c r="AG21" s="225">
        <f t="shared" si="9"/>
        <v>1</v>
      </c>
      <c r="AH21" s="225">
        <f t="shared" si="9"/>
        <v>1</v>
      </c>
      <c r="AI21" s="225">
        <f t="shared" si="9"/>
        <v>1</v>
      </c>
      <c r="AJ21" s="225">
        <f t="shared" si="9"/>
        <v>1</v>
      </c>
      <c r="AK21" s="225">
        <f t="shared" si="9"/>
        <v>1</v>
      </c>
      <c r="AL21" s="225">
        <f t="shared" si="9"/>
        <v>1</v>
      </c>
      <c r="AM21" s="225">
        <f t="shared" si="9"/>
        <v>1</v>
      </c>
      <c r="AN21" s="225">
        <f t="shared" si="9"/>
        <v>1</v>
      </c>
      <c r="AO21" s="225">
        <f t="shared" si="9"/>
        <v>1</v>
      </c>
      <c r="AP21" s="225">
        <f t="shared" si="9"/>
        <v>1</v>
      </c>
      <c r="AQ21" s="225">
        <f t="shared" si="9"/>
        <v>1</v>
      </c>
      <c r="AR21" s="225">
        <f t="shared" si="9"/>
        <v>1</v>
      </c>
      <c r="AS21" s="225">
        <f t="shared" si="9"/>
        <v>1</v>
      </c>
      <c r="AT21" s="225">
        <f t="shared" si="9"/>
        <v>1</v>
      </c>
      <c r="AU21" s="225">
        <f t="shared" si="9"/>
        <v>1</v>
      </c>
      <c r="AV21" s="225">
        <f t="shared" si="9"/>
        <v>1</v>
      </c>
      <c r="AW21" s="225">
        <f t="shared" si="9"/>
        <v>1</v>
      </c>
      <c r="AX21" s="225">
        <f t="shared" si="9"/>
        <v>1</v>
      </c>
      <c r="AY21" s="225">
        <f t="shared" si="9"/>
        <v>1</v>
      </c>
      <c r="AZ21" s="225">
        <f t="shared" si="9"/>
        <v>1</v>
      </c>
      <c r="BA21" s="225">
        <f t="shared" si="9"/>
        <v>1</v>
      </c>
      <c r="BB21" s="225">
        <f t="shared" si="9"/>
        <v>1</v>
      </c>
      <c r="BC21" s="225">
        <f t="shared" si="9"/>
        <v>1</v>
      </c>
      <c r="BD21" s="225">
        <f t="shared" si="9"/>
        <v>1</v>
      </c>
      <c r="BE21" s="225">
        <f t="shared" si="9"/>
        <v>1</v>
      </c>
      <c r="BF21" s="225">
        <f t="shared" si="9"/>
        <v>1</v>
      </c>
      <c r="BG21" s="225">
        <f t="shared" si="9"/>
        <v>1</v>
      </c>
      <c r="BH21">
        <f>Tab.plano6[[#This Row],[Data Término
Prevista]]-Tab.plano6[[#This Row],[Data Início
Previsto]]</f>
        <v>78</v>
      </c>
    </row>
    <row r="22" spans="1:60" s="163" customFormat="1" ht="18" hidden="1" customHeight="1" x14ac:dyDescent="0.3">
      <c r="A22" s="220"/>
      <c r="B22" s="220" t="s">
        <v>161</v>
      </c>
      <c r="C22" s="220" t="s">
        <v>92</v>
      </c>
      <c r="D22" s="251" t="s">
        <v>399</v>
      </c>
      <c r="E22" s="251" t="s">
        <v>412</v>
      </c>
      <c r="F22" s="251" t="s">
        <v>414</v>
      </c>
      <c r="G22" s="251" t="s">
        <v>414</v>
      </c>
      <c r="H22" s="221" t="s">
        <v>415</v>
      </c>
      <c r="I22" s="266">
        <v>46114</v>
      </c>
      <c r="J22" s="266">
        <v>46118</v>
      </c>
      <c r="K22" s="266">
        <v>46125</v>
      </c>
      <c r="L22" s="266">
        <v>46129</v>
      </c>
      <c r="M22" s="231" t="s">
        <v>400</v>
      </c>
      <c r="N22" s="227" t="str" cm="1">
        <f t="array" ref="N22">_xlfn.IFS(L22&lt;$M$3,"Concluído",AND(K22&lt;=$M$3,L22&gt;=$M$3,L22&lt;=J22),"Em andamento",AND(K22&lt;=$M$3,L22&gt;=$M$3,L22&gt;J22),"Atrasado",AND(K22&gt;$M$3,I22&gt;$M$3),"Não iniciado",AND(K22&gt;$M$3,I22&lt;=$M$3),"Atrasado",TRUE,"Não iniciado")</f>
        <v>Concluído</v>
      </c>
      <c r="O22" s="231" cm="1">
        <f t="array" ref="O22">_xlfn.IFS(N22="Não iniciado",0,N22="Em andamento",1,N22="Concluído",2,N22="Atrasado",3)</f>
        <v>2</v>
      </c>
      <c r="P22" s="220"/>
      <c r="Q22" s="226" cm="1">
        <f t="array" ref="Q22">_xlfn.IFS(AND($I22&lt;$M$3,$J22&lt;$M$3),1,AND($I22&lt;=$M$3,$J22&gt;=$M$3),0.5,AND($I22&gt;=$M$3,$J22&gt;=$M$3),0)</f>
        <v>1</v>
      </c>
      <c r="R22" s="226" cm="1">
        <f t="array" ref="R22">_xlfn.IFS(AND($K22&lt;$M$3,$L22&lt;$M$3),1,AND($K22&lt;=$M$3,$L22&gt;=$M$3),0.5,AND($K22&gt;=$M$3,$L22&gt;=$M$3),0)</f>
        <v>1</v>
      </c>
      <c r="S22" s="226" cm="1">
        <f t="array" ref="S22">_xlfn.IFS(AND($K22&gt;R$7,$L22&gt;R$7),0,AND($K22&lt;=R$7,$L22&lt;=R$7),1,AND($K22&lt;=R$7,$L22&gt;R$7),((R$7-$K22)/($L22-$K22)))</f>
        <v>0</v>
      </c>
      <c r="T22" s="226" cm="1">
        <f t="array" ref="T22">_xlfn.IFS(AND($K22&gt;S$7,$L22&gt;S$7),0,AND($K22&lt;=S$7,$L22&lt;=S$7),1,AND($K22&lt;=S$7,$L22&gt;S$7),((S$7-$K22)/($L22-$K22)))</f>
        <v>0</v>
      </c>
      <c r="U22" s="226" cm="1">
        <f t="array" ref="U22">_xlfn.IFS(AND($K22&gt;T$7,$L22&gt;T$7),0,AND($K22&lt;=T$7,$L22&lt;=T$7),1,AND($K22&lt;=T$7,$L22&gt;T$7),((T$7-$K22)/($L22-$K22)))</f>
        <v>0</v>
      </c>
      <c r="V22" s="226" cm="1">
        <f t="array" ref="V22">_xlfn.IFS(AND($K22&gt;U$7,$L22&gt;U$7),0,AND($K22&lt;=U$7,$L22&lt;=U$7),1,AND($K22&lt;=U$7,$L22&gt;U$7),((U$7-$K22)/($L22-$K22)))</f>
        <v>0</v>
      </c>
      <c r="W22" s="226" cm="1">
        <f t="array" ref="W22">_xlfn.IFS(AND($K22&gt;V$7,$L22&gt;V$7),0,AND($K22&lt;=V$7,$L22&lt;=V$7),1,AND($K22&lt;=V$7,$L22&gt;V$7),((V$7-$K22)/($L22-$K22)))</f>
        <v>1</v>
      </c>
      <c r="X22" s="226" cm="1">
        <f t="array" ref="X22">_xlfn.IFS(AND($K22&gt;W$7,$L22&gt;W$7),0,AND($K22&lt;=W$7,$L22&lt;=W$7),1,AND($K22&lt;=W$7,$L22&gt;W$7),((W$7-$K22)/($L22-$K22)))</f>
        <v>1</v>
      </c>
      <c r="Y22" s="226" cm="1">
        <f t="array" ref="Y22">_xlfn.IFS(AND($K22&gt;X$7,$L22&gt;X$7),0,AND($K22&lt;=X$7,$L22&lt;=X$7),1,AND($K22&lt;=X$7,$L22&gt;X$7),((X$7-$K22)/($L22-$K22)))</f>
        <v>1</v>
      </c>
      <c r="Z22" s="226" cm="1">
        <f t="array" ref="Z22">_xlfn.IFS(AND($K22&gt;Y$7,$L22&gt;Y$7),0,AND($K22&lt;=Y$7,$L22&lt;=Y$7),1,AND($K22&lt;=Y$7,$L22&gt;Y$7),((Y$7-$K22)/($L22-$K22)))</f>
        <v>1</v>
      </c>
      <c r="AA22" s="226" cm="1">
        <f t="array" ref="AA22">_xlfn.IFS(AND($K22&gt;Z$7,$L22&gt;Z$7),0,AND($K22&lt;=Z$7,$L22&lt;=Z$7),1,AND($K22&lt;=Z$7,$L22&gt;Z$7),((Z$7-$K22)/($L22-$K22)))</f>
        <v>1</v>
      </c>
      <c r="AB22" s="226" cm="1">
        <f t="array" ref="AB22">_xlfn.IFS(AND($K22&gt;AA$7,$L22&gt;AA$7),0,AND($K22&lt;=AA$7,$L22&lt;=AA$7),1,AND($K22&lt;=AA$7,$L22&gt;AA$7),((AA$7-$K22)/($L22-$K22)))</f>
        <v>1</v>
      </c>
      <c r="AC22" s="226" cm="1">
        <f t="array" ref="AC22">_xlfn.IFS(AND($K22&gt;AB$7,$L22&gt;AB$7),0,AND($K22&lt;=AB$7,$L22&lt;=AB$7),1,AND($K22&lt;=AB$7,$L22&gt;AB$7),((AB$7-$K22)/($L22-$K22)))</f>
        <v>1</v>
      </c>
      <c r="AD22" s="226" cm="1">
        <f t="array" ref="AD22">_xlfn.IFS(AND($K22&gt;AC$7,$L22&gt;AC$7),0,AND($K22&lt;=AC$7,$L22&lt;=AC$7),1,AND($K22&lt;=AC$7,$L22&gt;AC$7),((AC$7-$K22)/($L22-$K22)))</f>
        <v>1</v>
      </c>
      <c r="AE22" s="226" cm="1">
        <f t="array" ref="AE22">_xlfn.IFS(AND($K22&gt;AD$7,$L22&gt;AD$7),0,AND($K22&lt;=AD$7,$L22&lt;=AD$7),1,AND($K22&lt;=AD$7,$L22&gt;AD$7),((AD$7-$K22)/($L22-$K22)))</f>
        <v>1</v>
      </c>
      <c r="AF22" s="226" cm="1">
        <f t="array" ref="AF22">_xlfn.IFS(AND($K22&gt;AE$7,$L22&gt;AE$7),0,AND($K22&lt;=AE$7,$L22&lt;=AE$7),1,AND($K22&lt;=AE$7,$L22&gt;AE$7),((AE$7-$K22)/($L22-$K22)))</f>
        <v>1</v>
      </c>
      <c r="AG22" s="226" cm="1">
        <f t="array" ref="AG22">_xlfn.IFS(AND($K22&gt;AF$7,$L22&gt;AF$7),0,AND($K22&lt;=AF$7,$L22&lt;=AF$7),1,AND($K22&lt;=AF$7,$L22&gt;AF$7),((AF$7-$K22)/($L22-$K22)))</f>
        <v>1</v>
      </c>
      <c r="AH22" s="226" cm="1">
        <f t="array" ref="AH22">_xlfn.IFS(AND($K22&gt;AG$7,$L22&gt;AG$7),0,AND($K22&lt;=AG$7,$L22&lt;=AG$7),1,AND($K22&lt;=AG$7,$L22&gt;AG$7),((AG$7-$K22)/($L22-$K22)))</f>
        <v>1</v>
      </c>
      <c r="AI22" s="226" cm="1">
        <f t="array" ref="AI22">_xlfn.IFS(AND($K22&gt;AH$7,$L22&gt;AH$7),0,AND($K22&lt;=AH$7,$L22&lt;=AH$7),1,AND($K22&lt;=AH$7,$L22&gt;AH$7),((AH$7-$K22)/($L22-$K22)))</f>
        <v>1</v>
      </c>
      <c r="AJ22" s="226" cm="1">
        <f t="array" ref="AJ22">_xlfn.IFS(AND($K22&gt;AI$7,$L22&gt;AI$7),0,AND($K22&lt;=AI$7,$L22&lt;=AI$7),1,AND($K22&lt;=AI$7,$L22&gt;AI$7),((AI$7-$K22)/($L22-$K22)))</f>
        <v>1</v>
      </c>
      <c r="AK22" s="226" cm="1">
        <f t="array" ref="AK22">_xlfn.IFS(AND($K22&gt;AJ$7,$L22&gt;AJ$7),0,AND($K22&lt;=AJ$7,$L22&lt;=AJ$7),1,AND($K22&lt;=AJ$7,$L22&gt;AJ$7),((AJ$7-$K22)/($L22-$K22)))</f>
        <v>1</v>
      </c>
      <c r="AL22" s="226" cm="1">
        <f t="array" ref="AL22">_xlfn.IFS(AND($K22&gt;AK$7,$L22&gt;AK$7),0,AND($K22&lt;=AK$7,$L22&lt;=AK$7),1,AND($K22&lt;=AK$7,$L22&gt;AK$7),((AK$7-$K22)/($L22-$K22)))</f>
        <v>1</v>
      </c>
      <c r="AM22" s="226" cm="1">
        <f t="array" ref="AM22">_xlfn.IFS(AND($K22&gt;AL$7,$L22&gt;AL$7),0,AND($K22&lt;=AL$7,$L22&lt;=AL$7),1,AND($K22&lt;=AL$7,$L22&gt;AL$7),((AL$7-$K22)/($L22-$K22)))</f>
        <v>1</v>
      </c>
      <c r="AN22" s="226" cm="1">
        <f t="array" ref="AN22">_xlfn.IFS(AND($K22&gt;AM$7,$L22&gt;AM$7),0,AND($K22&lt;=AM$7,$L22&lt;=AM$7),1,AND($K22&lt;=AM$7,$L22&gt;AM$7),((AM$7-$K22)/($L22-$K22)))</f>
        <v>1</v>
      </c>
      <c r="AO22" s="226" cm="1">
        <f t="array" ref="AO22">_xlfn.IFS(AND($K22&gt;AN$7,$L22&gt;AN$7),0,AND($K22&lt;=AN$7,$L22&lt;=AN$7),1,AND($K22&lt;=AN$7,$L22&gt;AN$7),((AN$7-$K22)/($L22-$K22)))</f>
        <v>1</v>
      </c>
      <c r="AP22" s="226" cm="1">
        <f t="array" ref="AP22">_xlfn.IFS(AND($K22&gt;AO$7,$L22&gt;AO$7),0,AND($K22&lt;=AO$7,$L22&lt;=AO$7),1,AND($K22&lt;=AO$7,$L22&gt;AO$7),((AO$7-$K22)/($L22-$K22)))</f>
        <v>1</v>
      </c>
      <c r="AQ22" s="226" cm="1">
        <f t="array" ref="AQ22">_xlfn.IFS(AND($K22&gt;AP$7,$L22&gt;AP$7),0,AND($K22&lt;=AP$7,$L22&lt;=AP$7),1,AND($K22&lt;=AP$7,$L22&gt;AP$7),((AP$7-$K22)/($L22-$K22)))</f>
        <v>1</v>
      </c>
      <c r="AR22" s="226" cm="1">
        <f t="array" ref="AR22">_xlfn.IFS(AND($K22&gt;AQ$7,$L22&gt;AQ$7),0,AND($K22&lt;=AQ$7,$L22&lt;=AQ$7),1,AND($K22&lt;=AQ$7,$L22&gt;AQ$7),((AQ$7-$K22)/($L22-$K22)))</f>
        <v>1</v>
      </c>
      <c r="AS22" s="226" cm="1">
        <f t="array" ref="AS22">_xlfn.IFS(AND($K22&gt;AR$7,$L22&gt;AR$7),0,AND($K22&lt;=AR$7,$L22&lt;=AR$7),1,AND($K22&lt;=AR$7,$L22&gt;AR$7),((AR$7-$K22)/($L22-$K22)))</f>
        <v>1</v>
      </c>
      <c r="AT22" s="226" cm="1">
        <f t="array" ref="AT22">_xlfn.IFS(AND($K22&gt;AS$7,$L22&gt;AS$7),0,AND($K22&lt;=AS$7,$L22&lt;=AS$7),1,AND($K22&lt;=AS$7,$L22&gt;AS$7),((AS$7-$K22)/($L22-$K22)))</f>
        <v>1</v>
      </c>
      <c r="AU22" s="226" cm="1">
        <f t="array" ref="AU22">_xlfn.IFS(AND($K22&gt;AT$7,$L22&gt;AT$7),0,AND($K22&lt;=AT$7,$L22&lt;=AT$7),1,AND($K22&lt;=AT$7,$L22&gt;AT$7),((AT$7-$K22)/($L22-$K22)))</f>
        <v>1</v>
      </c>
      <c r="AV22" s="226" cm="1">
        <f t="array" ref="AV22">_xlfn.IFS(AND($K22&gt;AU$7,$L22&gt;AU$7),0,AND($K22&lt;=AU$7,$L22&lt;=AU$7),1,AND($K22&lt;=AU$7,$L22&gt;AU$7),((AU$7-$K22)/($L22-$K22)))</f>
        <v>1</v>
      </c>
      <c r="AW22" s="226" cm="1">
        <f t="array" ref="AW22">_xlfn.IFS(AND($K22&gt;AV$7,$L22&gt;AV$7),0,AND($K22&lt;=AV$7,$L22&lt;=AV$7),1,AND($K22&lt;=AV$7,$L22&gt;AV$7),((AV$7-$K22)/($L22-$K22)))</f>
        <v>1</v>
      </c>
      <c r="AX22" s="226" cm="1">
        <f t="array" ref="AX22">_xlfn.IFS(AND($K22&gt;AW$7,$L22&gt;AW$7),0,AND($K22&lt;=AW$7,$L22&lt;=AW$7),1,AND($K22&lt;=AW$7,$L22&gt;AW$7),((AW$7-$K22)/($L22-$K22)))</f>
        <v>1</v>
      </c>
      <c r="AY22" s="226" cm="1">
        <f t="array" ref="AY22">_xlfn.IFS(AND($K22&gt;AX$7,$L22&gt;AX$7),0,AND($K22&lt;=AX$7,$L22&lt;=AX$7),1,AND($K22&lt;=AX$7,$L22&gt;AX$7),((AX$7-$K22)/($L22-$K22)))</f>
        <v>1</v>
      </c>
      <c r="AZ22" s="226" cm="1">
        <f t="array" ref="AZ22">_xlfn.IFS(AND($K22&gt;AY$7,$L22&gt;AY$7),0,AND($K22&lt;=AY$7,$L22&lt;=AY$7),1,AND($K22&lt;=AY$7,$L22&gt;AY$7),((AY$7-$K22)/($L22-$K22)))</f>
        <v>1</v>
      </c>
      <c r="BA22" s="226" cm="1">
        <f t="array" ref="BA22">_xlfn.IFS(AND($K22&gt;AZ$7,$L22&gt;AZ$7),0,AND($K22&lt;=AZ$7,$L22&lt;=AZ$7),1,AND($K22&lt;=AZ$7,$L22&gt;AZ$7),((AZ$7-$K22)/($L22-$K22)))</f>
        <v>1</v>
      </c>
      <c r="BB22" s="226" cm="1">
        <f t="array" ref="BB22">_xlfn.IFS(AND($K22&gt;BA$7,$L22&gt;BA$7),0,AND($K22&lt;=BA$7,$L22&lt;=BA$7),1,AND($K22&lt;=BA$7,$L22&gt;BA$7),((BA$7-$K22)/($L22-$K22)))</f>
        <v>1</v>
      </c>
      <c r="BC22" s="226" cm="1">
        <f t="array" ref="BC22">_xlfn.IFS(AND($K22&gt;BB$7,$L22&gt;BB$7),0,AND($K22&lt;=BB$7,$L22&lt;=BB$7),1,AND($K22&lt;=BB$7,$L22&gt;BB$7),((BB$7-$K22)/($L22-$K22)))</f>
        <v>1</v>
      </c>
      <c r="BD22" s="226" cm="1">
        <f t="array" ref="BD22">_xlfn.IFS(AND($K22&gt;BC$7,$L22&gt;BC$7),0,AND($K22&lt;=BC$7,$L22&lt;=BC$7),1,AND($K22&lt;=BC$7,$L22&gt;BC$7),((BC$7-$K22)/($L22-$K22)))</f>
        <v>1</v>
      </c>
      <c r="BE22" s="226" cm="1">
        <f t="array" ref="BE22">_xlfn.IFS(AND($K22&gt;BD$7,$L22&gt;BD$7),0,AND($K22&lt;=BD$7,$L22&lt;=BD$7),1,AND($K22&lt;=BD$7,$L22&gt;BD$7),((BD$7-$K22)/($L22-$K22)))</f>
        <v>1</v>
      </c>
      <c r="BF22" s="226" cm="1">
        <f t="array" ref="BF22">_xlfn.IFS(AND($K22&gt;BE$7,$L22&gt;BE$7),0,AND($K22&lt;=BE$7,$L22&lt;=BE$7),1,AND($K22&lt;=BE$7,$L22&gt;BE$7),((BE$7-$K22)/($L22-$K22)))</f>
        <v>1</v>
      </c>
      <c r="BG22" s="226" cm="1">
        <f t="array" ref="BG22">_xlfn.IFS(AND($K22&gt;BF$7,$L22&gt;BF$7),0,AND($K22&lt;=BF$7,$L22&lt;=BF$7),1,AND($K22&lt;=BF$7,$L22&gt;BF$7),((BF$7-$K22)/($L22-$K22)))</f>
        <v>1</v>
      </c>
      <c r="BH22" s="163">
        <f>Tab.plano6[[#This Row],[Data Término
Prevista]]-Tab.plano6[[#This Row],[Data Início
Previsto]]</f>
        <v>4</v>
      </c>
    </row>
    <row r="23" spans="1:60" s="163" customFormat="1" ht="18" hidden="1" customHeight="1" x14ac:dyDescent="0.3">
      <c r="A23" s="220"/>
      <c r="B23" s="220" t="s">
        <v>161</v>
      </c>
      <c r="C23" s="220" t="s">
        <v>416</v>
      </c>
      <c r="D23" s="251" t="s">
        <v>399</v>
      </c>
      <c r="E23" s="251" t="s">
        <v>412</v>
      </c>
      <c r="F23" s="251" t="s">
        <v>414</v>
      </c>
      <c r="G23" s="251" t="s">
        <v>414</v>
      </c>
      <c r="H23" s="221" t="s">
        <v>417</v>
      </c>
      <c r="I23" s="266">
        <v>46118</v>
      </c>
      <c r="J23" s="266">
        <v>46118</v>
      </c>
      <c r="K23" s="266">
        <v>46125</v>
      </c>
      <c r="L23" s="266">
        <v>46129</v>
      </c>
      <c r="M23" s="231" t="s">
        <v>400</v>
      </c>
      <c r="N23" s="227" t="str" cm="1">
        <f t="array" ref="N23">_xlfn.IFS(L23&lt;$M$3,"Concluído",AND(K23&lt;=$M$3,L23&gt;=$M$3,L23&lt;=J23),"Em andamento",AND(K23&lt;=$M$3,L23&gt;=$M$3,L23&gt;J23),"Atrasado",AND(K23&gt;$M$3,I23&gt;$M$3),"Não iniciado",AND(K23&gt;$M$3,I23&lt;=$M$3),"Atrasado",TRUE,"Não iniciado")</f>
        <v>Concluído</v>
      </c>
      <c r="O23" s="231" cm="1">
        <f t="array" ref="O23">_xlfn.IFS(N23="Não iniciado",0,N23="Em andamento",1,N23="Concluído",2,N23="Atrasado",3)</f>
        <v>2</v>
      </c>
      <c r="P23" s="220"/>
      <c r="Q23" s="226" cm="1">
        <f t="array" ref="Q23">_xlfn.IFS(AND($I23&lt;$M$3,$J23&lt;$M$3),1,AND($I23&lt;=$M$3,$J23&gt;=$M$3),0.5,AND($I23&gt;=$M$3,$J23&gt;=$M$3),0)</f>
        <v>1</v>
      </c>
      <c r="R23" s="226" cm="1">
        <f t="array" ref="R23">_xlfn.IFS(AND($K23&lt;$M$3,$L23&lt;$M$3),1,AND($K23&lt;=$M$3,$L23&gt;=$M$3),0.5,AND($K23&gt;=$M$3,$L23&gt;=$M$3),0)</f>
        <v>1</v>
      </c>
      <c r="S23" s="226" cm="1">
        <f t="array" ref="S23">_xlfn.IFS(AND($K23&gt;R$7,$L23&gt;R$7),0,AND($K23&lt;=R$7,$L23&lt;=R$7),1,AND($K23&lt;=R$7,$L23&gt;R$7),((R$7-$K23)/($L23-$K23)))</f>
        <v>0</v>
      </c>
      <c r="T23" s="226" cm="1">
        <f t="array" ref="T23">_xlfn.IFS(AND($K23&gt;S$7,$L23&gt;S$7),0,AND($K23&lt;=S$7,$L23&lt;=S$7),1,AND($K23&lt;=S$7,$L23&gt;S$7),((S$7-$K23)/($L23-$K23)))</f>
        <v>0</v>
      </c>
      <c r="U23" s="226" cm="1">
        <f t="array" ref="U23">_xlfn.IFS(AND($K23&gt;T$7,$L23&gt;T$7),0,AND($K23&lt;=T$7,$L23&lt;=T$7),1,AND($K23&lt;=T$7,$L23&gt;T$7),((T$7-$K23)/($L23-$K23)))</f>
        <v>0</v>
      </c>
      <c r="V23" s="226" cm="1">
        <f t="array" ref="V23">_xlfn.IFS(AND($K23&gt;U$7,$L23&gt;U$7),0,AND($K23&lt;=U$7,$L23&lt;=U$7),1,AND($K23&lt;=U$7,$L23&gt;U$7),((U$7-$K23)/($L23-$K23)))</f>
        <v>0</v>
      </c>
      <c r="W23" s="226" cm="1">
        <f t="array" ref="W23">_xlfn.IFS(AND($K23&gt;V$7,$L23&gt;V$7),0,AND($K23&lt;=V$7,$L23&lt;=V$7),1,AND($K23&lt;=V$7,$L23&gt;V$7),((V$7-$K23)/($L23-$K23)))</f>
        <v>1</v>
      </c>
      <c r="X23" s="226" cm="1">
        <f t="array" ref="X23">_xlfn.IFS(AND($K23&gt;W$7,$L23&gt;W$7),0,AND($K23&lt;=W$7,$L23&lt;=W$7),1,AND($K23&lt;=W$7,$L23&gt;W$7),((W$7-$K23)/($L23-$K23)))</f>
        <v>1</v>
      </c>
      <c r="Y23" s="226" cm="1">
        <f t="array" ref="Y23">_xlfn.IFS(AND($K23&gt;X$7,$L23&gt;X$7),0,AND($K23&lt;=X$7,$L23&lt;=X$7),1,AND($K23&lt;=X$7,$L23&gt;X$7),((X$7-$K23)/($L23-$K23)))</f>
        <v>1</v>
      </c>
      <c r="Z23" s="226" cm="1">
        <f t="array" ref="Z23">_xlfn.IFS(AND($K23&gt;Y$7,$L23&gt;Y$7),0,AND($K23&lt;=Y$7,$L23&lt;=Y$7),1,AND($K23&lt;=Y$7,$L23&gt;Y$7),((Y$7-$K23)/($L23-$K23)))</f>
        <v>1</v>
      </c>
      <c r="AA23" s="226" cm="1">
        <f t="array" ref="AA23">_xlfn.IFS(AND($K23&gt;Z$7,$L23&gt;Z$7),0,AND($K23&lt;=Z$7,$L23&lt;=Z$7),1,AND($K23&lt;=Z$7,$L23&gt;Z$7),((Z$7-$K23)/($L23-$K23)))</f>
        <v>1</v>
      </c>
      <c r="AB23" s="226" cm="1">
        <f t="array" ref="AB23">_xlfn.IFS(AND($K23&gt;AA$7,$L23&gt;AA$7),0,AND($K23&lt;=AA$7,$L23&lt;=AA$7),1,AND($K23&lt;=AA$7,$L23&gt;AA$7),((AA$7-$K23)/($L23-$K23)))</f>
        <v>1</v>
      </c>
      <c r="AC23" s="226" cm="1">
        <f t="array" ref="AC23">_xlfn.IFS(AND($K23&gt;AB$7,$L23&gt;AB$7),0,AND($K23&lt;=AB$7,$L23&lt;=AB$7),1,AND($K23&lt;=AB$7,$L23&gt;AB$7),((AB$7-$K23)/($L23-$K23)))</f>
        <v>1</v>
      </c>
      <c r="AD23" s="226" cm="1">
        <f t="array" ref="AD23">_xlfn.IFS(AND($K23&gt;AC$7,$L23&gt;AC$7),0,AND($K23&lt;=AC$7,$L23&lt;=AC$7),1,AND($K23&lt;=AC$7,$L23&gt;AC$7),((AC$7-$K23)/($L23-$K23)))</f>
        <v>1</v>
      </c>
      <c r="AE23" s="226" cm="1">
        <f t="array" ref="AE23">_xlfn.IFS(AND($K23&gt;AD$7,$L23&gt;AD$7),0,AND($K23&lt;=AD$7,$L23&lt;=AD$7),1,AND($K23&lt;=AD$7,$L23&gt;AD$7),((AD$7-$K23)/($L23-$K23)))</f>
        <v>1</v>
      </c>
      <c r="AF23" s="226" cm="1">
        <f t="array" ref="AF23">_xlfn.IFS(AND($K23&gt;AE$7,$L23&gt;AE$7),0,AND($K23&lt;=AE$7,$L23&lt;=AE$7),1,AND($K23&lt;=AE$7,$L23&gt;AE$7),((AE$7-$K23)/($L23-$K23)))</f>
        <v>1</v>
      </c>
      <c r="AG23" s="226" cm="1">
        <f t="array" ref="AG23">_xlfn.IFS(AND($K23&gt;AF$7,$L23&gt;AF$7),0,AND($K23&lt;=AF$7,$L23&lt;=AF$7),1,AND($K23&lt;=AF$7,$L23&gt;AF$7),((AF$7-$K23)/($L23-$K23)))</f>
        <v>1</v>
      </c>
      <c r="AH23" s="226" cm="1">
        <f t="array" ref="AH23">_xlfn.IFS(AND($K23&gt;AG$7,$L23&gt;AG$7),0,AND($K23&lt;=AG$7,$L23&lt;=AG$7),1,AND($K23&lt;=AG$7,$L23&gt;AG$7),((AG$7-$K23)/($L23-$K23)))</f>
        <v>1</v>
      </c>
      <c r="AI23" s="226" cm="1">
        <f t="array" ref="AI23">_xlfn.IFS(AND($K23&gt;AH$7,$L23&gt;AH$7),0,AND($K23&lt;=AH$7,$L23&lt;=AH$7),1,AND($K23&lt;=AH$7,$L23&gt;AH$7),((AH$7-$K23)/($L23-$K23)))</f>
        <v>1</v>
      </c>
      <c r="AJ23" s="226" cm="1">
        <f t="array" ref="AJ23">_xlfn.IFS(AND($K23&gt;AI$7,$L23&gt;AI$7),0,AND($K23&lt;=AI$7,$L23&lt;=AI$7),1,AND($K23&lt;=AI$7,$L23&gt;AI$7),((AI$7-$K23)/($L23-$K23)))</f>
        <v>1</v>
      </c>
      <c r="AK23" s="226" cm="1">
        <f t="array" ref="AK23">_xlfn.IFS(AND($K23&gt;AJ$7,$L23&gt;AJ$7),0,AND($K23&lt;=AJ$7,$L23&lt;=AJ$7),1,AND($K23&lt;=AJ$7,$L23&gt;AJ$7),((AJ$7-$K23)/($L23-$K23)))</f>
        <v>1</v>
      </c>
      <c r="AL23" s="226" cm="1">
        <f t="array" ref="AL23">_xlfn.IFS(AND($K23&gt;AK$7,$L23&gt;AK$7),0,AND($K23&lt;=AK$7,$L23&lt;=AK$7),1,AND($K23&lt;=AK$7,$L23&gt;AK$7),((AK$7-$K23)/($L23-$K23)))</f>
        <v>1</v>
      </c>
      <c r="AM23" s="226" cm="1">
        <f t="array" ref="AM23">_xlfn.IFS(AND($K23&gt;AL$7,$L23&gt;AL$7),0,AND($K23&lt;=AL$7,$L23&lt;=AL$7),1,AND($K23&lt;=AL$7,$L23&gt;AL$7),((AL$7-$K23)/($L23-$K23)))</f>
        <v>1</v>
      </c>
      <c r="AN23" s="226" cm="1">
        <f t="array" ref="AN23">_xlfn.IFS(AND($K23&gt;AM$7,$L23&gt;AM$7),0,AND($K23&lt;=AM$7,$L23&lt;=AM$7),1,AND($K23&lt;=AM$7,$L23&gt;AM$7),((AM$7-$K23)/($L23-$K23)))</f>
        <v>1</v>
      </c>
      <c r="AO23" s="226" cm="1">
        <f t="array" ref="AO23">_xlfn.IFS(AND($K23&gt;AN$7,$L23&gt;AN$7),0,AND($K23&lt;=AN$7,$L23&lt;=AN$7),1,AND($K23&lt;=AN$7,$L23&gt;AN$7),((AN$7-$K23)/($L23-$K23)))</f>
        <v>1</v>
      </c>
      <c r="AP23" s="226" cm="1">
        <f t="array" ref="AP23">_xlfn.IFS(AND($K23&gt;AO$7,$L23&gt;AO$7),0,AND($K23&lt;=AO$7,$L23&lt;=AO$7),1,AND($K23&lt;=AO$7,$L23&gt;AO$7),((AO$7-$K23)/($L23-$K23)))</f>
        <v>1</v>
      </c>
      <c r="AQ23" s="226" cm="1">
        <f t="array" ref="AQ23">_xlfn.IFS(AND($K23&gt;AP$7,$L23&gt;AP$7),0,AND($K23&lt;=AP$7,$L23&lt;=AP$7),1,AND($K23&lt;=AP$7,$L23&gt;AP$7),((AP$7-$K23)/($L23-$K23)))</f>
        <v>1</v>
      </c>
      <c r="AR23" s="226" cm="1">
        <f t="array" ref="AR23">_xlfn.IFS(AND($K23&gt;AQ$7,$L23&gt;AQ$7),0,AND($K23&lt;=AQ$7,$L23&lt;=AQ$7),1,AND($K23&lt;=AQ$7,$L23&gt;AQ$7),((AQ$7-$K23)/($L23-$K23)))</f>
        <v>1</v>
      </c>
      <c r="AS23" s="226" cm="1">
        <f t="array" ref="AS23">_xlfn.IFS(AND($K23&gt;AR$7,$L23&gt;AR$7),0,AND($K23&lt;=AR$7,$L23&lt;=AR$7),1,AND($K23&lt;=AR$7,$L23&gt;AR$7),((AR$7-$K23)/($L23-$K23)))</f>
        <v>1</v>
      </c>
      <c r="AT23" s="226" cm="1">
        <f t="array" ref="AT23">_xlfn.IFS(AND($K23&gt;AS$7,$L23&gt;AS$7),0,AND($K23&lt;=AS$7,$L23&lt;=AS$7),1,AND($K23&lt;=AS$7,$L23&gt;AS$7),((AS$7-$K23)/($L23-$K23)))</f>
        <v>1</v>
      </c>
      <c r="AU23" s="226" cm="1">
        <f t="array" ref="AU23">_xlfn.IFS(AND($K23&gt;AT$7,$L23&gt;AT$7),0,AND($K23&lt;=AT$7,$L23&lt;=AT$7),1,AND($K23&lt;=AT$7,$L23&gt;AT$7),((AT$7-$K23)/($L23-$K23)))</f>
        <v>1</v>
      </c>
      <c r="AV23" s="226" cm="1">
        <f t="array" ref="AV23">_xlfn.IFS(AND($K23&gt;AU$7,$L23&gt;AU$7),0,AND($K23&lt;=AU$7,$L23&lt;=AU$7),1,AND($K23&lt;=AU$7,$L23&gt;AU$7),((AU$7-$K23)/($L23-$K23)))</f>
        <v>1</v>
      </c>
      <c r="AW23" s="226" cm="1">
        <f t="array" ref="AW23">_xlfn.IFS(AND($K23&gt;AV$7,$L23&gt;AV$7),0,AND($K23&lt;=AV$7,$L23&lt;=AV$7),1,AND($K23&lt;=AV$7,$L23&gt;AV$7),((AV$7-$K23)/($L23-$K23)))</f>
        <v>1</v>
      </c>
      <c r="AX23" s="226" cm="1">
        <f t="array" ref="AX23">_xlfn.IFS(AND($K23&gt;AW$7,$L23&gt;AW$7),0,AND($K23&lt;=AW$7,$L23&lt;=AW$7),1,AND($K23&lt;=AW$7,$L23&gt;AW$7),((AW$7-$K23)/($L23-$K23)))</f>
        <v>1</v>
      </c>
      <c r="AY23" s="226" cm="1">
        <f t="array" ref="AY23">_xlfn.IFS(AND($K23&gt;AX$7,$L23&gt;AX$7),0,AND($K23&lt;=AX$7,$L23&lt;=AX$7),1,AND($K23&lt;=AX$7,$L23&gt;AX$7),((AX$7-$K23)/($L23-$K23)))</f>
        <v>1</v>
      </c>
      <c r="AZ23" s="226" cm="1">
        <f t="array" ref="AZ23">_xlfn.IFS(AND($K23&gt;AY$7,$L23&gt;AY$7),0,AND($K23&lt;=AY$7,$L23&lt;=AY$7),1,AND($K23&lt;=AY$7,$L23&gt;AY$7),((AY$7-$K23)/($L23-$K23)))</f>
        <v>1</v>
      </c>
      <c r="BA23" s="226" cm="1">
        <f t="array" ref="BA23">_xlfn.IFS(AND($K23&gt;AZ$7,$L23&gt;AZ$7),0,AND($K23&lt;=AZ$7,$L23&lt;=AZ$7),1,AND($K23&lt;=AZ$7,$L23&gt;AZ$7),((AZ$7-$K23)/($L23-$K23)))</f>
        <v>1</v>
      </c>
      <c r="BB23" s="226" cm="1">
        <f t="array" ref="BB23">_xlfn.IFS(AND($K23&gt;BA$7,$L23&gt;BA$7),0,AND($K23&lt;=BA$7,$L23&lt;=BA$7),1,AND($K23&lt;=BA$7,$L23&gt;BA$7),((BA$7-$K23)/($L23-$K23)))</f>
        <v>1</v>
      </c>
      <c r="BC23" s="226" cm="1">
        <f t="array" ref="BC23">_xlfn.IFS(AND($K23&gt;BB$7,$L23&gt;BB$7),0,AND($K23&lt;=BB$7,$L23&lt;=BB$7),1,AND($K23&lt;=BB$7,$L23&gt;BB$7),((BB$7-$K23)/($L23-$K23)))</f>
        <v>1</v>
      </c>
      <c r="BD23" s="226" cm="1">
        <f t="array" ref="BD23">_xlfn.IFS(AND($K23&gt;BC$7,$L23&gt;BC$7),0,AND($K23&lt;=BC$7,$L23&lt;=BC$7),1,AND($K23&lt;=BC$7,$L23&gt;BC$7),((BC$7-$K23)/($L23-$K23)))</f>
        <v>1</v>
      </c>
      <c r="BE23" s="226" cm="1">
        <f t="array" ref="BE23">_xlfn.IFS(AND($K23&gt;BD$7,$L23&gt;BD$7),0,AND($K23&lt;=BD$7,$L23&lt;=BD$7),1,AND($K23&lt;=BD$7,$L23&gt;BD$7),((BD$7-$K23)/($L23-$K23)))</f>
        <v>1</v>
      </c>
      <c r="BF23" s="226" cm="1">
        <f t="array" ref="BF23">_xlfn.IFS(AND($K23&gt;BE$7,$L23&gt;BE$7),0,AND($K23&lt;=BE$7,$L23&lt;=BE$7),1,AND($K23&lt;=BE$7,$L23&gt;BE$7),((BE$7-$K23)/($L23-$K23)))</f>
        <v>1</v>
      </c>
      <c r="BG23" s="226" cm="1">
        <f t="array" ref="BG23">_xlfn.IFS(AND($K23&gt;BF$7,$L23&gt;BF$7),0,AND($K23&lt;=BF$7,$L23&lt;=BF$7),1,AND($K23&lt;=BF$7,$L23&gt;BF$7),((BF$7-$K23)/($L23-$K23)))</f>
        <v>1</v>
      </c>
      <c r="BH23" s="163">
        <f>Tab.plano6[[#This Row],[Data Término
Prevista]]-Tab.plano6[[#This Row],[Data Início
Previsto]]</f>
        <v>0</v>
      </c>
    </row>
    <row r="24" spans="1:60" s="163" customFormat="1" ht="18" hidden="1" customHeight="1" x14ac:dyDescent="0.3">
      <c r="A24" s="220"/>
      <c r="B24" s="220" t="s">
        <v>161</v>
      </c>
      <c r="C24" s="220" t="s">
        <v>418</v>
      </c>
      <c r="D24" s="251" t="s">
        <v>399</v>
      </c>
      <c r="E24" s="251" t="s">
        <v>412</v>
      </c>
      <c r="F24" s="251" t="s">
        <v>414</v>
      </c>
      <c r="G24" s="251" t="s">
        <v>414</v>
      </c>
      <c r="H24" s="221" t="s">
        <v>419</v>
      </c>
      <c r="I24" s="266">
        <v>46120</v>
      </c>
      <c r="J24" s="266">
        <v>46192</v>
      </c>
      <c r="K24" s="266">
        <v>46120</v>
      </c>
      <c r="L24" s="266">
        <v>46192</v>
      </c>
      <c r="M24" s="231" t="s">
        <v>400</v>
      </c>
      <c r="N24" s="227" t="str" cm="1">
        <f t="array" ref="N24">_xlfn.IFS(L24&lt;$M$3,"Concluído",AND(K24&lt;=$M$3,L24&gt;=$M$3,L24&lt;=J24),"Em andamento",AND(K24&lt;=$M$3,L24&gt;=$M$3,L24&gt;J24),"Atrasado",AND(K24&gt;$M$3,I24&gt;$M$3),"Não iniciado",AND(K24&gt;$M$3,I24&lt;=$M$3),"Atrasado",TRUE,"Não iniciado")</f>
        <v>Em andamento</v>
      </c>
      <c r="O24" s="231" cm="1">
        <f t="array" ref="O24">_xlfn.IFS(N24="Não iniciado",0,N24="Em andamento",1,N24="Concluído",2,N24="Atrasado",3)</f>
        <v>1</v>
      </c>
      <c r="P24" s="220"/>
      <c r="Q24" s="226" cm="1">
        <f t="array" ref="Q24">_xlfn.IFS(AND($I24&lt;$M$3,$J24&lt;$M$3),1,AND($I24&lt;=$M$3,$J24&gt;=$M$3),0.5,AND($I24&gt;=$M$3,$J24&gt;=$M$3),0)</f>
        <v>0.5</v>
      </c>
      <c r="R24" s="226" cm="1">
        <f t="array" ref="R24">_xlfn.IFS(AND($K24&lt;$M$3,$L24&lt;$M$3),1,AND($K24&lt;=$M$3,$L24&gt;=$M$3),0.5,AND($K24&gt;=$M$3,$L24&gt;=$M$3),0)</f>
        <v>0.5</v>
      </c>
      <c r="S24" s="226" cm="1">
        <f t="array" ref="S24">_xlfn.IFS(AND($K24&gt;R$7,$L24&gt;R$7),0,AND($K24&lt;=R$7,$L24&lt;=R$7),1,AND($K24&lt;=R$7,$L24&gt;R$7),((R$7-$K24)/($L24-$K24)))</f>
        <v>0</v>
      </c>
      <c r="T24" s="226" cm="1">
        <f t="array" ref="T24">_xlfn.IFS(AND($K24&gt;S$7,$L24&gt;S$7),0,AND($K24&lt;=S$7,$L24&lt;=S$7),1,AND($K24&lt;=S$7,$L24&gt;S$7),((S$7-$K24)/($L24-$K24)))</f>
        <v>0</v>
      </c>
      <c r="U24" s="226" cm="1">
        <f t="array" ref="U24">_xlfn.IFS(AND($K24&gt;T$7,$L24&gt;T$7),0,AND($K24&lt;=T$7,$L24&lt;=T$7),1,AND($K24&lt;=T$7,$L24&gt;T$7),((T$7-$K24)/($L24-$K24)))</f>
        <v>0</v>
      </c>
      <c r="V24" s="226" cm="1">
        <f t="array" ref="V24">_xlfn.IFS(AND($K24&gt;U$7,$L24&gt;U$7),0,AND($K24&lt;=U$7,$L24&lt;=U$7),1,AND($K24&lt;=U$7,$L24&gt;U$7),((U$7-$K24)/($L24-$K24)))</f>
        <v>6.9444444444444448E-2</v>
      </c>
      <c r="W24" s="226" cm="1">
        <f t="array" ref="W24">_xlfn.IFS(AND($K24&gt;V$7,$L24&gt;V$7),0,AND($K24&lt;=V$7,$L24&lt;=V$7),1,AND($K24&lt;=V$7,$L24&gt;V$7),((V$7-$K24)/($L24-$K24)))</f>
        <v>0.16666666666666666</v>
      </c>
      <c r="X24" s="226" cm="1">
        <f t="array" ref="X24">_xlfn.IFS(AND($K24&gt;W$7,$L24&gt;W$7),0,AND($K24&lt;=W$7,$L24&lt;=W$7),1,AND($K24&lt;=W$7,$L24&gt;W$7),((W$7-$K24)/($L24-$K24)))</f>
        <v>0.2638888888888889</v>
      </c>
      <c r="Y24" s="226" cm="1">
        <f t="array" ref="Y24">_xlfn.IFS(AND($K24&gt;X$7,$L24&gt;X$7),0,AND($K24&lt;=X$7,$L24&lt;=X$7),1,AND($K24&lt;=X$7,$L24&gt;X$7),((X$7-$K24)/($L24-$K24)))</f>
        <v>0.3611111111111111</v>
      </c>
      <c r="Z24" s="226" cm="1">
        <f t="array" ref="Z24">_xlfn.IFS(AND($K24&gt;Y$7,$L24&gt;Y$7),0,AND($K24&lt;=Y$7,$L24&lt;=Y$7),1,AND($K24&lt;=Y$7,$L24&gt;Y$7),((Y$7-$K24)/($L24-$K24)))</f>
        <v>0.45833333333333331</v>
      </c>
      <c r="AA24" s="226" cm="1">
        <f t="array" ref="AA24">_xlfn.IFS(AND($K24&gt;Z$7,$L24&gt;Z$7),0,AND($K24&lt;=Z$7,$L24&lt;=Z$7),1,AND($K24&lt;=Z$7,$L24&gt;Z$7),((Z$7-$K24)/($L24-$K24)))</f>
        <v>0.55555555555555558</v>
      </c>
      <c r="AB24" s="226" cm="1">
        <f t="array" ref="AB24">_xlfn.IFS(AND($K24&gt;AA$7,$L24&gt;AA$7),0,AND($K24&lt;=AA$7,$L24&lt;=AA$7),1,AND($K24&lt;=AA$7,$L24&gt;AA$7),((AA$7-$K24)/($L24-$K24)))</f>
        <v>0.65277777777777779</v>
      </c>
      <c r="AC24" s="226" cm="1">
        <f t="array" ref="AC24">_xlfn.IFS(AND($K24&gt;AB$7,$L24&gt;AB$7),0,AND($K24&lt;=AB$7,$L24&lt;=AB$7),1,AND($K24&lt;=AB$7,$L24&gt;AB$7),((AB$7-$K24)/($L24-$K24)))</f>
        <v>0.75</v>
      </c>
      <c r="AD24" s="226" cm="1">
        <f t="array" ref="AD24">_xlfn.IFS(AND($K24&gt;AC$7,$L24&gt;AC$7),0,AND($K24&lt;=AC$7,$L24&lt;=AC$7),1,AND($K24&lt;=AC$7,$L24&gt;AC$7),((AC$7-$K24)/($L24-$K24)))</f>
        <v>0.84722222222222221</v>
      </c>
      <c r="AE24" s="226" cm="1">
        <f t="array" ref="AE24">_xlfn.IFS(AND($K24&gt;AD$7,$L24&gt;AD$7),0,AND($K24&lt;=AD$7,$L24&lt;=AD$7),1,AND($K24&lt;=AD$7,$L24&gt;AD$7),((AD$7-$K24)/($L24-$K24)))</f>
        <v>0.94444444444444442</v>
      </c>
      <c r="AF24" s="226" cm="1">
        <f t="array" ref="AF24">_xlfn.IFS(AND($K24&gt;AE$7,$L24&gt;AE$7),0,AND($K24&lt;=AE$7,$L24&lt;=AE$7),1,AND($K24&lt;=AE$7,$L24&gt;AE$7),((AE$7-$K24)/($L24-$K24)))</f>
        <v>1</v>
      </c>
      <c r="AG24" s="226" cm="1">
        <f t="array" ref="AG24">_xlfn.IFS(AND($K24&gt;AF$7,$L24&gt;AF$7),0,AND($K24&lt;=AF$7,$L24&lt;=AF$7),1,AND($K24&lt;=AF$7,$L24&gt;AF$7),((AF$7-$K24)/($L24-$K24)))</f>
        <v>1</v>
      </c>
      <c r="AH24" s="226" cm="1">
        <f t="array" ref="AH24">_xlfn.IFS(AND($K24&gt;AG$7,$L24&gt;AG$7),0,AND($K24&lt;=AG$7,$L24&lt;=AG$7),1,AND($K24&lt;=AG$7,$L24&gt;AG$7),((AG$7-$K24)/($L24-$K24)))</f>
        <v>1</v>
      </c>
      <c r="AI24" s="226" cm="1">
        <f t="array" ref="AI24">_xlfn.IFS(AND($K24&gt;AH$7,$L24&gt;AH$7),0,AND($K24&lt;=AH$7,$L24&lt;=AH$7),1,AND($K24&lt;=AH$7,$L24&gt;AH$7),((AH$7-$K24)/($L24-$K24)))</f>
        <v>1</v>
      </c>
      <c r="AJ24" s="226" cm="1">
        <f t="array" ref="AJ24">_xlfn.IFS(AND($K24&gt;AI$7,$L24&gt;AI$7),0,AND($K24&lt;=AI$7,$L24&lt;=AI$7),1,AND($K24&lt;=AI$7,$L24&gt;AI$7),((AI$7-$K24)/($L24-$K24)))</f>
        <v>1</v>
      </c>
      <c r="AK24" s="226" cm="1">
        <f t="array" ref="AK24">_xlfn.IFS(AND($K24&gt;AJ$7,$L24&gt;AJ$7),0,AND($K24&lt;=AJ$7,$L24&lt;=AJ$7),1,AND($K24&lt;=AJ$7,$L24&gt;AJ$7),((AJ$7-$K24)/($L24-$K24)))</f>
        <v>1</v>
      </c>
      <c r="AL24" s="226" cm="1">
        <f t="array" ref="AL24">_xlfn.IFS(AND($K24&gt;AK$7,$L24&gt;AK$7),0,AND($K24&lt;=AK$7,$L24&lt;=AK$7),1,AND($K24&lt;=AK$7,$L24&gt;AK$7),((AK$7-$K24)/($L24-$K24)))</f>
        <v>1</v>
      </c>
      <c r="AM24" s="226" cm="1">
        <f t="array" ref="AM24">_xlfn.IFS(AND($K24&gt;AL$7,$L24&gt;AL$7),0,AND($K24&lt;=AL$7,$L24&lt;=AL$7),1,AND($K24&lt;=AL$7,$L24&gt;AL$7),((AL$7-$K24)/($L24-$K24)))</f>
        <v>1</v>
      </c>
      <c r="AN24" s="226" cm="1">
        <f t="array" ref="AN24">_xlfn.IFS(AND($K24&gt;AM$7,$L24&gt;AM$7),0,AND($K24&lt;=AM$7,$L24&lt;=AM$7),1,AND($K24&lt;=AM$7,$L24&gt;AM$7),((AM$7-$K24)/($L24-$K24)))</f>
        <v>1</v>
      </c>
      <c r="AO24" s="226" cm="1">
        <f t="array" ref="AO24">_xlfn.IFS(AND($K24&gt;AN$7,$L24&gt;AN$7),0,AND($K24&lt;=AN$7,$L24&lt;=AN$7),1,AND($K24&lt;=AN$7,$L24&gt;AN$7),((AN$7-$K24)/($L24-$K24)))</f>
        <v>1</v>
      </c>
      <c r="AP24" s="226" cm="1">
        <f t="array" ref="AP24">_xlfn.IFS(AND($K24&gt;AO$7,$L24&gt;AO$7),0,AND($K24&lt;=AO$7,$L24&lt;=AO$7),1,AND($K24&lt;=AO$7,$L24&gt;AO$7),((AO$7-$K24)/($L24-$K24)))</f>
        <v>1</v>
      </c>
      <c r="AQ24" s="226" cm="1">
        <f t="array" ref="AQ24">_xlfn.IFS(AND($K24&gt;AP$7,$L24&gt;AP$7),0,AND($K24&lt;=AP$7,$L24&lt;=AP$7),1,AND($K24&lt;=AP$7,$L24&gt;AP$7),((AP$7-$K24)/($L24-$K24)))</f>
        <v>1</v>
      </c>
      <c r="AR24" s="226" cm="1">
        <f t="array" ref="AR24">_xlfn.IFS(AND($K24&gt;AQ$7,$L24&gt;AQ$7),0,AND($K24&lt;=AQ$7,$L24&lt;=AQ$7),1,AND($K24&lt;=AQ$7,$L24&gt;AQ$7),((AQ$7-$K24)/($L24-$K24)))</f>
        <v>1</v>
      </c>
      <c r="AS24" s="226" cm="1">
        <f t="array" ref="AS24">_xlfn.IFS(AND($K24&gt;AR$7,$L24&gt;AR$7),0,AND($K24&lt;=AR$7,$L24&lt;=AR$7),1,AND($K24&lt;=AR$7,$L24&gt;AR$7),((AR$7-$K24)/($L24-$K24)))</f>
        <v>1</v>
      </c>
      <c r="AT24" s="226" cm="1">
        <f t="array" ref="AT24">_xlfn.IFS(AND($K24&gt;AS$7,$L24&gt;AS$7),0,AND($K24&lt;=AS$7,$L24&lt;=AS$7),1,AND($K24&lt;=AS$7,$L24&gt;AS$7),((AS$7-$K24)/($L24-$K24)))</f>
        <v>1</v>
      </c>
      <c r="AU24" s="226" cm="1">
        <f t="array" ref="AU24">_xlfn.IFS(AND($K24&gt;AT$7,$L24&gt;AT$7),0,AND($K24&lt;=AT$7,$L24&lt;=AT$7),1,AND($K24&lt;=AT$7,$L24&gt;AT$7),((AT$7-$K24)/($L24-$K24)))</f>
        <v>1</v>
      </c>
      <c r="AV24" s="226" cm="1">
        <f t="array" ref="AV24">_xlfn.IFS(AND($K24&gt;AU$7,$L24&gt;AU$7),0,AND($K24&lt;=AU$7,$L24&lt;=AU$7),1,AND($K24&lt;=AU$7,$L24&gt;AU$7),((AU$7-$K24)/($L24-$K24)))</f>
        <v>1</v>
      </c>
      <c r="AW24" s="226" cm="1">
        <f t="array" ref="AW24">_xlfn.IFS(AND($K24&gt;AV$7,$L24&gt;AV$7),0,AND($K24&lt;=AV$7,$L24&lt;=AV$7),1,AND($K24&lt;=AV$7,$L24&gt;AV$7),((AV$7-$K24)/($L24-$K24)))</f>
        <v>1</v>
      </c>
      <c r="AX24" s="226" cm="1">
        <f t="array" ref="AX24">_xlfn.IFS(AND($K24&gt;AW$7,$L24&gt;AW$7),0,AND($K24&lt;=AW$7,$L24&lt;=AW$7),1,AND($K24&lt;=AW$7,$L24&gt;AW$7),((AW$7-$K24)/($L24-$K24)))</f>
        <v>1</v>
      </c>
      <c r="AY24" s="226" cm="1">
        <f t="array" ref="AY24">_xlfn.IFS(AND($K24&gt;AX$7,$L24&gt;AX$7),0,AND($K24&lt;=AX$7,$L24&lt;=AX$7),1,AND($K24&lt;=AX$7,$L24&gt;AX$7),((AX$7-$K24)/($L24-$K24)))</f>
        <v>1</v>
      </c>
      <c r="AZ24" s="226" cm="1">
        <f t="array" ref="AZ24">_xlfn.IFS(AND($K24&gt;AY$7,$L24&gt;AY$7),0,AND($K24&lt;=AY$7,$L24&lt;=AY$7),1,AND($K24&lt;=AY$7,$L24&gt;AY$7),((AY$7-$K24)/($L24-$K24)))</f>
        <v>1</v>
      </c>
      <c r="BA24" s="226" cm="1">
        <f t="array" ref="BA24">_xlfn.IFS(AND($K24&gt;AZ$7,$L24&gt;AZ$7),0,AND($K24&lt;=AZ$7,$L24&lt;=AZ$7),1,AND($K24&lt;=AZ$7,$L24&gt;AZ$7),((AZ$7-$K24)/($L24-$K24)))</f>
        <v>1</v>
      </c>
      <c r="BB24" s="226" cm="1">
        <f t="array" ref="BB24">_xlfn.IFS(AND($K24&gt;BA$7,$L24&gt;BA$7),0,AND($K24&lt;=BA$7,$L24&lt;=BA$7),1,AND($K24&lt;=BA$7,$L24&gt;BA$7),((BA$7-$K24)/($L24-$K24)))</f>
        <v>1</v>
      </c>
      <c r="BC24" s="226" cm="1">
        <f t="array" ref="BC24">_xlfn.IFS(AND($K24&gt;BB$7,$L24&gt;BB$7),0,AND($K24&lt;=BB$7,$L24&lt;=BB$7),1,AND($K24&lt;=BB$7,$L24&gt;BB$7),((BB$7-$K24)/($L24-$K24)))</f>
        <v>1</v>
      </c>
      <c r="BD24" s="226" cm="1">
        <f t="array" ref="BD24">_xlfn.IFS(AND($K24&gt;BC$7,$L24&gt;BC$7),0,AND($K24&lt;=BC$7,$L24&lt;=BC$7),1,AND($K24&lt;=BC$7,$L24&gt;BC$7),((BC$7-$K24)/($L24-$K24)))</f>
        <v>1</v>
      </c>
      <c r="BE24" s="226" cm="1">
        <f t="array" ref="BE24">_xlfn.IFS(AND($K24&gt;BD$7,$L24&gt;BD$7),0,AND($K24&lt;=BD$7,$L24&lt;=BD$7),1,AND($K24&lt;=BD$7,$L24&gt;BD$7),((BD$7-$K24)/($L24-$K24)))</f>
        <v>1</v>
      </c>
      <c r="BF24" s="226" cm="1">
        <f t="array" ref="BF24">_xlfn.IFS(AND($K24&gt;BE$7,$L24&gt;BE$7),0,AND($K24&lt;=BE$7,$L24&lt;=BE$7),1,AND($K24&lt;=BE$7,$L24&gt;BE$7),((BE$7-$K24)/($L24-$K24)))</f>
        <v>1</v>
      </c>
      <c r="BG24" s="226" cm="1">
        <f t="array" ref="BG24">_xlfn.IFS(AND($K24&gt;BF$7,$L24&gt;BF$7),0,AND($K24&lt;=BF$7,$L24&lt;=BF$7),1,AND($K24&lt;=BF$7,$L24&gt;BF$7),((BF$7-$K24)/($L24-$K24)))</f>
        <v>1</v>
      </c>
      <c r="BH24" s="163">
        <f>Tab.plano6[[#This Row],[Data Término
Prevista]]-Tab.plano6[[#This Row],[Data Início
Previsto]]</f>
        <v>72</v>
      </c>
    </row>
    <row r="25" spans="1:60" s="163" customFormat="1" ht="18" hidden="1" customHeight="1" x14ac:dyDescent="0.3">
      <c r="A25" s="220"/>
      <c r="B25" s="220" t="s">
        <v>161</v>
      </c>
      <c r="C25" s="220" t="s">
        <v>420</v>
      </c>
      <c r="D25" s="251" t="s">
        <v>399</v>
      </c>
      <c r="E25" s="251" t="s">
        <v>412</v>
      </c>
      <c r="F25" s="251" t="s">
        <v>414</v>
      </c>
      <c r="G25" s="251" t="s">
        <v>414</v>
      </c>
      <c r="H25" s="221" t="s">
        <v>421</v>
      </c>
      <c r="I25" s="266">
        <v>46122</v>
      </c>
      <c r="J25" s="266">
        <v>46125</v>
      </c>
      <c r="K25" s="266">
        <v>46122</v>
      </c>
      <c r="L25" s="266">
        <v>46125</v>
      </c>
      <c r="M25" s="231" t="s">
        <v>400</v>
      </c>
      <c r="N25" s="227" t="str" cm="1">
        <f t="array" ref="N25">_xlfn.IFS(L25&lt;$M$3,"Concluído",AND(K25&lt;=$M$3,L25&gt;=$M$3,L25&lt;=J25),"Em andamento",AND(K25&lt;=$M$3,L25&gt;=$M$3,L25&gt;J25),"Atrasado",AND(K25&gt;$M$3,I25&gt;$M$3),"Não iniciado",AND(K25&gt;$M$3,I25&lt;=$M$3),"Atrasado",TRUE,"Não iniciado")</f>
        <v>Concluído</v>
      </c>
      <c r="O25" s="231" cm="1">
        <f t="array" ref="O25">_xlfn.IFS(N25="Não iniciado",0,N25="Em andamento",1,N25="Concluído",2,N25="Atrasado",3)</f>
        <v>2</v>
      </c>
      <c r="P25" s="220"/>
      <c r="Q25" s="226" cm="1">
        <f t="array" ref="Q25">_xlfn.IFS(AND($I25&lt;$M$3,$J25&lt;$M$3),1,AND($I25&lt;=$M$3,$J25&gt;=$M$3),0.5,AND($I25&gt;=$M$3,$J25&gt;=$M$3),0)</f>
        <v>1</v>
      </c>
      <c r="R25" s="226" cm="1">
        <f t="array" ref="R25">_xlfn.IFS(AND($K25&lt;$M$3,$L25&lt;$M$3),1,AND($K25&lt;=$M$3,$L25&gt;=$M$3),0.5,AND($K25&gt;=$M$3,$L25&gt;=$M$3),0)</f>
        <v>1</v>
      </c>
      <c r="S25" s="226" cm="1">
        <f t="array" ref="S25">_xlfn.IFS(AND($K25&gt;R$7,$L25&gt;R$7),0,AND($K25&lt;=R$7,$L25&lt;=R$7),1,AND($K25&lt;=R$7,$L25&gt;R$7),((R$7-$K25)/($L25-$K25)))</f>
        <v>0</v>
      </c>
      <c r="T25" s="226" cm="1">
        <f t="array" ref="T25">_xlfn.IFS(AND($K25&gt;S$7,$L25&gt;S$7),0,AND($K25&lt;=S$7,$L25&lt;=S$7),1,AND($K25&lt;=S$7,$L25&gt;S$7),((S$7-$K25)/($L25-$K25)))</f>
        <v>0</v>
      </c>
      <c r="U25" s="226" cm="1">
        <f t="array" ref="U25">_xlfn.IFS(AND($K25&gt;T$7,$L25&gt;T$7),0,AND($K25&lt;=T$7,$L25&lt;=T$7),1,AND($K25&lt;=T$7,$L25&gt;T$7),((T$7-$K25)/($L25-$K25)))</f>
        <v>0</v>
      </c>
      <c r="V25" s="226" cm="1">
        <f t="array" ref="V25">_xlfn.IFS(AND($K25&gt;U$7,$L25&gt;U$7),0,AND($K25&lt;=U$7,$L25&lt;=U$7),1,AND($K25&lt;=U$7,$L25&gt;U$7),((U$7-$K25)/($L25-$K25)))</f>
        <v>1</v>
      </c>
      <c r="W25" s="226" cm="1">
        <f t="array" ref="W25">_xlfn.IFS(AND($K25&gt;V$7,$L25&gt;V$7),0,AND($K25&lt;=V$7,$L25&lt;=V$7),1,AND($K25&lt;=V$7,$L25&gt;V$7),((V$7-$K25)/($L25-$K25)))</f>
        <v>1</v>
      </c>
      <c r="X25" s="226" cm="1">
        <f t="array" ref="X25">_xlfn.IFS(AND($K25&gt;W$7,$L25&gt;W$7),0,AND($K25&lt;=W$7,$L25&lt;=W$7),1,AND($K25&lt;=W$7,$L25&gt;W$7),((W$7-$K25)/($L25-$K25)))</f>
        <v>1</v>
      </c>
      <c r="Y25" s="226" cm="1">
        <f t="array" ref="Y25">_xlfn.IFS(AND($K25&gt;X$7,$L25&gt;X$7),0,AND($K25&lt;=X$7,$L25&lt;=X$7),1,AND($K25&lt;=X$7,$L25&gt;X$7),((X$7-$K25)/($L25-$K25)))</f>
        <v>1</v>
      </c>
      <c r="Z25" s="226" cm="1">
        <f t="array" ref="Z25">_xlfn.IFS(AND($K25&gt;Y$7,$L25&gt;Y$7),0,AND($K25&lt;=Y$7,$L25&lt;=Y$7),1,AND($K25&lt;=Y$7,$L25&gt;Y$7),((Y$7-$K25)/($L25-$K25)))</f>
        <v>1</v>
      </c>
      <c r="AA25" s="226" cm="1">
        <f t="array" ref="AA25">_xlfn.IFS(AND($K25&gt;Z$7,$L25&gt;Z$7),0,AND($K25&lt;=Z$7,$L25&lt;=Z$7),1,AND($K25&lt;=Z$7,$L25&gt;Z$7),((Z$7-$K25)/($L25-$K25)))</f>
        <v>1</v>
      </c>
      <c r="AB25" s="226" cm="1">
        <f t="array" ref="AB25">_xlfn.IFS(AND($K25&gt;AA$7,$L25&gt;AA$7),0,AND($K25&lt;=AA$7,$L25&lt;=AA$7),1,AND($K25&lt;=AA$7,$L25&gt;AA$7),((AA$7-$K25)/($L25-$K25)))</f>
        <v>1</v>
      </c>
      <c r="AC25" s="226" cm="1">
        <f t="array" ref="AC25">_xlfn.IFS(AND($K25&gt;AB$7,$L25&gt;AB$7),0,AND($K25&lt;=AB$7,$L25&lt;=AB$7),1,AND($K25&lt;=AB$7,$L25&gt;AB$7),((AB$7-$K25)/($L25-$K25)))</f>
        <v>1</v>
      </c>
      <c r="AD25" s="226" cm="1">
        <f t="array" ref="AD25">_xlfn.IFS(AND($K25&gt;AC$7,$L25&gt;AC$7),0,AND($K25&lt;=AC$7,$L25&lt;=AC$7),1,AND($K25&lt;=AC$7,$L25&gt;AC$7),((AC$7-$K25)/($L25-$K25)))</f>
        <v>1</v>
      </c>
      <c r="AE25" s="226" cm="1">
        <f t="array" ref="AE25">_xlfn.IFS(AND($K25&gt;AD$7,$L25&gt;AD$7),0,AND($K25&lt;=AD$7,$L25&lt;=AD$7),1,AND($K25&lt;=AD$7,$L25&gt;AD$7),((AD$7-$K25)/($L25-$K25)))</f>
        <v>1</v>
      </c>
      <c r="AF25" s="226" cm="1">
        <f t="array" ref="AF25">_xlfn.IFS(AND($K25&gt;AE$7,$L25&gt;AE$7),0,AND($K25&lt;=AE$7,$L25&lt;=AE$7),1,AND($K25&lt;=AE$7,$L25&gt;AE$7),((AE$7-$K25)/($L25-$K25)))</f>
        <v>1</v>
      </c>
      <c r="AG25" s="226" cm="1">
        <f t="array" ref="AG25">_xlfn.IFS(AND($K25&gt;AF$7,$L25&gt;AF$7),0,AND($K25&lt;=AF$7,$L25&lt;=AF$7),1,AND($K25&lt;=AF$7,$L25&gt;AF$7),((AF$7-$K25)/($L25-$K25)))</f>
        <v>1</v>
      </c>
      <c r="AH25" s="226" cm="1">
        <f t="array" ref="AH25">_xlfn.IFS(AND($K25&gt;AG$7,$L25&gt;AG$7),0,AND($K25&lt;=AG$7,$L25&lt;=AG$7),1,AND($K25&lt;=AG$7,$L25&gt;AG$7),((AG$7-$K25)/($L25-$K25)))</f>
        <v>1</v>
      </c>
      <c r="AI25" s="226" cm="1">
        <f t="array" ref="AI25">_xlfn.IFS(AND($K25&gt;AH$7,$L25&gt;AH$7),0,AND($K25&lt;=AH$7,$L25&lt;=AH$7),1,AND($K25&lt;=AH$7,$L25&gt;AH$7),((AH$7-$K25)/($L25-$K25)))</f>
        <v>1</v>
      </c>
      <c r="AJ25" s="226" cm="1">
        <f t="array" ref="AJ25">_xlfn.IFS(AND($K25&gt;AI$7,$L25&gt;AI$7),0,AND($K25&lt;=AI$7,$L25&lt;=AI$7),1,AND($K25&lt;=AI$7,$L25&gt;AI$7),((AI$7-$K25)/($L25-$K25)))</f>
        <v>1</v>
      </c>
      <c r="AK25" s="226" cm="1">
        <f t="array" ref="AK25">_xlfn.IFS(AND($K25&gt;AJ$7,$L25&gt;AJ$7),0,AND($K25&lt;=AJ$7,$L25&lt;=AJ$7),1,AND($K25&lt;=AJ$7,$L25&gt;AJ$7),((AJ$7-$K25)/($L25-$K25)))</f>
        <v>1</v>
      </c>
      <c r="AL25" s="226" cm="1">
        <f t="array" ref="AL25">_xlfn.IFS(AND($K25&gt;AK$7,$L25&gt;AK$7),0,AND($K25&lt;=AK$7,$L25&lt;=AK$7),1,AND($K25&lt;=AK$7,$L25&gt;AK$7),((AK$7-$K25)/($L25-$K25)))</f>
        <v>1</v>
      </c>
      <c r="AM25" s="226" cm="1">
        <f t="array" ref="AM25">_xlfn.IFS(AND($K25&gt;AL$7,$L25&gt;AL$7),0,AND($K25&lt;=AL$7,$L25&lt;=AL$7),1,AND($K25&lt;=AL$7,$L25&gt;AL$7),((AL$7-$K25)/($L25-$K25)))</f>
        <v>1</v>
      </c>
      <c r="AN25" s="226" cm="1">
        <f t="array" ref="AN25">_xlfn.IFS(AND($K25&gt;AM$7,$L25&gt;AM$7),0,AND($K25&lt;=AM$7,$L25&lt;=AM$7),1,AND($K25&lt;=AM$7,$L25&gt;AM$7),((AM$7-$K25)/($L25-$K25)))</f>
        <v>1</v>
      </c>
      <c r="AO25" s="226" cm="1">
        <f t="array" ref="AO25">_xlfn.IFS(AND($K25&gt;AN$7,$L25&gt;AN$7),0,AND($K25&lt;=AN$7,$L25&lt;=AN$7),1,AND($K25&lt;=AN$7,$L25&gt;AN$7),((AN$7-$K25)/($L25-$K25)))</f>
        <v>1</v>
      </c>
      <c r="AP25" s="226" cm="1">
        <f t="array" ref="AP25">_xlfn.IFS(AND($K25&gt;AO$7,$L25&gt;AO$7),0,AND($K25&lt;=AO$7,$L25&lt;=AO$7),1,AND($K25&lt;=AO$7,$L25&gt;AO$7),((AO$7-$K25)/($L25-$K25)))</f>
        <v>1</v>
      </c>
      <c r="AQ25" s="226" cm="1">
        <f t="array" ref="AQ25">_xlfn.IFS(AND($K25&gt;AP$7,$L25&gt;AP$7),0,AND($K25&lt;=AP$7,$L25&lt;=AP$7),1,AND($K25&lt;=AP$7,$L25&gt;AP$7),((AP$7-$K25)/($L25-$K25)))</f>
        <v>1</v>
      </c>
      <c r="AR25" s="226" cm="1">
        <f t="array" ref="AR25">_xlfn.IFS(AND($K25&gt;AQ$7,$L25&gt;AQ$7),0,AND($K25&lt;=AQ$7,$L25&lt;=AQ$7),1,AND($K25&lt;=AQ$7,$L25&gt;AQ$7),((AQ$7-$K25)/($L25-$K25)))</f>
        <v>1</v>
      </c>
      <c r="AS25" s="226" cm="1">
        <f t="array" ref="AS25">_xlfn.IFS(AND($K25&gt;AR$7,$L25&gt;AR$7),0,AND($K25&lt;=AR$7,$L25&lt;=AR$7),1,AND($K25&lt;=AR$7,$L25&gt;AR$7),((AR$7-$K25)/($L25-$K25)))</f>
        <v>1</v>
      </c>
      <c r="AT25" s="226" cm="1">
        <f t="array" ref="AT25">_xlfn.IFS(AND($K25&gt;AS$7,$L25&gt;AS$7),0,AND($K25&lt;=AS$7,$L25&lt;=AS$7),1,AND($K25&lt;=AS$7,$L25&gt;AS$7),((AS$7-$K25)/($L25-$K25)))</f>
        <v>1</v>
      </c>
      <c r="AU25" s="226" cm="1">
        <f t="array" ref="AU25">_xlfn.IFS(AND($K25&gt;AT$7,$L25&gt;AT$7),0,AND($K25&lt;=AT$7,$L25&lt;=AT$7),1,AND($K25&lt;=AT$7,$L25&gt;AT$7),((AT$7-$K25)/($L25-$K25)))</f>
        <v>1</v>
      </c>
      <c r="AV25" s="226" cm="1">
        <f t="array" ref="AV25">_xlfn.IFS(AND($K25&gt;AU$7,$L25&gt;AU$7),0,AND($K25&lt;=AU$7,$L25&lt;=AU$7),1,AND($K25&lt;=AU$7,$L25&gt;AU$7),((AU$7-$K25)/($L25-$K25)))</f>
        <v>1</v>
      </c>
      <c r="AW25" s="226" cm="1">
        <f t="array" ref="AW25">_xlfn.IFS(AND($K25&gt;AV$7,$L25&gt;AV$7),0,AND($K25&lt;=AV$7,$L25&lt;=AV$7),1,AND($K25&lt;=AV$7,$L25&gt;AV$7),((AV$7-$K25)/($L25-$K25)))</f>
        <v>1</v>
      </c>
      <c r="AX25" s="226" cm="1">
        <f t="array" ref="AX25">_xlfn.IFS(AND($K25&gt;AW$7,$L25&gt;AW$7),0,AND($K25&lt;=AW$7,$L25&lt;=AW$7),1,AND($K25&lt;=AW$7,$L25&gt;AW$7),((AW$7-$K25)/($L25-$K25)))</f>
        <v>1</v>
      </c>
      <c r="AY25" s="226" cm="1">
        <f t="array" ref="AY25">_xlfn.IFS(AND($K25&gt;AX$7,$L25&gt;AX$7),0,AND($K25&lt;=AX$7,$L25&lt;=AX$7),1,AND($K25&lt;=AX$7,$L25&gt;AX$7),((AX$7-$K25)/($L25-$K25)))</f>
        <v>1</v>
      </c>
      <c r="AZ25" s="226" cm="1">
        <f t="array" ref="AZ25">_xlfn.IFS(AND($K25&gt;AY$7,$L25&gt;AY$7),0,AND($K25&lt;=AY$7,$L25&lt;=AY$7),1,AND($K25&lt;=AY$7,$L25&gt;AY$7),((AY$7-$K25)/($L25-$K25)))</f>
        <v>1</v>
      </c>
      <c r="BA25" s="226" cm="1">
        <f t="array" ref="BA25">_xlfn.IFS(AND($K25&gt;AZ$7,$L25&gt;AZ$7),0,AND($K25&lt;=AZ$7,$L25&lt;=AZ$7),1,AND($K25&lt;=AZ$7,$L25&gt;AZ$7),((AZ$7-$K25)/($L25-$K25)))</f>
        <v>1</v>
      </c>
      <c r="BB25" s="226" cm="1">
        <f t="array" ref="BB25">_xlfn.IFS(AND($K25&gt;BA$7,$L25&gt;BA$7),0,AND($K25&lt;=BA$7,$L25&lt;=BA$7),1,AND($K25&lt;=BA$7,$L25&gt;BA$7),((BA$7-$K25)/($L25-$K25)))</f>
        <v>1</v>
      </c>
      <c r="BC25" s="226" cm="1">
        <f t="array" ref="BC25">_xlfn.IFS(AND($K25&gt;BB$7,$L25&gt;BB$7),0,AND($K25&lt;=BB$7,$L25&lt;=BB$7),1,AND($K25&lt;=BB$7,$L25&gt;BB$7),((BB$7-$K25)/($L25-$K25)))</f>
        <v>1</v>
      </c>
      <c r="BD25" s="226" cm="1">
        <f t="array" ref="BD25">_xlfn.IFS(AND($K25&gt;BC$7,$L25&gt;BC$7),0,AND($K25&lt;=BC$7,$L25&lt;=BC$7),1,AND($K25&lt;=BC$7,$L25&gt;BC$7),((BC$7-$K25)/($L25-$K25)))</f>
        <v>1</v>
      </c>
      <c r="BE25" s="226" cm="1">
        <f t="array" ref="BE25">_xlfn.IFS(AND($K25&gt;BD$7,$L25&gt;BD$7),0,AND($K25&lt;=BD$7,$L25&lt;=BD$7),1,AND($K25&lt;=BD$7,$L25&gt;BD$7),((BD$7-$K25)/($L25-$K25)))</f>
        <v>1</v>
      </c>
      <c r="BF25" s="226" cm="1">
        <f t="array" ref="BF25">_xlfn.IFS(AND($K25&gt;BE$7,$L25&gt;BE$7),0,AND($K25&lt;=BE$7,$L25&lt;=BE$7),1,AND($K25&lt;=BE$7,$L25&gt;BE$7),((BE$7-$K25)/($L25-$K25)))</f>
        <v>1</v>
      </c>
      <c r="BG25" s="226" cm="1">
        <f t="array" ref="BG25">_xlfn.IFS(AND($K25&gt;BF$7,$L25&gt;BF$7),0,AND($K25&lt;=BF$7,$L25&lt;=BF$7),1,AND($K25&lt;=BF$7,$L25&gt;BF$7),((BF$7-$K25)/($L25-$K25)))</f>
        <v>1</v>
      </c>
      <c r="BH25" s="163">
        <f>Tab.plano6[[#This Row],[Data Término
Prevista]]-Tab.plano6[[#This Row],[Data Início
Previsto]]</f>
        <v>3</v>
      </c>
    </row>
    <row r="26" spans="1:60" s="163" customFormat="1" ht="18" hidden="1" customHeight="1" x14ac:dyDescent="0.3">
      <c r="A26" s="214"/>
      <c r="B26" s="214" t="s">
        <v>11</v>
      </c>
      <c r="C26" s="214" t="s">
        <v>138</v>
      </c>
      <c r="D26" s="248" t="s">
        <v>399</v>
      </c>
      <c r="E26" s="248" t="s">
        <v>74</v>
      </c>
      <c r="F26" s="248" t="s">
        <v>74</v>
      </c>
      <c r="G26" s="248" t="s">
        <v>74</v>
      </c>
      <c r="H26" s="215" t="s">
        <v>422</v>
      </c>
      <c r="I26" s="256">
        <f>MIN(I27,I32,I37,I42,I47,I52,I57,I67,I72,I77,I82,I87,I92,I97,I102,I107,I112,I117,I122)</f>
        <v>46111</v>
      </c>
      <c r="J26" s="256">
        <f>MAX(J27,J32,J37,J42,J47,J52,J57,J67,J72,J77,J82,J87,J92,J97,J102,J107,J112,J117,J122)</f>
        <v>46192</v>
      </c>
      <c r="K26" s="256">
        <f>MIN(K27,K32,K37,K42,K47,K52,K57,K67,K72,K77,K82,K87,K92,K97,K102,K107,K112,K117,K122)</f>
        <v>46111</v>
      </c>
      <c r="L26" s="256">
        <f>MAX(L27,L32,L37,L42,L47,L52,L57,L67,L72,L77,L82,L87,L92,L97,L102,L107,L112,L117,L122)</f>
        <v>46192</v>
      </c>
      <c r="M26" s="228" t="s">
        <v>400</v>
      </c>
      <c r="N26" s="227" t="str" cm="1">
        <f t="array" ref="N26">_xlfn.IFS(L26&lt;$M$3,"Concluído",AND(K26&lt;=$M$3,L26&gt;=$M$3,L26&lt;=J26),"Em andamento",AND(K26&lt;=$M$3,L26&gt;=$M$3,L26&gt;J26),"Atrasado",AND(K26&gt;$M$3,I26&gt;$M$3),"Não iniciado",AND(K26&gt;$M$3,I26&lt;=$M$3),"Atrasado",TRUE,"Não iniciado")</f>
        <v>Em andamento</v>
      </c>
      <c r="O26" s="228" cm="1">
        <f t="array" ref="O26">_xlfn.IFS(N26="Não iniciado",0,N26="Em andamento",1,N26="Concluído",2,N26="Atrasado",3)</f>
        <v>1</v>
      </c>
      <c r="P26" s="214"/>
      <c r="Q26" s="223">
        <f t="shared" ref="Q26:BG26" si="10">AVERAGE(Q27,Q32,Q37,Q42,Q47,Q52,Q57,Q62,Q67,Q72,Q77,Q82,Q87,Q92,Q97,Q102,Q107,Q112,Q117,Q122)</f>
        <v>0.71666666666666667</v>
      </c>
      <c r="R26" s="223">
        <f t="shared" si="10"/>
        <v>0.64166666666666683</v>
      </c>
      <c r="S26" s="223">
        <f t="shared" si="10"/>
        <v>0</v>
      </c>
      <c r="T26" s="223">
        <f t="shared" si="10"/>
        <v>0</v>
      </c>
      <c r="U26" s="223">
        <f t="shared" si="10"/>
        <v>0.18143728898384465</v>
      </c>
      <c r="V26" s="223">
        <f t="shared" si="10"/>
        <v>0.22211616022789388</v>
      </c>
      <c r="W26" s="223">
        <f t="shared" si="10"/>
        <v>0.2581654018423134</v>
      </c>
      <c r="X26" s="223">
        <f t="shared" si="10"/>
        <v>0.28736326612256291</v>
      </c>
      <c r="Y26" s="223">
        <f t="shared" si="10"/>
        <v>0.40342090760785831</v>
      </c>
      <c r="Z26" s="223">
        <f t="shared" si="10"/>
        <v>0.46404975566436002</v>
      </c>
      <c r="AA26" s="223">
        <f t="shared" si="10"/>
        <v>0.58058183084957937</v>
      </c>
      <c r="AB26" s="223">
        <f t="shared" si="10"/>
        <v>0.71512338022074351</v>
      </c>
      <c r="AC26" s="223">
        <f t="shared" si="10"/>
        <v>0.80863450275214976</v>
      </c>
      <c r="AD26" s="223">
        <f t="shared" si="10"/>
        <v>0.85253259812083326</v>
      </c>
      <c r="AE26" s="223">
        <f t="shared" si="10"/>
        <v>0.88102453102453082</v>
      </c>
      <c r="AF26" s="223" t="e">
        <f t="shared" si="10"/>
        <v>#VALUE!</v>
      </c>
      <c r="AG26" s="223" t="e">
        <f t="shared" si="10"/>
        <v>#VALUE!</v>
      </c>
      <c r="AH26" s="223" t="e">
        <f t="shared" si="10"/>
        <v>#VALUE!</v>
      </c>
      <c r="AI26" s="223" t="e">
        <f t="shared" si="10"/>
        <v>#VALUE!</v>
      </c>
      <c r="AJ26" s="223" t="e">
        <f t="shared" si="10"/>
        <v>#VALUE!</v>
      </c>
      <c r="AK26" s="223" t="e">
        <f t="shared" si="10"/>
        <v>#VALUE!</v>
      </c>
      <c r="AL26" s="223" t="e">
        <f t="shared" si="10"/>
        <v>#VALUE!</v>
      </c>
      <c r="AM26" s="223" t="e">
        <f t="shared" si="10"/>
        <v>#VALUE!</v>
      </c>
      <c r="AN26" s="223" t="e">
        <f t="shared" si="10"/>
        <v>#VALUE!</v>
      </c>
      <c r="AO26" s="223" t="e">
        <f t="shared" si="10"/>
        <v>#VALUE!</v>
      </c>
      <c r="AP26" s="223" t="e">
        <f t="shared" si="10"/>
        <v>#VALUE!</v>
      </c>
      <c r="AQ26" s="223" t="e">
        <f t="shared" si="10"/>
        <v>#VALUE!</v>
      </c>
      <c r="AR26" s="223" t="e">
        <f t="shared" si="10"/>
        <v>#VALUE!</v>
      </c>
      <c r="AS26" s="223" t="e">
        <f t="shared" si="10"/>
        <v>#VALUE!</v>
      </c>
      <c r="AT26" s="223" t="e">
        <f t="shared" si="10"/>
        <v>#VALUE!</v>
      </c>
      <c r="AU26" s="223" t="e">
        <f t="shared" si="10"/>
        <v>#VALUE!</v>
      </c>
      <c r="AV26" s="223" t="e">
        <f t="shared" si="10"/>
        <v>#VALUE!</v>
      </c>
      <c r="AW26" s="223" t="e">
        <f t="shared" si="10"/>
        <v>#VALUE!</v>
      </c>
      <c r="AX26" s="223" t="e">
        <f t="shared" si="10"/>
        <v>#VALUE!</v>
      </c>
      <c r="AY26" s="223" t="e">
        <f t="shared" si="10"/>
        <v>#VALUE!</v>
      </c>
      <c r="AZ26" s="223" t="e">
        <f t="shared" si="10"/>
        <v>#VALUE!</v>
      </c>
      <c r="BA26" s="223" t="e">
        <f t="shared" si="10"/>
        <v>#VALUE!</v>
      </c>
      <c r="BB26" s="223" t="e">
        <f t="shared" si="10"/>
        <v>#VALUE!</v>
      </c>
      <c r="BC26" s="223" t="e">
        <f t="shared" si="10"/>
        <v>#VALUE!</v>
      </c>
      <c r="BD26" s="223" t="e">
        <f t="shared" si="10"/>
        <v>#VALUE!</v>
      </c>
      <c r="BE26" s="223" t="e">
        <f t="shared" si="10"/>
        <v>#VALUE!</v>
      </c>
      <c r="BF26" s="223" t="e">
        <f t="shared" si="10"/>
        <v>#VALUE!</v>
      </c>
      <c r="BG26" s="223" t="e">
        <f t="shared" si="10"/>
        <v>#VALUE!</v>
      </c>
      <c r="BH26" s="163">
        <f>Tab.plano6[[#This Row],[Data Término
Prevista]]-Tab.plano6[[#This Row],[Data Início
Previsto]]</f>
        <v>81</v>
      </c>
    </row>
    <row r="27" spans="1:60" s="163" customFormat="1" ht="18" hidden="1" customHeight="1" x14ac:dyDescent="0.3">
      <c r="A27" s="216"/>
      <c r="B27" s="216" t="s">
        <v>12</v>
      </c>
      <c r="C27" s="216" t="s">
        <v>140</v>
      </c>
      <c r="D27" s="249" t="s">
        <v>399</v>
      </c>
      <c r="E27" s="249" t="s">
        <v>422</v>
      </c>
      <c r="F27" s="249" t="s">
        <v>74</v>
      </c>
      <c r="G27" s="249" t="s">
        <v>74</v>
      </c>
      <c r="H27" s="217" t="s">
        <v>824</v>
      </c>
      <c r="I27" s="257">
        <f>I28</f>
        <v>46111</v>
      </c>
      <c r="J27" s="257">
        <f>J28</f>
        <v>46153</v>
      </c>
      <c r="K27" s="257">
        <f>K28</f>
        <v>46111</v>
      </c>
      <c r="L27" s="257">
        <f>L28</f>
        <v>46171</v>
      </c>
      <c r="M27" s="229" t="s">
        <v>424</v>
      </c>
      <c r="N27" s="227" t="str" cm="1">
        <f t="array" ref="N27">_xlfn.IFS(L27&lt;$M$3,"Concluído",AND(K27&lt;=$M$3,L27&gt;=$M$3,L27&lt;=J27),"Em andamento",AND(K27&lt;=$M$3,L27&gt;=$M$3,L27&gt;J27),"Atrasado",AND(K27&gt;$M$3,I27&gt;$M$3),"Não iniciado",AND(K27&gt;$M$3,I27&lt;=$M$3),"Atrasado",TRUE,"Não iniciado")</f>
        <v>Atrasado</v>
      </c>
      <c r="O27" s="229" cm="1">
        <f t="array" ref="O27">_xlfn.IFS(N27="Não iniciado",0,N27="Em andamento",1,N27="Concluído",2,N27="Atrasado",3)</f>
        <v>3</v>
      </c>
      <c r="P27" s="216"/>
      <c r="Q27" s="224">
        <f t="shared" ref="Q27:BG27" si="11">Q28</f>
        <v>1</v>
      </c>
      <c r="R27" s="224">
        <f t="shared" si="11"/>
        <v>0.83333333333333337</v>
      </c>
      <c r="S27" s="224">
        <f t="shared" si="11"/>
        <v>0</v>
      </c>
      <c r="T27" s="224">
        <f t="shared" si="11"/>
        <v>0</v>
      </c>
      <c r="U27" s="224">
        <f t="shared" si="11"/>
        <v>0.16666666666666666</v>
      </c>
      <c r="V27" s="224">
        <f t="shared" si="11"/>
        <v>0.33333333333333331</v>
      </c>
      <c r="W27" s="224">
        <f t="shared" si="11"/>
        <v>0.40740740740740744</v>
      </c>
      <c r="X27" s="224">
        <f t="shared" si="11"/>
        <v>0.49382716049382713</v>
      </c>
      <c r="Y27" s="224">
        <f t="shared" si="11"/>
        <v>0.58024691358024694</v>
      </c>
      <c r="Z27" s="224">
        <f t="shared" si="11"/>
        <v>0.66666666666666663</v>
      </c>
      <c r="AA27" s="224">
        <f t="shared" si="11"/>
        <v>0.79629629629629628</v>
      </c>
      <c r="AB27" s="224">
        <f t="shared" si="11"/>
        <v>0.92592592592592593</v>
      </c>
      <c r="AC27" s="224">
        <f t="shared" si="11"/>
        <v>1</v>
      </c>
      <c r="AD27" s="224">
        <f t="shared" si="11"/>
        <v>1</v>
      </c>
      <c r="AE27" s="224">
        <f t="shared" si="11"/>
        <v>1</v>
      </c>
      <c r="AF27" s="224">
        <f t="shared" si="11"/>
        <v>1</v>
      </c>
      <c r="AG27" s="224">
        <f t="shared" si="11"/>
        <v>1</v>
      </c>
      <c r="AH27" s="224">
        <f t="shared" si="11"/>
        <v>1</v>
      </c>
      <c r="AI27" s="224">
        <f t="shared" si="11"/>
        <v>1</v>
      </c>
      <c r="AJ27" s="224">
        <f t="shared" si="11"/>
        <v>1</v>
      </c>
      <c r="AK27" s="224">
        <f t="shared" si="11"/>
        <v>1</v>
      </c>
      <c r="AL27" s="224">
        <f t="shared" si="11"/>
        <v>1</v>
      </c>
      <c r="AM27" s="224">
        <f t="shared" si="11"/>
        <v>1</v>
      </c>
      <c r="AN27" s="224">
        <f t="shared" si="11"/>
        <v>1</v>
      </c>
      <c r="AO27" s="224">
        <f t="shared" si="11"/>
        <v>1</v>
      </c>
      <c r="AP27" s="224">
        <f t="shared" si="11"/>
        <v>1</v>
      </c>
      <c r="AQ27" s="224">
        <f t="shared" si="11"/>
        <v>1</v>
      </c>
      <c r="AR27" s="224">
        <f t="shared" si="11"/>
        <v>1</v>
      </c>
      <c r="AS27" s="224">
        <f t="shared" si="11"/>
        <v>1</v>
      </c>
      <c r="AT27" s="224">
        <f t="shared" si="11"/>
        <v>1</v>
      </c>
      <c r="AU27" s="224">
        <f t="shared" si="11"/>
        <v>1</v>
      </c>
      <c r="AV27" s="224">
        <f t="shared" si="11"/>
        <v>1</v>
      </c>
      <c r="AW27" s="224">
        <f t="shared" si="11"/>
        <v>1</v>
      </c>
      <c r="AX27" s="224">
        <f t="shared" si="11"/>
        <v>1</v>
      </c>
      <c r="AY27" s="224">
        <f t="shared" si="11"/>
        <v>1</v>
      </c>
      <c r="AZ27" s="224">
        <f t="shared" si="11"/>
        <v>1</v>
      </c>
      <c r="BA27" s="224">
        <f t="shared" si="11"/>
        <v>1</v>
      </c>
      <c r="BB27" s="224">
        <f t="shared" si="11"/>
        <v>1</v>
      </c>
      <c r="BC27" s="224">
        <f t="shared" si="11"/>
        <v>1</v>
      </c>
      <c r="BD27" s="224">
        <f t="shared" si="11"/>
        <v>1</v>
      </c>
      <c r="BE27" s="224">
        <f t="shared" si="11"/>
        <v>1</v>
      </c>
      <c r="BF27" s="224">
        <f t="shared" si="11"/>
        <v>1</v>
      </c>
      <c r="BG27" s="224">
        <f t="shared" si="11"/>
        <v>1</v>
      </c>
      <c r="BH27" s="163">
        <f>Tab.plano6[[#This Row],[Data Término
Prevista]]-Tab.plano6[[#This Row],[Data Início
Previsto]]</f>
        <v>42</v>
      </c>
    </row>
    <row r="28" spans="1:60" customFormat="1" ht="18" hidden="1" customHeight="1" x14ac:dyDescent="0.3">
      <c r="A28" s="218"/>
      <c r="B28" s="218" t="s">
        <v>13</v>
      </c>
      <c r="C28" s="218" t="s">
        <v>142</v>
      </c>
      <c r="D28" s="250" t="s">
        <v>399</v>
      </c>
      <c r="E28" s="250" t="s">
        <v>422</v>
      </c>
      <c r="F28" s="250" t="s">
        <v>423</v>
      </c>
      <c r="G28" s="250" t="s">
        <v>74</v>
      </c>
      <c r="H28" s="219" t="s">
        <v>479</v>
      </c>
      <c r="I28" s="258">
        <f>MIN(I29:I31)</f>
        <v>46111</v>
      </c>
      <c r="J28" s="258">
        <f>MAX(J29:J31)</f>
        <v>46153</v>
      </c>
      <c r="K28" s="258">
        <f>MIN(K29:K31)</f>
        <v>46111</v>
      </c>
      <c r="L28" s="258">
        <f>MAX(L29:L31)</f>
        <v>46171</v>
      </c>
      <c r="M28" s="230" t="s">
        <v>424</v>
      </c>
      <c r="N28" s="227" t="str" cm="1">
        <f t="array" ref="N28">_xlfn.IFS(L28&lt;$M$3,"Concluído",AND(K28&lt;=$M$3,L28&gt;=$M$3,L28&lt;=J28),"Em andamento",AND(K28&lt;=$M$3,L28&gt;=$M$3,L28&gt;J28),"Atrasado",AND(K28&gt;$M$3,I28&gt;$M$3),"Não iniciado",AND(K28&gt;$M$3,I28&lt;=$M$3),"Atrasado",TRUE,"Não iniciado")</f>
        <v>Atrasado</v>
      </c>
      <c r="O28" s="230" cm="1">
        <f t="array" ref="O28">_xlfn.IFS(N28="Não iniciado",0,N28="Em andamento",1,N28="Concluído",2,N28="Atrasado",3)</f>
        <v>3</v>
      </c>
      <c r="P28" s="218"/>
      <c r="Q28" s="225">
        <f t="shared" ref="Q28:BG28" si="12">AVERAGE(Q29:Q31)</f>
        <v>1</v>
      </c>
      <c r="R28" s="225">
        <f t="shared" si="12"/>
        <v>0.83333333333333337</v>
      </c>
      <c r="S28" s="225">
        <f t="shared" si="12"/>
        <v>0</v>
      </c>
      <c r="T28" s="225">
        <f t="shared" si="12"/>
        <v>0</v>
      </c>
      <c r="U28" s="225">
        <f t="shared" si="12"/>
        <v>0.16666666666666666</v>
      </c>
      <c r="V28" s="225">
        <f t="shared" si="12"/>
        <v>0.33333333333333331</v>
      </c>
      <c r="W28" s="225">
        <f t="shared" si="12"/>
        <v>0.40740740740740744</v>
      </c>
      <c r="X28" s="225">
        <f t="shared" si="12"/>
        <v>0.49382716049382713</v>
      </c>
      <c r="Y28" s="225">
        <f t="shared" si="12"/>
        <v>0.58024691358024694</v>
      </c>
      <c r="Z28" s="225">
        <f t="shared" si="12"/>
        <v>0.66666666666666663</v>
      </c>
      <c r="AA28" s="225">
        <f t="shared" si="12"/>
        <v>0.79629629629629628</v>
      </c>
      <c r="AB28" s="225">
        <f t="shared" si="12"/>
        <v>0.92592592592592593</v>
      </c>
      <c r="AC28" s="225">
        <f t="shared" si="12"/>
        <v>1</v>
      </c>
      <c r="AD28" s="225">
        <f t="shared" si="12"/>
        <v>1</v>
      </c>
      <c r="AE28" s="225">
        <f t="shared" si="12"/>
        <v>1</v>
      </c>
      <c r="AF28" s="225">
        <f t="shared" si="12"/>
        <v>1</v>
      </c>
      <c r="AG28" s="225">
        <f t="shared" si="12"/>
        <v>1</v>
      </c>
      <c r="AH28" s="225">
        <f t="shared" si="12"/>
        <v>1</v>
      </c>
      <c r="AI28" s="225">
        <f t="shared" si="12"/>
        <v>1</v>
      </c>
      <c r="AJ28" s="225">
        <f t="shared" si="12"/>
        <v>1</v>
      </c>
      <c r="AK28" s="225">
        <f t="shared" si="12"/>
        <v>1</v>
      </c>
      <c r="AL28" s="225">
        <f t="shared" si="12"/>
        <v>1</v>
      </c>
      <c r="AM28" s="225">
        <f t="shared" si="12"/>
        <v>1</v>
      </c>
      <c r="AN28" s="225">
        <f t="shared" si="12"/>
        <v>1</v>
      </c>
      <c r="AO28" s="225">
        <f t="shared" si="12"/>
        <v>1</v>
      </c>
      <c r="AP28" s="225">
        <f t="shared" si="12"/>
        <v>1</v>
      </c>
      <c r="AQ28" s="225">
        <f t="shared" si="12"/>
        <v>1</v>
      </c>
      <c r="AR28" s="225">
        <f t="shared" si="12"/>
        <v>1</v>
      </c>
      <c r="AS28" s="225">
        <f t="shared" si="12"/>
        <v>1</v>
      </c>
      <c r="AT28" s="225">
        <f t="shared" si="12"/>
        <v>1</v>
      </c>
      <c r="AU28" s="225">
        <f t="shared" si="12"/>
        <v>1</v>
      </c>
      <c r="AV28" s="225">
        <f t="shared" si="12"/>
        <v>1</v>
      </c>
      <c r="AW28" s="225">
        <f t="shared" si="12"/>
        <v>1</v>
      </c>
      <c r="AX28" s="225">
        <f t="shared" si="12"/>
        <v>1</v>
      </c>
      <c r="AY28" s="225">
        <f t="shared" si="12"/>
        <v>1</v>
      </c>
      <c r="AZ28" s="225">
        <f t="shared" si="12"/>
        <v>1</v>
      </c>
      <c r="BA28" s="225">
        <f t="shared" si="12"/>
        <v>1</v>
      </c>
      <c r="BB28" s="225">
        <f t="shared" si="12"/>
        <v>1</v>
      </c>
      <c r="BC28" s="225">
        <f t="shared" si="12"/>
        <v>1</v>
      </c>
      <c r="BD28" s="225">
        <f t="shared" si="12"/>
        <v>1</v>
      </c>
      <c r="BE28" s="225">
        <f t="shared" si="12"/>
        <v>1</v>
      </c>
      <c r="BF28" s="225">
        <f t="shared" si="12"/>
        <v>1</v>
      </c>
      <c r="BG28" s="225">
        <f t="shared" si="12"/>
        <v>1</v>
      </c>
      <c r="BH28">
        <f>Tab.plano6[[#This Row],[Data Término
Prevista]]-Tab.plano6[[#This Row],[Data Início
Previsto]]</f>
        <v>42</v>
      </c>
    </row>
    <row r="29" spans="1:60" customFormat="1" ht="18" hidden="1" customHeight="1" x14ac:dyDescent="0.3">
      <c r="A29" s="220"/>
      <c r="B29" s="220" t="s">
        <v>161</v>
      </c>
      <c r="C29" s="220" t="s">
        <v>143</v>
      </c>
      <c r="D29" s="251" t="s">
        <v>399</v>
      </c>
      <c r="E29" s="251" t="s">
        <v>422</v>
      </c>
      <c r="F29" s="251" t="s">
        <v>423</v>
      </c>
      <c r="G29" s="251" t="s">
        <v>423</v>
      </c>
      <c r="H29" s="221" t="s">
        <v>482</v>
      </c>
      <c r="I29" s="260">
        <v>46111</v>
      </c>
      <c r="J29" s="260">
        <v>46112</v>
      </c>
      <c r="K29" s="260">
        <v>46111</v>
      </c>
      <c r="L29" s="260">
        <v>46125</v>
      </c>
      <c r="M29" s="231" t="s">
        <v>424</v>
      </c>
      <c r="N29" s="227" t="str" cm="1">
        <f t="array" ref="N29">_xlfn.IFS(L29&lt;$M$3,"Concluído",AND(K29&lt;=$M$3,L29&gt;=$M$3,L29&lt;=J29),"Em andamento",AND(K29&lt;=$M$3,L29&gt;=$M$3,L29&gt;J29),"Atrasado",AND(K29&gt;$M$3,I29&gt;$M$3),"Não iniciado",AND(K29&gt;$M$3,I29&lt;=$M$3),"Atrasado",TRUE,"Não iniciado")</f>
        <v>Concluído</v>
      </c>
      <c r="O29" s="231" cm="1">
        <f t="array" ref="O29">_xlfn.IFS(N29="Não iniciado",0,N29="Em andamento",1,N29="Concluído",2,N29="Atrasado",3)</f>
        <v>2</v>
      </c>
      <c r="P29" s="220"/>
      <c r="Q29" s="226" cm="1">
        <f t="array" ref="Q29">_xlfn.IFS(AND($I29&lt;$M$3,$J29&lt;$M$3),1,AND($I29&lt;=$M$3,$J29&gt;=$M$3),0.5,AND($I29&gt;=$M$3,$J29&gt;=$M$3),0)</f>
        <v>1</v>
      </c>
      <c r="R29" s="226" cm="1">
        <f t="array" ref="R29">_xlfn.IFS(AND($K29&lt;$M$3,$L29&lt;$M$3),1,AND($K29&lt;=$M$3,$L29&gt;=$M$3),0.5,AND($K29&gt;=$M$3,$L29&gt;=$M$3),0)</f>
        <v>1</v>
      </c>
      <c r="S29" s="226" cm="1">
        <f t="array" ref="S29">_xlfn.IFS(AND($K29&gt;R$7,$L29&gt;R$7),0,AND($K29&lt;=R$7,$L29&lt;=R$7),1,AND($K29&lt;=R$7,$L29&gt;R$7),((R$7-$K29)/($L29-$K29)))</f>
        <v>0</v>
      </c>
      <c r="T29" s="226" cm="1">
        <f t="array" ref="T29">_xlfn.IFS(AND($K29&gt;S$7,$L29&gt;S$7),0,AND($K29&lt;=S$7,$L29&lt;=S$7),1,AND($K29&lt;=S$7,$L29&gt;S$7),((S$7-$K29)/($L29-$K29)))</f>
        <v>0</v>
      </c>
      <c r="U29" s="226" cm="1">
        <f t="array" ref="U29">_xlfn.IFS(AND($K29&gt;T$7,$L29&gt;T$7),0,AND($K29&lt;=T$7,$L29&lt;=T$7),1,AND($K29&lt;=T$7,$L29&gt;T$7),((T$7-$K29)/($L29-$K29)))</f>
        <v>0.5</v>
      </c>
      <c r="V29" s="226" cm="1">
        <f t="array" ref="V29">_xlfn.IFS(AND($K29&gt;U$7,$L29&gt;U$7),0,AND($K29&lt;=U$7,$L29&lt;=U$7),1,AND($K29&lt;=U$7,$L29&gt;U$7),((U$7-$K29)/($L29-$K29)))</f>
        <v>1</v>
      </c>
      <c r="W29" s="226" cm="1">
        <f t="array" ref="W29">_xlfn.IFS(AND($K29&gt;V$7,$L29&gt;V$7),0,AND($K29&lt;=V$7,$L29&lt;=V$7),1,AND($K29&lt;=V$7,$L29&gt;V$7),((V$7-$K29)/($L29-$K29)))</f>
        <v>1</v>
      </c>
      <c r="X29" s="226" cm="1">
        <f t="array" ref="X29">_xlfn.IFS(AND($K29&gt;W$7,$L29&gt;W$7),0,AND($K29&lt;=W$7,$L29&lt;=W$7),1,AND($K29&lt;=W$7,$L29&gt;W$7),((W$7-$K29)/($L29-$K29)))</f>
        <v>1</v>
      </c>
      <c r="Y29" s="226" cm="1">
        <f t="array" ref="Y29">_xlfn.IFS(AND($K29&gt;X$7,$L29&gt;X$7),0,AND($K29&lt;=X$7,$L29&lt;=X$7),1,AND($K29&lt;=X$7,$L29&gt;X$7),((X$7-$K29)/($L29-$K29)))</f>
        <v>1</v>
      </c>
      <c r="Z29" s="226" cm="1">
        <f t="array" ref="Z29">_xlfn.IFS(AND($K29&gt;Y$7,$L29&gt;Y$7),0,AND($K29&lt;=Y$7,$L29&lt;=Y$7),1,AND($K29&lt;=Y$7,$L29&gt;Y$7),((Y$7-$K29)/($L29-$K29)))</f>
        <v>1</v>
      </c>
      <c r="AA29" s="226" cm="1">
        <f t="array" ref="AA29">_xlfn.IFS(AND($K29&gt;Z$7,$L29&gt;Z$7),0,AND($K29&lt;=Z$7,$L29&lt;=Z$7),1,AND($K29&lt;=Z$7,$L29&gt;Z$7),((Z$7-$K29)/($L29-$K29)))</f>
        <v>1</v>
      </c>
      <c r="AB29" s="226" cm="1">
        <f t="array" ref="AB29">_xlfn.IFS(AND($K29&gt;AA$7,$L29&gt;AA$7),0,AND($K29&lt;=AA$7,$L29&lt;=AA$7),1,AND($K29&lt;=AA$7,$L29&gt;AA$7),((AA$7-$K29)/($L29-$K29)))</f>
        <v>1</v>
      </c>
      <c r="AC29" s="226" cm="1">
        <f t="array" ref="AC29">_xlfn.IFS(AND($K29&gt;AB$7,$L29&gt;AB$7),0,AND($K29&lt;=AB$7,$L29&lt;=AB$7),1,AND($K29&lt;=AB$7,$L29&gt;AB$7),((AB$7-$K29)/($L29-$K29)))</f>
        <v>1</v>
      </c>
      <c r="AD29" s="226" cm="1">
        <f t="array" ref="AD29">_xlfn.IFS(AND($K29&gt;AC$7,$L29&gt;AC$7),0,AND($K29&lt;=AC$7,$L29&lt;=AC$7),1,AND($K29&lt;=AC$7,$L29&gt;AC$7),((AC$7-$K29)/($L29-$K29)))</f>
        <v>1</v>
      </c>
      <c r="AE29" s="226" cm="1">
        <f t="array" ref="AE29">_xlfn.IFS(AND($K29&gt;AD$7,$L29&gt;AD$7),0,AND($K29&lt;=AD$7,$L29&lt;=AD$7),1,AND($K29&lt;=AD$7,$L29&gt;AD$7),((AD$7-$K29)/($L29-$K29)))</f>
        <v>1</v>
      </c>
      <c r="AF29" s="226" cm="1">
        <f t="array" ref="AF29">_xlfn.IFS(AND($K29&gt;AE$7,$L29&gt;AE$7),0,AND($K29&lt;=AE$7,$L29&lt;=AE$7),1,AND($K29&lt;=AE$7,$L29&gt;AE$7),((AE$7-$K29)/($L29-$K29)))</f>
        <v>1</v>
      </c>
      <c r="AG29" s="226" cm="1">
        <f t="array" ref="AG29">_xlfn.IFS(AND($K29&gt;AF$7,$L29&gt;AF$7),0,AND($K29&lt;=AF$7,$L29&lt;=AF$7),1,AND($K29&lt;=AF$7,$L29&gt;AF$7),((AF$7-$K29)/($L29-$K29)))</f>
        <v>1</v>
      </c>
      <c r="AH29" s="226" cm="1">
        <f t="array" ref="AH29">_xlfn.IFS(AND($K29&gt;AG$7,$L29&gt;AG$7),0,AND($K29&lt;=AG$7,$L29&lt;=AG$7),1,AND($K29&lt;=AG$7,$L29&gt;AG$7),((AG$7-$K29)/($L29-$K29)))</f>
        <v>1</v>
      </c>
      <c r="AI29" s="226" cm="1">
        <f t="array" ref="AI29">_xlfn.IFS(AND($K29&gt;AH$7,$L29&gt;AH$7),0,AND($K29&lt;=AH$7,$L29&lt;=AH$7),1,AND($K29&lt;=AH$7,$L29&gt;AH$7),((AH$7-$K29)/($L29-$K29)))</f>
        <v>1</v>
      </c>
      <c r="AJ29" s="226" cm="1">
        <f t="array" ref="AJ29">_xlfn.IFS(AND($K29&gt;AI$7,$L29&gt;AI$7),0,AND($K29&lt;=AI$7,$L29&lt;=AI$7),1,AND($K29&lt;=AI$7,$L29&gt;AI$7),((AI$7-$K29)/($L29-$K29)))</f>
        <v>1</v>
      </c>
      <c r="AK29" s="226" cm="1">
        <f t="array" ref="AK29">_xlfn.IFS(AND($K29&gt;AJ$7,$L29&gt;AJ$7),0,AND($K29&lt;=AJ$7,$L29&lt;=AJ$7),1,AND($K29&lt;=AJ$7,$L29&gt;AJ$7),((AJ$7-$K29)/($L29-$K29)))</f>
        <v>1</v>
      </c>
      <c r="AL29" s="226" cm="1">
        <f t="array" ref="AL29">_xlfn.IFS(AND($K29&gt;AK$7,$L29&gt;AK$7),0,AND($K29&lt;=AK$7,$L29&lt;=AK$7),1,AND($K29&lt;=AK$7,$L29&gt;AK$7),((AK$7-$K29)/($L29-$K29)))</f>
        <v>1</v>
      </c>
      <c r="AM29" s="226" cm="1">
        <f t="array" ref="AM29">_xlfn.IFS(AND($K29&gt;AL$7,$L29&gt;AL$7),0,AND($K29&lt;=AL$7,$L29&lt;=AL$7),1,AND($K29&lt;=AL$7,$L29&gt;AL$7),((AL$7-$K29)/($L29-$K29)))</f>
        <v>1</v>
      </c>
      <c r="AN29" s="226" cm="1">
        <f t="array" ref="AN29">_xlfn.IFS(AND($K29&gt;AM$7,$L29&gt;AM$7),0,AND($K29&lt;=AM$7,$L29&lt;=AM$7),1,AND($K29&lt;=AM$7,$L29&gt;AM$7),((AM$7-$K29)/($L29-$K29)))</f>
        <v>1</v>
      </c>
      <c r="AO29" s="226" cm="1">
        <f t="array" ref="AO29">_xlfn.IFS(AND($K29&gt;AN$7,$L29&gt;AN$7),0,AND($K29&lt;=AN$7,$L29&lt;=AN$7),1,AND($K29&lt;=AN$7,$L29&gt;AN$7),((AN$7-$K29)/($L29-$K29)))</f>
        <v>1</v>
      </c>
      <c r="AP29" s="226" cm="1">
        <f t="array" ref="AP29">_xlfn.IFS(AND($K29&gt;AO$7,$L29&gt;AO$7),0,AND($K29&lt;=AO$7,$L29&lt;=AO$7),1,AND($K29&lt;=AO$7,$L29&gt;AO$7),((AO$7-$K29)/($L29-$K29)))</f>
        <v>1</v>
      </c>
      <c r="AQ29" s="226" cm="1">
        <f t="array" ref="AQ29">_xlfn.IFS(AND($K29&gt;AP$7,$L29&gt;AP$7),0,AND($K29&lt;=AP$7,$L29&lt;=AP$7),1,AND($K29&lt;=AP$7,$L29&gt;AP$7),((AP$7-$K29)/($L29-$K29)))</f>
        <v>1</v>
      </c>
      <c r="AR29" s="226" cm="1">
        <f t="array" ref="AR29">_xlfn.IFS(AND($K29&gt;AQ$7,$L29&gt;AQ$7),0,AND($K29&lt;=AQ$7,$L29&lt;=AQ$7),1,AND($K29&lt;=AQ$7,$L29&gt;AQ$7),((AQ$7-$K29)/($L29-$K29)))</f>
        <v>1</v>
      </c>
      <c r="AS29" s="226" cm="1">
        <f t="array" ref="AS29">_xlfn.IFS(AND($K29&gt;AR$7,$L29&gt;AR$7),0,AND($K29&lt;=AR$7,$L29&lt;=AR$7),1,AND($K29&lt;=AR$7,$L29&gt;AR$7),((AR$7-$K29)/($L29-$K29)))</f>
        <v>1</v>
      </c>
      <c r="AT29" s="226" cm="1">
        <f t="array" ref="AT29">_xlfn.IFS(AND($K29&gt;AS$7,$L29&gt;AS$7),0,AND($K29&lt;=AS$7,$L29&lt;=AS$7),1,AND($K29&lt;=AS$7,$L29&gt;AS$7),((AS$7-$K29)/($L29-$K29)))</f>
        <v>1</v>
      </c>
      <c r="AU29" s="226" cm="1">
        <f t="array" ref="AU29">_xlfn.IFS(AND($K29&gt;AT$7,$L29&gt;AT$7),0,AND($K29&lt;=AT$7,$L29&lt;=AT$7),1,AND($K29&lt;=AT$7,$L29&gt;AT$7),((AT$7-$K29)/($L29-$K29)))</f>
        <v>1</v>
      </c>
      <c r="AV29" s="226" cm="1">
        <f t="array" ref="AV29">_xlfn.IFS(AND($K29&gt;AU$7,$L29&gt;AU$7),0,AND($K29&lt;=AU$7,$L29&lt;=AU$7),1,AND($K29&lt;=AU$7,$L29&gt;AU$7),((AU$7-$K29)/($L29-$K29)))</f>
        <v>1</v>
      </c>
      <c r="AW29" s="226" cm="1">
        <f t="array" ref="AW29">_xlfn.IFS(AND($K29&gt;AV$7,$L29&gt;AV$7),0,AND($K29&lt;=AV$7,$L29&lt;=AV$7),1,AND($K29&lt;=AV$7,$L29&gt;AV$7),((AV$7-$K29)/($L29-$K29)))</f>
        <v>1</v>
      </c>
      <c r="AX29" s="226" cm="1">
        <f t="array" ref="AX29">_xlfn.IFS(AND($K29&gt;AW$7,$L29&gt;AW$7),0,AND($K29&lt;=AW$7,$L29&lt;=AW$7),1,AND($K29&lt;=AW$7,$L29&gt;AW$7),((AW$7-$K29)/($L29-$K29)))</f>
        <v>1</v>
      </c>
      <c r="AY29" s="226" cm="1">
        <f t="array" ref="AY29">_xlfn.IFS(AND($K29&gt;AX$7,$L29&gt;AX$7),0,AND($K29&lt;=AX$7,$L29&lt;=AX$7),1,AND($K29&lt;=AX$7,$L29&gt;AX$7),((AX$7-$K29)/($L29-$K29)))</f>
        <v>1</v>
      </c>
      <c r="AZ29" s="226" cm="1">
        <f t="array" ref="AZ29">_xlfn.IFS(AND($K29&gt;AY$7,$L29&gt;AY$7),0,AND($K29&lt;=AY$7,$L29&lt;=AY$7),1,AND($K29&lt;=AY$7,$L29&gt;AY$7),((AY$7-$K29)/($L29-$K29)))</f>
        <v>1</v>
      </c>
      <c r="BA29" s="226" cm="1">
        <f t="array" ref="BA29">_xlfn.IFS(AND($K29&gt;AZ$7,$L29&gt;AZ$7),0,AND($K29&lt;=AZ$7,$L29&lt;=AZ$7),1,AND($K29&lt;=AZ$7,$L29&gt;AZ$7),((AZ$7-$K29)/($L29-$K29)))</f>
        <v>1</v>
      </c>
      <c r="BB29" s="226" cm="1">
        <f t="array" ref="BB29">_xlfn.IFS(AND($K29&gt;BA$7,$L29&gt;BA$7),0,AND($K29&lt;=BA$7,$L29&lt;=BA$7),1,AND($K29&lt;=BA$7,$L29&gt;BA$7),((BA$7-$K29)/($L29-$K29)))</f>
        <v>1</v>
      </c>
      <c r="BC29" s="226" cm="1">
        <f t="array" ref="BC29">_xlfn.IFS(AND($K29&gt;BB$7,$L29&gt;BB$7),0,AND($K29&lt;=BB$7,$L29&lt;=BB$7),1,AND($K29&lt;=BB$7,$L29&gt;BB$7),((BB$7-$K29)/($L29-$K29)))</f>
        <v>1</v>
      </c>
      <c r="BD29" s="226" cm="1">
        <f t="array" ref="BD29">_xlfn.IFS(AND($K29&gt;BC$7,$L29&gt;BC$7),0,AND($K29&lt;=BC$7,$L29&lt;=BC$7),1,AND($K29&lt;=BC$7,$L29&gt;BC$7),((BC$7-$K29)/($L29-$K29)))</f>
        <v>1</v>
      </c>
      <c r="BE29" s="226" cm="1">
        <f t="array" ref="BE29">_xlfn.IFS(AND($K29&gt;BD$7,$L29&gt;BD$7),0,AND($K29&lt;=BD$7,$L29&lt;=BD$7),1,AND($K29&lt;=BD$7,$L29&gt;BD$7),((BD$7-$K29)/($L29-$K29)))</f>
        <v>1</v>
      </c>
      <c r="BF29" s="226" cm="1">
        <f t="array" ref="BF29">_xlfn.IFS(AND($K29&gt;BE$7,$L29&gt;BE$7),0,AND($K29&lt;=BE$7,$L29&lt;=BE$7),1,AND($K29&lt;=BE$7,$L29&gt;BE$7),((BE$7-$K29)/($L29-$K29)))</f>
        <v>1</v>
      </c>
      <c r="BG29" s="226" cm="1">
        <f t="array" ref="BG29">_xlfn.IFS(AND($K29&gt;BF$7,$L29&gt;BF$7),0,AND($K29&lt;=BF$7,$L29&lt;=BF$7),1,AND($K29&lt;=BF$7,$L29&gt;BF$7),((BF$7-$K29)/($L29-$K29)))</f>
        <v>1</v>
      </c>
      <c r="BH29">
        <f>Tab.plano6[[#This Row],[Data Término
Prevista]]-Tab.plano6[[#This Row],[Data Início
Previsto]]</f>
        <v>1</v>
      </c>
    </row>
    <row r="30" spans="1:60" s="163" customFormat="1" ht="18" hidden="1" customHeight="1" x14ac:dyDescent="0.3">
      <c r="A30" s="220"/>
      <c r="B30" s="220" t="s">
        <v>161</v>
      </c>
      <c r="C30" s="220" t="s">
        <v>145</v>
      </c>
      <c r="D30" s="251" t="s">
        <v>399</v>
      </c>
      <c r="E30" s="251" t="s">
        <v>422</v>
      </c>
      <c r="F30" s="251" t="s">
        <v>423</v>
      </c>
      <c r="G30" s="251" t="s">
        <v>423</v>
      </c>
      <c r="H30" s="221" t="s">
        <v>484</v>
      </c>
      <c r="I30" s="260">
        <v>46113</v>
      </c>
      <c r="J30" s="260">
        <v>46148</v>
      </c>
      <c r="K30" s="260">
        <v>46126</v>
      </c>
      <c r="L30" s="260">
        <v>46153</v>
      </c>
      <c r="M30" s="231" t="s">
        <v>424</v>
      </c>
      <c r="N30" s="227" t="str" cm="1">
        <f t="array" ref="N30">_xlfn.IFS(L30&lt;$M$3,"Concluído",AND(K30&lt;=$M$3,L30&gt;=$M$3,L30&lt;=J30),"Em andamento",AND(K30&lt;=$M$3,L30&gt;=$M$3,L30&gt;J30),"Atrasado",AND(K30&gt;$M$3,I30&gt;$M$3),"Não iniciado",AND(K30&gt;$M$3,I30&lt;=$M$3),"Atrasado",TRUE,"Não iniciado")</f>
        <v>Concluído</v>
      </c>
      <c r="O30" s="231" cm="1">
        <f t="array" ref="O30">_xlfn.IFS(N30="Não iniciado",0,N30="Em andamento",1,N30="Concluído",2,N30="Atrasado",3)</f>
        <v>2</v>
      </c>
      <c r="P30" s="220"/>
      <c r="Q30" s="226" cm="1">
        <f t="array" ref="Q30">_xlfn.IFS(AND($I30&lt;$M$3,$J30&lt;$M$3),1,AND($I30&lt;=$M$3,$J30&gt;=$M$3),0.5,AND($I30&gt;=$M$3,$J30&gt;=$M$3),0)</f>
        <v>1</v>
      </c>
      <c r="R30" s="226" cm="1">
        <f t="array" ref="R30">_xlfn.IFS(AND($K30&lt;$M$3,$L30&lt;$M$3),1,AND($K30&lt;=$M$3,$L30&gt;=$M$3),0.5,AND($K30&gt;=$M$3,$L30&gt;=$M$3),0)</f>
        <v>1</v>
      </c>
      <c r="S30" s="226" cm="1">
        <f t="array" ref="S30">_xlfn.IFS(AND($K30&gt;R$7,$L30&gt;R$7),0,AND($K30&lt;=R$7,$L30&lt;=R$7),1,AND($K30&lt;=R$7,$L30&gt;R$7),((R$7-$K30)/($L30-$K30)))</f>
        <v>0</v>
      </c>
      <c r="T30" s="226" cm="1">
        <f t="array" ref="T30">_xlfn.IFS(AND($K30&gt;S$7,$L30&gt;S$7),0,AND($K30&lt;=S$7,$L30&lt;=S$7),1,AND($K30&lt;=S$7,$L30&gt;S$7),((S$7-$K30)/($L30-$K30)))</f>
        <v>0</v>
      </c>
      <c r="U30" s="226" cm="1">
        <f t="array" ref="U30">_xlfn.IFS(AND($K30&gt;T$7,$L30&gt;T$7),0,AND($K30&lt;=T$7,$L30&lt;=T$7),1,AND($K30&lt;=T$7,$L30&gt;T$7),((T$7-$K30)/($L30-$K30)))</f>
        <v>0</v>
      </c>
      <c r="V30" s="226" cm="1">
        <f t="array" ref="V30">_xlfn.IFS(AND($K30&gt;U$7,$L30&gt;U$7),0,AND($K30&lt;=U$7,$L30&lt;=U$7),1,AND($K30&lt;=U$7,$L30&gt;U$7),((U$7-$K30)/($L30-$K30)))</f>
        <v>0</v>
      </c>
      <c r="W30" s="226" cm="1">
        <f t="array" ref="W30">_xlfn.IFS(AND($K30&gt;V$7,$L30&gt;V$7),0,AND($K30&lt;=V$7,$L30&lt;=V$7),1,AND($K30&lt;=V$7,$L30&gt;V$7),((V$7-$K30)/($L30-$K30)))</f>
        <v>0.22222222222222221</v>
      </c>
      <c r="X30" s="226" cm="1">
        <f t="array" ref="X30">_xlfn.IFS(AND($K30&gt;W$7,$L30&gt;W$7),0,AND($K30&lt;=W$7,$L30&lt;=W$7),1,AND($K30&lt;=W$7,$L30&gt;W$7),((W$7-$K30)/($L30-$K30)))</f>
        <v>0.48148148148148145</v>
      </c>
      <c r="Y30" s="226" cm="1">
        <f t="array" ref="Y30">_xlfn.IFS(AND($K30&gt;X$7,$L30&gt;X$7),0,AND($K30&lt;=X$7,$L30&lt;=X$7),1,AND($K30&lt;=X$7,$L30&gt;X$7),((X$7-$K30)/($L30-$K30)))</f>
        <v>0.7407407407407407</v>
      </c>
      <c r="Z30" s="226" cm="1">
        <f t="array" ref="Z30">_xlfn.IFS(AND($K30&gt;Y$7,$L30&gt;Y$7),0,AND($K30&lt;=Y$7,$L30&lt;=Y$7),1,AND($K30&lt;=Y$7,$L30&gt;Y$7),((Y$7-$K30)/($L30-$K30)))</f>
        <v>1</v>
      </c>
      <c r="AA30" s="226" cm="1">
        <f t="array" ref="AA30">_xlfn.IFS(AND($K30&gt;Z$7,$L30&gt;Z$7),0,AND($K30&lt;=Z$7,$L30&lt;=Z$7),1,AND($K30&lt;=Z$7,$L30&gt;Z$7),((Z$7-$K30)/($L30-$K30)))</f>
        <v>1</v>
      </c>
      <c r="AB30" s="226" cm="1">
        <f t="array" ref="AB30">_xlfn.IFS(AND($K30&gt;AA$7,$L30&gt;AA$7),0,AND($K30&lt;=AA$7,$L30&lt;=AA$7),1,AND($K30&lt;=AA$7,$L30&gt;AA$7),((AA$7-$K30)/($L30-$K30)))</f>
        <v>1</v>
      </c>
      <c r="AC30" s="226" cm="1">
        <f t="array" ref="AC30">_xlfn.IFS(AND($K30&gt;AB$7,$L30&gt;AB$7),0,AND($K30&lt;=AB$7,$L30&lt;=AB$7),1,AND($K30&lt;=AB$7,$L30&gt;AB$7),((AB$7-$K30)/($L30-$K30)))</f>
        <v>1</v>
      </c>
      <c r="AD30" s="226" cm="1">
        <f t="array" ref="AD30">_xlfn.IFS(AND($K30&gt;AC$7,$L30&gt;AC$7),0,AND($K30&lt;=AC$7,$L30&lt;=AC$7),1,AND($K30&lt;=AC$7,$L30&gt;AC$7),((AC$7-$K30)/($L30-$K30)))</f>
        <v>1</v>
      </c>
      <c r="AE30" s="226" cm="1">
        <f t="array" ref="AE30">_xlfn.IFS(AND($K30&gt;AD$7,$L30&gt;AD$7),0,AND($K30&lt;=AD$7,$L30&lt;=AD$7),1,AND($K30&lt;=AD$7,$L30&gt;AD$7),((AD$7-$K30)/($L30-$K30)))</f>
        <v>1</v>
      </c>
      <c r="AF30" s="226" cm="1">
        <f t="array" ref="AF30">_xlfn.IFS(AND($K30&gt;AE$7,$L30&gt;AE$7),0,AND($K30&lt;=AE$7,$L30&lt;=AE$7),1,AND($K30&lt;=AE$7,$L30&gt;AE$7),((AE$7-$K30)/($L30-$K30)))</f>
        <v>1</v>
      </c>
      <c r="AG30" s="226" cm="1">
        <f t="array" ref="AG30">_xlfn.IFS(AND($K30&gt;AF$7,$L30&gt;AF$7),0,AND($K30&lt;=AF$7,$L30&lt;=AF$7),1,AND($K30&lt;=AF$7,$L30&gt;AF$7),((AF$7-$K30)/($L30-$K30)))</f>
        <v>1</v>
      </c>
      <c r="AH30" s="226" cm="1">
        <f t="array" ref="AH30">_xlfn.IFS(AND($K30&gt;AG$7,$L30&gt;AG$7),0,AND($K30&lt;=AG$7,$L30&lt;=AG$7),1,AND($K30&lt;=AG$7,$L30&gt;AG$7),((AG$7-$K30)/($L30-$K30)))</f>
        <v>1</v>
      </c>
      <c r="AI30" s="226" cm="1">
        <f t="array" ref="AI30">_xlfn.IFS(AND($K30&gt;AH$7,$L30&gt;AH$7),0,AND($K30&lt;=AH$7,$L30&lt;=AH$7),1,AND($K30&lt;=AH$7,$L30&gt;AH$7),((AH$7-$K30)/($L30-$K30)))</f>
        <v>1</v>
      </c>
      <c r="AJ30" s="226" cm="1">
        <f t="array" ref="AJ30">_xlfn.IFS(AND($K30&gt;AI$7,$L30&gt;AI$7),0,AND($K30&lt;=AI$7,$L30&lt;=AI$7),1,AND($K30&lt;=AI$7,$L30&gt;AI$7),((AI$7-$K30)/($L30-$K30)))</f>
        <v>1</v>
      </c>
      <c r="AK30" s="226" cm="1">
        <f t="array" ref="AK30">_xlfn.IFS(AND($K30&gt;AJ$7,$L30&gt;AJ$7),0,AND($K30&lt;=AJ$7,$L30&lt;=AJ$7),1,AND($K30&lt;=AJ$7,$L30&gt;AJ$7),((AJ$7-$K30)/($L30-$K30)))</f>
        <v>1</v>
      </c>
      <c r="AL30" s="226" cm="1">
        <f t="array" ref="AL30">_xlfn.IFS(AND($K30&gt;AK$7,$L30&gt;AK$7),0,AND($K30&lt;=AK$7,$L30&lt;=AK$7),1,AND($K30&lt;=AK$7,$L30&gt;AK$7),((AK$7-$K30)/($L30-$K30)))</f>
        <v>1</v>
      </c>
      <c r="AM30" s="226" cm="1">
        <f t="array" ref="AM30">_xlfn.IFS(AND($K30&gt;AL$7,$L30&gt;AL$7),0,AND($K30&lt;=AL$7,$L30&lt;=AL$7),1,AND($K30&lt;=AL$7,$L30&gt;AL$7),((AL$7-$K30)/($L30-$K30)))</f>
        <v>1</v>
      </c>
      <c r="AN30" s="226" cm="1">
        <f t="array" ref="AN30">_xlfn.IFS(AND($K30&gt;AM$7,$L30&gt;AM$7),0,AND($K30&lt;=AM$7,$L30&lt;=AM$7),1,AND($K30&lt;=AM$7,$L30&gt;AM$7),((AM$7-$K30)/($L30-$K30)))</f>
        <v>1</v>
      </c>
      <c r="AO30" s="226" cm="1">
        <f t="array" ref="AO30">_xlfn.IFS(AND($K30&gt;AN$7,$L30&gt;AN$7),0,AND($K30&lt;=AN$7,$L30&lt;=AN$7),1,AND($K30&lt;=AN$7,$L30&gt;AN$7),((AN$7-$K30)/($L30-$K30)))</f>
        <v>1</v>
      </c>
      <c r="AP30" s="226" cm="1">
        <f t="array" ref="AP30">_xlfn.IFS(AND($K30&gt;AO$7,$L30&gt;AO$7),0,AND($K30&lt;=AO$7,$L30&lt;=AO$7),1,AND($K30&lt;=AO$7,$L30&gt;AO$7),((AO$7-$K30)/($L30-$K30)))</f>
        <v>1</v>
      </c>
      <c r="AQ30" s="226" cm="1">
        <f t="array" ref="AQ30">_xlfn.IFS(AND($K30&gt;AP$7,$L30&gt;AP$7),0,AND($K30&lt;=AP$7,$L30&lt;=AP$7),1,AND($K30&lt;=AP$7,$L30&gt;AP$7),((AP$7-$K30)/($L30-$K30)))</f>
        <v>1</v>
      </c>
      <c r="AR30" s="226" cm="1">
        <f t="array" ref="AR30">_xlfn.IFS(AND($K30&gt;AQ$7,$L30&gt;AQ$7),0,AND($K30&lt;=AQ$7,$L30&lt;=AQ$7),1,AND($K30&lt;=AQ$7,$L30&gt;AQ$7),((AQ$7-$K30)/($L30-$K30)))</f>
        <v>1</v>
      </c>
      <c r="AS30" s="226" cm="1">
        <f t="array" ref="AS30">_xlfn.IFS(AND($K30&gt;AR$7,$L30&gt;AR$7),0,AND($K30&lt;=AR$7,$L30&lt;=AR$7),1,AND($K30&lt;=AR$7,$L30&gt;AR$7),((AR$7-$K30)/($L30-$K30)))</f>
        <v>1</v>
      </c>
      <c r="AT30" s="226" cm="1">
        <f t="array" ref="AT30">_xlfn.IFS(AND($K30&gt;AS$7,$L30&gt;AS$7),0,AND($K30&lt;=AS$7,$L30&lt;=AS$7),1,AND($K30&lt;=AS$7,$L30&gt;AS$7),((AS$7-$K30)/($L30-$K30)))</f>
        <v>1</v>
      </c>
      <c r="AU30" s="226" cm="1">
        <f t="array" ref="AU30">_xlfn.IFS(AND($K30&gt;AT$7,$L30&gt;AT$7),0,AND($K30&lt;=AT$7,$L30&lt;=AT$7),1,AND($K30&lt;=AT$7,$L30&gt;AT$7),((AT$7-$K30)/($L30-$K30)))</f>
        <v>1</v>
      </c>
      <c r="AV30" s="226" cm="1">
        <f t="array" ref="AV30">_xlfn.IFS(AND($K30&gt;AU$7,$L30&gt;AU$7),0,AND($K30&lt;=AU$7,$L30&lt;=AU$7),1,AND($K30&lt;=AU$7,$L30&gt;AU$7),((AU$7-$K30)/($L30-$K30)))</f>
        <v>1</v>
      </c>
      <c r="AW30" s="226" cm="1">
        <f t="array" ref="AW30">_xlfn.IFS(AND($K30&gt;AV$7,$L30&gt;AV$7),0,AND($K30&lt;=AV$7,$L30&lt;=AV$7),1,AND($K30&lt;=AV$7,$L30&gt;AV$7),((AV$7-$K30)/($L30-$K30)))</f>
        <v>1</v>
      </c>
      <c r="AX30" s="226" cm="1">
        <f t="array" ref="AX30">_xlfn.IFS(AND($K30&gt;AW$7,$L30&gt;AW$7),0,AND($K30&lt;=AW$7,$L30&lt;=AW$7),1,AND($K30&lt;=AW$7,$L30&gt;AW$7),((AW$7-$K30)/($L30-$K30)))</f>
        <v>1</v>
      </c>
      <c r="AY30" s="226" cm="1">
        <f t="array" ref="AY30">_xlfn.IFS(AND($K30&gt;AX$7,$L30&gt;AX$7),0,AND($K30&lt;=AX$7,$L30&lt;=AX$7),1,AND($K30&lt;=AX$7,$L30&gt;AX$7),((AX$7-$K30)/($L30-$K30)))</f>
        <v>1</v>
      </c>
      <c r="AZ30" s="226" cm="1">
        <f t="array" ref="AZ30">_xlfn.IFS(AND($K30&gt;AY$7,$L30&gt;AY$7),0,AND($K30&lt;=AY$7,$L30&lt;=AY$7),1,AND($K30&lt;=AY$7,$L30&gt;AY$7),((AY$7-$K30)/($L30-$K30)))</f>
        <v>1</v>
      </c>
      <c r="BA30" s="226" cm="1">
        <f t="array" ref="BA30">_xlfn.IFS(AND($K30&gt;AZ$7,$L30&gt;AZ$7),0,AND($K30&lt;=AZ$7,$L30&lt;=AZ$7),1,AND($K30&lt;=AZ$7,$L30&gt;AZ$7),((AZ$7-$K30)/($L30-$K30)))</f>
        <v>1</v>
      </c>
      <c r="BB30" s="226" cm="1">
        <f t="array" ref="BB30">_xlfn.IFS(AND($K30&gt;BA$7,$L30&gt;BA$7),0,AND($K30&lt;=BA$7,$L30&lt;=BA$7),1,AND($K30&lt;=BA$7,$L30&gt;BA$7),((BA$7-$K30)/($L30-$K30)))</f>
        <v>1</v>
      </c>
      <c r="BC30" s="226" cm="1">
        <f t="array" ref="BC30">_xlfn.IFS(AND($K30&gt;BB$7,$L30&gt;BB$7),0,AND($K30&lt;=BB$7,$L30&lt;=BB$7),1,AND($K30&lt;=BB$7,$L30&gt;BB$7),((BB$7-$K30)/($L30-$K30)))</f>
        <v>1</v>
      </c>
      <c r="BD30" s="226" cm="1">
        <f t="array" ref="BD30">_xlfn.IFS(AND($K30&gt;BC$7,$L30&gt;BC$7),0,AND($K30&lt;=BC$7,$L30&lt;=BC$7),1,AND($K30&lt;=BC$7,$L30&gt;BC$7),((BC$7-$K30)/($L30-$K30)))</f>
        <v>1</v>
      </c>
      <c r="BE30" s="226" cm="1">
        <f t="array" ref="BE30">_xlfn.IFS(AND($K30&gt;BD$7,$L30&gt;BD$7),0,AND($K30&lt;=BD$7,$L30&lt;=BD$7),1,AND($K30&lt;=BD$7,$L30&gt;BD$7),((BD$7-$K30)/($L30-$K30)))</f>
        <v>1</v>
      </c>
      <c r="BF30" s="226" cm="1">
        <f t="array" ref="BF30">_xlfn.IFS(AND($K30&gt;BE$7,$L30&gt;BE$7),0,AND($K30&lt;=BE$7,$L30&lt;=BE$7),1,AND($K30&lt;=BE$7,$L30&gt;BE$7),((BE$7-$K30)/($L30-$K30)))</f>
        <v>1</v>
      </c>
      <c r="BG30" s="226" cm="1">
        <f t="array" ref="BG30">_xlfn.IFS(AND($K30&gt;BF$7,$L30&gt;BF$7),0,AND($K30&lt;=BF$7,$L30&lt;=BF$7),1,AND($K30&lt;=BF$7,$L30&gt;BF$7),((BF$7-$K30)/($L30-$K30)))</f>
        <v>1</v>
      </c>
      <c r="BH30" s="163">
        <f>Tab.plano6[[#This Row],[Data Término
Prevista]]-Tab.plano6[[#This Row],[Data Início
Previsto]]</f>
        <v>35</v>
      </c>
    </row>
    <row r="31" spans="1:60" customFormat="1" ht="18" hidden="1" customHeight="1" x14ac:dyDescent="0.3">
      <c r="A31" s="220"/>
      <c r="B31" s="220" t="s">
        <v>161</v>
      </c>
      <c r="C31" s="220" t="s">
        <v>147</v>
      </c>
      <c r="D31" s="251" t="s">
        <v>399</v>
      </c>
      <c r="E31" s="251" t="s">
        <v>422</v>
      </c>
      <c r="F31" s="251" t="s">
        <v>423</v>
      </c>
      <c r="G31" s="251" t="s">
        <v>423</v>
      </c>
      <c r="H31" s="221" t="s">
        <v>802</v>
      </c>
      <c r="I31" s="260">
        <v>46149</v>
      </c>
      <c r="J31" s="260">
        <v>46153</v>
      </c>
      <c r="K31" s="260">
        <v>46153</v>
      </c>
      <c r="L31" s="260">
        <v>46171</v>
      </c>
      <c r="M31" s="231" t="s">
        <v>424</v>
      </c>
      <c r="N31" s="227" t="str" cm="1">
        <f t="array" ref="N31">_xlfn.IFS(L31&lt;$M$3,"Concluído",AND(K31&lt;=$M$3,L31&gt;=$M$3,L31&lt;=J31),"Em andamento",AND(K31&lt;=$M$3,L31&gt;=$M$3,L31&gt;J31),"Atrasado",AND(K31&gt;$M$3,I31&gt;$M$3),"Não iniciado",AND(K31&gt;$M$3,I31&lt;=$M$3),"Atrasado",TRUE,"Não iniciado")</f>
        <v>Atrasado</v>
      </c>
      <c r="O31" s="231" cm="1">
        <f t="array" ref="O31">_xlfn.IFS(N31="Não iniciado",0,N31="Em andamento",1,N31="Concluído",2,N31="Atrasado",3)</f>
        <v>3</v>
      </c>
      <c r="P31" s="220"/>
      <c r="Q31" s="226" cm="1">
        <f t="array" ref="Q31">_xlfn.IFS(AND($I31&lt;$M$3,$J31&lt;$M$3),1,AND($I31&lt;=$M$3,$J31&gt;=$M$3),0.5,AND($I31&gt;=$M$3,$J31&gt;=$M$3),0)</f>
        <v>1</v>
      </c>
      <c r="R31" s="226" cm="1">
        <f t="array" ref="R31">_xlfn.IFS(AND($K31&lt;$M$3,$L31&lt;$M$3),1,AND($K31&lt;=$M$3,$L31&gt;=$M$3),0.5,AND($K31&gt;=$M$3,$L31&gt;=$M$3),0)</f>
        <v>0.5</v>
      </c>
      <c r="S31" s="226" cm="1">
        <f t="array" ref="S31">_xlfn.IFS(AND($K31&gt;R$7,$L31&gt;R$7),0,AND($K31&lt;=R$7,$L31&lt;=R$7),1,AND($K31&lt;=R$7,$L31&gt;R$7),((R$7-$K31)/($L31-$K31)))</f>
        <v>0</v>
      </c>
      <c r="T31" s="226" cm="1">
        <f t="array" ref="T31">_xlfn.IFS(AND($K31&gt;S$7,$L31&gt;S$7),0,AND($K31&lt;=S$7,$L31&lt;=S$7),1,AND($K31&lt;=S$7,$L31&gt;S$7),((S$7-$K31)/($L31-$K31)))</f>
        <v>0</v>
      </c>
      <c r="U31" s="226" cm="1">
        <f t="array" ref="U31">_xlfn.IFS(AND($K31&gt;T$7,$L31&gt;T$7),0,AND($K31&lt;=T$7,$L31&lt;=T$7),1,AND($K31&lt;=T$7,$L31&gt;T$7),((T$7-$K31)/($L31-$K31)))</f>
        <v>0</v>
      </c>
      <c r="V31" s="226" cm="1">
        <f t="array" ref="V31">_xlfn.IFS(AND($K31&gt;U$7,$L31&gt;U$7),0,AND($K31&lt;=U$7,$L31&lt;=U$7),1,AND($K31&lt;=U$7,$L31&gt;U$7),((U$7-$K31)/($L31-$K31)))</f>
        <v>0</v>
      </c>
      <c r="W31" s="226" cm="1">
        <f t="array" ref="W31">_xlfn.IFS(AND($K31&gt;V$7,$L31&gt;V$7),0,AND($K31&lt;=V$7,$L31&lt;=V$7),1,AND($K31&lt;=V$7,$L31&gt;V$7),((V$7-$K31)/($L31-$K31)))</f>
        <v>0</v>
      </c>
      <c r="X31" s="226" cm="1">
        <f t="array" ref="X31">_xlfn.IFS(AND($K31&gt;W$7,$L31&gt;W$7),0,AND($K31&lt;=W$7,$L31&lt;=W$7),1,AND($K31&lt;=W$7,$L31&gt;W$7),((W$7-$K31)/($L31-$K31)))</f>
        <v>0</v>
      </c>
      <c r="Y31" s="226" cm="1">
        <f t="array" ref="Y31">_xlfn.IFS(AND($K31&gt;X$7,$L31&gt;X$7),0,AND($K31&lt;=X$7,$L31&lt;=X$7),1,AND($K31&lt;=X$7,$L31&gt;X$7),((X$7-$K31)/($L31-$K31)))</f>
        <v>0</v>
      </c>
      <c r="Z31" s="226" cm="1">
        <f t="array" ref="Z31">_xlfn.IFS(AND($K31&gt;Y$7,$L31&gt;Y$7),0,AND($K31&lt;=Y$7,$L31&lt;=Y$7),1,AND($K31&lt;=Y$7,$L31&gt;Y$7),((Y$7-$K31)/($L31-$K31)))</f>
        <v>0</v>
      </c>
      <c r="AA31" s="226" cm="1">
        <f t="array" ref="AA31">_xlfn.IFS(AND($K31&gt;Z$7,$L31&gt;Z$7),0,AND($K31&lt;=Z$7,$L31&lt;=Z$7),1,AND($K31&lt;=Z$7,$L31&gt;Z$7),((Z$7-$K31)/($L31-$K31)))</f>
        <v>0.3888888888888889</v>
      </c>
      <c r="AB31" s="226" cm="1">
        <f t="array" ref="AB31">_xlfn.IFS(AND($K31&gt;AA$7,$L31&gt;AA$7),0,AND($K31&lt;=AA$7,$L31&lt;=AA$7),1,AND($K31&lt;=AA$7,$L31&gt;AA$7),((AA$7-$K31)/($L31-$K31)))</f>
        <v>0.77777777777777779</v>
      </c>
      <c r="AC31" s="226" cm="1">
        <f t="array" ref="AC31">_xlfn.IFS(AND($K31&gt;AB$7,$L31&gt;AB$7),0,AND($K31&lt;=AB$7,$L31&lt;=AB$7),1,AND($K31&lt;=AB$7,$L31&gt;AB$7),((AB$7-$K31)/($L31-$K31)))</f>
        <v>1</v>
      </c>
      <c r="AD31" s="226" cm="1">
        <f t="array" ref="AD31">_xlfn.IFS(AND($K31&gt;AC$7,$L31&gt;AC$7),0,AND($K31&lt;=AC$7,$L31&lt;=AC$7),1,AND($K31&lt;=AC$7,$L31&gt;AC$7),((AC$7-$K31)/($L31-$K31)))</f>
        <v>1</v>
      </c>
      <c r="AE31" s="226" cm="1">
        <f t="array" ref="AE31">_xlfn.IFS(AND($K31&gt;AD$7,$L31&gt;AD$7),0,AND($K31&lt;=AD$7,$L31&lt;=AD$7),1,AND($K31&lt;=AD$7,$L31&gt;AD$7),((AD$7-$K31)/($L31-$K31)))</f>
        <v>1</v>
      </c>
      <c r="AF31" s="226" cm="1">
        <f t="array" ref="AF31">_xlfn.IFS(AND($K31&gt;AE$7,$L31&gt;AE$7),0,AND($K31&lt;=AE$7,$L31&lt;=AE$7),1,AND($K31&lt;=AE$7,$L31&gt;AE$7),((AE$7-$K31)/($L31-$K31)))</f>
        <v>1</v>
      </c>
      <c r="AG31" s="226" cm="1">
        <f t="array" ref="AG31">_xlfn.IFS(AND($K31&gt;AF$7,$L31&gt;AF$7),0,AND($K31&lt;=AF$7,$L31&lt;=AF$7),1,AND($K31&lt;=AF$7,$L31&gt;AF$7),((AF$7-$K31)/($L31-$K31)))</f>
        <v>1</v>
      </c>
      <c r="AH31" s="226" cm="1">
        <f t="array" ref="AH31">_xlfn.IFS(AND($K31&gt;AG$7,$L31&gt;AG$7),0,AND($K31&lt;=AG$7,$L31&lt;=AG$7),1,AND($K31&lt;=AG$7,$L31&gt;AG$7),((AG$7-$K31)/($L31-$K31)))</f>
        <v>1</v>
      </c>
      <c r="AI31" s="226" cm="1">
        <f t="array" ref="AI31">_xlfn.IFS(AND($K31&gt;AH$7,$L31&gt;AH$7),0,AND($K31&lt;=AH$7,$L31&lt;=AH$7),1,AND($K31&lt;=AH$7,$L31&gt;AH$7),((AH$7-$K31)/($L31-$K31)))</f>
        <v>1</v>
      </c>
      <c r="AJ31" s="226" cm="1">
        <f t="array" ref="AJ31">_xlfn.IFS(AND($K31&gt;AI$7,$L31&gt;AI$7),0,AND($K31&lt;=AI$7,$L31&lt;=AI$7),1,AND($K31&lt;=AI$7,$L31&gt;AI$7),((AI$7-$K31)/($L31-$K31)))</f>
        <v>1</v>
      </c>
      <c r="AK31" s="226" cm="1">
        <f t="array" ref="AK31">_xlfn.IFS(AND($K31&gt;AJ$7,$L31&gt;AJ$7),0,AND($K31&lt;=AJ$7,$L31&lt;=AJ$7),1,AND($K31&lt;=AJ$7,$L31&gt;AJ$7),((AJ$7-$K31)/($L31-$K31)))</f>
        <v>1</v>
      </c>
      <c r="AL31" s="226" cm="1">
        <f t="array" ref="AL31">_xlfn.IFS(AND($K31&gt;AK$7,$L31&gt;AK$7),0,AND($K31&lt;=AK$7,$L31&lt;=AK$7),1,AND($K31&lt;=AK$7,$L31&gt;AK$7),((AK$7-$K31)/($L31-$K31)))</f>
        <v>1</v>
      </c>
      <c r="AM31" s="226" cm="1">
        <f t="array" ref="AM31">_xlfn.IFS(AND($K31&gt;AL$7,$L31&gt;AL$7),0,AND($K31&lt;=AL$7,$L31&lt;=AL$7),1,AND($K31&lt;=AL$7,$L31&gt;AL$7),((AL$7-$K31)/($L31-$K31)))</f>
        <v>1</v>
      </c>
      <c r="AN31" s="226" cm="1">
        <f t="array" ref="AN31">_xlfn.IFS(AND($K31&gt;AM$7,$L31&gt;AM$7),0,AND($K31&lt;=AM$7,$L31&lt;=AM$7),1,AND($K31&lt;=AM$7,$L31&gt;AM$7),((AM$7-$K31)/($L31-$K31)))</f>
        <v>1</v>
      </c>
      <c r="AO31" s="226" cm="1">
        <f t="array" ref="AO31">_xlfn.IFS(AND($K31&gt;AN$7,$L31&gt;AN$7),0,AND($K31&lt;=AN$7,$L31&lt;=AN$7),1,AND($K31&lt;=AN$7,$L31&gt;AN$7),((AN$7-$K31)/($L31-$K31)))</f>
        <v>1</v>
      </c>
      <c r="AP31" s="226" cm="1">
        <f t="array" ref="AP31">_xlfn.IFS(AND($K31&gt;AO$7,$L31&gt;AO$7),0,AND($K31&lt;=AO$7,$L31&lt;=AO$7),1,AND($K31&lt;=AO$7,$L31&gt;AO$7),((AO$7-$K31)/($L31-$K31)))</f>
        <v>1</v>
      </c>
      <c r="AQ31" s="226" cm="1">
        <f t="array" ref="AQ31">_xlfn.IFS(AND($K31&gt;AP$7,$L31&gt;AP$7),0,AND($K31&lt;=AP$7,$L31&lt;=AP$7),1,AND($K31&lt;=AP$7,$L31&gt;AP$7),((AP$7-$K31)/($L31-$K31)))</f>
        <v>1</v>
      </c>
      <c r="AR31" s="226" cm="1">
        <f t="array" ref="AR31">_xlfn.IFS(AND($K31&gt;AQ$7,$L31&gt;AQ$7),0,AND($K31&lt;=AQ$7,$L31&lt;=AQ$7),1,AND($K31&lt;=AQ$7,$L31&gt;AQ$7),((AQ$7-$K31)/($L31-$K31)))</f>
        <v>1</v>
      </c>
      <c r="AS31" s="226" cm="1">
        <f t="array" ref="AS31">_xlfn.IFS(AND($K31&gt;AR$7,$L31&gt;AR$7),0,AND($K31&lt;=AR$7,$L31&lt;=AR$7),1,AND($K31&lt;=AR$7,$L31&gt;AR$7),((AR$7-$K31)/($L31-$K31)))</f>
        <v>1</v>
      </c>
      <c r="AT31" s="226" cm="1">
        <f t="array" ref="AT31">_xlfn.IFS(AND($K31&gt;AS$7,$L31&gt;AS$7),0,AND($K31&lt;=AS$7,$L31&lt;=AS$7),1,AND($K31&lt;=AS$7,$L31&gt;AS$7),((AS$7-$K31)/($L31-$K31)))</f>
        <v>1</v>
      </c>
      <c r="AU31" s="226" cm="1">
        <f t="array" ref="AU31">_xlfn.IFS(AND($K31&gt;AT$7,$L31&gt;AT$7),0,AND($K31&lt;=AT$7,$L31&lt;=AT$7),1,AND($K31&lt;=AT$7,$L31&gt;AT$7),((AT$7-$K31)/($L31-$K31)))</f>
        <v>1</v>
      </c>
      <c r="AV31" s="226" cm="1">
        <f t="array" ref="AV31">_xlfn.IFS(AND($K31&gt;AU$7,$L31&gt;AU$7),0,AND($K31&lt;=AU$7,$L31&lt;=AU$7),1,AND($K31&lt;=AU$7,$L31&gt;AU$7),((AU$7-$K31)/($L31-$K31)))</f>
        <v>1</v>
      </c>
      <c r="AW31" s="226" cm="1">
        <f t="array" ref="AW31">_xlfn.IFS(AND($K31&gt;AV$7,$L31&gt;AV$7),0,AND($K31&lt;=AV$7,$L31&lt;=AV$7),1,AND($K31&lt;=AV$7,$L31&gt;AV$7),((AV$7-$K31)/($L31-$K31)))</f>
        <v>1</v>
      </c>
      <c r="AX31" s="226" cm="1">
        <f t="array" ref="AX31">_xlfn.IFS(AND($K31&gt;AW$7,$L31&gt;AW$7),0,AND($K31&lt;=AW$7,$L31&lt;=AW$7),1,AND($K31&lt;=AW$7,$L31&gt;AW$7),((AW$7-$K31)/($L31-$K31)))</f>
        <v>1</v>
      </c>
      <c r="AY31" s="226" cm="1">
        <f t="array" ref="AY31">_xlfn.IFS(AND($K31&gt;AX$7,$L31&gt;AX$7),0,AND($K31&lt;=AX$7,$L31&lt;=AX$7),1,AND($K31&lt;=AX$7,$L31&gt;AX$7),((AX$7-$K31)/($L31-$K31)))</f>
        <v>1</v>
      </c>
      <c r="AZ31" s="226" cm="1">
        <f t="array" ref="AZ31">_xlfn.IFS(AND($K31&gt;AY$7,$L31&gt;AY$7),0,AND($K31&lt;=AY$7,$L31&lt;=AY$7),1,AND($K31&lt;=AY$7,$L31&gt;AY$7),((AY$7-$K31)/($L31-$K31)))</f>
        <v>1</v>
      </c>
      <c r="BA31" s="226" cm="1">
        <f t="array" ref="BA31">_xlfn.IFS(AND($K31&gt;AZ$7,$L31&gt;AZ$7),0,AND($K31&lt;=AZ$7,$L31&lt;=AZ$7),1,AND($K31&lt;=AZ$7,$L31&gt;AZ$7),((AZ$7-$K31)/($L31-$K31)))</f>
        <v>1</v>
      </c>
      <c r="BB31" s="226" cm="1">
        <f t="array" ref="BB31">_xlfn.IFS(AND($K31&gt;BA$7,$L31&gt;BA$7),0,AND($K31&lt;=BA$7,$L31&lt;=BA$7),1,AND($K31&lt;=BA$7,$L31&gt;BA$7),((BA$7-$K31)/($L31-$K31)))</f>
        <v>1</v>
      </c>
      <c r="BC31" s="226" cm="1">
        <f t="array" ref="BC31">_xlfn.IFS(AND($K31&gt;BB$7,$L31&gt;BB$7),0,AND($K31&lt;=BB$7,$L31&lt;=BB$7),1,AND($K31&lt;=BB$7,$L31&gt;BB$7),((BB$7-$K31)/($L31-$K31)))</f>
        <v>1</v>
      </c>
      <c r="BD31" s="226" cm="1">
        <f t="array" ref="BD31">_xlfn.IFS(AND($K31&gt;BC$7,$L31&gt;BC$7),0,AND($K31&lt;=BC$7,$L31&lt;=BC$7),1,AND($K31&lt;=BC$7,$L31&gt;BC$7),((BC$7-$K31)/($L31-$K31)))</f>
        <v>1</v>
      </c>
      <c r="BE31" s="226" cm="1">
        <f t="array" ref="BE31">_xlfn.IFS(AND($K31&gt;BD$7,$L31&gt;BD$7),0,AND($K31&lt;=BD$7,$L31&lt;=BD$7),1,AND($K31&lt;=BD$7,$L31&gt;BD$7),((BD$7-$K31)/($L31-$K31)))</f>
        <v>1</v>
      </c>
      <c r="BF31" s="226" cm="1">
        <f t="array" ref="BF31">_xlfn.IFS(AND($K31&gt;BE$7,$L31&gt;BE$7),0,AND($K31&lt;=BE$7,$L31&lt;=BE$7),1,AND($K31&lt;=BE$7,$L31&gt;BE$7),((BE$7-$K31)/($L31-$K31)))</f>
        <v>1</v>
      </c>
      <c r="BG31" s="226" cm="1">
        <f t="array" ref="BG31">_xlfn.IFS(AND($K31&gt;BF$7,$L31&gt;BF$7),0,AND($K31&lt;=BF$7,$L31&lt;=BF$7),1,AND($K31&lt;=BF$7,$L31&gt;BF$7),((BF$7-$K31)/($L31-$K31)))</f>
        <v>1</v>
      </c>
      <c r="BH31">
        <f>Tab.plano6[[#This Row],[Data Término
Prevista]]-Tab.plano6[[#This Row],[Data Início
Previsto]]</f>
        <v>4</v>
      </c>
    </row>
    <row r="32" spans="1:60" s="163" customFormat="1" ht="18" hidden="1" customHeight="1" collapsed="1" x14ac:dyDescent="0.3">
      <c r="A32" s="216"/>
      <c r="B32" s="216" t="s">
        <v>12</v>
      </c>
      <c r="C32" s="216" t="s">
        <v>486</v>
      </c>
      <c r="D32" s="249" t="s">
        <v>399</v>
      </c>
      <c r="E32" s="249" t="s">
        <v>422</v>
      </c>
      <c r="F32" s="249" t="s">
        <v>74</v>
      </c>
      <c r="G32" s="249" t="s">
        <v>74</v>
      </c>
      <c r="H32" s="252" t="s">
        <v>825</v>
      </c>
      <c r="I32" s="257">
        <f>I33</f>
        <v>46111</v>
      </c>
      <c r="J32" s="257">
        <f>J33</f>
        <v>46136</v>
      </c>
      <c r="K32" s="257">
        <f>K33</f>
        <v>46111</v>
      </c>
      <c r="L32" s="257">
        <f>L33</f>
        <v>46178</v>
      </c>
      <c r="M32" s="229" t="s">
        <v>488</v>
      </c>
      <c r="N32" s="227" t="str" cm="1">
        <f t="array" ref="N32">_xlfn.IFS(L32&lt;$M$3,"Concluído",AND(K32&lt;=$M$3,L32&gt;=$M$3,L32&lt;=J32),"Em andamento",AND(K32&lt;=$M$3,L32&gt;=$M$3,L32&gt;J32),"Atrasado",AND(K32&gt;$M$3,I32&gt;$M$3),"Não iniciado",AND(K32&gt;$M$3,I32&lt;=$M$3),"Atrasado",TRUE,"Não iniciado")</f>
        <v>Atrasado</v>
      </c>
      <c r="O32" s="229" cm="1">
        <f t="array" ref="O32">_xlfn.IFS(N32="Não iniciado",0,N32="Em andamento",1,N32="Concluído",2,N32="Atrasado",3)</f>
        <v>3</v>
      </c>
      <c r="P32" s="216"/>
      <c r="Q32" s="224">
        <f t="shared" ref="Q32:BG32" si="13">Q33</f>
        <v>1</v>
      </c>
      <c r="R32" s="224">
        <f t="shared" si="13"/>
        <v>0.5</v>
      </c>
      <c r="S32" s="224">
        <f t="shared" si="13"/>
        <v>0</v>
      </c>
      <c r="T32" s="224">
        <f t="shared" si="13"/>
        <v>0</v>
      </c>
      <c r="U32" s="224">
        <f t="shared" si="13"/>
        <v>0.36206896551724138</v>
      </c>
      <c r="V32" s="224">
        <f t="shared" si="13"/>
        <v>0.40229885057471265</v>
      </c>
      <c r="W32" s="224">
        <f t="shared" si="13"/>
        <v>0.44252873563218387</v>
      </c>
      <c r="X32" s="224">
        <f t="shared" si="13"/>
        <v>0.48275862068965519</v>
      </c>
      <c r="Y32" s="224">
        <f t="shared" si="13"/>
        <v>0.52298850574712652</v>
      </c>
      <c r="Z32" s="224">
        <f t="shared" si="13"/>
        <v>0.56321839080459768</v>
      </c>
      <c r="AA32" s="224">
        <f t="shared" si="13"/>
        <v>0.60344827586206895</v>
      </c>
      <c r="AB32" s="224">
        <f t="shared" si="13"/>
        <v>0.64367816091954022</v>
      </c>
      <c r="AC32" s="224">
        <f t="shared" si="13"/>
        <v>0.80952380952380942</v>
      </c>
      <c r="AD32" s="224">
        <f t="shared" si="13"/>
        <v>1</v>
      </c>
      <c r="AE32" s="224">
        <f t="shared" si="13"/>
        <v>1</v>
      </c>
      <c r="AF32" s="224">
        <f t="shared" si="13"/>
        <v>1</v>
      </c>
      <c r="AG32" s="224">
        <f t="shared" si="13"/>
        <v>1</v>
      </c>
      <c r="AH32" s="224">
        <f t="shared" si="13"/>
        <v>1</v>
      </c>
      <c r="AI32" s="224">
        <f t="shared" si="13"/>
        <v>1</v>
      </c>
      <c r="AJ32" s="224">
        <f t="shared" si="13"/>
        <v>1</v>
      </c>
      <c r="AK32" s="224">
        <f t="shared" si="13"/>
        <v>1</v>
      </c>
      <c r="AL32" s="224">
        <f t="shared" si="13"/>
        <v>1</v>
      </c>
      <c r="AM32" s="224">
        <f t="shared" si="13"/>
        <v>1</v>
      </c>
      <c r="AN32" s="224">
        <f t="shared" si="13"/>
        <v>1</v>
      </c>
      <c r="AO32" s="224">
        <f t="shared" si="13"/>
        <v>1</v>
      </c>
      <c r="AP32" s="224">
        <f t="shared" si="13"/>
        <v>1</v>
      </c>
      <c r="AQ32" s="224">
        <f t="shared" si="13"/>
        <v>1</v>
      </c>
      <c r="AR32" s="224">
        <f t="shared" si="13"/>
        <v>1</v>
      </c>
      <c r="AS32" s="224">
        <f t="shared" si="13"/>
        <v>1</v>
      </c>
      <c r="AT32" s="224">
        <f t="shared" si="13"/>
        <v>1</v>
      </c>
      <c r="AU32" s="224">
        <f t="shared" si="13"/>
        <v>1</v>
      </c>
      <c r="AV32" s="224">
        <f t="shared" si="13"/>
        <v>1</v>
      </c>
      <c r="AW32" s="224">
        <f t="shared" si="13"/>
        <v>1</v>
      </c>
      <c r="AX32" s="224">
        <f t="shared" si="13"/>
        <v>1</v>
      </c>
      <c r="AY32" s="224">
        <f t="shared" si="13"/>
        <v>1</v>
      </c>
      <c r="AZ32" s="224">
        <f t="shared" si="13"/>
        <v>1</v>
      </c>
      <c r="BA32" s="224">
        <f t="shared" si="13"/>
        <v>1</v>
      </c>
      <c r="BB32" s="224">
        <f t="shared" si="13"/>
        <v>1</v>
      </c>
      <c r="BC32" s="224">
        <f t="shared" si="13"/>
        <v>1</v>
      </c>
      <c r="BD32" s="224">
        <f t="shared" si="13"/>
        <v>1</v>
      </c>
      <c r="BE32" s="224">
        <f t="shared" si="13"/>
        <v>1</v>
      </c>
      <c r="BF32" s="224">
        <f t="shared" si="13"/>
        <v>1</v>
      </c>
      <c r="BG32" s="224">
        <f t="shared" si="13"/>
        <v>1</v>
      </c>
      <c r="BH32">
        <f>Tab.plano6[[#This Row],[Data Término
Prevista]]-Tab.plano6[[#This Row],[Data Início
Previsto]]</f>
        <v>25</v>
      </c>
    </row>
    <row r="33" spans="1:60" s="163" customFormat="1" ht="18" hidden="1" customHeight="1" collapsed="1" x14ac:dyDescent="0.3">
      <c r="A33" s="218"/>
      <c r="B33" s="218" t="s">
        <v>13</v>
      </c>
      <c r="C33" s="218" t="s">
        <v>489</v>
      </c>
      <c r="D33" s="250" t="s">
        <v>399</v>
      </c>
      <c r="E33" s="250" t="s">
        <v>422</v>
      </c>
      <c r="F33" s="250" t="s">
        <v>487</v>
      </c>
      <c r="G33" s="250" t="s">
        <v>74</v>
      </c>
      <c r="H33" s="219" t="s">
        <v>487</v>
      </c>
      <c r="I33" s="258">
        <f>MIN(I34:I36)</f>
        <v>46111</v>
      </c>
      <c r="J33" s="258">
        <f>MAX(J34:J36)</f>
        <v>46136</v>
      </c>
      <c r="K33" s="258">
        <f>MIN(K34:K36)</f>
        <v>46111</v>
      </c>
      <c r="L33" s="258">
        <f>MAX(L34:L36)</f>
        <v>46178</v>
      </c>
      <c r="M33" s="230" t="s">
        <v>488</v>
      </c>
      <c r="N33" s="227" t="str" cm="1">
        <f t="array" ref="N33">_xlfn.IFS(L33&lt;$M$3,"Concluído",AND(K33&lt;=$M$3,L33&gt;=$M$3,L33&lt;=J33),"Em andamento",AND(K33&lt;=$M$3,L33&gt;=$M$3,L33&gt;J33),"Atrasado",AND(K33&gt;$M$3,I33&gt;$M$3),"Não iniciado",AND(K33&gt;$M$3,I33&lt;=$M$3),"Atrasado",TRUE,"Não iniciado")</f>
        <v>Atrasado</v>
      </c>
      <c r="O33" s="230" cm="1">
        <f t="array" ref="O33">_xlfn.IFS(N33="Não iniciado",0,N33="Em andamento",1,N33="Concluído",2,N33="Atrasado",3)</f>
        <v>3</v>
      </c>
      <c r="P33" s="218"/>
      <c r="Q33" s="225">
        <f t="shared" ref="Q33:BG33" si="14">AVERAGE(Q34:Q36)</f>
        <v>1</v>
      </c>
      <c r="R33" s="225">
        <f t="shared" si="14"/>
        <v>0.5</v>
      </c>
      <c r="S33" s="225">
        <f t="shared" si="14"/>
        <v>0</v>
      </c>
      <c r="T33" s="225">
        <f t="shared" si="14"/>
        <v>0</v>
      </c>
      <c r="U33" s="225">
        <f t="shared" si="14"/>
        <v>0.36206896551724138</v>
      </c>
      <c r="V33" s="225">
        <f t="shared" si="14"/>
        <v>0.40229885057471265</v>
      </c>
      <c r="W33" s="225">
        <f t="shared" si="14"/>
        <v>0.44252873563218387</v>
      </c>
      <c r="X33" s="225">
        <f t="shared" si="14"/>
        <v>0.48275862068965519</v>
      </c>
      <c r="Y33" s="225">
        <f t="shared" si="14"/>
        <v>0.52298850574712652</v>
      </c>
      <c r="Z33" s="225">
        <f t="shared" si="14"/>
        <v>0.56321839080459768</v>
      </c>
      <c r="AA33" s="225">
        <f t="shared" si="14"/>
        <v>0.60344827586206895</v>
      </c>
      <c r="AB33" s="225">
        <f t="shared" si="14"/>
        <v>0.64367816091954022</v>
      </c>
      <c r="AC33" s="225">
        <f t="shared" si="14"/>
        <v>0.80952380952380942</v>
      </c>
      <c r="AD33" s="225">
        <f t="shared" si="14"/>
        <v>1</v>
      </c>
      <c r="AE33" s="225">
        <f t="shared" si="14"/>
        <v>1</v>
      </c>
      <c r="AF33" s="225">
        <f t="shared" si="14"/>
        <v>1</v>
      </c>
      <c r="AG33" s="225">
        <f t="shared" si="14"/>
        <v>1</v>
      </c>
      <c r="AH33" s="225">
        <f t="shared" si="14"/>
        <v>1</v>
      </c>
      <c r="AI33" s="225">
        <f t="shared" si="14"/>
        <v>1</v>
      </c>
      <c r="AJ33" s="225">
        <f t="shared" si="14"/>
        <v>1</v>
      </c>
      <c r="AK33" s="225">
        <f t="shared" si="14"/>
        <v>1</v>
      </c>
      <c r="AL33" s="225">
        <f t="shared" si="14"/>
        <v>1</v>
      </c>
      <c r="AM33" s="225">
        <f t="shared" si="14"/>
        <v>1</v>
      </c>
      <c r="AN33" s="225">
        <f t="shared" si="14"/>
        <v>1</v>
      </c>
      <c r="AO33" s="225">
        <f t="shared" si="14"/>
        <v>1</v>
      </c>
      <c r="AP33" s="225">
        <f t="shared" si="14"/>
        <v>1</v>
      </c>
      <c r="AQ33" s="225">
        <f t="shared" si="14"/>
        <v>1</v>
      </c>
      <c r="AR33" s="225">
        <f t="shared" si="14"/>
        <v>1</v>
      </c>
      <c r="AS33" s="225">
        <f t="shared" si="14"/>
        <v>1</v>
      </c>
      <c r="AT33" s="225">
        <f t="shared" si="14"/>
        <v>1</v>
      </c>
      <c r="AU33" s="225">
        <f t="shared" si="14"/>
        <v>1</v>
      </c>
      <c r="AV33" s="225">
        <f t="shared" si="14"/>
        <v>1</v>
      </c>
      <c r="AW33" s="225">
        <f t="shared" si="14"/>
        <v>1</v>
      </c>
      <c r="AX33" s="225">
        <f t="shared" si="14"/>
        <v>1</v>
      </c>
      <c r="AY33" s="225">
        <f t="shared" si="14"/>
        <v>1</v>
      </c>
      <c r="AZ33" s="225">
        <f t="shared" si="14"/>
        <v>1</v>
      </c>
      <c r="BA33" s="225">
        <f t="shared" si="14"/>
        <v>1</v>
      </c>
      <c r="BB33" s="225">
        <f t="shared" si="14"/>
        <v>1</v>
      </c>
      <c r="BC33" s="225">
        <f t="shared" si="14"/>
        <v>1</v>
      </c>
      <c r="BD33" s="225">
        <f t="shared" si="14"/>
        <v>1</v>
      </c>
      <c r="BE33" s="225">
        <f t="shared" si="14"/>
        <v>1</v>
      </c>
      <c r="BF33" s="225">
        <f t="shared" si="14"/>
        <v>1</v>
      </c>
      <c r="BG33" s="225">
        <f t="shared" si="14"/>
        <v>1</v>
      </c>
      <c r="BH33" s="163">
        <f>Tab.plano6[[#This Row],[Data Término
Prevista]]-Tab.plano6[[#This Row],[Data Início
Previsto]]</f>
        <v>25</v>
      </c>
    </row>
    <row r="34" spans="1:60" s="163" customFormat="1" ht="18" hidden="1" customHeight="1" collapsed="1" x14ac:dyDescent="0.3">
      <c r="A34" s="220"/>
      <c r="B34" s="220" t="s">
        <v>161</v>
      </c>
      <c r="C34" s="220" t="s">
        <v>490</v>
      </c>
      <c r="D34" s="251" t="s">
        <v>399</v>
      </c>
      <c r="E34" s="251" t="s">
        <v>422</v>
      </c>
      <c r="F34" s="251" t="s">
        <v>487</v>
      </c>
      <c r="G34" s="251" t="s">
        <v>487</v>
      </c>
      <c r="H34" s="221" t="s">
        <v>491</v>
      </c>
      <c r="I34" s="260">
        <v>46111</v>
      </c>
      <c r="J34" s="260">
        <v>46112</v>
      </c>
      <c r="K34" s="260">
        <v>46111</v>
      </c>
      <c r="L34" s="260">
        <v>46112</v>
      </c>
      <c r="M34" s="231" t="s">
        <v>488</v>
      </c>
      <c r="N34" s="227" t="str" cm="1">
        <f t="array" ref="N34">_xlfn.IFS(L34&lt;$M$3,"Concluído",AND(K34&lt;=$M$3,L34&gt;=$M$3,L34&lt;=J34),"Em andamento",AND(K34&lt;=$M$3,L34&gt;=$M$3,L34&gt;J34),"Atrasado",AND(K34&gt;$M$3,I34&gt;$M$3),"Não iniciado",AND(K34&gt;$M$3,I34&lt;=$M$3),"Atrasado",TRUE,"Não iniciado")</f>
        <v>Concluído</v>
      </c>
      <c r="O34" s="231" cm="1">
        <f t="array" ref="O34">_xlfn.IFS(N34="Não iniciado",0,N34="Em andamento",1,N34="Concluído",2,N34="Atrasado",3)</f>
        <v>2</v>
      </c>
      <c r="P34" s="220"/>
      <c r="Q34" s="226" cm="1">
        <f t="array" ref="Q34">_xlfn.IFS(AND($I34&lt;$M$3,$J34&lt;$M$3),1,AND($I34&lt;=$M$3,$J34&gt;=$M$3),0.5,AND($I34&gt;=$M$3,$J34&gt;=$M$3),0)</f>
        <v>1</v>
      </c>
      <c r="R34" s="226" cm="1">
        <f t="array" ref="R34">_xlfn.IFS(AND($K34&lt;$M$3,$L34&lt;$M$3),1,AND($K34&lt;=$M$3,$L34&gt;=$M$3),0.5,AND($K34&gt;=$M$3,$L34&gt;=$M$3),0)</f>
        <v>1</v>
      </c>
      <c r="S34" s="226" cm="1">
        <f t="array" ref="S34">_xlfn.IFS(AND($K34&gt;R$7,$L34&gt;R$7),0,AND($K34&lt;=R$7,$L34&lt;=R$7),1,AND($K34&lt;=R$7,$L34&gt;R$7),((R$7-$K34)/($L34-$K34)))</f>
        <v>0</v>
      </c>
      <c r="T34" s="226" cm="1">
        <f t="array" ref="T34">_xlfn.IFS(AND($K34&gt;S$7,$L34&gt;S$7),0,AND($K34&lt;=S$7,$L34&lt;=S$7),1,AND($K34&lt;=S$7,$L34&gt;S$7),((S$7-$K34)/($L34-$K34)))</f>
        <v>0</v>
      </c>
      <c r="U34" s="226" cm="1">
        <f t="array" ref="U34">_xlfn.IFS(AND($K34&gt;T$7,$L34&gt;T$7),0,AND($K34&lt;=T$7,$L34&lt;=T$7),1,AND($K34&lt;=T$7,$L34&gt;T$7),((T$7-$K34)/($L34-$K34)))</f>
        <v>1</v>
      </c>
      <c r="V34" s="226" cm="1">
        <f t="array" ref="V34">_xlfn.IFS(AND($K34&gt;U$7,$L34&gt;U$7),0,AND($K34&lt;=U$7,$L34&lt;=U$7),1,AND($K34&lt;=U$7,$L34&gt;U$7),((U$7-$K34)/($L34-$K34)))</f>
        <v>1</v>
      </c>
      <c r="W34" s="226" cm="1">
        <f t="array" ref="W34">_xlfn.IFS(AND($K34&gt;V$7,$L34&gt;V$7),0,AND($K34&lt;=V$7,$L34&lt;=V$7),1,AND($K34&lt;=V$7,$L34&gt;V$7),((V$7-$K34)/($L34-$K34)))</f>
        <v>1</v>
      </c>
      <c r="X34" s="226" cm="1">
        <f t="array" ref="X34">_xlfn.IFS(AND($K34&gt;W$7,$L34&gt;W$7),0,AND($K34&lt;=W$7,$L34&lt;=W$7),1,AND($K34&lt;=W$7,$L34&gt;W$7),((W$7-$K34)/($L34-$K34)))</f>
        <v>1</v>
      </c>
      <c r="Y34" s="226" cm="1">
        <f t="array" ref="Y34">_xlfn.IFS(AND($K34&gt;X$7,$L34&gt;X$7),0,AND($K34&lt;=X$7,$L34&lt;=X$7),1,AND($K34&lt;=X$7,$L34&gt;X$7),((X$7-$K34)/($L34-$K34)))</f>
        <v>1</v>
      </c>
      <c r="Z34" s="226" cm="1">
        <f t="array" ref="Z34">_xlfn.IFS(AND($K34&gt;Y$7,$L34&gt;Y$7),0,AND($K34&lt;=Y$7,$L34&lt;=Y$7),1,AND($K34&lt;=Y$7,$L34&gt;Y$7),((Y$7-$K34)/($L34-$K34)))</f>
        <v>1</v>
      </c>
      <c r="AA34" s="226" cm="1">
        <f t="array" ref="AA34">_xlfn.IFS(AND($K34&gt;Z$7,$L34&gt;Z$7),0,AND($K34&lt;=Z$7,$L34&lt;=Z$7),1,AND($K34&lt;=Z$7,$L34&gt;Z$7),((Z$7-$K34)/($L34-$K34)))</f>
        <v>1</v>
      </c>
      <c r="AB34" s="226" cm="1">
        <f t="array" ref="AB34">_xlfn.IFS(AND($K34&gt;AA$7,$L34&gt;AA$7),0,AND($K34&lt;=AA$7,$L34&lt;=AA$7),1,AND($K34&lt;=AA$7,$L34&gt;AA$7),((AA$7-$K34)/($L34-$K34)))</f>
        <v>1</v>
      </c>
      <c r="AC34" s="226" cm="1">
        <f t="array" ref="AC34">_xlfn.IFS(AND($K34&gt;AB$7,$L34&gt;AB$7),0,AND($K34&lt;=AB$7,$L34&lt;=AB$7),1,AND($K34&lt;=AB$7,$L34&gt;AB$7),((AB$7-$K34)/($L34-$K34)))</f>
        <v>1</v>
      </c>
      <c r="AD34" s="226" cm="1">
        <f t="array" ref="AD34">_xlfn.IFS(AND($K34&gt;AC$7,$L34&gt;AC$7),0,AND($K34&lt;=AC$7,$L34&lt;=AC$7),1,AND($K34&lt;=AC$7,$L34&gt;AC$7),((AC$7-$K34)/($L34-$K34)))</f>
        <v>1</v>
      </c>
      <c r="AE34" s="226" cm="1">
        <f t="array" ref="AE34">_xlfn.IFS(AND($K34&gt;AD$7,$L34&gt;AD$7),0,AND($K34&lt;=AD$7,$L34&lt;=AD$7),1,AND($K34&lt;=AD$7,$L34&gt;AD$7),((AD$7-$K34)/($L34-$K34)))</f>
        <v>1</v>
      </c>
      <c r="AF34" s="226" cm="1">
        <f t="array" ref="AF34">_xlfn.IFS(AND($K34&gt;AE$7,$L34&gt;AE$7),0,AND($K34&lt;=AE$7,$L34&lt;=AE$7),1,AND($K34&lt;=AE$7,$L34&gt;AE$7),((AE$7-$K34)/($L34-$K34)))</f>
        <v>1</v>
      </c>
      <c r="AG34" s="226" cm="1">
        <f t="array" ref="AG34">_xlfn.IFS(AND($K34&gt;AF$7,$L34&gt;AF$7),0,AND($K34&lt;=AF$7,$L34&lt;=AF$7),1,AND($K34&lt;=AF$7,$L34&gt;AF$7),((AF$7-$K34)/($L34-$K34)))</f>
        <v>1</v>
      </c>
      <c r="AH34" s="226" cm="1">
        <f t="array" ref="AH34">_xlfn.IFS(AND($K34&gt;AG$7,$L34&gt;AG$7),0,AND($K34&lt;=AG$7,$L34&lt;=AG$7),1,AND($K34&lt;=AG$7,$L34&gt;AG$7),((AG$7-$K34)/($L34-$K34)))</f>
        <v>1</v>
      </c>
      <c r="AI34" s="226" cm="1">
        <f t="array" ref="AI34">_xlfn.IFS(AND($K34&gt;AH$7,$L34&gt;AH$7),0,AND($K34&lt;=AH$7,$L34&lt;=AH$7),1,AND($K34&lt;=AH$7,$L34&gt;AH$7),((AH$7-$K34)/($L34-$K34)))</f>
        <v>1</v>
      </c>
      <c r="AJ34" s="226" cm="1">
        <f t="array" ref="AJ34">_xlfn.IFS(AND($K34&gt;AI$7,$L34&gt;AI$7),0,AND($K34&lt;=AI$7,$L34&lt;=AI$7),1,AND($K34&lt;=AI$7,$L34&gt;AI$7),((AI$7-$K34)/($L34-$K34)))</f>
        <v>1</v>
      </c>
      <c r="AK34" s="226" cm="1">
        <f t="array" ref="AK34">_xlfn.IFS(AND($K34&gt;AJ$7,$L34&gt;AJ$7),0,AND($K34&lt;=AJ$7,$L34&lt;=AJ$7),1,AND($K34&lt;=AJ$7,$L34&gt;AJ$7),((AJ$7-$K34)/($L34-$K34)))</f>
        <v>1</v>
      </c>
      <c r="AL34" s="226" cm="1">
        <f t="array" ref="AL34">_xlfn.IFS(AND($K34&gt;AK$7,$L34&gt;AK$7),0,AND($K34&lt;=AK$7,$L34&lt;=AK$7),1,AND($K34&lt;=AK$7,$L34&gt;AK$7),((AK$7-$K34)/($L34-$K34)))</f>
        <v>1</v>
      </c>
      <c r="AM34" s="226" cm="1">
        <f t="array" ref="AM34">_xlfn.IFS(AND($K34&gt;AL$7,$L34&gt;AL$7),0,AND($K34&lt;=AL$7,$L34&lt;=AL$7),1,AND($K34&lt;=AL$7,$L34&gt;AL$7),((AL$7-$K34)/($L34-$K34)))</f>
        <v>1</v>
      </c>
      <c r="AN34" s="226" cm="1">
        <f t="array" ref="AN34">_xlfn.IFS(AND($K34&gt;AM$7,$L34&gt;AM$7),0,AND($K34&lt;=AM$7,$L34&lt;=AM$7),1,AND($K34&lt;=AM$7,$L34&gt;AM$7),((AM$7-$K34)/($L34-$K34)))</f>
        <v>1</v>
      </c>
      <c r="AO34" s="226" cm="1">
        <f t="array" ref="AO34">_xlfn.IFS(AND($K34&gt;AN$7,$L34&gt;AN$7),0,AND($K34&lt;=AN$7,$L34&lt;=AN$7),1,AND($K34&lt;=AN$7,$L34&gt;AN$7),((AN$7-$K34)/($L34-$K34)))</f>
        <v>1</v>
      </c>
      <c r="AP34" s="226" cm="1">
        <f t="array" ref="AP34">_xlfn.IFS(AND($K34&gt;AO$7,$L34&gt;AO$7),0,AND($K34&lt;=AO$7,$L34&lt;=AO$7),1,AND($K34&lt;=AO$7,$L34&gt;AO$7),((AO$7-$K34)/($L34-$K34)))</f>
        <v>1</v>
      </c>
      <c r="AQ34" s="226" cm="1">
        <f t="array" ref="AQ34">_xlfn.IFS(AND($K34&gt;AP$7,$L34&gt;AP$7),0,AND($K34&lt;=AP$7,$L34&lt;=AP$7),1,AND($K34&lt;=AP$7,$L34&gt;AP$7),((AP$7-$K34)/($L34-$K34)))</f>
        <v>1</v>
      </c>
      <c r="AR34" s="226" cm="1">
        <f t="array" ref="AR34">_xlfn.IFS(AND($K34&gt;AQ$7,$L34&gt;AQ$7),0,AND($K34&lt;=AQ$7,$L34&lt;=AQ$7),1,AND($K34&lt;=AQ$7,$L34&gt;AQ$7),((AQ$7-$K34)/($L34-$K34)))</f>
        <v>1</v>
      </c>
      <c r="AS34" s="226" cm="1">
        <f t="array" ref="AS34">_xlfn.IFS(AND($K34&gt;AR$7,$L34&gt;AR$7),0,AND($K34&lt;=AR$7,$L34&lt;=AR$7),1,AND($K34&lt;=AR$7,$L34&gt;AR$7),((AR$7-$K34)/($L34-$K34)))</f>
        <v>1</v>
      </c>
      <c r="AT34" s="226" cm="1">
        <f t="array" ref="AT34">_xlfn.IFS(AND($K34&gt;AS$7,$L34&gt;AS$7),0,AND($K34&lt;=AS$7,$L34&lt;=AS$7),1,AND($K34&lt;=AS$7,$L34&gt;AS$7),((AS$7-$K34)/($L34-$K34)))</f>
        <v>1</v>
      </c>
      <c r="AU34" s="226" cm="1">
        <f t="array" ref="AU34">_xlfn.IFS(AND($K34&gt;AT$7,$L34&gt;AT$7),0,AND($K34&lt;=AT$7,$L34&lt;=AT$7),1,AND($K34&lt;=AT$7,$L34&gt;AT$7),((AT$7-$K34)/($L34-$K34)))</f>
        <v>1</v>
      </c>
      <c r="AV34" s="226" cm="1">
        <f t="array" ref="AV34">_xlfn.IFS(AND($K34&gt;AU$7,$L34&gt;AU$7),0,AND($K34&lt;=AU$7,$L34&lt;=AU$7),1,AND($K34&lt;=AU$7,$L34&gt;AU$7),((AU$7-$K34)/($L34-$K34)))</f>
        <v>1</v>
      </c>
      <c r="AW34" s="226" cm="1">
        <f t="array" ref="AW34">_xlfn.IFS(AND($K34&gt;AV$7,$L34&gt;AV$7),0,AND($K34&lt;=AV$7,$L34&lt;=AV$7),1,AND($K34&lt;=AV$7,$L34&gt;AV$7),((AV$7-$K34)/($L34-$K34)))</f>
        <v>1</v>
      </c>
      <c r="AX34" s="226" cm="1">
        <f t="array" ref="AX34">_xlfn.IFS(AND($K34&gt;AW$7,$L34&gt;AW$7),0,AND($K34&lt;=AW$7,$L34&lt;=AW$7),1,AND($K34&lt;=AW$7,$L34&gt;AW$7),((AW$7-$K34)/($L34-$K34)))</f>
        <v>1</v>
      </c>
      <c r="AY34" s="226" cm="1">
        <f t="array" ref="AY34">_xlfn.IFS(AND($K34&gt;AX$7,$L34&gt;AX$7),0,AND($K34&lt;=AX$7,$L34&lt;=AX$7),1,AND($K34&lt;=AX$7,$L34&gt;AX$7),((AX$7-$K34)/($L34-$K34)))</f>
        <v>1</v>
      </c>
      <c r="AZ34" s="226" cm="1">
        <f t="array" ref="AZ34">_xlfn.IFS(AND($K34&gt;AY$7,$L34&gt;AY$7),0,AND($K34&lt;=AY$7,$L34&lt;=AY$7),1,AND($K34&lt;=AY$7,$L34&gt;AY$7),((AY$7-$K34)/($L34-$K34)))</f>
        <v>1</v>
      </c>
      <c r="BA34" s="226" cm="1">
        <f t="array" ref="BA34">_xlfn.IFS(AND($K34&gt;AZ$7,$L34&gt;AZ$7),0,AND($K34&lt;=AZ$7,$L34&lt;=AZ$7),1,AND($K34&lt;=AZ$7,$L34&gt;AZ$7),((AZ$7-$K34)/($L34-$K34)))</f>
        <v>1</v>
      </c>
      <c r="BB34" s="226" cm="1">
        <f t="array" ref="BB34">_xlfn.IFS(AND($K34&gt;BA$7,$L34&gt;BA$7),0,AND($K34&lt;=BA$7,$L34&lt;=BA$7),1,AND($K34&lt;=BA$7,$L34&gt;BA$7),((BA$7-$K34)/($L34-$K34)))</f>
        <v>1</v>
      </c>
      <c r="BC34" s="226" cm="1">
        <f t="array" ref="BC34">_xlfn.IFS(AND($K34&gt;BB$7,$L34&gt;BB$7),0,AND($K34&lt;=BB$7,$L34&lt;=BB$7),1,AND($K34&lt;=BB$7,$L34&gt;BB$7),((BB$7-$K34)/($L34-$K34)))</f>
        <v>1</v>
      </c>
      <c r="BD34" s="226" cm="1">
        <f t="array" ref="BD34">_xlfn.IFS(AND($K34&gt;BC$7,$L34&gt;BC$7),0,AND($K34&lt;=BC$7,$L34&lt;=BC$7),1,AND($K34&lt;=BC$7,$L34&gt;BC$7),((BC$7-$K34)/($L34-$K34)))</f>
        <v>1</v>
      </c>
      <c r="BE34" s="226" cm="1">
        <f t="array" ref="BE34">_xlfn.IFS(AND($K34&gt;BD$7,$L34&gt;BD$7),0,AND($K34&lt;=BD$7,$L34&lt;=BD$7),1,AND($K34&lt;=BD$7,$L34&gt;BD$7),((BD$7-$K34)/($L34-$K34)))</f>
        <v>1</v>
      </c>
      <c r="BF34" s="226" cm="1">
        <f t="array" ref="BF34">_xlfn.IFS(AND($K34&gt;BE$7,$L34&gt;BE$7),0,AND($K34&lt;=BE$7,$L34&lt;=BE$7),1,AND($K34&lt;=BE$7,$L34&gt;BE$7),((BE$7-$K34)/($L34-$K34)))</f>
        <v>1</v>
      </c>
      <c r="BG34" s="226" cm="1">
        <f t="array" ref="BG34">_xlfn.IFS(AND($K34&gt;BF$7,$L34&gt;BF$7),0,AND($K34&lt;=BF$7,$L34&lt;=BF$7),1,AND($K34&lt;=BF$7,$L34&gt;BF$7),((BF$7-$K34)/($L34-$K34)))</f>
        <v>1</v>
      </c>
      <c r="BH34" s="163">
        <f>Tab.plano6[[#This Row],[Data Término
Prevista]]-Tab.plano6[[#This Row],[Data Início
Previsto]]</f>
        <v>1</v>
      </c>
    </row>
    <row r="35" spans="1:60" s="163" customFormat="1" ht="18" hidden="1" customHeight="1" collapsed="1" x14ac:dyDescent="0.3">
      <c r="A35" s="220"/>
      <c r="B35" s="220" t="s">
        <v>161</v>
      </c>
      <c r="C35" s="220" t="s">
        <v>492</v>
      </c>
      <c r="D35" s="251" t="s">
        <v>399</v>
      </c>
      <c r="E35" s="251" t="s">
        <v>422</v>
      </c>
      <c r="F35" s="251" t="s">
        <v>487</v>
      </c>
      <c r="G35" s="251" t="s">
        <v>487</v>
      </c>
      <c r="H35" s="221" t="s">
        <v>493</v>
      </c>
      <c r="I35" s="260">
        <v>46113</v>
      </c>
      <c r="J35" s="260">
        <v>46132</v>
      </c>
      <c r="K35" s="260">
        <v>46113</v>
      </c>
      <c r="L35" s="260">
        <v>46171</v>
      </c>
      <c r="M35" s="231" t="s">
        <v>488</v>
      </c>
      <c r="N35" s="227" t="str" cm="1">
        <f t="array" ref="N35">_xlfn.IFS(L35&lt;$M$3,"Concluído",AND(K35&lt;=$M$3,L35&gt;=$M$3,L35&lt;=J35),"Em andamento",AND(K35&lt;=$M$3,L35&gt;=$M$3,L35&gt;J35),"Atrasado",AND(K35&gt;$M$3,I35&gt;$M$3),"Não iniciado",AND(K35&gt;$M$3,I35&lt;=$M$3),"Atrasado",TRUE,"Não iniciado")</f>
        <v>Atrasado</v>
      </c>
      <c r="O35" s="231" cm="1">
        <f t="array" ref="O35">_xlfn.IFS(N35="Não iniciado",0,N35="Em andamento",1,N35="Concluído",2,N35="Atrasado",3)</f>
        <v>3</v>
      </c>
      <c r="P35" s="220"/>
      <c r="Q35" s="226" cm="1">
        <f t="array" ref="Q35">_xlfn.IFS(AND($I35&lt;$M$3,$J35&lt;$M$3),1,AND($I35&lt;=$M$3,$J35&gt;=$M$3),0.5,AND($I35&gt;=$M$3,$J35&gt;=$M$3),0)</f>
        <v>1</v>
      </c>
      <c r="R35" s="226" cm="1">
        <f t="array" ref="R35">_xlfn.IFS(AND($K35&lt;$M$3,$L35&lt;$M$3),1,AND($K35&lt;=$M$3,$L35&gt;=$M$3),0.5,AND($K35&gt;=$M$3,$L35&gt;=$M$3),0)</f>
        <v>0.5</v>
      </c>
      <c r="S35" s="226" cm="1">
        <f t="array" ref="S35">_xlfn.IFS(AND($K35&gt;R$7,$L35&gt;R$7),0,AND($K35&lt;=R$7,$L35&lt;=R$7),1,AND($K35&lt;=R$7,$L35&gt;R$7),((R$7-$K35)/($L35-$K35)))</f>
        <v>0</v>
      </c>
      <c r="T35" s="226" cm="1">
        <f t="array" ref="T35">_xlfn.IFS(AND($K35&gt;S$7,$L35&gt;S$7),0,AND($K35&lt;=S$7,$L35&lt;=S$7),1,AND($K35&lt;=S$7,$L35&gt;S$7),((S$7-$K35)/($L35-$K35)))</f>
        <v>0</v>
      </c>
      <c r="U35" s="226" cm="1">
        <f t="array" ref="U35">_xlfn.IFS(AND($K35&gt;T$7,$L35&gt;T$7),0,AND($K35&lt;=T$7,$L35&lt;=T$7),1,AND($K35&lt;=T$7,$L35&gt;T$7),((T$7-$K35)/($L35-$K35)))</f>
        <v>8.6206896551724144E-2</v>
      </c>
      <c r="V35" s="226" cm="1">
        <f t="array" ref="V35">_xlfn.IFS(AND($K35&gt;U$7,$L35&gt;U$7),0,AND($K35&lt;=U$7,$L35&lt;=U$7),1,AND($K35&lt;=U$7,$L35&gt;U$7),((U$7-$K35)/($L35-$K35)))</f>
        <v>0.20689655172413793</v>
      </c>
      <c r="W35" s="226" cm="1">
        <f t="array" ref="W35">_xlfn.IFS(AND($K35&gt;V$7,$L35&gt;V$7),0,AND($K35&lt;=V$7,$L35&lt;=V$7),1,AND($K35&lt;=V$7,$L35&gt;V$7),((V$7-$K35)/($L35-$K35)))</f>
        <v>0.32758620689655171</v>
      </c>
      <c r="X35" s="226" cm="1">
        <f t="array" ref="X35">_xlfn.IFS(AND($K35&gt;W$7,$L35&gt;W$7),0,AND($K35&lt;=W$7,$L35&lt;=W$7),1,AND($K35&lt;=W$7,$L35&gt;W$7),((W$7-$K35)/($L35-$K35)))</f>
        <v>0.44827586206896552</v>
      </c>
      <c r="Y35" s="226" cm="1">
        <f t="array" ref="Y35">_xlfn.IFS(AND($K35&gt;X$7,$L35&gt;X$7),0,AND($K35&lt;=X$7,$L35&lt;=X$7),1,AND($K35&lt;=X$7,$L35&gt;X$7),((X$7-$K35)/($L35-$K35)))</f>
        <v>0.56896551724137934</v>
      </c>
      <c r="Z35" s="226" cm="1">
        <f t="array" ref="Z35">_xlfn.IFS(AND($K35&gt;Y$7,$L35&gt;Y$7),0,AND($K35&lt;=Y$7,$L35&lt;=Y$7),1,AND($K35&lt;=Y$7,$L35&gt;Y$7),((Y$7-$K35)/($L35-$K35)))</f>
        <v>0.68965517241379315</v>
      </c>
      <c r="AA35" s="226" cm="1">
        <f t="array" ref="AA35">_xlfn.IFS(AND($K35&gt;Z$7,$L35&gt;Z$7),0,AND($K35&lt;=Z$7,$L35&lt;=Z$7),1,AND($K35&lt;=Z$7,$L35&gt;Z$7),((Z$7-$K35)/($L35-$K35)))</f>
        <v>0.81034482758620685</v>
      </c>
      <c r="AB35" s="226" cm="1">
        <f t="array" ref="AB35">_xlfn.IFS(AND($K35&gt;AA$7,$L35&gt;AA$7),0,AND($K35&lt;=AA$7,$L35&lt;=AA$7),1,AND($K35&lt;=AA$7,$L35&gt;AA$7),((AA$7-$K35)/($L35-$K35)))</f>
        <v>0.93103448275862066</v>
      </c>
      <c r="AC35" s="226" cm="1">
        <f t="array" ref="AC35">_xlfn.IFS(AND($K35&gt;AB$7,$L35&gt;AB$7),0,AND($K35&lt;=AB$7,$L35&lt;=AB$7),1,AND($K35&lt;=AB$7,$L35&gt;AB$7),((AB$7-$K35)/($L35-$K35)))</f>
        <v>1</v>
      </c>
      <c r="AD35" s="226" cm="1">
        <f t="array" ref="AD35">_xlfn.IFS(AND($K35&gt;AC$7,$L35&gt;AC$7),0,AND($K35&lt;=AC$7,$L35&lt;=AC$7),1,AND($K35&lt;=AC$7,$L35&gt;AC$7),((AC$7-$K35)/($L35-$K35)))</f>
        <v>1</v>
      </c>
      <c r="AE35" s="226" cm="1">
        <f t="array" ref="AE35">_xlfn.IFS(AND($K35&gt;AD$7,$L35&gt;AD$7),0,AND($K35&lt;=AD$7,$L35&lt;=AD$7),1,AND($K35&lt;=AD$7,$L35&gt;AD$7),((AD$7-$K35)/($L35-$K35)))</f>
        <v>1</v>
      </c>
      <c r="AF35" s="226" cm="1">
        <f t="array" ref="AF35">_xlfn.IFS(AND($K35&gt;AE$7,$L35&gt;AE$7),0,AND($K35&lt;=AE$7,$L35&lt;=AE$7),1,AND($K35&lt;=AE$7,$L35&gt;AE$7),((AE$7-$K35)/($L35-$K35)))</f>
        <v>1</v>
      </c>
      <c r="AG35" s="226" cm="1">
        <f t="array" ref="AG35">_xlfn.IFS(AND($K35&gt;AF$7,$L35&gt;AF$7),0,AND($K35&lt;=AF$7,$L35&lt;=AF$7),1,AND($K35&lt;=AF$7,$L35&gt;AF$7),((AF$7-$K35)/($L35-$K35)))</f>
        <v>1</v>
      </c>
      <c r="AH35" s="226" cm="1">
        <f t="array" ref="AH35">_xlfn.IFS(AND($K35&gt;AG$7,$L35&gt;AG$7),0,AND($K35&lt;=AG$7,$L35&lt;=AG$7),1,AND($K35&lt;=AG$7,$L35&gt;AG$7),((AG$7-$K35)/($L35-$K35)))</f>
        <v>1</v>
      </c>
      <c r="AI35" s="226" cm="1">
        <f t="array" ref="AI35">_xlfn.IFS(AND($K35&gt;AH$7,$L35&gt;AH$7),0,AND($K35&lt;=AH$7,$L35&lt;=AH$7),1,AND($K35&lt;=AH$7,$L35&gt;AH$7),((AH$7-$K35)/($L35-$K35)))</f>
        <v>1</v>
      </c>
      <c r="AJ35" s="226" cm="1">
        <f t="array" ref="AJ35">_xlfn.IFS(AND($K35&gt;AI$7,$L35&gt;AI$7),0,AND($K35&lt;=AI$7,$L35&lt;=AI$7),1,AND($K35&lt;=AI$7,$L35&gt;AI$7),((AI$7-$K35)/($L35-$K35)))</f>
        <v>1</v>
      </c>
      <c r="AK35" s="226" cm="1">
        <f t="array" ref="AK35">_xlfn.IFS(AND($K35&gt;AJ$7,$L35&gt;AJ$7),0,AND($K35&lt;=AJ$7,$L35&lt;=AJ$7),1,AND($K35&lt;=AJ$7,$L35&gt;AJ$7),((AJ$7-$K35)/($L35-$K35)))</f>
        <v>1</v>
      </c>
      <c r="AL35" s="226" cm="1">
        <f t="array" ref="AL35">_xlfn.IFS(AND($K35&gt;AK$7,$L35&gt;AK$7),0,AND($K35&lt;=AK$7,$L35&lt;=AK$7),1,AND($K35&lt;=AK$7,$L35&gt;AK$7),((AK$7-$K35)/($L35-$K35)))</f>
        <v>1</v>
      </c>
      <c r="AM35" s="226" cm="1">
        <f t="array" ref="AM35">_xlfn.IFS(AND($K35&gt;AL$7,$L35&gt;AL$7),0,AND($K35&lt;=AL$7,$L35&lt;=AL$7),1,AND($K35&lt;=AL$7,$L35&gt;AL$7),((AL$7-$K35)/($L35-$K35)))</f>
        <v>1</v>
      </c>
      <c r="AN35" s="226" cm="1">
        <f t="array" ref="AN35">_xlfn.IFS(AND($K35&gt;AM$7,$L35&gt;AM$7),0,AND($K35&lt;=AM$7,$L35&lt;=AM$7),1,AND($K35&lt;=AM$7,$L35&gt;AM$7),((AM$7-$K35)/($L35-$K35)))</f>
        <v>1</v>
      </c>
      <c r="AO35" s="226" cm="1">
        <f t="array" ref="AO35">_xlfn.IFS(AND($K35&gt;AN$7,$L35&gt;AN$7),0,AND($K35&lt;=AN$7,$L35&lt;=AN$7),1,AND($K35&lt;=AN$7,$L35&gt;AN$7),((AN$7-$K35)/($L35-$K35)))</f>
        <v>1</v>
      </c>
      <c r="AP35" s="226" cm="1">
        <f t="array" ref="AP35">_xlfn.IFS(AND($K35&gt;AO$7,$L35&gt;AO$7),0,AND($K35&lt;=AO$7,$L35&lt;=AO$7),1,AND($K35&lt;=AO$7,$L35&gt;AO$7),((AO$7-$K35)/($L35-$K35)))</f>
        <v>1</v>
      </c>
      <c r="AQ35" s="226" cm="1">
        <f t="array" ref="AQ35">_xlfn.IFS(AND($K35&gt;AP$7,$L35&gt;AP$7),0,AND($K35&lt;=AP$7,$L35&lt;=AP$7),1,AND($K35&lt;=AP$7,$L35&gt;AP$7),((AP$7-$K35)/($L35-$K35)))</f>
        <v>1</v>
      </c>
      <c r="AR35" s="226" cm="1">
        <f t="array" ref="AR35">_xlfn.IFS(AND($K35&gt;AQ$7,$L35&gt;AQ$7),0,AND($K35&lt;=AQ$7,$L35&lt;=AQ$7),1,AND($K35&lt;=AQ$7,$L35&gt;AQ$7),((AQ$7-$K35)/($L35-$K35)))</f>
        <v>1</v>
      </c>
      <c r="AS35" s="226" cm="1">
        <f t="array" ref="AS35">_xlfn.IFS(AND($K35&gt;AR$7,$L35&gt;AR$7),0,AND($K35&lt;=AR$7,$L35&lt;=AR$7),1,AND($K35&lt;=AR$7,$L35&gt;AR$7),((AR$7-$K35)/($L35-$K35)))</f>
        <v>1</v>
      </c>
      <c r="AT35" s="226" cm="1">
        <f t="array" ref="AT35">_xlfn.IFS(AND($K35&gt;AS$7,$L35&gt;AS$7),0,AND($K35&lt;=AS$7,$L35&lt;=AS$7),1,AND($K35&lt;=AS$7,$L35&gt;AS$7),((AS$7-$K35)/($L35-$K35)))</f>
        <v>1</v>
      </c>
      <c r="AU35" s="226" cm="1">
        <f t="array" ref="AU35">_xlfn.IFS(AND($K35&gt;AT$7,$L35&gt;AT$7),0,AND($K35&lt;=AT$7,$L35&lt;=AT$7),1,AND($K35&lt;=AT$7,$L35&gt;AT$7),((AT$7-$K35)/($L35-$K35)))</f>
        <v>1</v>
      </c>
      <c r="AV35" s="226" cm="1">
        <f t="array" ref="AV35">_xlfn.IFS(AND($K35&gt;AU$7,$L35&gt;AU$7),0,AND($K35&lt;=AU$7,$L35&lt;=AU$7),1,AND($K35&lt;=AU$7,$L35&gt;AU$7),((AU$7-$K35)/($L35-$K35)))</f>
        <v>1</v>
      </c>
      <c r="AW35" s="226" cm="1">
        <f t="array" ref="AW35">_xlfn.IFS(AND($K35&gt;AV$7,$L35&gt;AV$7),0,AND($K35&lt;=AV$7,$L35&lt;=AV$7),1,AND($K35&lt;=AV$7,$L35&gt;AV$7),((AV$7-$K35)/($L35-$K35)))</f>
        <v>1</v>
      </c>
      <c r="AX35" s="226" cm="1">
        <f t="array" ref="AX35">_xlfn.IFS(AND($K35&gt;AW$7,$L35&gt;AW$7),0,AND($K35&lt;=AW$7,$L35&lt;=AW$7),1,AND($K35&lt;=AW$7,$L35&gt;AW$7),((AW$7-$K35)/($L35-$K35)))</f>
        <v>1</v>
      </c>
      <c r="AY35" s="226" cm="1">
        <f t="array" ref="AY35">_xlfn.IFS(AND($K35&gt;AX$7,$L35&gt;AX$7),0,AND($K35&lt;=AX$7,$L35&lt;=AX$7),1,AND($K35&lt;=AX$7,$L35&gt;AX$7),((AX$7-$K35)/($L35-$K35)))</f>
        <v>1</v>
      </c>
      <c r="AZ35" s="226" cm="1">
        <f t="array" ref="AZ35">_xlfn.IFS(AND($K35&gt;AY$7,$L35&gt;AY$7),0,AND($K35&lt;=AY$7,$L35&lt;=AY$7),1,AND($K35&lt;=AY$7,$L35&gt;AY$7),((AY$7-$K35)/($L35-$K35)))</f>
        <v>1</v>
      </c>
      <c r="BA35" s="226" cm="1">
        <f t="array" ref="BA35">_xlfn.IFS(AND($K35&gt;AZ$7,$L35&gt;AZ$7),0,AND($K35&lt;=AZ$7,$L35&lt;=AZ$7),1,AND($K35&lt;=AZ$7,$L35&gt;AZ$7),((AZ$7-$K35)/($L35-$K35)))</f>
        <v>1</v>
      </c>
      <c r="BB35" s="226" cm="1">
        <f t="array" ref="BB35">_xlfn.IFS(AND($K35&gt;BA$7,$L35&gt;BA$7),0,AND($K35&lt;=BA$7,$L35&lt;=BA$7),1,AND($K35&lt;=BA$7,$L35&gt;BA$7),((BA$7-$K35)/($L35-$K35)))</f>
        <v>1</v>
      </c>
      <c r="BC35" s="226" cm="1">
        <f t="array" ref="BC35">_xlfn.IFS(AND($K35&gt;BB$7,$L35&gt;BB$7),0,AND($K35&lt;=BB$7,$L35&lt;=BB$7),1,AND($K35&lt;=BB$7,$L35&gt;BB$7),((BB$7-$K35)/($L35-$K35)))</f>
        <v>1</v>
      </c>
      <c r="BD35" s="226" cm="1">
        <f t="array" ref="BD35">_xlfn.IFS(AND($K35&gt;BC$7,$L35&gt;BC$7),0,AND($K35&lt;=BC$7,$L35&lt;=BC$7),1,AND($K35&lt;=BC$7,$L35&gt;BC$7),((BC$7-$K35)/($L35-$K35)))</f>
        <v>1</v>
      </c>
      <c r="BE35" s="226" cm="1">
        <f t="array" ref="BE35">_xlfn.IFS(AND($K35&gt;BD$7,$L35&gt;BD$7),0,AND($K35&lt;=BD$7,$L35&lt;=BD$7),1,AND($K35&lt;=BD$7,$L35&gt;BD$7),((BD$7-$K35)/($L35-$K35)))</f>
        <v>1</v>
      </c>
      <c r="BF35" s="226" cm="1">
        <f t="array" ref="BF35">_xlfn.IFS(AND($K35&gt;BE$7,$L35&gt;BE$7),0,AND($K35&lt;=BE$7,$L35&lt;=BE$7),1,AND($K35&lt;=BE$7,$L35&gt;BE$7),((BE$7-$K35)/($L35-$K35)))</f>
        <v>1</v>
      </c>
      <c r="BG35" s="226" cm="1">
        <f t="array" ref="BG35">_xlfn.IFS(AND($K35&gt;BF$7,$L35&gt;BF$7),0,AND($K35&lt;=BF$7,$L35&lt;=BF$7),1,AND($K35&lt;=BF$7,$L35&gt;BF$7),((BF$7-$K35)/($L35-$K35)))</f>
        <v>1</v>
      </c>
      <c r="BH35" s="163">
        <f>Tab.plano6[[#This Row],[Data Término
Prevista]]-Tab.plano6[[#This Row],[Data Início
Previsto]]</f>
        <v>19</v>
      </c>
    </row>
    <row r="36" spans="1:60" s="163" customFormat="1" ht="18" hidden="1" customHeight="1" collapsed="1" x14ac:dyDescent="0.3">
      <c r="A36" s="220"/>
      <c r="B36" s="220" t="s">
        <v>161</v>
      </c>
      <c r="C36" s="220" t="s">
        <v>836</v>
      </c>
      <c r="D36" s="251" t="s">
        <v>399</v>
      </c>
      <c r="E36" s="251" t="s">
        <v>422</v>
      </c>
      <c r="F36" s="251" t="s">
        <v>487</v>
      </c>
      <c r="G36" s="251" t="s">
        <v>487</v>
      </c>
      <c r="H36" s="246" t="s">
        <v>803</v>
      </c>
      <c r="I36" s="260">
        <v>46134</v>
      </c>
      <c r="J36" s="260">
        <v>46136</v>
      </c>
      <c r="K36" s="260">
        <v>46171</v>
      </c>
      <c r="L36" s="260">
        <v>46178</v>
      </c>
      <c r="M36" s="259" t="s">
        <v>488</v>
      </c>
      <c r="N36" s="227" t="str" cm="1">
        <f t="array" ref="N36">_xlfn.IFS(L36&lt;$M$3,"Concluído",AND(K36&lt;=$M$3,L36&gt;=$M$3,L36&lt;=J36),"Em andamento",AND(K36&lt;=$M$3,L36&gt;=$M$3,L36&gt;J36),"Atrasado",AND(K36&gt;$M$3,I36&gt;$M$3),"Não iniciado",AND(K36&gt;$M$3,I36&lt;=$M$3),"Atrasado",TRUE,"Não iniciado")</f>
        <v>Atrasado</v>
      </c>
      <c r="O36" s="231" cm="1">
        <f t="array" ref="O36">_xlfn.IFS(N36="Não iniciado",0,N36="Em andamento",1,N36="Concluído",2,N36="Atrasado",3)</f>
        <v>3</v>
      </c>
      <c r="P36" s="220"/>
      <c r="Q36" s="226" cm="1">
        <f t="array" ref="Q36">_xlfn.IFS(AND($I36&lt;$M$3,$J36&lt;$M$3),1,AND($I36&lt;=$M$3,$J36&gt;=$M$3),0.5,AND($I36&gt;=$M$3,$J36&gt;=$M$3),0)</f>
        <v>1</v>
      </c>
      <c r="R36" s="226" cm="1">
        <f t="array" ref="R36">_xlfn.IFS(AND($K36&lt;$M$3,$L36&lt;$M$3),1,AND($K36&lt;=$M$3,$L36&gt;=$M$3),0.5,AND($K36&gt;=$M$3,$L36&gt;=$M$3),0)</f>
        <v>0</v>
      </c>
      <c r="S36" s="226" cm="1">
        <f t="array" ref="S36">_xlfn.IFS(AND($K36&gt;R$7,$L36&gt;R$7),0,AND($K36&lt;=R$7,$L36&lt;=R$7),1,AND($K36&lt;=R$7,$L36&gt;R$7),((R$7-$K36)/($L36-$K36)))</f>
        <v>0</v>
      </c>
      <c r="T36" s="226" cm="1">
        <f t="array" ref="T36">_xlfn.IFS(AND($K36&gt;S$7,$L36&gt;S$7),0,AND($K36&lt;=S$7,$L36&lt;=S$7),1,AND($K36&lt;=S$7,$L36&gt;S$7),((S$7-$K36)/($L36-$K36)))</f>
        <v>0</v>
      </c>
      <c r="U36" s="226" cm="1">
        <f t="array" ref="U36">_xlfn.IFS(AND($K36&gt;T$7,$L36&gt;T$7),0,AND($K36&lt;=T$7,$L36&lt;=T$7),1,AND($K36&lt;=T$7,$L36&gt;T$7),((T$7-$K36)/($L36-$K36)))</f>
        <v>0</v>
      </c>
      <c r="V36" s="226" cm="1">
        <f t="array" ref="V36">_xlfn.IFS(AND($K36&gt;U$7,$L36&gt;U$7),0,AND($K36&lt;=U$7,$L36&lt;=U$7),1,AND($K36&lt;=U$7,$L36&gt;U$7),((U$7-$K36)/($L36-$K36)))</f>
        <v>0</v>
      </c>
      <c r="W36" s="226" cm="1">
        <f t="array" ref="W36">_xlfn.IFS(AND($K36&gt;V$7,$L36&gt;V$7),0,AND($K36&lt;=V$7,$L36&lt;=V$7),1,AND($K36&lt;=V$7,$L36&gt;V$7),((V$7-$K36)/($L36-$K36)))</f>
        <v>0</v>
      </c>
      <c r="X36" s="226" cm="1">
        <f t="array" ref="X36">_xlfn.IFS(AND($K36&gt;W$7,$L36&gt;W$7),0,AND($K36&lt;=W$7,$L36&lt;=W$7),1,AND($K36&lt;=W$7,$L36&gt;W$7),((W$7-$K36)/($L36-$K36)))</f>
        <v>0</v>
      </c>
      <c r="Y36" s="226" cm="1">
        <f t="array" ref="Y36">_xlfn.IFS(AND($K36&gt;X$7,$L36&gt;X$7),0,AND($K36&lt;=X$7,$L36&lt;=X$7),1,AND($K36&lt;=X$7,$L36&gt;X$7),((X$7-$K36)/($L36-$K36)))</f>
        <v>0</v>
      </c>
      <c r="Z36" s="226" cm="1">
        <f t="array" ref="Z36">_xlfn.IFS(AND($K36&gt;Y$7,$L36&gt;Y$7),0,AND($K36&lt;=Y$7,$L36&lt;=Y$7),1,AND($K36&lt;=Y$7,$L36&gt;Y$7),((Y$7-$K36)/($L36-$K36)))</f>
        <v>0</v>
      </c>
      <c r="AA36" s="226" cm="1">
        <f t="array" ref="AA36">_xlfn.IFS(AND($K36&gt;Z$7,$L36&gt;Z$7),0,AND($K36&lt;=Z$7,$L36&lt;=Z$7),1,AND($K36&lt;=Z$7,$L36&gt;Z$7),((Z$7-$K36)/($L36-$K36)))</f>
        <v>0</v>
      </c>
      <c r="AB36" s="226" cm="1">
        <f t="array" ref="AB36">_xlfn.IFS(AND($K36&gt;AA$7,$L36&gt;AA$7),0,AND($K36&lt;=AA$7,$L36&lt;=AA$7),1,AND($K36&lt;=AA$7,$L36&gt;AA$7),((AA$7-$K36)/($L36-$K36)))</f>
        <v>0</v>
      </c>
      <c r="AC36" s="226" cm="1">
        <f t="array" ref="AC36">_xlfn.IFS(AND($K36&gt;AB$7,$L36&gt;AB$7),0,AND($K36&lt;=AB$7,$L36&lt;=AB$7),1,AND($K36&lt;=AB$7,$L36&gt;AB$7),((AB$7-$K36)/($L36-$K36)))</f>
        <v>0.42857142857142855</v>
      </c>
      <c r="AD36" s="226" cm="1">
        <f t="array" ref="AD36">_xlfn.IFS(AND($K36&gt;AC$7,$L36&gt;AC$7),0,AND($K36&lt;=AC$7,$L36&lt;=AC$7),1,AND($K36&lt;=AC$7,$L36&gt;AC$7),((AC$7-$K36)/($L36-$K36)))</f>
        <v>1</v>
      </c>
      <c r="AE36" s="226" cm="1">
        <f t="array" ref="AE36">_xlfn.IFS(AND($K36&gt;AD$7,$L36&gt;AD$7),0,AND($K36&lt;=AD$7,$L36&lt;=AD$7),1,AND($K36&lt;=AD$7,$L36&gt;AD$7),((AD$7-$K36)/($L36-$K36)))</f>
        <v>1</v>
      </c>
      <c r="AF36" s="226" cm="1">
        <f t="array" ref="AF36">_xlfn.IFS(AND($K36&gt;AE$7,$L36&gt;AE$7),0,AND($K36&lt;=AE$7,$L36&lt;=AE$7),1,AND($K36&lt;=AE$7,$L36&gt;AE$7),((AE$7-$K36)/($L36-$K36)))</f>
        <v>1</v>
      </c>
      <c r="AG36" s="226" cm="1">
        <f t="array" ref="AG36">_xlfn.IFS(AND($K36&gt;AF$7,$L36&gt;AF$7),0,AND($K36&lt;=AF$7,$L36&lt;=AF$7),1,AND($K36&lt;=AF$7,$L36&gt;AF$7),((AF$7-$K36)/($L36-$K36)))</f>
        <v>1</v>
      </c>
      <c r="AH36" s="226" cm="1">
        <f t="array" ref="AH36">_xlfn.IFS(AND($K36&gt;AG$7,$L36&gt;AG$7),0,AND($K36&lt;=AG$7,$L36&lt;=AG$7),1,AND($K36&lt;=AG$7,$L36&gt;AG$7),((AG$7-$K36)/($L36-$K36)))</f>
        <v>1</v>
      </c>
      <c r="AI36" s="226" cm="1">
        <f t="array" ref="AI36">_xlfn.IFS(AND($K36&gt;AH$7,$L36&gt;AH$7),0,AND($K36&lt;=AH$7,$L36&lt;=AH$7),1,AND($K36&lt;=AH$7,$L36&gt;AH$7),((AH$7-$K36)/($L36-$K36)))</f>
        <v>1</v>
      </c>
      <c r="AJ36" s="226" cm="1">
        <f t="array" ref="AJ36">_xlfn.IFS(AND($K36&gt;AI$7,$L36&gt;AI$7),0,AND($K36&lt;=AI$7,$L36&lt;=AI$7),1,AND($K36&lt;=AI$7,$L36&gt;AI$7),((AI$7-$K36)/($L36-$K36)))</f>
        <v>1</v>
      </c>
      <c r="AK36" s="226" cm="1">
        <f t="array" ref="AK36">_xlfn.IFS(AND($K36&gt;AJ$7,$L36&gt;AJ$7),0,AND($K36&lt;=AJ$7,$L36&lt;=AJ$7),1,AND($K36&lt;=AJ$7,$L36&gt;AJ$7),((AJ$7-$K36)/($L36-$K36)))</f>
        <v>1</v>
      </c>
      <c r="AL36" s="226" cm="1">
        <f t="array" ref="AL36">_xlfn.IFS(AND($K36&gt;AK$7,$L36&gt;AK$7),0,AND($K36&lt;=AK$7,$L36&lt;=AK$7),1,AND($K36&lt;=AK$7,$L36&gt;AK$7),((AK$7-$K36)/($L36-$K36)))</f>
        <v>1</v>
      </c>
      <c r="AM36" s="226" cm="1">
        <f t="array" ref="AM36">_xlfn.IFS(AND($K36&gt;AL$7,$L36&gt;AL$7),0,AND($K36&lt;=AL$7,$L36&lt;=AL$7),1,AND($K36&lt;=AL$7,$L36&gt;AL$7),((AL$7-$K36)/($L36-$K36)))</f>
        <v>1</v>
      </c>
      <c r="AN36" s="226" cm="1">
        <f t="array" ref="AN36">_xlfn.IFS(AND($K36&gt;AM$7,$L36&gt;AM$7),0,AND($K36&lt;=AM$7,$L36&lt;=AM$7),1,AND($K36&lt;=AM$7,$L36&gt;AM$7),((AM$7-$K36)/($L36-$K36)))</f>
        <v>1</v>
      </c>
      <c r="AO36" s="226" cm="1">
        <f t="array" ref="AO36">_xlfn.IFS(AND($K36&gt;AN$7,$L36&gt;AN$7),0,AND($K36&lt;=AN$7,$L36&lt;=AN$7),1,AND($K36&lt;=AN$7,$L36&gt;AN$7),((AN$7-$K36)/($L36-$K36)))</f>
        <v>1</v>
      </c>
      <c r="AP36" s="226" cm="1">
        <f t="array" ref="AP36">_xlfn.IFS(AND($K36&gt;AO$7,$L36&gt;AO$7),0,AND($K36&lt;=AO$7,$L36&lt;=AO$7),1,AND($K36&lt;=AO$7,$L36&gt;AO$7),((AO$7-$K36)/($L36-$K36)))</f>
        <v>1</v>
      </c>
      <c r="AQ36" s="226" cm="1">
        <f t="array" ref="AQ36">_xlfn.IFS(AND($K36&gt;AP$7,$L36&gt;AP$7),0,AND($K36&lt;=AP$7,$L36&lt;=AP$7),1,AND($K36&lt;=AP$7,$L36&gt;AP$7),((AP$7-$K36)/($L36-$K36)))</f>
        <v>1</v>
      </c>
      <c r="AR36" s="226" cm="1">
        <f t="array" ref="AR36">_xlfn.IFS(AND($K36&gt;AQ$7,$L36&gt;AQ$7),0,AND($K36&lt;=AQ$7,$L36&lt;=AQ$7),1,AND($K36&lt;=AQ$7,$L36&gt;AQ$7),((AQ$7-$K36)/($L36-$K36)))</f>
        <v>1</v>
      </c>
      <c r="AS36" s="226" cm="1">
        <f t="array" ref="AS36">_xlfn.IFS(AND($K36&gt;AR$7,$L36&gt;AR$7),0,AND($K36&lt;=AR$7,$L36&lt;=AR$7),1,AND($K36&lt;=AR$7,$L36&gt;AR$7),((AR$7-$K36)/($L36-$K36)))</f>
        <v>1</v>
      </c>
      <c r="AT36" s="226" cm="1">
        <f t="array" ref="AT36">_xlfn.IFS(AND($K36&gt;AS$7,$L36&gt;AS$7),0,AND($K36&lt;=AS$7,$L36&lt;=AS$7),1,AND($K36&lt;=AS$7,$L36&gt;AS$7),((AS$7-$K36)/($L36-$K36)))</f>
        <v>1</v>
      </c>
      <c r="AU36" s="226" cm="1">
        <f t="array" ref="AU36">_xlfn.IFS(AND($K36&gt;AT$7,$L36&gt;AT$7),0,AND($K36&lt;=AT$7,$L36&lt;=AT$7),1,AND($K36&lt;=AT$7,$L36&gt;AT$7),((AT$7-$K36)/($L36-$K36)))</f>
        <v>1</v>
      </c>
      <c r="AV36" s="226" cm="1">
        <f t="array" ref="AV36">_xlfn.IFS(AND($K36&gt;AU$7,$L36&gt;AU$7),0,AND($K36&lt;=AU$7,$L36&lt;=AU$7),1,AND($K36&lt;=AU$7,$L36&gt;AU$7),((AU$7-$K36)/($L36-$K36)))</f>
        <v>1</v>
      </c>
      <c r="AW36" s="226" cm="1">
        <f t="array" ref="AW36">_xlfn.IFS(AND($K36&gt;AV$7,$L36&gt;AV$7),0,AND($K36&lt;=AV$7,$L36&lt;=AV$7),1,AND($K36&lt;=AV$7,$L36&gt;AV$7),((AV$7-$K36)/($L36-$K36)))</f>
        <v>1</v>
      </c>
      <c r="AX36" s="226" cm="1">
        <f t="array" ref="AX36">_xlfn.IFS(AND($K36&gt;AW$7,$L36&gt;AW$7),0,AND($K36&lt;=AW$7,$L36&lt;=AW$7),1,AND($K36&lt;=AW$7,$L36&gt;AW$7),((AW$7-$K36)/($L36-$K36)))</f>
        <v>1</v>
      </c>
      <c r="AY36" s="226" cm="1">
        <f t="array" ref="AY36">_xlfn.IFS(AND($K36&gt;AX$7,$L36&gt;AX$7),0,AND($K36&lt;=AX$7,$L36&lt;=AX$7),1,AND($K36&lt;=AX$7,$L36&gt;AX$7),((AX$7-$K36)/($L36-$K36)))</f>
        <v>1</v>
      </c>
      <c r="AZ36" s="226" cm="1">
        <f t="array" ref="AZ36">_xlfn.IFS(AND($K36&gt;AY$7,$L36&gt;AY$7),0,AND($K36&lt;=AY$7,$L36&lt;=AY$7),1,AND($K36&lt;=AY$7,$L36&gt;AY$7),((AY$7-$K36)/($L36-$K36)))</f>
        <v>1</v>
      </c>
      <c r="BA36" s="226" cm="1">
        <f t="array" ref="BA36">_xlfn.IFS(AND($K36&gt;AZ$7,$L36&gt;AZ$7),0,AND($K36&lt;=AZ$7,$L36&lt;=AZ$7),1,AND($K36&lt;=AZ$7,$L36&gt;AZ$7),((AZ$7-$K36)/($L36-$K36)))</f>
        <v>1</v>
      </c>
      <c r="BB36" s="226" cm="1">
        <f t="array" ref="BB36">_xlfn.IFS(AND($K36&gt;BA$7,$L36&gt;BA$7),0,AND($K36&lt;=BA$7,$L36&lt;=BA$7),1,AND($K36&lt;=BA$7,$L36&gt;BA$7),((BA$7-$K36)/($L36-$K36)))</f>
        <v>1</v>
      </c>
      <c r="BC36" s="226" cm="1">
        <f t="array" ref="BC36">_xlfn.IFS(AND($K36&gt;BB$7,$L36&gt;BB$7),0,AND($K36&lt;=BB$7,$L36&lt;=BB$7),1,AND($K36&lt;=BB$7,$L36&gt;BB$7),((BB$7-$K36)/($L36-$K36)))</f>
        <v>1</v>
      </c>
      <c r="BD36" s="226" cm="1">
        <f t="array" ref="BD36">_xlfn.IFS(AND($K36&gt;BC$7,$L36&gt;BC$7),0,AND($K36&lt;=BC$7,$L36&lt;=BC$7),1,AND($K36&lt;=BC$7,$L36&gt;BC$7),((BC$7-$K36)/($L36-$K36)))</f>
        <v>1</v>
      </c>
      <c r="BE36" s="226" cm="1">
        <f t="array" ref="BE36">_xlfn.IFS(AND($K36&gt;BD$7,$L36&gt;BD$7),0,AND($K36&lt;=BD$7,$L36&lt;=BD$7),1,AND($K36&lt;=BD$7,$L36&gt;BD$7),((BD$7-$K36)/($L36-$K36)))</f>
        <v>1</v>
      </c>
      <c r="BF36" s="226" cm="1">
        <f t="array" ref="BF36">_xlfn.IFS(AND($K36&gt;BE$7,$L36&gt;BE$7),0,AND($K36&lt;=BE$7,$L36&lt;=BE$7),1,AND($K36&lt;=BE$7,$L36&gt;BE$7),((BE$7-$K36)/($L36-$K36)))</f>
        <v>1</v>
      </c>
      <c r="BG36" s="226" cm="1">
        <f t="array" ref="BG36">_xlfn.IFS(AND($K36&gt;BF$7,$L36&gt;BF$7),0,AND($K36&lt;=BF$7,$L36&lt;=BF$7),1,AND($K36&lt;=BF$7,$L36&gt;BF$7),((BF$7-$K36)/($L36-$K36)))</f>
        <v>1</v>
      </c>
      <c r="BH36" s="163">
        <f>Tab.plano6[[#This Row],[Data Término
Prevista]]-Tab.plano6[[#This Row],[Data Início
Previsto]]</f>
        <v>2</v>
      </c>
    </row>
    <row r="37" spans="1:60" s="163" customFormat="1" ht="18" customHeight="1" collapsed="1" x14ac:dyDescent="0.3">
      <c r="A37" s="216"/>
      <c r="B37" s="216" t="s">
        <v>12</v>
      </c>
      <c r="C37" s="216" t="s">
        <v>494</v>
      </c>
      <c r="D37" s="249" t="s">
        <v>399</v>
      </c>
      <c r="E37" s="249" t="s">
        <v>422</v>
      </c>
      <c r="F37" s="249" t="s">
        <v>74</v>
      </c>
      <c r="G37" s="249" t="s">
        <v>74</v>
      </c>
      <c r="H37" s="252" t="s">
        <v>826</v>
      </c>
      <c r="I37" s="257">
        <f>I38</f>
        <v>46111</v>
      </c>
      <c r="J37" s="257">
        <f>J38</f>
        <v>46157</v>
      </c>
      <c r="K37" s="257">
        <f>K38</f>
        <v>46111</v>
      </c>
      <c r="L37" s="257">
        <f>L38</f>
        <v>46171</v>
      </c>
      <c r="M37" s="229" t="s">
        <v>454</v>
      </c>
      <c r="N37" s="227" t="str" cm="1">
        <f t="array" ref="N37">_xlfn.IFS(L37&lt;$M$3,"Concluído",AND(K37&lt;=$M$3,L37&gt;=$M$3,L37&lt;=J37),"Em andamento",AND(K37&lt;=$M$3,L37&gt;=$M$3,L37&gt;J37),"Atrasado",AND(K37&gt;$M$3,I37&gt;$M$3),"Não iniciado",AND(K37&gt;$M$3,I37&lt;=$M$3),"Atrasado",TRUE,"Não iniciado")</f>
        <v>Atrasado</v>
      </c>
      <c r="O37" s="229" cm="1">
        <f t="array" ref="O37">_xlfn.IFS(N37="Não iniciado",0,N37="Em andamento",1,N37="Concluído",2,N37="Atrasado",3)</f>
        <v>3</v>
      </c>
      <c r="P37" s="216"/>
      <c r="Q37" s="224">
        <f t="shared" ref="Q37:BG37" si="15">Q38</f>
        <v>1</v>
      </c>
      <c r="R37" s="224">
        <f t="shared" si="15"/>
        <v>0.83333333333333337</v>
      </c>
      <c r="S37" s="224">
        <f t="shared" si="15"/>
        <v>0</v>
      </c>
      <c r="T37" s="224">
        <f t="shared" si="15"/>
        <v>0</v>
      </c>
      <c r="U37" s="224">
        <f t="shared" si="15"/>
        <v>0.37121212121212116</v>
      </c>
      <c r="V37" s="224">
        <f t="shared" si="15"/>
        <v>0.42424242424242425</v>
      </c>
      <c r="W37" s="224">
        <f t="shared" si="15"/>
        <v>0.47727272727272729</v>
      </c>
      <c r="X37" s="224">
        <f t="shared" si="15"/>
        <v>0.53030303030303028</v>
      </c>
      <c r="Y37" s="224">
        <f t="shared" si="15"/>
        <v>0.58333333333333337</v>
      </c>
      <c r="Z37" s="224">
        <f t="shared" si="15"/>
        <v>0.63636363636363635</v>
      </c>
      <c r="AA37" s="224">
        <f t="shared" si="15"/>
        <v>0.73809523809523814</v>
      </c>
      <c r="AB37" s="224">
        <f t="shared" si="15"/>
        <v>0.90476190476190477</v>
      </c>
      <c r="AC37" s="224">
        <f t="shared" si="15"/>
        <v>1</v>
      </c>
      <c r="AD37" s="224">
        <f t="shared" si="15"/>
        <v>1</v>
      </c>
      <c r="AE37" s="224">
        <f t="shared" si="15"/>
        <v>1</v>
      </c>
      <c r="AF37" s="224">
        <f t="shared" si="15"/>
        <v>1</v>
      </c>
      <c r="AG37" s="224">
        <f t="shared" si="15"/>
        <v>1</v>
      </c>
      <c r="AH37" s="224">
        <f t="shared" si="15"/>
        <v>1</v>
      </c>
      <c r="AI37" s="224">
        <f t="shared" si="15"/>
        <v>1</v>
      </c>
      <c r="AJ37" s="224">
        <f t="shared" si="15"/>
        <v>1</v>
      </c>
      <c r="AK37" s="224">
        <f t="shared" si="15"/>
        <v>1</v>
      </c>
      <c r="AL37" s="224">
        <f t="shared" si="15"/>
        <v>1</v>
      </c>
      <c r="AM37" s="224">
        <f t="shared" si="15"/>
        <v>1</v>
      </c>
      <c r="AN37" s="224">
        <f t="shared" si="15"/>
        <v>1</v>
      </c>
      <c r="AO37" s="224">
        <f t="shared" si="15"/>
        <v>1</v>
      </c>
      <c r="AP37" s="224">
        <f t="shared" si="15"/>
        <v>1</v>
      </c>
      <c r="AQ37" s="224">
        <f t="shared" si="15"/>
        <v>1</v>
      </c>
      <c r="AR37" s="224">
        <f t="shared" si="15"/>
        <v>1</v>
      </c>
      <c r="AS37" s="224">
        <f t="shared" si="15"/>
        <v>1</v>
      </c>
      <c r="AT37" s="224">
        <f t="shared" si="15"/>
        <v>1</v>
      </c>
      <c r="AU37" s="224">
        <f t="shared" si="15"/>
        <v>1</v>
      </c>
      <c r="AV37" s="224">
        <f t="shared" si="15"/>
        <v>1</v>
      </c>
      <c r="AW37" s="224">
        <f t="shared" si="15"/>
        <v>1</v>
      </c>
      <c r="AX37" s="224">
        <f t="shared" si="15"/>
        <v>1</v>
      </c>
      <c r="AY37" s="224">
        <f t="shared" si="15"/>
        <v>1</v>
      </c>
      <c r="AZ37" s="224">
        <f t="shared" si="15"/>
        <v>1</v>
      </c>
      <c r="BA37" s="224">
        <f t="shared" si="15"/>
        <v>1</v>
      </c>
      <c r="BB37" s="224">
        <f t="shared" si="15"/>
        <v>1</v>
      </c>
      <c r="BC37" s="224">
        <f t="shared" si="15"/>
        <v>1</v>
      </c>
      <c r="BD37" s="224">
        <f t="shared" si="15"/>
        <v>1</v>
      </c>
      <c r="BE37" s="224">
        <f t="shared" si="15"/>
        <v>1</v>
      </c>
      <c r="BF37" s="224">
        <f t="shared" si="15"/>
        <v>1</v>
      </c>
      <c r="BG37" s="224">
        <f t="shared" si="15"/>
        <v>1</v>
      </c>
      <c r="BH37" s="163">
        <f>Tab.plano6[[#This Row],[Data Término
Prevista]]-Tab.plano6[[#This Row],[Data Início
Previsto]]</f>
        <v>46</v>
      </c>
    </row>
    <row r="38" spans="1:60" s="163" customFormat="1" ht="18" customHeight="1" x14ac:dyDescent="0.3">
      <c r="A38" s="218"/>
      <c r="B38" s="218" t="s">
        <v>13</v>
      </c>
      <c r="C38" s="218" t="s">
        <v>496</v>
      </c>
      <c r="D38" s="250" t="s">
        <v>399</v>
      </c>
      <c r="E38" s="250" t="s">
        <v>422</v>
      </c>
      <c r="F38" s="250" t="s">
        <v>495</v>
      </c>
      <c r="G38" s="250" t="s">
        <v>74</v>
      </c>
      <c r="H38" s="219" t="s">
        <v>495</v>
      </c>
      <c r="I38" s="258">
        <f>MIN(I39:I41)</f>
        <v>46111</v>
      </c>
      <c r="J38" s="258">
        <f>MAX(J39:J41)</f>
        <v>46157</v>
      </c>
      <c r="K38" s="258">
        <f>MIN(K39:K41)</f>
        <v>46111</v>
      </c>
      <c r="L38" s="258">
        <f>MAX(L39:L41)</f>
        <v>46171</v>
      </c>
      <c r="M38" s="230" t="s">
        <v>454</v>
      </c>
      <c r="N38" s="227" t="str" cm="1">
        <f t="array" ref="N38">_xlfn.IFS(L38&lt;$M$3,"Concluído",AND(K38&lt;=$M$3,L38&gt;=$M$3,L38&lt;=J38),"Em andamento",AND(K38&lt;=$M$3,L38&gt;=$M$3,L38&gt;J38),"Atrasado",AND(K38&gt;$M$3,I38&gt;$M$3),"Não iniciado",AND(K38&gt;$M$3,I38&lt;=$M$3),"Atrasado",TRUE,"Não iniciado")</f>
        <v>Atrasado</v>
      </c>
      <c r="O38" s="230" cm="1">
        <f t="array" ref="O38">_xlfn.IFS(N38="Não iniciado",0,N38="Em andamento",1,N38="Concluído",2,N38="Atrasado",3)</f>
        <v>3</v>
      </c>
      <c r="P38" s="218"/>
      <c r="Q38" s="225">
        <f t="shared" ref="Q38:BG38" si="16">AVERAGE(Q39:Q41)</f>
        <v>1</v>
      </c>
      <c r="R38" s="225">
        <f t="shared" si="16"/>
        <v>0.83333333333333337</v>
      </c>
      <c r="S38" s="225">
        <f t="shared" si="16"/>
        <v>0</v>
      </c>
      <c r="T38" s="225">
        <f t="shared" si="16"/>
        <v>0</v>
      </c>
      <c r="U38" s="225">
        <f t="shared" si="16"/>
        <v>0.37121212121212116</v>
      </c>
      <c r="V38" s="225">
        <f t="shared" si="16"/>
        <v>0.42424242424242425</v>
      </c>
      <c r="W38" s="225">
        <f t="shared" si="16"/>
        <v>0.47727272727272729</v>
      </c>
      <c r="X38" s="225">
        <f t="shared" si="16"/>
        <v>0.53030303030303028</v>
      </c>
      <c r="Y38" s="225">
        <f t="shared" si="16"/>
        <v>0.58333333333333337</v>
      </c>
      <c r="Z38" s="225">
        <f t="shared" si="16"/>
        <v>0.63636363636363635</v>
      </c>
      <c r="AA38" s="225">
        <f t="shared" si="16"/>
        <v>0.73809523809523814</v>
      </c>
      <c r="AB38" s="225">
        <f t="shared" si="16"/>
        <v>0.90476190476190477</v>
      </c>
      <c r="AC38" s="225">
        <f t="shared" si="16"/>
        <v>1</v>
      </c>
      <c r="AD38" s="225">
        <f t="shared" si="16"/>
        <v>1</v>
      </c>
      <c r="AE38" s="225">
        <f t="shared" si="16"/>
        <v>1</v>
      </c>
      <c r="AF38" s="225">
        <f t="shared" si="16"/>
        <v>1</v>
      </c>
      <c r="AG38" s="225">
        <f t="shared" si="16"/>
        <v>1</v>
      </c>
      <c r="AH38" s="225">
        <f t="shared" si="16"/>
        <v>1</v>
      </c>
      <c r="AI38" s="225">
        <f t="shared" si="16"/>
        <v>1</v>
      </c>
      <c r="AJ38" s="225">
        <f t="shared" si="16"/>
        <v>1</v>
      </c>
      <c r="AK38" s="225">
        <f t="shared" si="16"/>
        <v>1</v>
      </c>
      <c r="AL38" s="225">
        <f t="shared" si="16"/>
        <v>1</v>
      </c>
      <c r="AM38" s="225">
        <f t="shared" si="16"/>
        <v>1</v>
      </c>
      <c r="AN38" s="225">
        <f t="shared" si="16"/>
        <v>1</v>
      </c>
      <c r="AO38" s="225">
        <f t="shared" si="16"/>
        <v>1</v>
      </c>
      <c r="AP38" s="225">
        <f t="shared" si="16"/>
        <v>1</v>
      </c>
      <c r="AQ38" s="225">
        <f t="shared" si="16"/>
        <v>1</v>
      </c>
      <c r="AR38" s="225">
        <f t="shared" si="16"/>
        <v>1</v>
      </c>
      <c r="AS38" s="225">
        <f t="shared" si="16"/>
        <v>1</v>
      </c>
      <c r="AT38" s="225">
        <f t="shared" si="16"/>
        <v>1</v>
      </c>
      <c r="AU38" s="225">
        <f t="shared" si="16"/>
        <v>1</v>
      </c>
      <c r="AV38" s="225">
        <f t="shared" si="16"/>
        <v>1</v>
      </c>
      <c r="AW38" s="225">
        <f t="shared" si="16"/>
        <v>1</v>
      </c>
      <c r="AX38" s="225">
        <f t="shared" si="16"/>
        <v>1</v>
      </c>
      <c r="AY38" s="225">
        <f t="shared" si="16"/>
        <v>1</v>
      </c>
      <c r="AZ38" s="225">
        <f t="shared" si="16"/>
        <v>1</v>
      </c>
      <c r="BA38" s="225">
        <f t="shared" si="16"/>
        <v>1</v>
      </c>
      <c r="BB38" s="225">
        <f t="shared" si="16"/>
        <v>1</v>
      </c>
      <c r="BC38" s="225">
        <f t="shared" si="16"/>
        <v>1</v>
      </c>
      <c r="BD38" s="225">
        <f t="shared" si="16"/>
        <v>1</v>
      </c>
      <c r="BE38" s="225">
        <f t="shared" si="16"/>
        <v>1</v>
      </c>
      <c r="BF38" s="225">
        <f t="shared" si="16"/>
        <v>1</v>
      </c>
      <c r="BG38" s="225">
        <f t="shared" si="16"/>
        <v>1</v>
      </c>
      <c r="BH38" s="163">
        <f>Tab.plano6[[#This Row],[Data Término
Prevista]]-Tab.plano6[[#This Row],[Data Início
Previsto]]</f>
        <v>46</v>
      </c>
    </row>
    <row r="39" spans="1:60" s="163" customFormat="1" ht="18" customHeight="1" x14ac:dyDescent="0.3">
      <c r="A39" s="220"/>
      <c r="B39" s="220" t="s">
        <v>161</v>
      </c>
      <c r="C39" s="220" t="s">
        <v>497</v>
      </c>
      <c r="D39" s="251" t="s">
        <v>399</v>
      </c>
      <c r="E39" s="251" t="s">
        <v>422</v>
      </c>
      <c r="F39" s="251" t="s">
        <v>495</v>
      </c>
      <c r="G39" s="251" t="s">
        <v>495</v>
      </c>
      <c r="H39" s="221" t="s">
        <v>498</v>
      </c>
      <c r="I39" s="260">
        <v>46111</v>
      </c>
      <c r="J39" s="260">
        <v>46112</v>
      </c>
      <c r="K39" s="260">
        <v>46111</v>
      </c>
      <c r="L39" s="260">
        <v>46112</v>
      </c>
      <c r="M39" s="231" t="s">
        <v>454</v>
      </c>
      <c r="N39" s="227" t="str" cm="1">
        <f t="array" ref="N39">_xlfn.IFS(L39&lt;$M$3,"Concluído",AND(K39&lt;=$M$3,L39&gt;=$M$3,L39&lt;=J39),"Em andamento",AND(K39&lt;=$M$3,L39&gt;=$M$3,L39&gt;J39),"Atrasado",AND(K39&gt;$M$3,I39&gt;$M$3),"Não iniciado",AND(K39&gt;$M$3,I39&lt;=$M$3),"Atrasado",TRUE,"Não iniciado")</f>
        <v>Concluído</v>
      </c>
      <c r="O39" s="231" cm="1">
        <f t="array" ref="O39">_xlfn.IFS(N39="Não iniciado",0,N39="Em andamento",1,N39="Concluído",2,N39="Atrasado",3)</f>
        <v>2</v>
      </c>
      <c r="P39" s="220"/>
      <c r="Q39" s="226" cm="1">
        <f t="array" ref="Q39">_xlfn.IFS(AND($I39&lt;$M$3,$J39&lt;$M$3),1,AND($I39&lt;=$M$3,$J39&gt;=$M$3),0.5,AND($I39&gt;=$M$3,$J39&gt;=$M$3),0)</f>
        <v>1</v>
      </c>
      <c r="R39" s="226" cm="1">
        <f t="array" ref="R39">_xlfn.IFS(AND($K39&lt;$M$3,$L39&lt;$M$3),1,AND($K39&lt;=$M$3,$L39&gt;=$M$3),0.5,AND($K39&gt;=$M$3,$L39&gt;=$M$3),0)</f>
        <v>1</v>
      </c>
      <c r="S39" s="226" cm="1">
        <f t="array" ref="S39">_xlfn.IFS(AND($K39&gt;R$7,$L39&gt;R$7),0,AND($K39&lt;=R$7,$L39&lt;=R$7),1,AND($K39&lt;=R$7,$L39&gt;R$7),((R$7-$K39)/($L39-$K39)))</f>
        <v>0</v>
      </c>
      <c r="T39" s="226" cm="1">
        <f t="array" ref="T39">_xlfn.IFS(AND($K39&gt;S$7,$L39&gt;S$7),0,AND($K39&lt;=S$7,$L39&lt;=S$7),1,AND($K39&lt;=S$7,$L39&gt;S$7),((S$7-$K39)/($L39-$K39)))</f>
        <v>0</v>
      </c>
      <c r="U39" s="226" cm="1">
        <f t="array" ref="U39">_xlfn.IFS(AND($K39&gt;T$7,$L39&gt;T$7),0,AND($K39&lt;=T$7,$L39&lt;=T$7),1,AND($K39&lt;=T$7,$L39&gt;T$7),((T$7-$K39)/($L39-$K39)))</f>
        <v>1</v>
      </c>
      <c r="V39" s="226" cm="1">
        <f t="array" ref="V39">_xlfn.IFS(AND($K39&gt;U$7,$L39&gt;U$7),0,AND($K39&lt;=U$7,$L39&lt;=U$7),1,AND($K39&lt;=U$7,$L39&gt;U$7),((U$7-$K39)/($L39-$K39)))</f>
        <v>1</v>
      </c>
      <c r="W39" s="226" cm="1">
        <f t="array" ref="W39">_xlfn.IFS(AND($K39&gt;V$7,$L39&gt;V$7),0,AND($K39&lt;=V$7,$L39&lt;=V$7),1,AND($K39&lt;=V$7,$L39&gt;V$7),((V$7-$K39)/($L39-$K39)))</f>
        <v>1</v>
      </c>
      <c r="X39" s="226" cm="1">
        <f t="array" ref="X39">_xlfn.IFS(AND($K39&gt;W$7,$L39&gt;W$7),0,AND($K39&lt;=W$7,$L39&lt;=W$7),1,AND($K39&lt;=W$7,$L39&gt;W$7),((W$7-$K39)/($L39-$K39)))</f>
        <v>1</v>
      </c>
      <c r="Y39" s="226" cm="1">
        <f t="array" ref="Y39">_xlfn.IFS(AND($K39&gt;X$7,$L39&gt;X$7),0,AND($K39&lt;=X$7,$L39&lt;=X$7),1,AND($K39&lt;=X$7,$L39&gt;X$7),((X$7-$K39)/($L39-$K39)))</f>
        <v>1</v>
      </c>
      <c r="Z39" s="226" cm="1">
        <f t="array" ref="Z39">_xlfn.IFS(AND($K39&gt;Y$7,$L39&gt;Y$7),0,AND($K39&lt;=Y$7,$L39&lt;=Y$7),1,AND($K39&lt;=Y$7,$L39&gt;Y$7),((Y$7-$K39)/($L39-$K39)))</f>
        <v>1</v>
      </c>
      <c r="AA39" s="226" cm="1">
        <f t="array" ref="AA39">_xlfn.IFS(AND($K39&gt;Z$7,$L39&gt;Z$7),0,AND($K39&lt;=Z$7,$L39&lt;=Z$7),1,AND($K39&lt;=Z$7,$L39&gt;Z$7),((Z$7-$K39)/($L39-$K39)))</f>
        <v>1</v>
      </c>
      <c r="AB39" s="226" cm="1">
        <f t="array" ref="AB39">_xlfn.IFS(AND($K39&gt;AA$7,$L39&gt;AA$7),0,AND($K39&lt;=AA$7,$L39&lt;=AA$7),1,AND($K39&lt;=AA$7,$L39&gt;AA$7),((AA$7-$K39)/($L39-$K39)))</f>
        <v>1</v>
      </c>
      <c r="AC39" s="226" cm="1">
        <f t="array" ref="AC39">_xlfn.IFS(AND($K39&gt;AB$7,$L39&gt;AB$7),0,AND($K39&lt;=AB$7,$L39&lt;=AB$7),1,AND($K39&lt;=AB$7,$L39&gt;AB$7),((AB$7-$K39)/($L39-$K39)))</f>
        <v>1</v>
      </c>
      <c r="AD39" s="226" cm="1">
        <f t="array" ref="AD39">_xlfn.IFS(AND($K39&gt;AC$7,$L39&gt;AC$7),0,AND($K39&lt;=AC$7,$L39&lt;=AC$7),1,AND($K39&lt;=AC$7,$L39&gt;AC$7),((AC$7-$K39)/($L39-$K39)))</f>
        <v>1</v>
      </c>
      <c r="AE39" s="226" cm="1">
        <f t="array" ref="AE39">_xlfn.IFS(AND($K39&gt;AD$7,$L39&gt;AD$7),0,AND($K39&lt;=AD$7,$L39&lt;=AD$7),1,AND($K39&lt;=AD$7,$L39&gt;AD$7),((AD$7-$K39)/($L39-$K39)))</f>
        <v>1</v>
      </c>
      <c r="AF39" s="226" cm="1">
        <f t="array" ref="AF39">_xlfn.IFS(AND($K39&gt;AE$7,$L39&gt;AE$7),0,AND($K39&lt;=AE$7,$L39&lt;=AE$7),1,AND($K39&lt;=AE$7,$L39&gt;AE$7),((AE$7-$K39)/($L39-$K39)))</f>
        <v>1</v>
      </c>
      <c r="AG39" s="226" cm="1">
        <f t="array" ref="AG39">_xlfn.IFS(AND($K39&gt;AF$7,$L39&gt;AF$7),0,AND($K39&lt;=AF$7,$L39&lt;=AF$7),1,AND($K39&lt;=AF$7,$L39&gt;AF$7),((AF$7-$K39)/($L39-$K39)))</f>
        <v>1</v>
      </c>
      <c r="AH39" s="226" cm="1">
        <f t="array" ref="AH39">_xlfn.IFS(AND($K39&gt;AG$7,$L39&gt;AG$7),0,AND($K39&lt;=AG$7,$L39&lt;=AG$7),1,AND($K39&lt;=AG$7,$L39&gt;AG$7),((AG$7-$K39)/($L39-$K39)))</f>
        <v>1</v>
      </c>
      <c r="AI39" s="226" cm="1">
        <f t="array" ref="AI39">_xlfn.IFS(AND($K39&gt;AH$7,$L39&gt;AH$7),0,AND($K39&lt;=AH$7,$L39&lt;=AH$7),1,AND($K39&lt;=AH$7,$L39&gt;AH$7),((AH$7-$K39)/($L39-$K39)))</f>
        <v>1</v>
      </c>
      <c r="AJ39" s="226" cm="1">
        <f t="array" ref="AJ39">_xlfn.IFS(AND($K39&gt;AI$7,$L39&gt;AI$7),0,AND($K39&lt;=AI$7,$L39&lt;=AI$7),1,AND($K39&lt;=AI$7,$L39&gt;AI$7),((AI$7-$K39)/($L39-$K39)))</f>
        <v>1</v>
      </c>
      <c r="AK39" s="226" cm="1">
        <f t="array" ref="AK39">_xlfn.IFS(AND($K39&gt;AJ$7,$L39&gt;AJ$7),0,AND($K39&lt;=AJ$7,$L39&lt;=AJ$7),1,AND($K39&lt;=AJ$7,$L39&gt;AJ$7),((AJ$7-$K39)/($L39-$K39)))</f>
        <v>1</v>
      </c>
      <c r="AL39" s="226" cm="1">
        <f t="array" ref="AL39">_xlfn.IFS(AND($K39&gt;AK$7,$L39&gt;AK$7),0,AND($K39&lt;=AK$7,$L39&lt;=AK$7),1,AND($K39&lt;=AK$7,$L39&gt;AK$7),((AK$7-$K39)/($L39-$K39)))</f>
        <v>1</v>
      </c>
      <c r="AM39" s="226" cm="1">
        <f t="array" ref="AM39">_xlfn.IFS(AND($K39&gt;AL$7,$L39&gt;AL$7),0,AND($K39&lt;=AL$7,$L39&lt;=AL$7),1,AND($K39&lt;=AL$7,$L39&gt;AL$7),((AL$7-$K39)/($L39-$K39)))</f>
        <v>1</v>
      </c>
      <c r="AN39" s="226" cm="1">
        <f t="array" ref="AN39">_xlfn.IFS(AND($K39&gt;AM$7,$L39&gt;AM$7),0,AND($K39&lt;=AM$7,$L39&lt;=AM$7),1,AND($K39&lt;=AM$7,$L39&gt;AM$7),((AM$7-$K39)/($L39-$K39)))</f>
        <v>1</v>
      </c>
      <c r="AO39" s="226" cm="1">
        <f t="array" ref="AO39">_xlfn.IFS(AND($K39&gt;AN$7,$L39&gt;AN$7),0,AND($K39&lt;=AN$7,$L39&lt;=AN$7),1,AND($K39&lt;=AN$7,$L39&gt;AN$7),((AN$7-$K39)/($L39-$K39)))</f>
        <v>1</v>
      </c>
      <c r="AP39" s="226" cm="1">
        <f t="array" ref="AP39">_xlfn.IFS(AND($K39&gt;AO$7,$L39&gt;AO$7),0,AND($K39&lt;=AO$7,$L39&lt;=AO$7),1,AND($K39&lt;=AO$7,$L39&gt;AO$7),((AO$7-$K39)/($L39-$K39)))</f>
        <v>1</v>
      </c>
      <c r="AQ39" s="226" cm="1">
        <f t="array" ref="AQ39">_xlfn.IFS(AND($K39&gt;AP$7,$L39&gt;AP$7),0,AND($K39&lt;=AP$7,$L39&lt;=AP$7),1,AND($K39&lt;=AP$7,$L39&gt;AP$7),((AP$7-$K39)/($L39-$K39)))</f>
        <v>1</v>
      </c>
      <c r="AR39" s="226" cm="1">
        <f t="array" ref="AR39">_xlfn.IFS(AND($K39&gt;AQ$7,$L39&gt;AQ$7),0,AND($K39&lt;=AQ$7,$L39&lt;=AQ$7),1,AND($K39&lt;=AQ$7,$L39&gt;AQ$7),((AQ$7-$K39)/($L39-$K39)))</f>
        <v>1</v>
      </c>
      <c r="AS39" s="226" cm="1">
        <f t="array" ref="AS39">_xlfn.IFS(AND($K39&gt;AR$7,$L39&gt;AR$7),0,AND($K39&lt;=AR$7,$L39&lt;=AR$7),1,AND($K39&lt;=AR$7,$L39&gt;AR$7),((AR$7-$K39)/($L39-$K39)))</f>
        <v>1</v>
      </c>
      <c r="AT39" s="226" cm="1">
        <f t="array" ref="AT39">_xlfn.IFS(AND($K39&gt;AS$7,$L39&gt;AS$7),0,AND($K39&lt;=AS$7,$L39&lt;=AS$7),1,AND($K39&lt;=AS$7,$L39&gt;AS$7),((AS$7-$K39)/($L39-$K39)))</f>
        <v>1</v>
      </c>
      <c r="AU39" s="226" cm="1">
        <f t="array" ref="AU39">_xlfn.IFS(AND($K39&gt;AT$7,$L39&gt;AT$7),0,AND($K39&lt;=AT$7,$L39&lt;=AT$7),1,AND($K39&lt;=AT$7,$L39&gt;AT$7),((AT$7-$K39)/($L39-$K39)))</f>
        <v>1</v>
      </c>
      <c r="AV39" s="226" cm="1">
        <f t="array" ref="AV39">_xlfn.IFS(AND($K39&gt;AU$7,$L39&gt;AU$7),0,AND($K39&lt;=AU$7,$L39&lt;=AU$7),1,AND($K39&lt;=AU$7,$L39&gt;AU$7),((AU$7-$K39)/($L39-$K39)))</f>
        <v>1</v>
      </c>
      <c r="AW39" s="226" cm="1">
        <f t="array" ref="AW39">_xlfn.IFS(AND($K39&gt;AV$7,$L39&gt;AV$7),0,AND($K39&lt;=AV$7,$L39&lt;=AV$7),1,AND($K39&lt;=AV$7,$L39&gt;AV$7),((AV$7-$K39)/($L39-$K39)))</f>
        <v>1</v>
      </c>
      <c r="AX39" s="226" cm="1">
        <f t="array" ref="AX39">_xlfn.IFS(AND($K39&gt;AW$7,$L39&gt;AW$7),0,AND($K39&lt;=AW$7,$L39&lt;=AW$7),1,AND($K39&lt;=AW$7,$L39&gt;AW$7),((AW$7-$K39)/($L39-$K39)))</f>
        <v>1</v>
      </c>
      <c r="AY39" s="226" cm="1">
        <f t="array" ref="AY39">_xlfn.IFS(AND($K39&gt;AX$7,$L39&gt;AX$7),0,AND($K39&lt;=AX$7,$L39&lt;=AX$7),1,AND($K39&lt;=AX$7,$L39&gt;AX$7),((AX$7-$K39)/($L39-$K39)))</f>
        <v>1</v>
      </c>
      <c r="AZ39" s="226" cm="1">
        <f t="array" ref="AZ39">_xlfn.IFS(AND($K39&gt;AY$7,$L39&gt;AY$7),0,AND($K39&lt;=AY$7,$L39&lt;=AY$7),1,AND($K39&lt;=AY$7,$L39&gt;AY$7),((AY$7-$K39)/($L39-$K39)))</f>
        <v>1</v>
      </c>
      <c r="BA39" s="226" cm="1">
        <f t="array" ref="BA39">_xlfn.IFS(AND($K39&gt;AZ$7,$L39&gt;AZ$7),0,AND($K39&lt;=AZ$7,$L39&lt;=AZ$7),1,AND($K39&lt;=AZ$7,$L39&gt;AZ$7),((AZ$7-$K39)/($L39-$K39)))</f>
        <v>1</v>
      </c>
      <c r="BB39" s="226" cm="1">
        <f t="array" ref="BB39">_xlfn.IFS(AND($K39&gt;BA$7,$L39&gt;BA$7),0,AND($K39&lt;=BA$7,$L39&lt;=BA$7),1,AND($K39&lt;=BA$7,$L39&gt;BA$7),((BA$7-$K39)/($L39-$K39)))</f>
        <v>1</v>
      </c>
      <c r="BC39" s="226" cm="1">
        <f t="array" ref="BC39">_xlfn.IFS(AND($K39&gt;BB$7,$L39&gt;BB$7),0,AND($K39&lt;=BB$7,$L39&lt;=BB$7),1,AND($K39&lt;=BB$7,$L39&gt;BB$7),((BB$7-$K39)/($L39-$K39)))</f>
        <v>1</v>
      </c>
      <c r="BD39" s="226" cm="1">
        <f t="array" ref="BD39">_xlfn.IFS(AND($K39&gt;BC$7,$L39&gt;BC$7),0,AND($K39&lt;=BC$7,$L39&lt;=BC$7),1,AND($K39&lt;=BC$7,$L39&gt;BC$7),((BC$7-$K39)/($L39-$K39)))</f>
        <v>1</v>
      </c>
      <c r="BE39" s="226" cm="1">
        <f t="array" ref="BE39">_xlfn.IFS(AND($K39&gt;BD$7,$L39&gt;BD$7),0,AND($K39&lt;=BD$7,$L39&lt;=BD$7),1,AND($K39&lt;=BD$7,$L39&gt;BD$7),((BD$7-$K39)/($L39-$K39)))</f>
        <v>1</v>
      </c>
      <c r="BF39" s="226" cm="1">
        <f t="array" ref="BF39">_xlfn.IFS(AND($K39&gt;BE$7,$L39&gt;BE$7),0,AND($K39&lt;=BE$7,$L39&lt;=BE$7),1,AND($K39&lt;=BE$7,$L39&gt;BE$7),((BE$7-$K39)/($L39-$K39)))</f>
        <v>1</v>
      </c>
      <c r="BG39" s="226" cm="1">
        <f t="array" ref="BG39">_xlfn.IFS(AND($K39&gt;BF$7,$L39&gt;BF$7),0,AND($K39&lt;=BF$7,$L39&lt;=BF$7),1,AND($K39&lt;=BF$7,$L39&gt;BF$7),((BF$7-$K39)/($L39-$K39)))</f>
        <v>1</v>
      </c>
      <c r="BH39" s="163">
        <f>Tab.plano6[[#This Row],[Data Término
Prevista]]-Tab.plano6[[#This Row],[Data Início
Previsto]]</f>
        <v>1</v>
      </c>
    </row>
    <row r="40" spans="1:60" s="163" customFormat="1" ht="18" customHeight="1" x14ac:dyDescent="0.3">
      <c r="A40" s="220"/>
      <c r="B40" s="220" t="s">
        <v>161</v>
      </c>
      <c r="C40" s="220" t="s">
        <v>499</v>
      </c>
      <c r="D40" s="251" t="s">
        <v>399</v>
      </c>
      <c r="E40" s="251" t="s">
        <v>422</v>
      </c>
      <c r="F40" s="251" t="s">
        <v>495</v>
      </c>
      <c r="G40" s="251" t="s">
        <v>495</v>
      </c>
      <c r="H40" s="221" t="s">
        <v>500</v>
      </c>
      <c r="I40" s="260">
        <v>46113</v>
      </c>
      <c r="J40" s="260">
        <v>46154</v>
      </c>
      <c r="K40" s="260">
        <v>46113</v>
      </c>
      <c r="L40" s="260">
        <v>46157</v>
      </c>
      <c r="M40" s="231" t="s">
        <v>454</v>
      </c>
      <c r="N40" s="227" t="str" cm="1">
        <f t="array" ref="N40">_xlfn.IFS(L40&lt;$M$3,"Concluído",AND(K40&lt;=$M$3,L40&gt;=$M$3,L40&lt;=J40),"Em andamento",AND(K40&lt;=$M$3,L40&gt;=$M$3,L40&gt;J40),"Atrasado",AND(K40&gt;$M$3,I40&gt;$M$3),"Não iniciado",AND(K40&gt;$M$3,I40&lt;=$M$3),"Atrasado",TRUE,"Não iniciado")</f>
        <v>Concluído</v>
      </c>
      <c r="O40" s="231" cm="1">
        <f t="array" ref="O40">_xlfn.IFS(N40="Não iniciado",0,N40="Em andamento",1,N40="Concluído",2,N40="Atrasado",3)</f>
        <v>2</v>
      </c>
      <c r="P40" s="220"/>
      <c r="Q40" s="226" cm="1">
        <f t="array" ref="Q40">_xlfn.IFS(AND($I40&lt;$M$3,$J40&lt;$M$3),1,AND($I40&lt;=$M$3,$J40&gt;=$M$3),0.5,AND($I40&gt;=$M$3,$J40&gt;=$M$3),0)</f>
        <v>1</v>
      </c>
      <c r="R40" s="226" cm="1">
        <f t="array" ref="R40">_xlfn.IFS(AND($K40&lt;$M$3,$L40&lt;$M$3),1,AND($K40&lt;=$M$3,$L40&gt;=$M$3),0.5,AND($K40&gt;=$M$3,$L40&gt;=$M$3),0)</f>
        <v>1</v>
      </c>
      <c r="S40" s="226" cm="1">
        <f t="array" ref="S40">_xlfn.IFS(AND($K40&gt;R$7,$L40&gt;R$7),0,AND($K40&lt;=R$7,$L40&lt;=R$7),1,AND($K40&lt;=R$7,$L40&gt;R$7),((R$7-$K40)/($L40-$K40)))</f>
        <v>0</v>
      </c>
      <c r="T40" s="226" cm="1">
        <f t="array" ref="T40">_xlfn.IFS(AND($K40&gt;S$7,$L40&gt;S$7),0,AND($K40&lt;=S$7,$L40&lt;=S$7),1,AND($K40&lt;=S$7,$L40&gt;S$7),((S$7-$K40)/($L40-$K40)))</f>
        <v>0</v>
      </c>
      <c r="U40" s="226" cm="1">
        <f t="array" ref="U40">_xlfn.IFS(AND($K40&gt;T$7,$L40&gt;T$7),0,AND($K40&lt;=T$7,$L40&lt;=T$7),1,AND($K40&lt;=T$7,$L40&gt;T$7),((T$7-$K40)/($L40-$K40)))</f>
        <v>0.11363636363636363</v>
      </c>
      <c r="V40" s="226" cm="1">
        <f t="array" ref="V40">_xlfn.IFS(AND($K40&gt;U$7,$L40&gt;U$7),0,AND($K40&lt;=U$7,$L40&lt;=U$7),1,AND($K40&lt;=U$7,$L40&gt;U$7),((U$7-$K40)/($L40-$K40)))</f>
        <v>0.27272727272727271</v>
      </c>
      <c r="W40" s="226" cm="1">
        <f t="array" ref="W40">_xlfn.IFS(AND($K40&gt;V$7,$L40&gt;V$7),0,AND($K40&lt;=V$7,$L40&lt;=V$7),1,AND($K40&lt;=V$7,$L40&gt;V$7),((V$7-$K40)/($L40-$K40)))</f>
        <v>0.43181818181818182</v>
      </c>
      <c r="X40" s="226" cm="1">
        <f t="array" ref="X40">_xlfn.IFS(AND($K40&gt;W$7,$L40&gt;W$7),0,AND($K40&lt;=W$7,$L40&lt;=W$7),1,AND($K40&lt;=W$7,$L40&gt;W$7),((W$7-$K40)/($L40-$K40)))</f>
        <v>0.59090909090909094</v>
      </c>
      <c r="Y40" s="226" cm="1">
        <f t="array" ref="Y40">_xlfn.IFS(AND($K40&gt;X$7,$L40&gt;X$7),0,AND($K40&lt;=X$7,$L40&lt;=X$7),1,AND($K40&lt;=X$7,$L40&gt;X$7),((X$7-$K40)/($L40-$K40)))</f>
        <v>0.75</v>
      </c>
      <c r="Z40" s="226" cm="1">
        <f t="array" ref="Z40">_xlfn.IFS(AND($K40&gt;Y$7,$L40&gt;Y$7),0,AND($K40&lt;=Y$7,$L40&lt;=Y$7),1,AND($K40&lt;=Y$7,$L40&gt;Y$7),((Y$7-$K40)/($L40-$K40)))</f>
        <v>0.90909090909090906</v>
      </c>
      <c r="AA40" s="226" cm="1">
        <f t="array" ref="AA40">_xlfn.IFS(AND($K40&gt;Z$7,$L40&gt;Z$7),0,AND($K40&lt;=Z$7,$L40&lt;=Z$7),1,AND($K40&lt;=Z$7,$L40&gt;Z$7),((Z$7-$K40)/($L40-$K40)))</f>
        <v>1</v>
      </c>
      <c r="AB40" s="226" cm="1">
        <f t="array" ref="AB40">_xlfn.IFS(AND($K40&gt;AA$7,$L40&gt;AA$7),0,AND($K40&lt;=AA$7,$L40&lt;=AA$7),1,AND($K40&lt;=AA$7,$L40&gt;AA$7),((AA$7-$K40)/($L40-$K40)))</f>
        <v>1</v>
      </c>
      <c r="AC40" s="226" cm="1">
        <f t="array" ref="AC40">_xlfn.IFS(AND($K40&gt;AB$7,$L40&gt;AB$7),0,AND($K40&lt;=AB$7,$L40&lt;=AB$7),1,AND($K40&lt;=AB$7,$L40&gt;AB$7),((AB$7-$K40)/($L40-$K40)))</f>
        <v>1</v>
      </c>
      <c r="AD40" s="226" cm="1">
        <f t="array" ref="AD40">_xlfn.IFS(AND($K40&gt;AC$7,$L40&gt;AC$7),0,AND($K40&lt;=AC$7,$L40&lt;=AC$7),1,AND($K40&lt;=AC$7,$L40&gt;AC$7),((AC$7-$K40)/($L40-$K40)))</f>
        <v>1</v>
      </c>
      <c r="AE40" s="226" cm="1">
        <f t="array" ref="AE40">_xlfn.IFS(AND($K40&gt;AD$7,$L40&gt;AD$7),0,AND($K40&lt;=AD$7,$L40&lt;=AD$7),1,AND($K40&lt;=AD$7,$L40&gt;AD$7),((AD$7-$K40)/($L40-$K40)))</f>
        <v>1</v>
      </c>
      <c r="AF40" s="226" cm="1">
        <f t="array" ref="AF40">_xlfn.IFS(AND($K40&gt;AE$7,$L40&gt;AE$7),0,AND($K40&lt;=AE$7,$L40&lt;=AE$7),1,AND($K40&lt;=AE$7,$L40&gt;AE$7),((AE$7-$K40)/($L40-$K40)))</f>
        <v>1</v>
      </c>
      <c r="AG40" s="226" cm="1">
        <f t="array" ref="AG40">_xlfn.IFS(AND($K40&gt;AF$7,$L40&gt;AF$7),0,AND($K40&lt;=AF$7,$L40&lt;=AF$7),1,AND($K40&lt;=AF$7,$L40&gt;AF$7),((AF$7-$K40)/($L40-$K40)))</f>
        <v>1</v>
      </c>
      <c r="AH40" s="226" cm="1">
        <f t="array" ref="AH40">_xlfn.IFS(AND($K40&gt;AG$7,$L40&gt;AG$7),0,AND($K40&lt;=AG$7,$L40&lt;=AG$7),1,AND($K40&lt;=AG$7,$L40&gt;AG$7),((AG$7-$K40)/($L40-$K40)))</f>
        <v>1</v>
      </c>
      <c r="AI40" s="226" cm="1">
        <f t="array" ref="AI40">_xlfn.IFS(AND($K40&gt;AH$7,$L40&gt;AH$7),0,AND($K40&lt;=AH$7,$L40&lt;=AH$7),1,AND($K40&lt;=AH$7,$L40&gt;AH$7),((AH$7-$K40)/($L40-$K40)))</f>
        <v>1</v>
      </c>
      <c r="AJ40" s="226" cm="1">
        <f t="array" ref="AJ40">_xlfn.IFS(AND($K40&gt;AI$7,$L40&gt;AI$7),0,AND($K40&lt;=AI$7,$L40&lt;=AI$7),1,AND($K40&lt;=AI$7,$L40&gt;AI$7),((AI$7-$K40)/($L40-$K40)))</f>
        <v>1</v>
      </c>
      <c r="AK40" s="226" cm="1">
        <f t="array" ref="AK40">_xlfn.IFS(AND($K40&gt;AJ$7,$L40&gt;AJ$7),0,AND($K40&lt;=AJ$7,$L40&lt;=AJ$7),1,AND($K40&lt;=AJ$7,$L40&gt;AJ$7),((AJ$7-$K40)/($L40-$K40)))</f>
        <v>1</v>
      </c>
      <c r="AL40" s="226" cm="1">
        <f t="array" ref="AL40">_xlfn.IFS(AND($K40&gt;AK$7,$L40&gt;AK$7),0,AND($K40&lt;=AK$7,$L40&lt;=AK$7),1,AND($K40&lt;=AK$7,$L40&gt;AK$7),((AK$7-$K40)/($L40-$K40)))</f>
        <v>1</v>
      </c>
      <c r="AM40" s="226" cm="1">
        <f t="array" ref="AM40">_xlfn.IFS(AND($K40&gt;AL$7,$L40&gt;AL$7),0,AND($K40&lt;=AL$7,$L40&lt;=AL$7),1,AND($K40&lt;=AL$7,$L40&gt;AL$7),((AL$7-$K40)/($L40-$K40)))</f>
        <v>1</v>
      </c>
      <c r="AN40" s="226" cm="1">
        <f t="array" ref="AN40">_xlfn.IFS(AND($K40&gt;AM$7,$L40&gt;AM$7),0,AND($K40&lt;=AM$7,$L40&lt;=AM$7),1,AND($K40&lt;=AM$7,$L40&gt;AM$7),((AM$7-$K40)/($L40-$K40)))</f>
        <v>1</v>
      </c>
      <c r="AO40" s="226" cm="1">
        <f t="array" ref="AO40">_xlfn.IFS(AND($K40&gt;AN$7,$L40&gt;AN$7),0,AND($K40&lt;=AN$7,$L40&lt;=AN$7),1,AND($K40&lt;=AN$7,$L40&gt;AN$7),((AN$7-$K40)/($L40-$K40)))</f>
        <v>1</v>
      </c>
      <c r="AP40" s="226" cm="1">
        <f t="array" ref="AP40">_xlfn.IFS(AND($K40&gt;AO$7,$L40&gt;AO$7),0,AND($K40&lt;=AO$7,$L40&lt;=AO$7),1,AND($K40&lt;=AO$7,$L40&gt;AO$7),((AO$7-$K40)/($L40-$K40)))</f>
        <v>1</v>
      </c>
      <c r="AQ40" s="226" cm="1">
        <f t="array" ref="AQ40">_xlfn.IFS(AND($K40&gt;AP$7,$L40&gt;AP$7),0,AND($K40&lt;=AP$7,$L40&lt;=AP$7),1,AND($K40&lt;=AP$7,$L40&gt;AP$7),((AP$7-$K40)/($L40-$K40)))</f>
        <v>1</v>
      </c>
      <c r="AR40" s="226" cm="1">
        <f t="array" ref="AR40">_xlfn.IFS(AND($K40&gt;AQ$7,$L40&gt;AQ$7),0,AND($K40&lt;=AQ$7,$L40&lt;=AQ$7),1,AND($K40&lt;=AQ$7,$L40&gt;AQ$7),((AQ$7-$K40)/($L40-$K40)))</f>
        <v>1</v>
      </c>
      <c r="AS40" s="226" cm="1">
        <f t="array" ref="AS40">_xlfn.IFS(AND($K40&gt;AR$7,$L40&gt;AR$7),0,AND($K40&lt;=AR$7,$L40&lt;=AR$7),1,AND($K40&lt;=AR$7,$L40&gt;AR$7),((AR$7-$K40)/($L40-$K40)))</f>
        <v>1</v>
      </c>
      <c r="AT40" s="226" cm="1">
        <f t="array" ref="AT40">_xlfn.IFS(AND($K40&gt;AS$7,$L40&gt;AS$7),0,AND($K40&lt;=AS$7,$L40&lt;=AS$7),1,AND($K40&lt;=AS$7,$L40&gt;AS$7),((AS$7-$K40)/($L40-$K40)))</f>
        <v>1</v>
      </c>
      <c r="AU40" s="226" cm="1">
        <f t="array" ref="AU40">_xlfn.IFS(AND($K40&gt;AT$7,$L40&gt;AT$7),0,AND($K40&lt;=AT$7,$L40&lt;=AT$7),1,AND($K40&lt;=AT$7,$L40&gt;AT$7),((AT$7-$K40)/($L40-$K40)))</f>
        <v>1</v>
      </c>
      <c r="AV40" s="226" cm="1">
        <f t="array" ref="AV40">_xlfn.IFS(AND($K40&gt;AU$7,$L40&gt;AU$7),0,AND($K40&lt;=AU$7,$L40&lt;=AU$7),1,AND($K40&lt;=AU$7,$L40&gt;AU$7),((AU$7-$K40)/($L40-$K40)))</f>
        <v>1</v>
      </c>
      <c r="AW40" s="226" cm="1">
        <f t="array" ref="AW40">_xlfn.IFS(AND($K40&gt;AV$7,$L40&gt;AV$7),0,AND($K40&lt;=AV$7,$L40&lt;=AV$7),1,AND($K40&lt;=AV$7,$L40&gt;AV$7),((AV$7-$K40)/($L40-$K40)))</f>
        <v>1</v>
      </c>
      <c r="AX40" s="226" cm="1">
        <f t="array" ref="AX40">_xlfn.IFS(AND($K40&gt;AW$7,$L40&gt;AW$7),0,AND($K40&lt;=AW$7,$L40&lt;=AW$7),1,AND($K40&lt;=AW$7,$L40&gt;AW$7),((AW$7-$K40)/($L40-$K40)))</f>
        <v>1</v>
      </c>
      <c r="AY40" s="226" cm="1">
        <f t="array" ref="AY40">_xlfn.IFS(AND($K40&gt;AX$7,$L40&gt;AX$7),0,AND($K40&lt;=AX$7,$L40&lt;=AX$7),1,AND($K40&lt;=AX$7,$L40&gt;AX$7),((AX$7-$K40)/($L40-$K40)))</f>
        <v>1</v>
      </c>
      <c r="AZ40" s="226" cm="1">
        <f t="array" ref="AZ40">_xlfn.IFS(AND($K40&gt;AY$7,$L40&gt;AY$7),0,AND($K40&lt;=AY$7,$L40&lt;=AY$7),1,AND($K40&lt;=AY$7,$L40&gt;AY$7),((AY$7-$K40)/($L40-$K40)))</f>
        <v>1</v>
      </c>
      <c r="BA40" s="226" cm="1">
        <f t="array" ref="BA40">_xlfn.IFS(AND($K40&gt;AZ$7,$L40&gt;AZ$7),0,AND($K40&lt;=AZ$7,$L40&lt;=AZ$7),1,AND($K40&lt;=AZ$7,$L40&gt;AZ$7),((AZ$7-$K40)/($L40-$K40)))</f>
        <v>1</v>
      </c>
      <c r="BB40" s="226" cm="1">
        <f t="array" ref="BB40">_xlfn.IFS(AND($K40&gt;BA$7,$L40&gt;BA$7),0,AND($K40&lt;=BA$7,$L40&lt;=BA$7),1,AND($K40&lt;=BA$7,$L40&gt;BA$7),((BA$7-$K40)/($L40-$K40)))</f>
        <v>1</v>
      </c>
      <c r="BC40" s="226" cm="1">
        <f t="array" ref="BC40">_xlfn.IFS(AND($K40&gt;BB$7,$L40&gt;BB$7),0,AND($K40&lt;=BB$7,$L40&lt;=BB$7),1,AND($K40&lt;=BB$7,$L40&gt;BB$7),((BB$7-$K40)/($L40-$K40)))</f>
        <v>1</v>
      </c>
      <c r="BD40" s="226" cm="1">
        <f t="array" ref="BD40">_xlfn.IFS(AND($K40&gt;BC$7,$L40&gt;BC$7),0,AND($K40&lt;=BC$7,$L40&lt;=BC$7),1,AND($K40&lt;=BC$7,$L40&gt;BC$7),((BC$7-$K40)/($L40-$K40)))</f>
        <v>1</v>
      </c>
      <c r="BE40" s="226" cm="1">
        <f t="array" ref="BE40">_xlfn.IFS(AND($K40&gt;BD$7,$L40&gt;BD$7),0,AND($K40&lt;=BD$7,$L40&lt;=BD$7),1,AND($K40&lt;=BD$7,$L40&gt;BD$7),((BD$7-$K40)/($L40-$K40)))</f>
        <v>1</v>
      </c>
      <c r="BF40" s="226" cm="1">
        <f t="array" ref="BF40">_xlfn.IFS(AND($K40&gt;BE$7,$L40&gt;BE$7),0,AND($K40&lt;=BE$7,$L40&lt;=BE$7),1,AND($K40&lt;=BE$7,$L40&gt;BE$7),((BE$7-$K40)/($L40-$K40)))</f>
        <v>1</v>
      </c>
      <c r="BG40" s="226" cm="1">
        <f t="array" ref="BG40">_xlfn.IFS(AND($K40&gt;BF$7,$L40&gt;BF$7),0,AND($K40&lt;=BF$7,$L40&lt;=BF$7),1,AND($K40&lt;=BF$7,$L40&gt;BF$7),((BF$7-$K40)/($L40-$K40)))</f>
        <v>1</v>
      </c>
      <c r="BH40" s="163">
        <f>Tab.plano6[[#This Row],[Data Término
Prevista]]-Tab.plano6[[#This Row],[Data Início
Previsto]]</f>
        <v>41</v>
      </c>
    </row>
    <row r="41" spans="1:60" s="163" customFormat="1" ht="18" customHeight="1" x14ac:dyDescent="0.3">
      <c r="A41" s="220"/>
      <c r="B41" s="220" t="s">
        <v>161</v>
      </c>
      <c r="C41" s="220" t="s">
        <v>835</v>
      </c>
      <c r="D41" s="251" t="s">
        <v>399</v>
      </c>
      <c r="E41" s="251" t="s">
        <v>422</v>
      </c>
      <c r="F41" s="251" t="s">
        <v>495</v>
      </c>
      <c r="G41" s="251" t="s">
        <v>495</v>
      </c>
      <c r="H41" s="246" t="s">
        <v>804</v>
      </c>
      <c r="I41" s="260">
        <v>46155</v>
      </c>
      <c r="J41" s="260">
        <v>46157</v>
      </c>
      <c r="K41" s="260">
        <v>46157</v>
      </c>
      <c r="L41" s="260">
        <v>46171</v>
      </c>
      <c r="M41" s="259" t="s">
        <v>454</v>
      </c>
      <c r="N41" s="227" t="str" cm="1">
        <f t="array" ref="N41">_xlfn.IFS(L41&lt;$M$3,"Concluído",AND(K41&lt;=$M$3,L41&gt;=$M$3,L41&lt;=J41),"Em andamento",AND(K41&lt;=$M$3,L41&gt;=$M$3,L41&gt;J41),"Atrasado",AND(K41&gt;$M$3,I41&gt;$M$3),"Não iniciado",AND(K41&gt;$M$3,I41&lt;=$M$3),"Atrasado",TRUE,"Não iniciado")</f>
        <v>Atrasado</v>
      </c>
      <c r="O41" s="231" cm="1">
        <f t="array" ref="O41">_xlfn.IFS(N41="Não iniciado",0,N41="Em andamento",1,N41="Concluído",2,N41="Atrasado",3)</f>
        <v>3</v>
      </c>
      <c r="P41" s="220"/>
      <c r="Q41" s="226" cm="1">
        <f t="array" ref="Q41">_xlfn.IFS(AND($I41&lt;$M$3,$J41&lt;$M$3),1,AND($I41&lt;=$M$3,$J41&gt;=$M$3),0.5,AND($I41&gt;=$M$3,$J41&gt;=$M$3),0)</f>
        <v>1</v>
      </c>
      <c r="R41" s="226" cm="1">
        <f t="array" ref="R41">_xlfn.IFS(AND($K41&lt;$M$3,$L41&lt;$M$3),1,AND($K41&lt;=$M$3,$L41&gt;=$M$3),0.5,AND($K41&gt;=$M$3,$L41&gt;=$M$3),0)</f>
        <v>0.5</v>
      </c>
      <c r="S41" s="226" cm="1">
        <f t="array" ref="S41">_xlfn.IFS(AND($K41&gt;R$7,$L41&gt;R$7),0,AND($K41&lt;=R$7,$L41&lt;=R$7),1,AND($K41&lt;=R$7,$L41&gt;R$7),((R$7-$K41)/($L41-$K41)))</f>
        <v>0</v>
      </c>
      <c r="T41" s="226" cm="1">
        <f t="array" ref="T41">_xlfn.IFS(AND($K41&gt;S$7,$L41&gt;S$7),0,AND($K41&lt;=S$7,$L41&lt;=S$7),1,AND($K41&lt;=S$7,$L41&gt;S$7),((S$7-$K41)/($L41-$K41)))</f>
        <v>0</v>
      </c>
      <c r="U41" s="226" cm="1">
        <f t="array" ref="U41">_xlfn.IFS(AND($K41&gt;T$7,$L41&gt;T$7),0,AND($K41&lt;=T$7,$L41&lt;=T$7),1,AND($K41&lt;=T$7,$L41&gt;T$7),((T$7-$K41)/($L41-$K41)))</f>
        <v>0</v>
      </c>
      <c r="V41" s="226" cm="1">
        <f t="array" ref="V41">_xlfn.IFS(AND($K41&gt;U$7,$L41&gt;U$7),0,AND($K41&lt;=U$7,$L41&lt;=U$7),1,AND($K41&lt;=U$7,$L41&gt;U$7),((U$7-$K41)/($L41-$K41)))</f>
        <v>0</v>
      </c>
      <c r="W41" s="226" cm="1">
        <f t="array" ref="W41">_xlfn.IFS(AND($K41&gt;V$7,$L41&gt;V$7),0,AND($K41&lt;=V$7,$L41&lt;=V$7),1,AND($K41&lt;=V$7,$L41&gt;V$7),((V$7-$K41)/($L41-$K41)))</f>
        <v>0</v>
      </c>
      <c r="X41" s="226" cm="1">
        <f t="array" ref="X41">_xlfn.IFS(AND($K41&gt;W$7,$L41&gt;W$7),0,AND($K41&lt;=W$7,$L41&lt;=W$7),1,AND($K41&lt;=W$7,$L41&gt;W$7),((W$7-$K41)/($L41-$K41)))</f>
        <v>0</v>
      </c>
      <c r="Y41" s="226" cm="1">
        <f t="array" ref="Y41">_xlfn.IFS(AND($K41&gt;X$7,$L41&gt;X$7),0,AND($K41&lt;=X$7,$L41&lt;=X$7),1,AND($K41&lt;=X$7,$L41&gt;X$7),((X$7-$K41)/($L41-$K41)))</f>
        <v>0</v>
      </c>
      <c r="Z41" s="226" cm="1">
        <f t="array" ref="Z41">_xlfn.IFS(AND($K41&gt;Y$7,$L41&gt;Y$7),0,AND($K41&lt;=Y$7,$L41&lt;=Y$7),1,AND($K41&lt;=Y$7,$L41&gt;Y$7),((Y$7-$K41)/($L41-$K41)))</f>
        <v>0</v>
      </c>
      <c r="AA41" s="226" cm="1">
        <f t="array" ref="AA41">_xlfn.IFS(AND($K41&gt;Z$7,$L41&gt;Z$7),0,AND($K41&lt;=Z$7,$L41&lt;=Z$7),1,AND($K41&lt;=Z$7,$L41&gt;Z$7),((Z$7-$K41)/($L41-$K41)))</f>
        <v>0.21428571428571427</v>
      </c>
      <c r="AB41" s="226" cm="1">
        <f t="array" ref="AB41">_xlfn.IFS(AND($K41&gt;AA$7,$L41&gt;AA$7),0,AND($K41&lt;=AA$7,$L41&lt;=AA$7),1,AND($K41&lt;=AA$7,$L41&gt;AA$7),((AA$7-$K41)/($L41-$K41)))</f>
        <v>0.7142857142857143</v>
      </c>
      <c r="AC41" s="226" cm="1">
        <f t="array" ref="AC41">_xlfn.IFS(AND($K41&gt;AB$7,$L41&gt;AB$7),0,AND($K41&lt;=AB$7,$L41&lt;=AB$7),1,AND($K41&lt;=AB$7,$L41&gt;AB$7),((AB$7-$K41)/($L41-$K41)))</f>
        <v>1</v>
      </c>
      <c r="AD41" s="226" cm="1">
        <f t="array" ref="AD41">_xlfn.IFS(AND($K41&gt;AC$7,$L41&gt;AC$7),0,AND($K41&lt;=AC$7,$L41&lt;=AC$7),1,AND($K41&lt;=AC$7,$L41&gt;AC$7),((AC$7-$K41)/($L41-$K41)))</f>
        <v>1</v>
      </c>
      <c r="AE41" s="226" cm="1">
        <f t="array" ref="AE41">_xlfn.IFS(AND($K41&gt;AD$7,$L41&gt;AD$7),0,AND($K41&lt;=AD$7,$L41&lt;=AD$7),1,AND($K41&lt;=AD$7,$L41&gt;AD$7),((AD$7-$K41)/($L41-$K41)))</f>
        <v>1</v>
      </c>
      <c r="AF41" s="226" cm="1">
        <f t="array" ref="AF41">_xlfn.IFS(AND($K41&gt;AE$7,$L41&gt;AE$7),0,AND($K41&lt;=AE$7,$L41&lt;=AE$7),1,AND($K41&lt;=AE$7,$L41&gt;AE$7),((AE$7-$K41)/($L41-$K41)))</f>
        <v>1</v>
      </c>
      <c r="AG41" s="226" cm="1">
        <f t="array" ref="AG41">_xlfn.IFS(AND($K41&gt;AF$7,$L41&gt;AF$7),0,AND($K41&lt;=AF$7,$L41&lt;=AF$7),1,AND($K41&lt;=AF$7,$L41&gt;AF$7),((AF$7-$K41)/($L41-$K41)))</f>
        <v>1</v>
      </c>
      <c r="AH41" s="226" cm="1">
        <f t="array" ref="AH41">_xlfn.IFS(AND($K41&gt;AG$7,$L41&gt;AG$7),0,AND($K41&lt;=AG$7,$L41&lt;=AG$7),1,AND($K41&lt;=AG$7,$L41&gt;AG$7),((AG$7-$K41)/($L41-$K41)))</f>
        <v>1</v>
      </c>
      <c r="AI41" s="226" cm="1">
        <f t="array" ref="AI41">_xlfn.IFS(AND($K41&gt;AH$7,$L41&gt;AH$7),0,AND($K41&lt;=AH$7,$L41&lt;=AH$7),1,AND($K41&lt;=AH$7,$L41&gt;AH$7),((AH$7-$K41)/($L41-$K41)))</f>
        <v>1</v>
      </c>
      <c r="AJ41" s="226" cm="1">
        <f t="array" ref="AJ41">_xlfn.IFS(AND($K41&gt;AI$7,$L41&gt;AI$7),0,AND($K41&lt;=AI$7,$L41&lt;=AI$7),1,AND($K41&lt;=AI$7,$L41&gt;AI$7),((AI$7-$K41)/($L41-$K41)))</f>
        <v>1</v>
      </c>
      <c r="AK41" s="226" cm="1">
        <f t="array" ref="AK41">_xlfn.IFS(AND($K41&gt;AJ$7,$L41&gt;AJ$7),0,AND($K41&lt;=AJ$7,$L41&lt;=AJ$7),1,AND($K41&lt;=AJ$7,$L41&gt;AJ$7),((AJ$7-$K41)/($L41-$K41)))</f>
        <v>1</v>
      </c>
      <c r="AL41" s="226" cm="1">
        <f t="array" ref="AL41">_xlfn.IFS(AND($K41&gt;AK$7,$L41&gt;AK$7),0,AND($K41&lt;=AK$7,$L41&lt;=AK$7),1,AND($K41&lt;=AK$7,$L41&gt;AK$7),((AK$7-$K41)/($L41-$K41)))</f>
        <v>1</v>
      </c>
      <c r="AM41" s="226" cm="1">
        <f t="array" ref="AM41">_xlfn.IFS(AND($K41&gt;AL$7,$L41&gt;AL$7),0,AND($K41&lt;=AL$7,$L41&lt;=AL$7),1,AND($K41&lt;=AL$7,$L41&gt;AL$7),((AL$7-$K41)/($L41-$K41)))</f>
        <v>1</v>
      </c>
      <c r="AN41" s="226" cm="1">
        <f t="array" ref="AN41">_xlfn.IFS(AND($K41&gt;AM$7,$L41&gt;AM$7),0,AND($K41&lt;=AM$7,$L41&lt;=AM$7),1,AND($K41&lt;=AM$7,$L41&gt;AM$7),((AM$7-$K41)/($L41-$K41)))</f>
        <v>1</v>
      </c>
      <c r="AO41" s="226" cm="1">
        <f t="array" ref="AO41">_xlfn.IFS(AND($K41&gt;AN$7,$L41&gt;AN$7),0,AND($K41&lt;=AN$7,$L41&lt;=AN$7),1,AND($K41&lt;=AN$7,$L41&gt;AN$7),((AN$7-$K41)/($L41-$K41)))</f>
        <v>1</v>
      </c>
      <c r="AP41" s="226" cm="1">
        <f t="array" ref="AP41">_xlfn.IFS(AND($K41&gt;AO$7,$L41&gt;AO$7),0,AND($K41&lt;=AO$7,$L41&lt;=AO$7),1,AND($K41&lt;=AO$7,$L41&gt;AO$7),((AO$7-$K41)/($L41-$K41)))</f>
        <v>1</v>
      </c>
      <c r="AQ41" s="226" cm="1">
        <f t="array" ref="AQ41">_xlfn.IFS(AND($K41&gt;AP$7,$L41&gt;AP$7),0,AND($K41&lt;=AP$7,$L41&lt;=AP$7),1,AND($K41&lt;=AP$7,$L41&gt;AP$7),((AP$7-$K41)/($L41-$K41)))</f>
        <v>1</v>
      </c>
      <c r="AR41" s="226" cm="1">
        <f t="array" ref="AR41">_xlfn.IFS(AND($K41&gt;AQ$7,$L41&gt;AQ$7),0,AND($K41&lt;=AQ$7,$L41&lt;=AQ$7),1,AND($K41&lt;=AQ$7,$L41&gt;AQ$7),((AQ$7-$K41)/($L41-$K41)))</f>
        <v>1</v>
      </c>
      <c r="AS41" s="226" cm="1">
        <f t="array" ref="AS41">_xlfn.IFS(AND($K41&gt;AR$7,$L41&gt;AR$7),0,AND($K41&lt;=AR$7,$L41&lt;=AR$7),1,AND($K41&lt;=AR$7,$L41&gt;AR$7),((AR$7-$K41)/($L41-$K41)))</f>
        <v>1</v>
      </c>
      <c r="AT41" s="226" cm="1">
        <f t="array" ref="AT41">_xlfn.IFS(AND($K41&gt;AS$7,$L41&gt;AS$7),0,AND($K41&lt;=AS$7,$L41&lt;=AS$7),1,AND($K41&lt;=AS$7,$L41&gt;AS$7),((AS$7-$K41)/($L41-$K41)))</f>
        <v>1</v>
      </c>
      <c r="AU41" s="226" cm="1">
        <f t="array" ref="AU41">_xlfn.IFS(AND($K41&gt;AT$7,$L41&gt;AT$7),0,AND($K41&lt;=AT$7,$L41&lt;=AT$7),1,AND($K41&lt;=AT$7,$L41&gt;AT$7),((AT$7-$K41)/($L41-$K41)))</f>
        <v>1</v>
      </c>
      <c r="AV41" s="226" cm="1">
        <f t="array" ref="AV41">_xlfn.IFS(AND($K41&gt;AU$7,$L41&gt;AU$7),0,AND($K41&lt;=AU$7,$L41&lt;=AU$7),1,AND($K41&lt;=AU$7,$L41&gt;AU$7),((AU$7-$K41)/($L41-$K41)))</f>
        <v>1</v>
      </c>
      <c r="AW41" s="226" cm="1">
        <f t="array" ref="AW41">_xlfn.IFS(AND($K41&gt;AV$7,$L41&gt;AV$7),0,AND($K41&lt;=AV$7,$L41&lt;=AV$7),1,AND($K41&lt;=AV$7,$L41&gt;AV$7),((AV$7-$K41)/($L41-$K41)))</f>
        <v>1</v>
      </c>
      <c r="AX41" s="226" cm="1">
        <f t="array" ref="AX41">_xlfn.IFS(AND($K41&gt;AW$7,$L41&gt;AW$7),0,AND($K41&lt;=AW$7,$L41&lt;=AW$7),1,AND($K41&lt;=AW$7,$L41&gt;AW$7),((AW$7-$K41)/($L41-$K41)))</f>
        <v>1</v>
      </c>
      <c r="AY41" s="226" cm="1">
        <f t="array" ref="AY41">_xlfn.IFS(AND($K41&gt;AX$7,$L41&gt;AX$7),0,AND($K41&lt;=AX$7,$L41&lt;=AX$7),1,AND($K41&lt;=AX$7,$L41&gt;AX$7),((AX$7-$K41)/($L41-$K41)))</f>
        <v>1</v>
      </c>
      <c r="AZ41" s="226" cm="1">
        <f t="array" ref="AZ41">_xlfn.IFS(AND($K41&gt;AY$7,$L41&gt;AY$7),0,AND($K41&lt;=AY$7,$L41&lt;=AY$7),1,AND($K41&lt;=AY$7,$L41&gt;AY$7),((AY$7-$K41)/($L41-$K41)))</f>
        <v>1</v>
      </c>
      <c r="BA41" s="226" cm="1">
        <f t="array" ref="BA41">_xlfn.IFS(AND($K41&gt;AZ$7,$L41&gt;AZ$7),0,AND($K41&lt;=AZ$7,$L41&lt;=AZ$7),1,AND($K41&lt;=AZ$7,$L41&gt;AZ$7),((AZ$7-$K41)/($L41-$K41)))</f>
        <v>1</v>
      </c>
      <c r="BB41" s="226" cm="1">
        <f t="array" ref="BB41">_xlfn.IFS(AND($K41&gt;BA$7,$L41&gt;BA$7),0,AND($K41&lt;=BA$7,$L41&lt;=BA$7),1,AND($K41&lt;=BA$7,$L41&gt;BA$7),((BA$7-$K41)/($L41-$K41)))</f>
        <v>1</v>
      </c>
      <c r="BC41" s="226" cm="1">
        <f t="array" ref="BC41">_xlfn.IFS(AND($K41&gt;BB$7,$L41&gt;BB$7),0,AND($K41&lt;=BB$7,$L41&lt;=BB$7),1,AND($K41&lt;=BB$7,$L41&gt;BB$7),((BB$7-$K41)/($L41-$K41)))</f>
        <v>1</v>
      </c>
      <c r="BD41" s="226" cm="1">
        <f t="array" ref="BD41">_xlfn.IFS(AND($K41&gt;BC$7,$L41&gt;BC$7),0,AND($K41&lt;=BC$7,$L41&lt;=BC$7),1,AND($K41&lt;=BC$7,$L41&gt;BC$7),((BC$7-$K41)/($L41-$K41)))</f>
        <v>1</v>
      </c>
      <c r="BE41" s="226" cm="1">
        <f t="array" ref="BE41">_xlfn.IFS(AND($K41&gt;BD$7,$L41&gt;BD$7),0,AND($K41&lt;=BD$7,$L41&lt;=BD$7),1,AND($K41&lt;=BD$7,$L41&gt;BD$7),((BD$7-$K41)/($L41-$K41)))</f>
        <v>1</v>
      </c>
      <c r="BF41" s="226" cm="1">
        <f t="array" ref="BF41">_xlfn.IFS(AND($K41&gt;BE$7,$L41&gt;BE$7),0,AND($K41&lt;=BE$7,$L41&lt;=BE$7),1,AND($K41&lt;=BE$7,$L41&gt;BE$7),((BE$7-$K41)/($L41-$K41)))</f>
        <v>1</v>
      </c>
      <c r="BG41" s="226" cm="1">
        <f t="array" ref="BG41">_xlfn.IFS(AND($K41&gt;BF$7,$L41&gt;BF$7),0,AND($K41&lt;=BF$7,$L41&lt;=BF$7),1,AND($K41&lt;=BF$7,$L41&gt;BF$7),((BF$7-$K41)/($L41-$K41)))</f>
        <v>1</v>
      </c>
      <c r="BH41" s="163">
        <f>Tab.plano6[[#This Row],[Data Término
Prevista]]-Tab.plano6[[#This Row],[Data Início
Previsto]]</f>
        <v>2</v>
      </c>
    </row>
    <row r="42" spans="1:60" s="163" customFormat="1" ht="18" hidden="1" customHeight="1" x14ac:dyDescent="0.3">
      <c r="A42" s="216"/>
      <c r="B42" s="216" t="s">
        <v>12</v>
      </c>
      <c r="C42" s="216" t="s">
        <v>501</v>
      </c>
      <c r="D42" s="249" t="s">
        <v>399</v>
      </c>
      <c r="E42" s="249" t="s">
        <v>422</v>
      </c>
      <c r="F42" s="249" t="s">
        <v>74</v>
      </c>
      <c r="G42" s="249" t="s">
        <v>74</v>
      </c>
      <c r="H42" s="217" t="s">
        <v>841</v>
      </c>
      <c r="I42" s="257">
        <f>I43</f>
        <v>46111</v>
      </c>
      <c r="J42" s="257">
        <f>J43</f>
        <v>46153</v>
      </c>
      <c r="K42" s="257">
        <f>K43</f>
        <v>46111</v>
      </c>
      <c r="L42" s="257">
        <f>L43</f>
        <v>46171</v>
      </c>
      <c r="M42" s="229" t="s">
        <v>503</v>
      </c>
      <c r="N42" s="227" t="str" cm="1">
        <f t="array" ref="N42">_xlfn.IFS(L42&lt;$M$3,"Concluído",AND(K42&lt;=$M$3,L42&gt;=$M$3,L42&lt;=J42),"Em andamento",AND(K42&lt;=$M$3,L42&gt;=$M$3,L42&gt;J42),"Atrasado",AND(K42&gt;$M$3,I42&gt;$M$3),"Não iniciado",AND(K42&gt;$M$3,I42&lt;=$M$3),"Atrasado",TRUE,"Não iniciado")</f>
        <v>Atrasado</v>
      </c>
      <c r="O42" s="229" cm="1">
        <f t="array" ref="O42">_xlfn.IFS(N42="Não iniciado",0,N42="Em andamento",1,N42="Concluído",2,N42="Atrasado",3)</f>
        <v>3</v>
      </c>
      <c r="P42" s="216"/>
      <c r="Q42" s="224">
        <f t="shared" ref="Q42:BG42" si="17">Q43</f>
        <v>1</v>
      </c>
      <c r="R42" s="224">
        <f t="shared" si="17"/>
        <v>0.83333333333333337</v>
      </c>
      <c r="S42" s="224">
        <f t="shared" si="17"/>
        <v>0</v>
      </c>
      <c r="T42" s="224">
        <f t="shared" si="17"/>
        <v>0</v>
      </c>
      <c r="U42" s="224">
        <f t="shared" si="17"/>
        <v>0.38095238095238093</v>
      </c>
      <c r="V42" s="224">
        <f t="shared" si="17"/>
        <v>0.44761904761904764</v>
      </c>
      <c r="W42" s="224">
        <f t="shared" si="17"/>
        <v>0.51428571428571423</v>
      </c>
      <c r="X42" s="224">
        <f t="shared" si="17"/>
        <v>0.580952380952381</v>
      </c>
      <c r="Y42" s="224">
        <f t="shared" si="17"/>
        <v>0.64761904761904765</v>
      </c>
      <c r="Z42" s="224">
        <f t="shared" si="17"/>
        <v>0.72727272727272718</v>
      </c>
      <c r="AA42" s="224">
        <f t="shared" si="17"/>
        <v>0.83333333333333337</v>
      </c>
      <c r="AB42" s="224">
        <f t="shared" si="17"/>
        <v>0.93939393939393945</v>
      </c>
      <c r="AC42" s="224">
        <f t="shared" si="17"/>
        <v>1</v>
      </c>
      <c r="AD42" s="224">
        <f t="shared" si="17"/>
        <v>1</v>
      </c>
      <c r="AE42" s="224">
        <f t="shared" si="17"/>
        <v>1</v>
      </c>
      <c r="AF42" s="224">
        <f t="shared" si="17"/>
        <v>1</v>
      </c>
      <c r="AG42" s="224">
        <f t="shared" si="17"/>
        <v>1</v>
      </c>
      <c r="AH42" s="224">
        <f t="shared" si="17"/>
        <v>1</v>
      </c>
      <c r="AI42" s="224">
        <f t="shared" si="17"/>
        <v>1</v>
      </c>
      <c r="AJ42" s="224">
        <f t="shared" si="17"/>
        <v>1</v>
      </c>
      <c r="AK42" s="224">
        <f t="shared" si="17"/>
        <v>1</v>
      </c>
      <c r="AL42" s="224">
        <f t="shared" si="17"/>
        <v>1</v>
      </c>
      <c r="AM42" s="224">
        <f t="shared" si="17"/>
        <v>1</v>
      </c>
      <c r="AN42" s="224">
        <f t="shared" si="17"/>
        <v>1</v>
      </c>
      <c r="AO42" s="224">
        <f t="shared" si="17"/>
        <v>1</v>
      </c>
      <c r="AP42" s="224">
        <f t="shared" si="17"/>
        <v>1</v>
      </c>
      <c r="AQ42" s="224">
        <f t="shared" si="17"/>
        <v>1</v>
      </c>
      <c r="AR42" s="224">
        <f t="shared" si="17"/>
        <v>1</v>
      </c>
      <c r="AS42" s="224">
        <f t="shared" si="17"/>
        <v>1</v>
      </c>
      <c r="AT42" s="224">
        <f t="shared" si="17"/>
        <v>1</v>
      </c>
      <c r="AU42" s="224">
        <f t="shared" si="17"/>
        <v>1</v>
      </c>
      <c r="AV42" s="224">
        <f t="shared" si="17"/>
        <v>1</v>
      </c>
      <c r="AW42" s="224">
        <f t="shared" si="17"/>
        <v>1</v>
      </c>
      <c r="AX42" s="224">
        <f t="shared" si="17"/>
        <v>1</v>
      </c>
      <c r="AY42" s="224">
        <f t="shared" si="17"/>
        <v>1</v>
      </c>
      <c r="AZ42" s="224">
        <f t="shared" si="17"/>
        <v>1</v>
      </c>
      <c r="BA42" s="224">
        <f t="shared" si="17"/>
        <v>1</v>
      </c>
      <c r="BB42" s="224">
        <f t="shared" si="17"/>
        <v>1</v>
      </c>
      <c r="BC42" s="224">
        <f t="shared" si="17"/>
        <v>1</v>
      </c>
      <c r="BD42" s="224">
        <f t="shared" si="17"/>
        <v>1</v>
      </c>
      <c r="BE42" s="224">
        <f t="shared" si="17"/>
        <v>1</v>
      </c>
      <c r="BF42" s="224">
        <f t="shared" si="17"/>
        <v>1</v>
      </c>
      <c r="BG42" s="224">
        <f t="shared" si="17"/>
        <v>1</v>
      </c>
      <c r="BH42" s="163">
        <f>Tab.plano6[[#This Row],[Data Término
Prevista]]-Tab.plano6[[#This Row],[Data Início
Previsto]]</f>
        <v>42</v>
      </c>
    </row>
    <row r="43" spans="1:60" s="163" customFormat="1" ht="18" hidden="1" customHeight="1" x14ac:dyDescent="0.3">
      <c r="A43" s="218"/>
      <c r="B43" s="218" t="s">
        <v>13</v>
      </c>
      <c r="C43" s="218" t="s">
        <v>504</v>
      </c>
      <c r="D43" s="250" t="s">
        <v>399</v>
      </c>
      <c r="E43" s="250" t="s">
        <v>422</v>
      </c>
      <c r="F43" s="250" t="s">
        <v>502</v>
      </c>
      <c r="G43" s="250" t="s">
        <v>74</v>
      </c>
      <c r="H43" s="219" t="s">
        <v>841</v>
      </c>
      <c r="I43" s="258">
        <f>MIN(I44:I46)</f>
        <v>46111</v>
      </c>
      <c r="J43" s="258">
        <f>MAX(J44:J46)</f>
        <v>46153</v>
      </c>
      <c r="K43" s="258">
        <f>MIN(K44:K46)</f>
        <v>46111</v>
      </c>
      <c r="L43" s="258">
        <f>MAX(L44:L46)</f>
        <v>46171</v>
      </c>
      <c r="M43" s="230" t="s">
        <v>503</v>
      </c>
      <c r="N43" s="227" t="str" cm="1">
        <f t="array" ref="N43">_xlfn.IFS(L43&lt;$M$3,"Concluído",AND(K43&lt;=$M$3,L43&gt;=$M$3,L43&lt;=J43),"Em andamento",AND(K43&lt;=$M$3,L43&gt;=$M$3,L43&gt;J43),"Atrasado",AND(K43&gt;$M$3,I43&gt;$M$3),"Não iniciado",AND(K43&gt;$M$3,I43&lt;=$M$3),"Atrasado",TRUE,"Não iniciado")</f>
        <v>Atrasado</v>
      </c>
      <c r="O43" s="230" cm="1">
        <f t="array" ref="O43">_xlfn.IFS(N43="Não iniciado",0,N43="Em andamento",1,N43="Concluído",2,N43="Atrasado",3)</f>
        <v>3</v>
      </c>
      <c r="P43" s="218"/>
      <c r="Q43" s="225">
        <f t="shared" ref="Q43:BG43" si="18">AVERAGE(Q44:Q46)</f>
        <v>1</v>
      </c>
      <c r="R43" s="225">
        <f t="shared" si="18"/>
        <v>0.83333333333333337</v>
      </c>
      <c r="S43" s="225">
        <f t="shared" si="18"/>
        <v>0</v>
      </c>
      <c r="T43" s="225">
        <f t="shared" si="18"/>
        <v>0</v>
      </c>
      <c r="U43" s="225">
        <f t="shared" si="18"/>
        <v>0.38095238095238093</v>
      </c>
      <c r="V43" s="225">
        <f t="shared" si="18"/>
        <v>0.44761904761904764</v>
      </c>
      <c r="W43" s="225">
        <f t="shared" si="18"/>
        <v>0.51428571428571423</v>
      </c>
      <c r="X43" s="225">
        <f t="shared" si="18"/>
        <v>0.580952380952381</v>
      </c>
      <c r="Y43" s="225">
        <f t="shared" si="18"/>
        <v>0.64761904761904765</v>
      </c>
      <c r="Z43" s="225">
        <f t="shared" si="18"/>
        <v>0.72727272727272718</v>
      </c>
      <c r="AA43" s="225">
        <f t="shared" si="18"/>
        <v>0.83333333333333337</v>
      </c>
      <c r="AB43" s="225">
        <f t="shared" si="18"/>
        <v>0.93939393939393945</v>
      </c>
      <c r="AC43" s="225">
        <f t="shared" si="18"/>
        <v>1</v>
      </c>
      <c r="AD43" s="225">
        <f t="shared" si="18"/>
        <v>1</v>
      </c>
      <c r="AE43" s="225">
        <f t="shared" si="18"/>
        <v>1</v>
      </c>
      <c r="AF43" s="225">
        <f t="shared" si="18"/>
        <v>1</v>
      </c>
      <c r="AG43" s="225">
        <f t="shared" si="18"/>
        <v>1</v>
      </c>
      <c r="AH43" s="225">
        <f t="shared" si="18"/>
        <v>1</v>
      </c>
      <c r="AI43" s="225">
        <f t="shared" si="18"/>
        <v>1</v>
      </c>
      <c r="AJ43" s="225">
        <f t="shared" si="18"/>
        <v>1</v>
      </c>
      <c r="AK43" s="225">
        <f t="shared" si="18"/>
        <v>1</v>
      </c>
      <c r="AL43" s="225">
        <f t="shared" si="18"/>
        <v>1</v>
      </c>
      <c r="AM43" s="225">
        <f t="shared" si="18"/>
        <v>1</v>
      </c>
      <c r="AN43" s="225">
        <f t="shared" si="18"/>
        <v>1</v>
      </c>
      <c r="AO43" s="225">
        <f t="shared" si="18"/>
        <v>1</v>
      </c>
      <c r="AP43" s="225">
        <f t="shared" si="18"/>
        <v>1</v>
      </c>
      <c r="AQ43" s="225">
        <f t="shared" si="18"/>
        <v>1</v>
      </c>
      <c r="AR43" s="225">
        <f t="shared" si="18"/>
        <v>1</v>
      </c>
      <c r="AS43" s="225">
        <f t="shared" si="18"/>
        <v>1</v>
      </c>
      <c r="AT43" s="225">
        <f t="shared" si="18"/>
        <v>1</v>
      </c>
      <c r="AU43" s="225">
        <f t="shared" si="18"/>
        <v>1</v>
      </c>
      <c r="AV43" s="225">
        <f t="shared" si="18"/>
        <v>1</v>
      </c>
      <c r="AW43" s="225">
        <f t="shared" si="18"/>
        <v>1</v>
      </c>
      <c r="AX43" s="225">
        <f t="shared" si="18"/>
        <v>1</v>
      </c>
      <c r="AY43" s="225">
        <f t="shared" si="18"/>
        <v>1</v>
      </c>
      <c r="AZ43" s="225">
        <f t="shared" si="18"/>
        <v>1</v>
      </c>
      <c r="BA43" s="225">
        <f t="shared" si="18"/>
        <v>1</v>
      </c>
      <c r="BB43" s="225">
        <f t="shared" si="18"/>
        <v>1</v>
      </c>
      <c r="BC43" s="225">
        <f t="shared" si="18"/>
        <v>1</v>
      </c>
      <c r="BD43" s="225">
        <f t="shared" si="18"/>
        <v>1</v>
      </c>
      <c r="BE43" s="225">
        <f t="shared" si="18"/>
        <v>1</v>
      </c>
      <c r="BF43" s="225">
        <f t="shared" si="18"/>
        <v>1</v>
      </c>
      <c r="BG43" s="225">
        <f t="shared" si="18"/>
        <v>1</v>
      </c>
      <c r="BH43" s="163">
        <f>Tab.plano6[[#This Row],[Data Término
Prevista]]-Tab.plano6[[#This Row],[Data Início
Previsto]]</f>
        <v>42</v>
      </c>
    </row>
    <row r="44" spans="1:60" s="163" customFormat="1" ht="18" hidden="1" customHeight="1" x14ac:dyDescent="0.3">
      <c r="A44" s="220"/>
      <c r="B44" s="220" t="s">
        <v>161</v>
      </c>
      <c r="C44" s="220" t="s">
        <v>505</v>
      </c>
      <c r="D44" s="251" t="s">
        <v>399</v>
      </c>
      <c r="E44" s="251" t="s">
        <v>422</v>
      </c>
      <c r="F44" s="251" t="s">
        <v>502</v>
      </c>
      <c r="G44" s="251" t="s">
        <v>502</v>
      </c>
      <c r="H44" s="221" t="s">
        <v>530</v>
      </c>
      <c r="I44" s="260">
        <v>46111</v>
      </c>
      <c r="J44" s="260">
        <v>46112</v>
      </c>
      <c r="K44" s="260">
        <v>46111</v>
      </c>
      <c r="L44" s="260">
        <v>46112</v>
      </c>
      <c r="M44" s="231" t="s">
        <v>503</v>
      </c>
      <c r="N44" s="227" t="str" cm="1">
        <f t="array" ref="N44">_xlfn.IFS(L44&lt;$M$3,"Concluído",AND(K44&lt;=$M$3,L44&gt;=$M$3,L44&lt;=J44),"Em andamento",AND(K44&lt;=$M$3,L44&gt;=$M$3,L44&gt;J44),"Atrasado",AND(K44&gt;$M$3,I44&gt;$M$3),"Não iniciado",AND(K44&gt;$M$3,I44&lt;=$M$3),"Atrasado",TRUE,"Não iniciado")</f>
        <v>Concluído</v>
      </c>
      <c r="O44" s="231" cm="1">
        <f t="array" ref="O44">_xlfn.IFS(N44="Não iniciado",0,N44="Em andamento",1,N44="Concluído",2,N44="Atrasado",3)</f>
        <v>2</v>
      </c>
      <c r="P44" s="220"/>
      <c r="Q44" s="226" cm="1">
        <f t="array" ref="Q44">_xlfn.IFS(AND($I44&lt;$M$3,$J44&lt;$M$3),1,AND($I44&lt;=$M$3,$J44&gt;=$M$3),0.5,AND($I44&gt;=$M$3,$J44&gt;=$M$3),0)</f>
        <v>1</v>
      </c>
      <c r="R44" s="226" cm="1">
        <f t="array" ref="R44">_xlfn.IFS(AND($K44&lt;$M$3,$L44&lt;$M$3),1,AND($K44&lt;=$M$3,$L44&gt;=$M$3),0.5,AND($K44&gt;=$M$3,$L44&gt;=$M$3),0)</f>
        <v>1</v>
      </c>
      <c r="S44" s="226" cm="1">
        <f t="array" ref="S44">_xlfn.IFS(AND($K44&gt;R$7,$L44&gt;R$7),0,AND($K44&lt;=R$7,$L44&lt;=R$7),1,AND($K44&lt;=R$7,$L44&gt;R$7),((R$7-$K44)/($L44-$K44)))</f>
        <v>0</v>
      </c>
      <c r="T44" s="226" cm="1">
        <f t="array" ref="T44">_xlfn.IFS(AND($K44&gt;S$7,$L44&gt;S$7),0,AND($K44&lt;=S$7,$L44&lt;=S$7),1,AND($K44&lt;=S$7,$L44&gt;S$7),((S$7-$K44)/($L44-$K44)))</f>
        <v>0</v>
      </c>
      <c r="U44" s="226" cm="1">
        <f t="array" ref="U44">_xlfn.IFS(AND($K44&gt;T$7,$L44&gt;T$7),0,AND($K44&lt;=T$7,$L44&lt;=T$7),1,AND($K44&lt;=T$7,$L44&gt;T$7),((T$7-$K44)/($L44-$K44)))</f>
        <v>1</v>
      </c>
      <c r="V44" s="226" cm="1">
        <f t="array" ref="V44">_xlfn.IFS(AND($K44&gt;U$7,$L44&gt;U$7),0,AND($K44&lt;=U$7,$L44&lt;=U$7),1,AND($K44&lt;=U$7,$L44&gt;U$7),((U$7-$K44)/($L44-$K44)))</f>
        <v>1</v>
      </c>
      <c r="W44" s="226" cm="1">
        <f t="array" ref="W44">_xlfn.IFS(AND($K44&gt;V$7,$L44&gt;V$7),0,AND($K44&lt;=V$7,$L44&lt;=V$7),1,AND($K44&lt;=V$7,$L44&gt;V$7),((V$7-$K44)/($L44-$K44)))</f>
        <v>1</v>
      </c>
      <c r="X44" s="226" cm="1">
        <f t="array" ref="X44">_xlfn.IFS(AND($K44&gt;W$7,$L44&gt;W$7),0,AND($K44&lt;=W$7,$L44&lt;=W$7),1,AND($K44&lt;=W$7,$L44&gt;W$7),((W$7-$K44)/($L44-$K44)))</f>
        <v>1</v>
      </c>
      <c r="Y44" s="226" cm="1">
        <f t="array" ref="Y44">_xlfn.IFS(AND($K44&gt;X$7,$L44&gt;X$7),0,AND($K44&lt;=X$7,$L44&lt;=X$7),1,AND($K44&lt;=X$7,$L44&gt;X$7),((X$7-$K44)/($L44-$K44)))</f>
        <v>1</v>
      </c>
      <c r="Z44" s="226" cm="1">
        <f t="array" ref="Z44">_xlfn.IFS(AND($K44&gt;Y$7,$L44&gt;Y$7),0,AND($K44&lt;=Y$7,$L44&lt;=Y$7),1,AND($K44&lt;=Y$7,$L44&gt;Y$7),((Y$7-$K44)/($L44-$K44)))</f>
        <v>1</v>
      </c>
      <c r="AA44" s="226" cm="1">
        <f t="array" ref="AA44">_xlfn.IFS(AND($K44&gt;Z$7,$L44&gt;Z$7),0,AND($K44&lt;=Z$7,$L44&lt;=Z$7),1,AND($K44&lt;=Z$7,$L44&gt;Z$7),((Z$7-$K44)/($L44-$K44)))</f>
        <v>1</v>
      </c>
      <c r="AB44" s="226" cm="1">
        <f t="array" ref="AB44">_xlfn.IFS(AND($K44&gt;AA$7,$L44&gt;AA$7),0,AND($K44&lt;=AA$7,$L44&lt;=AA$7),1,AND($K44&lt;=AA$7,$L44&gt;AA$7),((AA$7-$K44)/($L44-$K44)))</f>
        <v>1</v>
      </c>
      <c r="AC44" s="226" cm="1">
        <f t="array" ref="AC44">_xlfn.IFS(AND($K44&gt;AB$7,$L44&gt;AB$7),0,AND($K44&lt;=AB$7,$L44&lt;=AB$7),1,AND($K44&lt;=AB$7,$L44&gt;AB$7),((AB$7-$K44)/($L44-$K44)))</f>
        <v>1</v>
      </c>
      <c r="AD44" s="226" cm="1">
        <f t="array" ref="AD44">_xlfn.IFS(AND($K44&gt;AC$7,$L44&gt;AC$7),0,AND($K44&lt;=AC$7,$L44&lt;=AC$7),1,AND($K44&lt;=AC$7,$L44&gt;AC$7),((AC$7-$K44)/($L44-$K44)))</f>
        <v>1</v>
      </c>
      <c r="AE44" s="226" cm="1">
        <f t="array" ref="AE44">_xlfn.IFS(AND($K44&gt;AD$7,$L44&gt;AD$7),0,AND($K44&lt;=AD$7,$L44&lt;=AD$7),1,AND($K44&lt;=AD$7,$L44&gt;AD$7),((AD$7-$K44)/($L44-$K44)))</f>
        <v>1</v>
      </c>
      <c r="AF44" s="226" cm="1">
        <f t="array" ref="AF44">_xlfn.IFS(AND($K44&gt;AE$7,$L44&gt;AE$7),0,AND($K44&lt;=AE$7,$L44&lt;=AE$7),1,AND($K44&lt;=AE$7,$L44&gt;AE$7),((AE$7-$K44)/($L44-$K44)))</f>
        <v>1</v>
      </c>
      <c r="AG44" s="226" cm="1">
        <f t="array" ref="AG44">_xlfn.IFS(AND($K44&gt;AF$7,$L44&gt;AF$7),0,AND($K44&lt;=AF$7,$L44&lt;=AF$7),1,AND($K44&lt;=AF$7,$L44&gt;AF$7),((AF$7-$K44)/($L44-$K44)))</f>
        <v>1</v>
      </c>
      <c r="AH44" s="226" cm="1">
        <f t="array" ref="AH44">_xlfn.IFS(AND($K44&gt;AG$7,$L44&gt;AG$7),0,AND($K44&lt;=AG$7,$L44&lt;=AG$7),1,AND($K44&lt;=AG$7,$L44&gt;AG$7),((AG$7-$K44)/($L44-$K44)))</f>
        <v>1</v>
      </c>
      <c r="AI44" s="226" cm="1">
        <f t="array" ref="AI44">_xlfn.IFS(AND($K44&gt;AH$7,$L44&gt;AH$7),0,AND($K44&lt;=AH$7,$L44&lt;=AH$7),1,AND($K44&lt;=AH$7,$L44&gt;AH$7),((AH$7-$K44)/($L44-$K44)))</f>
        <v>1</v>
      </c>
      <c r="AJ44" s="226" cm="1">
        <f t="array" ref="AJ44">_xlfn.IFS(AND($K44&gt;AI$7,$L44&gt;AI$7),0,AND($K44&lt;=AI$7,$L44&lt;=AI$7),1,AND($K44&lt;=AI$7,$L44&gt;AI$7),((AI$7-$K44)/($L44-$K44)))</f>
        <v>1</v>
      </c>
      <c r="AK44" s="226" cm="1">
        <f t="array" ref="AK44">_xlfn.IFS(AND($K44&gt;AJ$7,$L44&gt;AJ$7),0,AND($K44&lt;=AJ$7,$L44&lt;=AJ$7),1,AND($K44&lt;=AJ$7,$L44&gt;AJ$7),((AJ$7-$K44)/($L44-$K44)))</f>
        <v>1</v>
      </c>
      <c r="AL44" s="226" cm="1">
        <f t="array" ref="AL44">_xlfn.IFS(AND($K44&gt;AK$7,$L44&gt;AK$7),0,AND($K44&lt;=AK$7,$L44&lt;=AK$7),1,AND($K44&lt;=AK$7,$L44&gt;AK$7),((AK$7-$K44)/($L44-$K44)))</f>
        <v>1</v>
      </c>
      <c r="AM44" s="226" cm="1">
        <f t="array" ref="AM44">_xlfn.IFS(AND($K44&gt;AL$7,$L44&gt;AL$7),0,AND($K44&lt;=AL$7,$L44&lt;=AL$7),1,AND($K44&lt;=AL$7,$L44&gt;AL$7),((AL$7-$K44)/($L44-$K44)))</f>
        <v>1</v>
      </c>
      <c r="AN44" s="226" cm="1">
        <f t="array" ref="AN44">_xlfn.IFS(AND($K44&gt;AM$7,$L44&gt;AM$7),0,AND($K44&lt;=AM$7,$L44&lt;=AM$7),1,AND($K44&lt;=AM$7,$L44&gt;AM$7),((AM$7-$K44)/($L44-$K44)))</f>
        <v>1</v>
      </c>
      <c r="AO44" s="226" cm="1">
        <f t="array" ref="AO44">_xlfn.IFS(AND($K44&gt;AN$7,$L44&gt;AN$7),0,AND($K44&lt;=AN$7,$L44&lt;=AN$7),1,AND($K44&lt;=AN$7,$L44&gt;AN$7),((AN$7-$K44)/($L44-$K44)))</f>
        <v>1</v>
      </c>
      <c r="AP44" s="226" cm="1">
        <f t="array" ref="AP44">_xlfn.IFS(AND($K44&gt;AO$7,$L44&gt;AO$7),0,AND($K44&lt;=AO$7,$L44&lt;=AO$7),1,AND($K44&lt;=AO$7,$L44&gt;AO$7),((AO$7-$K44)/($L44-$K44)))</f>
        <v>1</v>
      </c>
      <c r="AQ44" s="226" cm="1">
        <f t="array" ref="AQ44">_xlfn.IFS(AND($K44&gt;AP$7,$L44&gt;AP$7),0,AND($K44&lt;=AP$7,$L44&lt;=AP$7),1,AND($K44&lt;=AP$7,$L44&gt;AP$7),((AP$7-$K44)/($L44-$K44)))</f>
        <v>1</v>
      </c>
      <c r="AR44" s="226" cm="1">
        <f t="array" ref="AR44">_xlfn.IFS(AND($K44&gt;AQ$7,$L44&gt;AQ$7),0,AND($K44&lt;=AQ$7,$L44&lt;=AQ$7),1,AND($K44&lt;=AQ$7,$L44&gt;AQ$7),((AQ$7-$K44)/($L44-$K44)))</f>
        <v>1</v>
      </c>
      <c r="AS44" s="226" cm="1">
        <f t="array" ref="AS44">_xlfn.IFS(AND($K44&gt;AR$7,$L44&gt;AR$7),0,AND($K44&lt;=AR$7,$L44&lt;=AR$7),1,AND($K44&lt;=AR$7,$L44&gt;AR$7),((AR$7-$K44)/($L44-$K44)))</f>
        <v>1</v>
      </c>
      <c r="AT44" s="226" cm="1">
        <f t="array" ref="AT44">_xlfn.IFS(AND($K44&gt;AS$7,$L44&gt;AS$7),0,AND($K44&lt;=AS$7,$L44&lt;=AS$7),1,AND($K44&lt;=AS$7,$L44&gt;AS$7),((AS$7-$K44)/($L44-$K44)))</f>
        <v>1</v>
      </c>
      <c r="AU44" s="226" cm="1">
        <f t="array" ref="AU44">_xlfn.IFS(AND($K44&gt;AT$7,$L44&gt;AT$7),0,AND($K44&lt;=AT$7,$L44&lt;=AT$7),1,AND($K44&lt;=AT$7,$L44&gt;AT$7),((AT$7-$K44)/($L44-$K44)))</f>
        <v>1</v>
      </c>
      <c r="AV44" s="226" cm="1">
        <f t="array" ref="AV44">_xlfn.IFS(AND($K44&gt;AU$7,$L44&gt;AU$7),0,AND($K44&lt;=AU$7,$L44&lt;=AU$7),1,AND($K44&lt;=AU$7,$L44&gt;AU$7),((AU$7-$K44)/($L44-$K44)))</f>
        <v>1</v>
      </c>
      <c r="AW44" s="226" cm="1">
        <f t="array" ref="AW44">_xlfn.IFS(AND($K44&gt;AV$7,$L44&gt;AV$7),0,AND($K44&lt;=AV$7,$L44&lt;=AV$7),1,AND($K44&lt;=AV$7,$L44&gt;AV$7),((AV$7-$K44)/($L44-$K44)))</f>
        <v>1</v>
      </c>
      <c r="AX44" s="226" cm="1">
        <f t="array" ref="AX44">_xlfn.IFS(AND($K44&gt;AW$7,$L44&gt;AW$7),0,AND($K44&lt;=AW$7,$L44&lt;=AW$7),1,AND($K44&lt;=AW$7,$L44&gt;AW$7),((AW$7-$K44)/($L44-$K44)))</f>
        <v>1</v>
      </c>
      <c r="AY44" s="226" cm="1">
        <f t="array" ref="AY44">_xlfn.IFS(AND($K44&gt;AX$7,$L44&gt;AX$7),0,AND($K44&lt;=AX$7,$L44&lt;=AX$7),1,AND($K44&lt;=AX$7,$L44&gt;AX$7),((AX$7-$K44)/($L44-$K44)))</f>
        <v>1</v>
      </c>
      <c r="AZ44" s="226" cm="1">
        <f t="array" ref="AZ44">_xlfn.IFS(AND($K44&gt;AY$7,$L44&gt;AY$7),0,AND($K44&lt;=AY$7,$L44&lt;=AY$7),1,AND($K44&lt;=AY$7,$L44&gt;AY$7),((AY$7-$K44)/($L44-$K44)))</f>
        <v>1</v>
      </c>
      <c r="BA44" s="226" cm="1">
        <f t="array" ref="BA44">_xlfn.IFS(AND($K44&gt;AZ$7,$L44&gt;AZ$7),0,AND($K44&lt;=AZ$7,$L44&lt;=AZ$7),1,AND($K44&lt;=AZ$7,$L44&gt;AZ$7),((AZ$7-$K44)/($L44-$K44)))</f>
        <v>1</v>
      </c>
      <c r="BB44" s="226" cm="1">
        <f t="array" ref="BB44">_xlfn.IFS(AND($K44&gt;BA$7,$L44&gt;BA$7),0,AND($K44&lt;=BA$7,$L44&lt;=BA$7),1,AND($K44&lt;=BA$7,$L44&gt;BA$7),((BA$7-$K44)/($L44-$K44)))</f>
        <v>1</v>
      </c>
      <c r="BC44" s="226" cm="1">
        <f t="array" ref="BC44">_xlfn.IFS(AND($K44&gt;BB$7,$L44&gt;BB$7),0,AND($K44&lt;=BB$7,$L44&lt;=BB$7),1,AND($K44&lt;=BB$7,$L44&gt;BB$7),((BB$7-$K44)/($L44-$K44)))</f>
        <v>1</v>
      </c>
      <c r="BD44" s="226" cm="1">
        <f t="array" ref="BD44">_xlfn.IFS(AND($K44&gt;BC$7,$L44&gt;BC$7),0,AND($K44&lt;=BC$7,$L44&lt;=BC$7),1,AND($K44&lt;=BC$7,$L44&gt;BC$7),((BC$7-$K44)/($L44-$K44)))</f>
        <v>1</v>
      </c>
      <c r="BE44" s="226" cm="1">
        <f t="array" ref="BE44">_xlfn.IFS(AND($K44&gt;BD$7,$L44&gt;BD$7),0,AND($K44&lt;=BD$7,$L44&lt;=BD$7),1,AND($K44&lt;=BD$7,$L44&gt;BD$7),((BD$7-$K44)/($L44-$K44)))</f>
        <v>1</v>
      </c>
      <c r="BF44" s="226" cm="1">
        <f t="array" ref="BF44">_xlfn.IFS(AND($K44&gt;BE$7,$L44&gt;BE$7),0,AND($K44&lt;=BE$7,$L44&lt;=BE$7),1,AND($K44&lt;=BE$7,$L44&gt;BE$7),((BE$7-$K44)/($L44-$K44)))</f>
        <v>1</v>
      </c>
      <c r="BG44" s="226" cm="1">
        <f t="array" ref="BG44">_xlfn.IFS(AND($K44&gt;BF$7,$L44&gt;BF$7),0,AND($K44&lt;=BF$7,$L44&lt;=BF$7),1,AND($K44&lt;=BF$7,$L44&gt;BF$7),((BF$7-$K44)/($L44-$K44)))</f>
        <v>1</v>
      </c>
      <c r="BH44" s="163">
        <f>Tab.plano6[[#This Row],[Data Término
Prevista]]-Tab.plano6[[#This Row],[Data Início
Previsto]]</f>
        <v>1</v>
      </c>
    </row>
    <row r="45" spans="1:60" s="163" customFormat="1" ht="18" hidden="1" customHeight="1" x14ac:dyDescent="0.3">
      <c r="A45" s="220"/>
      <c r="B45" s="220" t="s">
        <v>161</v>
      </c>
      <c r="C45" s="220" t="s">
        <v>507</v>
      </c>
      <c r="D45" s="251" t="s">
        <v>399</v>
      </c>
      <c r="E45" s="251" t="s">
        <v>422</v>
      </c>
      <c r="F45" s="251" t="s">
        <v>502</v>
      </c>
      <c r="G45" s="251" t="s">
        <v>502</v>
      </c>
      <c r="H45" s="221" t="s">
        <v>532</v>
      </c>
      <c r="I45" s="260">
        <v>46113</v>
      </c>
      <c r="J45" s="260">
        <v>46148</v>
      </c>
      <c r="K45" s="260">
        <v>46113</v>
      </c>
      <c r="L45" s="260">
        <v>46148</v>
      </c>
      <c r="M45" s="231" t="s">
        <v>503</v>
      </c>
      <c r="N45" s="227" t="str" cm="1">
        <f t="array" ref="N45">_xlfn.IFS(L45&lt;$M$3,"Concluído",AND(K45&lt;=$M$3,L45&gt;=$M$3,L45&lt;=J45),"Em andamento",AND(K45&lt;=$M$3,L45&gt;=$M$3,L45&gt;J45),"Atrasado",AND(K45&gt;$M$3,I45&gt;$M$3),"Não iniciado",AND(K45&gt;$M$3,I45&lt;=$M$3),"Atrasado",TRUE,"Não iniciado")</f>
        <v>Concluído</v>
      </c>
      <c r="O45" s="231" cm="1">
        <f t="array" ref="O45">_xlfn.IFS(N45="Não iniciado",0,N45="Em andamento",1,N45="Concluído",2,N45="Atrasado",3)</f>
        <v>2</v>
      </c>
      <c r="P45" s="220"/>
      <c r="Q45" s="226" cm="1">
        <f t="array" ref="Q45">_xlfn.IFS(AND($I45&lt;$M$3,$J45&lt;$M$3),1,AND($I45&lt;=$M$3,$J45&gt;=$M$3),0.5,AND($I45&gt;=$M$3,$J45&gt;=$M$3),0)</f>
        <v>1</v>
      </c>
      <c r="R45" s="226" cm="1">
        <f t="array" ref="R45">_xlfn.IFS(AND($K45&lt;$M$3,$L45&lt;$M$3),1,AND($K45&lt;=$M$3,$L45&gt;=$M$3),0.5,AND($K45&gt;=$M$3,$L45&gt;=$M$3),0)</f>
        <v>1</v>
      </c>
      <c r="S45" s="226" cm="1">
        <f t="array" ref="S45">_xlfn.IFS(AND($K45&gt;R$7,$L45&gt;R$7),0,AND($K45&lt;=R$7,$L45&lt;=R$7),1,AND($K45&lt;=R$7,$L45&gt;R$7),((R$7-$K45)/($L45-$K45)))</f>
        <v>0</v>
      </c>
      <c r="T45" s="226" cm="1">
        <f t="array" ref="T45">_xlfn.IFS(AND($K45&gt;S$7,$L45&gt;S$7),0,AND($K45&lt;=S$7,$L45&lt;=S$7),1,AND($K45&lt;=S$7,$L45&gt;S$7),((S$7-$K45)/($L45-$K45)))</f>
        <v>0</v>
      </c>
      <c r="U45" s="226" cm="1">
        <f t="array" ref="U45">_xlfn.IFS(AND($K45&gt;T$7,$L45&gt;T$7),0,AND($K45&lt;=T$7,$L45&lt;=T$7),1,AND($K45&lt;=T$7,$L45&gt;T$7),((T$7-$K45)/($L45-$K45)))</f>
        <v>0.14285714285714285</v>
      </c>
      <c r="V45" s="226" cm="1">
        <f t="array" ref="V45">_xlfn.IFS(AND($K45&gt;U$7,$L45&gt;U$7),0,AND($K45&lt;=U$7,$L45&lt;=U$7),1,AND($K45&lt;=U$7,$L45&gt;U$7),((U$7-$K45)/($L45-$K45)))</f>
        <v>0.34285714285714286</v>
      </c>
      <c r="W45" s="226" cm="1">
        <f t="array" ref="W45">_xlfn.IFS(AND($K45&gt;V$7,$L45&gt;V$7),0,AND($K45&lt;=V$7,$L45&lt;=V$7),1,AND($K45&lt;=V$7,$L45&gt;V$7),((V$7-$K45)/($L45-$K45)))</f>
        <v>0.54285714285714282</v>
      </c>
      <c r="X45" s="226" cm="1">
        <f t="array" ref="X45">_xlfn.IFS(AND($K45&gt;W$7,$L45&gt;W$7),0,AND($K45&lt;=W$7,$L45&lt;=W$7),1,AND($K45&lt;=W$7,$L45&gt;W$7),((W$7-$K45)/($L45-$K45)))</f>
        <v>0.74285714285714288</v>
      </c>
      <c r="Y45" s="226" cm="1">
        <f t="array" ref="Y45">_xlfn.IFS(AND($K45&gt;X$7,$L45&gt;X$7),0,AND($K45&lt;=X$7,$L45&lt;=X$7),1,AND($K45&lt;=X$7,$L45&gt;X$7),((X$7-$K45)/($L45-$K45)))</f>
        <v>0.94285714285714284</v>
      </c>
      <c r="Z45" s="226" cm="1">
        <f t="array" ref="Z45">_xlfn.IFS(AND($K45&gt;Y$7,$L45&gt;Y$7),0,AND($K45&lt;=Y$7,$L45&lt;=Y$7),1,AND($K45&lt;=Y$7,$L45&gt;Y$7),((Y$7-$K45)/($L45-$K45)))</f>
        <v>1</v>
      </c>
      <c r="AA45" s="226" cm="1">
        <f t="array" ref="AA45">_xlfn.IFS(AND($K45&gt;Z$7,$L45&gt;Z$7),0,AND($K45&lt;=Z$7,$L45&lt;=Z$7),1,AND($K45&lt;=Z$7,$L45&gt;Z$7),((Z$7-$K45)/($L45-$K45)))</f>
        <v>1</v>
      </c>
      <c r="AB45" s="226" cm="1">
        <f t="array" ref="AB45">_xlfn.IFS(AND($K45&gt;AA$7,$L45&gt;AA$7),0,AND($K45&lt;=AA$7,$L45&lt;=AA$7),1,AND($K45&lt;=AA$7,$L45&gt;AA$7),((AA$7-$K45)/($L45-$K45)))</f>
        <v>1</v>
      </c>
      <c r="AC45" s="226" cm="1">
        <f t="array" ref="AC45">_xlfn.IFS(AND($K45&gt;AB$7,$L45&gt;AB$7),0,AND($K45&lt;=AB$7,$L45&lt;=AB$7),1,AND($K45&lt;=AB$7,$L45&gt;AB$7),((AB$7-$K45)/($L45-$K45)))</f>
        <v>1</v>
      </c>
      <c r="AD45" s="226" cm="1">
        <f t="array" ref="AD45">_xlfn.IFS(AND($K45&gt;AC$7,$L45&gt;AC$7),0,AND($K45&lt;=AC$7,$L45&lt;=AC$7),1,AND($K45&lt;=AC$7,$L45&gt;AC$7),((AC$7-$K45)/($L45-$K45)))</f>
        <v>1</v>
      </c>
      <c r="AE45" s="226" cm="1">
        <f t="array" ref="AE45">_xlfn.IFS(AND($K45&gt;AD$7,$L45&gt;AD$7),0,AND($K45&lt;=AD$7,$L45&lt;=AD$7),1,AND($K45&lt;=AD$7,$L45&gt;AD$7),((AD$7-$K45)/($L45-$K45)))</f>
        <v>1</v>
      </c>
      <c r="AF45" s="226" cm="1">
        <f t="array" ref="AF45">_xlfn.IFS(AND($K45&gt;AE$7,$L45&gt;AE$7),0,AND($K45&lt;=AE$7,$L45&lt;=AE$7),1,AND($K45&lt;=AE$7,$L45&gt;AE$7),((AE$7-$K45)/($L45-$K45)))</f>
        <v>1</v>
      </c>
      <c r="AG45" s="226" cm="1">
        <f t="array" ref="AG45">_xlfn.IFS(AND($K45&gt;AF$7,$L45&gt;AF$7),0,AND($K45&lt;=AF$7,$L45&lt;=AF$7),1,AND($K45&lt;=AF$7,$L45&gt;AF$7),((AF$7-$K45)/($L45-$K45)))</f>
        <v>1</v>
      </c>
      <c r="AH45" s="226" cm="1">
        <f t="array" ref="AH45">_xlfn.IFS(AND($K45&gt;AG$7,$L45&gt;AG$7),0,AND($K45&lt;=AG$7,$L45&lt;=AG$7),1,AND($K45&lt;=AG$7,$L45&gt;AG$7),((AG$7-$K45)/($L45-$K45)))</f>
        <v>1</v>
      </c>
      <c r="AI45" s="226" cm="1">
        <f t="array" ref="AI45">_xlfn.IFS(AND($K45&gt;AH$7,$L45&gt;AH$7),0,AND($K45&lt;=AH$7,$L45&lt;=AH$7),1,AND($K45&lt;=AH$7,$L45&gt;AH$7),((AH$7-$K45)/($L45-$K45)))</f>
        <v>1</v>
      </c>
      <c r="AJ45" s="226" cm="1">
        <f t="array" ref="AJ45">_xlfn.IFS(AND($K45&gt;AI$7,$L45&gt;AI$7),0,AND($K45&lt;=AI$7,$L45&lt;=AI$7),1,AND($K45&lt;=AI$7,$L45&gt;AI$7),((AI$7-$K45)/($L45-$K45)))</f>
        <v>1</v>
      </c>
      <c r="AK45" s="226" cm="1">
        <f t="array" ref="AK45">_xlfn.IFS(AND($K45&gt;AJ$7,$L45&gt;AJ$7),0,AND($K45&lt;=AJ$7,$L45&lt;=AJ$7),1,AND($K45&lt;=AJ$7,$L45&gt;AJ$7),((AJ$7-$K45)/($L45-$K45)))</f>
        <v>1</v>
      </c>
      <c r="AL45" s="226" cm="1">
        <f t="array" ref="AL45">_xlfn.IFS(AND($K45&gt;AK$7,$L45&gt;AK$7),0,AND($K45&lt;=AK$7,$L45&lt;=AK$7),1,AND($K45&lt;=AK$7,$L45&gt;AK$7),((AK$7-$K45)/($L45-$K45)))</f>
        <v>1</v>
      </c>
      <c r="AM45" s="226" cm="1">
        <f t="array" ref="AM45">_xlfn.IFS(AND($K45&gt;AL$7,$L45&gt;AL$7),0,AND($K45&lt;=AL$7,$L45&lt;=AL$7),1,AND($K45&lt;=AL$7,$L45&gt;AL$7),((AL$7-$K45)/($L45-$K45)))</f>
        <v>1</v>
      </c>
      <c r="AN45" s="226" cm="1">
        <f t="array" ref="AN45">_xlfn.IFS(AND($K45&gt;AM$7,$L45&gt;AM$7),0,AND($K45&lt;=AM$7,$L45&lt;=AM$7),1,AND($K45&lt;=AM$7,$L45&gt;AM$7),((AM$7-$K45)/($L45-$K45)))</f>
        <v>1</v>
      </c>
      <c r="AO45" s="226" cm="1">
        <f t="array" ref="AO45">_xlfn.IFS(AND($K45&gt;AN$7,$L45&gt;AN$7),0,AND($K45&lt;=AN$7,$L45&lt;=AN$7),1,AND($K45&lt;=AN$7,$L45&gt;AN$7),((AN$7-$K45)/($L45-$K45)))</f>
        <v>1</v>
      </c>
      <c r="AP45" s="226" cm="1">
        <f t="array" ref="AP45">_xlfn.IFS(AND($K45&gt;AO$7,$L45&gt;AO$7),0,AND($K45&lt;=AO$7,$L45&lt;=AO$7),1,AND($K45&lt;=AO$7,$L45&gt;AO$7),((AO$7-$K45)/($L45-$K45)))</f>
        <v>1</v>
      </c>
      <c r="AQ45" s="226" cm="1">
        <f t="array" ref="AQ45">_xlfn.IFS(AND($K45&gt;AP$7,$L45&gt;AP$7),0,AND($K45&lt;=AP$7,$L45&lt;=AP$7),1,AND($K45&lt;=AP$7,$L45&gt;AP$7),((AP$7-$K45)/($L45-$K45)))</f>
        <v>1</v>
      </c>
      <c r="AR45" s="226" cm="1">
        <f t="array" ref="AR45">_xlfn.IFS(AND($K45&gt;AQ$7,$L45&gt;AQ$7),0,AND($K45&lt;=AQ$7,$L45&lt;=AQ$7),1,AND($K45&lt;=AQ$7,$L45&gt;AQ$7),((AQ$7-$K45)/($L45-$K45)))</f>
        <v>1</v>
      </c>
      <c r="AS45" s="226" cm="1">
        <f t="array" ref="AS45">_xlfn.IFS(AND($K45&gt;AR$7,$L45&gt;AR$7),0,AND($K45&lt;=AR$7,$L45&lt;=AR$7),1,AND($K45&lt;=AR$7,$L45&gt;AR$7),((AR$7-$K45)/($L45-$K45)))</f>
        <v>1</v>
      </c>
      <c r="AT45" s="226" cm="1">
        <f t="array" ref="AT45">_xlfn.IFS(AND($K45&gt;AS$7,$L45&gt;AS$7),0,AND($K45&lt;=AS$7,$L45&lt;=AS$7),1,AND($K45&lt;=AS$7,$L45&gt;AS$7),((AS$7-$K45)/($L45-$K45)))</f>
        <v>1</v>
      </c>
      <c r="AU45" s="226" cm="1">
        <f t="array" ref="AU45">_xlfn.IFS(AND($K45&gt;AT$7,$L45&gt;AT$7),0,AND($K45&lt;=AT$7,$L45&lt;=AT$7),1,AND($K45&lt;=AT$7,$L45&gt;AT$7),((AT$7-$K45)/($L45-$K45)))</f>
        <v>1</v>
      </c>
      <c r="AV45" s="226" cm="1">
        <f t="array" ref="AV45">_xlfn.IFS(AND($K45&gt;AU$7,$L45&gt;AU$7),0,AND($K45&lt;=AU$7,$L45&lt;=AU$7),1,AND($K45&lt;=AU$7,$L45&gt;AU$7),((AU$7-$K45)/($L45-$K45)))</f>
        <v>1</v>
      </c>
      <c r="AW45" s="226" cm="1">
        <f t="array" ref="AW45">_xlfn.IFS(AND($K45&gt;AV$7,$L45&gt;AV$7),0,AND($K45&lt;=AV$7,$L45&lt;=AV$7),1,AND($K45&lt;=AV$7,$L45&gt;AV$7),((AV$7-$K45)/($L45-$K45)))</f>
        <v>1</v>
      </c>
      <c r="AX45" s="226" cm="1">
        <f t="array" ref="AX45">_xlfn.IFS(AND($K45&gt;AW$7,$L45&gt;AW$7),0,AND($K45&lt;=AW$7,$L45&lt;=AW$7),1,AND($K45&lt;=AW$7,$L45&gt;AW$7),((AW$7-$K45)/($L45-$K45)))</f>
        <v>1</v>
      </c>
      <c r="AY45" s="226" cm="1">
        <f t="array" ref="AY45">_xlfn.IFS(AND($K45&gt;AX$7,$L45&gt;AX$7),0,AND($K45&lt;=AX$7,$L45&lt;=AX$7),1,AND($K45&lt;=AX$7,$L45&gt;AX$7),((AX$7-$K45)/($L45-$K45)))</f>
        <v>1</v>
      </c>
      <c r="AZ45" s="226" cm="1">
        <f t="array" ref="AZ45">_xlfn.IFS(AND($K45&gt;AY$7,$L45&gt;AY$7),0,AND($K45&lt;=AY$7,$L45&lt;=AY$7),1,AND($K45&lt;=AY$7,$L45&gt;AY$7),((AY$7-$K45)/($L45-$K45)))</f>
        <v>1</v>
      </c>
      <c r="BA45" s="226" cm="1">
        <f t="array" ref="BA45">_xlfn.IFS(AND($K45&gt;AZ$7,$L45&gt;AZ$7),0,AND($K45&lt;=AZ$7,$L45&lt;=AZ$7),1,AND($K45&lt;=AZ$7,$L45&gt;AZ$7),((AZ$7-$K45)/($L45-$K45)))</f>
        <v>1</v>
      </c>
      <c r="BB45" s="226" cm="1">
        <f t="array" ref="BB45">_xlfn.IFS(AND($K45&gt;BA$7,$L45&gt;BA$7),0,AND($K45&lt;=BA$7,$L45&lt;=BA$7),1,AND($K45&lt;=BA$7,$L45&gt;BA$7),((BA$7-$K45)/($L45-$K45)))</f>
        <v>1</v>
      </c>
      <c r="BC45" s="226" cm="1">
        <f t="array" ref="BC45">_xlfn.IFS(AND($K45&gt;BB$7,$L45&gt;BB$7),0,AND($K45&lt;=BB$7,$L45&lt;=BB$7),1,AND($K45&lt;=BB$7,$L45&gt;BB$7),((BB$7-$K45)/($L45-$K45)))</f>
        <v>1</v>
      </c>
      <c r="BD45" s="226" cm="1">
        <f t="array" ref="BD45">_xlfn.IFS(AND($K45&gt;BC$7,$L45&gt;BC$7),0,AND($K45&lt;=BC$7,$L45&lt;=BC$7),1,AND($K45&lt;=BC$7,$L45&gt;BC$7),((BC$7-$K45)/($L45-$K45)))</f>
        <v>1</v>
      </c>
      <c r="BE45" s="226" cm="1">
        <f t="array" ref="BE45">_xlfn.IFS(AND($K45&gt;BD$7,$L45&gt;BD$7),0,AND($K45&lt;=BD$7,$L45&lt;=BD$7),1,AND($K45&lt;=BD$7,$L45&gt;BD$7),((BD$7-$K45)/($L45-$K45)))</f>
        <v>1</v>
      </c>
      <c r="BF45" s="226" cm="1">
        <f t="array" ref="BF45">_xlfn.IFS(AND($K45&gt;BE$7,$L45&gt;BE$7),0,AND($K45&lt;=BE$7,$L45&lt;=BE$7),1,AND($K45&lt;=BE$7,$L45&gt;BE$7),((BE$7-$K45)/($L45-$K45)))</f>
        <v>1</v>
      </c>
      <c r="BG45" s="226" cm="1">
        <f t="array" ref="BG45">_xlfn.IFS(AND($K45&gt;BF$7,$L45&gt;BF$7),0,AND($K45&lt;=BF$7,$L45&lt;=BF$7),1,AND($K45&lt;=BF$7,$L45&gt;BF$7),((BF$7-$K45)/($L45-$K45)))</f>
        <v>1</v>
      </c>
      <c r="BH45" s="163">
        <f>Tab.plano6[[#This Row],[Data Término
Prevista]]-Tab.plano6[[#This Row],[Data Início
Previsto]]</f>
        <v>35</v>
      </c>
    </row>
    <row r="46" spans="1:60" s="163" customFormat="1" ht="18" hidden="1" customHeight="1" x14ac:dyDescent="0.3">
      <c r="A46" s="220"/>
      <c r="B46" s="220" t="s">
        <v>161</v>
      </c>
      <c r="C46" s="220" t="s">
        <v>509</v>
      </c>
      <c r="D46" s="251" t="s">
        <v>399</v>
      </c>
      <c r="E46" s="251" t="s">
        <v>422</v>
      </c>
      <c r="F46" s="251" t="s">
        <v>502</v>
      </c>
      <c r="G46" s="251" t="s">
        <v>502</v>
      </c>
      <c r="H46" s="246" t="s">
        <v>808</v>
      </c>
      <c r="I46" s="260">
        <v>46149</v>
      </c>
      <c r="J46" s="260">
        <v>46153</v>
      </c>
      <c r="K46" s="260">
        <v>46149</v>
      </c>
      <c r="L46" s="260">
        <v>46171</v>
      </c>
      <c r="M46" s="231" t="s">
        <v>503</v>
      </c>
      <c r="N46" s="227" t="str" cm="1">
        <f t="array" ref="N46">_xlfn.IFS(L46&lt;$M$3,"Concluído",AND(K46&lt;=$M$3,L46&gt;=$M$3,L46&lt;=J46),"Em andamento",AND(K46&lt;=$M$3,L46&gt;=$M$3,L46&gt;J46),"Atrasado",AND(K46&gt;$M$3,I46&gt;$M$3),"Não iniciado",AND(K46&gt;$M$3,I46&lt;=$M$3),"Atrasado",TRUE,"Não iniciado")</f>
        <v>Atrasado</v>
      </c>
      <c r="O46" s="231" cm="1">
        <f t="array" ref="O46">_xlfn.IFS(N46="Não iniciado",0,N46="Em andamento",1,N46="Concluído",2,N46="Atrasado",3)</f>
        <v>3</v>
      </c>
      <c r="P46" s="220"/>
      <c r="Q46" s="226" cm="1">
        <f t="array" ref="Q46">_xlfn.IFS(AND($I46&lt;$M$3,$J46&lt;$M$3),1,AND($I46&lt;=$M$3,$J46&gt;=$M$3),0.5,AND($I46&gt;=$M$3,$J46&gt;=$M$3),0)</f>
        <v>1</v>
      </c>
      <c r="R46" s="226" cm="1">
        <f t="array" ref="R46">_xlfn.IFS(AND($K46&lt;$M$3,$L46&lt;$M$3),1,AND($K46&lt;=$M$3,$L46&gt;=$M$3),0.5,AND($K46&gt;=$M$3,$L46&gt;=$M$3),0)</f>
        <v>0.5</v>
      </c>
      <c r="S46" s="226" cm="1">
        <f t="array" ref="S46">_xlfn.IFS(AND($K46&gt;R$7,$L46&gt;R$7),0,AND($K46&lt;=R$7,$L46&lt;=R$7),1,AND($K46&lt;=R$7,$L46&gt;R$7),((R$7-$K46)/($L46-$K46)))</f>
        <v>0</v>
      </c>
      <c r="T46" s="226" cm="1">
        <f t="array" ref="T46">_xlfn.IFS(AND($K46&gt;S$7,$L46&gt;S$7),0,AND($K46&lt;=S$7,$L46&lt;=S$7),1,AND($K46&lt;=S$7,$L46&gt;S$7),((S$7-$K46)/($L46-$K46)))</f>
        <v>0</v>
      </c>
      <c r="U46" s="226" cm="1">
        <f t="array" ref="U46">_xlfn.IFS(AND($K46&gt;T$7,$L46&gt;T$7),0,AND($K46&lt;=T$7,$L46&lt;=T$7),1,AND($K46&lt;=T$7,$L46&gt;T$7),((T$7-$K46)/($L46-$K46)))</f>
        <v>0</v>
      </c>
      <c r="V46" s="226" cm="1">
        <f t="array" ref="V46">_xlfn.IFS(AND($K46&gt;U$7,$L46&gt;U$7),0,AND($K46&lt;=U$7,$L46&lt;=U$7),1,AND($K46&lt;=U$7,$L46&gt;U$7),((U$7-$K46)/($L46-$K46)))</f>
        <v>0</v>
      </c>
      <c r="W46" s="226" cm="1">
        <f t="array" ref="W46">_xlfn.IFS(AND($K46&gt;V$7,$L46&gt;V$7),0,AND($K46&lt;=V$7,$L46&lt;=V$7),1,AND($K46&lt;=V$7,$L46&gt;V$7),((V$7-$K46)/($L46-$K46)))</f>
        <v>0</v>
      </c>
      <c r="X46" s="226" cm="1">
        <f t="array" ref="X46">_xlfn.IFS(AND($K46&gt;W$7,$L46&gt;W$7),0,AND($K46&lt;=W$7,$L46&lt;=W$7),1,AND($K46&lt;=W$7,$L46&gt;W$7),((W$7-$K46)/($L46-$K46)))</f>
        <v>0</v>
      </c>
      <c r="Y46" s="226" cm="1">
        <f t="array" ref="Y46">_xlfn.IFS(AND($K46&gt;X$7,$L46&gt;X$7),0,AND($K46&lt;=X$7,$L46&lt;=X$7),1,AND($K46&lt;=X$7,$L46&gt;X$7),((X$7-$K46)/($L46-$K46)))</f>
        <v>0</v>
      </c>
      <c r="Z46" s="226" cm="1">
        <f t="array" ref="Z46">_xlfn.IFS(AND($K46&gt;Y$7,$L46&gt;Y$7),0,AND($K46&lt;=Y$7,$L46&lt;=Y$7),1,AND($K46&lt;=Y$7,$L46&gt;Y$7),((Y$7-$K46)/($L46-$K46)))</f>
        <v>0.18181818181818182</v>
      </c>
      <c r="AA46" s="226" cm="1">
        <f t="array" ref="AA46">_xlfn.IFS(AND($K46&gt;Z$7,$L46&gt;Z$7),0,AND($K46&lt;=Z$7,$L46&lt;=Z$7),1,AND($K46&lt;=Z$7,$L46&gt;Z$7),((Z$7-$K46)/($L46-$K46)))</f>
        <v>0.5</v>
      </c>
      <c r="AB46" s="226" cm="1">
        <f t="array" ref="AB46">_xlfn.IFS(AND($K46&gt;AA$7,$L46&gt;AA$7),0,AND($K46&lt;=AA$7,$L46&lt;=AA$7),1,AND($K46&lt;=AA$7,$L46&gt;AA$7),((AA$7-$K46)/($L46-$K46)))</f>
        <v>0.81818181818181823</v>
      </c>
      <c r="AC46" s="226" cm="1">
        <f t="array" ref="AC46">_xlfn.IFS(AND($K46&gt;AB$7,$L46&gt;AB$7),0,AND($K46&lt;=AB$7,$L46&lt;=AB$7),1,AND($K46&lt;=AB$7,$L46&gt;AB$7),((AB$7-$K46)/($L46-$K46)))</f>
        <v>1</v>
      </c>
      <c r="AD46" s="226" cm="1">
        <f t="array" ref="AD46">_xlfn.IFS(AND($K46&gt;AC$7,$L46&gt;AC$7),0,AND($K46&lt;=AC$7,$L46&lt;=AC$7),1,AND($K46&lt;=AC$7,$L46&gt;AC$7),((AC$7-$K46)/($L46-$K46)))</f>
        <v>1</v>
      </c>
      <c r="AE46" s="226" cm="1">
        <f t="array" ref="AE46">_xlfn.IFS(AND($K46&gt;AD$7,$L46&gt;AD$7),0,AND($K46&lt;=AD$7,$L46&lt;=AD$7),1,AND($K46&lt;=AD$7,$L46&gt;AD$7),((AD$7-$K46)/($L46-$K46)))</f>
        <v>1</v>
      </c>
      <c r="AF46" s="226" cm="1">
        <f t="array" ref="AF46">_xlfn.IFS(AND($K46&gt;AE$7,$L46&gt;AE$7),0,AND($K46&lt;=AE$7,$L46&lt;=AE$7),1,AND($K46&lt;=AE$7,$L46&gt;AE$7),((AE$7-$K46)/($L46-$K46)))</f>
        <v>1</v>
      </c>
      <c r="AG46" s="226" cm="1">
        <f t="array" ref="AG46">_xlfn.IFS(AND($K46&gt;AF$7,$L46&gt;AF$7),0,AND($K46&lt;=AF$7,$L46&lt;=AF$7),1,AND($K46&lt;=AF$7,$L46&gt;AF$7),((AF$7-$K46)/($L46-$K46)))</f>
        <v>1</v>
      </c>
      <c r="AH46" s="226" cm="1">
        <f t="array" ref="AH46">_xlfn.IFS(AND($K46&gt;AG$7,$L46&gt;AG$7),0,AND($K46&lt;=AG$7,$L46&lt;=AG$7),1,AND($K46&lt;=AG$7,$L46&gt;AG$7),((AG$7-$K46)/($L46-$K46)))</f>
        <v>1</v>
      </c>
      <c r="AI46" s="226" cm="1">
        <f t="array" ref="AI46">_xlfn.IFS(AND($K46&gt;AH$7,$L46&gt;AH$7),0,AND($K46&lt;=AH$7,$L46&lt;=AH$7),1,AND($K46&lt;=AH$7,$L46&gt;AH$7),((AH$7-$K46)/($L46-$K46)))</f>
        <v>1</v>
      </c>
      <c r="AJ46" s="226" cm="1">
        <f t="array" ref="AJ46">_xlfn.IFS(AND($K46&gt;AI$7,$L46&gt;AI$7),0,AND($K46&lt;=AI$7,$L46&lt;=AI$7),1,AND($K46&lt;=AI$7,$L46&gt;AI$7),((AI$7-$K46)/($L46-$K46)))</f>
        <v>1</v>
      </c>
      <c r="AK46" s="226" cm="1">
        <f t="array" ref="AK46">_xlfn.IFS(AND($K46&gt;AJ$7,$L46&gt;AJ$7),0,AND($K46&lt;=AJ$7,$L46&lt;=AJ$7),1,AND($K46&lt;=AJ$7,$L46&gt;AJ$7),((AJ$7-$K46)/($L46-$K46)))</f>
        <v>1</v>
      </c>
      <c r="AL46" s="226" cm="1">
        <f t="array" ref="AL46">_xlfn.IFS(AND($K46&gt;AK$7,$L46&gt;AK$7),0,AND($K46&lt;=AK$7,$L46&lt;=AK$7),1,AND($K46&lt;=AK$7,$L46&gt;AK$7),((AK$7-$K46)/($L46-$K46)))</f>
        <v>1</v>
      </c>
      <c r="AM46" s="226" cm="1">
        <f t="array" ref="AM46">_xlfn.IFS(AND($K46&gt;AL$7,$L46&gt;AL$7),0,AND($K46&lt;=AL$7,$L46&lt;=AL$7),1,AND($K46&lt;=AL$7,$L46&gt;AL$7),((AL$7-$K46)/($L46-$K46)))</f>
        <v>1</v>
      </c>
      <c r="AN46" s="226" cm="1">
        <f t="array" ref="AN46">_xlfn.IFS(AND($K46&gt;AM$7,$L46&gt;AM$7),0,AND($K46&lt;=AM$7,$L46&lt;=AM$7),1,AND($K46&lt;=AM$7,$L46&gt;AM$7),((AM$7-$K46)/($L46-$K46)))</f>
        <v>1</v>
      </c>
      <c r="AO46" s="226" cm="1">
        <f t="array" ref="AO46">_xlfn.IFS(AND($K46&gt;AN$7,$L46&gt;AN$7),0,AND($K46&lt;=AN$7,$L46&lt;=AN$7),1,AND($K46&lt;=AN$7,$L46&gt;AN$7),((AN$7-$K46)/($L46-$K46)))</f>
        <v>1</v>
      </c>
      <c r="AP46" s="226" cm="1">
        <f t="array" ref="AP46">_xlfn.IFS(AND($K46&gt;AO$7,$L46&gt;AO$7),0,AND($K46&lt;=AO$7,$L46&lt;=AO$7),1,AND($K46&lt;=AO$7,$L46&gt;AO$7),((AO$7-$K46)/($L46-$K46)))</f>
        <v>1</v>
      </c>
      <c r="AQ46" s="226" cm="1">
        <f t="array" ref="AQ46">_xlfn.IFS(AND($K46&gt;AP$7,$L46&gt;AP$7),0,AND($K46&lt;=AP$7,$L46&lt;=AP$7),1,AND($K46&lt;=AP$7,$L46&gt;AP$7),((AP$7-$K46)/($L46-$K46)))</f>
        <v>1</v>
      </c>
      <c r="AR46" s="226" cm="1">
        <f t="array" ref="AR46">_xlfn.IFS(AND($K46&gt;AQ$7,$L46&gt;AQ$7),0,AND($K46&lt;=AQ$7,$L46&lt;=AQ$7),1,AND($K46&lt;=AQ$7,$L46&gt;AQ$7),((AQ$7-$K46)/($L46-$K46)))</f>
        <v>1</v>
      </c>
      <c r="AS46" s="226" cm="1">
        <f t="array" ref="AS46">_xlfn.IFS(AND($K46&gt;AR$7,$L46&gt;AR$7),0,AND($K46&lt;=AR$7,$L46&lt;=AR$7),1,AND($K46&lt;=AR$7,$L46&gt;AR$7),((AR$7-$K46)/($L46-$K46)))</f>
        <v>1</v>
      </c>
      <c r="AT46" s="226" cm="1">
        <f t="array" ref="AT46">_xlfn.IFS(AND($K46&gt;AS$7,$L46&gt;AS$7),0,AND($K46&lt;=AS$7,$L46&lt;=AS$7),1,AND($K46&lt;=AS$7,$L46&gt;AS$7),((AS$7-$K46)/($L46-$K46)))</f>
        <v>1</v>
      </c>
      <c r="AU46" s="226" cm="1">
        <f t="array" ref="AU46">_xlfn.IFS(AND($K46&gt;AT$7,$L46&gt;AT$7),0,AND($K46&lt;=AT$7,$L46&lt;=AT$7),1,AND($K46&lt;=AT$7,$L46&gt;AT$7),((AT$7-$K46)/($L46-$K46)))</f>
        <v>1</v>
      </c>
      <c r="AV46" s="226" cm="1">
        <f t="array" ref="AV46">_xlfn.IFS(AND($K46&gt;AU$7,$L46&gt;AU$7),0,AND($K46&lt;=AU$7,$L46&lt;=AU$7),1,AND($K46&lt;=AU$7,$L46&gt;AU$7),((AU$7-$K46)/($L46-$K46)))</f>
        <v>1</v>
      </c>
      <c r="AW46" s="226" cm="1">
        <f t="array" ref="AW46">_xlfn.IFS(AND($K46&gt;AV$7,$L46&gt;AV$7),0,AND($K46&lt;=AV$7,$L46&lt;=AV$7),1,AND($K46&lt;=AV$7,$L46&gt;AV$7),((AV$7-$K46)/($L46-$K46)))</f>
        <v>1</v>
      </c>
      <c r="AX46" s="226" cm="1">
        <f t="array" ref="AX46">_xlfn.IFS(AND($K46&gt;AW$7,$L46&gt;AW$7),0,AND($K46&lt;=AW$7,$L46&lt;=AW$7),1,AND($K46&lt;=AW$7,$L46&gt;AW$7),((AW$7-$K46)/($L46-$K46)))</f>
        <v>1</v>
      </c>
      <c r="AY46" s="226" cm="1">
        <f t="array" ref="AY46">_xlfn.IFS(AND($K46&gt;AX$7,$L46&gt;AX$7),0,AND($K46&lt;=AX$7,$L46&lt;=AX$7),1,AND($K46&lt;=AX$7,$L46&gt;AX$7),((AX$7-$K46)/($L46-$K46)))</f>
        <v>1</v>
      </c>
      <c r="AZ46" s="226" cm="1">
        <f t="array" ref="AZ46">_xlfn.IFS(AND($K46&gt;AY$7,$L46&gt;AY$7),0,AND($K46&lt;=AY$7,$L46&lt;=AY$7),1,AND($K46&lt;=AY$7,$L46&gt;AY$7),((AY$7-$K46)/($L46-$K46)))</f>
        <v>1</v>
      </c>
      <c r="BA46" s="226" cm="1">
        <f t="array" ref="BA46">_xlfn.IFS(AND($K46&gt;AZ$7,$L46&gt;AZ$7),0,AND($K46&lt;=AZ$7,$L46&lt;=AZ$7),1,AND($K46&lt;=AZ$7,$L46&gt;AZ$7),((AZ$7-$K46)/($L46-$K46)))</f>
        <v>1</v>
      </c>
      <c r="BB46" s="226" cm="1">
        <f t="array" ref="BB46">_xlfn.IFS(AND($K46&gt;BA$7,$L46&gt;BA$7),0,AND($K46&lt;=BA$7,$L46&lt;=BA$7),1,AND($K46&lt;=BA$7,$L46&gt;BA$7),((BA$7-$K46)/($L46-$K46)))</f>
        <v>1</v>
      </c>
      <c r="BC46" s="226" cm="1">
        <f t="array" ref="BC46">_xlfn.IFS(AND($K46&gt;BB$7,$L46&gt;BB$7),0,AND($K46&lt;=BB$7,$L46&lt;=BB$7),1,AND($K46&lt;=BB$7,$L46&gt;BB$7),((BB$7-$K46)/($L46-$K46)))</f>
        <v>1</v>
      </c>
      <c r="BD46" s="226" cm="1">
        <f t="array" ref="BD46">_xlfn.IFS(AND($K46&gt;BC$7,$L46&gt;BC$7),0,AND($K46&lt;=BC$7,$L46&lt;=BC$7),1,AND($K46&lt;=BC$7,$L46&gt;BC$7),((BC$7-$K46)/($L46-$K46)))</f>
        <v>1</v>
      </c>
      <c r="BE46" s="226" cm="1">
        <f t="array" ref="BE46">_xlfn.IFS(AND($K46&gt;BD$7,$L46&gt;BD$7),0,AND($K46&lt;=BD$7,$L46&lt;=BD$7),1,AND($K46&lt;=BD$7,$L46&gt;BD$7),((BD$7-$K46)/($L46-$K46)))</f>
        <v>1</v>
      </c>
      <c r="BF46" s="226" cm="1">
        <f t="array" ref="BF46">_xlfn.IFS(AND($K46&gt;BE$7,$L46&gt;BE$7),0,AND($K46&lt;=BE$7,$L46&lt;=BE$7),1,AND($K46&lt;=BE$7,$L46&gt;BE$7),((BE$7-$K46)/($L46-$K46)))</f>
        <v>1</v>
      </c>
      <c r="BG46" s="226" cm="1">
        <f t="array" ref="BG46">_xlfn.IFS(AND($K46&gt;BF$7,$L46&gt;BF$7),0,AND($K46&lt;=BF$7,$L46&lt;=BF$7),1,AND($K46&lt;=BF$7,$L46&gt;BF$7),((BF$7-$K46)/($L46-$K46)))</f>
        <v>1</v>
      </c>
      <c r="BH46" s="163">
        <f>Tab.plano6[[#This Row],[Data Término
Prevista]]-Tab.plano6[[#This Row],[Data Início
Previsto]]</f>
        <v>4</v>
      </c>
    </row>
    <row r="47" spans="1:60" s="163" customFormat="1" ht="18" hidden="1" customHeight="1" x14ac:dyDescent="0.3">
      <c r="A47" s="216"/>
      <c r="B47" s="216" t="s">
        <v>12</v>
      </c>
      <c r="C47" s="216" t="s">
        <v>510</v>
      </c>
      <c r="D47" s="249" t="s">
        <v>399</v>
      </c>
      <c r="E47" s="249" t="s">
        <v>422</v>
      </c>
      <c r="F47" s="249" t="s">
        <v>74</v>
      </c>
      <c r="G47" s="249" t="s">
        <v>74</v>
      </c>
      <c r="H47" s="217" t="s">
        <v>827</v>
      </c>
      <c r="I47" s="257">
        <f>I48</f>
        <v>46142</v>
      </c>
      <c r="J47" s="257">
        <f>J48</f>
        <v>46171</v>
      </c>
      <c r="K47" s="257">
        <f>K48</f>
        <v>46142</v>
      </c>
      <c r="L47" s="257">
        <f>L48</f>
        <v>46171</v>
      </c>
      <c r="M47" s="229" t="s">
        <v>463</v>
      </c>
      <c r="N47" s="227" t="str" cm="1">
        <f t="array" ref="N47">_xlfn.IFS(L47&lt;$M$3,"Concluído",AND(K47&lt;=$M$3,L47&gt;=$M$3,L47&lt;=J47),"Em andamento",AND(K47&lt;=$M$3,L47&gt;=$M$3,L47&gt;J47),"Atrasado",AND(K47&gt;$M$3,I47&gt;$M$3),"Não iniciado",AND(K47&gt;$M$3,I47&lt;=$M$3),"Atrasado",TRUE,"Não iniciado")</f>
        <v>Em andamento</v>
      </c>
      <c r="O47" s="229" cm="1">
        <f t="array" ref="O47">_xlfn.IFS(N47="Não iniciado",0,N47="Em andamento",1,N47="Concluído",2,N47="Atrasado",3)</f>
        <v>1</v>
      </c>
      <c r="P47" s="216"/>
      <c r="Q47" s="224">
        <f t="shared" ref="Q47:BG47" si="19">Q48</f>
        <v>0.5</v>
      </c>
      <c r="R47" s="224">
        <f t="shared" si="19"/>
        <v>0.5</v>
      </c>
      <c r="S47" s="224">
        <f t="shared" si="19"/>
        <v>0</v>
      </c>
      <c r="T47" s="224">
        <f t="shared" si="19"/>
        <v>0</v>
      </c>
      <c r="U47" s="224">
        <f t="shared" si="19"/>
        <v>0</v>
      </c>
      <c r="V47" s="224">
        <f t="shared" si="19"/>
        <v>0</v>
      </c>
      <c r="W47" s="224">
        <f t="shared" si="19"/>
        <v>0</v>
      </c>
      <c r="X47" s="224">
        <f t="shared" si="19"/>
        <v>0</v>
      </c>
      <c r="Y47" s="224">
        <f t="shared" si="19"/>
        <v>0.33333333333333331</v>
      </c>
      <c r="Z47" s="224">
        <f t="shared" si="19"/>
        <v>0.42857142857142855</v>
      </c>
      <c r="AA47" s="224">
        <f t="shared" si="19"/>
        <v>0.53968253968253965</v>
      </c>
      <c r="AB47" s="224">
        <f t="shared" si="19"/>
        <v>0.65079365079365081</v>
      </c>
      <c r="AC47" s="224">
        <f t="shared" si="19"/>
        <v>1</v>
      </c>
      <c r="AD47" s="224">
        <f t="shared" si="19"/>
        <v>1</v>
      </c>
      <c r="AE47" s="224">
        <f t="shared" si="19"/>
        <v>1</v>
      </c>
      <c r="AF47" s="224">
        <f t="shared" si="19"/>
        <v>1</v>
      </c>
      <c r="AG47" s="224">
        <f t="shared" si="19"/>
        <v>1</v>
      </c>
      <c r="AH47" s="224">
        <f t="shared" si="19"/>
        <v>1</v>
      </c>
      <c r="AI47" s="224">
        <f t="shared" si="19"/>
        <v>1</v>
      </c>
      <c r="AJ47" s="224">
        <f t="shared" si="19"/>
        <v>1</v>
      </c>
      <c r="AK47" s="224">
        <f t="shared" si="19"/>
        <v>1</v>
      </c>
      <c r="AL47" s="224">
        <f t="shared" si="19"/>
        <v>1</v>
      </c>
      <c r="AM47" s="224">
        <f t="shared" si="19"/>
        <v>1</v>
      </c>
      <c r="AN47" s="224">
        <f t="shared" si="19"/>
        <v>1</v>
      </c>
      <c r="AO47" s="224">
        <f t="shared" si="19"/>
        <v>1</v>
      </c>
      <c r="AP47" s="224">
        <f t="shared" si="19"/>
        <v>1</v>
      </c>
      <c r="AQ47" s="224">
        <f t="shared" si="19"/>
        <v>1</v>
      </c>
      <c r="AR47" s="224">
        <f t="shared" si="19"/>
        <v>1</v>
      </c>
      <c r="AS47" s="224">
        <f t="shared" si="19"/>
        <v>1</v>
      </c>
      <c r="AT47" s="224">
        <f t="shared" si="19"/>
        <v>1</v>
      </c>
      <c r="AU47" s="224">
        <f t="shared" si="19"/>
        <v>1</v>
      </c>
      <c r="AV47" s="224">
        <f t="shared" si="19"/>
        <v>1</v>
      </c>
      <c r="AW47" s="224">
        <f t="shared" si="19"/>
        <v>1</v>
      </c>
      <c r="AX47" s="224">
        <f t="shared" si="19"/>
        <v>1</v>
      </c>
      <c r="AY47" s="224">
        <f t="shared" si="19"/>
        <v>1</v>
      </c>
      <c r="AZ47" s="224">
        <f t="shared" si="19"/>
        <v>1</v>
      </c>
      <c r="BA47" s="224">
        <f t="shared" si="19"/>
        <v>1</v>
      </c>
      <c r="BB47" s="224">
        <f t="shared" si="19"/>
        <v>1</v>
      </c>
      <c r="BC47" s="224">
        <f t="shared" si="19"/>
        <v>1</v>
      </c>
      <c r="BD47" s="224">
        <f t="shared" si="19"/>
        <v>1</v>
      </c>
      <c r="BE47" s="224">
        <f t="shared" si="19"/>
        <v>1</v>
      </c>
      <c r="BF47" s="224">
        <f t="shared" si="19"/>
        <v>1</v>
      </c>
      <c r="BG47" s="224">
        <f t="shared" si="19"/>
        <v>1</v>
      </c>
      <c r="BH47" s="163">
        <f>Tab.plano6[[#This Row],[Data Término
Prevista]]-Tab.plano6[[#This Row],[Data Início
Previsto]]</f>
        <v>29</v>
      </c>
    </row>
    <row r="48" spans="1:60" s="163" customFormat="1" ht="18" hidden="1" customHeight="1" x14ac:dyDescent="0.3">
      <c r="A48" s="218"/>
      <c r="B48" s="218" t="s">
        <v>13</v>
      </c>
      <c r="C48" s="218" t="s">
        <v>512</v>
      </c>
      <c r="D48" s="250" t="s">
        <v>399</v>
      </c>
      <c r="E48" s="250" t="s">
        <v>422</v>
      </c>
      <c r="F48" s="250" t="s">
        <v>511</v>
      </c>
      <c r="G48" s="250" t="s">
        <v>74</v>
      </c>
      <c r="H48" s="219" t="s">
        <v>511</v>
      </c>
      <c r="I48" s="258">
        <f>MIN(I49:I51)</f>
        <v>46142</v>
      </c>
      <c r="J48" s="258">
        <f>MAX(J49:J51)</f>
        <v>46171</v>
      </c>
      <c r="K48" s="258">
        <f>MIN(K49:K51)</f>
        <v>46142</v>
      </c>
      <c r="L48" s="258">
        <f>MAX(L49:L51)</f>
        <v>46171</v>
      </c>
      <c r="M48" s="230" t="s">
        <v>463</v>
      </c>
      <c r="N48" s="227" t="str" cm="1">
        <f t="array" ref="N48">_xlfn.IFS(L48&lt;$M$3,"Concluído",AND(K48&lt;=$M$3,L48&gt;=$M$3,L48&lt;=J48),"Em andamento",AND(K48&lt;=$M$3,L48&gt;=$M$3,L48&gt;J48),"Atrasado",AND(K48&gt;$M$3,I48&gt;$M$3),"Não iniciado",AND(K48&gt;$M$3,I48&lt;=$M$3),"Atrasado",TRUE,"Não iniciado")</f>
        <v>Em andamento</v>
      </c>
      <c r="O48" s="230" cm="1">
        <f t="array" ref="O48">_xlfn.IFS(N48="Não iniciado",0,N48="Em andamento",1,N48="Concluído",2,N48="Atrasado",3)</f>
        <v>1</v>
      </c>
      <c r="P48" s="218"/>
      <c r="Q48" s="225">
        <f t="shared" ref="Q48:BG48" si="20">AVERAGE(Q49:Q51)</f>
        <v>0.5</v>
      </c>
      <c r="R48" s="225">
        <f t="shared" si="20"/>
        <v>0.5</v>
      </c>
      <c r="S48" s="225">
        <f t="shared" si="20"/>
        <v>0</v>
      </c>
      <c r="T48" s="225">
        <f t="shared" si="20"/>
        <v>0</v>
      </c>
      <c r="U48" s="225">
        <f t="shared" si="20"/>
        <v>0</v>
      </c>
      <c r="V48" s="225">
        <f t="shared" si="20"/>
        <v>0</v>
      </c>
      <c r="W48" s="225">
        <f t="shared" si="20"/>
        <v>0</v>
      </c>
      <c r="X48" s="225">
        <f t="shared" si="20"/>
        <v>0</v>
      </c>
      <c r="Y48" s="225">
        <f t="shared" si="20"/>
        <v>0.33333333333333331</v>
      </c>
      <c r="Z48" s="225">
        <f t="shared" si="20"/>
        <v>0.42857142857142855</v>
      </c>
      <c r="AA48" s="225">
        <f t="shared" si="20"/>
        <v>0.53968253968253965</v>
      </c>
      <c r="AB48" s="225">
        <f t="shared" si="20"/>
        <v>0.65079365079365081</v>
      </c>
      <c r="AC48" s="225">
        <f t="shared" si="20"/>
        <v>1</v>
      </c>
      <c r="AD48" s="225">
        <f t="shared" si="20"/>
        <v>1</v>
      </c>
      <c r="AE48" s="225">
        <f t="shared" si="20"/>
        <v>1</v>
      </c>
      <c r="AF48" s="225">
        <f t="shared" si="20"/>
        <v>1</v>
      </c>
      <c r="AG48" s="225">
        <f t="shared" si="20"/>
        <v>1</v>
      </c>
      <c r="AH48" s="225">
        <f t="shared" si="20"/>
        <v>1</v>
      </c>
      <c r="AI48" s="225">
        <f t="shared" si="20"/>
        <v>1</v>
      </c>
      <c r="AJ48" s="225">
        <f t="shared" si="20"/>
        <v>1</v>
      </c>
      <c r="AK48" s="225">
        <f t="shared" si="20"/>
        <v>1</v>
      </c>
      <c r="AL48" s="225">
        <f t="shared" si="20"/>
        <v>1</v>
      </c>
      <c r="AM48" s="225">
        <f t="shared" si="20"/>
        <v>1</v>
      </c>
      <c r="AN48" s="225">
        <f t="shared" si="20"/>
        <v>1</v>
      </c>
      <c r="AO48" s="225">
        <f t="shared" si="20"/>
        <v>1</v>
      </c>
      <c r="AP48" s="225">
        <f t="shared" si="20"/>
        <v>1</v>
      </c>
      <c r="AQ48" s="225">
        <f t="shared" si="20"/>
        <v>1</v>
      </c>
      <c r="AR48" s="225">
        <f t="shared" si="20"/>
        <v>1</v>
      </c>
      <c r="AS48" s="225">
        <f t="shared" si="20"/>
        <v>1</v>
      </c>
      <c r="AT48" s="225">
        <f t="shared" si="20"/>
        <v>1</v>
      </c>
      <c r="AU48" s="225">
        <f t="shared" si="20"/>
        <v>1</v>
      </c>
      <c r="AV48" s="225">
        <f t="shared" si="20"/>
        <v>1</v>
      </c>
      <c r="AW48" s="225">
        <f t="shared" si="20"/>
        <v>1</v>
      </c>
      <c r="AX48" s="225">
        <f t="shared" si="20"/>
        <v>1</v>
      </c>
      <c r="AY48" s="225">
        <f t="shared" si="20"/>
        <v>1</v>
      </c>
      <c r="AZ48" s="225">
        <f t="shared" si="20"/>
        <v>1</v>
      </c>
      <c r="BA48" s="225">
        <f t="shared" si="20"/>
        <v>1</v>
      </c>
      <c r="BB48" s="225">
        <f t="shared" si="20"/>
        <v>1</v>
      </c>
      <c r="BC48" s="225">
        <f t="shared" si="20"/>
        <v>1</v>
      </c>
      <c r="BD48" s="225">
        <f t="shared" si="20"/>
        <v>1</v>
      </c>
      <c r="BE48" s="225">
        <f t="shared" si="20"/>
        <v>1</v>
      </c>
      <c r="BF48" s="225">
        <f t="shared" si="20"/>
        <v>1</v>
      </c>
      <c r="BG48" s="225">
        <f t="shared" si="20"/>
        <v>1</v>
      </c>
      <c r="BH48">
        <f>Tab.plano6[[#This Row],[Data Término
Prevista]]-Tab.plano6[[#This Row],[Data Início
Previsto]]</f>
        <v>29</v>
      </c>
    </row>
    <row r="49" spans="1:60" s="163" customFormat="1" ht="18" hidden="1" customHeight="1" x14ac:dyDescent="0.3">
      <c r="A49" s="220"/>
      <c r="B49" s="220" t="s">
        <v>161</v>
      </c>
      <c r="C49" s="220" t="s">
        <v>513</v>
      </c>
      <c r="D49" s="251" t="s">
        <v>399</v>
      </c>
      <c r="E49" s="251" t="s">
        <v>422</v>
      </c>
      <c r="F49" s="251" t="s">
        <v>511</v>
      </c>
      <c r="G49" s="251" t="s">
        <v>511</v>
      </c>
      <c r="H49" s="221" t="s">
        <v>514</v>
      </c>
      <c r="I49" s="260">
        <v>46142</v>
      </c>
      <c r="J49" s="260">
        <v>46146</v>
      </c>
      <c r="K49" s="260">
        <v>46142</v>
      </c>
      <c r="L49" s="260">
        <v>46146</v>
      </c>
      <c r="M49" s="231" t="s">
        <v>463</v>
      </c>
      <c r="N49" s="227" t="str" cm="1">
        <f t="array" ref="N49">_xlfn.IFS(L49&lt;$M$3,"Concluído",AND(K49&lt;=$M$3,L49&gt;=$M$3,L49&lt;=J49),"Em andamento",AND(K49&lt;=$M$3,L49&gt;=$M$3,L49&gt;J49),"Atrasado",AND(K49&gt;$M$3,I49&gt;$M$3),"Não iniciado",AND(K49&gt;$M$3,I49&lt;=$M$3),"Atrasado",TRUE,"Não iniciado")</f>
        <v>Concluído</v>
      </c>
      <c r="O49" s="231" cm="1">
        <f t="array" ref="O49">_xlfn.IFS(N49="Não iniciado",0,N49="Em andamento",1,N49="Concluído",2,N49="Atrasado",3)</f>
        <v>2</v>
      </c>
      <c r="P49" s="220"/>
      <c r="Q49" s="226" cm="1">
        <f t="array" ref="Q49">_xlfn.IFS(AND($I49&lt;$M$3,$J49&lt;$M$3),1,AND($I49&lt;=$M$3,$J49&gt;=$M$3),0.5,AND($I49&gt;=$M$3,$J49&gt;=$M$3),0)</f>
        <v>1</v>
      </c>
      <c r="R49" s="226" cm="1">
        <f t="array" ref="R49">_xlfn.IFS(AND($K49&lt;$M$3,$L49&lt;$M$3),1,AND($K49&lt;=$M$3,$L49&gt;=$M$3),0.5,AND($K49&gt;=$M$3,$L49&gt;=$M$3),0)</f>
        <v>1</v>
      </c>
      <c r="S49" s="226" cm="1">
        <f t="array" ref="S49">_xlfn.IFS(AND($K49&gt;R$7,$L49&gt;R$7),0,AND($K49&lt;=R$7,$L49&lt;=R$7),1,AND($K49&lt;=R$7,$L49&gt;R$7),((R$7-$K49)/($L49-$K49)))</f>
        <v>0</v>
      </c>
      <c r="T49" s="226" cm="1">
        <f t="array" ref="T49">_xlfn.IFS(AND($K49&gt;S$7,$L49&gt;S$7),0,AND($K49&lt;=S$7,$L49&lt;=S$7),1,AND($K49&lt;=S$7,$L49&gt;S$7),((S$7-$K49)/($L49-$K49)))</f>
        <v>0</v>
      </c>
      <c r="U49" s="226" cm="1">
        <f t="array" ref="U49">_xlfn.IFS(AND($K49&gt;T$7,$L49&gt;T$7),0,AND($K49&lt;=T$7,$L49&lt;=T$7),1,AND($K49&lt;=T$7,$L49&gt;T$7),((T$7-$K49)/($L49-$K49)))</f>
        <v>0</v>
      </c>
      <c r="V49" s="226" cm="1">
        <f t="array" ref="V49">_xlfn.IFS(AND($K49&gt;U$7,$L49&gt;U$7),0,AND($K49&lt;=U$7,$L49&lt;=U$7),1,AND($K49&lt;=U$7,$L49&gt;U$7),((U$7-$K49)/($L49-$K49)))</f>
        <v>0</v>
      </c>
      <c r="W49" s="226" cm="1">
        <f t="array" ref="W49">_xlfn.IFS(AND($K49&gt;V$7,$L49&gt;V$7),0,AND($K49&lt;=V$7,$L49&lt;=V$7),1,AND($K49&lt;=V$7,$L49&gt;V$7),((V$7-$K49)/($L49-$K49)))</f>
        <v>0</v>
      </c>
      <c r="X49" s="226" cm="1">
        <f t="array" ref="X49">_xlfn.IFS(AND($K49&gt;W$7,$L49&gt;W$7),0,AND($K49&lt;=W$7,$L49&lt;=W$7),1,AND($K49&lt;=W$7,$L49&gt;W$7),((W$7-$K49)/($L49-$K49)))</f>
        <v>0</v>
      </c>
      <c r="Y49" s="226" cm="1">
        <f t="array" ref="Y49">_xlfn.IFS(AND($K49&gt;X$7,$L49&gt;X$7),0,AND($K49&lt;=X$7,$L49&lt;=X$7),1,AND($K49&lt;=X$7,$L49&gt;X$7),((X$7-$K49)/($L49-$K49)))</f>
        <v>1</v>
      </c>
      <c r="Z49" s="226" cm="1">
        <f t="array" ref="Z49">_xlfn.IFS(AND($K49&gt;Y$7,$L49&gt;Y$7),0,AND($K49&lt;=Y$7,$L49&lt;=Y$7),1,AND($K49&lt;=Y$7,$L49&gt;Y$7),((Y$7-$K49)/($L49-$K49)))</f>
        <v>1</v>
      </c>
      <c r="AA49" s="226" cm="1">
        <f t="array" ref="AA49">_xlfn.IFS(AND($K49&gt;Z$7,$L49&gt;Z$7),0,AND($K49&lt;=Z$7,$L49&lt;=Z$7),1,AND($K49&lt;=Z$7,$L49&gt;Z$7),((Z$7-$K49)/($L49-$K49)))</f>
        <v>1</v>
      </c>
      <c r="AB49" s="226" cm="1">
        <f t="array" ref="AB49">_xlfn.IFS(AND($K49&gt;AA$7,$L49&gt;AA$7),0,AND($K49&lt;=AA$7,$L49&lt;=AA$7),1,AND($K49&lt;=AA$7,$L49&gt;AA$7),((AA$7-$K49)/($L49-$K49)))</f>
        <v>1</v>
      </c>
      <c r="AC49" s="226" cm="1">
        <f t="array" ref="AC49">_xlfn.IFS(AND($K49&gt;AB$7,$L49&gt;AB$7),0,AND($K49&lt;=AB$7,$L49&lt;=AB$7),1,AND($K49&lt;=AB$7,$L49&gt;AB$7),((AB$7-$K49)/($L49-$K49)))</f>
        <v>1</v>
      </c>
      <c r="AD49" s="226" cm="1">
        <f t="array" ref="AD49">_xlfn.IFS(AND($K49&gt;AC$7,$L49&gt;AC$7),0,AND($K49&lt;=AC$7,$L49&lt;=AC$7),1,AND($K49&lt;=AC$7,$L49&gt;AC$7),((AC$7-$K49)/($L49-$K49)))</f>
        <v>1</v>
      </c>
      <c r="AE49" s="226" cm="1">
        <f t="array" ref="AE49">_xlfn.IFS(AND($K49&gt;AD$7,$L49&gt;AD$7),0,AND($K49&lt;=AD$7,$L49&lt;=AD$7),1,AND($K49&lt;=AD$7,$L49&gt;AD$7),((AD$7-$K49)/($L49-$K49)))</f>
        <v>1</v>
      </c>
      <c r="AF49" s="226" cm="1">
        <f t="array" ref="AF49">_xlfn.IFS(AND($K49&gt;AE$7,$L49&gt;AE$7),0,AND($K49&lt;=AE$7,$L49&lt;=AE$7),1,AND($K49&lt;=AE$7,$L49&gt;AE$7),((AE$7-$K49)/($L49-$K49)))</f>
        <v>1</v>
      </c>
      <c r="AG49" s="226" cm="1">
        <f t="array" ref="AG49">_xlfn.IFS(AND($K49&gt;AF$7,$L49&gt;AF$7),0,AND($K49&lt;=AF$7,$L49&lt;=AF$7),1,AND($K49&lt;=AF$7,$L49&gt;AF$7),((AF$7-$K49)/($L49-$K49)))</f>
        <v>1</v>
      </c>
      <c r="AH49" s="226" cm="1">
        <f t="array" ref="AH49">_xlfn.IFS(AND($K49&gt;AG$7,$L49&gt;AG$7),0,AND($K49&lt;=AG$7,$L49&lt;=AG$7),1,AND($K49&lt;=AG$7,$L49&gt;AG$7),((AG$7-$K49)/($L49-$K49)))</f>
        <v>1</v>
      </c>
      <c r="AI49" s="226" cm="1">
        <f t="array" ref="AI49">_xlfn.IFS(AND($K49&gt;AH$7,$L49&gt;AH$7),0,AND($K49&lt;=AH$7,$L49&lt;=AH$7),1,AND($K49&lt;=AH$7,$L49&gt;AH$7),((AH$7-$K49)/($L49-$K49)))</f>
        <v>1</v>
      </c>
      <c r="AJ49" s="226" cm="1">
        <f t="array" ref="AJ49">_xlfn.IFS(AND($K49&gt;AI$7,$L49&gt;AI$7),0,AND($K49&lt;=AI$7,$L49&lt;=AI$7),1,AND($K49&lt;=AI$7,$L49&gt;AI$7),((AI$7-$K49)/($L49-$K49)))</f>
        <v>1</v>
      </c>
      <c r="AK49" s="226" cm="1">
        <f t="array" ref="AK49">_xlfn.IFS(AND($K49&gt;AJ$7,$L49&gt;AJ$7),0,AND($K49&lt;=AJ$7,$L49&lt;=AJ$7),1,AND($K49&lt;=AJ$7,$L49&gt;AJ$7),((AJ$7-$K49)/($L49-$K49)))</f>
        <v>1</v>
      </c>
      <c r="AL49" s="226" cm="1">
        <f t="array" ref="AL49">_xlfn.IFS(AND($K49&gt;AK$7,$L49&gt;AK$7),0,AND($K49&lt;=AK$7,$L49&lt;=AK$7),1,AND($K49&lt;=AK$7,$L49&gt;AK$7),((AK$7-$K49)/($L49-$K49)))</f>
        <v>1</v>
      </c>
      <c r="AM49" s="226" cm="1">
        <f t="array" ref="AM49">_xlfn.IFS(AND($K49&gt;AL$7,$L49&gt;AL$7),0,AND($K49&lt;=AL$7,$L49&lt;=AL$7),1,AND($K49&lt;=AL$7,$L49&gt;AL$7),((AL$7-$K49)/($L49-$K49)))</f>
        <v>1</v>
      </c>
      <c r="AN49" s="226" cm="1">
        <f t="array" ref="AN49">_xlfn.IFS(AND($K49&gt;AM$7,$L49&gt;AM$7),0,AND($K49&lt;=AM$7,$L49&lt;=AM$7),1,AND($K49&lt;=AM$7,$L49&gt;AM$7),((AM$7-$K49)/($L49-$K49)))</f>
        <v>1</v>
      </c>
      <c r="AO49" s="226" cm="1">
        <f t="array" ref="AO49">_xlfn.IFS(AND($K49&gt;AN$7,$L49&gt;AN$7),0,AND($K49&lt;=AN$7,$L49&lt;=AN$7),1,AND($K49&lt;=AN$7,$L49&gt;AN$7),((AN$7-$K49)/($L49-$K49)))</f>
        <v>1</v>
      </c>
      <c r="AP49" s="226" cm="1">
        <f t="array" ref="AP49">_xlfn.IFS(AND($K49&gt;AO$7,$L49&gt;AO$7),0,AND($K49&lt;=AO$7,$L49&lt;=AO$7),1,AND($K49&lt;=AO$7,$L49&gt;AO$7),((AO$7-$K49)/($L49-$K49)))</f>
        <v>1</v>
      </c>
      <c r="AQ49" s="226" cm="1">
        <f t="array" ref="AQ49">_xlfn.IFS(AND($K49&gt;AP$7,$L49&gt;AP$7),0,AND($K49&lt;=AP$7,$L49&lt;=AP$7),1,AND($K49&lt;=AP$7,$L49&gt;AP$7),((AP$7-$K49)/($L49-$K49)))</f>
        <v>1</v>
      </c>
      <c r="AR49" s="226" cm="1">
        <f t="array" ref="AR49">_xlfn.IFS(AND($K49&gt;AQ$7,$L49&gt;AQ$7),0,AND($K49&lt;=AQ$7,$L49&lt;=AQ$7),1,AND($K49&lt;=AQ$7,$L49&gt;AQ$7),((AQ$7-$K49)/($L49-$K49)))</f>
        <v>1</v>
      </c>
      <c r="AS49" s="226" cm="1">
        <f t="array" ref="AS49">_xlfn.IFS(AND($K49&gt;AR$7,$L49&gt;AR$7),0,AND($K49&lt;=AR$7,$L49&lt;=AR$7),1,AND($K49&lt;=AR$7,$L49&gt;AR$7),((AR$7-$K49)/($L49-$K49)))</f>
        <v>1</v>
      </c>
      <c r="AT49" s="226" cm="1">
        <f t="array" ref="AT49">_xlfn.IFS(AND($K49&gt;AS$7,$L49&gt;AS$7),0,AND($K49&lt;=AS$7,$L49&lt;=AS$7),1,AND($K49&lt;=AS$7,$L49&gt;AS$7),((AS$7-$K49)/($L49-$K49)))</f>
        <v>1</v>
      </c>
      <c r="AU49" s="226" cm="1">
        <f t="array" ref="AU49">_xlfn.IFS(AND($K49&gt;AT$7,$L49&gt;AT$7),0,AND($K49&lt;=AT$7,$L49&lt;=AT$7),1,AND($K49&lt;=AT$7,$L49&gt;AT$7),((AT$7-$K49)/($L49-$K49)))</f>
        <v>1</v>
      </c>
      <c r="AV49" s="226" cm="1">
        <f t="array" ref="AV49">_xlfn.IFS(AND($K49&gt;AU$7,$L49&gt;AU$7),0,AND($K49&lt;=AU$7,$L49&lt;=AU$7),1,AND($K49&lt;=AU$7,$L49&gt;AU$7),((AU$7-$K49)/($L49-$K49)))</f>
        <v>1</v>
      </c>
      <c r="AW49" s="226" cm="1">
        <f t="array" ref="AW49">_xlfn.IFS(AND($K49&gt;AV$7,$L49&gt;AV$7),0,AND($K49&lt;=AV$7,$L49&lt;=AV$7),1,AND($K49&lt;=AV$7,$L49&gt;AV$7),((AV$7-$K49)/($L49-$K49)))</f>
        <v>1</v>
      </c>
      <c r="AX49" s="226" cm="1">
        <f t="array" ref="AX49">_xlfn.IFS(AND($K49&gt;AW$7,$L49&gt;AW$7),0,AND($K49&lt;=AW$7,$L49&lt;=AW$7),1,AND($K49&lt;=AW$7,$L49&gt;AW$7),((AW$7-$K49)/($L49-$K49)))</f>
        <v>1</v>
      </c>
      <c r="AY49" s="226" cm="1">
        <f t="array" ref="AY49">_xlfn.IFS(AND($K49&gt;AX$7,$L49&gt;AX$7),0,AND($K49&lt;=AX$7,$L49&lt;=AX$7),1,AND($K49&lt;=AX$7,$L49&gt;AX$7),((AX$7-$K49)/($L49-$K49)))</f>
        <v>1</v>
      </c>
      <c r="AZ49" s="226" cm="1">
        <f t="array" ref="AZ49">_xlfn.IFS(AND($K49&gt;AY$7,$L49&gt;AY$7),0,AND($K49&lt;=AY$7,$L49&lt;=AY$7),1,AND($K49&lt;=AY$7,$L49&gt;AY$7),((AY$7-$K49)/($L49-$K49)))</f>
        <v>1</v>
      </c>
      <c r="BA49" s="226" cm="1">
        <f t="array" ref="BA49">_xlfn.IFS(AND($K49&gt;AZ$7,$L49&gt;AZ$7),0,AND($K49&lt;=AZ$7,$L49&lt;=AZ$7),1,AND($K49&lt;=AZ$7,$L49&gt;AZ$7),((AZ$7-$K49)/($L49-$K49)))</f>
        <v>1</v>
      </c>
      <c r="BB49" s="226" cm="1">
        <f t="array" ref="BB49">_xlfn.IFS(AND($K49&gt;BA$7,$L49&gt;BA$7),0,AND($K49&lt;=BA$7,$L49&lt;=BA$7),1,AND($K49&lt;=BA$7,$L49&gt;BA$7),((BA$7-$K49)/($L49-$K49)))</f>
        <v>1</v>
      </c>
      <c r="BC49" s="226" cm="1">
        <f t="array" ref="BC49">_xlfn.IFS(AND($K49&gt;BB$7,$L49&gt;BB$7),0,AND($K49&lt;=BB$7,$L49&lt;=BB$7),1,AND($K49&lt;=BB$7,$L49&gt;BB$7),((BB$7-$K49)/($L49-$K49)))</f>
        <v>1</v>
      </c>
      <c r="BD49" s="226" cm="1">
        <f t="array" ref="BD49">_xlfn.IFS(AND($K49&gt;BC$7,$L49&gt;BC$7),0,AND($K49&lt;=BC$7,$L49&lt;=BC$7),1,AND($K49&lt;=BC$7,$L49&gt;BC$7),((BC$7-$K49)/($L49-$K49)))</f>
        <v>1</v>
      </c>
      <c r="BE49" s="226" cm="1">
        <f t="array" ref="BE49">_xlfn.IFS(AND($K49&gt;BD$7,$L49&gt;BD$7),0,AND($K49&lt;=BD$7,$L49&lt;=BD$7),1,AND($K49&lt;=BD$7,$L49&gt;BD$7),((BD$7-$K49)/($L49-$K49)))</f>
        <v>1</v>
      </c>
      <c r="BF49" s="226" cm="1">
        <f t="array" ref="BF49">_xlfn.IFS(AND($K49&gt;BE$7,$L49&gt;BE$7),0,AND($K49&lt;=BE$7,$L49&lt;=BE$7),1,AND($K49&lt;=BE$7,$L49&gt;BE$7),((BE$7-$K49)/($L49-$K49)))</f>
        <v>1</v>
      </c>
      <c r="BG49" s="226" cm="1">
        <f t="array" ref="BG49">_xlfn.IFS(AND($K49&gt;BF$7,$L49&gt;BF$7),0,AND($K49&lt;=BF$7,$L49&lt;=BF$7),1,AND($K49&lt;=BF$7,$L49&gt;BF$7),((BF$7-$K49)/($L49-$K49)))</f>
        <v>1</v>
      </c>
      <c r="BH49">
        <f>Tab.plano6[[#This Row],[Data Término
Prevista]]-Tab.plano6[[#This Row],[Data Início
Previsto]]</f>
        <v>4</v>
      </c>
    </row>
    <row r="50" spans="1:60" customFormat="1" ht="18" hidden="1" customHeight="1" x14ac:dyDescent="0.3">
      <c r="A50" s="220"/>
      <c r="B50" s="220" t="s">
        <v>161</v>
      </c>
      <c r="C50" s="220" t="s">
        <v>515</v>
      </c>
      <c r="D50" s="251" t="s">
        <v>399</v>
      </c>
      <c r="E50" s="251" t="s">
        <v>422</v>
      </c>
      <c r="F50" s="251" t="s">
        <v>511</v>
      </c>
      <c r="G50" s="251" t="s">
        <v>511</v>
      </c>
      <c r="H50" s="221" t="s">
        <v>516</v>
      </c>
      <c r="I50" s="260">
        <v>46147</v>
      </c>
      <c r="J50" s="260">
        <v>46168</v>
      </c>
      <c r="K50" s="260">
        <v>46147</v>
      </c>
      <c r="L50" s="260">
        <v>46168</v>
      </c>
      <c r="M50" s="231" t="s">
        <v>463</v>
      </c>
      <c r="N50" s="227" t="str" cm="1">
        <f t="array" ref="N50">_xlfn.IFS(L50&lt;$M$3,"Concluído",AND(K50&lt;=$M$3,L50&gt;=$M$3,L50&lt;=J50),"Em andamento",AND(K50&lt;=$M$3,L50&gt;=$M$3,L50&gt;J50),"Atrasado",AND(K50&gt;$M$3,I50&gt;$M$3),"Não iniciado",AND(K50&gt;$M$3,I50&lt;=$M$3),"Atrasado",TRUE,"Não iniciado")</f>
        <v>Em andamento</v>
      </c>
      <c r="O50" s="231" cm="1">
        <f t="array" ref="O50">_xlfn.IFS(N50="Não iniciado",0,N50="Em andamento",1,N50="Concluído",2,N50="Atrasado",3)</f>
        <v>1</v>
      </c>
      <c r="P50" s="220"/>
      <c r="Q50" s="226" cm="1">
        <f t="array" ref="Q50">_xlfn.IFS(AND($I50&lt;$M$3,$J50&lt;$M$3),1,AND($I50&lt;=$M$3,$J50&gt;=$M$3),0.5,AND($I50&gt;=$M$3,$J50&gt;=$M$3),0)</f>
        <v>0.5</v>
      </c>
      <c r="R50" s="226" cm="1">
        <f t="array" ref="R50">_xlfn.IFS(AND($K50&lt;$M$3,$L50&lt;$M$3),1,AND($K50&lt;=$M$3,$L50&gt;=$M$3),0.5,AND($K50&gt;=$M$3,$L50&gt;=$M$3),0)</f>
        <v>0.5</v>
      </c>
      <c r="S50" s="226" cm="1">
        <f t="array" ref="S50">_xlfn.IFS(AND($K50&gt;R$7,$L50&gt;R$7),0,AND($K50&lt;=R$7,$L50&lt;=R$7),1,AND($K50&lt;=R$7,$L50&gt;R$7),((R$7-$K50)/($L50-$K50)))</f>
        <v>0</v>
      </c>
      <c r="T50" s="226" cm="1">
        <f t="array" ref="T50">_xlfn.IFS(AND($K50&gt;S$7,$L50&gt;S$7),0,AND($K50&lt;=S$7,$L50&lt;=S$7),1,AND($K50&lt;=S$7,$L50&gt;S$7),((S$7-$K50)/($L50-$K50)))</f>
        <v>0</v>
      </c>
      <c r="U50" s="226" cm="1">
        <f t="array" ref="U50">_xlfn.IFS(AND($K50&gt;T$7,$L50&gt;T$7),0,AND($K50&lt;=T$7,$L50&lt;=T$7),1,AND($K50&lt;=T$7,$L50&gt;T$7),((T$7-$K50)/($L50-$K50)))</f>
        <v>0</v>
      </c>
      <c r="V50" s="226" cm="1">
        <f t="array" ref="V50">_xlfn.IFS(AND($K50&gt;U$7,$L50&gt;U$7),0,AND($K50&lt;=U$7,$L50&lt;=U$7),1,AND($K50&lt;=U$7,$L50&gt;U$7),((U$7-$K50)/($L50-$K50)))</f>
        <v>0</v>
      </c>
      <c r="W50" s="226" cm="1">
        <f t="array" ref="W50">_xlfn.IFS(AND($K50&gt;V$7,$L50&gt;V$7),0,AND($K50&lt;=V$7,$L50&lt;=V$7),1,AND($K50&lt;=V$7,$L50&gt;V$7),((V$7-$K50)/($L50-$K50)))</f>
        <v>0</v>
      </c>
      <c r="X50" s="226" cm="1">
        <f t="array" ref="X50">_xlfn.IFS(AND($K50&gt;W$7,$L50&gt;W$7),0,AND($K50&lt;=W$7,$L50&lt;=W$7),1,AND($K50&lt;=W$7,$L50&gt;W$7),((W$7-$K50)/($L50-$K50)))</f>
        <v>0</v>
      </c>
      <c r="Y50" s="226" cm="1">
        <f t="array" ref="Y50">_xlfn.IFS(AND($K50&gt;X$7,$L50&gt;X$7),0,AND($K50&lt;=X$7,$L50&lt;=X$7),1,AND($K50&lt;=X$7,$L50&gt;X$7),((X$7-$K50)/($L50-$K50)))</f>
        <v>0</v>
      </c>
      <c r="Z50" s="226" cm="1">
        <f t="array" ref="Z50">_xlfn.IFS(AND($K50&gt;Y$7,$L50&gt;Y$7),0,AND($K50&lt;=Y$7,$L50&lt;=Y$7),1,AND($K50&lt;=Y$7,$L50&gt;Y$7),((Y$7-$K50)/($L50-$K50)))</f>
        <v>0.2857142857142857</v>
      </c>
      <c r="AA50" s="226" cm="1">
        <f t="array" ref="AA50">_xlfn.IFS(AND($K50&gt;Z$7,$L50&gt;Z$7),0,AND($K50&lt;=Z$7,$L50&lt;=Z$7),1,AND($K50&lt;=Z$7,$L50&gt;Z$7),((Z$7-$K50)/($L50-$K50)))</f>
        <v>0.61904761904761907</v>
      </c>
      <c r="AB50" s="226" cm="1">
        <f t="array" ref="AB50">_xlfn.IFS(AND($K50&gt;AA$7,$L50&gt;AA$7),0,AND($K50&lt;=AA$7,$L50&lt;=AA$7),1,AND($K50&lt;=AA$7,$L50&gt;AA$7),((AA$7-$K50)/($L50-$K50)))</f>
        <v>0.95238095238095233</v>
      </c>
      <c r="AC50" s="226" cm="1">
        <f t="array" ref="AC50">_xlfn.IFS(AND($K50&gt;AB$7,$L50&gt;AB$7),0,AND($K50&lt;=AB$7,$L50&lt;=AB$7),1,AND($K50&lt;=AB$7,$L50&gt;AB$7),((AB$7-$K50)/($L50-$K50)))</f>
        <v>1</v>
      </c>
      <c r="AD50" s="226" cm="1">
        <f t="array" ref="AD50">_xlfn.IFS(AND($K50&gt;AC$7,$L50&gt;AC$7),0,AND($K50&lt;=AC$7,$L50&lt;=AC$7),1,AND($K50&lt;=AC$7,$L50&gt;AC$7),((AC$7-$K50)/($L50-$K50)))</f>
        <v>1</v>
      </c>
      <c r="AE50" s="226" cm="1">
        <f t="array" ref="AE50">_xlfn.IFS(AND($K50&gt;AD$7,$L50&gt;AD$7),0,AND($K50&lt;=AD$7,$L50&lt;=AD$7),1,AND($K50&lt;=AD$7,$L50&gt;AD$7),((AD$7-$K50)/($L50-$K50)))</f>
        <v>1</v>
      </c>
      <c r="AF50" s="226" cm="1">
        <f t="array" ref="AF50">_xlfn.IFS(AND($K50&gt;AE$7,$L50&gt;AE$7),0,AND($K50&lt;=AE$7,$L50&lt;=AE$7),1,AND($K50&lt;=AE$7,$L50&gt;AE$7),((AE$7-$K50)/($L50-$K50)))</f>
        <v>1</v>
      </c>
      <c r="AG50" s="226" cm="1">
        <f t="array" ref="AG50">_xlfn.IFS(AND($K50&gt;AF$7,$L50&gt;AF$7),0,AND($K50&lt;=AF$7,$L50&lt;=AF$7),1,AND($K50&lt;=AF$7,$L50&gt;AF$7),((AF$7-$K50)/($L50-$K50)))</f>
        <v>1</v>
      </c>
      <c r="AH50" s="226" cm="1">
        <f t="array" ref="AH50">_xlfn.IFS(AND($K50&gt;AG$7,$L50&gt;AG$7),0,AND($K50&lt;=AG$7,$L50&lt;=AG$7),1,AND($K50&lt;=AG$7,$L50&gt;AG$7),((AG$7-$K50)/($L50-$K50)))</f>
        <v>1</v>
      </c>
      <c r="AI50" s="226" cm="1">
        <f t="array" ref="AI50">_xlfn.IFS(AND($K50&gt;AH$7,$L50&gt;AH$7),0,AND($K50&lt;=AH$7,$L50&lt;=AH$7),1,AND($K50&lt;=AH$7,$L50&gt;AH$7),((AH$7-$K50)/($L50-$K50)))</f>
        <v>1</v>
      </c>
      <c r="AJ50" s="226" cm="1">
        <f t="array" ref="AJ50">_xlfn.IFS(AND($K50&gt;AI$7,$L50&gt;AI$7),0,AND($K50&lt;=AI$7,$L50&lt;=AI$7),1,AND($K50&lt;=AI$7,$L50&gt;AI$7),((AI$7-$K50)/($L50-$K50)))</f>
        <v>1</v>
      </c>
      <c r="AK50" s="226" cm="1">
        <f t="array" ref="AK50">_xlfn.IFS(AND($K50&gt;AJ$7,$L50&gt;AJ$7),0,AND($K50&lt;=AJ$7,$L50&lt;=AJ$7),1,AND($K50&lt;=AJ$7,$L50&gt;AJ$7),((AJ$7-$K50)/($L50-$K50)))</f>
        <v>1</v>
      </c>
      <c r="AL50" s="226" cm="1">
        <f t="array" ref="AL50">_xlfn.IFS(AND($K50&gt;AK$7,$L50&gt;AK$7),0,AND($K50&lt;=AK$7,$L50&lt;=AK$7),1,AND($K50&lt;=AK$7,$L50&gt;AK$7),((AK$7-$K50)/($L50-$K50)))</f>
        <v>1</v>
      </c>
      <c r="AM50" s="226" cm="1">
        <f t="array" ref="AM50">_xlfn.IFS(AND($K50&gt;AL$7,$L50&gt;AL$7),0,AND($K50&lt;=AL$7,$L50&lt;=AL$7),1,AND($K50&lt;=AL$7,$L50&gt;AL$7),((AL$7-$K50)/($L50-$K50)))</f>
        <v>1</v>
      </c>
      <c r="AN50" s="226" cm="1">
        <f t="array" ref="AN50">_xlfn.IFS(AND($K50&gt;AM$7,$L50&gt;AM$7),0,AND($K50&lt;=AM$7,$L50&lt;=AM$7),1,AND($K50&lt;=AM$7,$L50&gt;AM$7),((AM$7-$K50)/($L50-$K50)))</f>
        <v>1</v>
      </c>
      <c r="AO50" s="226" cm="1">
        <f t="array" ref="AO50">_xlfn.IFS(AND($K50&gt;AN$7,$L50&gt;AN$7),0,AND($K50&lt;=AN$7,$L50&lt;=AN$7),1,AND($K50&lt;=AN$7,$L50&gt;AN$7),((AN$7-$K50)/($L50-$K50)))</f>
        <v>1</v>
      </c>
      <c r="AP50" s="226" cm="1">
        <f t="array" ref="AP50">_xlfn.IFS(AND($K50&gt;AO$7,$L50&gt;AO$7),0,AND($K50&lt;=AO$7,$L50&lt;=AO$7),1,AND($K50&lt;=AO$7,$L50&gt;AO$7),((AO$7-$K50)/($L50-$K50)))</f>
        <v>1</v>
      </c>
      <c r="AQ50" s="226" cm="1">
        <f t="array" ref="AQ50">_xlfn.IFS(AND($K50&gt;AP$7,$L50&gt;AP$7),0,AND($K50&lt;=AP$7,$L50&lt;=AP$7),1,AND($K50&lt;=AP$7,$L50&gt;AP$7),((AP$7-$K50)/($L50-$K50)))</f>
        <v>1</v>
      </c>
      <c r="AR50" s="226" cm="1">
        <f t="array" ref="AR50">_xlfn.IFS(AND($K50&gt;AQ$7,$L50&gt;AQ$7),0,AND($K50&lt;=AQ$7,$L50&lt;=AQ$7),1,AND($K50&lt;=AQ$7,$L50&gt;AQ$7),((AQ$7-$K50)/($L50-$K50)))</f>
        <v>1</v>
      </c>
      <c r="AS50" s="226" cm="1">
        <f t="array" ref="AS50">_xlfn.IFS(AND($K50&gt;AR$7,$L50&gt;AR$7),0,AND($K50&lt;=AR$7,$L50&lt;=AR$7),1,AND($K50&lt;=AR$7,$L50&gt;AR$7),((AR$7-$K50)/($L50-$K50)))</f>
        <v>1</v>
      </c>
      <c r="AT50" s="226" cm="1">
        <f t="array" ref="AT50">_xlfn.IFS(AND($K50&gt;AS$7,$L50&gt;AS$7),0,AND($K50&lt;=AS$7,$L50&lt;=AS$7),1,AND($K50&lt;=AS$7,$L50&gt;AS$7),((AS$7-$K50)/($L50-$K50)))</f>
        <v>1</v>
      </c>
      <c r="AU50" s="226" cm="1">
        <f t="array" ref="AU50">_xlfn.IFS(AND($K50&gt;AT$7,$L50&gt;AT$7),0,AND($K50&lt;=AT$7,$L50&lt;=AT$7),1,AND($K50&lt;=AT$7,$L50&gt;AT$7),((AT$7-$K50)/($L50-$K50)))</f>
        <v>1</v>
      </c>
      <c r="AV50" s="226" cm="1">
        <f t="array" ref="AV50">_xlfn.IFS(AND($K50&gt;AU$7,$L50&gt;AU$7),0,AND($K50&lt;=AU$7,$L50&lt;=AU$7),1,AND($K50&lt;=AU$7,$L50&gt;AU$7),((AU$7-$K50)/($L50-$K50)))</f>
        <v>1</v>
      </c>
      <c r="AW50" s="226" cm="1">
        <f t="array" ref="AW50">_xlfn.IFS(AND($K50&gt;AV$7,$L50&gt;AV$7),0,AND($K50&lt;=AV$7,$L50&lt;=AV$7),1,AND($K50&lt;=AV$7,$L50&gt;AV$7),((AV$7-$K50)/($L50-$K50)))</f>
        <v>1</v>
      </c>
      <c r="AX50" s="226" cm="1">
        <f t="array" ref="AX50">_xlfn.IFS(AND($K50&gt;AW$7,$L50&gt;AW$7),0,AND($K50&lt;=AW$7,$L50&lt;=AW$7),1,AND($K50&lt;=AW$7,$L50&gt;AW$7),((AW$7-$K50)/($L50-$K50)))</f>
        <v>1</v>
      </c>
      <c r="AY50" s="226" cm="1">
        <f t="array" ref="AY50">_xlfn.IFS(AND($K50&gt;AX$7,$L50&gt;AX$7),0,AND($K50&lt;=AX$7,$L50&lt;=AX$7),1,AND($K50&lt;=AX$7,$L50&gt;AX$7),((AX$7-$K50)/($L50-$K50)))</f>
        <v>1</v>
      </c>
      <c r="AZ50" s="226" cm="1">
        <f t="array" ref="AZ50">_xlfn.IFS(AND($K50&gt;AY$7,$L50&gt;AY$7),0,AND($K50&lt;=AY$7,$L50&lt;=AY$7),1,AND($K50&lt;=AY$7,$L50&gt;AY$7),((AY$7-$K50)/($L50-$K50)))</f>
        <v>1</v>
      </c>
      <c r="BA50" s="226" cm="1">
        <f t="array" ref="BA50">_xlfn.IFS(AND($K50&gt;AZ$7,$L50&gt;AZ$7),0,AND($K50&lt;=AZ$7,$L50&lt;=AZ$7),1,AND($K50&lt;=AZ$7,$L50&gt;AZ$7),((AZ$7-$K50)/($L50-$K50)))</f>
        <v>1</v>
      </c>
      <c r="BB50" s="226" cm="1">
        <f t="array" ref="BB50">_xlfn.IFS(AND($K50&gt;BA$7,$L50&gt;BA$7),0,AND($K50&lt;=BA$7,$L50&lt;=BA$7),1,AND($K50&lt;=BA$7,$L50&gt;BA$7),((BA$7-$K50)/($L50-$K50)))</f>
        <v>1</v>
      </c>
      <c r="BC50" s="226" cm="1">
        <f t="array" ref="BC50">_xlfn.IFS(AND($K50&gt;BB$7,$L50&gt;BB$7),0,AND($K50&lt;=BB$7,$L50&lt;=BB$7),1,AND($K50&lt;=BB$7,$L50&gt;BB$7),((BB$7-$K50)/($L50-$K50)))</f>
        <v>1</v>
      </c>
      <c r="BD50" s="226" cm="1">
        <f t="array" ref="BD50">_xlfn.IFS(AND($K50&gt;BC$7,$L50&gt;BC$7),0,AND($K50&lt;=BC$7,$L50&lt;=BC$7),1,AND($K50&lt;=BC$7,$L50&gt;BC$7),((BC$7-$K50)/($L50-$K50)))</f>
        <v>1</v>
      </c>
      <c r="BE50" s="226" cm="1">
        <f t="array" ref="BE50">_xlfn.IFS(AND($K50&gt;BD$7,$L50&gt;BD$7),0,AND($K50&lt;=BD$7,$L50&lt;=BD$7),1,AND($K50&lt;=BD$7,$L50&gt;BD$7),((BD$7-$K50)/($L50-$K50)))</f>
        <v>1</v>
      </c>
      <c r="BF50" s="226" cm="1">
        <f t="array" ref="BF50">_xlfn.IFS(AND($K50&gt;BE$7,$L50&gt;BE$7),0,AND($K50&lt;=BE$7,$L50&lt;=BE$7),1,AND($K50&lt;=BE$7,$L50&gt;BE$7),((BE$7-$K50)/($L50-$K50)))</f>
        <v>1</v>
      </c>
      <c r="BG50" s="226" cm="1">
        <f t="array" ref="BG50">_xlfn.IFS(AND($K50&gt;BF$7,$L50&gt;BF$7),0,AND($K50&lt;=BF$7,$L50&lt;=BF$7),1,AND($K50&lt;=BF$7,$L50&gt;BF$7),((BF$7-$K50)/($L50-$K50)))</f>
        <v>1</v>
      </c>
      <c r="BH50">
        <f>Tab.plano6[[#This Row],[Data Término
Prevista]]-Tab.plano6[[#This Row],[Data Início
Previsto]]</f>
        <v>21</v>
      </c>
    </row>
    <row r="51" spans="1:60" s="163" customFormat="1" ht="18" hidden="1" customHeight="1" collapsed="1" x14ac:dyDescent="0.3">
      <c r="A51" s="220"/>
      <c r="B51" s="220" t="s">
        <v>161</v>
      </c>
      <c r="C51" s="220" t="s">
        <v>517</v>
      </c>
      <c r="D51" s="251" t="s">
        <v>399</v>
      </c>
      <c r="E51" s="251" t="s">
        <v>422</v>
      </c>
      <c r="F51" s="251" t="s">
        <v>511</v>
      </c>
      <c r="G51" s="251" t="s">
        <v>511</v>
      </c>
      <c r="H51" s="246" t="s">
        <v>806</v>
      </c>
      <c r="I51" s="260">
        <v>46169</v>
      </c>
      <c r="J51" s="260">
        <v>46171</v>
      </c>
      <c r="K51" s="260">
        <v>46169</v>
      </c>
      <c r="L51" s="260">
        <v>46171</v>
      </c>
      <c r="M51" s="231" t="s">
        <v>463</v>
      </c>
      <c r="N51" s="227" t="str" cm="1">
        <f t="array" ref="N51">_xlfn.IFS(L51&lt;$M$3,"Concluído",AND(K51&lt;=$M$3,L51&gt;=$M$3,L51&lt;=J51),"Em andamento",AND(K51&lt;=$M$3,L51&gt;=$M$3,L51&gt;J51),"Atrasado",AND(K51&gt;$M$3,I51&gt;$M$3),"Não iniciado",AND(K51&gt;$M$3,I51&lt;=$M$3),"Atrasado",TRUE,"Não iniciado")</f>
        <v>Não iniciado</v>
      </c>
      <c r="O51" s="231" cm="1">
        <f t="array" ref="O51">_xlfn.IFS(N51="Não iniciado",0,N51="Em andamento",1,N51="Concluído",2,N51="Atrasado",3)</f>
        <v>0</v>
      </c>
      <c r="P51" s="220"/>
      <c r="Q51" s="226" cm="1">
        <f t="array" ref="Q51">_xlfn.IFS(AND($I51&lt;$M$3,$J51&lt;$M$3),1,AND($I51&lt;=$M$3,$J51&gt;=$M$3),0.5,AND($I51&gt;=$M$3,$J51&gt;=$M$3),0)</f>
        <v>0</v>
      </c>
      <c r="R51" s="226" cm="1">
        <f t="array" ref="R51">_xlfn.IFS(AND($K51&lt;$M$3,$L51&lt;$M$3),1,AND($K51&lt;=$M$3,$L51&gt;=$M$3),0.5,AND($K51&gt;=$M$3,$L51&gt;=$M$3),0)</f>
        <v>0</v>
      </c>
      <c r="S51" s="226" cm="1">
        <f t="array" ref="S51">_xlfn.IFS(AND($K51&gt;R$7,$L51&gt;R$7),0,AND($K51&lt;=R$7,$L51&lt;=R$7),1,AND($K51&lt;=R$7,$L51&gt;R$7),((R$7-$K51)/($L51-$K51)))</f>
        <v>0</v>
      </c>
      <c r="T51" s="226" cm="1">
        <f t="array" ref="T51">_xlfn.IFS(AND($K51&gt;S$7,$L51&gt;S$7),0,AND($K51&lt;=S$7,$L51&lt;=S$7),1,AND($K51&lt;=S$7,$L51&gt;S$7),((S$7-$K51)/($L51-$K51)))</f>
        <v>0</v>
      </c>
      <c r="U51" s="226" cm="1">
        <f t="array" ref="U51">_xlfn.IFS(AND($K51&gt;T$7,$L51&gt;T$7),0,AND($K51&lt;=T$7,$L51&lt;=T$7),1,AND($K51&lt;=T$7,$L51&gt;T$7),((T$7-$K51)/($L51-$K51)))</f>
        <v>0</v>
      </c>
      <c r="V51" s="226" cm="1">
        <f t="array" ref="V51">_xlfn.IFS(AND($K51&gt;U$7,$L51&gt;U$7),0,AND($K51&lt;=U$7,$L51&lt;=U$7),1,AND($K51&lt;=U$7,$L51&gt;U$7),((U$7-$K51)/($L51-$K51)))</f>
        <v>0</v>
      </c>
      <c r="W51" s="226" cm="1">
        <f t="array" ref="W51">_xlfn.IFS(AND($K51&gt;V$7,$L51&gt;V$7),0,AND($K51&lt;=V$7,$L51&lt;=V$7),1,AND($K51&lt;=V$7,$L51&gt;V$7),((V$7-$K51)/($L51-$K51)))</f>
        <v>0</v>
      </c>
      <c r="X51" s="226" cm="1">
        <f t="array" ref="X51">_xlfn.IFS(AND($K51&gt;W$7,$L51&gt;W$7),0,AND($K51&lt;=W$7,$L51&lt;=W$7),1,AND($K51&lt;=W$7,$L51&gt;W$7),((W$7-$K51)/($L51-$K51)))</f>
        <v>0</v>
      </c>
      <c r="Y51" s="226" cm="1">
        <f t="array" ref="Y51">_xlfn.IFS(AND($K51&gt;X$7,$L51&gt;X$7),0,AND($K51&lt;=X$7,$L51&lt;=X$7),1,AND($K51&lt;=X$7,$L51&gt;X$7),((X$7-$K51)/($L51-$K51)))</f>
        <v>0</v>
      </c>
      <c r="Z51" s="226" cm="1">
        <f t="array" ref="Z51">_xlfn.IFS(AND($K51&gt;Y$7,$L51&gt;Y$7),0,AND($K51&lt;=Y$7,$L51&lt;=Y$7),1,AND($K51&lt;=Y$7,$L51&gt;Y$7),((Y$7-$K51)/($L51-$K51)))</f>
        <v>0</v>
      </c>
      <c r="AA51" s="226" cm="1">
        <f t="array" ref="AA51">_xlfn.IFS(AND($K51&gt;Z$7,$L51&gt;Z$7),0,AND($K51&lt;=Z$7,$L51&lt;=Z$7),1,AND($K51&lt;=Z$7,$L51&gt;Z$7),((Z$7-$K51)/($L51-$K51)))</f>
        <v>0</v>
      </c>
      <c r="AB51" s="226" cm="1">
        <f t="array" ref="AB51">_xlfn.IFS(AND($K51&gt;AA$7,$L51&gt;AA$7),0,AND($K51&lt;=AA$7,$L51&lt;=AA$7),1,AND($K51&lt;=AA$7,$L51&gt;AA$7),((AA$7-$K51)/($L51-$K51)))</f>
        <v>0</v>
      </c>
      <c r="AC51" s="226" cm="1">
        <f t="array" ref="AC51">_xlfn.IFS(AND($K51&gt;AB$7,$L51&gt;AB$7),0,AND($K51&lt;=AB$7,$L51&lt;=AB$7),1,AND($K51&lt;=AB$7,$L51&gt;AB$7),((AB$7-$K51)/($L51-$K51)))</f>
        <v>1</v>
      </c>
      <c r="AD51" s="226" cm="1">
        <f t="array" ref="AD51">_xlfn.IFS(AND($K51&gt;AC$7,$L51&gt;AC$7),0,AND($K51&lt;=AC$7,$L51&lt;=AC$7),1,AND($K51&lt;=AC$7,$L51&gt;AC$7),((AC$7-$K51)/($L51-$K51)))</f>
        <v>1</v>
      </c>
      <c r="AE51" s="226" cm="1">
        <f t="array" ref="AE51">_xlfn.IFS(AND($K51&gt;AD$7,$L51&gt;AD$7),0,AND($K51&lt;=AD$7,$L51&lt;=AD$7),1,AND($K51&lt;=AD$7,$L51&gt;AD$7),((AD$7-$K51)/($L51-$K51)))</f>
        <v>1</v>
      </c>
      <c r="AF51" s="226" cm="1">
        <f t="array" ref="AF51">_xlfn.IFS(AND($K51&gt;AE$7,$L51&gt;AE$7),0,AND($K51&lt;=AE$7,$L51&lt;=AE$7),1,AND($K51&lt;=AE$7,$L51&gt;AE$7),((AE$7-$K51)/($L51-$K51)))</f>
        <v>1</v>
      </c>
      <c r="AG51" s="226" cm="1">
        <f t="array" ref="AG51">_xlfn.IFS(AND($K51&gt;AF$7,$L51&gt;AF$7),0,AND($K51&lt;=AF$7,$L51&lt;=AF$7),1,AND($K51&lt;=AF$7,$L51&gt;AF$7),((AF$7-$K51)/($L51-$K51)))</f>
        <v>1</v>
      </c>
      <c r="AH51" s="226" cm="1">
        <f t="array" ref="AH51">_xlfn.IFS(AND($K51&gt;AG$7,$L51&gt;AG$7),0,AND($K51&lt;=AG$7,$L51&lt;=AG$7),1,AND($K51&lt;=AG$7,$L51&gt;AG$7),((AG$7-$K51)/($L51-$K51)))</f>
        <v>1</v>
      </c>
      <c r="AI51" s="226" cm="1">
        <f t="array" ref="AI51">_xlfn.IFS(AND($K51&gt;AH$7,$L51&gt;AH$7),0,AND($K51&lt;=AH$7,$L51&lt;=AH$7),1,AND($K51&lt;=AH$7,$L51&gt;AH$7),((AH$7-$K51)/($L51-$K51)))</f>
        <v>1</v>
      </c>
      <c r="AJ51" s="226" cm="1">
        <f t="array" ref="AJ51">_xlfn.IFS(AND($K51&gt;AI$7,$L51&gt;AI$7),0,AND($K51&lt;=AI$7,$L51&lt;=AI$7),1,AND($K51&lt;=AI$7,$L51&gt;AI$7),((AI$7-$K51)/($L51-$K51)))</f>
        <v>1</v>
      </c>
      <c r="AK51" s="226" cm="1">
        <f t="array" ref="AK51">_xlfn.IFS(AND($K51&gt;AJ$7,$L51&gt;AJ$7),0,AND($K51&lt;=AJ$7,$L51&lt;=AJ$7),1,AND($K51&lt;=AJ$7,$L51&gt;AJ$7),((AJ$7-$K51)/($L51-$K51)))</f>
        <v>1</v>
      </c>
      <c r="AL51" s="226" cm="1">
        <f t="array" ref="AL51">_xlfn.IFS(AND($K51&gt;AK$7,$L51&gt;AK$7),0,AND($K51&lt;=AK$7,$L51&lt;=AK$7),1,AND($K51&lt;=AK$7,$L51&gt;AK$7),((AK$7-$K51)/($L51-$K51)))</f>
        <v>1</v>
      </c>
      <c r="AM51" s="226" cm="1">
        <f t="array" ref="AM51">_xlfn.IFS(AND($K51&gt;AL$7,$L51&gt;AL$7),0,AND($K51&lt;=AL$7,$L51&lt;=AL$7),1,AND($K51&lt;=AL$7,$L51&gt;AL$7),((AL$7-$K51)/($L51-$K51)))</f>
        <v>1</v>
      </c>
      <c r="AN51" s="226" cm="1">
        <f t="array" ref="AN51">_xlfn.IFS(AND($K51&gt;AM$7,$L51&gt;AM$7),0,AND($K51&lt;=AM$7,$L51&lt;=AM$7),1,AND($K51&lt;=AM$7,$L51&gt;AM$7),((AM$7-$K51)/($L51-$K51)))</f>
        <v>1</v>
      </c>
      <c r="AO51" s="226" cm="1">
        <f t="array" ref="AO51">_xlfn.IFS(AND($K51&gt;AN$7,$L51&gt;AN$7),0,AND($K51&lt;=AN$7,$L51&lt;=AN$7),1,AND($K51&lt;=AN$7,$L51&gt;AN$7),((AN$7-$K51)/($L51-$K51)))</f>
        <v>1</v>
      </c>
      <c r="AP51" s="226" cm="1">
        <f t="array" ref="AP51">_xlfn.IFS(AND($K51&gt;AO$7,$L51&gt;AO$7),0,AND($K51&lt;=AO$7,$L51&lt;=AO$7),1,AND($K51&lt;=AO$7,$L51&gt;AO$7),((AO$7-$K51)/($L51-$K51)))</f>
        <v>1</v>
      </c>
      <c r="AQ51" s="226" cm="1">
        <f t="array" ref="AQ51">_xlfn.IFS(AND($K51&gt;AP$7,$L51&gt;AP$7),0,AND($K51&lt;=AP$7,$L51&lt;=AP$7),1,AND($K51&lt;=AP$7,$L51&gt;AP$7),((AP$7-$K51)/($L51-$K51)))</f>
        <v>1</v>
      </c>
      <c r="AR51" s="226" cm="1">
        <f t="array" ref="AR51">_xlfn.IFS(AND($K51&gt;AQ$7,$L51&gt;AQ$7),0,AND($K51&lt;=AQ$7,$L51&lt;=AQ$7),1,AND($K51&lt;=AQ$7,$L51&gt;AQ$7),((AQ$7-$K51)/($L51-$K51)))</f>
        <v>1</v>
      </c>
      <c r="AS51" s="226" cm="1">
        <f t="array" ref="AS51">_xlfn.IFS(AND($K51&gt;AR$7,$L51&gt;AR$7),0,AND($K51&lt;=AR$7,$L51&lt;=AR$7),1,AND($K51&lt;=AR$7,$L51&gt;AR$7),((AR$7-$K51)/($L51-$K51)))</f>
        <v>1</v>
      </c>
      <c r="AT51" s="226" cm="1">
        <f t="array" ref="AT51">_xlfn.IFS(AND($K51&gt;AS$7,$L51&gt;AS$7),0,AND($K51&lt;=AS$7,$L51&lt;=AS$7),1,AND($K51&lt;=AS$7,$L51&gt;AS$7),((AS$7-$K51)/($L51-$K51)))</f>
        <v>1</v>
      </c>
      <c r="AU51" s="226" cm="1">
        <f t="array" ref="AU51">_xlfn.IFS(AND($K51&gt;AT$7,$L51&gt;AT$7),0,AND($K51&lt;=AT$7,$L51&lt;=AT$7),1,AND($K51&lt;=AT$7,$L51&gt;AT$7),((AT$7-$K51)/($L51-$K51)))</f>
        <v>1</v>
      </c>
      <c r="AV51" s="226" cm="1">
        <f t="array" ref="AV51">_xlfn.IFS(AND($K51&gt;AU$7,$L51&gt;AU$7),0,AND($K51&lt;=AU$7,$L51&lt;=AU$7),1,AND($K51&lt;=AU$7,$L51&gt;AU$7),((AU$7-$K51)/($L51-$K51)))</f>
        <v>1</v>
      </c>
      <c r="AW51" s="226" cm="1">
        <f t="array" ref="AW51">_xlfn.IFS(AND($K51&gt;AV$7,$L51&gt;AV$7),0,AND($K51&lt;=AV$7,$L51&lt;=AV$7),1,AND($K51&lt;=AV$7,$L51&gt;AV$7),((AV$7-$K51)/($L51-$K51)))</f>
        <v>1</v>
      </c>
      <c r="AX51" s="226" cm="1">
        <f t="array" ref="AX51">_xlfn.IFS(AND($K51&gt;AW$7,$L51&gt;AW$7),0,AND($K51&lt;=AW$7,$L51&lt;=AW$7),1,AND($K51&lt;=AW$7,$L51&gt;AW$7),((AW$7-$K51)/($L51-$K51)))</f>
        <v>1</v>
      </c>
      <c r="AY51" s="226" cm="1">
        <f t="array" ref="AY51">_xlfn.IFS(AND($K51&gt;AX$7,$L51&gt;AX$7),0,AND($K51&lt;=AX$7,$L51&lt;=AX$7),1,AND($K51&lt;=AX$7,$L51&gt;AX$7),((AX$7-$K51)/($L51-$K51)))</f>
        <v>1</v>
      </c>
      <c r="AZ51" s="226" cm="1">
        <f t="array" ref="AZ51">_xlfn.IFS(AND($K51&gt;AY$7,$L51&gt;AY$7),0,AND($K51&lt;=AY$7,$L51&lt;=AY$7),1,AND($K51&lt;=AY$7,$L51&gt;AY$7),((AY$7-$K51)/($L51-$K51)))</f>
        <v>1</v>
      </c>
      <c r="BA51" s="226" cm="1">
        <f t="array" ref="BA51">_xlfn.IFS(AND($K51&gt;AZ$7,$L51&gt;AZ$7),0,AND($K51&lt;=AZ$7,$L51&lt;=AZ$7),1,AND($K51&lt;=AZ$7,$L51&gt;AZ$7),((AZ$7-$K51)/($L51-$K51)))</f>
        <v>1</v>
      </c>
      <c r="BB51" s="226" cm="1">
        <f t="array" ref="BB51">_xlfn.IFS(AND($K51&gt;BA$7,$L51&gt;BA$7),0,AND($K51&lt;=BA$7,$L51&lt;=BA$7),1,AND($K51&lt;=BA$7,$L51&gt;BA$7),((BA$7-$K51)/($L51-$K51)))</f>
        <v>1</v>
      </c>
      <c r="BC51" s="226" cm="1">
        <f t="array" ref="BC51">_xlfn.IFS(AND($K51&gt;BB$7,$L51&gt;BB$7),0,AND($K51&lt;=BB$7,$L51&lt;=BB$7),1,AND($K51&lt;=BB$7,$L51&gt;BB$7),((BB$7-$K51)/($L51-$K51)))</f>
        <v>1</v>
      </c>
      <c r="BD51" s="226" cm="1">
        <f t="array" ref="BD51">_xlfn.IFS(AND($K51&gt;BC$7,$L51&gt;BC$7),0,AND($K51&lt;=BC$7,$L51&lt;=BC$7),1,AND($K51&lt;=BC$7,$L51&gt;BC$7),((BC$7-$K51)/($L51-$K51)))</f>
        <v>1</v>
      </c>
      <c r="BE51" s="226" cm="1">
        <f t="array" ref="BE51">_xlfn.IFS(AND($K51&gt;BD$7,$L51&gt;BD$7),0,AND($K51&lt;=BD$7,$L51&lt;=BD$7),1,AND($K51&lt;=BD$7,$L51&gt;BD$7),((BD$7-$K51)/($L51-$K51)))</f>
        <v>1</v>
      </c>
      <c r="BF51" s="226" cm="1">
        <f t="array" ref="BF51">_xlfn.IFS(AND($K51&gt;BE$7,$L51&gt;BE$7),0,AND($K51&lt;=BE$7,$L51&lt;=BE$7),1,AND($K51&lt;=BE$7,$L51&gt;BE$7),((BE$7-$K51)/($L51-$K51)))</f>
        <v>1</v>
      </c>
      <c r="BG51" s="226" cm="1">
        <f t="array" ref="BG51">_xlfn.IFS(AND($K51&gt;BF$7,$L51&gt;BF$7),0,AND($K51&lt;=BF$7,$L51&lt;=BF$7),1,AND($K51&lt;=BF$7,$L51&gt;BF$7),((BF$7-$K51)/($L51-$K51)))</f>
        <v>1</v>
      </c>
      <c r="BH51">
        <f>Tab.plano6[[#This Row],[Data Término
Prevista]]-Tab.plano6[[#This Row],[Data Início
Previsto]]</f>
        <v>2</v>
      </c>
    </row>
    <row r="52" spans="1:60" s="163" customFormat="1" ht="18" hidden="1" customHeight="1" collapsed="1" x14ac:dyDescent="0.3">
      <c r="A52" s="216"/>
      <c r="B52" s="216" t="s">
        <v>12</v>
      </c>
      <c r="C52" s="216" t="s">
        <v>518</v>
      </c>
      <c r="D52" s="249" t="s">
        <v>399</v>
      </c>
      <c r="E52" s="249" t="s">
        <v>422</v>
      </c>
      <c r="F52" s="249" t="s">
        <v>74</v>
      </c>
      <c r="G52" s="249" t="s">
        <v>74</v>
      </c>
      <c r="H52" s="269" t="s">
        <v>823</v>
      </c>
      <c r="I52" s="257">
        <f>I53</f>
        <v>46174</v>
      </c>
      <c r="J52" s="257">
        <f>J53</f>
        <v>46191</v>
      </c>
      <c r="K52" s="257">
        <f>K53</f>
        <v>46142</v>
      </c>
      <c r="L52" s="257">
        <f>L53</f>
        <v>46171</v>
      </c>
      <c r="M52" s="229" t="s">
        <v>463</v>
      </c>
      <c r="N52" s="227" t="str" cm="1">
        <f t="array" ref="N52">_xlfn.IFS(L52&lt;$M$3,"Concluído",AND(K52&lt;=$M$3,L52&gt;=$M$3,L52&lt;=J52),"Em andamento",AND(K52&lt;=$M$3,L52&gt;=$M$3,L52&gt;J52),"Atrasado",AND(K52&gt;$M$3,I52&gt;$M$3),"Não iniciado",AND(K52&gt;$M$3,I52&lt;=$M$3),"Atrasado",TRUE,"Não iniciado")</f>
        <v>Em andamento</v>
      </c>
      <c r="O52" s="229" cm="1">
        <f t="array" ref="O52">_xlfn.IFS(N52="Não iniciado",0,N52="Em andamento",1,N52="Concluído",2,N52="Atrasado",3)</f>
        <v>1</v>
      </c>
      <c r="P52" s="216"/>
      <c r="Q52" s="224">
        <f t="shared" ref="Q52:BG52" si="21">Q53</f>
        <v>0</v>
      </c>
      <c r="R52" s="224">
        <f t="shared" si="21"/>
        <v>0.83333333333333337</v>
      </c>
      <c r="S52" s="224">
        <f t="shared" si="21"/>
        <v>0</v>
      </c>
      <c r="T52" s="224">
        <f t="shared" si="21"/>
        <v>0</v>
      </c>
      <c r="U52" s="224">
        <f t="shared" si="21"/>
        <v>0</v>
      </c>
      <c r="V52" s="224">
        <f t="shared" si="21"/>
        <v>0</v>
      </c>
      <c r="W52" s="224">
        <f t="shared" si="21"/>
        <v>0</v>
      </c>
      <c r="X52" s="224">
        <f t="shared" si="21"/>
        <v>0</v>
      </c>
      <c r="Y52" s="224">
        <f t="shared" si="21"/>
        <v>0.33333333333333331</v>
      </c>
      <c r="Z52" s="224">
        <f t="shared" si="21"/>
        <v>0.66666666666666663</v>
      </c>
      <c r="AA52" s="224">
        <f t="shared" si="21"/>
        <v>0.78431372549019607</v>
      </c>
      <c r="AB52" s="224">
        <f t="shared" si="21"/>
        <v>0.92156862745098034</v>
      </c>
      <c r="AC52" s="224">
        <f t="shared" si="21"/>
        <v>1</v>
      </c>
      <c r="AD52" s="224">
        <f t="shared" si="21"/>
        <v>1</v>
      </c>
      <c r="AE52" s="224">
        <f t="shared" si="21"/>
        <v>1</v>
      </c>
      <c r="AF52" s="224">
        <f t="shared" si="21"/>
        <v>1</v>
      </c>
      <c r="AG52" s="224">
        <f t="shared" si="21"/>
        <v>1</v>
      </c>
      <c r="AH52" s="224">
        <f t="shared" si="21"/>
        <v>1</v>
      </c>
      <c r="AI52" s="224">
        <f t="shared" si="21"/>
        <v>1</v>
      </c>
      <c r="AJ52" s="224">
        <f t="shared" si="21"/>
        <v>1</v>
      </c>
      <c r="AK52" s="224">
        <f t="shared" si="21"/>
        <v>1</v>
      </c>
      <c r="AL52" s="224">
        <f t="shared" si="21"/>
        <v>1</v>
      </c>
      <c r="AM52" s="224">
        <f t="shared" si="21"/>
        <v>1</v>
      </c>
      <c r="AN52" s="224">
        <f t="shared" si="21"/>
        <v>1</v>
      </c>
      <c r="AO52" s="224">
        <f t="shared" si="21"/>
        <v>1</v>
      </c>
      <c r="AP52" s="224">
        <f t="shared" si="21"/>
        <v>1</v>
      </c>
      <c r="AQ52" s="224">
        <f t="shared" si="21"/>
        <v>1</v>
      </c>
      <c r="AR52" s="224">
        <f t="shared" si="21"/>
        <v>1</v>
      </c>
      <c r="AS52" s="224">
        <f t="shared" si="21"/>
        <v>1</v>
      </c>
      <c r="AT52" s="224">
        <f t="shared" si="21"/>
        <v>1</v>
      </c>
      <c r="AU52" s="224">
        <f t="shared" si="21"/>
        <v>1</v>
      </c>
      <c r="AV52" s="224">
        <f t="shared" si="21"/>
        <v>1</v>
      </c>
      <c r="AW52" s="224">
        <f t="shared" si="21"/>
        <v>1</v>
      </c>
      <c r="AX52" s="224">
        <f t="shared" si="21"/>
        <v>1</v>
      </c>
      <c r="AY52" s="224">
        <f t="shared" si="21"/>
        <v>1</v>
      </c>
      <c r="AZ52" s="224">
        <f t="shared" si="21"/>
        <v>1</v>
      </c>
      <c r="BA52" s="224">
        <f t="shared" si="21"/>
        <v>1</v>
      </c>
      <c r="BB52" s="224">
        <f t="shared" si="21"/>
        <v>1</v>
      </c>
      <c r="BC52" s="224">
        <f t="shared" si="21"/>
        <v>1</v>
      </c>
      <c r="BD52" s="224">
        <f t="shared" si="21"/>
        <v>1</v>
      </c>
      <c r="BE52" s="224">
        <f t="shared" si="21"/>
        <v>1</v>
      </c>
      <c r="BF52" s="224">
        <f t="shared" si="21"/>
        <v>1</v>
      </c>
      <c r="BG52" s="224">
        <f t="shared" si="21"/>
        <v>1</v>
      </c>
      <c r="BH52">
        <f>Tab.plano6[[#This Row],[Data Término
Prevista]]-Tab.plano6[[#This Row],[Data Início
Previsto]]</f>
        <v>17</v>
      </c>
    </row>
    <row r="53" spans="1:60" s="163" customFormat="1" ht="18" hidden="1" customHeight="1" collapsed="1" x14ac:dyDescent="0.3">
      <c r="A53" s="218"/>
      <c r="B53" s="218" t="s">
        <v>13</v>
      </c>
      <c r="C53" s="218" t="s">
        <v>520</v>
      </c>
      <c r="D53" s="250" t="s">
        <v>399</v>
      </c>
      <c r="E53" s="250" t="s">
        <v>422</v>
      </c>
      <c r="F53" s="250" t="s">
        <v>519</v>
      </c>
      <c r="G53" s="250" t="s">
        <v>74</v>
      </c>
      <c r="H53" s="219" t="s">
        <v>462</v>
      </c>
      <c r="I53" s="258">
        <f>MIN(I54:I56)</f>
        <v>46174</v>
      </c>
      <c r="J53" s="258">
        <f>MAX(J54:J56)</f>
        <v>46191</v>
      </c>
      <c r="K53" s="258">
        <f>MIN(K54:K56)</f>
        <v>46142</v>
      </c>
      <c r="L53" s="258">
        <f>MAX(L54:L56)</f>
        <v>46171</v>
      </c>
      <c r="M53" s="230" t="s">
        <v>463</v>
      </c>
      <c r="N53" s="227" t="str" cm="1">
        <f t="array" ref="N53">_xlfn.IFS(L53&lt;$M$3,"Concluído",AND(K53&lt;=$M$3,L53&gt;=$M$3,L53&lt;=J53),"Em andamento",AND(K53&lt;=$M$3,L53&gt;=$M$3,L53&gt;J53),"Atrasado",AND(K53&gt;$M$3,I53&gt;$M$3),"Não iniciado",AND(K53&gt;$M$3,I53&lt;=$M$3),"Atrasado",TRUE,"Não iniciado")</f>
        <v>Em andamento</v>
      </c>
      <c r="O53" s="230" cm="1">
        <f t="array" ref="O53">_xlfn.IFS(N53="Não iniciado",0,N53="Em andamento",1,N53="Concluído",2,N53="Atrasado",3)</f>
        <v>1</v>
      </c>
      <c r="P53" s="218"/>
      <c r="Q53" s="225">
        <f t="shared" ref="Q53:BG53" si="22">AVERAGE(Q54:Q56)</f>
        <v>0</v>
      </c>
      <c r="R53" s="225">
        <f t="shared" si="22"/>
        <v>0.83333333333333337</v>
      </c>
      <c r="S53" s="225">
        <f t="shared" si="22"/>
        <v>0</v>
      </c>
      <c r="T53" s="225">
        <f t="shared" si="22"/>
        <v>0</v>
      </c>
      <c r="U53" s="225">
        <f t="shared" si="22"/>
        <v>0</v>
      </c>
      <c r="V53" s="225">
        <f t="shared" si="22"/>
        <v>0</v>
      </c>
      <c r="W53" s="225">
        <f t="shared" si="22"/>
        <v>0</v>
      </c>
      <c r="X53" s="225">
        <f t="shared" si="22"/>
        <v>0</v>
      </c>
      <c r="Y53" s="225">
        <f t="shared" si="22"/>
        <v>0.33333333333333331</v>
      </c>
      <c r="Z53" s="225">
        <f t="shared" si="22"/>
        <v>0.66666666666666663</v>
      </c>
      <c r="AA53" s="225">
        <f t="shared" si="22"/>
        <v>0.78431372549019607</v>
      </c>
      <c r="AB53" s="225">
        <f t="shared" si="22"/>
        <v>0.92156862745098034</v>
      </c>
      <c r="AC53" s="225">
        <f t="shared" si="22"/>
        <v>1</v>
      </c>
      <c r="AD53" s="225">
        <f t="shared" si="22"/>
        <v>1</v>
      </c>
      <c r="AE53" s="225">
        <f t="shared" si="22"/>
        <v>1</v>
      </c>
      <c r="AF53" s="225">
        <f t="shared" si="22"/>
        <v>1</v>
      </c>
      <c r="AG53" s="225">
        <f t="shared" si="22"/>
        <v>1</v>
      </c>
      <c r="AH53" s="225">
        <f t="shared" si="22"/>
        <v>1</v>
      </c>
      <c r="AI53" s="225">
        <f t="shared" si="22"/>
        <v>1</v>
      </c>
      <c r="AJ53" s="225">
        <f t="shared" si="22"/>
        <v>1</v>
      </c>
      <c r="AK53" s="225">
        <f t="shared" si="22"/>
        <v>1</v>
      </c>
      <c r="AL53" s="225">
        <f t="shared" si="22"/>
        <v>1</v>
      </c>
      <c r="AM53" s="225">
        <f t="shared" si="22"/>
        <v>1</v>
      </c>
      <c r="AN53" s="225">
        <f t="shared" si="22"/>
        <v>1</v>
      </c>
      <c r="AO53" s="225">
        <f t="shared" si="22"/>
        <v>1</v>
      </c>
      <c r="AP53" s="225">
        <f t="shared" si="22"/>
        <v>1</v>
      </c>
      <c r="AQ53" s="225">
        <f t="shared" si="22"/>
        <v>1</v>
      </c>
      <c r="AR53" s="225">
        <f t="shared" si="22"/>
        <v>1</v>
      </c>
      <c r="AS53" s="225">
        <f t="shared" si="22"/>
        <v>1</v>
      </c>
      <c r="AT53" s="225">
        <f t="shared" si="22"/>
        <v>1</v>
      </c>
      <c r="AU53" s="225">
        <f t="shared" si="22"/>
        <v>1</v>
      </c>
      <c r="AV53" s="225">
        <f t="shared" si="22"/>
        <v>1</v>
      </c>
      <c r="AW53" s="225">
        <f t="shared" si="22"/>
        <v>1</v>
      </c>
      <c r="AX53" s="225">
        <f t="shared" si="22"/>
        <v>1</v>
      </c>
      <c r="AY53" s="225">
        <f t="shared" si="22"/>
        <v>1</v>
      </c>
      <c r="AZ53" s="225">
        <f t="shared" si="22"/>
        <v>1</v>
      </c>
      <c r="BA53" s="225">
        <f t="shared" si="22"/>
        <v>1</v>
      </c>
      <c r="BB53" s="225">
        <f t="shared" si="22"/>
        <v>1</v>
      </c>
      <c r="BC53" s="225">
        <f t="shared" si="22"/>
        <v>1</v>
      </c>
      <c r="BD53" s="225">
        <f t="shared" si="22"/>
        <v>1</v>
      </c>
      <c r="BE53" s="225">
        <f t="shared" si="22"/>
        <v>1</v>
      </c>
      <c r="BF53" s="225">
        <f t="shared" si="22"/>
        <v>1</v>
      </c>
      <c r="BG53" s="225">
        <f t="shared" si="22"/>
        <v>1</v>
      </c>
      <c r="BH53">
        <f>Tab.plano6[[#This Row],[Data Término
Prevista]]-Tab.plano6[[#This Row],[Data Início
Previsto]]</f>
        <v>17</v>
      </c>
    </row>
    <row r="54" spans="1:60" s="163" customFormat="1" ht="18" hidden="1" customHeight="1" collapsed="1" x14ac:dyDescent="0.3">
      <c r="A54" s="220"/>
      <c r="B54" s="220" t="s">
        <v>161</v>
      </c>
      <c r="C54" s="220" t="s">
        <v>521</v>
      </c>
      <c r="D54" s="251" t="s">
        <v>399</v>
      </c>
      <c r="E54" s="251" t="s">
        <v>422</v>
      </c>
      <c r="F54" s="251" t="s">
        <v>519</v>
      </c>
      <c r="G54" s="251" t="s">
        <v>519</v>
      </c>
      <c r="H54" s="221" t="s">
        <v>466</v>
      </c>
      <c r="I54" s="260">
        <v>46174</v>
      </c>
      <c r="J54" s="260">
        <v>46175</v>
      </c>
      <c r="K54" s="260">
        <v>46142</v>
      </c>
      <c r="L54" s="260">
        <v>46146</v>
      </c>
      <c r="M54" s="231" t="s">
        <v>463</v>
      </c>
      <c r="N54" s="227" t="str" cm="1">
        <f t="array" ref="N54">_xlfn.IFS(L54&lt;$M$3,"Concluído",AND(K54&lt;=$M$3,L54&gt;=$M$3,L54&lt;=J54),"Em andamento",AND(K54&lt;=$M$3,L54&gt;=$M$3,L54&gt;J54),"Atrasado",AND(K54&gt;$M$3,I54&gt;$M$3),"Não iniciado",AND(K54&gt;$M$3,I54&lt;=$M$3),"Atrasado",TRUE,"Não iniciado")</f>
        <v>Concluído</v>
      </c>
      <c r="O54" s="231" cm="1">
        <f t="array" ref="O54">_xlfn.IFS(N54="Não iniciado",0,N54="Em andamento",1,N54="Concluído",2,N54="Atrasado",3)</f>
        <v>2</v>
      </c>
      <c r="P54" s="220"/>
      <c r="Q54" s="226" cm="1">
        <f t="array" ref="Q54">_xlfn.IFS(AND($I54&lt;$M$3,$J54&lt;$M$3),1,AND($I54&lt;=$M$3,$J54&gt;=$M$3),0.5,AND($I54&gt;=$M$3,$J54&gt;=$M$3),0)</f>
        <v>0</v>
      </c>
      <c r="R54" s="226" cm="1">
        <f t="array" ref="R54">_xlfn.IFS(AND($K54&lt;$M$3,$L54&lt;$M$3),1,AND($K54&lt;=$M$3,$L54&gt;=$M$3),0.5,AND($K54&gt;=$M$3,$L54&gt;=$M$3),0)</f>
        <v>1</v>
      </c>
      <c r="S54" s="226" cm="1">
        <f t="array" ref="S54">_xlfn.IFS(AND($K54&gt;R$7,$L54&gt;R$7),0,AND($K54&lt;=R$7,$L54&lt;=R$7),1,AND($K54&lt;=R$7,$L54&gt;R$7),((R$7-$K54)/($L54-$K54)))</f>
        <v>0</v>
      </c>
      <c r="T54" s="226" cm="1">
        <f t="array" ref="T54">_xlfn.IFS(AND($K54&gt;S$7,$L54&gt;S$7),0,AND($K54&lt;=S$7,$L54&lt;=S$7),1,AND($K54&lt;=S$7,$L54&gt;S$7),((S$7-$K54)/($L54-$K54)))</f>
        <v>0</v>
      </c>
      <c r="U54" s="226" cm="1">
        <f t="array" ref="U54">_xlfn.IFS(AND($K54&gt;T$7,$L54&gt;T$7),0,AND($K54&lt;=T$7,$L54&lt;=T$7),1,AND($K54&lt;=T$7,$L54&gt;T$7),((T$7-$K54)/($L54-$K54)))</f>
        <v>0</v>
      </c>
      <c r="V54" s="226" cm="1">
        <f t="array" ref="V54">_xlfn.IFS(AND($K54&gt;U$7,$L54&gt;U$7),0,AND($K54&lt;=U$7,$L54&lt;=U$7),1,AND($K54&lt;=U$7,$L54&gt;U$7),((U$7-$K54)/($L54-$K54)))</f>
        <v>0</v>
      </c>
      <c r="W54" s="226" cm="1">
        <f t="array" ref="W54">_xlfn.IFS(AND($K54&gt;V$7,$L54&gt;V$7),0,AND($K54&lt;=V$7,$L54&lt;=V$7),1,AND($K54&lt;=V$7,$L54&gt;V$7),((V$7-$K54)/($L54-$K54)))</f>
        <v>0</v>
      </c>
      <c r="X54" s="226" cm="1">
        <f t="array" ref="X54">_xlfn.IFS(AND($K54&gt;W$7,$L54&gt;W$7),0,AND($K54&lt;=W$7,$L54&lt;=W$7),1,AND($K54&lt;=W$7,$L54&gt;W$7),((W$7-$K54)/($L54-$K54)))</f>
        <v>0</v>
      </c>
      <c r="Y54" s="226" cm="1">
        <f t="array" ref="Y54">_xlfn.IFS(AND($K54&gt;X$7,$L54&gt;X$7),0,AND($K54&lt;=X$7,$L54&lt;=X$7),1,AND($K54&lt;=X$7,$L54&gt;X$7),((X$7-$K54)/($L54-$K54)))</f>
        <v>1</v>
      </c>
      <c r="Z54" s="226" cm="1">
        <f t="array" ref="Z54">_xlfn.IFS(AND($K54&gt;Y$7,$L54&gt;Y$7),0,AND($K54&lt;=Y$7,$L54&lt;=Y$7),1,AND($K54&lt;=Y$7,$L54&gt;Y$7),((Y$7-$K54)/($L54-$K54)))</f>
        <v>1</v>
      </c>
      <c r="AA54" s="226" cm="1">
        <f t="array" ref="AA54">_xlfn.IFS(AND($K54&gt;Z$7,$L54&gt;Z$7),0,AND($K54&lt;=Z$7,$L54&lt;=Z$7),1,AND($K54&lt;=Z$7,$L54&gt;Z$7),((Z$7-$K54)/($L54-$K54)))</f>
        <v>1</v>
      </c>
      <c r="AB54" s="226" cm="1">
        <f t="array" ref="AB54">_xlfn.IFS(AND($K54&gt;AA$7,$L54&gt;AA$7),0,AND($K54&lt;=AA$7,$L54&lt;=AA$7),1,AND($K54&lt;=AA$7,$L54&gt;AA$7),((AA$7-$K54)/($L54-$K54)))</f>
        <v>1</v>
      </c>
      <c r="AC54" s="226" cm="1">
        <f t="array" ref="AC54">_xlfn.IFS(AND($K54&gt;AB$7,$L54&gt;AB$7),0,AND($K54&lt;=AB$7,$L54&lt;=AB$7),1,AND($K54&lt;=AB$7,$L54&gt;AB$7),((AB$7-$K54)/($L54-$K54)))</f>
        <v>1</v>
      </c>
      <c r="AD54" s="226" cm="1">
        <f t="array" ref="AD54">_xlfn.IFS(AND($K54&gt;AC$7,$L54&gt;AC$7),0,AND($K54&lt;=AC$7,$L54&lt;=AC$7),1,AND($K54&lt;=AC$7,$L54&gt;AC$7),((AC$7-$K54)/($L54-$K54)))</f>
        <v>1</v>
      </c>
      <c r="AE54" s="226" cm="1">
        <f t="array" ref="AE54">_xlfn.IFS(AND($K54&gt;AD$7,$L54&gt;AD$7),0,AND($K54&lt;=AD$7,$L54&lt;=AD$7),1,AND($K54&lt;=AD$7,$L54&gt;AD$7),((AD$7-$K54)/($L54-$K54)))</f>
        <v>1</v>
      </c>
      <c r="AF54" s="226" cm="1">
        <f t="array" ref="AF54">_xlfn.IFS(AND($K54&gt;AE$7,$L54&gt;AE$7),0,AND($K54&lt;=AE$7,$L54&lt;=AE$7),1,AND($K54&lt;=AE$7,$L54&gt;AE$7),((AE$7-$K54)/($L54-$K54)))</f>
        <v>1</v>
      </c>
      <c r="AG54" s="226" cm="1">
        <f t="array" ref="AG54">_xlfn.IFS(AND($K54&gt;AF$7,$L54&gt;AF$7),0,AND($K54&lt;=AF$7,$L54&lt;=AF$7),1,AND($K54&lt;=AF$7,$L54&gt;AF$7),((AF$7-$K54)/($L54-$K54)))</f>
        <v>1</v>
      </c>
      <c r="AH54" s="226" cm="1">
        <f t="array" ref="AH54">_xlfn.IFS(AND($K54&gt;AG$7,$L54&gt;AG$7),0,AND($K54&lt;=AG$7,$L54&lt;=AG$7),1,AND($K54&lt;=AG$7,$L54&gt;AG$7),((AG$7-$K54)/($L54-$K54)))</f>
        <v>1</v>
      </c>
      <c r="AI54" s="226" cm="1">
        <f t="array" ref="AI54">_xlfn.IFS(AND($K54&gt;AH$7,$L54&gt;AH$7),0,AND($K54&lt;=AH$7,$L54&lt;=AH$7),1,AND($K54&lt;=AH$7,$L54&gt;AH$7),((AH$7-$K54)/($L54-$K54)))</f>
        <v>1</v>
      </c>
      <c r="AJ54" s="226" cm="1">
        <f t="array" ref="AJ54">_xlfn.IFS(AND($K54&gt;AI$7,$L54&gt;AI$7),0,AND($K54&lt;=AI$7,$L54&lt;=AI$7),1,AND($K54&lt;=AI$7,$L54&gt;AI$7),((AI$7-$K54)/($L54-$K54)))</f>
        <v>1</v>
      </c>
      <c r="AK54" s="226" cm="1">
        <f t="array" ref="AK54">_xlfn.IFS(AND($K54&gt;AJ$7,$L54&gt;AJ$7),0,AND($K54&lt;=AJ$7,$L54&lt;=AJ$7),1,AND($K54&lt;=AJ$7,$L54&gt;AJ$7),((AJ$7-$K54)/($L54-$K54)))</f>
        <v>1</v>
      </c>
      <c r="AL54" s="226" cm="1">
        <f t="array" ref="AL54">_xlfn.IFS(AND($K54&gt;AK$7,$L54&gt;AK$7),0,AND($K54&lt;=AK$7,$L54&lt;=AK$7),1,AND($K54&lt;=AK$7,$L54&gt;AK$7),((AK$7-$K54)/($L54-$K54)))</f>
        <v>1</v>
      </c>
      <c r="AM54" s="226" cm="1">
        <f t="array" ref="AM54">_xlfn.IFS(AND($K54&gt;AL$7,$L54&gt;AL$7),0,AND($K54&lt;=AL$7,$L54&lt;=AL$7),1,AND($K54&lt;=AL$7,$L54&gt;AL$7),((AL$7-$K54)/($L54-$K54)))</f>
        <v>1</v>
      </c>
      <c r="AN54" s="226" cm="1">
        <f t="array" ref="AN54">_xlfn.IFS(AND($K54&gt;AM$7,$L54&gt;AM$7),0,AND($K54&lt;=AM$7,$L54&lt;=AM$7),1,AND($K54&lt;=AM$7,$L54&gt;AM$7),((AM$7-$K54)/($L54-$K54)))</f>
        <v>1</v>
      </c>
      <c r="AO54" s="226" cm="1">
        <f t="array" ref="AO54">_xlfn.IFS(AND($K54&gt;AN$7,$L54&gt;AN$7),0,AND($K54&lt;=AN$7,$L54&lt;=AN$7),1,AND($K54&lt;=AN$7,$L54&gt;AN$7),((AN$7-$K54)/($L54-$K54)))</f>
        <v>1</v>
      </c>
      <c r="AP54" s="226" cm="1">
        <f t="array" ref="AP54">_xlfn.IFS(AND($K54&gt;AO$7,$L54&gt;AO$7),0,AND($K54&lt;=AO$7,$L54&lt;=AO$7),1,AND($K54&lt;=AO$7,$L54&gt;AO$7),((AO$7-$K54)/($L54-$K54)))</f>
        <v>1</v>
      </c>
      <c r="AQ54" s="226" cm="1">
        <f t="array" ref="AQ54">_xlfn.IFS(AND($K54&gt;AP$7,$L54&gt;AP$7),0,AND($K54&lt;=AP$7,$L54&lt;=AP$7),1,AND($K54&lt;=AP$7,$L54&gt;AP$7),((AP$7-$K54)/($L54-$K54)))</f>
        <v>1</v>
      </c>
      <c r="AR54" s="226" cm="1">
        <f t="array" ref="AR54">_xlfn.IFS(AND($K54&gt;AQ$7,$L54&gt;AQ$7),0,AND($K54&lt;=AQ$7,$L54&lt;=AQ$7),1,AND($K54&lt;=AQ$7,$L54&gt;AQ$7),((AQ$7-$K54)/($L54-$K54)))</f>
        <v>1</v>
      </c>
      <c r="AS54" s="226" cm="1">
        <f t="array" ref="AS54">_xlfn.IFS(AND($K54&gt;AR$7,$L54&gt;AR$7),0,AND($K54&lt;=AR$7,$L54&lt;=AR$7),1,AND($K54&lt;=AR$7,$L54&gt;AR$7),((AR$7-$K54)/($L54-$K54)))</f>
        <v>1</v>
      </c>
      <c r="AT54" s="226" cm="1">
        <f t="array" ref="AT54">_xlfn.IFS(AND($K54&gt;AS$7,$L54&gt;AS$7),0,AND($K54&lt;=AS$7,$L54&lt;=AS$7),1,AND($K54&lt;=AS$7,$L54&gt;AS$7),((AS$7-$K54)/($L54-$K54)))</f>
        <v>1</v>
      </c>
      <c r="AU54" s="226" cm="1">
        <f t="array" ref="AU54">_xlfn.IFS(AND($K54&gt;AT$7,$L54&gt;AT$7),0,AND($K54&lt;=AT$7,$L54&lt;=AT$7),1,AND($K54&lt;=AT$7,$L54&gt;AT$7),((AT$7-$K54)/($L54-$K54)))</f>
        <v>1</v>
      </c>
      <c r="AV54" s="226" cm="1">
        <f t="array" ref="AV54">_xlfn.IFS(AND($K54&gt;AU$7,$L54&gt;AU$7),0,AND($K54&lt;=AU$7,$L54&lt;=AU$7),1,AND($K54&lt;=AU$7,$L54&gt;AU$7),((AU$7-$K54)/($L54-$K54)))</f>
        <v>1</v>
      </c>
      <c r="AW54" s="226" cm="1">
        <f t="array" ref="AW54">_xlfn.IFS(AND($K54&gt;AV$7,$L54&gt;AV$7),0,AND($K54&lt;=AV$7,$L54&lt;=AV$7),1,AND($K54&lt;=AV$7,$L54&gt;AV$7),((AV$7-$K54)/($L54-$K54)))</f>
        <v>1</v>
      </c>
      <c r="AX54" s="226" cm="1">
        <f t="array" ref="AX54">_xlfn.IFS(AND($K54&gt;AW$7,$L54&gt;AW$7),0,AND($K54&lt;=AW$7,$L54&lt;=AW$7),1,AND($K54&lt;=AW$7,$L54&gt;AW$7),((AW$7-$K54)/($L54-$K54)))</f>
        <v>1</v>
      </c>
      <c r="AY54" s="226" cm="1">
        <f t="array" ref="AY54">_xlfn.IFS(AND($K54&gt;AX$7,$L54&gt;AX$7),0,AND($K54&lt;=AX$7,$L54&lt;=AX$7),1,AND($K54&lt;=AX$7,$L54&gt;AX$7),((AX$7-$K54)/($L54-$K54)))</f>
        <v>1</v>
      </c>
      <c r="AZ54" s="226" cm="1">
        <f t="array" ref="AZ54">_xlfn.IFS(AND($K54&gt;AY$7,$L54&gt;AY$7),0,AND($K54&lt;=AY$7,$L54&lt;=AY$7),1,AND($K54&lt;=AY$7,$L54&gt;AY$7),((AY$7-$K54)/($L54-$K54)))</f>
        <v>1</v>
      </c>
      <c r="BA54" s="226" cm="1">
        <f t="array" ref="BA54">_xlfn.IFS(AND($K54&gt;AZ$7,$L54&gt;AZ$7),0,AND($K54&lt;=AZ$7,$L54&lt;=AZ$7),1,AND($K54&lt;=AZ$7,$L54&gt;AZ$7),((AZ$7-$K54)/($L54-$K54)))</f>
        <v>1</v>
      </c>
      <c r="BB54" s="226" cm="1">
        <f t="array" ref="BB54">_xlfn.IFS(AND($K54&gt;BA$7,$L54&gt;BA$7),0,AND($K54&lt;=BA$7,$L54&lt;=BA$7),1,AND($K54&lt;=BA$7,$L54&gt;BA$7),((BA$7-$K54)/($L54-$K54)))</f>
        <v>1</v>
      </c>
      <c r="BC54" s="226" cm="1">
        <f t="array" ref="BC54">_xlfn.IFS(AND($K54&gt;BB$7,$L54&gt;BB$7),0,AND($K54&lt;=BB$7,$L54&lt;=BB$7),1,AND($K54&lt;=BB$7,$L54&gt;BB$7),((BB$7-$K54)/($L54-$K54)))</f>
        <v>1</v>
      </c>
      <c r="BD54" s="226" cm="1">
        <f t="array" ref="BD54">_xlfn.IFS(AND($K54&gt;BC$7,$L54&gt;BC$7),0,AND($K54&lt;=BC$7,$L54&lt;=BC$7),1,AND($K54&lt;=BC$7,$L54&gt;BC$7),((BC$7-$K54)/($L54-$K54)))</f>
        <v>1</v>
      </c>
      <c r="BE54" s="226" cm="1">
        <f t="array" ref="BE54">_xlfn.IFS(AND($K54&gt;BD$7,$L54&gt;BD$7),0,AND($K54&lt;=BD$7,$L54&lt;=BD$7),1,AND($K54&lt;=BD$7,$L54&gt;BD$7),((BD$7-$K54)/($L54-$K54)))</f>
        <v>1</v>
      </c>
      <c r="BF54" s="226" cm="1">
        <f t="array" ref="BF54">_xlfn.IFS(AND($K54&gt;BE$7,$L54&gt;BE$7),0,AND($K54&lt;=BE$7,$L54&lt;=BE$7),1,AND($K54&lt;=BE$7,$L54&gt;BE$7),((BE$7-$K54)/($L54-$K54)))</f>
        <v>1</v>
      </c>
      <c r="BG54" s="226" cm="1">
        <f t="array" ref="BG54">_xlfn.IFS(AND($K54&gt;BF$7,$L54&gt;BF$7),0,AND($K54&lt;=BF$7,$L54&lt;=BF$7),1,AND($K54&lt;=BF$7,$L54&gt;BF$7),((BF$7-$K54)/($L54-$K54)))</f>
        <v>1</v>
      </c>
      <c r="BH54">
        <f>Tab.plano6[[#This Row],[Data Término
Prevista]]-Tab.plano6[[#This Row],[Data Início
Previsto]]</f>
        <v>1</v>
      </c>
    </row>
    <row r="55" spans="1:60" s="163" customFormat="1" ht="18" hidden="1" customHeight="1" collapsed="1" x14ac:dyDescent="0.3">
      <c r="A55" s="220"/>
      <c r="B55" s="220" t="s">
        <v>161</v>
      </c>
      <c r="C55" s="220" t="s">
        <v>523</v>
      </c>
      <c r="D55" s="251" t="s">
        <v>399</v>
      </c>
      <c r="E55" s="251" t="s">
        <v>422</v>
      </c>
      <c r="F55" s="251" t="s">
        <v>519</v>
      </c>
      <c r="G55" s="251" t="s">
        <v>519</v>
      </c>
      <c r="H55" s="221" t="s">
        <v>468</v>
      </c>
      <c r="I55" s="260">
        <v>46176</v>
      </c>
      <c r="J55" s="260">
        <v>46188</v>
      </c>
      <c r="K55" s="260">
        <v>46147</v>
      </c>
      <c r="L55" s="260">
        <v>46153</v>
      </c>
      <c r="M55" s="231" t="s">
        <v>463</v>
      </c>
      <c r="N55" s="227" t="str" cm="1">
        <f t="array" ref="N55">_xlfn.IFS(L55&lt;$M$3,"Concluído",AND(K55&lt;=$M$3,L55&gt;=$M$3,L55&lt;=J55),"Em andamento",AND(K55&lt;=$M$3,L55&gt;=$M$3,L55&gt;J55),"Atrasado",AND(K55&gt;$M$3,I55&gt;$M$3),"Não iniciado",AND(K55&gt;$M$3,I55&lt;=$M$3),"Atrasado",TRUE,"Não iniciado")</f>
        <v>Concluído</v>
      </c>
      <c r="O55" s="231" cm="1">
        <f t="array" ref="O55">_xlfn.IFS(N55="Não iniciado",0,N55="Em andamento",1,N55="Concluído",2,N55="Atrasado",3)</f>
        <v>2</v>
      </c>
      <c r="P55" s="220"/>
      <c r="Q55" s="226" cm="1">
        <f t="array" ref="Q55">_xlfn.IFS(AND($I55&lt;$M$3,$J55&lt;$M$3),1,AND($I55&lt;=$M$3,$J55&gt;=$M$3),0.5,AND($I55&gt;=$M$3,$J55&gt;=$M$3),0)</f>
        <v>0</v>
      </c>
      <c r="R55" s="226" cm="1">
        <f t="array" ref="R55">_xlfn.IFS(AND($K55&lt;$M$3,$L55&lt;$M$3),1,AND($K55&lt;=$M$3,$L55&gt;=$M$3),0.5,AND($K55&gt;=$M$3,$L55&gt;=$M$3),0)</f>
        <v>1</v>
      </c>
      <c r="S55" s="226" cm="1">
        <f t="array" ref="S55">_xlfn.IFS(AND($K55&gt;R$7,$L55&gt;R$7),0,AND($K55&lt;=R$7,$L55&lt;=R$7),1,AND($K55&lt;=R$7,$L55&gt;R$7),((R$7-$K55)/($L55-$K55)))</f>
        <v>0</v>
      </c>
      <c r="T55" s="226" cm="1">
        <f t="array" ref="T55">_xlfn.IFS(AND($K55&gt;S$7,$L55&gt;S$7),0,AND($K55&lt;=S$7,$L55&lt;=S$7),1,AND($K55&lt;=S$7,$L55&gt;S$7),((S$7-$K55)/($L55-$K55)))</f>
        <v>0</v>
      </c>
      <c r="U55" s="226" cm="1">
        <f t="array" ref="U55">_xlfn.IFS(AND($K55&gt;T$7,$L55&gt;T$7),0,AND($K55&lt;=T$7,$L55&lt;=T$7),1,AND($K55&lt;=T$7,$L55&gt;T$7),((T$7-$K55)/($L55-$K55)))</f>
        <v>0</v>
      </c>
      <c r="V55" s="226" cm="1">
        <f t="array" ref="V55">_xlfn.IFS(AND($K55&gt;U$7,$L55&gt;U$7),0,AND($K55&lt;=U$7,$L55&lt;=U$7),1,AND($K55&lt;=U$7,$L55&gt;U$7),((U$7-$K55)/($L55-$K55)))</f>
        <v>0</v>
      </c>
      <c r="W55" s="226" cm="1">
        <f t="array" ref="W55">_xlfn.IFS(AND($K55&gt;V$7,$L55&gt;V$7),0,AND($K55&lt;=V$7,$L55&lt;=V$7),1,AND($K55&lt;=V$7,$L55&gt;V$7),((V$7-$K55)/($L55-$K55)))</f>
        <v>0</v>
      </c>
      <c r="X55" s="226" cm="1">
        <f t="array" ref="X55">_xlfn.IFS(AND($K55&gt;W$7,$L55&gt;W$7),0,AND($K55&lt;=W$7,$L55&lt;=W$7),1,AND($K55&lt;=W$7,$L55&gt;W$7),((W$7-$K55)/($L55-$K55)))</f>
        <v>0</v>
      </c>
      <c r="Y55" s="226" cm="1">
        <f t="array" ref="Y55">_xlfn.IFS(AND($K55&gt;X$7,$L55&gt;X$7),0,AND($K55&lt;=X$7,$L55&lt;=X$7),1,AND($K55&lt;=X$7,$L55&gt;X$7),((X$7-$K55)/($L55-$K55)))</f>
        <v>0</v>
      </c>
      <c r="Z55" s="226" cm="1">
        <f t="array" ref="Z55">_xlfn.IFS(AND($K55&gt;Y$7,$L55&gt;Y$7),0,AND($K55&lt;=Y$7,$L55&lt;=Y$7),1,AND($K55&lt;=Y$7,$L55&gt;Y$7),((Y$7-$K55)/($L55-$K55)))</f>
        <v>1</v>
      </c>
      <c r="AA55" s="226" cm="1">
        <f t="array" ref="AA55">_xlfn.IFS(AND($K55&gt;Z$7,$L55&gt;Z$7),0,AND($K55&lt;=Z$7,$L55&lt;=Z$7),1,AND($K55&lt;=Z$7,$L55&gt;Z$7),((Z$7-$K55)/($L55-$K55)))</f>
        <v>1</v>
      </c>
      <c r="AB55" s="226" cm="1">
        <f t="array" ref="AB55">_xlfn.IFS(AND($K55&gt;AA$7,$L55&gt;AA$7),0,AND($K55&lt;=AA$7,$L55&lt;=AA$7),1,AND($K55&lt;=AA$7,$L55&gt;AA$7),((AA$7-$K55)/($L55-$K55)))</f>
        <v>1</v>
      </c>
      <c r="AC55" s="226" cm="1">
        <f t="array" ref="AC55">_xlfn.IFS(AND($K55&gt;AB$7,$L55&gt;AB$7),0,AND($K55&lt;=AB$7,$L55&lt;=AB$7),1,AND($K55&lt;=AB$7,$L55&gt;AB$7),((AB$7-$K55)/($L55-$K55)))</f>
        <v>1</v>
      </c>
      <c r="AD55" s="226" cm="1">
        <f t="array" ref="AD55">_xlfn.IFS(AND($K55&gt;AC$7,$L55&gt;AC$7),0,AND($K55&lt;=AC$7,$L55&lt;=AC$7),1,AND($K55&lt;=AC$7,$L55&gt;AC$7),((AC$7-$K55)/($L55-$K55)))</f>
        <v>1</v>
      </c>
      <c r="AE55" s="226" cm="1">
        <f t="array" ref="AE55">_xlfn.IFS(AND($K55&gt;AD$7,$L55&gt;AD$7),0,AND($K55&lt;=AD$7,$L55&lt;=AD$7),1,AND($K55&lt;=AD$7,$L55&gt;AD$7),((AD$7-$K55)/($L55-$K55)))</f>
        <v>1</v>
      </c>
      <c r="AF55" s="226" cm="1">
        <f t="array" ref="AF55">_xlfn.IFS(AND($K55&gt;AE$7,$L55&gt;AE$7),0,AND($K55&lt;=AE$7,$L55&lt;=AE$7),1,AND($K55&lt;=AE$7,$L55&gt;AE$7),((AE$7-$K55)/($L55-$K55)))</f>
        <v>1</v>
      </c>
      <c r="AG55" s="226" cm="1">
        <f t="array" ref="AG55">_xlfn.IFS(AND($K55&gt;AF$7,$L55&gt;AF$7),0,AND($K55&lt;=AF$7,$L55&lt;=AF$7),1,AND($K55&lt;=AF$7,$L55&gt;AF$7),((AF$7-$K55)/($L55-$K55)))</f>
        <v>1</v>
      </c>
      <c r="AH55" s="226" cm="1">
        <f t="array" ref="AH55">_xlfn.IFS(AND($K55&gt;AG$7,$L55&gt;AG$7),0,AND($K55&lt;=AG$7,$L55&lt;=AG$7),1,AND($K55&lt;=AG$7,$L55&gt;AG$7),((AG$7-$K55)/($L55-$K55)))</f>
        <v>1</v>
      </c>
      <c r="AI55" s="226" cm="1">
        <f t="array" ref="AI55">_xlfn.IFS(AND($K55&gt;AH$7,$L55&gt;AH$7),0,AND($K55&lt;=AH$7,$L55&lt;=AH$7),1,AND($K55&lt;=AH$7,$L55&gt;AH$7),((AH$7-$K55)/($L55-$K55)))</f>
        <v>1</v>
      </c>
      <c r="AJ55" s="226" cm="1">
        <f t="array" ref="AJ55">_xlfn.IFS(AND($K55&gt;AI$7,$L55&gt;AI$7),0,AND($K55&lt;=AI$7,$L55&lt;=AI$7),1,AND($K55&lt;=AI$7,$L55&gt;AI$7),((AI$7-$K55)/($L55-$K55)))</f>
        <v>1</v>
      </c>
      <c r="AK55" s="226" cm="1">
        <f t="array" ref="AK55">_xlfn.IFS(AND($K55&gt;AJ$7,$L55&gt;AJ$7),0,AND($K55&lt;=AJ$7,$L55&lt;=AJ$7),1,AND($K55&lt;=AJ$7,$L55&gt;AJ$7),((AJ$7-$K55)/($L55-$K55)))</f>
        <v>1</v>
      </c>
      <c r="AL55" s="226" cm="1">
        <f t="array" ref="AL55">_xlfn.IFS(AND($K55&gt;AK$7,$L55&gt;AK$7),0,AND($K55&lt;=AK$7,$L55&lt;=AK$7),1,AND($K55&lt;=AK$7,$L55&gt;AK$7),((AK$7-$K55)/($L55-$K55)))</f>
        <v>1</v>
      </c>
      <c r="AM55" s="226" cm="1">
        <f t="array" ref="AM55">_xlfn.IFS(AND($K55&gt;AL$7,$L55&gt;AL$7),0,AND($K55&lt;=AL$7,$L55&lt;=AL$7),1,AND($K55&lt;=AL$7,$L55&gt;AL$7),((AL$7-$K55)/($L55-$K55)))</f>
        <v>1</v>
      </c>
      <c r="AN55" s="226" cm="1">
        <f t="array" ref="AN55">_xlfn.IFS(AND($K55&gt;AM$7,$L55&gt;AM$7),0,AND($K55&lt;=AM$7,$L55&lt;=AM$7),1,AND($K55&lt;=AM$7,$L55&gt;AM$7),((AM$7-$K55)/($L55-$K55)))</f>
        <v>1</v>
      </c>
      <c r="AO55" s="226" cm="1">
        <f t="array" ref="AO55">_xlfn.IFS(AND($K55&gt;AN$7,$L55&gt;AN$7),0,AND($K55&lt;=AN$7,$L55&lt;=AN$7),1,AND($K55&lt;=AN$7,$L55&gt;AN$7),((AN$7-$K55)/($L55-$K55)))</f>
        <v>1</v>
      </c>
      <c r="AP55" s="226" cm="1">
        <f t="array" ref="AP55">_xlfn.IFS(AND($K55&gt;AO$7,$L55&gt;AO$7),0,AND($K55&lt;=AO$7,$L55&lt;=AO$7),1,AND($K55&lt;=AO$7,$L55&gt;AO$7),((AO$7-$K55)/($L55-$K55)))</f>
        <v>1</v>
      </c>
      <c r="AQ55" s="226" cm="1">
        <f t="array" ref="AQ55">_xlfn.IFS(AND($K55&gt;AP$7,$L55&gt;AP$7),0,AND($K55&lt;=AP$7,$L55&lt;=AP$7),1,AND($K55&lt;=AP$7,$L55&gt;AP$7),((AP$7-$K55)/($L55-$K55)))</f>
        <v>1</v>
      </c>
      <c r="AR55" s="226" cm="1">
        <f t="array" ref="AR55">_xlfn.IFS(AND($K55&gt;AQ$7,$L55&gt;AQ$7),0,AND($K55&lt;=AQ$7,$L55&lt;=AQ$7),1,AND($K55&lt;=AQ$7,$L55&gt;AQ$7),((AQ$7-$K55)/($L55-$K55)))</f>
        <v>1</v>
      </c>
      <c r="AS55" s="226" cm="1">
        <f t="array" ref="AS55">_xlfn.IFS(AND($K55&gt;AR$7,$L55&gt;AR$7),0,AND($K55&lt;=AR$7,$L55&lt;=AR$7),1,AND($K55&lt;=AR$7,$L55&gt;AR$7),((AR$7-$K55)/($L55-$K55)))</f>
        <v>1</v>
      </c>
      <c r="AT55" s="226" cm="1">
        <f t="array" ref="AT55">_xlfn.IFS(AND($K55&gt;AS$7,$L55&gt;AS$7),0,AND($K55&lt;=AS$7,$L55&lt;=AS$7),1,AND($K55&lt;=AS$7,$L55&gt;AS$7),((AS$7-$K55)/($L55-$K55)))</f>
        <v>1</v>
      </c>
      <c r="AU55" s="226" cm="1">
        <f t="array" ref="AU55">_xlfn.IFS(AND($K55&gt;AT$7,$L55&gt;AT$7),0,AND($K55&lt;=AT$7,$L55&lt;=AT$7),1,AND($K55&lt;=AT$7,$L55&gt;AT$7),((AT$7-$K55)/($L55-$K55)))</f>
        <v>1</v>
      </c>
      <c r="AV55" s="226" cm="1">
        <f t="array" ref="AV55">_xlfn.IFS(AND($K55&gt;AU$7,$L55&gt;AU$7),0,AND($K55&lt;=AU$7,$L55&lt;=AU$7),1,AND($K55&lt;=AU$7,$L55&gt;AU$7),((AU$7-$K55)/($L55-$K55)))</f>
        <v>1</v>
      </c>
      <c r="AW55" s="226" cm="1">
        <f t="array" ref="AW55">_xlfn.IFS(AND($K55&gt;AV$7,$L55&gt;AV$7),0,AND($K55&lt;=AV$7,$L55&lt;=AV$7),1,AND($K55&lt;=AV$7,$L55&gt;AV$7),((AV$7-$K55)/($L55-$K55)))</f>
        <v>1</v>
      </c>
      <c r="AX55" s="226" cm="1">
        <f t="array" ref="AX55">_xlfn.IFS(AND($K55&gt;AW$7,$L55&gt;AW$7),0,AND($K55&lt;=AW$7,$L55&lt;=AW$7),1,AND($K55&lt;=AW$7,$L55&gt;AW$7),((AW$7-$K55)/($L55-$K55)))</f>
        <v>1</v>
      </c>
      <c r="AY55" s="226" cm="1">
        <f t="array" ref="AY55">_xlfn.IFS(AND($K55&gt;AX$7,$L55&gt;AX$7),0,AND($K55&lt;=AX$7,$L55&lt;=AX$7),1,AND($K55&lt;=AX$7,$L55&gt;AX$7),((AX$7-$K55)/($L55-$K55)))</f>
        <v>1</v>
      </c>
      <c r="AZ55" s="226" cm="1">
        <f t="array" ref="AZ55">_xlfn.IFS(AND($K55&gt;AY$7,$L55&gt;AY$7),0,AND($K55&lt;=AY$7,$L55&lt;=AY$7),1,AND($K55&lt;=AY$7,$L55&gt;AY$7),((AY$7-$K55)/($L55-$K55)))</f>
        <v>1</v>
      </c>
      <c r="BA55" s="226" cm="1">
        <f t="array" ref="BA55">_xlfn.IFS(AND($K55&gt;AZ$7,$L55&gt;AZ$7),0,AND($K55&lt;=AZ$7,$L55&lt;=AZ$7),1,AND($K55&lt;=AZ$7,$L55&gt;AZ$7),((AZ$7-$K55)/($L55-$K55)))</f>
        <v>1</v>
      </c>
      <c r="BB55" s="226" cm="1">
        <f t="array" ref="BB55">_xlfn.IFS(AND($K55&gt;BA$7,$L55&gt;BA$7),0,AND($K55&lt;=BA$7,$L55&lt;=BA$7),1,AND($K55&lt;=BA$7,$L55&gt;BA$7),((BA$7-$K55)/($L55-$K55)))</f>
        <v>1</v>
      </c>
      <c r="BC55" s="226" cm="1">
        <f t="array" ref="BC55">_xlfn.IFS(AND($K55&gt;BB$7,$L55&gt;BB$7),0,AND($K55&lt;=BB$7,$L55&lt;=BB$7),1,AND($K55&lt;=BB$7,$L55&gt;BB$7),((BB$7-$K55)/($L55-$K55)))</f>
        <v>1</v>
      </c>
      <c r="BD55" s="226" cm="1">
        <f t="array" ref="BD55">_xlfn.IFS(AND($K55&gt;BC$7,$L55&gt;BC$7),0,AND($K55&lt;=BC$7,$L55&lt;=BC$7),1,AND($K55&lt;=BC$7,$L55&gt;BC$7),((BC$7-$K55)/($L55-$K55)))</f>
        <v>1</v>
      </c>
      <c r="BE55" s="226" cm="1">
        <f t="array" ref="BE55">_xlfn.IFS(AND($K55&gt;BD$7,$L55&gt;BD$7),0,AND($K55&lt;=BD$7,$L55&lt;=BD$7),1,AND($K55&lt;=BD$7,$L55&gt;BD$7),((BD$7-$K55)/($L55-$K55)))</f>
        <v>1</v>
      </c>
      <c r="BF55" s="226" cm="1">
        <f t="array" ref="BF55">_xlfn.IFS(AND($K55&gt;BE$7,$L55&gt;BE$7),0,AND($K55&lt;=BE$7,$L55&lt;=BE$7),1,AND($K55&lt;=BE$7,$L55&gt;BE$7),((BE$7-$K55)/($L55-$K55)))</f>
        <v>1</v>
      </c>
      <c r="BG55" s="226" cm="1">
        <f t="array" ref="BG55">_xlfn.IFS(AND($K55&gt;BF$7,$L55&gt;BF$7),0,AND($K55&lt;=BF$7,$L55&lt;=BF$7),1,AND($K55&lt;=BF$7,$L55&gt;BF$7),((BF$7-$K55)/($L55-$K55)))</f>
        <v>1</v>
      </c>
      <c r="BH55">
        <f>Tab.plano6[[#This Row],[Data Término
Prevista]]-Tab.plano6[[#This Row],[Data Início
Previsto]]</f>
        <v>12</v>
      </c>
    </row>
    <row r="56" spans="1:60" s="163" customFormat="1" ht="18" hidden="1" customHeight="1" collapsed="1" x14ac:dyDescent="0.3">
      <c r="A56" s="220"/>
      <c r="B56" s="220" t="s">
        <v>161</v>
      </c>
      <c r="C56" s="220" t="s">
        <v>525</v>
      </c>
      <c r="D56" s="251" t="s">
        <v>399</v>
      </c>
      <c r="E56" s="251" t="s">
        <v>422</v>
      </c>
      <c r="F56" s="251" t="s">
        <v>519</v>
      </c>
      <c r="G56" s="251" t="s">
        <v>519</v>
      </c>
      <c r="H56" s="268" t="s">
        <v>800</v>
      </c>
      <c r="I56" s="260">
        <v>46189</v>
      </c>
      <c r="J56" s="260">
        <v>46191</v>
      </c>
      <c r="K56" s="260">
        <v>46154</v>
      </c>
      <c r="L56" s="260">
        <v>46171</v>
      </c>
      <c r="M56" s="231" t="s">
        <v>463</v>
      </c>
      <c r="N56" s="227" t="str" cm="1">
        <f t="array" ref="N56">_xlfn.IFS(L56&lt;$M$3,"Concluído",AND(K56&lt;=$M$3,L56&gt;=$M$3,L56&lt;=J56),"Em andamento",AND(K56&lt;=$M$3,L56&gt;=$M$3,L56&gt;J56),"Atrasado",AND(K56&gt;$M$3,I56&gt;$M$3),"Não iniciado",AND(K56&gt;$M$3,I56&lt;=$M$3),"Atrasado",TRUE,"Não iniciado")</f>
        <v>Em andamento</v>
      </c>
      <c r="O56" s="231" cm="1">
        <f t="array" ref="O56">_xlfn.IFS(N56="Não iniciado",0,N56="Em andamento",1,N56="Concluído",2,N56="Atrasado",3)</f>
        <v>1</v>
      </c>
      <c r="P56" s="220"/>
      <c r="Q56" s="226" cm="1">
        <f t="array" ref="Q56">_xlfn.IFS(AND($I56&lt;$M$3,$J56&lt;$M$3),1,AND($I56&lt;=$M$3,$J56&gt;=$M$3),0.5,AND($I56&gt;=$M$3,$J56&gt;=$M$3),0)</f>
        <v>0</v>
      </c>
      <c r="R56" s="226" cm="1">
        <f t="array" ref="R56">_xlfn.IFS(AND($K56&lt;$M$3,$L56&lt;$M$3),1,AND($K56&lt;=$M$3,$L56&gt;=$M$3),0.5,AND($K56&gt;=$M$3,$L56&gt;=$M$3),0)</f>
        <v>0.5</v>
      </c>
      <c r="S56" s="226" cm="1">
        <f t="array" ref="S56">_xlfn.IFS(AND($K56&gt;R$7,$L56&gt;R$7),0,AND($K56&lt;=R$7,$L56&lt;=R$7),1,AND($K56&lt;=R$7,$L56&gt;R$7),((R$7-$K56)/($L56-$K56)))</f>
        <v>0</v>
      </c>
      <c r="T56" s="226" cm="1">
        <f t="array" ref="T56">_xlfn.IFS(AND($K56&gt;S$7,$L56&gt;S$7),0,AND($K56&lt;=S$7,$L56&lt;=S$7),1,AND($K56&lt;=S$7,$L56&gt;S$7),((S$7-$K56)/($L56-$K56)))</f>
        <v>0</v>
      </c>
      <c r="U56" s="226" cm="1">
        <f t="array" ref="U56">_xlfn.IFS(AND($K56&gt;T$7,$L56&gt;T$7),0,AND($K56&lt;=T$7,$L56&lt;=T$7),1,AND($K56&lt;=T$7,$L56&gt;T$7),((T$7-$K56)/($L56-$K56)))</f>
        <v>0</v>
      </c>
      <c r="V56" s="226" cm="1">
        <f t="array" ref="V56">_xlfn.IFS(AND($K56&gt;U$7,$L56&gt;U$7),0,AND($K56&lt;=U$7,$L56&lt;=U$7),1,AND($K56&lt;=U$7,$L56&gt;U$7),((U$7-$K56)/($L56-$K56)))</f>
        <v>0</v>
      </c>
      <c r="W56" s="226" cm="1">
        <f t="array" ref="W56">_xlfn.IFS(AND($K56&gt;V$7,$L56&gt;V$7),0,AND($K56&lt;=V$7,$L56&lt;=V$7),1,AND($K56&lt;=V$7,$L56&gt;V$7),((V$7-$K56)/($L56-$K56)))</f>
        <v>0</v>
      </c>
      <c r="X56" s="226" cm="1">
        <f t="array" ref="X56">_xlfn.IFS(AND($K56&gt;W$7,$L56&gt;W$7),0,AND($K56&lt;=W$7,$L56&lt;=W$7),1,AND($K56&lt;=W$7,$L56&gt;W$7),((W$7-$K56)/($L56-$K56)))</f>
        <v>0</v>
      </c>
      <c r="Y56" s="226" cm="1">
        <f t="array" ref="Y56">_xlfn.IFS(AND($K56&gt;X$7,$L56&gt;X$7),0,AND($K56&lt;=X$7,$L56&lt;=X$7),1,AND($K56&lt;=X$7,$L56&gt;X$7),((X$7-$K56)/($L56-$K56)))</f>
        <v>0</v>
      </c>
      <c r="Z56" s="226" cm="1">
        <f t="array" ref="Z56">_xlfn.IFS(AND($K56&gt;Y$7,$L56&gt;Y$7),0,AND($K56&lt;=Y$7,$L56&lt;=Y$7),1,AND($K56&lt;=Y$7,$L56&gt;Y$7),((Y$7-$K56)/($L56-$K56)))</f>
        <v>0</v>
      </c>
      <c r="AA56" s="226" cm="1">
        <f t="array" ref="AA56">_xlfn.IFS(AND($K56&gt;Z$7,$L56&gt;Z$7),0,AND($K56&lt;=Z$7,$L56&lt;=Z$7),1,AND($K56&lt;=Z$7,$L56&gt;Z$7),((Z$7-$K56)/($L56-$K56)))</f>
        <v>0.35294117647058826</v>
      </c>
      <c r="AB56" s="226" cm="1">
        <f t="array" ref="AB56">_xlfn.IFS(AND($K56&gt;AA$7,$L56&gt;AA$7),0,AND($K56&lt;=AA$7,$L56&lt;=AA$7),1,AND($K56&lt;=AA$7,$L56&gt;AA$7),((AA$7-$K56)/($L56-$K56)))</f>
        <v>0.76470588235294112</v>
      </c>
      <c r="AC56" s="226" cm="1">
        <f t="array" ref="AC56">_xlfn.IFS(AND($K56&gt;AB$7,$L56&gt;AB$7),0,AND($K56&lt;=AB$7,$L56&lt;=AB$7),1,AND($K56&lt;=AB$7,$L56&gt;AB$7),((AB$7-$K56)/($L56-$K56)))</f>
        <v>1</v>
      </c>
      <c r="AD56" s="226" cm="1">
        <f t="array" ref="AD56">_xlfn.IFS(AND($K56&gt;AC$7,$L56&gt;AC$7),0,AND($K56&lt;=AC$7,$L56&lt;=AC$7),1,AND($K56&lt;=AC$7,$L56&gt;AC$7),((AC$7-$K56)/($L56-$K56)))</f>
        <v>1</v>
      </c>
      <c r="AE56" s="226" cm="1">
        <f t="array" ref="AE56">_xlfn.IFS(AND($K56&gt;AD$7,$L56&gt;AD$7),0,AND($K56&lt;=AD$7,$L56&lt;=AD$7),1,AND($K56&lt;=AD$7,$L56&gt;AD$7),((AD$7-$K56)/($L56-$K56)))</f>
        <v>1</v>
      </c>
      <c r="AF56" s="226" cm="1">
        <f t="array" ref="AF56">_xlfn.IFS(AND($K56&gt;AE$7,$L56&gt;AE$7),0,AND($K56&lt;=AE$7,$L56&lt;=AE$7),1,AND($K56&lt;=AE$7,$L56&gt;AE$7),((AE$7-$K56)/($L56-$K56)))</f>
        <v>1</v>
      </c>
      <c r="AG56" s="226" cm="1">
        <f t="array" ref="AG56">_xlfn.IFS(AND($K56&gt;AF$7,$L56&gt;AF$7),0,AND($K56&lt;=AF$7,$L56&lt;=AF$7),1,AND($K56&lt;=AF$7,$L56&gt;AF$7),((AF$7-$K56)/($L56-$K56)))</f>
        <v>1</v>
      </c>
      <c r="AH56" s="226" cm="1">
        <f t="array" ref="AH56">_xlfn.IFS(AND($K56&gt;AG$7,$L56&gt;AG$7),0,AND($K56&lt;=AG$7,$L56&lt;=AG$7),1,AND($K56&lt;=AG$7,$L56&gt;AG$7),((AG$7-$K56)/($L56-$K56)))</f>
        <v>1</v>
      </c>
      <c r="AI56" s="226" cm="1">
        <f t="array" ref="AI56">_xlfn.IFS(AND($K56&gt;AH$7,$L56&gt;AH$7),0,AND($K56&lt;=AH$7,$L56&lt;=AH$7),1,AND($K56&lt;=AH$7,$L56&gt;AH$7),((AH$7-$K56)/($L56-$K56)))</f>
        <v>1</v>
      </c>
      <c r="AJ56" s="226" cm="1">
        <f t="array" ref="AJ56">_xlfn.IFS(AND($K56&gt;AI$7,$L56&gt;AI$7),0,AND($K56&lt;=AI$7,$L56&lt;=AI$7),1,AND($K56&lt;=AI$7,$L56&gt;AI$7),((AI$7-$K56)/($L56-$K56)))</f>
        <v>1</v>
      </c>
      <c r="AK56" s="226" cm="1">
        <f t="array" ref="AK56">_xlfn.IFS(AND($K56&gt;AJ$7,$L56&gt;AJ$7),0,AND($K56&lt;=AJ$7,$L56&lt;=AJ$7),1,AND($K56&lt;=AJ$7,$L56&gt;AJ$7),((AJ$7-$K56)/($L56-$K56)))</f>
        <v>1</v>
      </c>
      <c r="AL56" s="226" cm="1">
        <f t="array" ref="AL56">_xlfn.IFS(AND($K56&gt;AK$7,$L56&gt;AK$7),0,AND($K56&lt;=AK$7,$L56&lt;=AK$7),1,AND($K56&lt;=AK$7,$L56&gt;AK$7),((AK$7-$K56)/($L56-$K56)))</f>
        <v>1</v>
      </c>
      <c r="AM56" s="226" cm="1">
        <f t="array" ref="AM56">_xlfn.IFS(AND($K56&gt;AL$7,$L56&gt;AL$7),0,AND($K56&lt;=AL$7,$L56&lt;=AL$7),1,AND($K56&lt;=AL$7,$L56&gt;AL$7),((AL$7-$K56)/($L56-$K56)))</f>
        <v>1</v>
      </c>
      <c r="AN56" s="226" cm="1">
        <f t="array" ref="AN56">_xlfn.IFS(AND($K56&gt;AM$7,$L56&gt;AM$7),0,AND($K56&lt;=AM$7,$L56&lt;=AM$7),1,AND($K56&lt;=AM$7,$L56&gt;AM$7),((AM$7-$K56)/($L56-$K56)))</f>
        <v>1</v>
      </c>
      <c r="AO56" s="226" cm="1">
        <f t="array" ref="AO56">_xlfn.IFS(AND($K56&gt;AN$7,$L56&gt;AN$7),0,AND($K56&lt;=AN$7,$L56&lt;=AN$7),1,AND($K56&lt;=AN$7,$L56&gt;AN$7),((AN$7-$K56)/($L56-$K56)))</f>
        <v>1</v>
      </c>
      <c r="AP56" s="226" cm="1">
        <f t="array" ref="AP56">_xlfn.IFS(AND($K56&gt;AO$7,$L56&gt;AO$7),0,AND($K56&lt;=AO$7,$L56&lt;=AO$7),1,AND($K56&lt;=AO$7,$L56&gt;AO$7),((AO$7-$K56)/($L56-$K56)))</f>
        <v>1</v>
      </c>
      <c r="AQ56" s="226" cm="1">
        <f t="array" ref="AQ56">_xlfn.IFS(AND($K56&gt;AP$7,$L56&gt;AP$7),0,AND($K56&lt;=AP$7,$L56&lt;=AP$7),1,AND($K56&lt;=AP$7,$L56&gt;AP$7),((AP$7-$K56)/($L56-$K56)))</f>
        <v>1</v>
      </c>
      <c r="AR56" s="226" cm="1">
        <f t="array" ref="AR56">_xlfn.IFS(AND($K56&gt;AQ$7,$L56&gt;AQ$7),0,AND($K56&lt;=AQ$7,$L56&lt;=AQ$7),1,AND($K56&lt;=AQ$7,$L56&gt;AQ$7),((AQ$7-$K56)/($L56-$K56)))</f>
        <v>1</v>
      </c>
      <c r="AS56" s="226" cm="1">
        <f t="array" ref="AS56">_xlfn.IFS(AND($K56&gt;AR$7,$L56&gt;AR$7),0,AND($K56&lt;=AR$7,$L56&lt;=AR$7),1,AND($K56&lt;=AR$7,$L56&gt;AR$7),((AR$7-$K56)/($L56-$K56)))</f>
        <v>1</v>
      </c>
      <c r="AT56" s="226" cm="1">
        <f t="array" ref="AT56">_xlfn.IFS(AND($K56&gt;AS$7,$L56&gt;AS$7),0,AND($K56&lt;=AS$7,$L56&lt;=AS$7),1,AND($K56&lt;=AS$7,$L56&gt;AS$7),((AS$7-$K56)/($L56-$K56)))</f>
        <v>1</v>
      </c>
      <c r="AU56" s="226" cm="1">
        <f t="array" ref="AU56">_xlfn.IFS(AND($K56&gt;AT$7,$L56&gt;AT$7),0,AND($K56&lt;=AT$7,$L56&lt;=AT$7),1,AND($K56&lt;=AT$7,$L56&gt;AT$7),((AT$7-$K56)/($L56-$K56)))</f>
        <v>1</v>
      </c>
      <c r="AV56" s="226" cm="1">
        <f t="array" ref="AV56">_xlfn.IFS(AND($K56&gt;AU$7,$L56&gt;AU$7),0,AND($K56&lt;=AU$7,$L56&lt;=AU$7),1,AND($K56&lt;=AU$7,$L56&gt;AU$7),((AU$7-$K56)/($L56-$K56)))</f>
        <v>1</v>
      </c>
      <c r="AW56" s="226" cm="1">
        <f t="array" ref="AW56">_xlfn.IFS(AND($K56&gt;AV$7,$L56&gt;AV$7),0,AND($K56&lt;=AV$7,$L56&lt;=AV$7),1,AND($K56&lt;=AV$7,$L56&gt;AV$7),((AV$7-$K56)/($L56-$K56)))</f>
        <v>1</v>
      </c>
      <c r="AX56" s="226" cm="1">
        <f t="array" ref="AX56">_xlfn.IFS(AND($K56&gt;AW$7,$L56&gt;AW$7),0,AND($K56&lt;=AW$7,$L56&lt;=AW$7),1,AND($K56&lt;=AW$7,$L56&gt;AW$7),((AW$7-$K56)/($L56-$K56)))</f>
        <v>1</v>
      </c>
      <c r="AY56" s="226" cm="1">
        <f t="array" ref="AY56">_xlfn.IFS(AND($K56&gt;AX$7,$L56&gt;AX$7),0,AND($K56&lt;=AX$7,$L56&lt;=AX$7),1,AND($K56&lt;=AX$7,$L56&gt;AX$7),((AX$7-$K56)/($L56-$K56)))</f>
        <v>1</v>
      </c>
      <c r="AZ56" s="226" cm="1">
        <f t="array" ref="AZ56">_xlfn.IFS(AND($K56&gt;AY$7,$L56&gt;AY$7),0,AND($K56&lt;=AY$7,$L56&lt;=AY$7),1,AND($K56&lt;=AY$7,$L56&gt;AY$7),((AY$7-$K56)/($L56-$K56)))</f>
        <v>1</v>
      </c>
      <c r="BA56" s="226" cm="1">
        <f t="array" ref="BA56">_xlfn.IFS(AND($K56&gt;AZ$7,$L56&gt;AZ$7),0,AND($K56&lt;=AZ$7,$L56&lt;=AZ$7),1,AND($K56&lt;=AZ$7,$L56&gt;AZ$7),((AZ$7-$K56)/($L56-$K56)))</f>
        <v>1</v>
      </c>
      <c r="BB56" s="226" cm="1">
        <f t="array" ref="BB56">_xlfn.IFS(AND($K56&gt;BA$7,$L56&gt;BA$7),0,AND($K56&lt;=BA$7,$L56&lt;=BA$7),1,AND($K56&lt;=BA$7,$L56&gt;BA$7),((BA$7-$K56)/($L56-$K56)))</f>
        <v>1</v>
      </c>
      <c r="BC56" s="226" cm="1">
        <f t="array" ref="BC56">_xlfn.IFS(AND($K56&gt;BB$7,$L56&gt;BB$7),0,AND($K56&lt;=BB$7,$L56&lt;=BB$7),1,AND($K56&lt;=BB$7,$L56&gt;BB$7),((BB$7-$K56)/($L56-$K56)))</f>
        <v>1</v>
      </c>
      <c r="BD56" s="226" cm="1">
        <f t="array" ref="BD56">_xlfn.IFS(AND($K56&gt;BC$7,$L56&gt;BC$7),0,AND($K56&lt;=BC$7,$L56&lt;=BC$7),1,AND($K56&lt;=BC$7,$L56&gt;BC$7),((BC$7-$K56)/($L56-$K56)))</f>
        <v>1</v>
      </c>
      <c r="BE56" s="226" cm="1">
        <f t="array" ref="BE56">_xlfn.IFS(AND($K56&gt;BD$7,$L56&gt;BD$7),0,AND($K56&lt;=BD$7,$L56&lt;=BD$7),1,AND($K56&lt;=BD$7,$L56&gt;BD$7),((BD$7-$K56)/($L56-$K56)))</f>
        <v>1</v>
      </c>
      <c r="BF56" s="226" cm="1">
        <f t="array" ref="BF56">_xlfn.IFS(AND($K56&gt;BE$7,$L56&gt;BE$7),0,AND($K56&lt;=BE$7,$L56&lt;=BE$7),1,AND($K56&lt;=BE$7,$L56&gt;BE$7),((BE$7-$K56)/($L56-$K56)))</f>
        <v>1</v>
      </c>
      <c r="BG56" s="226" cm="1">
        <f t="array" ref="BG56">_xlfn.IFS(AND($K56&gt;BF$7,$L56&gt;BF$7),0,AND($K56&lt;=BF$7,$L56&lt;=BF$7),1,AND($K56&lt;=BF$7,$L56&gt;BF$7),((BF$7-$K56)/($L56-$K56)))</f>
        <v>1</v>
      </c>
      <c r="BH56" s="163">
        <f>Tab.plano6[[#This Row],[Data Término
Prevista]]-Tab.plano6[[#This Row],[Data Início
Previsto]]</f>
        <v>2</v>
      </c>
    </row>
    <row r="57" spans="1:60" s="163" customFormat="1" ht="18" hidden="1" customHeight="1" x14ac:dyDescent="0.3">
      <c r="A57" s="216"/>
      <c r="B57" s="216" t="s">
        <v>12</v>
      </c>
      <c r="C57" s="216" t="s">
        <v>526</v>
      </c>
      <c r="D57" s="249" t="s">
        <v>399</v>
      </c>
      <c r="E57" s="249" t="s">
        <v>422</v>
      </c>
      <c r="F57" s="249" t="s">
        <v>74</v>
      </c>
      <c r="G57" s="249" t="s">
        <v>74</v>
      </c>
      <c r="H57" s="217" t="s">
        <v>840</v>
      </c>
      <c r="I57" s="257">
        <f>I58</f>
        <v>46154</v>
      </c>
      <c r="J57" s="257">
        <f>J58</f>
        <v>46192</v>
      </c>
      <c r="K57" s="257">
        <f>K58</f>
        <v>46154</v>
      </c>
      <c r="L57" s="257">
        <f>L58</f>
        <v>46192</v>
      </c>
      <c r="M57" s="229" t="s">
        <v>503</v>
      </c>
      <c r="N57" s="227" t="str" cm="1">
        <f t="array" ref="N57">_xlfn.IFS(L57&lt;$M$3,"Concluído",AND(K57&lt;=$M$3,L57&gt;=$M$3,L57&lt;=J57),"Em andamento",AND(K57&lt;=$M$3,L57&gt;=$M$3,L57&gt;J57),"Atrasado",AND(K57&gt;$M$3,I57&gt;$M$3),"Não iniciado",AND(K57&gt;$M$3,I57&lt;=$M$3),"Atrasado",TRUE,"Não iniciado")</f>
        <v>Em andamento</v>
      </c>
      <c r="O57" s="229" cm="1">
        <f t="array" ref="O57">_xlfn.IFS(N57="Não iniciado",0,N57="Em andamento",1,N57="Concluído",2,N57="Atrasado",3)</f>
        <v>1</v>
      </c>
      <c r="P57" s="216"/>
      <c r="Q57" s="224">
        <f t="shared" ref="Q57:BG57" si="23">Q58</f>
        <v>0.5</v>
      </c>
      <c r="R57" s="224">
        <f t="shared" si="23"/>
        <v>0.5</v>
      </c>
      <c r="S57" s="224">
        <f t="shared" si="23"/>
        <v>0</v>
      </c>
      <c r="T57" s="224">
        <f t="shared" si="23"/>
        <v>0</v>
      </c>
      <c r="U57" s="224">
        <f t="shared" si="23"/>
        <v>0</v>
      </c>
      <c r="V57" s="224">
        <f t="shared" si="23"/>
        <v>0</v>
      </c>
      <c r="W57" s="224">
        <f t="shared" si="23"/>
        <v>0</v>
      </c>
      <c r="X57" s="224">
        <f t="shared" si="23"/>
        <v>0</v>
      </c>
      <c r="Y57" s="224">
        <f t="shared" si="23"/>
        <v>0</v>
      </c>
      <c r="Z57" s="224">
        <f t="shared" si="23"/>
        <v>0</v>
      </c>
      <c r="AA57" s="224">
        <f t="shared" si="23"/>
        <v>0.3737373737373737</v>
      </c>
      <c r="AB57" s="224">
        <f t="shared" si="23"/>
        <v>0.44444444444444442</v>
      </c>
      <c r="AC57" s="224">
        <f t="shared" si="23"/>
        <v>0.51515151515151514</v>
      </c>
      <c r="AD57" s="224">
        <f t="shared" si="23"/>
        <v>0.58585858585858586</v>
      </c>
      <c r="AE57" s="224">
        <f t="shared" si="23"/>
        <v>0.65656565656565657</v>
      </c>
      <c r="AF57" s="224">
        <f t="shared" si="23"/>
        <v>1</v>
      </c>
      <c r="AG57" s="224">
        <f t="shared" si="23"/>
        <v>1</v>
      </c>
      <c r="AH57" s="224">
        <f t="shared" si="23"/>
        <v>1</v>
      </c>
      <c r="AI57" s="224">
        <f t="shared" si="23"/>
        <v>1</v>
      </c>
      <c r="AJ57" s="224">
        <f t="shared" si="23"/>
        <v>1</v>
      </c>
      <c r="AK57" s="224">
        <f t="shared" si="23"/>
        <v>1</v>
      </c>
      <c r="AL57" s="224">
        <f t="shared" si="23"/>
        <v>1</v>
      </c>
      <c r="AM57" s="224">
        <f t="shared" si="23"/>
        <v>1</v>
      </c>
      <c r="AN57" s="224">
        <f t="shared" si="23"/>
        <v>1</v>
      </c>
      <c r="AO57" s="224">
        <f t="shared" si="23"/>
        <v>1</v>
      </c>
      <c r="AP57" s="224">
        <f t="shared" si="23"/>
        <v>1</v>
      </c>
      <c r="AQ57" s="224">
        <f t="shared" si="23"/>
        <v>1</v>
      </c>
      <c r="AR57" s="224">
        <f t="shared" si="23"/>
        <v>1</v>
      </c>
      <c r="AS57" s="224">
        <f t="shared" si="23"/>
        <v>1</v>
      </c>
      <c r="AT57" s="224">
        <f t="shared" si="23"/>
        <v>1</v>
      </c>
      <c r="AU57" s="224">
        <f t="shared" si="23"/>
        <v>1</v>
      </c>
      <c r="AV57" s="224">
        <f t="shared" si="23"/>
        <v>1</v>
      </c>
      <c r="AW57" s="224">
        <f t="shared" si="23"/>
        <v>1</v>
      </c>
      <c r="AX57" s="224">
        <f t="shared" si="23"/>
        <v>1</v>
      </c>
      <c r="AY57" s="224">
        <f t="shared" si="23"/>
        <v>1</v>
      </c>
      <c r="AZ57" s="224">
        <f t="shared" si="23"/>
        <v>1</v>
      </c>
      <c r="BA57" s="224">
        <f t="shared" si="23"/>
        <v>1</v>
      </c>
      <c r="BB57" s="224">
        <f t="shared" si="23"/>
        <v>1</v>
      </c>
      <c r="BC57" s="224">
        <f t="shared" si="23"/>
        <v>1</v>
      </c>
      <c r="BD57" s="224">
        <f t="shared" si="23"/>
        <v>1</v>
      </c>
      <c r="BE57" s="224">
        <f t="shared" si="23"/>
        <v>1</v>
      </c>
      <c r="BF57" s="224">
        <f t="shared" si="23"/>
        <v>1</v>
      </c>
      <c r="BG57" s="224">
        <f t="shared" si="23"/>
        <v>1</v>
      </c>
      <c r="BH57">
        <f>Tab.plano6[[#This Row],[Data Término
Prevista]]-Tab.plano6[[#This Row],[Data Início
Previsto]]</f>
        <v>38</v>
      </c>
    </row>
    <row r="58" spans="1:60" s="163" customFormat="1" ht="18" hidden="1" customHeight="1" x14ac:dyDescent="0.3">
      <c r="A58" s="218"/>
      <c r="B58" s="218" t="s">
        <v>13</v>
      </c>
      <c r="C58" s="218" t="s">
        <v>528</v>
      </c>
      <c r="D58" s="250" t="s">
        <v>399</v>
      </c>
      <c r="E58" s="250" t="s">
        <v>422</v>
      </c>
      <c r="F58" s="250" t="s">
        <v>527</v>
      </c>
      <c r="G58" s="250" t="s">
        <v>74</v>
      </c>
      <c r="H58" s="219" t="s">
        <v>840</v>
      </c>
      <c r="I58" s="258">
        <f>MIN(I59:I61)</f>
        <v>46154</v>
      </c>
      <c r="J58" s="258">
        <f>MAX(J59:J61)</f>
        <v>46192</v>
      </c>
      <c r="K58" s="258">
        <f>MIN(K59:K61)</f>
        <v>46154</v>
      </c>
      <c r="L58" s="258">
        <f>MAX(L59:L61)</f>
        <v>46192</v>
      </c>
      <c r="M58" s="230" t="s">
        <v>503</v>
      </c>
      <c r="N58" s="227" t="str" cm="1">
        <f t="array" ref="N58">_xlfn.IFS(L58&lt;$M$3,"Concluído",AND(K58&lt;=$M$3,L58&gt;=$M$3,L58&lt;=J58),"Em andamento",AND(K58&lt;=$M$3,L58&gt;=$M$3,L58&gt;J58),"Atrasado",AND(K58&gt;$M$3,I58&gt;$M$3),"Não iniciado",AND(K58&gt;$M$3,I58&lt;=$M$3),"Atrasado",TRUE,"Não iniciado")</f>
        <v>Em andamento</v>
      </c>
      <c r="O58" s="230" cm="1">
        <f t="array" ref="O58">_xlfn.IFS(N58="Não iniciado",0,N58="Em andamento",1,N58="Concluído",2,N58="Atrasado",3)</f>
        <v>1</v>
      </c>
      <c r="P58" s="218"/>
      <c r="Q58" s="225">
        <f t="shared" ref="Q58:BG58" si="24">AVERAGE(Q59:Q61)</f>
        <v>0.5</v>
      </c>
      <c r="R58" s="225">
        <f t="shared" si="24"/>
        <v>0.5</v>
      </c>
      <c r="S58" s="225">
        <f t="shared" si="24"/>
        <v>0</v>
      </c>
      <c r="T58" s="225">
        <f t="shared" si="24"/>
        <v>0</v>
      </c>
      <c r="U58" s="225">
        <f t="shared" si="24"/>
        <v>0</v>
      </c>
      <c r="V58" s="225">
        <f t="shared" si="24"/>
        <v>0</v>
      </c>
      <c r="W58" s="225">
        <f t="shared" si="24"/>
        <v>0</v>
      </c>
      <c r="X58" s="225">
        <f t="shared" si="24"/>
        <v>0</v>
      </c>
      <c r="Y58" s="225">
        <f t="shared" si="24"/>
        <v>0</v>
      </c>
      <c r="Z58" s="225">
        <f t="shared" si="24"/>
        <v>0</v>
      </c>
      <c r="AA58" s="225">
        <f t="shared" si="24"/>
        <v>0.3737373737373737</v>
      </c>
      <c r="AB58" s="225">
        <f t="shared" si="24"/>
        <v>0.44444444444444442</v>
      </c>
      <c r="AC58" s="225">
        <f t="shared" si="24"/>
        <v>0.51515151515151514</v>
      </c>
      <c r="AD58" s="225">
        <f t="shared" si="24"/>
        <v>0.58585858585858586</v>
      </c>
      <c r="AE58" s="225">
        <f t="shared" si="24"/>
        <v>0.65656565656565657</v>
      </c>
      <c r="AF58" s="225">
        <f t="shared" si="24"/>
        <v>1</v>
      </c>
      <c r="AG58" s="225">
        <f t="shared" si="24"/>
        <v>1</v>
      </c>
      <c r="AH58" s="225">
        <f t="shared" si="24"/>
        <v>1</v>
      </c>
      <c r="AI58" s="225">
        <f t="shared" si="24"/>
        <v>1</v>
      </c>
      <c r="AJ58" s="225">
        <f t="shared" si="24"/>
        <v>1</v>
      </c>
      <c r="AK58" s="225">
        <f t="shared" si="24"/>
        <v>1</v>
      </c>
      <c r="AL58" s="225">
        <f t="shared" si="24"/>
        <v>1</v>
      </c>
      <c r="AM58" s="225">
        <f t="shared" si="24"/>
        <v>1</v>
      </c>
      <c r="AN58" s="225">
        <f t="shared" si="24"/>
        <v>1</v>
      </c>
      <c r="AO58" s="225">
        <f t="shared" si="24"/>
        <v>1</v>
      </c>
      <c r="AP58" s="225">
        <f t="shared" si="24"/>
        <v>1</v>
      </c>
      <c r="AQ58" s="225">
        <f t="shared" si="24"/>
        <v>1</v>
      </c>
      <c r="AR58" s="225">
        <f t="shared" si="24"/>
        <v>1</v>
      </c>
      <c r="AS58" s="225">
        <f t="shared" si="24"/>
        <v>1</v>
      </c>
      <c r="AT58" s="225">
        <f t="shared" si="24"/>
        <v>1</v>
      </c>
      <c r="AU58" s="225">
        <f t="shared" si="24"/>
        <v>1</v>
      </c>
      <c r="AV58" s="225">
        <f t="shared" si="24"/>
        <v>1</v>
      </c>
      <c r="AW58" s="225">
        <f t="shared" si="24"/>
        <v>1</v>
      </c>
      <c r="AX58" s="225">
        <f t="shared" si="24"/>
        <v>1</v>
      </c>
      <c r="AY58" s="225">
        <f t="shared" si="24"/>
        <v>1</v>
      </c>
      <c r="AZ58" s="225">
        <f t="shared" si="24"/>
        <v>1</v>
      </c>
      <c r="BA58" s="225">
        <f t="shared" si="24"/>
        <v>1</v>
      </c>
      <c r="BB58" s="225">
        <f t="shared" si="24"/>
        <v>1</v>
      </c>
      <c r="BC58" s="225">
        <f t="shared" si="24"/>
        <v>1</v>
      </c>
      <c r="BD58" s="225">
        <f t="shared" si="24"/>
        <v>1</v>
      </c>
      <c r="BE58" s="225">
        <f t="shared" si="24"/>
        <v>1</v>
      </c>
      <c r="BF58" s="225">
        <f t="shared" si="24"/>
        <v>1</v>
      </c>
      <c r="BG58" s="225">
        <f t="shared" si="24"/>
        <v>1</v>
      </c>
      <c r="BH58">
        <f>Tab.plano6[[#This Row],[Data Término
Prevista]]-Tab.plano6[[#This Row],[Data Início
Previsto]]</f>
        <v>38</v>
      </c>
    </row>
    <row r="59" spans="1:60" s="163" customFormat="1" ht="18" hidden="1" customHeight="1" x14ac:dyDescent="0.3">
      <c r="A59" s="220"/>
      <c r="B59" s="220" t="s">
        <v>161</v>
      </c>
      <c r="C59" s="220" t="s">
        <v>529</v>
      </c>
      <c r="D59" s="251" t="s">
        <v>399</v>
      </c>
      <c r="E59" s="251" t="s">
        <v>422</v>
      </c>
      <c r="F59" s="251" t="s">
        <v>527</v>
      </c>
      <c r="G59" s="251" t="s">
        <v>527</v>
      </c>
      <c r="H59" s="221" t="s">
        <v>506</v>
      </c>
      <c r="I59" s="260">
        <v>46154</v>
      </c>
      <c r="J59" s="260">
        <v>46155</v>
      </c>
      <c r="K59" s="260">
        <v>46154</v>
      </c>
      <c r="L59" s="260">
        <v>46155</v>
      </c>
      <c r="M59" s="231" t="s">
        <v>503</v>
      </c>
      <c r="N59" s="227" t="str" cm="1">
        <f t="array" ref="N59">_xlfn.IFS(L59&lt;$M$3,"Concluído",AND(K59&lt;=$M$3,L59&gt;=$M$3,L59&lt;=J59),"Em andamento",AND(K59&lt;=$M$3,L59&gt;=$M$3,L59&gt;J59),"Atrasado",AND(K59&gt;$M$3,I59&gt;$M$3),"Não iniciado",AND(K59&gt;$M$3,I59&lt;=$M$3),"Atrasado",TRUE,"Não iniciado")</f>
        <v>Concluído</v>
      </c>
      <c r="O59" s="231" cm="1">
        <f t="array" ref="O59">_xlfn.IFS(N59="Não iniciado",0,N59="Em andamento",1,N59="Concluído",2,N59="Atrasado",3)</f>
        <v>2</v>
      </c>
      <c r="P59" s="220"/>
      <c r="Q59" s="226" cm="1">
        <f t="array" ref="Q59">_xlfn.IFS(AND($I59&lt;$M$3,$J59&lt;$M$3),1,AND($I59&lt;=$M$3,$J59&gt;=$M$3),0.5,AND($I59&gt;=$M$3,$J59&gt;=$M$3),0)</f>
        <v>1</v>
      </c>
      <c r="R59" s="226" cm="1">
        <f t="array" ref="R59">_xlfn.IFS(AND($K59&lt;$M$3,$L59&lt;$M$3),1,AND($K59&lt;=$M$3,$L59&gt;=$M$3),0.5,AND($K59&gt;=$M$3,$L59&gt;=$M$3),0)</f>
        <v>1</v>
      </c>
      <c r="S59" s="226" cm="1">
        <f t="array" ref="S59">_xlfn.IFS(AND($K59&gt;R$7,$L59&gt;R$7),0,AND($K59&lt;=R$7,$L59&lt;=R$7),1,AND($K59&lt;=R$7,$L59&gt;R$7),((R$7-$K59)/($L59-$K59)))</f>
        <v>0</v>
      </c>
      <c r="T59" s="226" cm="1">
        <f t="array" ref="T59">_xlfn.IFS(AND($K59&gt;S$7,$L59&gt;S$7),0,AND($K59&lt;=S$7,$L59&lt;=S$7),1,AND($K59&lt;=S$7,$L59&gt;S$7),((S$7-$K59)/($L59-$K59)))</f>
        <v>0</v>
      </c>
      <c r="U59" s="226" cm="1">
        <f t="array" ref="U59">_xlfn.IFS(AND($K59&gt;T$7,$L59&gt;T$7),0,AND($K59&lt;=T$7,$L59&lt;=T$7),1,AND($K59&lt;=T$7,$L59&gt;T$7),((T$7-$K59)/($L59-$K59)))</f>
        <v>0</v>
      </c>
      <c r="V59" s="226" cm="1">
        <f t="array" ref="V59">_xlfn.IFS(AND($K59&gt;U$7,$L59&gt;U$7),0,AND($K59&lt;=U$7,$L59&lt;=U$7),1,AND($K59&lt;=U$7,$L59&gt;U$7),((U$7-$K59)/($L59-$K59)))</f>
        <v>0</v>
      </c>
      <c r="W59" s="226" cm="1">
        <f t="array" ref="W59">_xlfn.IFS(AND($K59&gt;V$7,$L59&gt;V$7),0,AND($K59&lt;=V$7,$L59&lt;=V$7),1,AND($K59&lt;=V$7,$L59&gt;V$7),((V$7-$K59)/($L59-$K59)))</f>
        <v>0</v>
      </c>
      <c r="X59" s="226" cm="1">
        <f t="array" ref="X59">_xlfn.IFS(AND($K59&gt;W$7,$L59&gt;W$7),0,AND($K59&lt;=W$7,$L59&lt;=W$7),1,AND($K59&lt;=W$7,$L59&gt;W$7),((W$7-$K59)/($L59-$K59)))</f>
        <v>0</v>
      </c>
      <c r="Y59" s="226" cm="1">
        <f t="array" ref="Y59">_xlfn.IFS(AND($K59&gt;X$7,$L59&gt;X$7),0,AND($K59&lt;=X$7,$L59&lt;=X$7),1,AND($K59&lt;=X$7,$L59&gt;X$7),((X$7-$K59)/($L59-$K59)))</f>
        <v>0</v>
      </c>
      <c r="Z59" s="226" cm="1">
        <f t="array" ref="Z59">_xlfn.IFS(AND($K59&gt;Y$7,$L59&gt;Y$7),0,AND($K59&lt;=Y$7,$L59&lt;=Y$7),1,AND($K59&lt;=Y$7,$L59&gt;Y$7),((Y$7-$K59)/($L59-$K59)))</f>
        <v>0</v>
      </c>
      <c r="AA59" s="226" cm="1">
        <f t="array" ref="AA59">_xlfn.IFS(AND($K59&gt;Z$7,$L59&gt;Z$7),0,AND($K59&lt;=Z$7,$L59&lt;=Z$7),1,AND($K59&lt;=Z$7,$L59&gt;Z$7),((Z$7-$K59)/($L59-$K59)))</f>
        <v>1</v>
      </c>
      <c r="AB59" s="226" cm="1">
        <f t="array" ref="AB59">_xlfn.IFS(AND($K59&gt;AA$7,$L59&gt;AA$7),0,AND($K59&lt;=AA$7,$L59&lt;=AA$7),1,AND($K59&lt;=AA$7,$L59&gt;AA$7),((AA$7-$K59)/($L59-$K59)))</f>
        <v>1</v>
      </c>
      <c r="AC59" s="226" cm="1">
        <f t="array" ref="AC59">_xlfn.IFS(AND($K59&gt;AB$7,$L59&gt;AB$7),0,AND($K59&lt;=AB$7,$L59&lt;=AB$7),1,AND($K59&lt;=AB$7,$L59&gt;AB$7),((AB$7-$K59)/($L59-$K59)))</f>
        <v>1</v>
      </c>
      <c r="AD59" s="226" cm="1">
        <f t="array" ref="AD59">_xlfn.IFS(AND($K59&gt;AC$7,$L59&gt;AC$7),0,AND($K59&lt;=AC$7,$L59&lt;=AC$7),1,AND($K59&lt;=AC$7,$L59&gt;AC$7),((AC$7-$K59)/($L59-$K59)))</f>
        <v>1</v>
      </c>
      <c r="AE59" s="226" cm="1">
        <f t="array" ref="AE59">_xlfn.IFS(AND($K59&gt;AD$7,$L59&gt;AD$7),0,AND($K59&lt;=AD$7,$L59&lt;=AD$7),1,AND($K59&lt;=AD$7,$L59&gt;AD$7),((AD$7-$K59)/($L59-$K59)))</f>
        <v>1</v>
      </c>
      <c r="AF59" s="226" cm="1">
        <f t="array" ref="AF59">_xlfn.IFS(AND($K59&gt;AE$7,$L59&gt;AE$7),0,AND($K59&lt;=AE$7,$L59&lt;=AE$7),1,AND($K59&lt;=AE$7,$L59&gt;AE$7),((AE$7-$K59)/($L59-$K59)))</f>
        <v>1</v>
      </c>
      <c r="AG59" s="226" cm="1">
        <f t="array" ref="AG59">_xlfn.IFS(AND($K59&gt;AF$7,$L59&gt;AF$7),0,AND($K59&lt;=AF$7,$L59&lt;=AF$7),1,AND($K59&lt;=AF$7,$L59&gt;AF$7),((AF$7-$K59)/($L59-$K59)))</f>
        <v>1</v>
      </c>
      <c r="AH59" s="226" cm="1">
        <f t="array" ref="AH59">_xlfn.IFS(AND($K59&gt;AG$7,$L59&gt;AG$7),0,AND($K59&lt;=AG$7,$L59&lt;=AG$7),1,AND($K59&lt;=AG$7,$L59&gt;AG$7),((AG$7-$K59)/($L59-$K59)))</f>
        <v>1</v>
      </c>
      <c r="AI59" s="226" cm="1">
        <f t="array" ref="AI59">_xlfn.IFS(AND($K59&gt;AH$7,$L59&gt;AH$7),0,AND($K59&lt;=AH$7,$L59&lt;=AH$7),1,AND($K59&lt;=AH$7,$L59&gt;AH$7),((AH$7-$K59)/($L59-$K59)))</f>
        <v>1</v>
      </c>
      <c r="AJ59" s="226" cm="1">
        <f t="array" ref="AJ59">_xlfn.IFS(AND($K59&gt;AI$7,$L59&gt;AI$7),0,AND($K59&lt;=AI$7,$L59&lt;=AI$7),1,AND($K59&lt;=AI$7,$L59&gt;AI$7),((AI$7-$K59)/($L59-$K59)))</f>
        <v>1</v>
      </c>
      <c r="AK59" s="226" cm="1">
        <f t="array" ref="AK59">_xlfn.IFS(AND($K59&gt;AJ$7,$L59&gt;AJ$7),0,AND($K59&lt;=AJ$7,$L59&lt;=AJ$7),1,AND($K59&lt;=AJ$7,$L59&gt;AJ$7),((AJ$7-$K59)/($L59-$K59)))</f>
        <v>1</v>
      </c>
      <c r="AL59" s="226" cm="1">
        <f t="array" ref="AL59">_xlfn.IFS(AND($K59&gt;AK$7,$L59&gt;AK$7),0,AND($K59&lt;=AK$7,$L59&lt;=AK$7),1,AND($K59&lt;=AK$7,$L59&gt;AK$7),((AK$7-$K59)/($L59-$K59)))</f>
        <v>1</v>
      </c>
      <c r="AM59" s="226" cm="1">
        <f t="array" ref="AM59">_xlfn.IFS(AND($K59&gt;AL$7,$L59&gt;AL$7),0,AND($K59&lt;=AL$7,$L59&lt;=AL$7),1,AND($K59&lt;=AL$7,$L59&gt;AL$7),((AL$7-$K59)/($L59-$K59)))</f>
        <v>1</v>
      </c>
      <c r="AN59" s="226" cm="1">
        <f t="array" ref="AN59">_xlfn.IFS(AND($K59&gt;AM$7,$L59&gt;AM$7),0,AND($K59&lt;=AM$7,$L59&lt;=AM$7),1,AND($K59&lt;=AM$7,$L59&gt;AM$7),((AM$7-$K59)/($L59-$K59)))</f>
        <v>1</v>
      </c>
      <c r="AO59" s="226" cm="1">
        <f t="array" ref="AO59">_xlfn.IFS(AND($K59&gt;AN$7,$L59&gt;AN$7),0,AND($K59&lt;=AN$7,$L59&lt;=AN$7),1,AND($K59&lt;=AN$7,$L59&gt;AN$7),((AN$7-$K59)/($L59-$K59)))</f>
        <v>1</v>
      </c>
      <c r="AP59" s="226" cm="1">
        <f t="array" ref="AP59">_xlfn.IFS(AND($K59&gt;AO$7,$L59&gt;AO$7),0,AND($K59&lt;=AO$7,$L59&lt;=AO$7),1,AND($K59&lt;=AO$7,$L59&gt;AO$7),((AO$7-$K59)/($L59-$K59)))</f>
        <v>1</v>
      </c>
      <c r="AQ59" s="226" cm="1">
        <f t="array" ref="AQ59">_xlfn.IFS(AND($K59&gt;AP$7,$L59&gt;AP$7),0,AND($K59&lt;=AP$7,$L59&lt;=AP$7),1,AND($K59&lt;=AP$7,$L59&gt;AP$7),((AP$7-$K59)/($L59-$K59)))</f>
        <v>1</v>
      </c>
      <c r="AR59" s="226" cm="1">
        <f t="array" ref="AR59">_xlfn.IFS(AND($K59&gt;AQ$7,$L59&gt;AQ$7),0,AND($K59&lt;=AQ$7,$L59&lt;=AQ$7),1,AND($K59&lt;=AQ$7,$L59&gt;AQ$7),((AQ$7-$K59)/($L59-$K59)))</f>
        <v>1</v>
      </c>
      <c r="AS59" s="226" cm="1">
        <f t="array" ref="AS59">_xlfn.IFS(AND($K59&gt;AR$7,$L59&gt;AR$7),0,AND($K59&lt;=AR$7,$L59&lt;=AR$7),1,AND($K59&lt;=AR$7,$L59&gt;AR$7),((AR$7-$K59)/($L59-$K59)))</f>
        <v>1</v>
      </c>
      <c r="AT59" s="226" cm="1">
        <f t="array" ref="AT59">_xlfn.IFS(AND($K59&gt;AS$7,$L59&gt;AS$7),0,AND($K59&lt;=AS$7,$L59&lt;=AS$7),1,AND($K59&lt;=AS$7,$L59&gt;AS$7),((AS$7-$K59)/($L59-$K59)))</f>
        <v>1</v>
      </c>
      <c r="AU59" s="226" cm="1">
        <f t="array" ref="AU59">_xlfn.IFS(AND($K59&gt;AT$7,$L59&gt;AT$7),0,AND($K59&lt;=AT$7,$L59&lt;=AT$7),1,AND($K59&lt;=AT$7,$L59&gt;AT$7),((AT$7-$K59)/($L59-$K59)))</f>
        <v>1</v>
      </c>
      <c r="AV59" s="226" cm="1">
        <f t="array" ref="AV59">_xlfn.IFS(AND($K59&gt;AU$7,$L59&gt;AU$7),0,AND($K59&lt;=AU$7,$L59&lt;=AU$7),1,AND($K59&lt;=AU$7,$L59&gt;AU$7),((AU$7-$K59)/($L59-$K59)))</f>
        <v>1</v>
      </c>
      <c r="AW59" s="226" cm="1">
        <f t="array" ref="AW59">_xlfn.IFS(AND($K59&gt;AV$7,$L59&gt;AV$7),0,AND($K59&lt;=AV$7,$L59&lt;=AV$7),1,AND($K59&lt;=AV$7,$L59&gt;AV$7),((AV$7-$K59)/($L59-$K59)))</f>
        <v>1</v>
      </c>
      <c r="AX59" s="226" cm="1">
        <f t="array" ref="AX59">_xlfn.IFS(AND($K59&gt;AW$7,$L59&gt;AW$7),0,AND($K59&lt;=AW$7,$L59&lt;=AW$7),1,AND($K59&lt;=AW$7,$L59&gt;AW$7),((AW$7-$K59)/($L59-$K59)))</f>
        <v>1</v>
      </c>
      <c r="AY59" s="226" cm="1">
        <f t="array" ref="AY59">_xlfn.IFS(AND($K59&gt;AX$7,$L59&gt;AX$7),0,AND($K59&lt;=AX$7,$L59&lt;=AX$7),1,AND($K59&lt;=AX$7,$L59&gt;AX$7),((AX$7-$K59)/($L59-$K59)))</f>
        <v>1</v>
      </c>
      <c r="AZ59" s="226" cm="1">
        <f t="array" ref="AZ59">_xlfn.IFS(AND($K59&gt;AY$7,$L59&gt;AY$7),0,AND($K59&lt;=AY$7,$L59&lt;=AY$7),1,AND($K59&lt;=AY$7,$L59&gt;AY$7),((AY$7-$K59)/($L59-$K59)))</f>
        <v>1</v>
      </c>
      <c r="BA59" s="226" cm="1">
        <f t="array" ref="BA59">_xlfn.IFS(AND($K59&gt;AZ$7,$L59&gt;AZ$7),0,AND($K59&lt;=AZ$7,$L59&lt;=AZ$7),1,AND($K59&lt;=AZ$7,$L59&gt;AZ$7),((AZ$7-$K59)/($L59-$K59)))</f>
        <v>1</v>
      </c>
      <c r="BB59" s="226" cm="1">
        <f t="array" ref="BB59">_xlfn.IFS(AND($K59&gt;BA$7,$L59&gt;BA$7),0,AND($K59&lt;=BA$7,$L59&lt;=BA$7),1,AND($K59&lt;=BA$7,$L59&gt;BA$7),((BA$7-$K59)/($L59-$K59)))</f>
        <v>1</v>
      </c>
      <c r="BC59" s="226" cm="1">
        <f t="array" ref="BC59">_xlfn.IFS(AND($K59&gt;BB$7,$L59&gt;BB$7),0,AND($K59&lt;=BB$7,$L59&lt;=BB$7),1,AND($K59&lt;=BB$7,$L59&gt;BB$7),((BB$7-$K59)/($L59-$K59)))</f>
        <v>1</v>
      </c>
      <c r="BD59" s="226" cm="1">
        <f t="array" ref="BD59">_xlfn.IFS(AND($K59&gt;BC$7,$L59&gt;BC$7),0,AND($K59&lt;=BC$7,$L59&lt;=BC$7),1,AND($K59&lt;=BC$7,$L59&gt;BC$7),((BC$7-$K59)/($L59-$K59)))</f>
        <v>1</v>
      </c>
      <c r="BE59" s="226" cm="1">
        <f t="array" ref="BE59">_xlfn.IFS(AND($K59&gt;BD$7,$L59&gt;BD$7),0,AND($K59&lt;=BD$7,$L59&lt;=BD$7),1,AND($K59&lt;=BD$7,$L59&gt;BD$7),((BD$7-$K59)/($L59-$K59)))</f>
        <v>1</v>
      </c>
      <c r="BF59" s="226" cm="1">
        <f t="array" ref="BF59">_xlfn.IFS(AND($K59&gt;BE$7,$L59&gt;BE$7),0,AND($K59&lt;=BE$7,$L59&lt;=BE$7),1,AND($K59&lt;=BE$7,$L59&gt;BE$7),((BE$7-$K59)/($L59-$K59)))</f>
        <v>1</v>
      </c>
      <c r="BG59" s="226" cm="1">
        <f t="array" ref="BG59">_xlfn.IFS(AND($K59&gt;BF$7,$L59&gt;BF$7),0,AND($K59&lt;=BF$7,$L59&lt;=BF$7),1,AND($K59&lt;=BF$7,$L59&gt;BF$7),((BF$7-$K59)/($L59-$K59)))</f>
        <v>1</v>
      </c>
      <c r="BH59" s="163">
        <f>Tab.plano6[[#This Row],[Data Término
Prevista]]-Tab.plano6[[#This Row],[Data Início
Previsto]]</f>
        <v>1</v>
      </c>
    </row>
    <row r="60" spans="1:60" s="163" customFormat="1" ht="18" hidden="1" customHeight="1" x14ac:dyDescent="0.3">
      <c r="A60" s="220"/>
      <c r="B60" s="220" t="s">
        <v>161</v>
      </c>
      <c r="C60" s="220" t="s">
        <v>531</v>
      </c>
      <c r="D60" s="251" t="s">
        <v>399</v>
      </c>
      <c r="E60" s="251" t="s">
        <v>422</v>
      </c>
      <c r="F60" s="251" t="s">
        <v>527</v>
      </c>
      <c r="G60" s="251" t="s">
        <v>527</v>
      </c>
      <c r="H60" s="221" t="s">
        <v>508</v>
      </c>
      <c r="I60" s="260">
        <v>46156</v>
      </c>
      <c r="J60" s="260">
        <v>46189</v>
      </c>
      <c r="K60" s="260">
        <v>46156</v>
      </c>
      <c r="L60" s="260">
        <v>46189</v>
      </c>
      <c r="M60" s="231" t="s">
        <v>503</v>
      </c>
      <c r="N60" s="227" t="str" cm="1">
        <f t="array" ref="N60">_xlfn.IFS(L60&lt;$M$3,"Concluído",AND(K60&lt;=$M$3,L60&gt;=$M$3,L60&lt;=J60),"Em andamento",AND(K60&lt;=$M$3,L60&gt;=$M$3,L60&gt;J60),"Atrasado",AND(K60&gt;$M$3,I60&gt;$M$3),"Não iniciado",AND(K60&gt;$M$3,I60&lt;=$M$3),"Atrasado",TRUE,"Não iniciado")</f>
        <v>Em andamento</v>
      </c>
      <c r="O60" s="231" cm="1">
        <f t="array" ref="O60">_xlfn.IFS(N60="Não iniciado",0,N60="Em andamento",1,N60="Concluído",2,N60="Atrasado",3)</f>
        <v>1</v>
      </c>
      <c r="P60" s="220"/>
      <c r="Q60" s="226" cm="1">
        <f t="array" ref="Q60">_xlfn.IFS(AND($I60&lt;$M$3,$J60&lt;$M$3),1,AND($I60&lt;=$M$3,$J60&gt;=$M$3),0.5,AND($I60&gt;=$M$3,$J60&gt;=$M$3),0)</f>
        <v>0.5</v>
      </c>
      <c r="R60" s="226" cm="1">
        <f t="array" ref="R60">_xlfn.IFS(AND($K60&lt;$M$3,$L60&lt;$M$3),1,AND($K60&lt;=$M$3,$L60&gt;=$M$3),0.5,AND($K60&gt;=$M$3,$L60&gt;=$M$3),0)</f>
        <v>0.5</v>
      </c>
      <c r="S60" s="226" cm="1">
        <f t="array" ref="S60">_xlfn.IFS(AND($K60&gt;R$7,$L60&gt;R$7),0,AND($K60&lt;=R$7,$L60&lt;=R$7),1,AND($K60&lt;=R$7,$L60&gt;R$7),((R$7-$K60)/($L60-$K60)))</f>
        <v>0</v>
      </c>
      <c r="T60" s="226" cm="1">
        <f t="array" ref="T60">_xlfn.IFS(AND($K60&gt;S$7,$L60&gt;S$7),0,AND($K60&lt;=S$7,$L60&lt;=S$7),1,AND($K60&lt;=S$7,$L60&gt;S$7),((S$7-$K60)/($L60-$K60)))</f>
        <v>0</v>
      </c>
      <c r="U60" s="226" cm="1">
        <f t="array" ref="U60">_xlfn.IFS(AND($K60&gt;T$7,$L60&gt;T$7),0,AND($K60&lt;=T$7,$L60&lt;=T$7),1,AND($K60&lt;=T$7,$L60&gt;T$7),((T$7-$K60)/($L60-$K60)))</f>
        <v>0</v>
      </c>
      <c r="V60" s="226" cm="1">
        <f t="array" ref="V60">_xlfn.IFS(AND($K60&gt;U$7,$L60&gt;U$7),0,AND($K60&lt;=U$7,$L60&lt;=U$7),1,AND($K60&lt;=U$7,$L60&gt;U$7),((U$7-$K60)/($L60-$K60)))</f>
        <v>0</v>
      </c>
      <c r="W60" s="226" cm="1">
        <f t="array" ref="W60">_xlfn.IFS(AND($K60&gt;V$7,$L60&gt;V$7),0,AND($K60&lt;=V$7,$L60&lt;=V$7),1,AND($K60&lt;=V$7,$L60&gt;V$7),((V$7-$K60)/($L60-$K60)))</f>
        <v>0</v>
      </c>
      <c r="X60" s="226" cm="1">
        <f t="array" ref="X60">_xlfn.IFS(AND($K60&gt;W$7,$L60&gt;W$7),0,AND($K60&lt;=W$7,$L60&lt;=W$7),1,AND($K60&lt;=W$7,$L60&gt;W$7),((W$7-$K60)/($L60-$K60)))</f>
        <v>0</v>
      </c>
      <c r="Y60" s="226" cm="1">
        <f t="array" ref="Y60">_xlfn.IFS(AND($K60&gt;X$7,$L60&gt;X$7),0,AND($K60&lt;=X$7,$L60&lt;=X$7),1,AND($K60&lt;=X$7,$L60&gt;X$7),((X$7-$K60)/($L60-$K60)))</f>
        <v>0</v>
      </c>
      <c r="Z60" s="226" cm="1">
        <f t="array" ref="Z60">_xlfn.IFS(AND($K60&gt;Y$7,$L60&gt;Y$7),0,AND($K60&lt;=Y$7,$L60&lt;=Y$7),1,AND($K60&lt;=Y$7,$L60&gt;Y$7),((Y$7-$K60)/($L60-$K60)))</f>
        <v>0</v>
      </c>
      <c r="AA60" s="226" cm="1">
        <f t="array" ref="AA60">_xlfn.IFS(AND($K60&gt;Z$7,$L60&gt;Z$7),0,AND($K60&lt;=Z$7,$L60&lt;=Z$7),1,AND($K60&lt;=Z$7,$L60&gt;Z$7),((Z$7-$K60)/($L60-$K60)))</f>
        <v>0.12121212121212122</v>
      </c>
      <c r="AB60" s="226" cm="1">
        <f t="array" ref="AB60">_xlfn.IFS(AND($K60&gt;AA$7,$L60&gt;AA$7),0,AND($K60&lt;=AA$7,$L60&lt;=AA$7),1,AND($K60&lt;=AA$7,$L60&gt;AA$7),((AA$7-$K60)/($L60-$K60)))</f>
        <v>0.33333333333333331</v>
      </c>
      <c r="AC60" s="226" cm="1">
        <f t="array" ref="AC60">_xlfn.IFS(AND($K60&gt;AB$7,$L60&gt;AB$7),0,AND($K60&lt;=AB$7,$L60&lt;=AB$7),1,AND($K60&lt;=AB$7,$L60&gt;AB$7),((AB$7-$K60)/($L60-$K60)))</f>
        <v>0.54545454545454541</v>
      </c>
      <c r="AD60" s="226" cm="1">
        <f t="array" ref="AD60">_xlfn.IFS(AND($K60&gt;AC$7,$L60&gt;AC$7),0,AND($K60&lt;=AC$7,$L60&lt;=AC$7),1,AND($K60&lt;=AC$7,$L60&gt;AC$7),((AC$7-$K60)/($L60-$K60)))</f>
        <v>0.75757575757575757</v>
      </c>
      <c r="AE60" s="226" cm="1">
        <f t="array" ref="AE60">_xlfn.IFS(AND($K60&gt;AD$7,$L60&gt;AD$7),0,AND($K60&lt;=AD$7,$L60&lt;=AD$7),1,AND($K60&lt;=AD$7,$L60&gt;AD$7),((AD$7-$K60)/($L60-$K60)))</f>
        <v>0.96969696969696972</v>
      </c>
      <c r="AF60" s="226" cm="1">
        <f t="array" ref="AF60">_xlfn.IFS(AND($K60&gt;AE$7,$L60&gt;AE$7),0,AND($K60&lt;=AE$7,$L60&lt;=AE$7),1,AND($K60&lt;=AE$7,$L60&gt;AE$7),((AE$7-$K60)/($L60-$K60)))</f>
        <v>1</v>
      </c>
      <c r="AG60" s="226" cm="1">
        <f t="array" ref="AG60">_xlfn.IFS(AND($K60&gt;AF$7,$L60&gt;AF$7),0,AND($K60&lt;=AF$7,$L60&lt;=AF$7),1,AND($K60&lt;=AF$7,$L60&gt;AF$7),((AF$7-$K60)/($L60-$K60)))</f>
        <v>1</v>
      </c>
      <c r="AH60" s="226" cm="1">
        <f t="array" ref="AH60">_xlfn.IFS(AND($K60&gt;AG$7,$L60&gt;AG$7),0,AND($K60&lt;=AG$7,$L60&lt;=AG$7),1,AND($K60&lt;=AG$7,$L60&gt;AG$7),((AG$7-$K60)/($L60-$K60)))</f>
        <v>1</v>
      </c>
      <c r="AI60" s="226" cm="1">
        <f t="array" ref="AI60">_xlfn.IFS(AND($K60&gt;AH$7,$L60&gt;AH$7),0,AND($K60&lt;=AH$7,$L60&lt;=AH$7),1,AND($K60&lt;=AH$7,$L60&gt;AH$7),((AH$7-$K60)/($L60-$K60)))</f>
        <v>1</v>
      </c>
      <c r="AJ60" s="226" cm="1">
        <f t="array" ref="AJ60">_xlfn.IFS(AND($K60&gt;AI$7,$L60&gt;AI$7),0,AND($K60&lt;=AI$7,$L60&lt;=AI$7),1,AND($K60&lt;=AI$7,$L60&gt;AI$7),((AI$7-$K60)/($L60-$K60)))</f>
        <v>1</v>
      </c>
      <c r="AK60" s="226" cm="1">
        <f t="array" ref="AK60">_xlfn.IFS(AND($K60&gt;AJ$7,$L60&gt;AJ$7),0,AND($K60&lt;=AJ$7,$L60&lt;=AJ$7),1,AND($K60&lt;=AJ$7,$L60&gt;AJ$7),((AJ$7-$K60)/($L60-$K60)))</f>
        <v>1</v>
      </c>
      <c r="AL60" s="226" cm="1">
        <f t="array" ref="AL60">_xlfn.IFS(AND($K60&gt;AK$7,$L60&gt;AK$7),0,AND($K60&lt;=AK$7,$L60&lt;=AK$7),1,AND($K60&lt;=AK$7,$L60&gt;AK$7),((AK$7-$K60)/($L60-$K60)))</f>
        <v>1</v>
      </c>
      <c r="AM60" s="226" cm="1">
        <f t="array" ref="AM60">_xlfn.IFS(AND($K60&gt;AL$7,$L60&gt;AL$7),0,AND($K60&lt;=AL$7,$L60&lt;=AL$7),1,AND($K60&lt;=AL$7,$L60&gt;AL$7),((AL$7-$K60)/($L60-$K60)))</f>
        <v>1</v>
      </c>
      <c r="AN60" s="226" cm="1">
        <f t="array" ref="AN60">_xlfn.IFS(AND($K60&gt;AM$7,$L60&gt;AM$7),0,AND($K60&lt;=AM$7,$L60&lt;=AM$7),1,AND($K60&lt;=AM$7,$L60&gt;AM$7),((AM$7-$K60)/($L60-$K60)))</f>
        <v>1</v>
      </c>
      <c r="AO60" s="226" cm="1">
        <f t="array" ref="AO60">_xlfn.IFS(AND($K60&gt;AN$7,$L60&gt;AN$7),0,AND($K60&lt;=AN$7,$L60&lt;=AN$7),1,AND($K60&lt;=AN$7,$L60&gt;AN$7),((AN$7-$K60)/($L60-$K60)))</f>
        <v>1</v>
      </c>
      <c r="AP60" s="226" cm="1">
        <f t="array" ref="AP60">_xlfn.IFS(AND($K60&gt;AO$7,$L60&gt;AO$7),0,AND($K60&lt;=AO$7,$L60&lt;=AO$7),1,AND($K60&lt;=AO$7,$L60&gt;AO$7),((AO$7-$K60)/($L60-$K60)))</f>
        <v>1</v>
      </c>
      <c r="AQ60" s="226" cm="1">
        <f t="array" ref="AQ60">_xlfn.IFS(AND($K60&gt;AP$7,$L60&gt;AP$7),0,AND($K60&lt;=AP$7,$L60&lt;=AP$7),1,AND($K60&lt;=AP$7,$L60&gt;AP$7),((AP$7-$K60)/($L60-$K60)))</f>
        <v>1</v>
      </c>
      <c r="AR60" s="226" cm="1">
        <f t="array" ref="AR60">_xlfn.IFS(AND($K60&gt;AQ$7,$L60&gt;AQ$7),0,AND($K60&lt;=AQ$7,$L60&lt;=AQ$7),1,AND($K60&lt;=AQ$7,$L60&gt;AQ$7),((AQ$7-$K60)/($L60-$K60)))</f>
        <v>1</v>
      </c>
      <c r="AS60" s="226" cm="1">
        <f t="array" ref="AS60">_xlfn.IFS(AND($K60&gt;AR$7,$L60&gt;AR$7),0,AND($K60&lt;=AR$7,$L60&lt;=AR$7),1,AND($K60&lt;=AR$7,$L60&gt;AR$7),((AR$7-$K60)/($L60-$K60)))</f>
        <v>1</v>
      </c>
      <c r="AT60" s="226" cm="1">
        <f t="array" ref="AT60">_xlfn.IFS(AND($K60&gt;AS$7,$L60&gt;AS$7),0,AND($K60&lt;=AS$7,$L60&lt;=AS$7),1,AND($K60&lt;=AS$7,$L60&gt;AS$7),((AS$7-$K60)/($L60-$K60)))</f>
        <v>1</v>
      </c>
      <c r="AU60" s="226" cm="1">
        <f t="array" ref="AU60">_xlfn.IFS(AND($K60&gt;AT$7,$L60&gt;AT$7),0,AND($K60&lt;=AT$7,$L60&lt;=AT$7),1,AND($K60&lt;=AT$7,$L60&gt;AT$7),((AT$7-$K60)/($L60-$K60)))</f>
        <v>1</v>
      </c>
      <c r="AV60" s="226" cm="1">
        <f t="array" ref="AV60">_xlfn.IFS(AND($K60&gt;AU$7,$L60&gt;AU$7),0,AND($K60&lt;=AU$7,$L60&lt;=AU$7),1,AND($K60&lt;=AU$7,$L60&gt;AU$7),((AU$7-$K60)/($L60-$K60)))</f>
        <v>1</v>
      </c>
      <c r="AW60" s="226" cm="1">
        <f t="array" ref="AW60">_xlfn.IFS(AND($K60&gt;AV$7,$L60&gt;AV$7),0,AND($K60&lt;=AV$7,$L60&lt;=AV$7),1,AND($K60&lt;=AV$7,$L60&gt;AV$7),((AV$7-$K60)/($L60-$K60)))</f>
        <v>1</v>
      </c>
      <c r="AX60" s="226" cm="1">
        <f t="array" ref="AX60">_xlfn.IFS(AND($K60&gt;AW$7,$L60&gt;AW$7),0,AND($K60&lt;=AW$7,$L60&lt;=AW$7),1,AND($K60&lt;=AW$7,$L60&gt;AW$7),((AW$7-$K60)/($L60-$K60)))</f>
        <v>1</v>
      </c>
      <c r="AY60" s="226" cm="1">
        <f t="array" ref="AY60">_xlfn.IFS(AND($K60&gt;AX$7,$L60&gt;AX$7),0,AND($K60&lt;=AX$7,$L60&lt;=AX$7),1,AND($K60&lt;=AX$7,$L60&gt;AX$7),((AX$7-$K60)/($L60-$K60)))</f>
        <v>1</v>
      </c>
      <c r="AZ60" s="226" cm="1">
        <f t="array" ref="AZ60">_xlfn.IFS(AND($K60&gt;AY$7,$L60&gt;AY$7),0,AND($K60&lt;=AY$7,$L60&lt;=AY$7),1,AND($K60&lt;=AY$7,$L60&gt;AY$7),((AY$7-$K60)/($L60-$K60)))</f>
        <v>1</v>
      </c>
      <c r="BA60" s="226" cm="1">
        <f t="array" ref="BA60">_xlfn.IFS(AND($K60&gt;AZ$7,$L60&gt;AZ$7),0,AND($K60&lt;=AZ$7,$L60&lt;=AZ$7),1,AND($K60&lt;=AZ$7,$L60&gt;AZ$7),((AZ$7-$K60)/($L60-$K60)))</f>
        <v>1</v>
      </c>
      <c r="BB60" s="226" cm="1">
        <f t="array" ref="BB60">_xlfn.IFS(AND($K60&gt;BA$7,$L60&gt;BA$7),0,AND($K60&lt;=BA$7,$L60&lt;=BA$7),1,AND($K60&lt;=BA$7,$L60&gt;BA$7),((BA$7-$K60)/($L60-$K60)))</f>
        <v>1</v>
      </c>
      <c r="BC60" s="226" cm="1">
        <f t="array" ref="BC60">_xlfn.IFS(AND($K60&gt;BB$7,$L60&gt;BB$7),0,AND($K60&lt;=BB$7,$L60&lt;=BB$7),1,AND($K60&lt;=BB$7,$L60&gt;BB$7),((BB$7-$K60)/($L60-$K60)))</f>
        <v>1</v>
      </c>
      <c r="BD60" s="226" cm="1">
        <f t="array" ref="BD60">_xlfn.IFS(AND($K60&gt;BC$7,$L60&gt;BC$7),0,AND($K60&lt;=BC$7,$L60&lt;=BC$7),1,AND($K60&lt;=BC$7,$L60&gt;BC$7),((BC$7-$K60)/($L60-$K60)))</f>
        <v>1</v>
      </c>
      <c r="BE60" s="226" cm="1">
        <f t="array" ref="BE60">_xlfn.IFS(AND($K60&gt;BD$7,$L60&gt;BD$7),0,AND($K60&lt;=BD$7,$L60&lt;=BD$7),1,AND($K60&lt;=BD$7,$L60&gt;BD$7),((BD$7-$K60)/($L60-$K60)))</f>
        <v>1</v>
      </c>
      <c r="BF60" s="226" cm="1">
        <f t="array" ref="BF60">_xlfn.IFS(AND($K60&gt;BE$7,$L60&gt;BE$7),0,AND($K60&lt;=BE$7,$L60&lt;=BE$7),1,AND($K60&lt;=BE$7,$L60&gt;BE$7),((BE$7-$K60)/($L60-$K60)))</f>
        <v>1</v>
      </c>
      <c r="BG60" s="226" cm="1">
        <f t="array" ref="BG60">_xlfn.IFS(AND($K60&gt;BF$7,$L60&gt;BF$7),0,AND($K60&lt;=BF$7,$L60&lt;=BF$7),1,AND($K60&lt;=BF$7,$L60&gt;BF$7),((BF$7-$K60)/($L60-$K60)))</f>
        <v>1</v>
      </c>
      <c r="BH60" s="163">
        <f>Tab.plano6[[#This Row],[Data Término
Prevista]]-Tab.plano6[[#This Row],[Data Início
Previsto]]</f>
        <v>33</v>
      </c>
    </row>
    <row r="61" spans="1:60" s="163" customFormat="1" ht="18" hidden="1" customHeight="1" x14ac:dyDescent="0.3">
      <c r="A61" s="220"/>
      <c r="B61" s="220" t="s">
        <v>161</v>
      </c>
      <c r="C61" s="220" t="s">
        <v>533</v>
      </c>
      <c r="D61" s="251" t="s">
        <v>399</v>
      </c>
      <c r="E61" s="251" t="s">
        <v>422</v>
      </c>
      <c r="F61" s="251" t="s">
        <v>527</v>
      </c>
      <c r="G61" s="251" t="s">
        <v>527</v>
      </c>
      <c r="H61" s="246" t="s">
        <v>805</v>
      </c>
      <c r="I61" s="260">
        <v>46190</v>
      </c>
      <c r="J61" s="260">
        <v>46192</v>
      </c>
      <c r="K61" s="260">
        <v>46190</v>
      </c>
      <c r="L61" s="260">
        <v>46192</v>
      </c>
      <c r="M61" s="231" t="s">
        <v>503</v>
      </c>
      <c r="N61" s="227" t="str" cm="1">
        <f t="array" ref="N61">_xlfn.IFS(L61&lt;$M$3,"Concluído",AND(K61&lt;=$M$3,L61&gt;=$M$3,L61&lt;=J61),"Em andamento",AND(K61&lt;=$M$3,L61&gt;=$M$3,L61&gt;J61),"Atrasado",AND(K61&gt;$M$3,I61&gt;$M$3),"Não iniciado",AND(K61&gt;$M$3,I61&lt;=$M$3),"Atrasado",TRUE,"Não iniciado")</f>
        <v>Não iniciado</v>
      </c>
      <c r="O61" s="231" cm="1">
        <f t="array" ref="O61">_xlfn.IFS(N61="Não iniciado",0,N61="Em andamento",1,N61="Concluído",2,N61="Atrasado",3)</f>
        <v>0</v>
      </c>
      <c r="P61" s="220"/>
      <c r="Q61" s="226" cm="1">
        <f t="array" ref="Q61">_xlfn.IFS(AND($I61&lt;$M$3,$J61&lt;$M$3),1,AND($I61&lt;=$M$3,$J61&gt;=$M$3),0.5,AND($I61&gt;=$M$3,$J61&gt;=$M$3),0)</f>
        <v>0</v>
      </c>
      <c r="R61" s="226" cm="1">
        <f t="array" ref="R61">_xlfn.IFS(AND($K61&lt;$M$3,$L61&lt;$M$3),1,AND($K61&lt;=$M$3,$L61&gt;=$M$3),0.5,AND($K61&gt;=$M$3,$L61&gt;=$M$3),0)</f>
        <v>0</v>
      </c>
      <c r="S61" s="226" cm="1">
        <f t="array" ref="S61">_xlfn.IFS(AND($K61&gt;R$7,$L61&gt;R$7),0,AND($K61&lt;=R$7,$L61&lt;=R$7),1,AND($K61&lt;=R$7,$L61&gt;R$7),((R$7-$K61)/($L61-$K61)))</f>
        <v>0</v>
      </c>
      <c r="T61" s="226" cm="1">
        <f t="array" ref="T61">_xlfn.IFS(AND($K61&gt;S$7,$L61&gt;S$7),0,AND($K61&lt;=S$7,$L61&lt;=S$7),1,AND($K61&lt;=S$7,$L61&gt;S$7),((S$7-$K61)/($L61-$K61)))</f>
        <v>0</v>
      </c>
      <c r="U61" s="226" cm="1">
        <f t="array" ref="U61">_xlfn.IFS(AND($K61&gt;T$7,$L61&gt;T$7),0,AND($K61&lt;=T$7,$L61&lt;=T$7),1,AND($K61&lt;=T$7,$L61&gt;T$7),((T$7-$K61)/($L61-$K61)))</f>
        <v>0</v>
      </c>
      <c r="V61" s="226" cm="1">
        <f t="array" ref="V61">_xlfn.IFS(AND($K61&gt;U$7,$L61&gt;U$7),0,AND($K61&lt;=U$7,$L61&lt;=U$7),1,AND($K61&lt;=U$7,$L61&gt;U$7),((U$7-$K61)/($L61-$K61)))</f>
        <v>0</v>
      </c>
      <c r="W61" s="226" cm="1">
        <f t="array" ref="W61">_xlfn.IFS(AND($K61&gt;V$7,$L61&gt;V$7),0,AND($K61&lt;=V$7,$L61&lt;=V$7),1,AND($K61&lt;=V$7,$L61&gt;V$7),((V$7-$K61)/($L61-$K61)))</f>
        <v>0</v>
      </c>
      <c r="X61" s="226" cm="1">
        <f t="array" ref="X61">_xlfn.IFS(AND($K61&gt;W$7,$L61&gt;W$7),0,AND($K61&lt;=W$7,$L61&lt;=W$7),1,AND($K61&lt;=W$7,$L61&gt;W$7),((W$7-$K61)/($L61-$K61)))</f>
        <v>0</v>
      </c>
      <c r="Y61" s="226" cm="1">
        <f t="array" ref="Y61">_xlfn.IFS(AND($K61&gt;X$7,$L61&gt;X$7),0,AND($K61&lt;=X$7,$L61&lt;=X$7),1,AND($K61&lt;=X$7,$L61&gt;X$7),((X$7-$K61)/($L61-$K61)))</f>
        <v>0</v>
      </c>
      <c r="Z61" s="226" cm="1">
        <f t="array" ref="Z61">_xlfn.IFS(AND($K61&gt;Y$7,$L61&gt;Y$7),0,AND($K61&lt;=Y$7,$L61&lt;=Y$7),1,AND($K61&lt;=Y$7,$L61&gt;Y$7),((Y$7-$K61)/($L61-$K61)))</f>
        <v>0</v>
      </c>
      <c r="AA61" s="226" cm="1">
        <f t="array" ref="AA61">_xlfn.IFS(AND($K61&gt;Z$7,$L61&gt;Z$7),0,AND($K61&lt;=Z$7,$L61&lt;=Z$7),1,AND($K61&lt;=Z$7,$L61&gt;Z$7),((Z$7-$K61)/($L61-$K61)))</f>
        <v>0</v>
      </c>
      <c r="AB61" s="226" cm="1">
        <f t="array" ref="AB61">_xlfn.IFS(AND($K61&gt;AA$7,$L61&gt;AA$7),0,AND($K61&lt;=AA$7,$L61&lt;=AA$7),1,AND($K61&lt;=AA$7,$L61&gt;AA$7),((AA$7-$K61)/($L61-$K61)))</f>
        <v>0</v>
      </c>
      <c r="AC61" s="226" cm="1">
        <f t="array" ref="AC61">_xlfn.IFS(AND($K61&gt;AB$7,$L61&gt;AB$7),0,AND($K61&lt;=AB$7,$L61&lt;=AB$7),1,AND($K61&lt;=AB$7,$L61&gt;AB$7),((AB$7-$K61)/($L61-$K61)))</f>
        <v>0</v>
      </c>
      <c r="AD61" s="226" cm="1">
        <f t="array" ref="AD61">_xlfn.IFS(AND($K61&gt;AC$7,$L61&gt;AC$7),0,AND($K61&lt;=AC$7,$L61&lt;=AC$7),1,AND($K61&lt;=AC$7,$L61&gt;AC$7),((AC$7-$K61)/($L61-$K61)))</f>
        <v>0</v>
      </c>
      <c r="AE61" s="226" cm="1">
        <f t="array" ref="AE61">_xlfn.IFS(AND($K61&gt;AD$7,$L61&gt;AD$7),0,AND($K61&lt;=AD$7,$L61&lt;=AD$7),1,AND($K61&lt;=AD$7,$L61&gt;AD$7),((AD$7-$K61)/($L61-$K61)))</f>
        <v>0</v>
      </c>
      <c r="AF61" s="226" cm="1">
        <f t="array" ref="AF61">_xlfn.IFS(AND($K61&gt;AE$7,$L61&gt;AE$7),0,AND($K61&lt;=AE$7,$L61&lt;=AE$7),1,AND($K61&lt;=AE$7,$L61&gt;AE$7),((AE$7-$K61)/($L61-$K61)))</f>
        <v>1</v>
      </c>
      <c r="AG61" s="226" cm="1">
        <f t="array" ref="AG61">_xlfn.IFS(AND($K61&gt;AF$7,$L61&gt;AF$7),0,AND($K61&lt;=AF$7,$L61&lt;=AF$7),1,AND($K61&lt;=AF$7,$L61&gt;AF$7),((AF$7-$K61)/($L61-$K61)))</f>
        <v>1</v>
      </c>
      <c r="AH61" s="226" cm="1">
        <f t="array" ref="AH61">_xlfn.IFS(AND($K61&gt;AG$7,$L61&gt;AG$7),0,AND($K61&lt;=AG$7,$L61&lt;=AG$7),1,AND($K61&lt;=AG$7,$L61&gt;AG$7),((AG$7-$K61)/($L61-$K61)))</f>
        <v>1</v>
      </c>
      <c r="AI61" s="226" cm="1">
        <f t="array" ref="AI61">_xlfn.IFS(AND($K61&gt;AH$7,$L61&gt;AH$7),0,AND($K61&lt;=AH$7,$L61&lt;=AH$7),1,AND($K61&lt;=AH$7,$L61&gt;AH$7),((AH$7-$K61)/($L61-$K61)))</f>
        <v>1</v>
      </c>
      <c r="AJ61" s="226" cm="1">
        <f t="array" ref="AJ61">_xlfn.IFS(AND($K61&gt;AI$7,$L61&gt;AI$7),0,AND($K61&lt;=AI$7,$L61&lt;=AI$7),1,AND($K61&lt;=AI$7,$L61&gt;AI$7),((AI$7-$K61)/($L61-$K61)))</f>
        <v>1</v>
      </c>
      <c r="AK61" s="226" cm="1">
        <f t="array" ref="AK61">_xlfn.IFS(AND($K61&gt;AJ$7,$L61&gt;AJ$7),0,AND($K61&lt;=AJ$7,$L61&lt;=AJ$7),1,AND($K61&lt;=AJ$7,$L61&gt;AJ$7),((AJ$7-$K61)/($L61-$K61)))</f>
        <v>1</v>
      </c>
      <c r="AL61" s="226" cm="1">
        <f t="array" ref="AL61">_xlfn.IFS(AND($K61&gt;AK$7,$L61&gt;AK$7),0,AND($K61&lt;=AK$7,$L61&lt;=AK$7),1,AND($K61&lt;=AK$7,$L61&gt;AK$7),((AK$7-$K61)/($L61-$K61)))</f>
        <v>1</v>
      </c>
      <c r="AM61" s="226" cm="1">
        <f t="array" ref="AM61">_xlfn.IFS(AND($K61&gt;AL$7,$L61&gt;AL$7),0,AND($K61&lt;=AL$7,$L61&lt;=AL$7),1,AND($K61&lt;=AL$7,$L61&gt;AL$7),((AL$7-$K61)/($L61-$K61)))</f>
        <v>1</v>
      </c>
      <c r="AN61" s="226" cm="1">
        <f t="array" ref="AN61">_xlfn.IFS(AND($K61&gt;AM$7,$L61&gt;AM$7),0,AND($K61&lt;=AM$7,$L61&lt;=AM$7),1,AND($K61&lt;=AM$7,$L61&gt;AM$7),((AM$7-$K61)/($L61-$K61)))</f>
        <v>1</v>
      </c>
      <c r="AO61" s="226" cm="1">
        <f t="array" ref="AO61">_xlfn.IFS(AND($K61&gt;AN$7,$L61&gt;AN$7),0,AND($K61&lt;=AN$7,$L61&lt;=AN$7),1,AND($K61&lt;=AN$7,$L61&gt;AN$7),((AN$7-$K61)/($L61-$K61)))</f>
        <v>1</v>
      </c>
      <c r="AP61" s="226" cm="1">
        <f t="array" ref="AP61">_xlfn.IFS(AND($K61&gt;AO$7,$L61&gt;AO$7),0,AND($K61&lt;=AO$7,$L61&lt;=AO$7),1,AND($K61&lt;=AO$7,$L61&gt;AO$7),((AO$7-$K61)/($L61-$K61)))</f>
        <v>1</v>
      </c>
      <c r="AQ61" s="226" cm="1">
        <f t="array" ref="AQ61">_xlfn.IFS(AND($K61&gt;AP$7,$L61&gt;AP$7),0,AND($K61&lt;=AP$7,$L61&lt;=AP$7),1,AND($K61&lt;=AP$7,$L61&gt;AP$7),((AP$7-$K61)/($L61-$K61)))</f>
        <v>1</v>
      </c>
      <c r="AR61" s="226" cm="1">
        <f t="array" ref="AR61">_xlfn.IFS(AND($K61&gt;AQ$7,$L61&gt;AQ$7),0,AND($K61&lt;=AQ$7,$L61&lt;=AQ$7),1,AND($K61&lt;=AQ$7,$L61&gt;AQ$7),((AQ$7-$K61)/($L61-$K61)))</f>
        <v>1</v>
      </c>
      <c r="AS61" s="226" cm="1">
        <f t="array" ref="AS61">_xlfn.IFS(AND($K61&gt;AR$7,$L61&gt;AR$7),0,AND($K61&lt;=AR$7,$L61&lt;=AR$7),1,AND($K61&lt;=AR$7,$L61&gt;AR$7),((AR$7-$K61)/($L61-$K61)))</f>
        <v>1</v>
      </c>
      <c r="AT61" s="226" cm="1">
        <f t="array" ref="AT61">_xlfn.IFS(AND($K61&gt;AS$7,$L61&gt;AS$7),0,AND($K61&lt;=AS$7,$L61&lt;=AS$7),1,AND($K61&lt;=AS$7,$L61&gt;AS$7),((AS$7-$K61)/($L61-$K61)))</f>
        <v>1</v>
      </c>
      <c r="AU61" s="226" cm="1">
        <f t="array" ref="AU61">_xlfn.IFS(AND($K61&gt;AT$7,$L61&gt;AT$7),0,AND($K61&lt;=AT$7,$L61&lt;=AT$7),1,AND($K61&lt;=AT$7,$L61&gt;AT$7),((AT$7-$K61)/($L61-$K61)))</f>
        <v>1</v>
      </c>
      <c r="AV61" s="226" cm="1">
        <f t="array" ref="AV61">_xlfn.IFS(AND($K61&gt;AU$7,$L61&gt;AU$7),0,AND($K61&lt;=AU$7,$L61&lt;=AU$7),1,AND($K61&lt;=AU$7,$L61&gt;AU$7),((AU$7-$K61)/($L61-$K61)))</f>
        <v>1</v>
      </c>
      <c r="AW61" s="226" cm="1">
        <f t="array" ref="AW61">_xlfn.IFS(AND($K61&gt;AV$7,$L61&gt;AV$7),0,AND($K61&lt;=AV$7,$L61&lt;=AV$7),1,AND($K61&lt;=AV$7,$L61&gt;AV$7),((AV$7-$K61)/($L61-$K61)))</f>
        <v>1</v>
      </c>
      <c r="AX61" s="226" cm="1">
        <f t="array" ref="AX61">_xlfn.IFS(AND($K61&gt;AW$7,$L61&gt;AW$7),0,AND($K61&lt;=AW$7,$L61&lt;=AW$7),1,AND($K61&lt;=AW$7,$L61&gt;AW$7),((AW$7-$K61)/($L61-$K61)))</f>
        <v>1</v>
      </c>
      <c r="AY61" s="226" cm="1">
        <f t="array" ref="AY61">_xlfn.IFS(AND($K61&gt;AX$7,$L61&gt;AX$7),0,AND($K61&lt;=AX$7,$L61&lt;=AX$7),1,AND($K61&lt;=AX$7,$L61&gt;AX$7),((AX$7-$K61)/($L61-$K61)))</f>
        <v>1</v>
      </c>
      <c r="AZ61" s="226" cm="1">
        <f t="array" ref="AZ61">_xlfn.IFS(AND($K61&gt;AY$7,$L61&gt;AY$7),0,AND($K61&lt;=AY$7,$L61&lt;=AY$7),1,AND($K61&lt;=AY$7,$L61&gt;AY$7),((AY$7-$K61)/($L61-$K61)))</f>
        <v>1</v>
      </c>
      <c r="BA61" s="226" cm="1">
        <f t="array" ref="BA61">_xlfn.IFS(AND($K61&gt;AZ$7,$L61&gt;AZ$7),0,AND($K61&lt;=AZ$7,$L61&lt;=AZ$7),1,AND($K61&lt;=AZ$7,$L61&gt;AZ$7),((AZ$7-$K61)/($L61-$K61)))</f>
        <v>1</v>
      </c>
      <c r="BB61" s="226" cm="1">
        <f t="array" ref="BB61">_xlfn.IFS(AND($K61&gt;BA$7,$L61&gt;BA$7),0,AND($K61&lt;=BA$7,$L61&lt;=BA$7),1,AND($K61&lt;=BA$7,$L61&gt;BA$7),((BA$7-$K61)/($L61-$K61)))</f>
        <v>1</v>
      </c>
      <c r="BC61" s="226" cm="1">
        <f t="array" ref="BC61">_xlfn.IFS(AND($K61&gt;BB$7,$L61&gt;BB$7),0,AND($K61&lt;=BB$7,$L61&lt;=BB$7),1,AND($K61&lt;=BB$7,$L61&gt;BB$7),((BB$7-$K61)/($L61-$K61)))</f>
        <v>1</v>
      </c>
      <c r="BD61" s="226" cm="1">
        <f t="array" ref="BD61">_xlfn.IFS(AND($K61&gt;BC$7,$L61&gt;BC$7),0,AND($K61&lt;=BC$7,$L61&lt;=BC$7),1,AND($K61&lt;=BC$7,$L61&gt;BC$7),((BC$7-$K61)/($L61-$K61)))</f>
        <v>1</v>
      </c>
      <c r="BE61" s="226" cm="1">
        <f t="array" ref="BE61">_xlfn.IFS(AND($K61&gt;BD$7,$L61&gt;BD$7),0,AND($K61&lt;=BD$7,$L61&lt;=BD$7),1,AND($K61&lt;=BD$7,$L61&gt;BD$7),((BD$7-$K61)/($L61-$K61)))</f>
        <v>1</v>
      </c>
      <c r="BF61" s="226" cm="1">
        <f t="array" ref="BF61">_xlfn.IFS(AND($K61&gt;BE$7,$L61&gt;BE$7),0,AND($K61&lt;=BE$7,$L61&lt;=BE$7),1,AND($K61&lt;=BE$7,$L61&gt;BE$7),((BE$7-$K61)/($L61-$K61)))</f>
        <v>1</v>
      </c>
      <c r="BG61" s="226" cm="1">
        <f t="array" ref="BG61">_xlfn.IFS(AND($K61&gt;BF$7,$L61&gt;BF$7),0,AND($K61&lt;=BF$7,$L61&lt;=BF$7),1,AND($K61&lt;=BF$7,$L61&gt;BF$7),((BF$7-$K61)/($L61-$K61)))</f>
        <v>1</v>
      </c>
      <c r="BH61" s="163">
        <f>Tab.plano6[[#This Row],[Data Término
Prevista]]-Tab.plano6[[#This Row],[Data Início
Previsto]]</f>
        <v>2</v>
      </c>
    </row>
    <row r="62" spans="1:60" s="163" customFormat="1" ht="18" hidden="1" customHeight="1" x14ac:dyDescent="0.3">
      <c r="A62" s="216"/>
      <c r="B62" s="216" t="s">
        <v>12</v>
      </c>
      <c r="C62" s="216" t="s">
        <v>534</v>
      </c>
      <c r="D62" s="249" t="s">
        <v>399</v>
      </c>
      <c r="E62" s="249" t="s">
        <v>422</v>
      </c>
      <c r="F62" s="249" t="s">
        <v>74</v>
      </c>
      <c r="G62" s="249" t="s">
        <v>74</v>
      </c>
      <c r="H62" s="252" t="s">
        <v>829</v>
      </c>
      <c r="I62" s="257">
        <f>I63</f>
        <v>46134</v>
      </c>
      <c r="J62" s="257">
        <f>J63</f>
        <v>46155</v>
      </c>
      <c r="K62" s="257">
        <f>K63</f>
        <v>46111</v>
      </c>
      <c r="L62" s="257">
        <f>L63</f>
        <v>46171</v>
      </c>
      <c r="M62" s="229" t="s">
        <v>437</v>
      </c>
      <c r="N62" s="227" t="str" cm="1">
        <f t="array" ref="N62">_xlfn.IFS(L62&lt;$M$3,"Concluído",AND(K62&lt;=$M$3,L62&gt;=$M$3,L62&lt;=J62),"Em andamento",AND(K62&lt;=$M$3,L62&gt;=$M$3,L62&gt;J62),"Atrasado",AND(K62&gt;$M$3,I62&gt;$M$3),"Não iniciado",AND(K62&gt;$M$3,I62&lt;=$M$3),"Atrasado",TRUE,"Não iniciado")</f>
        <v>Atrasado</v>
      </c>
      <c r="O62" s="229" cm="1">
        <f t="array" ref="O62">_xlfn.IFS(N62="Não iniciado",0,N62="Em andamento",1,N62="Concluído",2,N62="Atrasado",3)</f>
        <v>3</v>
      </c>
      <c r="P62" s="216"/>
      <c r="Q62" s="224">
        <f t="shared" ref="Q62:BG62" si="25">Q63</f>
        <v>1</v>
      </c>
      <c r="R62" s="224">
        <f t="shared" si="25"/>
        <v>0.83333333333333337</v>
      </c>
      <c r="S62" s="224">
        <f t="shared" si="25"/>
        <v>0</v>
      </c>
      <c r="T62" s="224">
        <f t="shared" si="25"/>
        <v>0</v>
      </c>
      <c r="U62" s="224">
        <f t="shared" si="25"/>
        <v>0.40579710144927539</v>
      </c>
      <c r="V62" s="224">
        <f t="shared" si="25"/>
        <v>0.50724637681159424</v>
      </c>
      <c r="W62" s="224">
        <f t="shared" si="25"/>
        <v>0.60869565217391308</v>
      </c>
      <c r="X62" s="224">
        <f t="shared" si="25"/>
        <v>0.68627450980392146</v>
      </c>
      <c r="Y62" s="224">
        <f t="shared" si="25"/>
        <v>0.75490196078431371</v>
      </c>
      <c r="Z62" s="224">
        <f t="shared" si="25"/>
        <v>0.82352941176470595</v>
      </c>
      <c r="AA62" s="224">
        <f t="shared" si="25"/>
        <v>0.89215686274509809</v>
      </c>
      <c r="AB62" s="224">
        <f t="shared" si="25"/>
        <v>0.96078431372549022</v>
      </c>
      <c r="AC62" s="224">
        <f t="shared" si="25"/>
        <v>1</v>
      </c>
      <c r="AD62" s="224">
        <f t="shared" si="25"/>
        <v>1</v>
      </c>
      <c r="AE62" s="224">
        <f t="shared" si="25"/>
        <v>1</v>
      </c>
      <c r="AF62" s="224">
        <f t="shared" si="25"/>
        <v>1</v>
      </c>
      <c r="AG62" s="224">
        <f t="shared" si="25"/>
        <v>1</v>
      </c>
      <c r="AH62" s="224">
        <f t="shared" si="25"/>
        <v>1</v>
      </c>
      <c r="AI62" s="224">
        <f t="shared" si="25"/>
        <v>1</v>
      </c>
      <c r="AJ62" s="224">
        <f t="shared" si="25"/>
        <v>1</v>
      </c>
      <c r="AK62" s="224">
        <f t="shared" si="25"/>
        <v>1</v>
      </c>
      <c r="AL62" s="224">
        <f t="shared" si="25"/>
        <v>1</v>
      </c>
      <c r="AM62" s="224">
        <f t="shared" si="25"/>
        <v>1</v>
      </c>
      <c r="AN62" s="224">
        <f t="shared" si="25"/>
        <v>1</v>
      </c>
      <c r="AO62" s="224">
        <f t="shared" si="25"/>
        <v>1</v>
      </c>
      <c r="AP62" s="224">
        <f t="shared" si="25"/>
        <v>1</v>
      </c>
      <c r="AQ62" s="224">
        <f t="shared" si="25"/>
        <v>1</v>
      </c>
      <c r="AR62" s="224">
        <f t="shared" si="25"/>
        <v>1</v>
      </c>
      <c r="AS62" s="224">
        <f t="shared" si="25"/>
        <v>1</v>
      </c>
      <c r="AT62" s="224">
        <f t="shared" si="25"/>
        <v>1</v>
      </c>
      <c r="AU62" s="224">
        <f t="shared" si="25"/>
        <v>1</v>
      </c>
      <c r="AV62" s="224">
        <f t="shared" si="25"/>
        <v>1</v>
      </c>
      <c r="AW62" s="224">
        <f t="shared" si="25"/>
        <v>1</v>
      </c>
      <c r="AX62" s="224">
        <f t="shared" si="25"/>
        <v>1</v>
      </c>
      <c r="AY62" s="224">
        <f t="shared" si="25"/>
        <v>1</v>
      </c>
      <c r="AZ62" s="224">
        <f t="shared" si="25"/>
        <v>1</v>
      </c>
      <c r="BA62" s="224">
        <f t="shared" si="25"/>
        <v>1</v>
      </c>
      <c r="BB62" s="224">
        <f t="shared" si="25"/>
        <v>1</v>
      </c>
      <c r="BC62" s="224">
        <f t="shared" si="25"/>
        <v>1</v>
      </c>
      <c r="BD62" s="224">
        <f t="shared" si="25"/>
        <v>1</v>
      </c>
      <c r="BE62" s="224">
        <f t="shared" si="25"/>
        <v>1</v>
      </c>
      <c r="BF62" s="224">
        <f t="shared" si="25"/>
        <v>1</v>
      </c>
      <c r="BG62" s="224">
        <f t="shared" si="25"/>
        <v>1</v>
      </c>
      <c r="BH62" s="163">
        <f>Tab.plano6[[#This Row],[Data Término
Prevista]]-Tab.plano6[[#This Row],[Data Início
Previsto]]</f>
        <v>21</v>
      </c>
    </row>
    <row r="63" spans="1:60" s="163" customFormat="1" ht="18" hidden="1" customHeight="1" x14ac:dyDescent="0.3">
      <c r="A63" s="218"/>
      <c r="B63" s="218" t="s">
        <v>13</v>
      </c>
      <c r="C63" s="218" t="s">
        <v>536</v>
      </c>
      <c r="D63" s="250" t="s">
        <v>399</v>
      </c>
      <c r="E63" s="250" t="s">
        <v>422</v>
      </c>
      <c r="F63" s="250" t="s">
        <v>535</v>
      </c>
      <c r="G63" s="250" t="s">
        <v>74</v>
      </c>
      <c r="H63" s="219" t="s">
        <v>535</v>
      </c>
      <c r="I63" s="258">
        <f>MIN(I64:I66)</f>
        <v>46134</v>
      </c>
      <c r="J63" s="258">
        <f>MAX(J64:J66)</f>
        <v>46155</v>
      </c>
      <c r="K63" s="258">
        <f>MIN(K64:K66)</f>
        <v>46111</v>
      </c>
      <c r="L63" s="258">
        <f>MAX(L64:L66)</f>
        <v>46171</v>
      </c>
      <c r="M63" s="230" t="s">
        <v>437</v>
      </c>
      <c r="N63" s="227" t="str" cm="1">
        <f t="array" ref="N63">_xlfn.IFS(L63&lt;$M$3,"Concluído",AND(K63&lt;=$M$3,L63&gt;=$M$3,L63&lt;=J63),"Em andamento",AND(K63&lt;=$M$3,L63&gt;=$M$3,L63&gt;J63),"Atrasado",AND(K63&gt;$M$3,I63&gt;$M$3),"Não iniciado",AND(K63&gt;$M$3,I63&lt;=$M$3),"Atrasado",TRUE,"Não iniciado")</f>
        <v>Atrasado</v>
      </c>
      <c r="O63" s="230" cm="1">
        <f t="array" ref="O63">_xlfn.IFS(N63="Não iniciado",0,N63="Em andamento",1,N63="Concluído",2,N63="Atrasado",3)</f>
        <v>3</v>
      </c>
      <c r="P63" s="218"/>
      <c r="Q63" s="225">
        <f t="shared" ref="Q63:BG63" si="26">AVERAGE(Q64:Q66)</f>
        <v>1</v>
      </c>
      <c r="R63" s="225">
        <f t="shared" si="26"/>
        <v>0.83333333333333337</v>
      </c>
      <c r="S63" s="225">
        <f t="shared" si="26"/>
        <v>0</v>
      </c>
      <c r="T63" s="225">
        <f t="shared" si="26"/>
        <v>0</v>
      </c>
      <c r="U63" s="225">
        <f t="shared" si="26"/>
        <v>0.40579710144927539</v>
      </c>
      <c r="V63" s="225">
        <f t="shared" si="26"/>
        <v>0.50724637681159424</v>
      </c>
      <c r="W63" s="225">
        <f t="shared" si="26"/>
        <v>0.60869565217391308</v>
      </c>
      <c r="X63" s="225">
        <f t="shared" si="26"/>
        <v>0.68627450980392146</v>
      </c>
      <c r="Y63" s="225">
        <f t="shared" si="26"/>
        <v>0.75490196078431371</v>
      </c>
      <c r="Z63" s="225">
        <f t="shared" si="26"/>
        <v>0.82352941176470595</v>
      </c>
      <c r="AA63" s="225">
        <f t="shared" si="26"/>
        <v>0.89215686274509809</v>
      </c>
      <c r="AB63" s="225">
        <f t="shared" si="26"/>
        <v>0.96078431372549022</v>
      </c>
      <c r="AC63" s="225">
        <f t="shared" si="26"/>
        <v>1</v>
      </c>
      <c r="AD63" s="225">
        <f t="shared" si="26"/>
        <v>1</v>
      </c>
      <c r="AE63" s="225">
        <f t="shared" si="26"/>
        <v>1</v>
      </c>
      <c r="AF63" s="225">
        <f t="shared" si="26"/>
        <v>1</v>
      </c>
      <c r="AG63" s="225">
        <f t="shared" si="26"/>
        <v>1</v>
      </c>
      <c r="AH63" s="225">
        <f t="shared" si="26"/>
        <v>1</v>
      </c>
      <c r="AI63" s="225">
        <f t="shared" si="26"/>
        <v>1</v>
      </c>
      <c r="AJ63" s="225">
        <f t="shared" si="26"/>
        <v>1</v>
      </c>
      <c r="AK63" s="225">
        <f t="shared" si="26"/>
        <v>1</v>
      </c>
      <c r="AL63" s="225">
        <f t="shared" si="26"/>
        <v>1</v>
      </c>
      <c r="AM63" s="225">
        <f t="shared" si="26"/>
        <v>1</v>
      </c>
      <c r="AN63" s="225">
        <f t="shared" si="26"/>
        <v>1</v>
      </c>
      <c r="AO63" s="225">
        <f t="shared" si="26"/>
        <v>1</v>
      </c>
      <c r="AP63" s="225">
        <f t="shared" si="26"/>
        <v>1</v>
      </c>
      <c r="AQ63" s="225">
        <f t="shared" si="26"/>
        <v>1</v>
      </c>
      <c r="AR63" s="225">
        <f t="shared" si="26"/>
        <v>1</v>
      </c>
      <c r="AS63" s="225">
        <f t="shared" si="26"/>
        <v>1</v>
      </c>
      <c r="AT63" s="225">
        <f t="shared" si="26"/>
        <v>1</v>
      </c>
      <c r="AU63" s="225">
        <f t="shared" si="26"/>
        <v>1</v>
      </c>
      <c r="AV63" s="225">
        <f t="shared" si="26"/>
        <v>1</v>
      </c>
      <c r="AW63" s="225">
        <f t="shared" si="26"/>
        <v>1</v>
      </c>
      <c r="AX63" s="225">
        <f t="shared" si="26"/>
        <v>1</v>
      </c>
      <c r="AY63" s="225">
        <f t="shared" si="26"/>
        <v>1</v>
      </c>
      <c r="AZ63" s="225">
        <f t="shared" si="26"/>
        <v>1</v>
      </c>
      <c r="BA63" s="225">
        <f t="shared" si="26"/>
        <v>1</v>
      </c>
      <c r="BB63" s="225">
        <f t="shared" si="26"/>
        <v>1</v>
      </c>
      <c r="BC63" s="225">
        <f t="shared" si="26"/>
        <v>1</v>
      </c>
      <c r="BD63" s="225">
        <f t="shared" si="26"/>
        <v>1</v>
      </c>
      <c r="BE63" s="225">
        <f t="shared" si="26"/>
        <v>1</v>
      </c>
      <c r="BF63" s="225">
        <f t="shared" si="26"/>
        <v>1</v>
      </c>
      <c r="BG63" s="225">
        <f t="shared" si="26"/>
        <v>1</v>
      </c>
      <c r="BH63" s="163">
        <f>Tab.plano6[[#This Row],[Data Término
Prevista]]-Tab.plano6[[#This Row],[Data Início
Previsto]]</f>
        <v>21</v>
      </c>
    </row>
    <row r="64" spans="1:60" s="163" customFormat="1" ht="18" hidden="1" customHeight="1" x14ac:dyDescent="0.3">
      <c r="A64" s="220"/>
      <c r="B64" s="220" t="s">
        <v>161</v>
      </c>
      <c r="C64" s="220" t="s">
        <v>537</v>
      </c>
      <c r="D64" s="251" t="s">
        <v>399</v>
      </c>
      <c r="E64" s="251" t="s">
        <v>422</v>
      </c>
      <c r="F64" s="251" t="s">
        <v>535</v>
      </c>
      <c r="G64" s="251" t="s">
        <v>535</v>
      </c>
      <c r="H64" s="221" t="s">
        <v>538</v>
      </c>
      <c r="I64" s="260">
        <v>46134</v>
      </c>
      <c r="J64" s="260">
        <v>46135</v>
      </c>
      <c r="K64" s="260">
        <v>46111</v>
      </c>
      <c r="L64" s="260">
        <v>46112</v>
      </c>
      <c r="M64" s="231" t="s">
        <v>437</v>
      </c>
      <c r="N64" s="227" t="str" cm="1">
        <f t="array" ref="N64">_xlfn.IFS(L64&lt;$M$3,"Concluído",AND(K64&lt;=$M$3,L64&gt;=$M$3,L64&lt;=J64),"Em andamento",AND(K64&lt;=$M$3,L64&gt;=$M$3,L64&gt;J64),"Atrasado",AND(K64&gt;$M$3,I64&gt;$M$3),"Não iniciado",AND(K64&gt;$M$3,I64&lt;=$M$3),"Atrasado",TRUE,"Não iniciado")</f>
        <v>Concluído</v>
      </c>
      <c r="O64" s="231" cm="1">
        <f t="array" ref="O64">_xlfn.IFS(N64="Não iniciado",0,N64="Em andamento",1,N64="Concluído",2,N64="Atrasado",3)</f>
        <v>2</v>
      </c>
      <c r="P64" s="220"/>
      <c r="Q64" s="226" cm="1">
        <f t="array" ref="Q64">_xlfn.IFS(AND($I64&lt;$M$3,$J64&lt;$M$3),1,AND($I64&lt;=$M$3,$J64&gt;=$M$3),0.5,AND($I64&gt;=$M$3,$J64&gt;=$M$3),0)</f>
        <v>1</v>
      </c>
      <c r="R64" s="226" cm="1">
        <f t="array" ref="R64">_xlfn.IFS(AND($K64&lt;$M$3,$L64&lt;$M$3),1,AND($K64&lt;=$M$3,$L64&gt;=$M$3),0.5,AND($K64&gt;=$M$3,$L64&gt;=$M$3),0)</f>
        <v>1</v>
      </c>
      <c r="S64" s="226" cm="1">
        <f t="array" ref="S64">_xlfn.IFS(AND($K64&gt;R$7,$L64&gt;R$7),0,AND($K64&lt;=R$7,$L64&lt;=R$7),1,AND($K64&lt;=R$7,$L64&gt;R$7),((R$7-$K64)/($L64-$K64)))</f>
        <v>0</v>
      </c>
      <c r="T64" s="226" cm="1">
        <f t="array" ref="T64">_xlfn.IFS(AND($K64&gt;S$7,$L64&gt;S$7),0,AND($K64&lt;=S$7,$L64&lt;=S$7),1,AND($K64&lt;=S$7,$L64&gt;S$7),((S$7-$K64)/($L64-$K64)))</f>
        <v>0</v>
      </c>
      <c r="U64" s="226" cm="1">
        <f t="array" ref="U64">_xlfn.IFS(AND($K64&gt;T$7,$L64&gt;T$7),0,AND($K64&lt;=T$7,$L64&lt;=T$7),1,AND($K64&lt;=T$7,$L64&gt;T$7),((T$7-$K64)/($L64-$K64)))</f>
        <v>1</v>
      </c>
      <c r="V64" s="226" cm="1">
        <f t="array" ref="V64">_xlfn.IFS(AND($K64&gt;U$7,$L64&gt;U$7),0,AND($K64&lt;=U$7,$L64&lt;=U$7),1,AND($K64&lt;=U$7,$L64&gt;U$7),((U$7-$K64)/($L64-$K64)))</f>
        <v>1</v>
      </c>
      <c r="W64" s="226" cm="1">
        <f t="array" ref="W64">_xlfn.IFS(AND($K64&gt;V$7,$L64&gt;V$7),0,AND($K64&lt;=V$7,$L64&lt;=V$7),1,AND($K64&lt;=V$7,$L64&gt;V$7),((V$7-$K64)/($L64-$K64)))</f>
        <v>1</v>
      </c>
      <c r="X64" s="226" cm="1">
        <f t="array" ref="X64">_xlfn.IFS(AND($K64&gt;W$7,$L64&gt;W$7),0,AND($K64&lt;=W$7,$L64&lt;=W$7),1,AND($K64&lt;=W$7,$L64&gt;W$7),((W$7-$K64)/($L64-$K64)))</f>
        <v>1</v>
      </c>
      <c r="Y64" s="226" cm="1">
        <f t="array" ref="Y64">_xlfn.IFS(AND($K64&gt;X$7,$L64&gt;X$7),0,AND($K64&lt;=X$7,$L64&lt;=X$7),1,AND($K64&lt;=X$7,$L64&gt;X$7),((X$7-$K64)/($L64-$K64)))</f>
        <v>1</v>
      </c>
      <c r="Z64" s="226" cm="1">
        <f t="array" ref="Z64">_xlfn.IFS(AND($K64&gt;Y$7,$L64&gt;Y$7),0,AND($K64&lt;=Y$7,$L64&lt;=Y$7),1,AND($K64&lt;=Y$7,$L64&gt;Y$7),((Y$7-$K64)/($L64-$K64)))</f>
        <v>1</v>
      </c>
      <c r="AA64" s="226" cm="1">
        <f t="array" ref="AA64">_xlfn.IFS(AND($K64&gt;Z$7,$L64&gt;Z$7),0,AND($K64&lt;=Z$7,$L64&lt;=Z$7),1,AND($K64&lt;=Z$7,$L64&gt;Z$7),((Z$7-$K64)/($L64-$K64)))</f>
        <v>1</v>
      </c>
      <c r="AB64" s="226" cm="1">
        <f t="array" ref="AB64">_xlfn.IFS(AND($K64&gt;AA$7,$L64&gt;AA$7),0,AND($K64&lt;=AA$7,$L64&lt;=AA$7),1,AND($K64&lt;=AA$7,$L64&gt;AA$7),((AA$7-$K64)/($L64-$K64)))</f>
        <v>1</v>
      </c>
      <c r="AC64" s="226" cm="1">
        <f t="array" ref="AC64">_xlfn.IFS(AND($K64&gt;AB$7,$L64&gt;AB$7),0,AND($K64&lt;=AB$7,$L64&lt;=AB$7),1,AND($K64&lt;=AB$7,$L64&gt;AB$7),((AB$7-$K64)/($L64-$K64)))</f>
        <v>1</v>
      </c>
      <c r="AD64" s="226" cm="1">
        <f t="array" ref="AD64">_xlfn.IFS(AND($K64&gt;AC$7,$L64&gt;AC$7),0,AND($K64&lt;=AC$7,$L64&lt;=AC$7),1,AND($K64&lt;=AC$7,$L64&gt;AC$7),((AC$7-$K64)/($L64-$K64)))</f>
        <v>1</v>
      </c>
      <c r="AE64" s="226" cm="1">
        <f t="array" ref="AE64">_xlfn.IFS(AND($K64&gt;AD$7,$L64&gt;AD$7),0,AND($K64&lt;=AD$7,$L64&lt;=AD$7),1,AND($K64&lt;=AD$7,$L64&gt;AD$7),((AD$7-$K64)/($L64-$K64)))</f>
        <v>1</v>
      </c>
      <c r="AF64" s="226" cm="1">
        <f t="array" ref="AF64">_xlfn.IFS(AND($K64&gt;AE$7,$L64&gt;AE$7),0,AND($K64&lt;=AE$7,$L64&lt;=AE$7),1,AND($K64&lt;=AE$7,$L64&gt;AE$7),((AE$7-$K64)/($L64-$K64)))</f>
        <v>1</v>
      </c>
      <c r="AG64" s="226" cm="1">
        <f t="array" ref="AG64">_xlfn.IFS(AND($K64&gt;AF$7,$L64&gt;AF$7),0,AND($K64&lt;=AF$7,$L64&lt;=AF$7),1,AND($K64&lt;=AF$7,$L64&gt;AF$7),((AF$7-$K64)/($L64-$K64)))</f>
        <v>1</v>
      </c>
      <c r="AH64" s="226" cm="1">
        <f t="array" ref="AH64">_xlfn.IFS(AND($K64&gt;AG$7,$L64&gt;AG$7),0,AND($K64&lt;=AG$7,$L64&lt;=AG$7),1,AND($K64&lt;=AG$7,$L64&gt;AG$7),((AG$7-$K64)/($L64-$K64)))</f>
        <v>1</v>
      </c>
      <c r="AI64" s="226" cm="1">
        <f t="array" ref="AI64">_xlfn.IFS(AND($K64&gt;AH$7,$L64&gt;AH$7),0,AND($K64&lt;=AH$7,$L64&lt;=AH$7),1,AND($K64&lt;=AH$7,$L64&gt;AH$7),((AH$7-$K64)/($L64-$K64)))</f>
        <v>1</v>
      </c>
      <c r="AJ64" s="226" cm="1">
        <f t="array" ref="AJ64">_xlfn.IFS(AND($K64&gt;AI$7,$L64&gt;AI$7),0,AND($K64&lt;=AI$7,$L64&lt;=AI$7),1,AND($K64&lt;=AI$7,$L64&gt;AI$7),((AI$7-$K64)/($L64-$K64)))</f>
        <v>1</v>
      </c>
      <c r="AK64" s="226" cm="1">
        <f t="array" ref="AK64">_xlfn.IFS(AND($K64&gt;AJ$7,$L64&gt;AJ$7),0,AND($K64&lt;=AJ$7,$L64&lt;=AJ$7),1,AND($K64&lt;=AJ$7,$L64&gt;AJ$7),((AJ$7-$K64)/($L64-$K64)))</f>
        <v>1</v>
      </c>
      <c r="AL64" s="226" cm="1">
        <f t="array" ref="AL64">_xlfn.IFS(AND($K64&gt;AK$7,$L64&gt;AK$7),0,AND($K64&lt;=AK$7,$L64&lt;=AK$7),1,AND($K64&lt;=AK$7,$L64&gt;AK$7),((AK$7-$K64)/($L64-$K64)))</f>
        <v>1</v>
      </c>
      <c r="AM64" s="226" cm="1">
        <f t="array" ref="AM64">_xlfn.IFS(AND($K64&gt;AL$7,$L64&gt;AL$7),0,AND($K64&lt;=AL$7,$L64&lt;=AL$7),1,AND($K64&lt;=AL$7,$L64&gt;AL$7),((AL$7-$K64)/($L64-$K64)))</f>
        <v>1</v>
      </c>
      <c r="AN64" s="226" cm="1">
        <f t="array" ref="AN64">_xlfn.IFS(AND($K64&gt;AM$7,$L64&gt;AM$7),0,AND($K64&lt;=AM$7,$L64&lt;=AM$7),1,AND($K64&lt;=AM$7,$L64&gt;AM$7),((AM$7-$K64)/($L64-$K64)))</f>
        <v>1</v>
      </c>
      <c r="AO64" s="226" cm="1">
        <f t="array" ref="AO64">_xlfn.IFS(AND($K64&gt;AN$7,$L64&gt;AN$7),0,AND($K64&lt;=AN$7,$L64&lt;=AN$7),1,AND($K64&lt;=AN$7,$L64&gt;AN$7),((AN$7-$K64)/($L64-$K64)))</f>
        <v>1</v>
      </c>
      <c r="AP64" s="226" cm="1">
        <f t="array" ref="AP64">_xlfn.IFS(AND($K64&gt;AO$7,$L64&gt;AO$7),0,AND($K64&lt;=AO$7,$L64&lt;=AO$7),1,AND($K64&lt;=AO$7,$L64&gt;AO$7),((AO$7-$K64)/($L64-$K64)))</f>
        <v>1</v>
      </c>
      <c r="AQ64" s="226" cm="1">
        <f t="array" ref="AQ64">_xlfn.IFS(AND($K64&gt;AP$7,$L64&gt;AP$7),0,AND($K64&lt;=AP$7,$L64&lt;=AP$7),1,AND($K64&lt;=AP$7,$L64&gt;AP$7),((AP$7-$K64)/($L64-$K64)))</f>
        <v>1</v>
      </c>
      <c r="AR64" s="226" cm="1">
        <f t="array" ref="AR64">_xlfn.IFS(AND($K64&gt;AQ$7,$L64&gt;AQ$7),0,AND($K64&lt;=AQ$7,$L64&lt;=AQ$7),1,AND($K64&lt;=AQ$7,$L64&gt;AQ$7),((AQ$7-$K64)/($L64-$K64)))</f>
        <v>1</v>
      </c>
      <c r="AS64" s="226" cm="1">
        <f t="array" ref="AS64">_xlfn.IFS(AND($K64&gt;AR$7,$L64&gt;AR$7),0,AND($K64&lt;=AR$7,$L64&lt;=AR$7),1,AND($K64&lt;=AR$7,$L64&gt;AR$7),((AR$7-$K64)/($L64-$K64)))</f>
        <v>1</v>
      </c>
      <c r="AT64" s="226" cm="1">
        <f t="array" ref="AT64">_xlfn.IFS(AND($K64&gt;AS$7,$L64&gt;AS$7),0,AND($K64&lt;=AS$7,$L64&lt;=AS$7),1,AND($K64&lt;=AS$7,$L64&gt;AS$7),((AS$7-$K64)/($L64-$K64)))</f>
        <v>1</v>
      </c>
      <c r="AU64" s="226" cm="1">
        <f t="array" ref="AU64">_xlfn.IFS(AND($K64&gt;AT$7,$L64&gt;AT$7),0,AND($K64&lt;=AT$7,$L64&lt;=AT$7),1,AND($K64&lt;=AT$7,$L64&gt;AT$7),((AT$7-$K64)/($L64-$K64)))</f>
        <v>1</v>
      </c>
      <c r="AV64" s="226" cm="1">
        <f t="array" ref="AV64">_xlfn.IFS(AND($K64&gt;AU$7,$L64&gt;AU$7),0,AND($K64&lt;=AU$7,$L64&lt;=AU$7),1,AND($K64&lt;=AU$7,$L64&gt;AU$7),((AU$7-$K64)/($L64-$K64)))</f>
        <v>1</v>
      </c>
      <c r="AW64" s="226" cm="1">
        <f t="array" ref="AW64">_xlfn.IFS(AND($K64&gt;AV$7,$L64&gt;AV$7),0,AND($K64&lt;=AV$7,$L64&lt;=AV$7),1,AND($K64&lt;=AV$7,$L64&gt;AV$7),((AV$7-$K64)/($L64-$K64)))</f>
        <v>1</v>
      </c>
      <c r="AX64" s="226" cm="1">
        <f t="array" ref="AX64">_xlfn.IFS(AND($K64&gt;AW$7,$L64&gt;AW$7),0,AND($K64&lt;=AW$7,$L64&lt;=AW$7),1,AND($K64&lt;=AW$7,$L64&gt;AW$7),((AW$7-$K64)/($L64-$K64)))</f>
        <v>1</v>
      </c>
      <c r="AY64" s="226" cm="1">
        <f t="array" ref="AY64">_xlfn.IFS(AND($K64&gt;AX$7,$L64&gt;AX$7),0,AND($K64&lt;=AX$7,$L64&lt;=AX$7),1,AND($K64&lt;=AX$7,$L64&gt;AX$7),((AX$7-$K64)/($L64-$K64)))</f>
        <v>1</v>
      </c>
      <c r="AZ64" s="226" cm="1">
        <f t="array" ref="AZ64">_xlfn.IFS(AND($K64&gt;AY$7,$L64&gt;AY$7),0,AND($K64&lt;=AY$7,$L64&lt;=AY$7),1,AND($K64&lt;=AY$7,$L64&gt;AY$7),((AY$7-$K64)/($L64-$K64)))</f>
        <v>1</v>
      </c>
      <c r="BA64" s="226" cm="1">
        <f t="array" ref="BA64">_xlfn.IFS(AND($K64&gt;AZ$7,$L64&gt;AZ$7),0,AND($K64&lt;=AZ$7,$L64&lt;=AZ$7),1,AND($K64&lt;=AZ$7,$L64&gt;AZ$7),((AZ$7-$K64)/($L64-$K64)))</f>
        <v>1</v>
      </c>
      <c r="BB64" s="226" cm="1">
        <f t="array" ref="BB64">_xlfn.IFS(AND($K64&gt;BA$7,$L64&gt;BA$7),0,AND($K64&lt;=BA$7,$L64&lt;=BA$7),1,AND($K64&lt;=BA$7,$L64&gt;BA$7),((BA$7-$K64)/($L64-$K64)))</f>
        <v>1</v>
      </c>
      <c r="BC64" s="226" cm="1">
        <f t="array" ref="BC64">_xlfn.IFS(AND($K64&gt;BB$7,$L64&gt;BB$7),0,AND($K64&lt;=BB$7,$L64&lt;=BB$7),1,AND($K64&lt;=BB$7,$L64&gt;BB$7),((BB$7-$K64)/($L64-$K64)))</f>
        <v>1</v>
      </c>
      <c r="BD64" s="226" cm="1">
        <f t="array" ref="BD64">_xlfn.IFS(AND($K64&gt;BC$7,$L64&gt;BC$7),0,AND($K64&lt;=BC$7,$L64&lt;=BC$7),1,AND($K64&lt;=BC$7,$L64&gt;BC$7),((BC$7-$K64)/($L64-$K64)))</f>
        <v>1</v>
      </c>
      <c r="BE64" s="226" cm="1">
        <f t="array" ref="BE64">_xlfn.IFS(AND($K64&gt;BD$7,$L64&gt;BD$7),0,AND($K64&lt;=BD$7,$L64&lt;=BD$7),1,AND($K64&lt;=BD$7,$L64&gt;BD$7),((BD$7-$K64)/($L64-$K64)))</f>
        <v>1</v>
      </c>
      <c r="BF64" s="226" cm="1">
        <f t="array" ref="BF64">_xlfn.IFS(AND($K64&gt;BE$7,$L64&gt;BE$7),0,AND($K64&lt;=BE$7,$L64&lt;=BE$7),1,AND($K64&lt;=BE$7,$L64&gt;BE$7),((BE$7-$K64)/($L64-$K64)))</f>
        <v>1</v>
      </c>
      <c r="BG64" s="226" cm="1">
        <f t="array" ref="BG64">_xlfn.IFS(AND($K64&gt;BF$7,$L64&gt;BF$7),0,AND($K64&lt;=BF$7,$L64&lt;=BF$7),1,AND($K64&lt;=BF$7,$L64&gt;BF$7),((BF$7-$K64)/($L64-$K64)))</f>
        <v>1</v>
      </c>
      <c r="BH64" s="163">
        <f>Tab.plano6[[#This Row],[Data Término
Prevista]]-Tab.plano6[[#This Row],[Data Início
Previsto]]</f>
        <v>1</v>
      </c>
    </row>
    <row r="65" spans="1:60" s="163" customFormat="1" ht="18" hidden="1" customHeight="1" x14ac:dyDescent="0.3">
      <c r="A65" s="220"/>
      <c r="B65" s="220" t="s">
        <v>161</v>
      </c>
      <c r="C65" s="220" t="s">
        <v>539</v>
      </c>
      <c r="D65" s="251" t="s">
        <v>399</v>
      </c>
      <c r="E65" s="251" t="s">
        <v>422</v>
      </c>
      <c r="F65" s="251" t="s">
        <v>535</v>
      </c>
      <c r="G65" s="251" t="s">
        <v>535</v>
      </c>
      <c r="H65" s="221" t="s">
        <v>540</v>
      </c>
      <c r="I65" s="260">
        <v>46136</v>
      </c>
      <c r="J65" s="260">
        <v>46150</v>
      </c>
      <c r="K65" s="260">
        <v>46113</v>
      </c>
      <c r="L65" s="260">
        <v>46136</v>
      </c>
      <c r="M65" s="231" t="s">
        <v>437</v>
      </c>
      <c r="N65" s="227" t="str" cm="1">
        <f t="array" ref="N65">_xlfn.IFS(L65&lt;$M$3,"Concluído",AND(K65&lt;=$M$3,L65&gt;=$M$3,L65&lt;=J65),"Em andamento",AND(K65&lt;=$M$3,L65&gt;=$M$3,L65&gt;J65),"Atrasado",AND(K65&gt;$M$3,I65&gt;$M$3),"Não iniciado",AND(K65&gt;$M$3,I65&lt;=$M$3),"Atrasado",TRUE,"Não iniciado")</f>
        <v>Concluído</v>
      </c>
      <c r="O65" s="231" cm="1">
        <f t="array" ref="O65">_xlfn.IFS(N65="Não iniciado",0,N65="Em andamento",1,N65="Concluído",2,N65="Atrasado",3)</f>
        <v>2</v>
      </c>
      <c r="P65" s="220"/>
      <c r="Q65" s="226" cm="1">
        <f t="array" ref="Q65">_xlfn.IFS(AND($I65&lt;$M$3,$J65&lt;$M$3),1,AND($I65&lt;=$M$3,$J65&gt;=$M$3),0.5,AND($I65&gt;=$M$3,$J65&gt;=$M$3),0)</f>
        <v>1</v>
      </c>
      <c r="R65" s="226" cm="1">
        <f t="array" ref="R65">_xlfn.IFS(AND($K65&lt;$M$3,$L65&lt;$M$3),1,AND($K65&lt;=$M$3,$L65&gt;=$M$3),0.5,AND($K65&gt;=$M$3,$L65&gt;=$M$3),0)</f>
        <v>1</v>
      </c>
      <c r="S65" s="226" cm="1">
        <f t="array" ref="S65">_xlfn.IFS(AND($K65&gt;R$7,$L65&gt;R$7),0,AND($K65&lt;=R$7,$L65&lt;=R$7),1,AND($K65&lt;=R$7,$L65&gt;R$7),((R$7-$K65)/($L65-$K65)))</f>
        <v>0</v>
      </c>
      <c r="T65" s="226" cm="1">
        <f t="array" ref="T65">_xlfn.IFS(AND($K65&gt;S$7,$L65&gt;S$7),0,AND($K65&lt;=S$7,$L65&lt;=S$7),1,AND($K65&lt;=S$7,$L65&gt;S$7),((S$7-$K65)/($L65-$K65)))</f>
        <v>0</v>
      </c>
      <c r="U65" s="226" cm="1">
        <f t="array" ref="U65">_xlfn.IFS(AND($K65&gt;T$7,$L65&gt;T$7),0,AND($K65&lt;=T$7,$L65&lt;=T$7),1,AND($K65&lt;=T$7,$L65&gt;T$7),((T$7-$K65)/($L65-$K65)))</f>
        <v>0.21739130434782608</v>
      </c>
      <c r="V65" s="226" cm="1">
        <f t="array" ref="V65">_xlfn.IFS(AND($K65&gt;U$7,$L65&gt;U$7),0,AND($K65&lt;=U$7,$L65&lt;=U$7),1,AND($K65&lt;=U$7,$L65&gt;U$7),((U$7-$K65)/($L65-$K65)))</f>
        <v>0.52173913043478259</v>
      </c>
      <c r="W65" s="226" cm="1">
        <f t="array" ref="W65">_xlfn.IFS(AND($K65&gt;V$7,$L65&gt;V$7),0,AND($K65&lt;=V$7,$L65&lt;=V$7),1,AND($K65&lt;=V$7,$L65&gt;V$7),((V$7-$K65)/($L65-$K65)))</f>
        <v>0.82608695652173914</v>
      </c>
      <c r="X65" s="226" cm="1">
        <f t="array" ref="X65">_xlfn.IFS(AND($K65&gt;W$7,$L65&gt;W$7),0,AND($K65&lt;=W$7,$L65&lt;=W$7),1,AND($K65&lt;=W$7,$L65&gt;W$7),((W$7-$K65)/($L65-$K65)))</f>
        <v>1</v>
      </c>
      <c r="Y65" s="226" cm="1">
        <f t="array" ref="Y65">_xlfn.IFS(AND($K65&gt;X$7,$L65&gt;X$7),0,AND($K65&lt;=X$7,$L65&lt;=X$7),1,AND($K65&lt;=X$7,$L65&gt;X$7),((X$7-$K65)/($L65-$K65)))</f>
        <v>1</v>
      </c>
      <c r="Z65" s="226" cm="1">
        <f t="array" ref="Z65">_xlfn.IFS(AND($K65&gt;Y$7,$L65&gt;Y$7),0,AND($K65&lt;=Y$7,$L65&lt;=Y$7),1,AND($K65&lt;=Y$7,$L65&gt;Y$7),((Y$7-$K65)/($L65-$K65)))</f>
        <v>1</v>
      </c>
      <c r="AA65" s="226" cm="1">
        <f t="array" ref="AA65">_xlfn.IFS(AND($K65&gt;Z$7,$L65&gt;Z$7),0,AND($K65&lt;=Z$7,$L65&lt;=Z$7),1,AND($K65&lt;=Z$7,$L65&gt;Z$7),((Z$7-$K65)/($L65-$K65)))</f>
        <v>1</v>
      </c>
      <c r="AB65" s="226" cm="1">
        <f t="array" ref="AB65">_xlfn.IFS(AND($K65&gt;AA$7,$L65&gt;AA$7),0,AND($K65&lt;=AA$7,$L65&lt;=AA$7),1,AND($K65&lt;=AA$7,$L65&gt;AA$7),((AA$7-$K65)/($L65-$K65)))</f>
        <v>1</v>
      </c>
      <c r="AC65" s="226" cm="1">
        <f t="array" ref="AC65">_xlfn.IFS(AND($K65&gt;AB$7,$L65&gt;AB$7),0,AND($K65&lt;=AB$7,$L65&lt;=AB$7),1,AND($K65&lt;=AB$7,$L65&gt;AB$7),((AB$7-$K65)/($L65-$K65)))</f>
        <v>1</v>
      </c>
      <c r="AD65" s="226" cm="1">
        <f t="array" ref="AD65">_xlfn.IFS(AND($K65&gt;AC$7,$L65&gt;AC$7),0,AND($K65&lt;=AC$7,$L65&lt;=AC$7),1,AND($K65&lt;=AC$7,$L65&gt;AC$7),((AC$7-$K65)/($L65-$K65)))</f>
        <v>1</v>
      </c>
      <c r="AE65" s="226" cm="1">
        <f t="array" ref="AE65">_xlfn.IFS(AND($K65&gt;AD$7,$L65&gt;AD$7),0,AND($K65&lt;=AD$7,$L65&lt;=AD$7),1,AND($K65&lt;=AD$7,$L65&gt;AD$7),((AD$7-$K65)/($L65-$K65)))</f>
        <v>1</v>
      </c>
      <c r="AF65" s="226" cm="1">
        <f t="array" ref="AF65">_xlfn.IFS(AND($K65&gt;AE$7,$L65&gt;AE$7),0,AND($K65&lt;=AE$7,$L65&lt;=AE$7),1,AND($K65&lt;=AE$7,$L65&gt;AE$7),((AE$7-$K65)/($L65-$K65)))</f>
        <v>1</v>
      </c>
      <c r="AG65" s="226" cm="1">
        <f t="array" ref="AG65">_xlfn.IFS(AND($K65&gt;AF$7,$L65&gt;AF$7),0,AND($K65&lt;=AF$7,$L65&lt;=AF$7),1,AND($K65&lt;=AF$7,$L65&gt;AF$7),((AF$7-$K65)/($L65-$K65)))</f>
        <v>1</v>
      </c>
      <c r="AH65" s="226" cm="1">
        <f t="array" ref="AH65">_xlfn.IFS(AND($K65&gt;AG$7,$L65&gt;AG$7),0,AND($K65&lt;=AG$7,$L65&lt;=AG$7),1,AND($K65&lt;=AG$7,$L65&gt;AG$7),((AG$7-$K65)/($L65-$K65)))</f>
        <v>1</v>
      </c>
      <c r="AI65" s="226" cm="1">
        <f t="array" ref="AI65">_xlfn.IFS(AND($K65&gt;AH$7,$L65&gt;AH$7),0,AND($K65&lt;=AH$7,$L65&lt;=AH$7),1,AND($K65&lt;=AH$7,$L65&gt;AH$7),((AH$7-$K65)/($L65-$K65)))</f>
        <v>1</v>
      </c>
      <c r="AJ65" s="226" cm="1">
        <f t="array" ref="AJ65">_xlfn.IFS(AND($K65&gt;AI$7,$L65&gt;AI$7),0,AND($K65&lt;=AI$7,$L65&lt;=AI$7),1,AND($K65&lt;=AI$7,$L65&gt;AI$7),((AI$7-$K65)/($L65-$K65)))</f>
        <v>1</v>
      </c>
      <c r="AK65" s="226" cm="1">
        <f t="array" ref="AK65">_xlfn.IFS(AND($K65&gt;AJ$7,$L65&gt;AJ$7),0,AND($K65&lt;=AJ$7,$L65&lt;=AJ$7),1,AND($K65&lt;=AJ$7,$L65&gt;AJ$7),((AJ$7-$K65)/($L65-$K65)))</f>
        <v>1</v>
      </c>
      <c r="AL65" s="226" cm="1">
        <f t="array" ref="AL65">_xlfn.IFS(AND($K65&gt;AK$7,$L65&gt;AK$7),0,AND($K65&lt;=AK$7,$L65&lt;=AK$7),1,AND($K65&lt;=AK$7,$L65&gt;AK$7),((AK$7-$K65)/($L65-$K65)))</f>
        <v>1</v>
      </c>
      <c r="AM65" s="226" cm="1">
        <f t="array" ref="AM65">_xlfn.IFS(AND($K65&gt;AL$7,$L65&gt;AL$7),0,AND($K65&lt;=AL$7,$L65&lt;=AL$7),1,AND($K65&lt;=AL$7,$L65&gt;AL$7),((AL$7-$K65)/($L65-$K65)))</f>
        <v>1</v>
      </c>
      <c r="AN65" s="226" cm="1">
        <f t="array" ref="AN65">_xlfn.IFS(AND($K65&gt;AM$7,$L65&gt;AM$7),0,AND($K65&lt;=AM$7,$L65&lt;=AM$7),1,AND($K65&lt;=AM$7,$L65&gt;AM$7),((AM$7-$K65)/($L65-$K65)))</f>
        <v>1</v>
      </c>
      <c r="AO65" s="226" cm="1">
        <f t="array" ref="AO65">_xlfn.IFS(AND($K65&gt;AN$7,$L65&gt;AN$7),0,AND($K65&lt;=AN$7,$L65&lt;=AN$7),1,AND($K65&lt;=AN$7,$L65&gt;AN$7),((AN$7-$K65)/($L65-$K65)))</f>
        <v>1</v>
      </c>
      <c r="AP65" s="226" cm="1">
        <f t="array" ref="AP65">_xlfn.IFS(AND($K65&gt;AO$7,$L65&gt;AO$7),0,AND($K65&lt;=AO$7,$L65&lt;=AO$7),1,AND($K65&lt;=AO$7,$L65&gt;AO$7),((AO$7-$K65)/($L65-$K65)))</f>
        <v>1</v>
      </c>
      <c r="AQ65" s="226" cm="1">
        <f t="array" ref="AQ65">_xlfn.IFS(AND($K65&gt;AP$7,$L65&gt;AP$7),0,AND($K65&lt;=AP$7,$L65&lt;=AP$7),1,AND($K65&lt;=AP$7,$L65&gt;AP$7),((AP$7-$K65)/($L65-$K65)))</f>
        <v>1</v>
      </c>
      <c r="AR65" s="226" cm="1">
        <f t="array" ref="AR65">_xlfn.IFS(AND($K65&gt;AQ$7,$L65&gt;AQ$7),0,AND($K65&lt;=AQ$7,$L65&lt;=AQ$7),1,AND($K65&lt;=AQ$7,$L65&gt;AQ$7),((AQ$7-$K65)/($L65-$K65)))</f>
        <v>1</v>
      </c>
      <c r="AS65" s="226" cm="1">
        <f t="array" ref="AS65">_xlfn.IFS(AND($K65&gt;AR$7,$L65&gt;AR$7),0,AND($K65&lt;=AR$7,$L65&lt;=AR$7),1,AND($K65&lt;=AR$7,$L65&gt;AR$7),((AR$7-$K65)/($L65-$K65)))</f>
        <v>1</v>
      </c>
      <c r="AT65" s="226" cm="1">
        <f t="array" ref="AT65">_xlfn.IFS(AND($K65&gt;AS$7,$L65&gt;AS$7),0,AND($K65&lt;=AS$7,$L65&lt;=AS$7),1,AND($K65&lt;=AS$7,$L65&gt;AS$7),((AS$7-$K65)/($L65-$K65)))</f>
        <v>1</v>
      </c>
      <c r="AU65" s="226" cm="1">
        <f t="array" ref="AU65">_xlfn.IFS(AND($K65&gt;AT$7,$L65&gt;AT$7),0,AND($K65&lt;=AT$7,$L65&lt;=AT$7),1,AND($K65&lt;=AT$7,$L65&gt;AT$7),((AT$7-$K65)/($L65-$K65)))</f>
        <v>1</v>
      </c>
      <c r="AV65" s="226" cm="1">
        <f t="array" ref="AV65">_xlfn.IFS(AND($K65&gt;AU$7,$L65&gt;AU$7),0,AND($K65&lt;=AU$7,$L65&lt;=AU$7),1,AND($K65&lt;=AU$7,$L65&gt;AU$7),((AU$7-$K65)/($L65-$K65)))</f>
        <v>1</v>
      </c>
      <c r="AW65" s="226" cm="1">
        <f t="array" ref="AW65">_xlfn.IFS(AND($K65&gt;AV$7,$L65&gt;AV$7),0,AND($K65&lt;=AV$7,$L65&lt;=AV$7),1,AND($K65&lt;=AV$7,$L65&gt;AV$7),((AV$7-$K65)/($L65-$K65)))</f>
        <v>1</v>
      </c>
      <c r="AX65" s="226" cm="1">
        <f t="array" ref="AX65">_xlfn.IFS(AND($K65&gt;AW$7,$L65&gt;AW$7),0,AND($K65&lt;=AW$7,$L65&lt;=AW$7),1,AND($K65&lt;=AW$7,$L65&gt;AW$7),((AW$7-$K65)/($L65-$K65)))</f>
        <v>1</v>
      </c>
      <c r="AY65" s="226" cm="1">
        <f t="array" ref="AY65">_xlfn.IFS(AND($K65&gt;AX$7,$L65&gt;AX$7),0,AND($K65&lt;=AX$7,$L65&lt;=AX$7),1,AND($K65&lt;=AX$7,$L65&gt;AX$7),((AX$7-$K65)/($L65-$K65)))</f>
        <v>1</v>
      </c>
      <c r="AZ65" s="226" cm="1">
        <f t="array" ref="AZ65">_xlfn.IFS(AND($K65&gt;AY$7,$L65&gt;AY$7),0,AND($K65&lt;=AY$7,$L65&lt;=AY$7),1,AND($K65&lt;=AY$7,$L65&gt;AY$7),((AY$7-$K65)/($L65-$K65)))</f>
        <v>1</v>
      </c>
      <c r="BA65" s="226" cm="1">
        <f t="array" ref="BA65">_xlfn.IFS(AND($K65&gt;AZ$7,$L65&gt;AZ$7),0,AND($K65&lt;=AZ$7,$L65&lt;=AZ$7),1,AND($K65&lt;=AZ$7,$L65&gt;AZ$7),((AZ$7-$K65)/($L65-$K65)))</f>
        <v>1</v>
      </c>
      <c r="BB65" s="226" cm="1">
        <f t="array" ref="BB65">_xlfn.IFS(AND($K65&gt;BA$7,$L65&gt;BA$7),0,AND($K65&lt;=BA$7,$L65&lt;=BA$7),1,AND($K65&lt;=BA$7,$L65&gt;BA$7),((BA$7-$K65)/($L65-$K65)))</f>
        <v>1</v>
      </c>
      <c r="BC65" s="226" cm="1">
        <f t="array" ref="BC65">_xlfn.IFS(AND($K65&gt;BB$7,$L65&gt;BB$7),0,AND($K65&lt;=BB$7,$L65&lt;=BB$7),1,AND($K65&lt;=BB$7,$L65&gt;BB$7),((BB$7-$K65)/($L65-$K65)))</f>
        <v>1</v>
      </c>
      <c r="BD65" s="226" cm="1">
        <f t="array" ref="BD65">_xlfn.IFS(AND($K65&gt;BC$7,$L65&gt;BC$7),0,AND($K65&lt;=BC$7,$L65&lt;=BC$7),1,AND($K65&lt;=BC$7,$L65&gt;BC$7),((BC$7-$K65)/($L65-$K65)))</f>
        <v>1</v>
      </c>
      <c r="BE65" s="226" cm="1">
        <f t="array" ref="BE65">_xlfn.IFS(AND($K65&gt;BD$7,$L65&gt;BD$7),0,AND($K65&lt;=BD$7,$L65&lt;=BD$7),1,AND($K65&lt;=BD$7,$L65&gt;BD$7),((BD$7-$K65)/($L65-$K65)))</f>
        <v>1</v>
      </c>
      <c r="BF65" s="226" cm="1">
        <f t="array" ref="BF65">_xlfn.IFS(AND($K65&gt;BE$7,$L65&gt;BE$7),0,AND($K65&lt;=BE$7,$L65&lt;=BE$7),1,AND($K65&lt;=BE$7,$L65&gt;BE$7),((BE$7-$K65)/($L65-$K65)))</f>
        <v>1</v>
      </c>
      <c r="BG65" s="226" cm="1">
        <f t="array" ref="BG65">_xlfn.IFS(AND($K65&gt;BF$7,$L65&gt;BF$7),0,AND($K65&lt;=BF$7,$L65&lt;=BF$7),1,AND($K65&lt;=BF$7,$L65&gt;BF$7),((BF$7-$K65)/($L65-$K65)))</f>
        <v>1</v>
      </c>
      <c r="BH65" s="163">
        <f>Tab.plano6[[#This Row],[Data Término
Prevista]]-Tab.plano6[[#This Row],[Data Início
Previsto]]</f>
        <v>14</v>
      </c>
    </row>
    <row r="66" spans="1:60" s="163" customFormat="1" ht="18" hidden="1" customHeight="1" x14ac:dyDescent="0.3">
      <c r="A66" s="220"/>
      <c r="B66" s="220" t="s">
        <v>161</v>
      </c>
      <c r="C66" s="220" t="s">
        <v>834</v>
      </c>
      <c r="D66" s="251" t="s">
        <v>399</v>
      </c>
      <c r="E66" s="251" t="s">
        <v>422</v>
      </c>
      <c r="F66" s="251" t="s">
        <v>535</v>
      </c>
      <c r="G66" s="251" t="s">
        <v>535</v>
      </c>
      <c r="H66" s="246" t="s">
        <v>809</v>
      </c>
      <c r="I66" s="260">
        <v>46153</v>
      </c>
      <c r="J66" s="260">
        <v>46155</v>
      </c>
      <c r="K66" s="260">
        <v>46137</v>
      </c>
      <c r="L66" s="260">
        <v>46171</v>
      </c>
      <c r="M66" s="259" t="s">
        <v>437</v>
      </c>
      <c r="N66" s="227" t="str" cm="1">
        <f t="array" ref="N66">_xlfn.IFS(L66&lt;$M$3,"Concluído",AND(K66&lt;=$M$3,L66&gt;=$M$3,L66&lt;=J66),"Em andamento",AND(K66&lt;=$M$3,L66&gt;=$M$3,L66&gt;J66),"Atrasado",AND(K66&gt;$M$3,I66&gt;$M$3),"Não iniciado",AND(K66&gt;$M$3,I66&lt;=$M$3),"Atrasado",TRUE,"Não iniciado")</f>
        <v>Atrasado</v>
      </c>
      <c r="O66" s="231" cm="1">
        <f t="array" ref="O66">_xlfn.IFS(N66="Não iniciado",0,N66="Em andamento",1,N66="Concluído",2,N66="Atrasado",3)</f>
        <v>3</v>
      </c>
      <c r="P66" s="220"/>
      <c r="Q66" s="226" cm="1">
        <f t="array" ref="Q66">_xlfn.IFS(AND($I66&lt;$M$3,$J66&lt;$M$3),1,AND($I66&lt;=$M$3,$J66&gt;=$M$3),0.5,AND($I66&gt;=$M$3,$J66&gt;=$M$3),0)</f>
        <v>1</v>
      </c>
      <c r="R66" s="226" cm="1">
        <f t="array" ref="R66">_xlfn.IFS(AND($K66&lt;$M$3,$L66&lt;$M$3),1,AND($K66&lt;=$M$3,$L66&gt;=$M$3),0.5,AND($K66&gt;=$M$3,$L66&gt;=$M$3),0)</f>
        <v>0.5</v>
      </c>
      <c r="S66" s="226" cm="1">
        <f t="array" ref="S66">_xlfn.IFS(AND($K66&gt;R$7,$L66&gt;R$7),0,AND($K66&lt;=R$7,$L66&lt;=R$7),1,AND($K66&lt;=R$7,$L66&gt;R$7),((R$7-$K66)/($L66-$K66)))</f>
        <v>0</v>
      </c>
      <c r="T66" s="226" cm="1">
        <f t="array" ref="T66">_xlfn.IFS(AND($K66&gt;S$7,$L66&gt;S$7),0,AND($K66&lt;=S$7,$L66&lt;=S$7),1,AND($K66&lt;=S$7,$L66&gt;S$7),((S$7-$K66)/($L66-$K66)))</f>
        <v>0</v>
      </c>
      <c r="U66" s="226" cm="1">
        <f t="array" ref="U66">_xlfn.IFS(AND($K66&gt;T$7,$L66&gt;T$7),0,AND($K66&lt;=T$7,$L66&lt;=T$7),1,AND($K66&lt;=T$7,$L66&gt;T$7),((T$7-$K66)/($L66-$K66)))</f>
        <v>0</v>
      </c>
      <c r="V66" s="226" cm="1">
        <f t="array" ref="V66">_xlfn.IFS(AND($K66&gt;U$7,$L66&gt;U$7),0,AND($K66&lt;=U$7,$L66&lt;=U$7),1,AND($K66&lt;=U$7,$L66&gt;U$7),((U$7-$K66)/($L66-$K66)))</f>
        <v>0</v>
      </c>
      <c r="W66" s="226" cm="1">
        <f t="array" ref="W66">_xlfn.IFS(AND($K66&gt;V$7,$L66&gt;V$7),0,AND($K66&lt;=V$7,$L66&lt;=V$7),1,AND($K66&lt;=V$7,$L66&gt;V$7),((V$7-$K66)/($L66-$K66)))</f>
        <v>0</v>
      </c>
      <c r="X66" s="226" cm="1">
        <f t="array" ref="X66">_xlfn.IFS(AND($K66&gt;W$7,$L66&gt;W$7),0,AND($K66&lt;=W$7,$L66&lt;=W$7),1,AND($K66&lt;=W$7,$L66&gt;W$7),((W$7-$K66)/($L66-$K66)))</f>
        <v>5.8823529411764705E-2</v>
      </c>
      <c r="Y66" s="226" cm="1">
        <f t="array" ref="Y66">_xlfn.IFS(AND($K66&gt;X$7,$L66&gt;X$7),0,AND($K66&lt;=X$7,$L66&lt;=X$7),1,AND($K66&lt;=X$7,$L66&gt;X$7),((X$7-$K66)/($L66-$K66)))</f>
        <v>0.26470588235294118</v>
      </c>
      <c r="Z66" s="226" cm="1">
        <f t="array" ref="Z66">_xlfn.IFS(AND($K66&gt;Y$7,$L66&gt;Y$7),0,AND($K66&lt;=Y$7,$L66&lt;=Y$7),1,AND($K66&lt;=Y$7,$L66&gt;Y$7),((Y$7-$K66)/($L66-$K66)))</f>
        <v>0.47058823529411764</v>
      </c>
      <c r="AA66" s="226" cm="1">
        <f t="array" ref="AA66">_xlfn.IFS(AND($K66&gt;Z$7,$L66&gt;Z$7),0,AND($K66&lt;=Z$7,$L66&lt;=Z$7),1,AND($K66&lt;=Z$7,$L66&gt;Z$7),((Z$7-$K66)/($L66-$K66)))</f>
        <v>0.67647058823529416</v>
      </c>
      <c r="AB66" s="226" cm="1">
        <f t="array" ref="AB66">_xlfn.IFS(AND($K66&gt;AA$7,$L66&gt;AA$7),0,AND($K66&lt;=AA$7,$L66&lt;=AA$7),1,AND($K66&lt;=AA$7,$L66&gt;AA$7),((AA$7-$K66)/($L66-$K66)))</f>
        <v>0.88235294117647056</v>
      </c>
      <c r="AC66" s="226" cm="1">
        <f t="array" ref="AC66">_xlfn.IFS(AND($K66&gt;AB$7,$L66&gt;AB$7),0,AND($K66&lt;=AB$7,$L66&lt;=AB$7),1,AND($K66&lt;=AB$7,$L66&gt;AB$7),((AB$7-$K66)/($L66-$K66)))</f>
        <v>1</v>
      </c>
      <c r="AD66" s="226" cm="1">
        <f t="array" ref="AD66">_xlfn.IFS(AND($K66&gt;AC$7,$L66&gt;AC$7),0,AND($K66&lt;=AC$7,$L66&lt;=AC$7),1,AND($K66&lt;=AC$7,$L66&gt;AC$7),((AC$7-$K66)/($L66-$K66)))</f>
        <v>1</v>
      </c>
      <c r="AE66" s="226" cm="1">
        <f t="array" ref="AE66">_xlfn.IFS(AND($K66&gt;AD$7,$L66&gt;AD$7),0,AND($K66&lt;=AD$7,$L66&lt;=AD$7),1,AND($K66&lt;=AD$7,$L66&gt;AD$7),((AD$7-$K66)/($L66-$K66)))</f>
        <v>1</v>
      </c>
      <c r="AF66" s="226" cm="1">
        <f t="array" ref="AF66">_xlfn.IFS(AND($K66&gt;AE$7,$L66&gt;AE$7),0,AND($K66&lt;=AE$7,$L66&lt;=AE$7),1,AND($K66&lt;=AE$7,$L66&gt;AE$7),((AE$7-$K66)/($L66-$K66)))</f>
        <v>1</v>
      </c>
      <c r="AG66" s="226" cm="1">
        <f t="array" ref="AG66">_xlfn.IFS(AND($K66&gt;AF$7,$L66&gt;AF$7),0,AND($K66&lt;=AF$7,$L66&lt;=AF$7),1,AND($K66&lt;=AF$7,$L66&gt;AF$7),((AF$7-$K66)/($L66-$K66)))</f>
        <v>1</v>
      </c>
      <c r="AH66" s="226" cm="1">
        <f t="array" ref="AH66">_xlfn.IFS(AND($K66&gt;AG$7,$L66&gt;AG$7),0,AND($K66&lt;=AG$7,$L66&lt;=AG$7),1,AND($K66&lt;=AG$7,$L66&gt;AG$7),((AG$7-$K66)/($L66-$K66)))</f>
        <v>1</v>
      </c>
      <c r="AI66" s="226" cm="1">
        <f t="array" ref="AI66">_xlfn.IFS(AND($K66&gt;AH$7,$L66&gt;AH$7),0,AND($K66&lt;=AH$7,$L66&lt;=AH$7),1,AND($K66&lt;=AH$7,$L66&gt;AH$7),((AH$7-$K66)/($L66-$K66)))</f>
        <v>1</v>
      </c>
      <c r="AJ66" s="226" cm="1">
        <f t="array" ref="AJ66">_xlfn.IFS(AND($K66&gt;AI$7,$L66&gt;AI$7),0,AND($K66&lt;=AI$7,$L66&lt;=AI$7),1,AND($K66&lt;=AI$7,$L66&gt;AI$7),((AI$7-$K66)/($L66-$K66)))</f>
        <v>1</v>
      </c>
      <c r="AK66" s="226" cm="1">
        <f t="array" ref="AK66">_xlfn.IFS(AND($K66&gt;AJ$7,$L66&gt;AJ$7),0,AND($K66&lt;=AJ$7,$L66&lt;=AJ$7),1,AND($K66&lt;=AJ$7,$L66&gt;AJ$7),((AJ$7-$K66)/($L66-$K66)))</f>
        <v>1</v>
      </c>
      <c r="AL66" s="226" cm="1">
        <f t="array" ref="AL66">_xlfn.IFS(AND($K66&gt;AK$7,$L66&gt;AK$7),0,AND($K66&lt;=AK$7,$L66&lt;=AK$7),1,AND($K66&lt;=AK$7,$L66&gt;AK$7),((AK$7-$K66)/($L66-$K66)))</f>
        <v>1</v>
      </c>
      <c r="AM66" s="226" cm="1">
        <f t="array" ref="AM66">_xlfn.IFS(AND($K66&gt;AL$7,$L66&gt;AL$7),0,AND($K66&lt;=AL$7,$L66&lt;=AL$7),1,AND($K66&lt;=AL$7,$L66&gt;AL$7),((AL$7-$K66)/($L66-$K66)))</f>
        <v>1</v>
      </c>
      <c r="AN66" s="226" cm="1">
        <f t="array" ref="AN66">_xlfn.IFS(AND($K66&gt;AM$7,$L66&gt;AM$7),0,AND($K66&lt;=AM$7,$L66&lt;=AM$7),1,AND($K66&lt;=AM$7,$L66&gt;AM$7),((AM$7-$K66)/($L66-$K66)))</f>
        <v>1</v>
      </c>
      <c r="AO66" s="226" cm="1">
        <f t="array" ref="AO66">_xlfn.IFS(AND($K66&gt;AN$7,$L66&gt;AN$7),0,AND($K66&lt;=AN$7,$L66&lt;=AN$7),1,AND($K66&lt;=AN$7,$L66&gt;AN$7),((AN$7-$K66)/($L66-$K66)))</f>
        <v>1</v>
      </c>
      <c r="AP66" s="226" cm="1">
        <f t="array" ref="AP66">_xlfn.IFS(AND($K66&gt;AO$7,$L66&gt;AO$7),0,AND($K66&lt;=AO$7,$L66&lt;=AO$7),1,AND($K66&lt;=AO$7,$L66&gt;AO$7),((AO$7-$K66)/($L66-$K66)))</f>
        <v>1</v>
      </c>
      <c r="AQ66" s="226" cm="1">
        <f t="array" ref="AQ66">_xlfn.IFS(AND($K66&gt;AP$7,$L66&gt;AP$7),0,AND($K66&lt;=AP$7,$L66&lt;=AP$7),1,AND($K66&lt;=AP$7,$L66&gt;AP$7),((AP$7-$K66)/($L66-$K66)))</f>
        <v>1</v>
      </c>
      <c r="AR66" s="226" cm="1">
        <f t="array" ref="AR66">_xlfn.IFS(AND($K66&gt;AQ$7,$L66&gt;AQ$7),0,AND($K66&lt;=AQ$7,$L66&lt;=AQ$7),1,AND($K66&lt;=AQ$7,$L66&gt;AQ$7),((AQ$7-$K66)/($L66-$K66)))</f>
        <v>1</v>
      </c>
      <c r="AS66" s="226" cm="1">
        <f t="array" ref="AS66">_xlfn.IFS(AND($K66&gt;AR$7,$L66&gt;AR$7),0,AND($K66&lt;=AR$7,$L66&lt;=AR$7),1,AND($K66&lt;=AR$7,$L66&gt;AR$7),((AR$7-$K66)/($L66-$K66)))</f>
        <v>1</v>
      </c>
      <c r="AT66" s="226" cm="1">
        <f t="array" ref="AT66">_xlfn.IFS(AND($K66&gt;AS$7,$L66&gt;AS$7),0,AND($K66&lt;=AS$7,$L66&lt;=AS$7),1,AND($K66&lt;=AS$7,$L66&gt;AS$7),((AS$7-$K66)/($L66-$K66)))</f>
        <v>1</v>
      </c>
      <c r="AU66" s="226" cm="1">
        <f t="array" ref="AU66">_xlfn.IFS(AND($K66&gt;AT$7,$L66&gt;AT$7),0,AND($K66&lt;=AT$7,$L66&lt;=AT$7),1,AND($K66&lt;=AT$7,$L66&gt;AT$7),((AT$7-$K66)/($L66-$K66)))</f>
        <v>1</v>
      </c>
      <c r="AV66" s="226" cm="1">
        <f t="array" ref="AV66">_xlfn.IFS(AND($K66&gt;AU$7,$L66&gt;AU$7),0,AND($K66&lt;=AU$7,$L66&lt;=AU$7),1,AND($K66&lt;=AU$7,$L66&gt;AU$7),((AU$7-$K66)/($L66-$K66)))</f>
        <v>1</v>
      </c>
      <c r="AW66" s="226" cm="1">
        <f t="array" ref="AW66">_xlfn.IFS(AND($K66&gt;AV$7,$L66&gt;AV$7),0,AND($K66&lt;=AV$7,$L66&lt;=AV$7),1,AND($K66&lt;=AV$7,$L66&gt;AV$7),((AV$7-$K66)/($L66-$K66)))</f>
        <v>1</v>
      </c>
      <c r="AX66" s="226" cm="1">
        <f t="array" ref="AX66">_xlfn.IFS(AND($K66&gt;AW$7,$L66&gt;AW$7),0,AND($K66&lt;=AW$7,$L66&lt;=AW$7),1,AND($K66&lt;=AW$7,$L66&gt;AW$7),((AW$7-$K66)/($L66-$K66)))</f>
        <v>1</v>
      </c>
      <c r="AY66" s="226" cm="1">
        <f t="array" ref="AY66">_xlfn.IFS(AND($K66&gt;AX$7,$L66&gt;AX$7),0,AND($K66&lt;=AX$7,$L66&lt;=AX$7),1,AND($K66&lt;=AX$7,$L66&gt;AX$7),((AX$7-$K66)/($L66-$K66)))</f>
        <v>1</v>
      </c>
      <c r="AZ66" s="226" cm="1">
        <f t="array" ref="AZ66">_xlfn.IFS(AND($K66&gt;AY$7,$L66&gt;AY$7),0,AND($K66&lt;=AY$7,$L66&lt;=AY$7),1,AND($K66&lt;=AY$7,$L66&gt;AY$7),((AY$7-$K66)/($L66-$K66)))</f>
        <v>1</v>
      </c>
      <c r="BA66" s="226" cm="1">
        <f t="array" ref="BA66">_xlfn.IFS(AND($K66&gt;AZ$7,$L66&gt;AZ$7),0,AND($K66&lt;=AZ$7,$L66&lt;=AZ$7),1,AND($K66&lt;=AZ$7,$L66&gt;AZ$7),((AZ$7-$K66)/($L66-$K66)))</f>
        <v>1</v>
      </c>
      <c r="BB66" s="226" cm="1">
        <f t="array" ref="BB66">_xlfn.IFS(AND($K66&gt;BA$7,$L66&gt;BA$7),0,AND($K66&lt;=BA$7,$L66&lt;=BA$7),1,AND($K66&lt;=BA$7,$L66&gt;BA$7),((BA$7-$K66)/($L66-$K66)))</f>
        <v>1</v>
      </c>
      <c r="BC66" s="226" cm="1">
        <f t="array" ref="BC66">_xlfn.IFS(AND($K66&gt;BB$7,$L66&gt;BB$7),0,AND($K66&lt;=BB$7,$L66&lt;=BB$7),1,AND($K66&lt;=BB$7,$L66&gt;BB$7),((BB$7-$K66)/($L66-$K66)))</f>
        <v>1</v>
      </c>
      <c r="BD66" s="226" cm="1">
        <f t="array" ref="BD66">_xlfn.IFS(AND($K66&gt;BC$7,$L66&gt;BC$7),0,AND($K66&lt;=BC$7,$L66&lt;=BC$7),1,AND($K66&lt;=BC$7,$L66&gt;BC$7),((BC$7-$K66)/($L66-$K66)))</f>
        <v>1</v>
      </c>
      <c r="BE66" s="226" cm="1">
        <f t="array" ref="BE66">_xlfn.IFS(AND($K66&gt;BD$7,$L66&gt;BD$7),0,AND($K66&lt;=BD$7,$L66&lt;=BD$7),1,AND($K66&lt;=BD$7,$L66&gt;BD$7),((BD$7-$K66)/($L66-$K66)))</f>
        <v>1</v>
      </c>
      <c r="BF66" s="226" cm="1">
        <f t="array" ref="BF66">_xlfn.IFS(AND($K66&gt;BE$7,$L66&gt;BE$7),0,AND($K66&lt;=BE$7,$L66&lt;=BE$7),1,AND($K66&lt;=BE$7,$L66&gt;BE$7),((BE$7-$K66)/($L66-$K66)))</f>
        <v>1</v>
      </c>
      <c r="BG66" s="226" cm="1">
        <f t="array" ref="BG66">_xlfn.IFS(AND($K66&gt;BF$7,$L66&gt;BF$7),0,AND($K66&lt;=BF$7,$L66&lt;=BF$7),1,AND($K66&lt;=BF$7,$L66&gt;BF$7),((BF$7-$K66)/($L66-$K66)))</f>
        <v>1</v>
      </c>
      <c r="BH66">
        <f>Tab.plano6[[#This Row],[Data Término
Prevista]]-Tab.plano6[[#This Row],[Data Início
Previsto]]</f>
        <v>2</v>
      </c>
    </row>
    <row r="67" spans="1:60" s="163" customFormat="1" ht="18" hidden="1" customHeight="1" x14ac:dyDescent="0.3">
      <c r="A67" s="216"/>
      <c r="B67" s="216" t="s">
        <v>12</v>
      </c>
      <c r="C67" s="216" t="s">
        <v>541</v>
      </c>
      <c r="D67" s="249" t="s">
        <v>399</v>
      </c>
      <c r="E67" s="249" t="s">
        <v>422</v>
      </c>
      <c r="F67" s="249" t="s">
        <v>74</v>
      </c>
      <c r="G67" s="249" t="s">
        <v>74</v>
      </c>
      <c r="H67" s="217" t="s">
        <v>833</v>
      </c>
      <c r="I67" s="257">
        <f>I68</f>
        <v>46139</v>
      </c>
      <c r="J67" s="257">
        <f>J68</f>
        <v>46163</v>
      </c>
      <c r="K67" s="257">
        <f>K68</f>
        <v>46139</v>
      </c>
      <c r="L67" s="257">
        <f>L68</f>
        <v>46171</v>
      </c>
      <c r="M67" s="229" t="s">
        <v>488</v>
      </c>
      <c r="N67" s="227" t="str" cm="1">
        <f t="array" ref="N67">_xlfn.IFS(L67&lt;$M$3,"Concluído",AND(K67&lt;=$M$3,L67&gt;=$M$3,L67&lt;=J67),"Em andamento",AND(K67&lt;=$M$3,L67&gt;=$M$3,L67&gt;J67),"Atrasado",AND(K67&gt;$M$3,I67&gt;$M$3),"Não iniciado",AND(K67&gt;$M$3,I67&lt;=$M$3),"Atrasado",TRUE,"Não iniciado")</f>
        <v>Atrasado</v>
      </c>
      <c r="O67" s="229" cm="1">
        <f t="array" ref="O67">_xlfn.IFS(N67="Não iniciado",0,N67="Em andamento",1,N67="Concluído",2,N67="Atrasado",3)</f>
        <v>3</v>
      </c>
      <c r="P67" s="216"/>
      <c r="Q67" s="224">
        <f t="shared" ref="Q67:BG67" si="27">Q68</f>
        <v>1</v>
      </c>
      <c r="R67" s="224">
        <f t="shared" si="27"/>
        <v>0.83333333333333337</v>
      </c>
      <c r="S67" s="224">
        <f t="shared" si="27"/>
        <v>0</v>
      </c>
      <c r="T67" s="224">
        <f t="shared" si="27"/>
        <v>0</v>
      </c>
      <c r="U67" s="224">
        <f t="shared" si="27"/>
        <v>0</v>
      </c>
      <c r="V67" s="224">
        <f t="shared" si="27"/>
        <v>0</v>
      </c>
      <c r="W67" s="224">
        <f t="shared" si="27"/>
        <v>0</v>
      </c>
      <c r="X67" s="224">
        <f t="shared" si="27"/>
        <v>0</v>
      </c>
      <c r="Y67" s="224">
        <f t="shared" si="27"/>
        <v>0.41269841269841273</v>
      </c>
      <c r="Z67" s="224">
        <f t="shared" si="27"/>
        <v>0.52380952380952384</v>
      </c>
      <c r="AA67" s="224">
        <f t="shared" si="27"/>
        <v>0.63492063492063489</v>
      </c>
      <c r="AB67" s="224">
        <f t="shared" si="27"/>
        <v>0.8666666666666667</v>
      </c>
      <c r="AC67" s="224">
        <f t="shared" si="27"/>
        <v>1</v>
      </c>
      <c r="AD67" s="224">
        <f t="shared" si="27"/>
        <v>1</v>
      </c>
      <c r="AE67" s="224">
        <f t="shared" si="27"/>
        <v>1</v>
      </c>
      <c r="AF67" s="224">
        <f t="shared" si="27"/>
        <v>1</v>
      </c>
      <c r="AG67" s="224">
        <f t="shared" si="27"/>
        <v>1</v>
      </c>
      <c r="AH67" s="224">
        <f t="shared" si="27"/>
        <v>1</v>
      </c>
      <c r="AI67" s="224">
        <f t="shared" si="27"/>
        <v>1</v>
      </c>
      <c r="AJ67" s="224">
        <f t="shared" si="27"/>
        <v>1</v>
      </c>
      <c r="AK67" s="224">
        <f t="shared" si="27"/>
        <v>1</v>
      </c>
      <c r="AL67" s="224">
        <f t="shared" si="27"/>
        <v>1</v>
      </c>
      <c r="AM67" s="224">
        <f t="shared" si="27"/>
        <v>1</v>
      </c>
      <c r="AN67" s="224">
        <f t="shared" si="27"/>
        <v>1</v>
      </c>
      <c r="AO67" s="224">
        <f t="shared" si="27"/>
        <v>1</v>
      </c>
      <c r="AP67" s="224">
        <f t="shared" si="27"/>
        <v>1</v>
      </c>
      <c r="AQ67" s="224">
        <f t="shared" si="27"/>
        <v>1</v>
      </c>
      <c r="AR67" s="224">
        <f t="shared" si="27"/>
        <v>1</v>
      </c>
      <c r="AS67" s="224">
        <f t="shared" si="27"/>
        <v>1</v>
      </c>
      <c r="AT67" s="224">
        <f t="shared" si="27"/>
        <v>1</v>
      </c>
      <c r="AU67" s="224">
        <f t="shared" si="27"/>
        <v>1</v>
      </c>
      <c r="AV67" s="224">
        <f t="shared" si="27"/>
        <v>1</v>
      </c>
      <c r="AW67" s="224">
        <f t="shared" si="27"/>
        <v>1</v>
      </c>
      <c r="AX67" s="224">
        <f t="shared" si="27"/>
        <v>1</v>
      </c>
      <c r="AY67" s="224">
        <f t="shared" si="27"/>
        <v>1</v>
      </c>
      <c r="AZ67" s="224">
        <f t="shared" si="27"/>
        <v>1</v>
      </c>
      <c r="BA67" s="224">
        <f t="shared" si="27"/>
        <v>1</v>
      </c>
      <c r="BB67" s="224">
        <f t="shared" si="27"/>
        <v>1</v>
      </c>
      <c r="BC67" s="224">
        <f t="shared" si="27"/>
        <v>1</v>
      </c>
      <c r="BD67" s="224">
        <f t="shared" si="27"/>
        <v>1</v>
      </c>
      <c r="BE67" s="224">
        <f t="shared" si="27"/>
        <v>1</v>
      </c>
      <c r="BF67" s="224">
        <f t="shared" si="27"/>
        <v>1</v>
      </c>
      <c r="BG67" s="224">
        <f t="shared" si="27"/>
        <v>1</v>
      </c>
      <c r="BH67">
        <f>Tab.plano6[[#This Row],[Data Término
Prevista]]-Tab.plano6[[#This Row],[Data Início
Previsto]]</f>
        <v>24</v>
      </c>
    </row>
    <row r="68" spans="1:60" s="163" customFormat="1" ht="18" hidden="1" customHeight="1" x14ac:dyDescent="0.3">
      <c r="A68" s="218"/>
      <c r="B68" s="218" t="s">
        <v>13</v>
      </c>
      <c r="C68" s="218" t="s">
        <v>543</v>
      </c>
      <c r="D68" s="250" t="s">
        <v>399</v>
      </c>
      <c r="E68" s="250" t="s">
        <v>422</v>
      </c>
      <c r="F68" s="250" t="s">
        <v>542</v>
      </c>
      <c r="G68" s="250" t="s">
        <v>74</v>
      </c>
      <c r="H68" s="219" t="s">
        <v>566</v>
      </c>
      <c r="I68" s="258">
        <f>MIN(I69:I71)</f>
        <v>46139</v>
      </c>
      <c r="J68" s="258">
        <f>MAX(J69:J71)</f>
        <v>46163</v>
      </c>
      <c r="K68" s="258">
        <f>MIN(K69:K71)</f>
        <v>46139</v>
      </c>
      <c r="L68" s="258">
        <f>MAX(L69:L71)</f>
        <v>46171</v>
      </c>
      <c r="M68" s="230" t="s">
        <v>488</v>
      </c>
      <c r="N68" s="227" t="str" cm="1">
        <f t="array" ref="N68">_xlfn.IFS(L68&lt;$M$3,"Concluído",AND(K68&lt;=$M$3,L68&gt;=$M$3,L68&lt;=J68),"Em andamento",AND(K68&lt;=$M$3,L68&gt;=$M$3,L68&gt;J68),"Atrasado",AND(K68&gt;$M$3,I68&gt;$M$3),"Não iniciado",AND(K68&gt;$M$3,I68&lt;=$M$3),"Atrasado",TRUE,"Não iniciado")</f>
        <v>Atrasado</v>
      </c>
      <c r="O68" s="230" cm="1">
        <f t="array" ref="O68">_xlfn.IFS(N68="Não iniciado",0,N68="Em andamento",1,N68="Concluído",2,N68="Atrasado",3)</f>
        <v>3</v>
      </c>
      <c r="P68" s="218"/>
      <c r="Q68" s="225">
        <f t="shared" ref="Q68:BG68" si="28">AVERAGE(Q69:Q71)</f>
        <v>1</v>
      </c>
      <c r="R68" s="225">
        <f t="shared" si="28"/>
        <v>0.83333333333333337</v>
      </c>
      <c r="S68" s="225">
        <f t="shared" si="28"/>
        <v>0</v>
      </c>
      <c r="T68" s="225">
        <f t="shared" si="28"/>
        <v>0</v>
      </c>
      <c r="U68" s="225">
        <f t="shared" si="28"/>
        <v>0</v>
      </c>
      <c r="V68" s="225">
        <f t="shared" si="28"/>
        <v>0</v>
      </c>
      <c r="W68" s="225">
        <f t="shared" si="28"/>
        <v>0</v>
      </c>
      <c r="X68" s="225">
        <f t="shared" si="28"/>
        <v>0</v>
      </c>
      <c r="Y68" s="225">
        <f t="shared" si="28"/>
        <v>0.41269841269841273</v>
      </c>
      <c r="Z68" s="225">
        <f t="shared" si="28"/>
        <v>0.52380952380952384</v>
      </c>
      <c r="AA68" s="225">
        <f t="shared" si="28"/>
        <v>0.63492063492063489</v>
      </c>
      <c r="AB68" s="225">
        <f t="shared" si="28"/>
        <v>0.8666666666666667</v>
      </c>
      <c r="AC68" s="225">
        <f t="shared" si="28"/>
        <v>1</v>
      </c>
      <c r="AD68" s="225">
        <f t="shared" si="28"/>
        <v>1</v>
      </c>
      <c r="AE68" s="225">
        <f t="shared" si="28"/>
        <v>1</v>
      </c>
      <c r="AF68" s="225">
        <f t="shared" si="28"/>
        <v>1</v>
      </c>
      <c r="AG68" s="225">
        <f t="shared" si="28"/>
        <v>1</v>
      </c>
      <c r="AH68" s="225">
        <f t="shared" si="28"/>
        <v>1</v>
      </c>
      <c r="AI68" s="225">
        <f t="shared" si="28"/>
        <v>1</v>
      </c>
      <c r="AJ68" s="225">
        <f t="shared" si="28"/>
        <v>1</v>
      </c>
      <c r="AK68" s="225">
        <f t="shared" si="28"/>
        <v>1</v>
      </c>
      <c r="AL68" s="225">
        <f t="shared" si="28"/>
        <v>1</v>
      </c>
      <c r="AM68" s="225">
        <f t="shared" si="28"/>
        <v>1</v>
      </c>
      <c r="AN68" s="225">
        <f t="shared" si="28"/>
        <v>1</v>
      </c>
      <c r="AO68" s="225">
        <f t="shared" si="28"/>
        <v>1</v>
      </c>
      <c r="AP68" s="225">
        <f t="shared" si="28"/>
        <v>1</v>
      </c>
      <c r="AQ68" s="225">
        <f t="shared" si="28"/>
        <v>1</v>
      </c>
      <c r="AR68" s="225">
        <f t="shared" si="28"/>
        <v>1</v>
      </c>
      <c r="AS68" s="225">
        <f t="shared" si="28"/>
        <v>1</v>
      </c>
      <c r="AT68" s="225">
        <f t="shared" si="28"/>
        <v>1</v>
      </c>
      <c r="AU68" s="225">
        <f t="shared" si="28"/>
        <v>1</v>
      </c>
      <c r="AV68" s="225">
        <f t="shared" si="28"/>
        <v>1</v>
      </c>
      <c r="AW68" s="225">
        <f t="shared" si="28"/>
        <v>1</v>
      </c>
      <c r="AX68" s="225">
        <f t="shared" si="28"/>
        <v>1</v>
      </c>
      <c r="AY68" s="225">
        <f t="shared" si="28"/>
        <v>1</v>
      </c>
      <c r="AZ68" s="225">
        <f t="shared" si="28"/>
        <v>1</v>
      </c>
      <c r="BA68" s="225">
        <f t="shared" si="28"/>
        <v>1</v>
      </c>
      <c r="BB68" s="225">
        <f t="shared" si="28"/>
        <v>1</v>
      </c>
      <c r="BC68" s="225">
        <f t="shared" si="28"/>
        <v>1</v>
      </c>
      <c r="BD68" s="225">
        <f t="shared" si="28"/>
        <v>1</v>
      </c>
      <c r="BE68" s="225">
        <f t="shared" si="28"/>
        <v>1</v>
      </c>
      <c r="BF68" s="225">
        <f t="shared" si="28"/>
        <v>1</v>
      </c>
      <c r="BG68" s="225">
        <f t="shared" si="28"/>
        <v>1</v>
      </c>
      <c r="BH68">
        <f>Tab.plano6[[#This Row],[Data Término
Prevista]]-Tab.plano6[[#This Row],[Data Início
Previsto]]</f>
        <v>24</v>
      </c>
    </row>
    <row r="69" spans="1:60" s="163" customFormat="1" ht="18" hidden="1" customHeight="1" x14ac:dyDescent="0.3">
      <c r="A69" s="220"/>
      <c r="B69" s="220" t="s">
        <v>161</v>
      </c>
      <c r="C69" s="220" t="s">
        <v>544</v>
      </c>
      <c r="D69" s="251" t="s">
        <v>399</v>
      </c>
      <c r="E69" s="251" t="s">
        <v>422</v>
      </c>
      <c r="F69" s="251" t="s">
        <v>542</v>
      </c>
      <c r="G69" s="251" t="s">
        <v>542</v>
      </c>
      <c r="H69" s="221" t="s">
        <v>569</v>
      </c>
      <c r="I69" s="260">
        <v>46139</v>
      </c>
      <c r="J69" s="260">
        <v>46140</v>
      </c>
      <c r="K69" s="260">
        <v>46139</v>
      </c>
      <c r="L69" s="260">
        <v>46140</v>
      </c>
      <c r="M69" s="231" t="s">
        <v>488</v>
      </c>
      <c r="N69" s="227" t="str" cm="1">
        <f t="array" ref="N69">_xlfn.IFS(L69&lt;$M$3,"Concluído",AND(K69&lt;=$M$3,L69&gt;=$M$3,L69&lt;=J69),"Em andamento",AND(K69&lt;=$M$3,L69&gt;=$M$3,L69&gt;J69),"Atrasado",AND(K69&gt;$M$3,I69&gt;$M$3),"Não iniciado",AND(K69&gt;$M$3,I69&lt;=$M$3),"Atrasado",TRUE,"Não iniciado")</f>
        <v>Concluído</v>
      </c>
      <c r="O69" s="231" cm="1">
        <f t="array" ref="O69">_xlfn.IFS(N69="Não iniciado",0,N69="Em andamento",1,N69="Concluído",2,N69="Atrasado",3)</f>
        <v>2</v>
      </c>
      <c r="P69" s="220"/>
      <c r="Q69" s="226" cm="1">
        <f t="array" ref="Q69">_xlfn.IFS(AND($I69&lt;$M$3,$J69&lt;$M$3),1,AND($I69&lt;=$M$3,$J69&gt;=$M$3),0.5,AND($I69&gt;=$M$3,$J69&gt;=$M$3),0)</f>
        <v>1</v>
      </c>
      <c r="R69" s="226" cm="1">
        <f t="array" ref="R69">_xlfn.IFS(AND($K69&lt;$M$3,$L69&lt;$M$3),1,AND($K69&lt;=$M$3,$L69&gt;=$M$3),0.5,AND($K69&gt;=$M$3,$L69&gt;=$M$3),0)</f>
        <v>1</v>
      </c>
      <c r="S69" s="226" cm="1">
        <f t="array" ref="S69">_xlfn.IFS(AND($K69&gt;R$7,$L69&gt;R$7),0,AND($K69&lt;=R$7,$L69&lt;=R$7),1,AND($K69&lt;=R$7,$L69&gt;R$7),((R$7-$K69)/($L69-$K69)))</f>
        <v>0</v>
      </c>
      <c r="T69" s="226" cm="1">
        <f t="array" ref="T69">_xlfn.IFS(AND($K69&gt;S$7,$L69&gt;S$7),0,AND($K69&lt;=S$7,$L69&lt;=S$7),1,AND($K69&lt;=S$7,$L69&gt;S$7),((S$7-$K69)/($L69-$K69)))</f>
        <v>0</v>
      </c>
      <c r="U69" s="226" cm="1">
        <f t="array" ref="U69">_xlfn.IFS(AND($K69&gt;T$7,$L69&gt;T$7),0,AND($K69&lt;=T$7,$L69&lt;=T$7),1,AND($K69&lt;=T$7,$L69&gt;T$7),((T$7-$K69)/($L69-$K69)))</f>
        <v>0</v>
      </c>
      <c r="V69" s="226" cm="1">
        <f t="array" ref="V69">_xlfn.IFS(AND($K69&gt;U$7,$L69&gt;U$7),0,AND($K69&lt;=U$7,$L69&lt;=U$7),1,AND($K69&lt;=U$7,$L69&gt;U$7),((U$7-$K69)/($L69-$K69)))</f>
        <v>0</v>
      </c>
      <c r="W69" s="226" cm="1">
        <f t="array" ref="W69">_xlfn.IFS(AND($K69&gt;V$7,$L69&gt;V$7),0,AND($K69&lt;=V$7,$L69&lt;=V$7),1,AND($K69&lt;=V$7,$L69&gt;V$7),((V$7-$K69)/($L69-$K69)))</f>
        <v>0</v>
      </c>
      <c r="X69" s="226" cm="1">
        <f t="array" ref="X69">_xlfn.IFS(AND($K69&gt;W$7,$L69&gt;W$7),0,AND($K69&lt;=W$7,$L69&lt;=W$7),1,AND($K69&lt;=W$7,$L69&gt;W$7),((W$7-$K69)/($L69-$K69)))</f>
        <v>0</v>
      </c>
      <c r="Y69" s="226" cm="1">
        <f t="array" ref="Y69">_xlfn.IFS(AND($K69&gt;X$7,$L69&gt;X$7),0,AND($K69&lt;=X$7,$L69&lt;=X$7),1,AND($K69&lt;=X$7,$L69&gt;X$7),((X$7-$K69)/($L69-$K69)))</f>
        <v>1</v>
      </c>
      <c r="Z69" s="226" cm="1">
        <f t="array" ref="Z69">_xlfn.IFS(AND($K69&gt;Y$7,$L69&gt;Y$7),0,AND($K69&lt;=Y$7,$L69&lt;=Y$7),1,AND($K69&lt;=Y$7,$L69&gt;Y$7),((Y$7-$K69)/($L69-$K69)))</f>
        <v>1</v>
      </c>
      <c r="AA69" s="226" cm="1">
        <f t="array" ref="AA69">_xlfn.IFS(AND($K69&gt;Z$7,$L69&gt;Z$7),0,AND($K69&lt;=Z$7,$L69&lt;=Z$7),1,AND($K69&lt;=Z$7,$L69&gt;Z$7),((Z$7-$K69)/($L69-$K69)))</f>
        <v>1</v>
      </c>
      <c r="AB69" s="226" cm="1">
        <f t="array" ref="AB69">_xlfn.IFS(AND($K69&gt;AA$7,$L69&gt;AA$7),0,AND($K69&lt;=AA$7,$L69&lt;=AA$7),1,AND($K69&lt;=AA$7,$L69&gt;AA$7),((AA$7-$K69)/($L69-$K69)))</f>
        <v>1</v>
      </c>
      <c r="AC69" s="226" cm="1">
        <f t="array" ref="AC69">_xlfn.IFS(AND($K69&gt;AB$7,$L69&gt;AB$7),0,AND($K69&lt;=AB$7,$L69&lt;=AB$7),1,AND($K69&lt;=AB$7,$L69&gt;AB$7),((AB$7-$K69)/($L69-$K69)))</f>
        <v>1</v>
      </c>
      <c r="AD69" s="226" cm="1">
        <f t="array" ref="AD69">_xlfn.IFS(AND($K69&gt;AC$7,$L69&gt;AC$7),0,AND($K69&lt;=AC$7,$L69&lt;=AC$7),1,AND($K69&lt;=AC$7,$L69&gt;AC$7),((AC$7-$K69)/($L69-$K69)))</f>
        <v>1</v>
      </c>
      <c r="AE69" s="226" cm="1">
        <f t="array" ref="AE69">_xlfn.IFS(AND($K69&gt;AD$7,$L69&gt;AD$7),0,AND($K69&lt;=AD$7,$L69&lt;=AD$7),1,AND($K69&lt;=AD$7,$L69&gt;AD$7),((AD$7-$K69)/($L69-$K69)))</f>
        <v>1</v>
      </c>
      <c r="AF69" s="226" cm="1">
        <f t="array" ref="AF69">_xlfn.IFS(AND($K69&gt;AE$7,$L69&gt;AE$7),0,AND($K69&lt;=AE$7,$L69&lt;=AE$7),1,AND($K69&lt;=AE$7,$L69&gt;AE$7),((AE$7-$K69)/($L69-$K69)))</f>
        <v>1</v>
      </c>
      <c r="AG69" s="226" cm="1">
        <f t="array" ref="AG69">_xlfn.IFS(AND($K69&gt;AF$7,$L69&gt;AF$7),0,AND($K69&lt;=AF$7,$L69&lt;=AF$7),1,AND($K69&lt;=AF$7,$L69&gt;AF$7),((AF$7-$K69)/($L69-$K69)))</f>
        <v>1</v>
      </c>
      <c r="AH69" s="226" cm="1">
        <f t="array" ref="AH69">_xlfn.IFS(AND($K69&gt;AG$7,$L69&gt;AG$7),0,AND($K69&lt;=AG$7,$L69&lt;=AG$7),1,AND($K69&lt;=AG$7,$L69&gt;AG$7),((AG$7-$K69)/($L69-$K69)))</f>
        <v>1</v>
      </c>
      <c r="AI69" s="226" cm="1">
        <f t="array" ref="AI69">_xlfn.IFS(AND($K69&gt;AH$7,$L69&gt;AH$7),0,AND($K69&lt;=AH$7,$L69&lt;=AH$7),1,AND($K69&lt;=AH$7,$L69&gt;AH$7),((AH$7-$K69)/($L69-$K69)))</f>
        <v>1</v>
      </c>
      <c r="AJ69" s="226" cm="1">
        <f t="array" ref="AJ69">_xlfn.IFS(AND($K69&gt;AI$7,$L69&gt;AI$7),0,AND($K69&lt;=AI$7,$L69&lt;=AI$7),1,AND($K69&lt;=AI$7,$L69&gt;AI$7),((AI$7-$K69)/($L69-$K69)))</f>
        <v>1</v>
      </c>
      <c r="AK69" s="226" cm="1">
        <f t="array" ref="AK69">_xlfn.IFS(AND($K69&gt;AJ$7,$L69&gt;AJ$7),0,AND($K69&lt;=AJ$7,$L69&lt;=AJ$7),1,AND($K69&lt;=AJ$7,$L69&gt;AJ$7),((AJ$7-$K69)/($L69-$K69)))</f>
        <v>1</v>
      </c>
      <c r="AL69" s="226" cm="1">
        <f t="array" ref="AL69">_xlfn.IFS(AND($K69&gt;AK$7,$L69&gt;AK$7),0,AND($K69&lt;=AK$7,$L69&lt;=AK$7),1,AND($K69&lt;=AK$7,$L69&gt;AK$7),((AK$7-$K69)/($L69-$K69)))</f>
        <v>1</v>
      </c>
      <c r="AM69" s="226" cm="1">
        <f t="array" ref="AM69">_xlfn.IFS(AND($K69&gt;AL$7,$L69&gt;AL$7),0,AND($K69&lt;=AL$7,$L69&lt;=AL$7),1,AND($K69&lt;=AL$7,$L69&gt;AL$7),((AL$7-$K69)/($L69-$K69)))</f>
        <v>1</v>
      </c>
      <c r="AN69" s="226" cm="1">
        <f t="array" ref="AN69">_xlfn.IFS(AND($K69&gt;AM$7,$L69&gt;AM$7),0,AND($K69&lt;=AM$7,$L69&lt;=AM$7),1,AND($K69&lt;=AM$7,$L69&gt;AM$7),((AM$7-$K69)/($L69-$K69)))</f>
        <v>1</v>
      </c>
      <c r="AO69" s="226" cm="1">
        <f t="array" ref="AO69">_xlfn.IFS(AND($K69&gt;AN$7,$L69&gt;AN$7),0,AND($K69&lt;=AN$7,$L69&lt;=AN$7),1,AND($K69&lt;=AN$7,$L69&gt;AN$7),((AN$7-$K69)/($L69-$K69)))</f>
        <v>1</v>
      </c>
      <c r="AP69" s="226" cm="1">
        <f t="array" ref="AP69">_xlfn.IFS(AND($K69&gt;AO$7,$L69&gt;AO$7),0,AND($K69&lt;=AO$7,$L69&lt;=AO$7),1,AND($K69&lt;=AO$7,$L69&gt;AO$7),((AO$7-$K69)/($L69-$K69)))</f>
        <v>1</v>
      </c>
      <c r="AQ69" s="226" cm="1">
        <f t="array" ref="AQ69">_xlfn.IFS(AND($K69&gt;AP$7,$L69&gt;AP$7),0,AND($K69&lt;=AP$7,$L69&lt;=AP$7),1,AND($K69&lt;=AP$7,$L69&gt;AP$7),((AP$7-$K69)/($L69-$K69)))</f>
        <v>1</v>
      </c>
      <c r="AR69" s="226" cm="1">
        <f t="array" ref="AR69">_xlfn.IFS(AND($K69&gt;AQ$7,$L69&gt;AQ$7),0,AND($K69&lt;=AQ$7,$L69&lt;=AQ$7),1,AND($K69&lt;=AQ$7,$L69&gt;AQ$7),((AQ$7-$K69)/($L69-$K69)))</f>
        <v>1</v>
      </c>
      <c r="AS69" s="226" cm="1">
        <f t="array" ref="AS69">_xlfn.IFS(AND($K69&gt;AR$7,$L69&gt;AR$7),0,AND($K69&lt;=AR$7,$L69&lt;=AR$7),1,AND($K69&lt;=AR$7,$L69&gt;AR$7),((AR$7-$K69)/($L69-$K69)))</f>
        <v>1</v>
      </c>
      <c r="AT69" s="226" cm="1">
        <f t="array" ref="AT69">_xlfn.IFS(AND($K69&gt;AS$7,$L69&gt;AS$7),0,AND($K69&lt;=AS$7,$L69&lt;=AS$7),1,AND($K69&lt;=AS$7,$L69&gt;AS$7),((AS$7-$K69)/($L69-$K69)))</f>
        <v>1</v>
      </c>
      <c r="AU69" s="226" cm="1">
        <f t="array" ref="AU69">_xlfn.IFS(AND($K69&gt;AT$7,$L69&gt;AT$7),0,AND($K69&lt;=AT$7,$L69&lt;=AT$7),1,AND($K69&lt;=AT$7,$L69&gt;AT$7),((AT$7-$K69)/($L69-$K69)))</f>
        <v>1</v>
      </c>
      <c r="AV69" s="226" cm="1">
        <f t="array" ref="AV69">_xlfn.IFS(AND($K69&gt;AU$7,$L69&gt;AU$7),0,AND($K69&lt;=AU$7,$L69&lt;=AU$7),1,AND($K69&lt;=AU$7,$L69&gt;AU$7),((AU$7-$K69)/($L69-$K69)))</f>
        <v>1</v>
      </c>
      <c r="AW69" s="226" cm="1">
        <f t="array" ref="AW69">_xlfn.IFS(AND($K69&gt;AV$7,$L69&gt;AV$7),0,AND($K69&lt;=AV$7,$L69&lt;=AV$7),1,AND($K69&lt;=AV$7,$L69&gt;AV$7),((AV$7-$K69)/($L69-$K69)))</f>
        <v>1</v>
      </c>
      <c r="AX69" s="226" cm="1">
        <f t="array" ref="AX69">_xlfn.IFS(AND($K69&gt;AW$7,$L69&gt;AW$7),0,AND($K69&lt;=AW$7,$L69&lt;=AW$7),1,AND($K69&lt;=AW$7,$L69&gt;AW$7),((AW$7-$K69)/($L69-$K69)))</f>
        <v>1</v>
      </c>
      <c r="AY69" s="226" cm="1">
        <f t="array" ref="AY69">_xlfn.IFS(AND($K69&gt;AX$7,$L69&gt;AX$7),0,AND($K69&lt;=AX$7,$L69&lt;=AX$7),1,AND($K69&lt;=AX$7,$L69&gt;AX$7),((AX$7-$K69)/($L69-$K69)))</f>
        <v>1</v>
      </c>
      <c r="AZ69" s="226" cm="1">
        <f t="array" ref="AZ69">_xlfn.IFS(AND($K69&gt;AY$7,$L69&gt;AY$7),0,AND($K69&lt;=AY$7,$L69&lt;=AY$7),1,AND($K69&lt;=AY$7,$L69&gt;AY$7),((AY$7-$K69)/($L69-$K69)))</f>
        <v>1</v>
      </c>
      <c r="BA69" s="226" cm="1">
        <f t="array" ref="BA69">_xlfn.IFS(AND($K69&gt;AZ$7,$L69&gt;AZ$7),0,AND($K69&lt;=AZ$7,$L69&lt;=AZ$7),1,AND($K69&lt;=AZ$7,$L69&gt;AZ$7),((AZ$7-$K69)/($L69-$K69)))</f>
        <v>1</v>
      </c>
      <c r="BB69" s="226" cm="1">
        <f t="array" ref="BB69">_xlfn.IFS(AND($K69&gt;BA$7,$L69&gt;BA$7),0,AND($K69&lt;=BA$7,$L69&lt;=BA$7),1,AND($K69&lt;=BA$7,$L69&gt;BA$7),((BA$7-$K69)/($L69-$K69)))</f>
        <v>1</v>
      </c>
      <c r="BC69" s="226" cm="1">
        <f t="array" ref="BC69">_xlfn.IFS(AND($K69&gt;BB$7,$L69&gt;BB$7),0,AND($K69&lt;=BB$7,$L69&lt;=BB$7),1,AND($K69&lt;=BB$7,$L69&gt;BB$7),((BB$7-$K69)/($L69-$K69)))</f>
        <v>1</v>
      </c>
      <c r="BD69" s="226" cm="1">
        <f t="array" ref="BD69">_xlfn.IFS(AND($K69&gt;BC$7,$L69&gt;BC$7),0,AND($K69&lt;=BC$7,$L69&lt;=BC$7),1,AND($K69&lt;=BC$7,$L69&gt;BC$7),((BC$7-$K69)/($L69-$K69)))</f>
        <v>1</v>
      </c>
      <c r="BE69" s="226" cm="1">
        <f t="array" ref="BE69">_xlfn.IFS(AND($K69&gt;BD$7,$L69&gt;BD$7),0,AND($K69&lt;=BD$7,$L69&lt;=BD$7),1,AND($K69&lt;=BD$7,$L69&gt;BD$7),((BD$7-$K69)/($L69-$K69)))</f>
        <v>1</v>
      </c>
      <c r="BF69" s="226" cm="1">
        <f t="array" ref="BF69">_xlfn.IFS(AND($K69&gt;BE$7,$L69&gt;BE$7),0,AND($K69&lt;=BE$7,$L69&lt;=BE$7),1,AND($K69&lt;=BE$7,$L69&gt;BE$7),((BE$7-$K69)/($L69-$K69)))</f>
        <v>1</v>
      </c>
      <c r="BG69" s="226" cm="1">
        <f t="array" ref="BG69">_xlfn.IFS(AND($K69&gt;BF$7,$L69&gt;BF$7),0,AND($K69&lt;=BF$7,$L69&lt;=BF$7),1,AND($K69&lt;=BF$7,$L69&gt;BF$7),((BF$7-$K69)/($L69-$K69)))</f>
        <v>1</v>
      </c>
      <c r="BH69">
        <f>Tab.plano6[[#This Row],[Data Término
Prevista]]-Tab.plano6[[#This Row],[Data Início
Previsto]]</f>
        <v>1</v>
      </c>
    </row>
    <row r="70" spans="1:60" s="163" customFormat="1" ht="18" hidden="1" customHeight="1" x14ac:dyDescent="0.3">
      <c r="A70" s="220"/>
      <c r="B70" s="220" t="s">
        <v>161</v>
      </c>
      <c r="C70" s="220" t="s">
        <v>546</v>
      </c>
      <c r="D70" s="251" t="s">
        <v>399</v>
      </c>
      <c r="E70" s="251" t="s">
        <v>422</v>
      </c>
      <c r="F70" s="251" t="s">
        <v>542</v>
      </c>
      <c r="G70" s="251" t="s">
        <v>542</v>
      </c>
      <c r="H70" s="221" t="s">
        <v>571</v>
      </c>
      <c r="I70" s="260">
        <v>46141</v>
      </c>
      <c r="J70" s="260">
        <v>46160</v>
      </c>
      <c r="K70" s="260">
        <v>46141</v>
      </c>
      <c r="L70" s="260">
        <v>46162</v>
      </c>
      <c r="M70" s="231" t="s">
        <v>488</v>
      </c>
      <c r="N70" s="227" t="str" cm="1">
        <f t="array" ref="N70">_xlfn.IFS(L70&lt;$M$3,"Concluído",AND(K70&lt;=$M$3,L70&gt;=$M$3,L70&lt;=J70),"Em andamento",AND(K70&lt;=$M$3,L70&gt;=$M$3,L70&gt;J70),"Atrasado",AND(K70&gt;$M$3,I70&gt;$M$3),"Não iniciado",AND(K70&gt;$M$3,I70&lt;=$M$3),"Atrasado",TRUE,"Não iniciado")</f>
        <v>Concluído</v>
      </c>
      <c r="O70" s="231" cm="1">
        <f t="array" ref="O70">_xlfn.IFS(N70="Não iniciado",0,N70="Em andamento",1,N70="Concluído",2,N70="Atrasado",3)</f>
        <v>2</v>
      </c>
      <c r="P70" s="220"/>
      <c r="Q70" s="226" cm="1">
        <f t="array" ref="Q70">_xlfn.IFS(AND($I70&lt;$M$3,$J70&lt;$M$3),1,AND($I70&lt;=$M$3,$J70&gt;=$M$3),0.5,AND($I70&gt;=$M$3,$J70&gt;=$M$3),0)</f>
        <v>1</v>
      </c>
      <c r="R70" s="226" cm="1">
        <f t="array" ref="R70">_xlfn.IFS(AND($K70&lt;$M$3,$L70&lt;$M$3),1,AND($K70&lt;=$M$3,$L70&gt;=$M$3),0.5,AND($K70&gt;=$M$3,$L70&gt;=$M$3),0)</f>
        <v>1</v>
      </c>
      <c r="S70" s="226" cm="1">
        <f t="array" ref="S70">_xlfn.IFS(AND($K70&gt;R$7,$L70&gt;R$7),0,AND($K70&lt;=R$7,$L70&lt;=R$7),1,AND($K70&lt;=R$7,$L70&gt;R$7),((R$7-$K70)/($L70-$K70)))</f>
        <v>0</v>
      </c>
      <c r="T70" s="226" cm="1">
        <f t="array" ref="T70">_xlfn.IFS(AND($K70&gt;S$7,$L70&gt;S$7),0,AND($K70&lt;=S$7,$L70&lt;=S$7),1,AND($K70&lt;=S$7,$L70&gt;S$7),((S$7-$K70)/($L70-$K70)))</f>
        <v>0</v>
      </c>
      <c r="U70" s="226" cm="1">
        <f t="array" ref="U70">_xlfn.IFS(AND($K70&gt;T$7,$L70&gt;T$7),0,AND($K70&lt;=T$7,$L70&lt;=T$7),1,AND($K70&lt;=T$7,$L70&gt;T$7),((T$7-$K70)/($L70-$K70)))</f>
        <v>0</v>
      </c>
      <c r="V70" s="226" cm="1">
        <f t="array" ref="V70">_xlfn.IFS(AND($K70&gt;U$7,$L70&gt;U$7),0,AND($K70&lt;=U$7,$L70&lt;=U$7),1,AND($K70&lt;=U$7,$L70&gt;U$7),((U$7-$K70)/($L70-$K70)))</f>
        <v>0</v>
      </c>
      <c r="W70" s="226" cm="1">
        <f t="array" ref="W70">_xlfn.IFS(AND($K70&gt;V$7,$L70&gt;V$7),0,AND($K70&lt;=V$7,$L70&lt;=V$7),1,AND($K70&lt;=V$7,$L70&gt;V$7),((V$7-$K70)/($L70-$K70)))</f>
        <v>0</v>
      </c>
      <c r="X70" s="226" cm="1">
        <f t="array" ref="X70">_xlfn.IFS(AND($K70&gt;W$7,$L70&gt;W$7),0,AND($K70&lt;=W$7,$L70&lt;=W$7),1,AND($K70&lt;=W$7,$L70&gt;W$7),((W$7-$K70)/($L70-$K70)))</f>
        <v>0</v>
      </c>
      <c r="Y70" s="226" cm="1">
        <f t="array" ref="Y70">_xlfn.IFS(AND($K70&gt;X$7,$L70&gt;X$7),0,AND($K70&lt;=X$7,$L70&lt;=X$7),1,AND($K70&lt;=X$7,$L70&gt;X$7),((X$7-$K70)/($L70-$K70)))</f>
        <v>0.23809523809523808</v>
      </c>
      <c r="Z70" s="226" cm="1">
        <f t="array" ref="Z70">_xlfn.IFS(AND($K70&gt;Y$7,$L70&gt;Y$7),0,AND($K70&lt;=Y$7,$L70&lt;=Y$7),1,AND($K70&lt;=Y$7,$L70&gt;Y$7),((Y$7-$K70)/($L70-$K70)))</f>
        <v>0.5714285714285714</v>
      </c>
      <c r="AA70" s="226" cm="1">
        <f t="array" ref="AA70">_xlfn.IFS(AND($K70&gt;Z$7,$L70&gt;Z$7),0,AND($K70&lt;=Z$7,$L70&lt;=Z$7),1,AND($K70&lt;=Z$7,$L70&gt;Z$7),((Z$7-$K70)/($L70-$K70)))</f>
        <v>0.90476190476190477</v>
      </c>
      <c r="AB70" s="226" cm="1">
        <f t="array" ref="AB70">_xlfn.IFS(AND($K70&gt;AA$7,$L70&gt;AA$7),0,AND($K70&lt;=AA$7,$L70&lt;=AA$7),1,AND($K70&lt;=AA$7,$L70&gt;AA$7),((AA$7-$K70)/($L70-$K70)))</f>
        <v>1</v>
      </c>
      <c r="AC70" s="226" cm="1">
        <f t="array" ref="AC70">_xlfn.IFS(AND($K70&gt;AB$7,$L70&gt;AB$7),0,AND($K70&lt;=AB$7,$L70&lt;=AB$7),1,AND($K70&lt;=AB$7,$L70&gt;AB$7),((AB$7-$K70)/($L70-$K70)))</f>
        <v>1</v>
      </c>
      <c r="AD70" s="226" cm="1">
        <f t="array" ref="AD70">_xlfn.IFS(AND($K70&gt;AC$7,$L70&gt;AC$7),0,AND($K70&lt;=AC$7,$L70&lt;=AC$7),1,AND($K70&lt;=AC$7,$L70&gt;AC$7),((AC$7-$K70)/($L70-$K70)))</f>
        <v>1</v>
      </c>
      <c r="AE70" s="226" cm="1">
        <f t="array" ref="AE70">_xlfn.IFS(AND($K70&gt;AD$7,$L70&gt;AD$7),0,AND($K70&lt;=AD$7,$L70&lt;=AD$7),1,AND($K70&lt;=AD$7,$L70&gt;AD$7),((AD$7-$K70)/($L70-$K70)))</f>
        <v>1</v>
      </c>
      <c r="AF70" s="226" cm="1">
        <f t="array" ref="AF70">_xlfn.IFS(AND($K70&gt;AE$7,$L70&gt;AE$7),0,AND($K70&lt;=AE$7,$L70&lt;=AE$7),1,AND($K70&lt;=AE$7,$L70&gt;AE$7),((AE$7-$K70)/($L70-$K70)))</f>
        <v>1</v>
      </c>
      <c r="AG70" s="226" cm="1">
        <f t="array" ref="AG70">_xlfn.IFS(AND($K70&gt;AF$7,$L70&gt;AF$7),0,AND($K70&lt;=AF$7,$L70&lt;=AF$7),1,AND($K70&lt;=AF$7,$L70&gt;AF$7),((AF$7-$K70)/($L70-$K70)))</f>
        <v>1</v>
      </c>
      <c r="AH70" s="226" cm="1">
        <f t="array" ref="AH70">_xlfn.IFS(AND($K70&gt;AG$7,$L70&gt;AG$7),0,AND($K70&lt;=AG$7,$L70&lt;=AG$7),1,AND($K70&lt;=AG$7,$L70&gt;AG$7),((AG$7-$K70)/($L70-$K70)))</f>
        <v>1</v>
      </c>
      <c r="AI70" s="226" cm="1">
        <f t="array" ref="AI70">_xlfn.IFS(AND($K70&gt;AH$7,$L70&gt;AH$7),0,AND($K70&lt;=AH$7,$L70&lt;=AH$7),1,AND($K70&lt;=AH$7,$L70&gt;AH$7),((AH$7-$K70)/($L70-$K70)))</f>
        <v>1</v>
      </c>
      <c r="AJ70" s="226" cm="1">
        <f t="array" ref="AJ70">_xlfn.IFS(AND($K70&gt;AI$7,$L70&gt;AI$7),0,AND($K70&lt;=AI$7,$L70&lt;=AI$7),1,AND($K70&lt;=AI$7,$L70&gt;AI$7),((AI$7-$K70)/($L70-$K70)))</f>
        <v>1</v>
      </c>
      <c r="AK70" s="226" cm="1">
        <f t="array" ref="AK70">_xlfn.IFS(AND($K70&gt;AJ$7,$L70&gt;AJ$7),0,AND($K70&lt;=AJ$7,$L70&lt;=AJ$7),1,AND($K70&lt;=AJ$7,$L70&gt;AJ$7),((AJ$7-$K70)/($L70-$K70)))</f>
        <v>1</v>
      </c>
      <c r="AL70" s="226" cm="1">
        <f t="array" ref="AL70">_xlfn.IFS(AND($K70&gt;AK$7,$L70&gt;AK$7),0,AND($K70&lt;=AK$7,$L70&lt;=AK$7),1,AND($K70&lt;=AK$7,$L70&gt;AK$7),((AK$7-$K70)/($L70-$K70)))</f>
        <v>1</v>
      </c>
      <c r="AM70" s="226" cm="1">
        <f t="array" ref="AM70">_xlfn.IFS(AND($K70&gt;AL$7,$L70&gt;AL$7),0,AND($K70&lt;=AL$7,$L70&lt;=AL$7),1,AND($K70&lt;=AL$7,$L70&gt;AL$7),((AL$7-$K70)/($L70-$K70)))</f>
        <v>1</v>
      </c>
      <c r="AN70" s="226" cm="1">
        <f t="array" ref="AN70">_xlfn.IFS(AND($K70&gt;AM$7,$L70&gt;AM$7),0,AND($K70&lt;=AM$7,$L70&lt;=AM$7),1,AND($K70&lt;=AM$7,$L70&gt;AM$7),((AM$7-$K70)/($L70-$K70)))</f>
        <v>1</v>
      </c>
      <c r="AO70" s="226" cm="1">
        <f t="array" ref="AO70">_xlfn.IFS(AND($K70&gt;AN$7,$L70&gt;AN$7),0,AND($K70&lt;=AN$7,$L70&lt;=AN$7),1,AND($K70&lt;=AN$7,$L70&gt;AN$7),((AN$7-$K70)/($L70-$K70)))</f>
        <v>1</v>
      </c>
      <c r="AP70" s="226" cm="1">
        <f t="array" ref="AP70">_xlfn.IFS(AND($K70&gt;AO$7,$L70&gt;AO$7),0,AND($K70&lt;=AO$7,$L70&lt;=AO$7),1,AND($K70&lt;=AO$7,$L70&gt;AO$7),((AO$7-$K70)/($L70-$K70)))</f>
        <v>1</v>
      </c>
      <c r="AQ70" s="226" cm="1">
        <f t="array" ref="AQ70">_xlfn.IFS(AND($K70&gt;AP$7,$L70&gt;AP$7),0,AND($K70&lt;=AP$7,$L70&lt;=AP$7),1,AND($K70&lt;=AP$7,$L70&gt;AP$7),((AP$7-$K70)/($L70-$K70)))</f>
        <v>1</v>
      </c>
      <c r="AR70" s="226" cm="1">
        <f t="array" ref="AR70">_xlfn.IFS(AND($K70&gt;AQ$7,$L70&gt;AQ$7),0,AND($K70&lt;=AQ$7,$L70&lt;=AQ$7),1,AND($K70&lt;=AQ$7,$L70&gt;AQ$7),((AQ$7-$K70)/($L70-$K70)))</f>
        <v>1</v>
      </c>
      <c r="AS70" s="226" cm="1">
        <f t="array" ref="AS70">_xlfn.IFS(AND($K70&gt;AR$7,$L70&gt;AR$7),0,AND($K70&lt;=AR$7,$L70&lt;=AR$7),1,AND($K70&lt;=AR$7,$L70&gt;AR$7),((AR$7-$K70)/($L70-$K70)))</f>
        <v>1</v>
      </c>
      <c r="AT70" s="226" cm="1">
        <f t="array" ref="AT70">_xlfn.IFS(AND($K70&gt;AS$7,$L70&gt;AS$7),0,AND($K70&lt;=AS$7,$L70&lt;=AS$7),1,AND($K70&lt;=AS$7,$L70&gt;AS$7),((AS$7-$K70)/($L70-$K70)))</f>
        <v>1</v>
      </c>
      <c r="AU70" s="226" cm="1">
        <f t="array" ref="AU70">_xlfn.IFS(AND($K70&gt;AT$7,$L70&gt;AT$7),0,AND($K70&lt;=AT$7,$L70&lt;=AT$7),1,AND($K70&lt;=AT$7,$L70&gt;AT$7),((AT$7-$K70)/($L70-$K70)))</f>
        <v>1</v>
      </c>
      <c r="AV70" s="226" cm="1">
        <f t="array" ref="AV70">_xlfn.IFS(AND($K70&gt;AU$7,$L70&gt;AU$7),0,AND($K70&lt;=AU$7,$L70&lt;=AU$7),1,AND($K70&lt;=AU$7,$L70&gt;AU$7),((AU$7-$K70)/($L70-$K70)))</f>
        <v>1</v>
      </c>
      <c r="AW70" s="226" cm="1">
        <f t="array" ref="AW70">_xlfn.IFS(AND($K70&gt;AV$7,$L70&gt;AV$7),0,AND($K70&lt;=AV$7,$L70&lt;=AV$7),1,AND($K70&lt;=AV$7,$L70&gt;AV$7),((AV$7-$K70)/($L70-$K70)))</f>
        <v>1</v>
      </c>
      <c r="AX70" s="226" cm="1">
        <f t="array" ref="AX70">_xlfn.IFS(AND($K70&gt;AW$7,$L70&gt;AW$7),0,AND($K70&lt;=AW$7,$L70&lt;=AW$7),1,AND($K70&lt;=AW$7,$L70&gt;AW$7),((AW$7-$K70)/($L70-$K70)))</f>
        <v>1</v>
      </c>
      <c r="AY70" s="226" cm="1">
        <f t="array" ref="AY70">_xlfn.IFS(AND($K70&gt;AX$7,$L70&gt;AX$7),0,AND($K70&lt;=AX$7,$L70&lt;=AX$7),1,AND($K70&lt;=AX$7,$L70&gt;AX$7),((AX$7-$K70)/($L70-$K70)))</f>
        <v>1</v>
      </c>
      <c r="AZ70" s="226" cm="1">
        <f t="array" ref="AZ70">_xlfn.IFS(AND($K70&gt;AY$7,$L70&gt;AY$7),0,AND($K70&lt;=AY$7,$L70&lt;=AY$7),1,AND($K70&lt;=AY$7,$L70&gt;AY$7),((AY$7-$K70)/($L70-$K70)))</f>
        <v>1</v>
      </c>
      <c r="BA70" s="226" cm="1">
        <f t="array" ref="BA70">_xlfn.IFS(AND($K70&gt;AZ$7,$L70&gt;AZ$7),0,AND($K70&lt;=AZ$7,$L70&lt;=AZ$7),1,AND($K70&lt;=AZ$7,$L70&gt;AZ$7),((AZ$7-$K70)/($L70-$K70)))</f>
        <v>1</v>
      </c>
      <c r="BB70" s="226" cm="1">
        <f t="array" ref="BB70">_xlfn.IFS(AND($K70&gt;BA$7,$L70&gt;BA$7),0,AND($K70&lt;=BA$7,$L70&lt;=BA$7),1,AND($K70&lt;=BA$7,$L70&gt;BA$7),((BA$7-$K70)/($L70-$K70)))</f>
        <v>1</v>
      </c>
      <c r="BC70" s="226" cm="1">
        <f t="array" ref="BC70">_xlfn.IFS(AND($K70&gt;BB$7,$L70&gt;BB$7),0,AND($K70&lt;=BB$7,$L70&lt;=BB$7),1,AND($K70&lt;=BB$7,$L70&gt;BB$7),((BB$7-$K70)/($L70-$K70)))</f>
        <v>1</v>
      </c>
      <c r="BD70" s="226" cm="1">
        <f t="array" ref="BD70">_xlfn.IFS(AND($K70&gt;BC$7,$L70&gt;BC$7),0,AND($K70&lt;=BC$7,$L70&lt;=BC$7),1,AND($K70&lt;=BC$7,$L70&gt;BC$7),((BC$7-$K70)/($L70-$K70)))</f>
        <v>1</v>
      </c>
      <c r="BE70" s="226" cm="1">
        <f t="array" ref="BE70">_xlfn.IFS(AND($K70&gt;BD$7,$L70&gt;BD$7),0,AND($K70&lt;=BD$7,$L70&lt;=BD$7),1,AND($K70&lt;=BD$7,$L70&gt;BD$7),((BD$7-$K70)/($L70-$K70)))</f>
        <v>1</v>
      </c>
      <c r="BF70" s="226" cm="1">
        <f t="array" ref="BF70">_xlfn.IFS(AND($K70&gt;BE$7,$L70&gt;BE$7),0,AND($K70&lt;=BE$7,$L70&lt;=BE$7),1,AND($K70&lt;=BE$7,$L70&gt;BE$7),((BE$7-$K70)/($L70-$K70)))</f>
        <v>1</v>
      </c>
      <c r="BG70" s="226" cm="1">
        <f t="array" ref="BG70">_xlfn.IFS(AND($K70&gt;BF$7,$L70&gt;BF$7),0,AND($K70&lt;=BF$7,$L70&lt;=BF$7),1,AND($K70&lt;=BF$7,$L70&gt;BF$7),((BF$7-$K70)/($L70-$K70)))</f>
        <v>1</v>
      </c>
      <c r="BH70">
        <f>Tab.plano6[[#This Row],[Data Término
Prevista]]-Tab.plano6[[#This Row],[Data Início
Previsto]]</f>
        <v>19</v>
      </c>
    </row>
    <row r="71" spans="1:60" s="163" customFormat="1" ht="18" hidden="1" customHeight="1" x14ac:dyDescent="0.3">
      <c r="A71" s="220"/>
      <c r="B71" s="220" t="s">
        <v>161</v>
      </c>
      <c r="C71" s="220" t="s">
        <v>548</v>
      </c>
      <c r="D71" s="251" t="s">
        <v>399</v>
      </c>
      <c r="E71" s="251" t="s">
        <v>422</v>
      </c>
      <c r="F71" s="251" t="s">
        <v>542</v>
      </c>
      <c r="G71" s="251" t="s">
        <v>542</v>
      </c>
      <c r="H71" s="221" t="s">
        <v>813</v>
      </c>
      <c r="I71" s="260">
        <v>46161</v>
      </c>
      <c r="J71" s="260">
        <v>46163</v>
      </c>
      <c r="K71" s="260">
        <v>46161</v>
      </c>
      <c r="L71" s="260">
        <v>46171</v>
      </c>
      <c r="M71" s="231" t="s">
        <v>488</v>
      </c>
      <c r="N71" s="227" t="str" cm="1">
        <f t="array" ref="N71">_xlfn.IFS(L71&lt;$M$3,"Concluído",AND(K71&lt;=$M$3,L71&gt;=$M$3,L71&lt;=J71),"Em andamento",AND(K71&lt;=$M$3,L71&gt;=$M$3,L71&gt;J71),"Atrasado",AND(K71&gt;$M$3,I71&gt;$M$3),"Não iniciado",AND(K71&gt;$M$3,I71&lt;=$M$3),"Atrasado",TRUE,"Não iniciado")</f>
        <v>Atrasado</v>
      </c>
      <c r="O71" s="231" cm="1">
        <f t="array" ref="O71">_xlfn.IFS(N71="Não iniciado",0,N71="Em andamento",1,N71="Concluído",2,N71="Atrasado",3)</f>
        <v>3</v>
      </c>
      <c r="P71" s="220"/>
      <c r="Q71" s="226" cm="1">
        <f t="array" ref="Q71">_xlfn.IFS(AND($I71&lt;$M$3,$J71&lt;$M$3),1,AND($I71&lt;=$M$3,$J71&gt;=$M$3),0.5,AND($I71&gt;=$M$3,$J71&gt;=$M$3),0)</f>
        <v>1</v>
      </c>
      <c r="R71" s="226" cm="1">
        <f t="array" ref="R71">_xlfn.IFS(AND($K71&lt;$M$3,$L71&lt;$M$3),1,AND($K71&lt;=$M$3,$L71&gt;=$M$3),0.5,AND($K71&gt;=$M$3,$L71&gt;=$M$3),0)</f>
        <v>0.5</v>
      </c>
      <c r="S71" s="226" cm="1">
        <f t="array" ref="S71">_xlfn.IFS(AND($K71&gt;R$7,$L71&gt;R$7),0,AND($K71&lt;=R$7,$L71&lt;=R$7),1,AND($K71&lt;=R$7,$L71&gt;R$7),((R$7-$K71)/($L71-$K71)))</f>
        <v>0</v>
      </c>
      <c r="T71" s="226" cm="1">
        <f t="array" ref="T71">_xlfn.IFS(AND($K71&gt;S$7,$L71&gt;S$7),0,AND($K71&lt;=S$7,$L71&lt;=S$7),1,AND($K71&lt;=S$7,$L71&gt;S$7),((S$7-$K71)/($L71-$K71)))</f>
        <v>0</v>
      </c>
      <c r="U71" s="226" cm="1">
        <f t="array" ref="U71">_xlfn.IFS(AND($K71&gt;T$7,$L71&gt;T$7),0,AND($K71&lt;=T$7,$L71&lt;=T$7),1,AND($K71&lt;=T$7,$L71&gt;T$7),((T$7-$K71)/($L71-$K71)))</f>
        <v>0</v>
      </c>
      <c r="V71" s="226" cm="1">
        <f t="array" ref="V71">_xlfn.IFS(AND($K71&gt;U$7,$L71&gt;U$7),0,AND($K71&lt;=U$7,$L71&lt;=U$7),1,AND($K71&lt;=U$7,$L71&gt;U$7),((U$7-$K71)/($L71-$K71)))</f>
        <v>0</v>
      </c>
      <c r="W71" s="226" cm="1">
        <f t="array" ref="W71">_xlfn.IFS(AND($K71&gt;V$7,$L71&gt;V$7),0,AND($K71&lt;=V$7,$L71&lt;=V$7),1,AND($K71&lt;=V$7,$L71&gt;V$7),((V$7-$K71)/($L71-$K71)))</f>
        <v>0</v>
      </c>
      <c r="X71" s="226" cm="1">
        <f t="array" ref="X71">_xlfn.IFS(AND($K71&gt;W$7,$L71&gt;W$7),0,AND($K71&lt;=W$7,$L71&lt;=W$7),1,AND($K71&lt;=W$7,$L71&gt;W$7),((W$7-$K71)/($L71-$K71)))</f>
        <v>0</v>
      </c>
      <c r="Y71" s="226" cm="1">
        <f t="array" ref="Y71">_xlfn.IFS(AND($K71&gt;X$7,$L71&gt;X$7),0,AND($K71&lt;=X$7,$L71&lt;=X$7),1,AND($K71&lt;=X$7,$L71&gt;X$7),((X$7-$K71)/($L71-$K71)))</f>
        <v>0</v>
      </c>
      <c r="Z71" s="226" cm="1">
        <f t="array" ref="Z71">_xlfn.IFS(AND($K71&gt;Y$7,$L71&gt;Y$7),0,AND($K71&lt;=Y$7,$L71&lt;=Y$7),1,AND($K71&lt;=Y$7,$L71&gt;Y$7),((Y$7-$K71)/($L71-$K71)))</f>
        <v>0</v>
      </c>
      <c r="AA71" s="226" cm="1">
        <f t="array" ref="AA71">_xlfn.IFS(AND($K71&gt;Z$7,$L71&gt;Z$7),0,AND($K71&lt;=Z$7,$L71&lt;=Z$7),1,AND($K71&lt;=Z$7,$L71&gt;Z$7),((Z$7-$K71)/($L71-$K71)))</f>
        <v>0</v>
      </c>
      <c r="AB71" s="226" cm="1">
        <f t="array" ref="AB71">_xlfn.IFS(AND($K71&gt;AA$7,$L71&gt;AA$7),0,AND($K71&lt;=AA$7,$L71&lt;=AA$7),1,AND($K71&lt;=AA$7,$L71&gt;AA$7),((AA$7-$K71)/($L71-$K71)))</f>
        <v>0.6</v>
      </c>
      <c r="AC71" s="226" cm="1">
        <f t="array" ref="AC71">_xlfn.IFS(AND($K71&gt;AB$7,$L71&gt;AB$7),0,AND($K71&lt;=AB$7,$L71&lt;=AB$7),1,AND($K71&lt;=AB$7,$L71&gt;AB$7),((AB$7-$K71)/($L71-$K71)))</f>
        <v>1</v>
      </c>
      <c r="AD71" s="226" cm="1">
        <f t="array" ref="AD71">_xlfn.IFS(AND($K71&gt;AC$7,$L71&gt;AC$7),0,AND($K71&lt;=AC$7,$L71&lt;=AC$7),1,AND($K71&lt;=AC$7,$L71&gt;AC$7),((AC$7-$K71)/($L71-$K71)))</f>
        <v>1</v>
      </c>
      <c r="AE71" s="226" cm="1">
        <f t="array" ref="AE71">_xlfn.IFS(AND($K71&gt;AD$7,$L71&gt;AD$7),0,AND($K71&lt;=AD$7,$L71&lt;=AD$7),1,AND($K71&lt;=AD$7,$L71&gt;AD$7),((AD$7-$K71)/($L71-$K71)))</f>
        <v>1</v>
      </c>
      <c r="AF71" s="226" cm="1">
        <f t="array" ref="AF71">_xlfn.IFS(AND($K71&gt;AE$7,$L71&gt;AE$7),0,AND($K71&lt;=AE$7,$L71&lt;=AE$7),1,AND($K71&lt;=AE$7,$L71&gt;AE$7),((AE$7-$K71)/($L71-$K71)))</f>
        <v>1</v>
      </c>
      <c r="AG71" s="226" cm="1">
        <f t="array" ref="AG71">_xlfn.IFS(AND($K71&gt;AF$7,$L71&gt;AF$7),0,AND($K71&lt;=AF$7,$L71&lt;=AF$7),1,AND($K71&lt;=AF$7,$L71&gt;AF$7),((AF$7-$K71)/($L71-$K71)))</f>
        <v>1</v>
      </c>
      <c r="AH71" s="226" cm="1">
        <f t="array" ref="AH71">_xlfn.IFS(AND($K71&gt;AG$7,$L71&gt;AG$7),0,AND($K71&lt;=AG$7,$L71&lt;=AG$7),1,AND($K71&lt;=AG$7,$L71&gt;AG$7),((AG$7-$K71)/($L71-$K71)))</f>
        <v>1</v>
      </c>
      <c r="AI71" s="226" cm="1">
        <f t="array" ref="AI71">_xlfn.IFS(AND($K71&gt;AH$7,$L71&gt;AH$7),0,AND($K71&lt;=AH$7,$L71&lt;=AH$7),1,AND($K71&lt;=AH$7,$L71&gt;AH$7),((AH$7-$K71)/($L71-$K71)))</f>
        <v>1</v>
      </c>
      <c r="AJ71" s="226" cm="1">
        <f t="array" ref="AJ71">_xlfn.IFS(AND($K71&gt;AI$7,$L71&gt;AI$7),0,AND($K71&lt;=AI$7,$L71&lt;=AI$7),1,AND($K71&lt;=AI$7,$L71&gt;AI$7),((AI$7-$K71)/($L71-$K71)))</f>
        <v>1</v>
      </c>
      <c r="AK71" s="226" cm="1">
        <f t="array" ref="AK71">_xlfn.IFS(AND($K71&gt;AJ$7,$L71&gt;AJ$7),0,AND($K71&lt;=AJ$7,$L71&lt;=AJ$7),1,AND($K71&lt;=AJ$7,$L71&gt;AJ$7),((AJ$7-$K71)/($L71-$K71)))</f>
        <v>1</v>
      </c>
      <c r="AL71" s="226" cm="1">
        <f t="array" ref="AL71">_xlfn.IFS(AND($K71&gt;AK$7,$L71&gt;AK$7),0,AND($K71&lt;=AK$7,$L71&lt;=AK$7),1,AND($K71&lt;=AK$7,$L71&gt;AK$7),((AK$7-$K71)/($L71-$K71)))</f>
        <v>1</v>
      </c>
      <c r="AM71" s="226" cm="1">
        <f t="array" ref="AM71">_xlfn.IFS(AND($K71&gt;AL$7,$L71&gt;AL$7),0,AND($K71&lt;=AL$7,$L71&lt;=AL$7),1,AND($K71&lt;=AL$7,$L71&gt;AL$7),((AL$7-$K71)/($L71-$K71)))</f>
        <v>1</v>
      </c>
      <c r="AN71" s="226" cm="1">
        <f t="array" ref="AN71">_xlfn.IFS(AND($K71&gt;AM$7,$L71&gt;AM$7),0,AND($K71&lt;=AM$7,$L71&lt;=AM$7),1,AND($K71&lt;=AM$7,$L71&gt;AM$7),((AM$7-$K71)/($L71-$K71)))</f>
        <v>1</v>
      </c>
      <c r="AO71" s="226" cm="1">
        <f t="array" ref="AO71">_xlfn.IFS(AND($K71&gt;AN$7,$L71&gt;AN$7),0,AND($K71&lt;=AN$7,$L71&lt;=AN$7),1,AND($K71&lt;=AN$7,$L71&gt;AN$7),((AN$7-$K71)/($L71-$K71)))</f>
        <v>1</v>
      </c>
      <c r="AP71" s="226" cm="1">
        <f t="array" ref="AP71">_xlfn.IFS(AND($K71&gt;AO$7,$L71&gt;AO$7),0,AND($K71&lt;=AO$7,$L71&lt;=AO$7),1,AND($K71&lt;=AO$7,$L71&gt;AO$7),((AO$7-$K71)/($L71-$K71)))</f>
        <v>1</v>
      </c>
      <c r="AQ71" s="226" cm="1">
        <f t="array" ref="AQ71">_xlfn.IFS(AND($K71&gt;AP$7,$L71&gt;AP$7),0,AND($K71&lt;=AP$7,$L71&lt;=AP$7),1,AND($K71&lt;=AP$7,$L71&gt;AP$7),((AP$7-$K71)/($L71-$K71)))</f>
        <v>1</v>
      </c>
      <c r="AR71" s="226" cm="1">
        <f t="array" ref="AR71">_xlfn.IFS(AND($K71&gt;AQ$7,$L71&gt;AQ$7),0,AND($K71&lt;=AQ$7,$L71&lt;=AQ$7),1,AND($K71&lt;=AQ$7,$L71&gt;AQ$7),((AQ$7-$K71)/($L71-$K71)))</f>
        <v>1</v>
      </c>
      <c r="AS71" s="226" cm="1">
        <f t="array" ref="AS71">_xlfn.IFS(AND($K71&gt;AR$7,$L71&gt;AR$7),0,AND($K71&lt;=AR$7,$L71&lt;=AR$7),1,AND($K71&lt;=AR$7,$L71&gt;AR$7),((AR$7-$K71)/($L71-$K71)))</f>
        <v>1</v>
      </c>
      <c r="AT71" s="226" cm="1">
        <f t="array" ref="AT71">_xlfn.IFS(AND($K71&gt;AS$7,$L71&gt;AS$7),0,AND($K71&lt;=AS$7,$L71&lt;=AS$7),1,AND($K71&lt;=AS$7,$L71&gt;AS$7),((AS$7-$K71)/($L71-$K71)))</f>
        <v>1</v>
      </c>
      <c r="AU71" s="226" cm="1">
        <f t="array" ref="AU71">_xlfn.IFS(AND($K71&gt;AT$7,$L71&gt;AT$7),0,AND($K71&lt;=AT$7,$L71&lt;=AT$7),1,AND($K71&lt;=AT$7,$L71&gt;AT$7),((AT$7-$K71)/($L71-$K71)))</f>
        <v>1</v>
      </c>
      <c r="AV71" s="226" cm="1">
        <f t="array" ref="AV71">_xlfn.IFS(AND($K71&gt;AU$7,$L71&gt;AU$7),0,AND($K71&lt;=AU$7,$L71&lt;=AU$7),1,AND($K71&lt;=AU$7,$L71&gt;AU$7),((AU$7-$K71)/($L71-$K71)))</f>
        <v>1</v>
      </c>
      <c r="AW71" s="226" cm="1">
        <f t="array" ref="AW71">_xlfn.IFS(AND($K71&gt;AV$7,$L71&gt;AV$7),0,AND($K71&lt;=AV$7,$L71&lt;=AV$7),1,AND($K71&lt;=AV$7,$L71&gt;AV$7),((AV$7-$K71)/($L71-$K71)))</f>
        <v>1</v>
      </c>
      <c r="AX71" s="226" cm="1">
        <f t="array" ref="AX71">_xlfn.IFS(AND($K71&gt;AW$7,$L71&gt;AW$7),0,AND($K71&lt;=AW$7,$L71&lt;=AW$7),1,AND($K71&lt;=AW$7,$L71&gt;AW$7),((AW$7-$K71)/($L71-$K71)))</f>
        <v>1</v>
      </c>
      <c r="AY71" s="226" cm="1">
        <f t="array" ref="AY71">_xlfn.IFS(AND($K71&gt;AX$7,$L71&gt;AX$7),0,AND($K71&lt;=AX$7,$L71&lt;=AX$7),1,AND($K71&lt;=AX$7,$L71&gt;AX$7),((AX$7-$K71)/($L71-$K71)))</f>
        <v>1</v>
      </c>
      <c r="AZ71" s="226" cm="1">
        <f t="array" ref="AZ71">_xlfn.IFS(AND($K71&gt;AY$7,$L71&gt;AY$7),0,AND($K71&lt;=AY$7,$L71&lt;=AY$7),1,AND($K71&lt;=AY$7,$L71&gt;AY$7),((AY$7-$K71)/($L71-$K71)))</f>
        <v>1</v>
      </c>
      <c r="BA71" s="226" cm="1">
        <f t="array" ref="BA71">_xlfn.IFS(AND($K71&gt;AZ$7,$L71&gt;AZ$7),0,AND($K71&lt;=AZ$7,$L71&lt;=AZ$7),1,AND($K71&lt;=AZ$7,$L71&gt;AZ$7),((AZ$7-$K71)/($L71-$K71)))</f>
        <v>1</v>
      </c>
      <c r="BB71" s="226" cm="1">
        <f t="array" ref="BB71">_xlfn.IFS(AND($K71&gt;BA$7,$L71&gt;BA$7),0,AND($K71&lt;=BA$7,$L71&lt;=BA$7),1,AND($K71&lt;=BA$7,$L71&gt;BA$7),((BA$7-$K71)/($L71-$K71)))</f>
        <v>1</v>
      </c>
      <c r="BC71" s="226" cm="1">
        <f t="array" ref="BC71">_xlfn.IFS(AND($K71&gt;BB$7,$L71&gt;BB$7),0,AND($K71&lt;=BB$7,$L71&lt;=BB$7),1,AND($K71&lt;=BB$7,$L71&gt;BB$7),((BB$7-$K71)/($L71-$K71)))</f>
        <v>1</v>
      </c>
      <c r="BD71" s="226" cm="1">
        <f t="array" ref="BD71">_xlfn.IFS(AND($K71&gt;BC$7,$L71&gt;BC$7),0,AND($K71&lt;=BC$7,$L71&lt;=BC$7),1,AND($K71&lt;=BC$7,$L71&gt;BC$7),((BC$7-$K71)/($L71-$K71)))</f>
        <v>1</v>
      </c>
      <c r="BE71" s="226" cm="1">
        <f t="array" ref="BE71">_xlfn.IFS(AND($K71&gt;BD$7,$L71&gt;BD$7),0,AND($K71&lt;=BD$7,$L71&lt;=BD$7),1,AND($K71&lt;=BD$7,$L71&gt;BD$7),((BD$7-$K71)/($L71-$K71)))</f>
        <v>1</v>
      </c>
      <c r="BF71" s="226" cm="1">
        <f t="array" ref="BF71">_xlfn.IFS(AND($K71&gt;BE$7,$L71&gt;BE$7),0,AND($K71&lt;=BE$7,$L71&lt;=BE$7),1,AND($K71&lt;=BE$7,$L71&gt;BE$7),((BE$7-$K71)/($L71-$K71)))</f>
        <v>1</v>
      </c>
      <c r="BG71" s="226" cm="1">
        <f t="array" ref="BG71">_xlfn.IFS(AND($K71&gt;BF$7,$L71&gt;BF$7),0,AND($K71&lt;=BF$7,$L71&lt;=BF$7),1,AND($K71&lt;=BF$7,$L71&gt;BF$7),((BF$7-$K71)/($L71-$K71)))</f>
        <v>1</v>
      </c>
      <c r="BH71">
        <f>Tab.plano6[[#This Row],[Data Término
Prevista]]-Tab.plano6[[#This Row],[Data Início
Previsto]]</f>
        <v>2</v>
      </c>
    </row>
    <row r="72" spans="1:60" customFormat="1" ht="18" hidden="1" customHeight="1" x14ac:dyDescent="0.3">
      <c r="A72" s="216"/>
      <c r="B72" s="216" t="s">
        <v>12</v>
      </c>
      <c r="C72" s="216" t="s">
        <v>549</v>
      </c>
      <c r="D72" s="249" t="s">
        <v>399</v>
      </c>
      <c r="E72" s="249" t="s">
        <v>422</v>
      </c>
      <c r="F72" s="249" t="s">
        <v>74</v>
      </c>
      <c r="G72" s="249" t="s">
        <v>74</v>
      </c>
      <c r="H72" s="252" t="s">
        <v>831</v>
      </c>
      <c r="I72" s="257">
        <f>I73</f>
        <v>46156</v>
      </c>
      <c r="J72" s="257">
        <f>J73</f>
        <v>46191</v>
      </c>
      <c r="K72" s="257">
        <f>K73</f>
        <v>46111</v>
      </c>
      <c r="L72" s="257">
        <f>L73</f>
        <v>46171</v>
      </c>
      <c r="M72" s="229" t="s">
        <v>437</v>
      </c>
      <c r="N72" s="227" t="str" cm="1">
        <f t="array" ref="N72">_xlfn.IFS(L72&lt;$M$3,"Concluído",AND(K72&lt;=$M$3,L72&gt;=$M$3,L72&lt;=J72),"Em andamento",AND(K72&lt;=$M$3,L72&gt;=$M$3,L72&gt;J72),"Atrasado",AND(K72&gt;$M$3,I72&gt;$M$3),"Não iniciado",AND(K72&gt;$M$3,I72&lt;=$M$3),"Atrasado",TRUE,"Não iniciado")</f>
        <v>Em andamento</v>
      </c>
      <c r="O72" s="229" cm="1">
        <f t="array" ref="O72">_xlfn.IFS(N72="Não iniciado",0,N72="Em andamento",1,N72="Concluído",2,N72="Atrasado",3)</f>
        <v>1</v>
      </c>
      <c r="P72" s="216"/>
      <c r="Q72" s="224">
        <f t="shared" ref="Q72:BG72" si="29">Q73</f>
        <v>0.5</v>
      </c>
      <c r="R72" s="224">
        <f t="shared" si="29"/>
        <v>0.83333333333333337</v>
      </c>
      <c r="S72" s="224">
        <f t="shared" si="29"/>
        <v>0</v>
      </c>
      <c r="T72" s="224">
        <f t="shared" si="29"/>
        <v>0</v>
      </c>
      <c r="U72" s="224">
        <f t="shared" si="29"/>
        <v>0.40579710144927539</v>
      </c>
      <c r="V72" s="224">
        <f t="shared" si="29"/>
        <v>0.50724637681159424</v>
      </c>
      <c r="W72" s="224">
        <f t="shared" si="29"/>
        <v>0.60869565217391308</v>
      </c>
      <c r="X72" s="224">
        <f t="shared" si="29"/>
        <v>0.68627450980392146</v>
      </c>
      <c r="Y72" s="224">
        <f t="shared" si="29"/>
        <v>0.75490196078431371</v>
      </c>
      <c r="Z72" s="224">
        <f t="shared" si="29"/>
        <v>0.82352941176470595</v>
      </c>
      <c r="AA72" s="224">
        <f t="shared" si="29"/>
        <v>0.89215686274509809</v>
      </c>
      <c r="AB72" s="224">
        <f t="shared" si="29"/>
        <v>0.96078431372549022</v>
      </c>
      <c r="AC72" s="224">
        <f t="shared" si="29"/>
        <v>1</v>
      </c>
      <c r="AD72" s="224">
        <f t="shared" si="29"/>
        <v>1</v>
      </c>
      <c r="AE72" s="224">
        <f t="shared" si="29"/>
        <v>1</v>
      </c>
      <c r="AF72" s="224">
        <f t="shared" si="29"/>
        <v>1</v>
      </c>
      <c r="AG72" s="224">
        <f t="shared" si="29"/>
        <v>1</v>
      </c>
      <c r="AH72" s="224">
        <f t="shared" si="29"/>
        <v>1</v>
      </c>
      <c r="AI72" s="224">
        <f t="shared" si="29"/>
        <v>1</v>
      </c>
      <c r="AJ72" s="224">
        <f t="shared" si="29"/>
        <v>1</v>
      </c>
      <c r="AK72" s="224">
        <f t="shared" si="29"/>
        <v>1</v>
      </c>
      <c r="AL72" s="224">
        <f t="shared" si="29"/>
        <v>1</v>
      </c>
      <c r="AM72" s="224">
        <f t="shared" si="29"/>
        <v>1</v>
      </c>
      <c r="AN72" s="224">
        <f t="shared" si="29"/>
        <v>1</v>
      </c>
      <c r="AO72" s="224">
        <f t="shared" si="29"/>
        <v>1</v>
      </c>
      <c r="AP72" s="224">
        <f t="shared" si="29"/>
        <v>1</v>
      </c>
      <c r="AQ72" s="224">
        <f t="shared" si="29"/>
        <v>1</v>
      </c>
      <c r="AR72" s="224">
        <f t="shared" si="29"/>
        <v>1</v>
      </c>
      <c r="AS72" s="224">
        <f t="shared" si="29"/>
        <v>1</v>
      </c>
      <c r="AT72" s="224">
        <f t="shared" si="29"/>
        <v>1</v>
      </c>
      <c r="AU72" s="224">
        <f t="shared" si="29"/>
        <v>1</v>
      </c>
      <c r="AV72" s="224">
        <f t="shared" si="29"/>
        <v>1</v>
      </c>
      <c r="AW72" s="224">
        <f t="shared" si="29"/>
        <v>1</v>
      </c>
      <c r="AX72" s="224">
        <f t="shared" si="29"/>
        <v>1</v>
      </c>
      <c r="AY72" s="224">
        <f t="shared" si="29"/>
        <v>1</v>
      </c>
      <c r="AZ72" s="224">
        <f t="shared" si="29"/>
        <v>1</v>
      </c>
      <c r="BA72" s="224">
        <f t="shared" si="29"/>
        <v>1</v>
      </c>
      <c r="BB72" s="224">
        <f t="shared" si="29"/>
        <v>1</v>
      </c>
      <c r="BC72" s="224">
        <f t="shared" si="29"/>
        <v>1</v>
      </c>
      <c r="BD72" s="224">
        <f t="shared" si="29"/>
        <v>1</v>
      </c>
      <c r="BE72" s="224">
        <f t="shared" si="29"/>
        <v>1</v>
      </c>
      <c r="BF72" s="224">
        <f t="shared" si="29"/>
        <v>1</v>
      </c>
      <c r="BG72" s="224">
        <f t="shared" si="29"/>
        <v>1</v>
      </c>
      <c r="BH72">
        <f>Tab.plano6[[#This Row],[Data Término
Prevista]]-Tab.plano6[[#This Row],[Data Início
Previsto]]</f>
        <v>35</v>
      </c>
    </row>
    <row r="73" spans="1:60" s="163" customFormat="1" ht="18" hidden="1" customHeight="1" collapsed="1" x14ac:dyDescent="0.3">
      <c r="A73" s="218"/>
      <c r="B73" s="218" t="s">
        <v>13</v>
      </c>
      <c r="C73" s="218" t="s">
        <v>551</v>
      </c>
      <c r="D73" s="250" t="s">
        <v>399</v>
      </c>
      <c r="E73" s="250" t="s">
        <v>422</v>
      </c>
      <c r="F73" s="250" t="s">
        <v>550</v>
      </c>
      <c r="G73" s="250" t="s">
        <v>74</v>
      </c>
      <c r="H73" s="219" t="s">
        <v>550</v>
      </c>
      <c r="I73" s="258">
        <f>MIN(I74:I76)</f>
        <v>46156</v>
      </c>
      <c r="J73" s="258">
        <f>MAX(J74:J76)</f>
        <v>46191</v>
      </c>
      <c r="K73" s="258">
        <f>MIN(K74:K76)</f>
        <v>46111</v>
      </c>
      <c r="L73" s="258">
        <f>MAX(L74:L76)</f>
        <v>46171</v>
      </c>
      <c r="M73" s="230" t="s">
        <v>437</v>
      </c>
      <c r="N73" s="227" t="str" cm="1">
        <f t="array" ref="N73">_xlfn.IFS(L73&lt;$M$3,"Concluído",AND(K73&lt;=$M$3,L73&gt;=$M$3,L73&lt;=J73),"Em andamento",AND(K73&lt;=$M$3,L73&gt;=$M$3,L73&gt;J73),"Atrasado",AND(K73&gt;$M$3,I73&gt;$M$3),"Não iniciado",AND(K73&gt;$M$3,I73&lt;=$M$3),"Atrasado",TRUE,"Não iniciado")</f>
        <v>Em andamento</v>
      </c>
      <c r="O73" s="230" cm="1">
        <f t="array" ref="O73">_xlfn.IFS(N73="Não iniciado",0,N73="Em andamento",1,N73="Concluído",2,N73="Atrasado",3)</f>
        <v>1</v>
      </c>
      <c r="P73" s="218"/>
      <c r="Q73" s="225">
        <f t="shared" ref="Q73:BG73" si="30">AVERAGE(Q74:Q76)</f>
        <v>0.5</v>
      </c>
      <c r="R73" s="225">
        <f t="shared" si="30"/>
        <v>0.83333333333333337</v>
      </c>
      <c r="S73" s="225">
        <f t="shared" si="30"/>
        <v>0</v>
      </c>
      <c r="T73" s="225">
        <f t="shared" si="30"/>
        <v>0</v>
      </c>
      <c r="U73" s="225">
        <f t="shared" si="30"/>
        <v>0.40579710144927539</v>
      </c>
      <c r="V73" s="225">
        <f t="shared" si="30"/>
        <v>0.50724637681159424</v>
      </c>
      <c r="W73" s="225">
        <f t="shared" si="30"/>
        <v>0.60869565217391308</v>
      </c>
      <c r="X73" s="225">
        <f t="shared" si="30"/>
        <v>0.68627450980392146</v>
      </c>
      <c r="Y73" s="225">
        <f t="shared" si="30"/>
        <v>0.75490196078431371</v>
      </c>
      <c r="Z73" s="225">
        <f t="shared" si="30"/>
        <v>0.82352941176470595</v>
      </c>
      <c r="AA73" s="225">
        <f t="shared" si="30"/>
        <v>0.89215686274509809</v>
      </c>
      <c r="AB73" s="225">
        <f t="shared" si="30"/>
        <v>0.96078431372549022</v>
      </c>
      <c r="AC73" s="225">
        <f t="shared" si="30"/>
        <v>1</v>
      </c>
      <c r="AD73" s="225">
        <f t="shared" si="30"/>
        <v>1</v>
      </c>
      <c r="AE73" s="225">
        <f t="shared" si="30"/>
        <v>1</v>
      </c>
      <c r="AF73" s="225">
        <f t="shared" si="30"/>
        <v>1</v>
      </c>
      <c r="AG73" s="225">
        <f t="shared" si="30"/>
        <v>1</v>
      </c>
      <c r="AH73" s="225">
        <f t="shared" si="30"/>
        <v>1</v>
      </c>
      <c r="AI73" s="225">
        <f t="shared" si="30"/>
        <v>1</v>
      </c>
      <c r="AJ73" s="225">
        <f t="shared" si="30"/>
        <v>1</v>
      </c>
      <c r="AK73" s="225">
        <f t="shared" si="30"/>
        <v>1</v>
      </c>
      <c r="AL73" s="225">
        <f t="shared" si="30"/>
        <v>1</v>
      </c>
      <c r="AM73" s="225">
        <f t="shared" si="30"/>
        <v>1</v>
      </c>
      <c r="AN73" s="225">
        <f t="shared" si="30"/>
        <v>1</v>
      </c>
      <c r="AO73" s="225">
        <f t="shared" si="30"/>
        <v>1</v>
      </c>
      <c r="AP73" s="225">
        <f t="shared" si="30"/>
        <v>1</v>
      </c>
      <c r="AQ73" s="225">
        <f t="shared" si="30"/>
        <v>1</v>
      </c>
      <c r="AR73" s="225">
        <f t="shared" si="30"/>
        <v>1</v>
      </c>
      <c r="AS73" s="225">
        <f t="shared" si="30"/>
        <v>1</v>
      </c>
      <c r="AT73" s="225">
        <f t="shared" si="30"/>
        <v>1</v>
      </c>
      <c r="AU73" s="225">
        <f t="shared" si="30"/>
        <v>1</v>
      </c>
      <c r="AV73" s="225">
        <f t="shared" si="30"/>
        <v>1</v>
      </c>
      <c r="AW73" s="225">
        <f t="shared" si="30"/>
        <v>1</v>
      </c>
      <c r="AX73" s="225">
        <f t="shared" si="30"/>
        <v>1</v>
      </c>
      <c r="AY73" s="225">
        <f t="shared" si="30"/>
        <v>1</v>
      </c>
      <c r="AZ73" s="225">
        <f t="shared" si="30"/>
        <v>1</v>
      </c>
      <c r="BA73" s="225">
        <f t="shared" si="30"/>
        <v>1</v>
      </c>
      <c r="BB73" s="225">
        <f t="shared" si="30"/>
        <v>1</v>
      </c>
      <c r="BC73" s="225">
        <f t="shared" si="30"/>
        <v>1</v>
      </c>
      <c r="BD73" s="225">
        <f t="shared" si="30"/>
        <v>1</v>
      </c>
      <c r="BE73" s="225">
        <f t="shared" si="30"/>
        <v>1</v>
      </c>
      <c r="BF73" s="225">
        <f t="shared" si="30"/>
        <v>1</v>
      </c>
      <c r="BG73" s="225">
        <f t="shared" si="30"/>
        <v>1</v>
      </c>
      <c r="BH73">
        <f>Tab.plano6[[#This Row],[Data Término
Prevista]]-Tab.plano6[[#This Row],[Data Início
Previsto]]</f>
        <v>35</v>
      </c>
    </row>
    <row r="74" spans="1:60" s="163" customFormat="1" ht="18" hidden="1" customHeight="1" collapsed="1" x14ac:dyDescent="0.3">
      <c r="A74" s="220"/>
      <c r="B74" s="220" t="s">
        <v>161</v>
      </c>
      <c r="C74" s="220" t="s">
        <v>552</v>
      </c>
      <c r="D74" s="251" t="s">
        <v>399</v>
      </c>
      <c r="E74" s="251" t="s">
        <v>422</v>
      </c>
      <c r="F74" s="251" t="s">
        <v>550</v>
      </c>
      <c r="G74" s="251" t="s">
        <v>550</v>
      </c>
      <c r="H74" s="221" t="s">
        <v>553</v>
      </c>
      <c r="I74" s="260">
        <v>46156</v>
      </c>
      <c r="J74" s="260">
        <v>46157</v>
      </c>
      <c r="K74" s="260">
        <v>46111</v>
      </c>
      <c r="L74" s="260">
        <v>46112</v>
      </c>
      <c r="M74" s="231" t="s">
        <v>437</v>
      </c>
      <c r="N74" s="227" t="str" cm="1">
        <f t="array" ref="N74">_xlfn.IFS(L74&lt;$M$3,"Concluído",AND(K74&lt;=$M$3,L74&gt;=$M$3,L74&lt;=J74),"Em andamento",AND(K74&lt;=$M$3,L74&gt;=$M$3,L74&gt;J74),"Atrasado",AND(K74&gt;$M$3,I74&gt;$M$3),"Não iniciado",AND(K74&gt;$M$3,I74&lt;=$M$3),"Atrasado",TRUE,"Não iniciado")</f>
        <v>Concluído</v>
      </c>
      <c r="O74" s="231" cm="1">
        <f t="array" ref="O74">_xlfn.IFS(N74="Não iniciado",0,N74="Em andamento",1,N74="Concluído",2,N74="Atrasado",3)</f>
        <v>2</v>
      </c>
      <c r="P74" s="220"/>
      <c r="Q74" s="226" cm="1">
        <f t="array" ref="Q74">_xlfn.IFS(AND($I74&lt;$M$3,$J74&lt;$M$3),1,AND($I74&lt;=$M$3,$J74&gt;=$M$3),0.5,AND($I74&gt;=$M$3,$J74&gt;=$M$3),0)</f>
        <v>1</v>
      </c>
      <c r="R74" s="226" cm="1">
        <f t="array" ref="R74">_xlfn.IFS(AND($K74&lt;$M$3,$L74&lt;$M$3),1,AND($K74&lt;=$M$3,$L74&gt;=$M$3),0.5,AND($K74&gt;=$M$3,$L74&gt;=$M$3),0)</f>
        <v>1</v>
      </c>
      <c r="S74" s="226" cm="1">
        <f t="array" ref="S74">_xlfn.IFS(AND($K74&gt;R$7,$L74&gt;R$7),0,AND($K74&lt;=R$7,$L74&lt;=R$7),1,AND($K74&lt;=R$7,$L74&gt;R$7),((R$7-$K74)/($L74-$K74)))</f>
        <v>0</v>
      </c>
      <c r="T74" s="226" cm="1">
        <f t="array" ref="T74">_xlfn.IFS(AND($K74&gt;S$7,$L74&gt;S$7),0,AND($K74&lt;=S$7,$L74&lt;=S$7),1,AND($K74&lt;=S$7,$L74&gt;S$7),((S$7-$K74)/($L74-$K74)))</f>
        <v>0</v>
      </c>
      <c r="U74" s="226" cm="1">
        <f t="array" ref="U74">_xlfn.IFS(AND($K74&gt;T$7,$L74&gt;T$7),0,AND($K74&lt;=T$7,$L74&lt;=T$7),1,AND($K74&lt;=T$7,$L74&gt;T$7),((T$7-$K74)/($L74-$K74)))</f>
        <v>1</v>
      </c>
      <c r="V74" s="226" cm="1">
        <f t="array" ref="V74">_xlfn.IFS(AND($K74&gt;U$7,$L74&gt;U$7),0,AND($K74&lt;=U$7,$L74&lt;=U$7),1,AND($K74&lt;=U$7,$L74&gt;U$7),((U$7-$K74)/($L74-$K74)))</f>
        <v>1</v>
      </c>
      <c r="W74" s="226" cm="1">
        <f t="array" ref="W74">_xlfn.IFS(AND($K74&gt;V$7,$L74&gt;V$7),0,AND($K74&lt;=V$7,$L74&lt;=V$7),1,AND($K74&lt;=V$7,$L74&gt;V$7),((V$7-$K74)/($L74-$K74)))</f>
        <v>1</v>
      </c>
      <c r="X74" s="226" cm="1">
        <f t="array" ref="X74">_xlfn.IFS(AND($K74&gt;W$7,$L74&gt;W$7),0,AND($K74&lt;=W$7,$L74&lt;=W$7),1,AND($K74&lt;=W$7,$L74&gt;W$7),((W$7-$K74)/($L74-$K74)))</f>
        <v>1</v>
      </c>
      <c r="Y74" s="226" cm="1">
        <f t="array" ref="Y74">_xlfn.IFS(AND($K74&gt;X$7,$L74&gt;X$7),0,AND($K74&lt;=X$7,$L74&lt;=X$7),1,AND($K74&lt;=X$7,$L74&gt;X$7),((X$7-$K74)/($L74-$K74)))</f>
        <v>1</v>
      </c>
      <c r="Z74" s="226" cm="1">
        <f t="array" ref="Z74">_xlfn.IFS(AND($K74&gt;Y$7,$L74&gt;Y$7),0,AND($K74&lt;=Y$7,$L74&lt;=Y$7),1,AND($K74&lt;=Y$7,$L74&gt;Y$7),((Y$7-$K74)/($L74-$K74)))</f>
        <v>1</v>
      </c>
      <c r="AA74" s="226" cm="1">
        <f t="array" ref="AA74">_xlfn.IFS(AND($K74&gt;Z$7,$L74&gt;Z$7),0,AND($K74&lt;=Z$7,$L74&lt;=Z$7),1,AND($K74&lt;=Z$7,$L74&gt;Z$7),((Z$7-$K74)/($L74-$K74)))</f>
        <v>1</v>
      </c>
      <c r="AB74" s="226" cm="1">
        <f t="array" ref="AB74">_xlfn.IFS(AND($K74&gt;AA$7,$L74&gt;AA$7),0,AND($K74&lt;=AA$7,$L74&lt;=AA$7),1,AND($K74&lt;=AA$7,$L74&gt;AA$7),((AA$7-$K74)/($L74-$K74)))</f>
        <v>1</v>
      </c>
      <c r="AC74" s="226" cm="1">
        <f t="array" ref="AC74">_xlfn.IFS(AND($K74&gt;AB$7,$L74&gt;AB$7),0,AND($K74&lt;=AB$7,$L74&lt;=AB$7),1,AND($K74&lt;=AB$7,$L74&gt;AB$7),((AB$7-$K74)/($L74-$K74)))</f>
        <v>1</v>
      </c>
      <c r="AD74" s="226" cm="1">
        <f t="array" ref="AD74">_xlfn.IFS(AND($K74&gt;AC$7,$L74&gt;AC$7),0,AND($K74&lt;=AC$7,$L74&lt;=AC$7),1,AND($K74&lt;=AC$7,$L74&gt;AC$7),((AC$7-$K74)/($L74-$K74)))</f>
        <v>1</v>
      </c>
      <c r="AE74" s="226" cm="1">
        <f t="array" ref="AE74">_xlfn.IFS(AND($K74&gt;AD$7,$L74&gt;AD$7),0,AND($K74&lt;=AD$7,$L74&lt;=AD$7),1,AND($K74&lt;=AD$7,$L74&gt;AD$7),((AD$7-$K74)/($L74-$K74)))</f>
        <v>1</v>
      </c>
      <c r="AF74" s="226" cm="1">
        <f t="array" ref="AF74">_xlfn.IFS(AND($K74&gt;AE$7,$L74&gt;AE$7),0,AND($K74&lt;=AE$7,$L74&lt;=AE$7),1,AND($K74&lt;=AE$7,$L74&gt;AE$7),((AE$7-$K74)/($L74-$K74)))</f>
        <v>1</v>
      </c>
      <c r="AG74" s="226" cm="1">
        <f t="array" ref="AG74">_xlfn.IFS(AND($K74&gt;AF$7,$L74&gt;AF$7),0,AND($K74&lt;=AF$7,$L74&lt;=AF$7),1,AND($K74&lt;=AF$7,$L74&gt;AF$7),((AF$7-$K74)/($L74-$K74)))</f>
        <v>1</v>
      </c>
      <c r="AH74" s="226" cm="1">
        <f t="array" ref="AH74">_xlfn.IFS(AND($K74&gt;AG$7,$L74&gt;AG$7),0,AND($K74&lt;=AG$7,$L74&lt;=AG$7),1,AND($K74&lt;=AG$7,$L74&gt;AG$7),((AG$7-$K74)/($L74-$K74)))</f>
        <v>1</v>
      </c>
      <c r="AI74" s="226" cm="1">
        <f t="array" ref="AI74">_xlfn.IFS(AND($K74&gt;AH$7,$L74&gt;AH$7),0,AND($K74&lt;=AH$7,$L74&lt;=AH$7),1,AND($K74&lt;=AH$7,$L74&gt;AH$7),((AH$7-$K74)/($L74-$K74)))</f>
        <v>1</v>
      </c>
      <c r="AJ74" s="226" cm="1">
        <f t="array" ref="AJ74">_xlfn.IFS(AND($K74&gt;AI$7,$L74&gt;AI$7),0,AND($K74&lt;=AI$7,$L74&lt;=AI$7),1,AND($K74&lt;=AI$7,$L74&gt;AI$7),((AI$7-$K74)/($L74-$K74)))</f>
        <v>1</v>
      </c>
      <c r="AK74" s="226" cm="1">
        <f t="array" ref="AK74">_xlfn.IFS(AND($K74&gt;AJ$7,$L74&gt;AJ$7),0,AND($K74&lt;=AJ$7,$L74&lt;=AJ$7),1,AND($K74&lt;=AJ$7,$L74&gt;AJ$7),((AJ$7-$K74)/($L74-$K74)))</f>
        <v>1</v>
      </c>
      <c r="AL74" s="226" cm="1">
        <f t="array" ref="AL74">_xlfn.IFS(AND($K74&gt;AK$7,$L74&gt;AK$7),0,AND($K74&lt;=AK$7,$L74&lt;=AK$7),1,AND($K74&lt;=AK$7,$L74&gt;AK$7),((AK$7-$K74)/($L74-$K74)))</f>
        <v>1</v>
      </c>
      <c r="AM74" s="226" cm="1">
        <f t="array" ref="AM74">_xlfn.IFS(AND($K74&gt;AL$7,$L74&gt;AL$7),0,AND($K74&lt;=AL$7,$L74&lt;=AL$7),1,AND($K74&lt;=AL$7,$L74&gt;AL$7),((AL$7-$K74)/($L74-$K74)))</f>
        <v>1</v>
      </c>
      <c r="AN74" s="226" cm="1">
        <f t="array" ref="AN74">_xlfn.IFS(AND($K74&gt;AM$7,$L74&gt;AM$7),0,AND($K74&lt;=AM$7,$L74&lt;=AM$7),1,AND($K74&lt;=AM$7,$L74&gt;AM$7),((AM$7-$K74)/($L74-$K74)))</f>
        <v>1</v>
      </c>
      <c r="AO74" s="226" cm="1">
        <f t="array" ref="AO74">_xlfn.IFS(AND($K74&gt;AN$7,$L74&gt;AN$7),0,AND($K74&lt;=AN$7,$L74&lt;=AN$7),1,AND($K74&lt;=AN$7,$L74&gt;AN$7),((AN$7-$K74)/($L74-$K74)))</f>
        <v>1</v>
      </c>
      <c r="AP74" s="226" cm="1">
        <f t="array" ref="AP74">_xlfn.IFS(AND($K74&gt;AO$7,$L74&gt;AO$7),0,AND($K74&lt;=AO$7,$L74&lt;=AO$7),1,AND($K74&lt;=AO$7,$L74&gt;AO$7),((AO$7-$K74)/($L74-$K74)))</f>
        <v>1</v>
      </c>
      <c r="AQ74" s="226" cm="1">
        <f t="array" ref="AQ74">_xlfn.IFS(AND($K74&gt;AP$7,$L74&gt;AP$7),0,AND($K74&lt;=AP$7,$L74&lt;=AP$7),1,AND($K74&lt;=AP$7,$L74&gt;AP$7),((AP$7-$K74)/($L74-$K74)))</f>
        <v>1</v>
      </c>
      <c r="AR74" s="226" cm="1">
        <f t="array" ref="AR74">_xlfn.IFS(AND($K74&gt;AQ$7,$L74&gt;AQ$7),0,AND($K74&lt;=AQ$7,$L74&lt;=AQ$7),1,AND($K74&lt;=AQ$7,$L74&gt;AQ$7),((AQ$7-$K74)/($L74-$K74)))</f>
        <v>1</v>
      </c>
      <c r="AS74" s="226" cm="1">
        <f t="array" ref="AS74">_xlfn.IFS(AND($K74&gt;AR$7,$L74&gt;AR$7),0,AND($K74&lt;=AR$7,$L74&lt;=AR$7),1,AND($K74&lt;=AR$7,$L74&gt;AR$7),((AR$7-$K74)/($L74-$K74)))</f>
        <v>1</v>
      </c>
      <c r="AT74" s="226" cm="1">
        <f t="array" ref="AT74">_xlfn.IFS(AND($K74&gt;AS$7,$L74&gt;AS$7),0,AND($K74&lt;=AS$7,$L74&lt;=AS$7),1,AND($K74&lt;=AS$7,$L74&gt;AS$7),((AS$7-$K74)/($L74-$K74)))</f>
        <v>1</v>
      </c>
      <c r="AU74" s="226" cm="1">
        <f t="array" ref="AU74">_xlfn.IFS(AND($K74&gt;AT$7,$L74&gt;AT$7),0,AND($K74&lt;=AT$7,$L74&lt;=AT$7),1,AND($K74&lt;=AT$7,$L74&gt;AT$7),((AT$7-$K74)/($L74-$K74)))</f>
        <v>1</v>
      </c>
      <c r="AV74" s="226" cm="1">
        <f t="array" ref="AV74">_xlfn.IFS(AND($K74&gt;AU$7,$L74&gt;AU$7),0,AND($K74&lt;=AU$7,$L74&lt;=AU$7),1,AND($K74&lt;=AU$7,$L74&gt;AU$7),((AU$7-$K74)/($L74-$K74)))</f>
        <v>1</v>
      </c>
      <c r="AW74" s="226" cm="1">
        <f t="array" ref="AW74">_xlfn.IFS(AND($K74&gt;AV$7,$L74&gt;AV$7),0,AND($K74&lt;=AV$7,$L74&lt;=AV$7),1,AND($K74&lt;=AV$7,$L74&gt;AV$7),((AV$7-$K74)/($L74-$K74)))</f>
        <v>1</v>
      </c>
      <c r="AX74" s="226" cm="1">
        <f t="array" ref="AX74">_xlfn.IFS(AND($K74&gt;AW$7,$L74&gt;AW$7),0,AND($K74&lt;=AW$7,$L74&lt;=AW$7),1,AND($K74&lt;=AW$7,$L74&gt;AW$7),((AW$7-$K74)/($L74-$K74)))</f>
        <v>1</v>
      </c>
      <c r="AY74" s="226" cm="1">
        <f t="array" ref="AY74">_xlfn.IFS(AND($K74&gt;AX$7,$L74&gt;AX$7),0,AND($K74&lt;=AX$7,$L74&lt;=AX$7),1,AND($K74&lt;=AX$7,$L74&gt;AX$7),((AX$7-$K74)/($L74-$K74)))</f>
        <v>1</v>
      </c>
      <c r="AZ74" s="226" cm="1">
        <f t="array" ref="AZ74">_xlfn.IFS(AND($K74&gt;AY$7,$L74&gt;AY$7),0,AND($K74&lt;=AY$7,$L74&lt;=AY$7),1,AND($K74&lt;=AY$7,$L74&gt;AY$7),((AY$7-$K74)/($L74-$K74)))</f>
        <v>1</v>
      </c>
      <c r="BA74" s="226" cm="1">
        <f t="array" ref="BA74">_xlfn.IFS(AND($K74&gt;AZ$7,$L74&gt;AZ$7),0,AND($K74&lt;=AZ$7,$L74&lt;=AZ$7),1,AND($K74&lt;=AZ$7,$L74&gt;AZ$7),((AZ$7-$K74)/($L74-$K74)))</f>
        <v>1</v>
      </c>
      <c r="BB74" s="226" cm="1">
        <f t="array" ref="BB74">_xlfn.IFS(AND($K74&gt;BA$7,$L74&gt;BA$7),0,AND($K74&lt;=BA$7,$L74&lt;=BA$7),1,AND($K74&lt;=BA$7,$L74&gt;BA$7),((BA$7-$K74)/($L74-$K74)))</f>
        <v>1</v>
      </c>
      <c r="BC74" s="226" cm="1">
        <f t="array" ref="BC74">_xlfn.IFS(AND($K74&gt;BB$7,$L74&gt;BB$7),0,AND($K74&lt;=BB$7,$L74&lt;=BB$7),1,AND($K74&lt;=BB$7,$L74&gt;BB$7),((BB$7-$K74)/($L74-$K74)))</f>
        <v>1</v>
      </c>
      <c r="BD74" s="226" cm="1">
        <f t="array" ref="BD74">_xlfn.IFS(AND($K74&gt;BC$7,$L74&gt;BC$7),0,AND($K74&lt;=BC$7,$L74&lt;=BC$7),1,AND($K74&lt;=BC$7,$L74&gt;BC$7),((BC$7-$K74)/($L74-$K74)))</f>
        <v>1</v>
      </c>
      <c r="BE74" s="226" cm="1">
        <f t="array" ref="BE74">_xlfn.IFS(AND($K74&gt;BD$7,$L74&gt;BD$7),0,AND($K74&lt;=BD$7,$L74&lt;=BD$7),1,AND($K74&lt;=BD$7,$L74&gt;BD$7),((BD$7-$K74)/($L74-$K74)))</f>
        <v>1</v>
      </c>
      <c r="BF74" s="226" cm="1">
        <f t="array" ref="BF74">_xlfn.IFS(AND($K74&gt;BE$7,$L74&gt;BE$7),0,AND($K74&lt;=BE$7,$L74&lt;=BE$7),1,AND($K74&lt;=BE$7,$L74&gt;BE$7),((BE$7-$K74)/($L74-$K74)))</f>
        <v>1</v>
      </c>
      <c r="BG74" s="226" cm="1">
        <f t="array" ref="BG74">_xlfn.IFS(AND($K74&gt;BF$7,$L74&gt;BF$7),0,AND($K74&lt;=BF$7,$L74&lt;=BF$7),1,AND($K74&lt;=BF$7,$L74&gt;BF$7),((BF$7-$K74)/($L74-$K74)))</f>
        <v>1</v>
      </c>
      <c r="BH74">
        <f>Tab.plano6[[#This Row],[Data Término
Prevista]]-Tab.plano6[[#This Row],[Data Início
Previsto]]</f>
        <v>1</v>
      </c>
    </row>
    <row r="75" spans="1:60" s="163" customFormat="1" ht="18" hidden="1" customHeight="1" collapsed="1" x14ac:dyDescent="0.3">
      <c r="A75" s="220"/>
      <c r="B75" s="220" t="s">
        <v>161</v>
      </c>
      <c r="C75" s="220" t="s">
        <v>554</v>
      </c>
      <c r="D75" s="251" t="s">
        <v>399</v>
      </c>
      <c r="E75" s="251" t="s">
        <v>422</v>
      </c>
      <c r="F75" s="251" t="s">
        <v>550</v>
      </c>
      <c r="G75" s="251" t="s">
        <v>550</v>
      </c>
      <c r="H75" s="221" t="s">
        <v>555</v>
      </c>
      <c r="I75" s="260">
        <v>46160</v>
      </c>
      <c r="J75" s="260">
        <v>46188</v>
      </c>
      <c r="K75" s="260">
        <v>46113</v>
      </c>
      <c r="L75" s="260">
        <v>46136</v>
      </c>
      <c r="M75" s="231" t="s">
        <v>437</v>
      </c>
      <c r="N75" s="227" t="str" cm="1">
        <f t="array" ref="N75">_xlfn.IFS(L75&lt;$M$3,"Concluído",AND(K75&lt;=$M$3,L75&gt;=$M$3,L75&lt;=J75),"Em andamento",AND(K75&lt;=$M$3,L75&gt;=$M$3,L75&gt;J75),"Atrasado",AND(K75&gt;$M$3,I75&gt;$M$3),"Não iniciado",AND(K75&gt;$M$3,I75&lt;=$M$3),"Atrasado",TRUE,"Não iniciado")</f>
        <v>Concluído</v>
      </c>
      <c r="O75" s="231" cm="1">
        <f t="array" ref="O75">_xlfn.IFS(N75="Não iniciado",0,N75="Em andamento",1,N75="Concluído",2,N75="Atrasado",3)</f>
        <v>2</v>
      </c>
      <c r="P75" s="220"/>
      <c r="Q75" s="226" cm="1">
        <f t="array" ref="Q75">_xlfn.IFS(AND($I75&lt;$M$3,$J75&lt;$M$3),1,AND($I75&lt;=$M$3,$J75&gt;=$M$3),0.5,AND($I75&gt;=$M$3,$J75&gt;=$M$3),0)</f>
        <v>0.5</v>
      </c>
      <c r="R75" s="226" cm="1">
        <f t="array" ref="R75">_xlfn.IFS(AND($K75&lt;$M$3,$L75&lt;$M$3),1,AND($K75&lt;=$M$3,$L75&gt;=$M$3),0.5,AND($K75&gt;=$M$3,$L75&gt;=$M$3),0)</f>
        <v>1</v>
      </c>
      <c r="S75" s="226" cm="1">
        <f t="array" ref="S75">_xlfn.IFS(AND($K75&gt;R$7,$L75&gt;R$7),0,AND($K75&lt;=R$7,$L75&lt;=R$7),1,AND($K75&lt;=R$7,$L75&gt;R$7),((R$7-$K75)/($L75-$K75)))</f>
        <v>0</v>
      </c>
      <c r="T75" s="226" cm="1">
        <f t="array" ref="T75">_xlfn.IFS(AND($K75&gt;S$7,$L75&gt;S$7),0,AND($K75&lt;=S$7,$L75&lt;=S$7),1,AND($K75&lt;=S$7,$L75&gt;S$7),((S$7-$K75)/($L75-$K75)))</f>
        <v>0</v>
      </c>
      <c r="U75" s="226" cm="1">
        <f t="array" ref="U75">_xlfn.IFS(AND($K75&gt;T$7,$L75&gt;T$7),0,AND($K75&lt;=T$7,$L75&lt;=T$7),1,AND($K75&lt;=T$7,$L75&gt;T$7),((T$7-$K75)/($L75-$K75)))</f>
        <v>0.21739130434782608</v>
      </c>
      <c r="V75" s="226" cm="1">
        <f t="array" ref="V75">_xlfn.IFS(AND($K75&gt;U$7,$L75&gt;U$7),0,AND($K75&lt;=U$7,$L75&lt;=U$7),1,AND($K75&lt;=U$7,$L75&gt;U$7),((U$7-$K75)/($L75-$K75)))</f>
        <v>0.52173913043478259</v>
      </c>
      <c r="W75" s="226" cm="1">
        <f t="array" ref="W75">_xlfn.IFS(AND($K75&gt;V$7,$L75&gt;V$7),0,AND($K75&lt;=V$7,$L75&lt;=V$7),1,AND($K75&lt;=V$7,$L75&gt;V$7),((V$7-$K75)/($L75-$K75)))</f>
        <v>0.82608695652173914</v>
      </c>
      <c r="X75" s="226" cm="1">
        <f t="array" ref="X75">_xlfn.IFS(AND($K75&gt;W$7,$L75&gt;W$7),0,AND($K75&lt;=W$7,$L75&lt;=W$7),1,AND($K75&lt;=W$7,$L75&gt;W$7),((W$7-$K75)/($L75-$K75)))</f>
        <v>1</v>
      </c>
      <c r="Y75" s="226" cm="1">
        <f t="array" ref="Y75">_xlfn.IFS(AND($K75&gt;X$7,$L75&gt;X$7),0,AND($K75&lt;=X$7,$L75&lt;=X$7),1,AND($K75&lt;=X$7,$L75&gt;X$7),((X$7-$K75)/($L75-$K75)))</f>
        <v>1</v>
      </c>
      <c r="Z75" s="226" cm="1">
        <f t="array" ref="Z75">_xlfn.IFS(AND($K75&gt;Y$7,$L75&gt;Y$7),0,AND($K75&lt;=Y$7,$L75&lt;=Y$7),1,AND($K75&lt;=Y$7,$L75&gt;Y$7),((Y$7-$K75)/($L75-$K75)))</f>
        <v>1</v>
      </c>
      <c r="AA75" s="226" cm="1">
        <f t="array" ref="AA75">_xlfn.IFS(AND($K75&gt;Z$7,$L75&gt;Z$7),0,AND($K75&lt;=Z$7,$L75&lt;=Z$7),1,AND($K75&lt;=Z$7,$L75&gt;Z$7),((Z$7-$K75)/($L75-$K75)))</f>
        <v>1</v>
      </c>
      <c r="AB75" s="226" cm="1">
        <f t="array" ref="AB75">_xlfn.IFS(AND($K75&gt;AA$7,$L75&gt;AA$7),0,AND($K75&lt;=AA$7,$L75&lt;=AA$7),1,AND($K75&lt;=AA$7,$L75&gt;AA$7),((AA$7-$K75)/($L75-$K75)))</f>
        <v>1</v>
      </c>
      <c r="AC75" s="226" cm="1">
        <f t="array" ref="AC75">_xlfn.IFS(AND($K75&gt;AB$7,$L75&gt;AB$7),0,AND($K75&lt;=AB$7,$L75&lt;=AB$7),1,AND($K75&lt;=AB$7,$L75&gt;AB$7),((AB$7-$K75)/($L75-$K75)))</f>
        <v>1</v>
      </c>
      <c r="AD75" s="226" cm="1">
        <f t="array" ref="AD75">_xlfn.IFS(AND($K75&gt;AC$7,$L75&gt;AC$7),0,AND($K75&lt;=AC$7,$L75&lt;=AC$7),1,AND($K75&lt;=AC$7,$L75&gt;AC$7),((AC$7-$K75)/($L75-$K75)))</f>
        <v>1</v>
      </c>
      <c r="AE75" s="226" cm="1">
        <f t="array" ref="AE75">_xlfn.IFS(AND($K75&gt;AD$7,$L75&gt;AD$7),0,AND($K75&lt;=AD$7,$L75&lt;=AD$7),1,AND($K75&lt;=AD$7,$L75&gt;AD$7),((AD$7-$K75)/($L75-$K75)))</f>
        <v>1</v>
      </c>
      <c r="AF75" s="226" cm="1">
        <f t="array" ref="AF75">_xlfn.IFS(AND($K75&gt;AE$7,$L75&gt;AE$7),0,AND($K75&lt;=AE$7,$L75&lt;=AE$7),1,AND($K75&lt;=AE$7,$L75&gt;AE$7),((AE$7-$K75)/($L75-$K75)))</f>
        <v>1</v>
      </c>
      <c r="AG75" s="226" cm="1">
        <f t="array" ref="AG75">_xlfn.IFS(AND($K75&gt;AF$7,$L75&gt;AF$7),0,AND($K75&lt;=AF$7,$L75&lt;=AF$7),1,AND($K75&lt;=AF$7,$L75&gt;AF$7),((AF$7-$K75)/($L75-$K75)))</f>
        <v>1</v>
      </c>
      <c r="AH75" s="226" cm="1">
        <f t="array" ref="AH75">_xlfn.IFS(AND($K75&gt;AG$7,$L75&gt;AG$7),0,AND($K75&lt;=AG$7,$L75&lt;=AG$7),1,AND($K75&lt;=AG$7,$L75&gt;AG$7),((AG$7-$K75)/($L75-$K75)))</f>
        <v>1</v>
      </c>
      <c r="AI75" s="226" cm="1">
        <f t="array" ref="AI75">_xlfn.IFS(AND($K75&gt;AH$7,$L75&gt;AH$7),0,AND($K75&lt;=AH$7,$L75&lt;=AH$7),1,AND($K75&lt;=AH$7,$L75&gt;AH$7),((AH$7-$K75)/($L75-$K75)))</f>
        <v>1</v>
      </c>
      <c r="AJ75" s="226" cm="1">
        <f t="array" ref="AJ75">_xlfn.IFS(AND($K75&gt;AI$7,$L75&gt;AI$7),0,AND($K75&lt;=AI$7,$L75&lt;=AI$7),1,AND($K75&lt;=AI$7,$L75&gt;AI$7),((AI$7-$K75)/($L75-$K75)))</f>
        <v>1</v>
      </c>
      <c r="AK75" s="226" cm="1">
        <f t="array" ref="AK75">_xlfn.IFS(AND($K75&gt;AJ$7,$L75&gt;AJ$7),0,AND($K75&lt;=AJ$7,$L75&lt;=AJ$7),1,AND($K75&lt;=AJ$7,$L75&gt;AJ$7),((AJ$7-$K75)/($L75-$K75)))</f>
        <v>1</v>
      </c>
      <c r="AL75" s="226" cm="1">
        <f t="array" ref="AL75">_xlfn.IFS(AND($K75&gt;AK$7,$L75&gt;AK$7),0,AND($K75&lt;=AK$7,$L75&lt;=AK$7),1,AND($K75&lt;=AK$7,$L75&gt;AK$7),((AK$7-$K75)/($L75-$K75)))</f>
        <v>1</v>
      </c>
      <c r="AM75" s="226" cm="1">
        <f t="array" ref="AM75">_xlfn.IFS(AND($K75&gt;AL$7,$L75&gt;AL$7),0,AND($K75&lt;=AL$7,$L75&lt;=AL$7),1,AND($K75&lt;=AL$7,$L75&gt;AL$7),((AL$7-$K75)/($L75-$K75)))</f>
        <v>1</v>
      </c>
      <c r="AN75" s="226" cm="1">
        <f t="array" ref="AN75">_xlfn.IFS(AND($K75&gt;AM$7,$L75&gt;AM$7),0,AND($K75&lt;=AM$7,$L75&lt;=AM$7),1,AND($K75&lt;=AM$7,$L75&gt;AM$7),((AM$7-$K75)/($L75-$K75)))</f>
        <v>1</v>
      </c>
      <c r="AO75" s="226" cm="1">
        <f t="array" ref="AO75">_xlfn.IFS(AND($K75&gt;AN$7,$L75&gt;AN$7),0,AND($K75&lt;=AN$7,$L75&lt;=AN$7),1,AND($K75&lt;=AN$7,$L75&gt;AN$7),((AN$7-$K75)/($L75-$K75)))</f>
        <v>1</v>
      </c>
      <c r="AP75" s="226" cm="1">
        <f t="array" ref="AP75">_xlfn.IFS(AND($K75&gt;AO$7,$L75&gt;AO$7),0,AND($K75&lt;=AO$7,$L75&lt;=AO$7),1,AND($K75&lt;=AO$7,$L75&gt;AO$7),((AO$7-$K75)/($L75-$K75)))</f>
        <v>1</v>
      </c>
      <c r="AQ75" s="226" cm="1">
        <f t="array" ref="AQ75">_xlfn.IFS(AND($K75&gt;AP$7,$L75&gt;AP$7),0,AND($K75&lt;=AP$7,$L75&lt;=AP$7),1,AND($K75&lt;=AP$7,$L75&gt;AP$7),((AP$7-$K75)/($L75-$K75)))</f>
        <v>1</v>
      </c>
      <c r="AR75" s="226" cm="1">
        <f t="array" ref="AR75">_xlfn.IFS(AND($K75&gt;AQ$7,$L75&gt;AQ$7),0,AND($K75&lt;=AQ$7,$L75&lt;=AQ$7),1,AND($K75&lt;=AQ$7,$L75&gt;AQ$7),((AQ$7-$K75)/($L75-$K75)))</f>
        <v>1</v>
      </c>
      <c r="AS75" s="226" cm="1">
        <f t="array" ref="AS75">_xlfn.IFS(AND($K75&gt;AR$7,$L75&gt;AR$7),0,AND($K75&lt;=AR$7,$L75&lt;=AR$7),1,AND($K75&lt;=AR$7,$L75&gt;AR$7),((AR$7-$K75)/($L75-$K75)))</f>
        <v>1</v>
      </c>
      <c r="AT75" s="226" cm="1">
        <f t="array" ref="AT75">_xlfn.IFS(AND($K75&gt;AS$7,$L75&gt;AS$7),0,AND($K75&lt;=AS$7,$L75&lt;=AS$7),1,AND($K75&lt;=AS$7,$L75&gt;AS$7),((AS$7-$K75)/($L75-$K75)))</f>
        <v>1</v>
      </c>
      <c r="AU75" s="226" cm="1">
        <f t="array" ref="AU75">_xlfn.IFS(AND($K75&gt;AT$7,$L75&gt;AT$7),0,AND($K75&lt;=AT$7,$L75&lt;=AT$7),1,AND($K75&lt;=AT$7,$L75&gt;AT$7),((AT$7-$K75)/($L75-$K75)))</f>
        <v>1</v>
      </c>
      <c r="AV75" s="226" cm="1">
        <f t="array" ref="AV75">_xlfn.IFS(AND($K75&gt;AU$7,$L75&gt;AU$7),0,AND($K75&lt;=AU$7,$L75&lt;=AU$7),1,AND($K75&lt;=AU$7,$L75&gt;AU$7),((AU$7-$K75)/($L75-$K75)))</f>
        <v>1</v>
      </c>
      <c r="AW75" s="226" cm="1">
        <f t="array" ref="AW75">_xlfn.IFS(AND($K75&gt;AV$7,$L75&gt;AV$7),0,AND($K75&lt;=AV$7,$L75&lt;=AV$7),1,AND($K75&lt;=AV$7,$L75&gt;AV$7),((AV$7-$K75)/($L75-$K75)))</f>
        <v>1</v>
      </c>
      <c r="AX75" s="226" cm="1">
        <f t="array" ref="AX75">_xlfn.IFS(AND($K75&gt;AW$7,$L75&gt;AW$7),0,AND($K75&lt;=AW$7,$L75&lt;=AW$7),1,AND($K75&lt;=AW$7,$L75&gt;AW$7),((AW$7-$K75)/($L75-$K75)))</f>
        <v>1</v>
      </c>
      <c r="AY75" s="226" cm="1">
        <f t="array" ref="AY75">_xlfn.IFS(AND($K75&gt;AX$7,$L75&gt;AX$7),0,AND($K75&lt;=AX$7,$L75&lt;=AX$7),1,AND($K75&lt;=AX$7,$L75&gt;AX$7),((AX$7-$K75)/($L75-$K75)))</f>
        <v>1</v>
      </c>
      <c r="AZ75" s="226" cm="1">
        <f t="array" ref="AZ75">_xlfn.IFS(AND($K75&gt;AY$7,$L75&gt;AY$7),0,AND($K75&lt;=AY$7,$L75&lt;=AY$7),1,AND($K75&lt;=AY$7,$L75&gt;AY$7),((AY$7-$K75)/($L75-$K75)))</f>
        <v>1</v>
      </c>
      <c r="BA75" s="226" cm="1">
        <f t="array" ref="BA75">_xlfn.IFS(AND($K75&gt;AZ$7,$L75&gt;AZ$7),0,AND($K75&lt;=AZ$7,$L75&lt;=AZ$7),1,AND($K75&lt;=AZ$7,$L75&gt;AZ$7),((AZ$7-$K75)/($L75-$K75)))</f>
        <v>1</v>
      </c>
      <c r="BB75" s="226" cm="1">
        <f t="array" ref="BB75">_xlfn.IFS(AND($K75&gt;BA$7,$L75&gt;BA$7),0,AND($K75&lt;=BA$7,$L75&lt;=BA$7),1,AND($K75&lt;=BA$7,$L75&gt;BA$7),((BA$7-$K75)/($L75-$K75)))</f>
        <v>1</v>
      </c>
      <c r="BC75" s="226" cm="1">
        <f t="array" ref="BC75">_xlfn.IFS(AND($K75&gt;BB$7,$L75&gt;BB$7),0,AND($K75&lt;=BB$7,$L75&lt;=BB$7),1,AND($K75&lt;=BB$7,$L75&gt;BB$7),((BB$7-$K75)/($L75-$K75)))</f>
        <v>1</v>
      </c>
      <c r="BD75" s="226" cm="1">
        <f t="array" ref="BD75">_xlfn.IFS(AND($K75&gt;BC$7,$L75&gt;BC$7),0,AND($K75&lt;=BC$7,$L75&lt;=BC$7),1,AND($K75&lt;=BC$7,$L75&gt;BC$7),((BC$7-$K75)/($L75-$K75)))</f>
        <v>1</v>
      </c>
      <c r="BE75" s="226" cm="1">
        <f t="array" ref="BE75">_xlfn.IFS(AND($K75&gt;BD$7,$L75&gt;BD$7),0,AND($K75&lt;=BD$7,$L75&lt;=BD$7),1,AND($K75&lt;=BD$7,$L75&gt;BD$7),((BD$7-$K75)/($L75-$K75)))</f>
        <v>1</v>
      </c>
      <c r="BF75" s="226" cm="1">
        <f t="array" ref="BF75">_xlfn.IFS(AND($K75&gt;BE$7,$L75&gt;BE$7),0,AND($K75&lt;=BE$7,$L75&lt;=BE$7),1,AND($K75&lt;=BE$7,$L75&gt;BE$7),((BE$7-$K75)/($L75-$K75)))</f>
        <v>1</v>
      </c>
      <c r="BG75" s="226" cm="1">
        <f t="array" ref="BG75">_xlfn.IFS(AND($K75&gt;BF$7,$L75&gt;BF$7),0,AND($K75&lt;=BF$7,$L75&lt;=BF$7),1,AND($K75&lt;=BF$7,$L75&gt;BF$7),((BF$7-$K75)/($L75-$K75)))</f>
        <v>1</v>
      </c>
      <c r="BH75">
        <f>Tab.plano6[[#This Row],[Data Término
Prevista]]-Tab.plano6[[#This Row],[Data Início
Previsto]]</f>
        <v>28</v>
      </c>
    </row>
    <row r="76" spans="1:60" s="163" customFormat="1" ht="18" hidden="1" customHeight="1" collapsed="1" x14ac:dyDescent="0.3">
      <c r="A76" s="220"/>
      <c r="B76" s="220" t="s">
        <v>161</v>
      </c>
      <c r="C76" s="220" t="s">
        <v>556</v>
      </c>
      <c r="D76" s="251" t="s">
        <v>399</v>
      </c>
      <c r="E76" s="251" t="s">
        <v>422</v>
      </c>
      <c r="F76" s="251" t="s">
        <v>550</v>
      </c>
      <c r="G76" s="251" t="s">
        <v>550</v>
      </c>
      <c r="H76" s="246" t="s">
        <v>811</v>
      </c>
      <c r="I76" s="260">
        <v>46189</v>
      </c>
      <c r="J76" s="260">
        <v>46191</v>
      </c>
      <c r="K76" s="260">
        <v>46137</v>
      </c>
      <c r="L76" s="260">
        <v>46171</v>
      </c>
      <c r="M76" s="231" t="s">
        <v>437</v>
      </c>
      <c r="N76" s="227" t="str" cm="1">
        <f t="array" ref="N76">_xlfn.IFS(L76&lt;$M$3,"Concluído",AND(K76&lt;=$M$3,L76&gt;=$M$3,L76&lt;=J76),"Em andamento",AND(K76&lt;=$M$3,L76&gt;=$M$3,L76&gt;J76),"Atrasado",AND(K76&gt;$M$3,I76&gt;$M$3),"Não iniciado",AND(K76&gt;$M$3,I76&lt;=$M$3),"Atrasado",TRUE,"Não iniciado")</f>
        <v>Em andamento</v>
      </c>
      <c r="O76" s="231" cm="1">
        <f t="array" ref="O76">_xlfn.IFS(N76="Não iniciado",0,N76="Em andamento",1,N76="Concluído",2,N76="Atrasado",3)</f>
        <v>1</v>
      </c>
      <c r="P76" s="220"/>
      <c r="Q76" s="226" cm="1">
        <f t="array" ref="Q76">_xlfn.IFS(AND($I76&lt;$M$3,$J76&lt;$M$3),1,AND($I76&lt;=$M$3,$J76&gt;=$M$3),0.5,AND($I76&gt;=$M$3,$J76&gt;=$M$3),0)</f>
        <v>0</v>
      </c>
      <c r="R76" s="226" cm="1">
        <f t="array" ref="R76">_xlfn.IFS(AND($K76&lt;$M$3,$L76&lt;$M$3),1,AND($K76&lt;=$M$3,$L76&gt;=$M$3),0.5,AND($K76&gt;=$M$3,$L76&gt;=$M$3),0)</f>
        <v>0.5</v>
      </c>
      <c r="S76" s="226" cm="1">
        <f t="array" ref="S76">_xlfn.IFS(AND($K76&gt;R$7,$L76&gt;R$7),0,AND($K76&lt;=R$7,$L76&lt;=R$7),1,AND($K76&lt;=R$7,$L76&gt;R$7),((R$7-$K76)/($L76-$K76)))</f>
        <v>0</v>
      </c>
      <c r="T76" s="226" cm="1">
        <f t="array" ref="T76">_xlfn.IFS(AND($K76&gt;S$7,$L76&gt;S$7),0,AND($K76&lt;=S$7,$L76&lt;=S$7),1,AND($K76&lt;=S$7,$L76&gt;S$7),((S$7-$K76)/($L76-$K76)))</f>
        <v>0</v>
      </c>
      <c r="U76" s="226" cm="1">
        <f t="array" ref="U76">_xlfn.IFS(AND($K76&gt;T$7,$L76&gt;T$7),0,AND($K76&lt;=T$7,$L76&lt;=T$7),1,AND($K76&lt;=T$7,$L76&gt;T$7),((T$7-$K76)/($L76-$K76)))</f>
        <v>0</v>
      </c>
      <c r="V76" s="226" cm="1">
        <f t="array" ref="V76">_xlfn.IFS(AND($K76&gt;U$7,$L76&gt;U$7),0,AND($K76&lt;=U$7,$L76&lt;=U$7),1,AND($K76&lt;=U$7,$L76&gt;U$7),((U$7-$K76)/($L76-$K76)))</f>
        <v>0</v>
      </c>
      <c r="W76" s="226" cm="1">
        <f t="array" ref="W76">_xlfn.IFS(AND($K76&gt;V$7,$L76&gt;V$7),0,AND($K76&lt;=V$7,$L76&lt;=V$7),1,AND($K76&lt;=V$7,$L76&gt;V$7),((V$7-$K76)/($L76-$K76)))</f>
        <v>0</v>
      </c>
      <c r="X76" s="226" cm="1">
        <f t="array" ref="X76">_xlfn.IFS(AND($K76&gt;W$7,$L76&gt;W$7),0,AND($K76&lt;=W$7,$L76&lt;=W$7),1,AND($K76&lt;=W$7,$L76&gt;W$7),((W$7-$K76)/($L76-$K76)))</f>
        <v>5.8823529411764705E-2</v>
      </c>
      <c r="Y76" s="226" cm="1">
        <f t="array" ref="Y76">_xlfn.IFS(AND($K76&gt;X$7,$L76&gt;X$7),0,AND($K76&lt;=X$7,$L76&lt;=X$7),1,AND($K76&lt;=X$7,$L76&gt;X$7),((X$7-$K76)/($L76-$K76)))</f>
        <v>0.26470588235294118</v>
      </c>
      <c r="Z76" s="226" cm="1">
        <f t="array" ref="Z76">_xlfn.IFS(AND($K76&gt;Y$7,$L76&gt;Y$7),0,AND($K76&lt;=Y$7,$L76&lt;=Y$7),1,AND($K76&lt;=Y$7,$L76&gt;Y$7),((Y$7-$K76)/($L76-$K76)))</f>
        <v>0.47058823529411764</v>
      </c>
      <c r="AA76" s="226" cm="1">
        <f t="array" ref="AA76">_xlfn.IFS(AND($K76&gt;Z$7,$L76&gt;Z$7),0,AND($K76&lt;=Z$7,$L76&lt;=Z$7),1,AND($K76&lt;=Z$7,$L76&gt;Z$7),((Z$7-$K76)/($L76-$K76)))</f>
        <v>0.67647058823529416</v>
      </c>
      <c r="AB76" s="226" cm="1">
        <f t="array" ref="AB76">_xlfn.IFS(AND($K76&gt;AA$7,$L76&gt;AA$7),0,AND($K76&lt;=AA$7,$L76&lt;=AA$7),1,AND($K76&lt;=AA$7,$L76&gt;AA$7),((AA$7-$K76)/($L76-$K76)))</f>
        <v>0.88235294117647056</v>
      </c>
      <c r="AC76" s="226" cm="1">
        <f t="array" ref="AC76">_xlfn.IFS(AND($K76&gt;AB$7,$L76&gt;AB$7),0,AND($K76&lt;=AB$7,$L76&lt;=AB$7),1,AND($K76&lt;=AB$7,$L76&gt;AB$7),((AB$7-$K76)/($L76-$K76)))</f>
        <v>1</v>
      </c>
      <c r="AD76" s="226" cm="1">
        <f t="array" ref="AD76">_xlfn.IFS(AND($K76&gt;AC$7,$L76&gt;AC$7),0,AND($K76&lt;=AC$7,$L76&lt;=AC$7),1,AND($K76&lt;=AC$7,$L76&gt;AC$7),((AC$7-$K76)/($L76-$K76)))</f>
        <v>1</v>
      </c>
      <c r="AE76" s="226" cm="1">
        <f t="array" ref="AE76">_xlfn.IFS(AND($K76&gt;AD$7,$L76&gt;AD$7),0,AND($K76&lt;=AD$7,$L76&lt;=AD$7),1,AND($K76&lt;=AD$7,$L76&gt;AD$7),((AD$7-$K76)/($L76-$K76)))</f>
        <v>1</v>
      </c>
      <c r="AF76" s="226" cm="1">
        <f t="array" ref="AF76">_xlfn.IFS(AND($K76&gt;AE$7,$L76&gt;AE$7),0,AND($K76&lt;=AE$7,$L76&lt;=AE$7),1,AND($K76&lt;=AE$7,$L76&gt;AE$7),((AE$7-$K76)/($L76-$K76)))</f>
        <v>1</v>
      </c>
      <c r="AG76" s="226" cm="1">
        <f t="array" ref="AG76">_xlfn.IFS(AND($K76&gt;AF$7,$L76&gt;AF$7),0,AND($K76&lt;=AF$7,$L76&lt;=AF$7),1,AND($K76&lt;=AF$7,$L76&gt;AF$7),((AF$7-$K76)/($L76-$K76)))</f>
        <v>1</v>
      </c>
      <c r="AH76" s="226" cm="1">
        <f t="array" ref="AH76">_xlfn.IFS(AND($K76&gt;AG$7,$L76&gt;AG$7),0,AND($K76&lt;=AG$7,$L76&lt;=AG$7),1,AND($K76&lt;=AG$7,$L76&gt;AG$7),((AG$7-$K76)/($L76-$K76)))</f>
        <v>1</v>
      </c>
      <c r="AI76" s="226" cm="1">
        <f t="array" ref="AI76">_xlfn.IFS(AND($K76&gt;AH$7,$L76&gt;AH$7),0,AND($K76&lt;=AH$7,$L76&lt;=AH$7),1,AND($K76&lt;=AH$7,$L76&gt;AH$7),((AH$7-$K76)/($L76-$K76)))</f>
        <v>1</v>
      </c>
      <c r="AJ76" s="226" cm="1">
        <f t="array" ref="AJ76">_xlfn.IFS(AND($K76&gt;AI$7,$L76&gt;AI$7),0,AND($K76&lt;=AI$7,$L76&lt;=AI$7),1,AND($K76&lt;=AI$7,$L76&gt;AI$7),((AI$7-$K76)/($L76-$K76)))</f>
        <v>1</v>
      </c>
      <c r="AK76" s="226" cm="1">
        <f t="array" ref="AK76">_xlfn.IFS(AND($K76&gt;AJ$7,$L76&gt;AJ$7),0,AND($K76&lt;=AJ$7,$L76&lt;=AJ$7),1,AND($K76&lt;=AJ$7,$L76&gt;AJ$7),((AJ$7-$K76)/($L76-$K76)))</f>
        <v>1</v>
      </c>
      <c r="AL76" s="226" cm="1">
        <f t="array" ref="AL76">_xlfn.IFS(AND($K76&gt;AK$7,$L76&gt;AK$7),0,AND($K76&lt;=AK$7,$L76&lt;=AK$7),1,AND($K76&lt;=AK$7,$L76&gt;AK$7),((AK$7-$K76)/($L76-$K76)))</f>
        <v>1</v>
      </c>
      <c r="AM76" s="226" cm="1">
        <f t="array" ref="AM76">_xlfn.IFS(AND($K76&gt;AL$7,$L76&gt;AL$7),0,AND($K76&lt;=AL$7,$L76&lt;=AL$7),1,AND($K76&lt;=AL$7,$L76&gt;AL$7),((AL$7-$K76)/($L76-$K76)))</f>
        <v>1</v>
      </c>
      <c r="AN76" s="226" cm="1">
        <f t="array" ref="AN76">_xlfn.IFS(AND($K76&gt;AM$7,$L76&gt;AM$7),0,AND($K76&lt;=AM$7,$L76&lt;=AM$7),1,AND($K76&lt;=AM$7,$L76&gt;AM$7),((AM$7-$K76)/($L76-$K76)))</f>
        <v>1</v>
      </c>
      <c r="AO76" s="226" cm="1">
        <f t="array" ref="AO76">_xlfn.IFS(AND($K76&gt;AN$7,$L76&gt;AN$7),0,AND($K76&lt;=AN$7,$L76&lt;=AN$7),1,AND($K76&lt;=AN$7,$L76&gt;AN$7),((AN$7-$K76)/($L76-$K76)))</f>
        <v>1</v>
      </c>
      <c r="AP76" s="226" cm="1">
        <f t="array" ref="AP76">_xlfn.IFS(AND($K76&gt;AO$7,$L76&gt;AO$7),0,AND($K76&lt;=AO$7,$L76&lt;=AO$7),1,AND($K76&lt;=AO$7,$L76&gt;AO$7),((AO$7-$K76)/($L76-$K76)))</f>
        <v>1</v>
      </c>
      <c r="AQ76" s="226" cm="1">
        <f t="array" ref="AQ76">_xlfn.IFS(AND($K76&gt;AP$7,$L76&gt;AP$7),0,AND($K76&lt;=AP$7,$L76&lt;=AP$7),1,AND($K76&lt;=AP$7,$L76&gt;AP$7),((AP$7-$K76)/($L76-$K76)))</f>
        <v>1</v>
      </c>
      <c r="AR76" s="226" cm="1">
        <f t="array" ref="AR76">_xlfn.IFS(AND($K76&gt;AQ$7,$L76&gt;AQ$7),0,AND($K76&lt;=AQ$7,$L76&lt;=AQ$7),1,AND($K76&lt;=AQ$7,$L76&gt;AQ$7),((AQ$7-$K76)/($L76-$K76)))</f>
        <v>1</v>
      </c>
      <c r="AS76" s="226" cm="1">
        <f t="array" ref="AS76">_xlfn.IFS(AND($K76&gt;AR$7,$L76&gt;AR$7),0,AND($K76&lt;=AR$7,$L76&lt;=AR$7),1,AND($K76&lt;=AR$7,$L76&gt;AR$7),((AR$7-$K76)/($L76-$K76)))</f>
        <v>1</v>
      </c>
      <c r="AT76" s="226" cm="1">
        <f t="array" ref="AT76">_xlfn.IFS(AND($K76&gt;AS$7,$L76&gt;AS$7),0,AND($K76&lt;=AS$7,$L76&lt;=AS$7),1,AND($K76&lt;=AS$7,$L76&gt;AS$7),((AS$7-$K76)/($L76-$K76)))</f>
        <v>1</v>
      </c>
      <c r="AU76" s="226" cm="1">
        <f t="array" ref="AU76">_xlfn.IFS(AND($K76&gt;AT$7,$L76&gt;AT$7),0,AND($K76&lt;=AT$7,$L76&lt;=AT$7),1,AND($K76&lt;=AT$7,$L76&gt;AT$7),((AT$7-$K76)/($L76-$K76)))</f>
        <v>1</v>
      </c>
      <c r="AV76" s="226" cm="1">
        <f t="array" ref="AV76">_xlfn.IFS(AND($K76&gt;AU$7,$L76&gt;AU$7),0,AND($K76&lt;=AU$7,$L76&lt;=AU$7),1,AND($K76&lt;=AU$7,$L76&gt;AU$7),((AU$7-$K76)/($L76-$K76)))</f>
        <v>1</v>
      </c>
      <c r="AW76" s="226" cm="1">
        <f t="array" ref="AW76">_xlfn.IFS(AND($K76&gt;AV$7,$L76&gt;AV$7),0,AND($K76&lt;=AV$7,$L76&lt;=AV$7),1,AND($K76&lt;=AV$7,$L76&gt;AV$7),((AV$7-$K76)/($L76-$K76)))</f>
        <v>1</v>
      </c>
      <c r="AX76" s="226" cm="1">
        <f t="array" ref="AX76">_xlfn.IFS(AND($K76&gt;AW$7,$L76&gt;AW$7),0,AND($K76&lt;=AW$7,$L76&lt;=AW$7),1,AND($K76&lt;=AW$7,$L76&gt;AW$7),((AW$7-$K76)/($L76-$K76)))</f>
        <v>1</v>
      </c>
      <c r="AY76" s="226" cm="1">
        <f t="array" ref="AY76">_xlfn.IFS(AND($K76&gt;AX$7,$L76&gt;AX$7),0,AND($K76&lt;=AX$7,$L76&lt;=AX$7),1,AND($K76&lt;=AX$7,$L76&gt;AX$7),((AX$7-$K76)/($L76-$K76)))</f>
        <v>1</v>
      </c>
      <c r="AZ76" s="226" cm="1">
        <f t="array" ref="AZ76">_xlfn.IFS(AND($K76&gt;AY$7,$L76&gt;AY$7),0,AND($K76&lt;=AY$7,$L76&lt;=AY$7),1,AND($K76&lt;=AY$7,$L76&gt;AY$7),((AY$7-$K76)/($L76-$K76)))</f>
        <v>1</v>
      </c>
      <c r="BA76" s="226" cm="1">
        <f t="array" ref="BA76">_xlfn.IFS(AND($K76&gt;AZ$7,$L76&gt;AZ$7),0,AND($K76&lt;=AZ$7,$L76&lt;=AZ$7),1,AND($K76&lt;=AZ$7,$L76&gt;AZ$7),((AZ$7-$K76)/($L76-$K76)))</f>
        <v>1</v>
      </c>
      <c r="BB76" s="226" cm="1">
        <f t="array" ref="BB76">_xlfn.IFS(AND($K76&gt;BA$7,$L76&gt;BA$7),0,AND($K76&lt;=BA$7,$L76&lt;=BA$7),1,AND($K76&lt;=BA$7,$L76&gt;BA$7),((BA$7-$K76)/($L76-$K76)))</f>
        <v>1</v>
      </c>
      <c r="BC76" s="226" cm="1">
        <f t="array" ref="BC76">_xlfn.IFS(AND($K76&gt;BB$7,$L76&gt;BB$7),0,AND($K76&lt;=BB$7,$L76&lt;=BB$7),1,AND($K76&lt;=BB$7,$L76&gt;BB$7),((BB$7-$K76)/($L76-$K76)))</f>
        <v>1</v>
      </c>
      <c r="BD76" s="226" cm="1">
        <f t="array" ref="BD76">_xlfn.IFS(AND($K76&gt;BC$7,$L76&gt;BC$7),0,AND($K76&lt;=BC$7,$L76&lt;=BC$7),1,AND($K76&lt;=BC$7,$L76&gt;BC$7),((BC$7-$K76)/($L76-$K76)))</f>
        <v>1</v>
      </c>
      <c r="BE76" s="226" cm="1">
        <f t="array" ref="BE76">_xlfn.IFS(AND($K76&gt;BD$7,$L76&gt;BD$7),0,AND($K76&lt;=BD$7,$L76&lt;=BD$7),1,AND($K76&lt;=BD$7,$L76&gt;BD$7),((BD$7-$K76)/($L76-$K76)))</f>
        <v>1</v>
      </c>
      <c r="BF76" s="226" cm="1">
        <f t="array" ref="BF76">_xlfn.IFS(AND($K76&gt;BE$7,$L76&gt;BE$7),0,AND($K76&lt;=BE$7,$L76&lt;=BE$7),1,AND($K76&lt;=BE$7,$L76&gt;BE$7),((BE$7-$K76)/($L76-$K76)))</f>
        <v>1</v>
      </c>
      <c r="BG76" s="226" cm="1">
        <f t="array" ref="BG76">_xlfn.IFS(AND($K76&gt;BF$7,$L76&gt;BF$7),0,AND($K76&lt;=BF$7,$L76&lt;=BF$7),1,AND($K76&lt;=BF$7,$L76&gt;BF$7),((BF$7-$K76)/($L76-$K76)))</f>
        <v>1</v>
      </c>
      <c r="BH76">
        <f>Tab.plano6[[#This Row],[Data Término
Prevista]]-Tab.plano6[[#This Row],[Data Início
Previsto]]</f>
        <v>2</v>
      </c>
    </row>
    <row r="77" spans="1:60" s="163" customFormat="1" ht="18" hidden="1" customHeight="1" x14ac:dyDescent="0.3">
      <c r="A77" s="216"/>
      <c r="B77" s="216" t="s">
        <v>12</v>
      </c>
      <c r="C77" s="216" t="s">
        <v>557</v>
      </c>
      <c r="D77" s="249" t="s">
        <v>399</v>
      </c>
      <c r="E77" s="249" t="s">
        <v>422</v>
      </c>
      <c r="F77" s="249" t="s">
        <v>74</v>
      </c>
      <c r="G77" s="249" t="s">
        <v>74</v>
      </c>
      <c r="H77" s="252" t="s">
        <v>819</v>
      </c>
      <c r="I77" s="257">
        <f>I78</f>
        <v>46164</v>
      </c>
      <c r="J77" s="257">
        <f>J78</f>
        <v>46190</v>
      </c>
      <c r="K77" s="257">
        <f>K78</f>
        <v>46164</v>
      </c>
      <c r="L77" s="257">
        <f>L78</f>
        <v>46190</v>
      </c>
      <c r="M77" s="229" t="s">
        <v>432</v>
      </c>
      <c r="N77" s="227" t="str" cm="1">
        <f t="array" ref="N77">_xlfn.IFS(L77&lt;$M$3,"Concluído",AND(K77&lt;=$M$3,L77&gt;=$M$3,L77&lt;=J77),"Em andamento",AND(K77&lt;=$M$3,L77&gt;=$M$3,L77&gt;J77),"Atrasado",AND(K77&gt;$M$3,I77&gt;$M$3),"Não iniciado",AND(K77&gt;$M$3,I77&lt;=$M$3),"Atrasado",TRUE,"Não iniciado")</f>
        <v>Em andamento</v>
      </c>
      <c r="O77" s="229" cm="1">
        <f t="array" ref="O77">_xlfn.IFS(N77="Não iniciado",0,N77="Em andamento",1,N77="Concluído",2,N77="Atrasado",3)</f>
        <v>1</v>
      </c>
      <c r="P77" s="216"/>
      <c r="Q77" s="224">
        <f t="shared" ref="Q77:BG77" si="31">Q78</f>
        <v>0.16666666666666666</v>
      </c>
      <c r="R77" s="224">
        <f t="shared" si="31"/>
        <v>0.16666666666666666</v>
      </c>
      <c r="S77" s="224">
        <f t="shared" si="31"/>
        <v>0</v>
      </c>
      <c r="T77" s="224">
        <f t="shared" si="31"/>
        <v>0</v>
      </c>
      <c r="U77" s="224">
        <f t="shared" si="31"/>
        <v>0</v>
      </c>
      <c r="V77" s="224">
        <f t="shared" si="31"/>
        <v>0</v>
      </c>
      <c r="W77" s="224">
        <f t="shared" si="31"/>
        <v>0</v>
      </c>
      <c r="X77" s="224">
        <f t="shared" si="31"/>
        <v>0</v>
      </c>
      <c r="Y77" s="224">
        <f t="shared" si="31"/>
        <v>0</v>
      </c>
      <c r="Z77" s="224">
        <f t="shared" si="31"/>
        <v>0</v>
      </c>
      <c r="AA77" s="224">
        <f t="shared" si="31"/>
        <v>0</v>
      </c>
      <c r="AB77" s="224">
        <f t="shared" si="31"/>
        <v>0.33333333333333331</v>
      </c>
      <c r="AC77" s="224">
        <f t="shared" si="31"/>
        <v>0.45098039215686275</v>
      </c>
      <c r="AD77" s="224">
        <f t="shared" si="31"/>
        <v>0.58823529411764708</v>
      </c>
      <c r="AE77" s="224">
        <f t="shared" si="31"/>
        <v>0.66666666666666663</v>
      </c>
      <c r="AF77" s="224">
        <f t="shared" si="31"/>
        <v>1</v>
      </c>
      <c r="AG77" s="224">
        <f t="shared" si="31"/>
        <v>1</v>
      </c>
      <c r="AH77" s="224">
        <f t="shared" si="31"/>
        <v>1</v>
      </c>
      <c r="AI77" s="224">
        <f t="shared" si="31"/>
        <v>1</v>
      </c>
      <c r="AJ77" s="224">
        <f t="shared" si="31"/>
        <v>1</v>
      </c>
      <c r="AK77" s="224">
        <f t="shared" si="31"/>
        <v>1</v>
      </c>
      <c r="AL77" s="224">
        <f t="shared" si="31"/>
        <v>1</v>
      </c>
      <c r="AM77" s="224">
        <f t="shared" si="31"/>
        <v>1</v>
      </c>
      <c r="AN77" s="224">
        <f t="shared" si="31"/>
        <v>1</v>
      </c>
      <c r="AO77" s="224">
        <f t="shared" si="31"/>
        <v>1</v>
      </c>
      <c r="AP77" s="224">
        <f t="shared" si="31"/>
        <v>1</v>
      </c>
      <c r="AQ77" s="224">
        <f t="shared" si="31"/>
        <v>1</v>
      </c>
      <c r="AR77" s="224">
        <f t="shared" si="31"/>
        <v>1</v>
      </c>
      <c r="AS77" s="224">
        <f t="shared" si="31"/>
        <v>1</v>
      </c>
      <c r="AT77" s="224">
        <f t="shared" si="31"/>
        <v>1</v>
      </c>
      <c r="AU77" s="224">
        <f t="shared" si="31"/>
        <v>1</v>
      </c>
      <c r="AV77" s="224">
        <f t="shared" si="31"/>
        <v>1</v>
      </c>
      <c r="AW77" s="224">
        <f t="shared" si="31"/>
        <v>1</v>
      </c>
      <c r="AX77" s="224">
        <f t="shared" si="31"/>
        <v>1</v>
      </c>
      <c r="AY77" s="224">
        <f t="shared" si="31"/>
        <v>1</v>
      </c>
      <c r="AZ77" s="224">
        <f t="shared" si="31"/>
        <v>1</v>
      </c>
      <c r="BA77" s="224">
        <f t="shared" si="31"/>
        <v>1</v>
      </c>
      <c r="BB77" s="224">
        <f t="shared" si="31"/>
        <v>1</v>
      </c>
      <c r="BC77" s="224">
        <f t="shared" si="31"/>
        <v>1</v>
      </c>
      <c r="BD77" s="224">
        <f t="shared" si="31"/>
        <v>1</v>
      </c>
      <c r="BE77" s="224">
        <f t="shared" si="31"/>
        <v>1</v>
      </c>
      <c r="BF77" s="224">
        <f t="shared" si="31"/>
        <v>1</v>
      </c>
      <c r="BG77" s="224">
        <f t="shared" si="31"/>
        <v>1</v>
      </c>
      <c r="BH77">
        <f>Tab.plano6[[#This Row],[Data Término
Prevista]]-Tab.plano6[[#This Row],[Data Início
Previsto]]</f>
        <v>26</v>
      </c>
    </row>
    <row r="78" spans="1:60" s="163" customFormat="1" ht="18" hidden="1" customHeight="1" x14ac:dyDescent="0.3">
      <c r="A78" s="218"/>
      <c r="B78" s="218" t="s">
        <v>13</v>
      </c>
      <c r="C78" s="218" t="s">
        <v>559</v>
      </c>
      <c r="D78" s="250" t="s">
        <v>399</v>
      </c>
      <c r="E78" s="250" t="s">
        <v>422</v>
      </c>
      <c r="F78" s="250" t="s">
        <v>558</v>
      </c>
      <c r="G78" s="250" t="s">
        <v>74</v>
      </c>
      <c r="H78" s="219" t="s">
        <v>431</v>
      </c>
      <c r="I78" s="258">
        <f>MIN(I79:I81)</f>
        <v>46164</v>
      </c>
      <c r="J78" s="258">
        <f>MAX(J79:J81)</f>
        <v>46190</v>
      </c>
      <c r="K78" s="258">
        <f>MIN(K79:K81)</f>
        <v>46164</v>
      </c>
      <c r="L78" s="258">
        <f>MAX(L79:L81)</f>
        <v>46190</v>
      </c>
      <c r="M78" s="230" t="s">
        <v>432</v>
      </c>
      <c r="N78" s="227" t="str" cm="1">
        <f t="array" ref="N78">_xlfn.IFS(L78&lt;$M$3,"Concluído",AND(K78&lt;=$M$3,L78&gt;=$M$3,L78&lt;=J78),"Em andamento",AND(K78&lt;=$M$3,L78&gt;=$M$3,L78&gt;J78),"Atrasado",AND(K78&gt;$M$3,I78&gt;$M$3),"Não iniciado",AND(K78&gt;$M$3,I78&lt;=$M$3),"Atrasado",TRUE,"Não iniciado")</f>
        <v>Em andamento</v>
      </c>
      <c r="O78" s="230" cm="1">
        <f t="array" ref="O78">_xlfn.IFS(N78="Não iniciado",0,N78="Em andamento",1,N78="Concluído",2,N78="Atrasado",3)</f>
        <v>1</v>
      </c>
      <c r="P78" s="218"/>
      <c r="Q78" s="225">
        <f t="shared" ref="Q78:BG78" si="32">AVERAGE(Q79:Q81)</f>
        <v>0.16666666666666666</v>
      </c>
      <c r="R78" s="225">
        <f t="shared" si="32"/>
        <v>0.16666666666666666</v>
      </c>
      <c r="S78" s="225">
        <f t="shared" si="32"/>
        <v>0</v>
      </c>
      <c r="T78" s="225">
        <f t="shared" si="32"/>
        <v>0</v>
      </c>
      <c r="U78" s="225">
        <f t="shared" si="32"/>
        <v>0</v>
      </c>
      <c r="V78" s="225">
        <f t="shared" si="32"/>
        <v>0</v>
      </c>
      <c r="W78" s="225">
        <f t="shared" si="32"/>
        <v>0</v>
      </c>
      <c r="X78" s="225">
        <f t="shared" si="32"/>
        <v>0</v>
      </c>
      <c r="Y78" s="225">
        <f t="shared" si="32"/>
        <v>0</v>
      </c>
      <c r="Z78" s="225">
        <f t="shared" si="32"/>
        <v>0</v>
      </c>
      <c r="AA78" s="225">
        <f t="shared" si="32"/>
        <v>0</v>
      </c>
      <c r="AB78" s="225">
        <f t="shared" si="32"/>
        <v>0.33333333333333331</v>
      </c>
      <c r="AC78" s="225">
        <f t="shared" si="32"/>
        <v>0.45098039215686275</v>
      </c>
      <c r="AD78" s="225">
        <f t="shared" si="32"/>
        <v>0.58823529411764708</v>
      </c>
      <c r="AE78" s="225">
        <f t="shared" si="32"/>
        <v>0.66666666666666663</v>
      </c>
      <c r="AF78" s="225">
        <f t="shared" si="32"/>
        <v>1</v>
      </c>
      <c r="AG78" s="225">
        <f t="shared" si="32"/>
        <v>1</v>
      </c>
      <c r="AH78" s="225">
        <f t="shared" si="32"/>
        <v>1</v>
      </c>
      <c r="AI78" s="225">
        <f t="shared" si="32"/>
        <v>1</v>
      </c>
      <c r="AJ78" s="225">
        <f t="shared" si="32"/>
        <v>1</v>
      </c>
      <c r="AK78" s="225">
        <f t="shared" si="32"/>
        <v>1</v>
      </c>
      <c r="AL78" s="225">
        <f t="shared" si="32"/>
        <v>1</v>
      </c>
      <c r="AM78" s="225">
        <f t="shared" si="32"/>
        <v>1</v>
      </c>
      <c r="AN78" s="225">
        <f t="shared" si="32"/>
        <v>1</v>
      </c>
      <c r="AO78" s="225">
        <f t="shared" si="32"/>
        <v>1</v>
      </c>
      <c r="AP78" s="225">
        <f t="shared" si="32"/>
        <v>1</v>
      </c>
      <c r="AQ78" s="225">
        <f t="shared" si="32"/>
        <v>1</v>
      </c>
      <c r="AR78" s="225">
        <f t="shared" si="32"/>
        <v>1</v>
      </c>
      <c r="AS78" s="225">
        <f t="shared" si="32"/>
        <v>1</v>
      </c>
      <c r="AT78" s="225">
        <f t="shared" si="32"/>
        <v>1</v>
      </c>
      <c r="AU78" s="225">
        <f t="shared" si="32"/>
        <v>1</v>
      </c>
      <c r="AV78" s="225">
        <f t="shared" si="32"/>
        <v>1</v>
      </c>
      <c r="AW78" s="225">
        <f t="shared" si="32"/>
        <v>1</v>
      </c>
      <c r="AX78" s="225">
        <f t="shared" si="32"/>
        <v>1</v>
      </c>
      <c r="AY78" s="225">
        <f t="shared" si="32"/>
        <v>1</v>
      </c>
      <c r="AZ78" s="225">
        <f t="shared" si="32"/>
        <v>1</v>
      </c>
      <c r="BA78" s="225">
        <f t="shared" si="32"/>
        <v>1</v>
      </c>
      <c r="BB78" s="225">
        <f t="shared" si="32"/>
        <v>1</v>
      </c>
      <c r="BC78" s="225">
        <f t="shared" si="32"/>
        <v>1</v>
      </c>
      <c r="BD78" s="225">
        <f t="shared" si="32"/>
        <v>1</v>
      </c>
      <c r="BE78" s="225">
        <f t="shared" si="32"/>
        <v>1</v>
      </c>
      <c r="BF78" s="225">
        <f t="shared" si="32"/>
        <v>1</v>
      </c>
      <c r="BG78" s="225">
        <f t="shared" si="32"/>
        <v>1</v>
      </c>
      <c r="BH78">
        <f>Tab.plano6[[#This Row],[Data Término
Prevista]]-Tab.plano6[[#This Row],[Data Início
Previsto]]</f>
        <v>26</v>
      </c>
    </row>
    <row r="79" spans="1:60" s="163" customFormat="1" ht="18" hidden="1" customHeight="1" x14ac:dyDescent="0.3">
      <c r="A79" s="220"/>
      <c r="B79" s="220" t="s">
        <v>161</v>
      </c>
      <c r="C79" s="220" t="s">
        <v>560</v>
      </c>
      <c r="D79" s="251" t="s">
        <v>399</v>
      </c>
      <c r="E79" s="251" t="s">
        <v>422</v>
      </c>
      <c r="F79" s="251" t="s">
        <v>558</v>
      </c>
      <c r="G79" s="251" t="s">
        <v>558</v>
      </c>
      <c r="H79" s="221" t="s">
        <v>433</v>
      </c>
      <c r="I79" s="260">
        <v>46164</v>
      </c>
      <c r="J79" s="260">
        <v>46167</v>
      </c>
      <c r="K79" s="260">
        <v>46164</v>
      </c>
      <c r="L79" s="260">
        <v>46167</v>
      </c>
      <c r="M79" s="231" t="s">
        <v>432</v>
      </c>
      <c r="N79" s="227" t="str" cm="1">
        <f t="array" ref="N79">_xlfn.IFS(L79&lt;$M$3,"Concluído",AND(K79&lt;=$M$3,L79&gt;=$M$3,L79&lt;=J79),"Em andamento",AND(K79&lt;=$M$3,L79&gt;=$M$3,L79&gt;J79),"Atrasado",AND(K79&gt;$M$3,I79&gt;$M$3),"Não iniciado",AND(K79&gt;$M$3,I79&lt;=$M$3),"Atrasado",TRUE,"Não iniciado")</f>
        <v>Em andamento</v>
      </c>
      <c r="O79" s="231" cm="1">
        <f t="array" ref="O79">_xlfn.IFS(N79="Não iniciado",0,N79="Em andamento",1,N79="Concluído",2,N79="Atrasado",3)</f>
        <v>1</v>
      </c>
      <c r="P79" s="220"/>
      <c r="Q79" s="226" cm="1">
        <f t="array" ref="Q79">_xlfn.IFS(AND($I79&lt;$M$3,$J79&lt;$M$3),1,AND($I79&lt;=$M$3,$J79&gt;=$M$3),0.5,AND($I79&gt;=$M$3,$J79&gt;=$M$3),0)</f>
        <v>0.5</v>
      </c>
      <c r="R79" s="226" cm="1">
        <f t="array" ref="R79">_xlfn.IFS(AND($K79&lt;$M$3,$L79&lt;$M$3),1,AND($K79&lt;=$M$3,$L79&gt;=$M$3),0.5,AND($K79&gt;=$M$3,$L79&gt;=$M$3),0)</f>
        <v>0.5</v>
      </c>
      <c r="S79" s="226" cm="1">
        <f t="array" ref="S79">_xlfn.IFS(AND($K79&gt;R$7,$L79&gt;R$7),0,AND($K79&lt;=R$7,$L79&lt;=R$7),1,AND($K79&lt;=R$7,$L79&gt;R$7),((R$7-$K79)/($L79-$K79)))</f>
        <v>0</v>
      </c>
      <c r="T79" s="226" cm="1">
        <f t="array" ref="T79">_xlfn.IFS(AND($K79&gt;S$7,$L79&gt;S$7),0,AND($K79&lt;=S$7,$L79&lt;=S$7),1,AND($K79&lt;=S$7,$L79&gt;S$7),((S$7-$K79)/($L79-$K79)))</f>
        <v>0</v>
      </c>
      <c r="U79" s="226" cm="1">
        <f t="array" ref="U79">_xlfn.IFS(AND($K79&gt;T$7,$L79&gt;T$7),0,AND($K79&lt;=T$7,$L79&lt;=T$7),1,AND($K79&lt;=T$7,$L79&gt;T$7),((T$7-$K79)/($L79-$K79)))</f>
        <v>0</v>
      </c>
      <c r="V79" s="226" cm="1">
        <f t="array" ref="V79">_xlfn.IFS(AND($K79&gt;U$7,$L79&gt;U$7),0,AND($K79&lt;=U$7,$L79&lt;=U$7),1,AND($K79&lt;=U$7,$L79&gt;U$7),((U$7-$K79)/($L79-$K79)))</f>
        <v>0</v>
      </c>
      <c r="W79" s="226" cm="1">
        <f t="array" ref="W79">_xlfn.IFS(AND($K79&gt;V$7,$L79&gt;V$7),0,AND($K79&lt;=V$7,$L79&lt;=V$7),1,AND($K79&lt;=V$7,$L79&gt;V$7),((V$7-$K79)/($L79-$K79)))</f>
        <v>0</v>
      </c>
      <c r="X79" s="226" cm="1">
        <f t="array" ref="X79">_xlfn.IFS(AND($K79&gt;W$7,$L79&gt;W$7),0,AND($K79&lt;=W$7,$L79&lt;=W$7),1,AND($K79&lt;=W$7,$L79&gt;W$7),((W$7-$K79)/($L79-$K79)))</f>
        <v>0</v>
      </c>
      <c r="Y79" s="226" cm="1">
        <f t="array" ref="Y79">_xlfn.IFS(AND($K79&gt;X$7,$L79&gt;X$7),0,AND($K79&lt;=X$7,$L79&lt;=X$7),1,AND($K79&lt;=X$7,$L79&gt;X$7),((X$7-$K79)/($L79-$K79)))</f>
        <v>0</v>
      </c>
      <c r="Z79" s="226" cm="1">
        <f t="array" ref="Z79">_xlfn.IFS(AND($K79&gt;Y$7,$L79&gt;Y$7),0,AND($K79&lt;=Y$7,$L79&lt;=Y$7),1,AND($K79&lt;=Y$7,$L79&gt;Y$7),((Y$7-$K79)/($L79-$K79)))</f>
        <v>0</v>
      </c>
      <c r="AA79" s="226" cm="1">
        <f t="array" ref="AA79">_xlfn.IFS(AND($K79&gt;Z$7,$L79&gt;Z$7),0,AND($K79&lt;=Z$7,$L79&lt;=Z$7),1,AND($K79&lt;=Z$7,$L79&gt;Z$7),((Z$7-$K79)/($L79-$K79)))</f>
        <v>0</v>
      </c>
      <c r="AB79" s="226" cm="1">
        <f t="array" ref="AB79">_xlfn.IFS(AND($K79&gt;AA$7,$L79&gt;AA$7),0,AND($K79&lt;=AA$7,$L79&lt;=AA$7),1,AND($K79&lt;=AA$7,$L79&gt;AA$7),((AA$7-$K79)/($L79-$K79)))</f>
        <v>1</v>
      </c>
      <c r="AC79" s="226" cm="1">
        <f t="array" ref="AC79">_xlfn.IFS(AND($K79&gt;AB$7,$L79&gt;AB$7),0,AND($K79&lt;=AB$7,$L79&lt;=AB$7),1,AND($K79&lt;=AB$7,$L79&gt;AB$7),((AB$7-$K79)/($L79-$K79)))</f>
        <v>1</v>
      </c>
      <c r="AD79" s="226" cm="1">
        <f t="array" ref="AD79">_xlfn.IFS(AND($K79&gt;AC$7,$L79&gt;AC$7),0,AND($K79&lt;=AC$7,$L79&lt;=AC$7),1,AND($K79&lt;=AC$7,$L79&gt;AC$7),((AC$7-$K79)/($L79-$K79)))</f>
        <v>1</v>
      </c>
      <c r="AE79" s="226" cm="1">
        <f t="array" ref="AE79">_xlfn.IFS(AND($K79&gt;AD$7,$L79&gt;AD$7),0,AND($K79&lt;=AD$7,$L79&lt;=AD$7),1,AND($K79&lt;=AD$7,$L79&gt;AD$7),((AD$7-$K79)/($L79-$K79)))</f>
        <v>1</v>
      </c>
      <c r="AF79" s="226" cm="1">
        <f t="array" ref="AF79">_xlfn.IFS(AND($K79&gt;AE$7,$L79&gt;AE$7),0,AND($K79&lt;=AE$7,$L79&lt;=AE$7),1,AND($K79&lt;=AE$7,$L79&gt;AE$7),((AE$7-$K79)/($L79-$K79)))</f>
        <v>1</v>
      </c>
      <c r="AG79" s="226" cm="1">
        <f t="array" ref="AG79">_xlfn.IFS(AND($K79&gt;AF$7,$L79&gt;AF$7),0,AND($K79&lt;=AF$7,$L79&lt;=AF$7),1,AND($K79&lt;=AF$7,$L79&gt;AF$7),((AF$7-$K79)/($L79-$K79)))</f>
        <v>1</v>
      </c>
      <c r="AH79" s="226" cm="1">
        <f t="array" ref="AH79">_xlfn.IFS(AND($K79&gt;AG$7,$L79&gt;AG$7),0,AND($K79&lt;=AG$7,$L79&lt;=AG$7),1,AND($K79&lt;=AG$7,$L79&gt;AG$7),((AG$7-$K79)/($L79-$K79)))</f>
        <v>1</v>
      </c>
      <c r="AI79" s="226" cm="1">
        <f t="array" ref="AI79">_xlfn.IFS(AND($K79&gt;AH$7,$L79&gt;AH$7),0,AND($K79&lt;=AH$7,$L79&lt;=AH$7),1,AND($K79&lt;=AH$7,$L79&gt;AH$7),((AH$7-$K79)/($L79-$K79)))</f>
        <v>1</v>
      </c>
      <c r="AJ79" s="226" cm="1">
        <f t="array" ref="AJ79">_xlfn.IFS(AND($K79&gt;AI$7,$L79&gt;AI$7),0,AND($K79&lt;=AI$7,$L79&lt;=AI$7),1,AND($K79&lt;=AI$7,$L79&gt;AI$7),((AI$7-$K79)/($L79-$K79)))</f>
        <v>1</v>
      </c>
      <c r="AK79" s="226" cm="1">
        <f t="array" ref="AK79">_xlfn.IFS(AND($K79&gt;AJ$7,$L79&gt;AJ$7),0,AND($K79&lt;=AJ$7,$L79&lt;=AJ$7),1,AND($K79&lt;=AJ$7,$L79&gt;AJ$7),((AJ$7-$K79)/($L79-$K79)))</f>
        <v>1</v>
      </c>
      <c r="AL79" s="226" cm="1">
        <f t="array" ref="AL79">_xlfn.IFS(AND($K79&gt;AK$7,$L79&gt;AK$7),0,AND($K79&lt;=AK$7,$L79&lt;=AK$7),1,AND($K79&lt;=AK$7,$L79&gt;AK$7),((AK$7-$K79)/($L79-$K79)))</f>
        <v>1</v>
      </c>
      <c r="AM79" s="226" cm="1">
        <f t="array" ref="AM79">_xlfn.IFS(AND($K79&gt;AL$7,$L79&gt;AL$7),0,AND($K79&lt;=AL$7,$L79&lt;=AL$7),1,AND($K79&lt;=AL$7,$L79&gt;AL$7),((AL$7-$K79)/($L79-$K79)))</f>
        <v>1</v>
      </c>
      <c r="AN79" s="226" cm="1">
        <f t="array" ref="AN79">_xlfn.IFS(AND($K79&gt;AM$7,$L79&gt;AM$7),0,AND($K79&lt;=AM$7,$L79&lt;=AM$7),1,AND($K79&lt;=AM$7,$L79&gt;AM$7),((AM$7-$K79)/($L79-$K79)))</f>
        <v>1</v>
      </c>
      <c r="AO79" s="226" cm="1">
        <f t="array" ref="AO79">_xlfn.IFS(AND($K79&gt;AN$7,$L79&gt;AN$7),0,AND($K79&lt;=AN$7,$L79&lt;=AN$7),1,AND($K79&lt;=AN$7,$L79&gt;AN$7),((AN$7-$K79)/($L79-$K79)))</f>
        <v>1</v>
      </c>
      <c r="AP79" s="226" cm="1">
        <f t="array" ref="AP79">_xlfn.IFS(AND($K79&gt;AO$7,$L79&gt;AO$7),0,AND($K79&lt;=AO$7,$L79&lt;=AO$7),1,AND($K79&lt;=AO$7,$L79&gt;AO$7),((AO$7-$K79)/($L79-$K79)))</f>
        <v>1</v>
      </c>
      <c r="AQ79" s="226" cm="1">
        <f t="array" ref="AQ79">_xlfn.IFS(AND($K79&gt;AP$7,$L79&gt;AP$7),0,AND($K79&lt;=AP$7,$L79&lt;=AP$7),1,AND($K79&lt;=AP$7,$L79&gt;AP$7),((AP$7-$K79)/($L79-$K79)))</f>
        <v>1</v>
      </c>
      <c r="AR79" s="226" cm="1">
        <f t="array" ref="AR79">_xlfn.IFS(AND($K79&gt;AQ$7,$L79&gt;AQ$7),0,AND($K79&lt;=AQ$7,$L79&lt;=AQ$7),1,AND($K79&lt;=AQ$7,$L79&gt;AQ$7),((AQ$7-$K79)/($L79-$K79)))</f>
        <v>1</v>
      </c>
      <c r="AS79" s="226" cm="1">
        <f t="array" ref="AS79">_xlfn.IFS(AND($K79&gt;AR$7,$L79&gt;AR$7),0,AND($K79&lt;=AR$7,$L79&lt;=AR$7),1,AND($K79&lt;=AR$7,$L79&gt;AR$7),((AR$7-$K79)/($L79-$K79)))</f>
        <v>1</v>
      </c>
      <c r="AT79" s="226" cm="1">
        <f t="array" ref="AT79">_xlfn.IFS(AND($K79&gt;AS$7,$L79&gt;AS$7),0,AND($K79&lt;=AS$7,$L79&lt;=AS$7),1,AND($K79&lt;=AS$7,$L79&gt;AS$7),((AS$7-$K79)/($L79-$K79)))</f>
        <v>1</v>
      </c>
      <c r="AU79" s="226" cm="1">
        <f t="array" ref="AU79">_xlfn.IFS(AND($K79&gt;AT$7,$L79&gt;AT$7),0,AND($K79&lt;=AT$7,$L79&lt;=AT$7),1,AND($K79&lt;=AT$7,$L79&gt;AT$7),((AT$7-$K79)/($L79-$K79)))</f>
        <v>1</v>
      </c>
      <c r="AV79" s="226" cm="1">
        <f t="array" ref="AV79">_xlfn.IFS(AND($K79&gt;AU$7,$L79&gt;AU$7),0,AND($K79&lt;=AU$7,$L79&lt;=AU$7),1,AND($K79&lt;=AU$7,$L79&gt;AU$7),((AU$7-$K79)/($L79-$K79)))</f>
        <v>1</v>
      </c>
      <c r="AW79" s="226" cm="1">
        <f t="array" ref="AW79">_xlfn.IFS(AND($K79&gt;AV$7,$L79&gt;AV$7),0,AND($K79&lt;=AV$7,$L79&lt;=AV$7),1,AND($K79&lt;=AV$7,$L79&gt;AV$7),((AV$7-$K79)/($L79-$K79)))</f>
        <v>1</v>
      </c>
      <c r="AX79" s="226" cm="1">
        <f t="array" ref="AX79">_xlfn.IFS(AND($K79&gt;AW$7,$L79&gt;AW$7),0,AND($K79&lt;=AW$7,$L79&lt;=AW$7),1,AND($K79&lt;=AW$7,$L79&gt;AW$7),((AW$7-$K79)/($L79-$K79)))</f>
        <v>1</v>
      </c>
      <c r="AY79" s="226" cm="1">
        <f t="array" ref="AY79">_xlfn.IFS(AND($K79&gt;AX$7,$L79&gt;AX$7),0,AND($K79&lt;=AX$7,$L79&lt;=AX$7),1,AND($K79&lt;=AX$7,$L79&gt;AX$7),((AX$7-$K79)/($L79-$K79)))</f>
        <v>1</v>
      </c>
      <c r="AZ79" s="226" cm="1">
        <f t="array" ref="AZ79">_xlfn.IFS(AND($K79&gt;AY$7,$L79&gt;AY$7),0,AND($K79&lt;=AY$7,$L79&lt;=AY$7),1,AND($K79&lt;=AY$7,$L79&gt;AY$7),((AY$7-$K79)/($L79-$K79)))</f>
        <v>1</v>
      </c>
      <c r="BA79" s="226" cm="1">
        <f t="array" ref="BA79">_xlfn.IFS(AND($K79&gt;AZ$7,$L79&gt;AZ$7),0,AND($K79&lt;=AZ$7,$L79&lt;=AZ$7),1,AND($K79&lt;=AZ$7,$L79&gt;AZ$7),((AZ$7-$K79)/($L79-$K79)))</f>
        <v>1</v>
      </c>
      <c r="BB79" s="226" cm="1">
        <f t="array" ref="BB79">_xlfn.IFS(AND($K79&gt;BA$7,$L79&gt;BA$7),0,AND($K79&lt;=BA$7,$L79&lt;=BA$7),1,AND($K79&lt;=BA$7,$L79&gt;BA$7),((BA$7-$K79)/($L79-$K79)))</f>
        <v>1</v>
      </c>
      <c r="BC79" s="226" cm="1">
        <f t="array" ref="BC79">_xlfn.IFS(AND($K79&gt;BB$7,$L79&gt;BB$7),0,AND($K79&lt;=BB$7,$L79&lt;=BB$7),1,AND($K79&lt;=BB$7,$L79&gt;BB$7),((BB$7-$K79)/($L79-$K79)))</f>
        <v>1</v>
      </c>
      <c r="BD79" s="226" cm="1">
        <f t="array" ref="BD79">_xlfn.IFS(AND($K79&gt;BC$7,$L79&gt;BC$7),0,AND($K79&lt;=BC$7,$L79&lt;=BC$7),1,AND($K79&lt;=BC$7,$L79&gt;BC$7),((BC$7-$K79)/($L79-$K79)))</f>
        <v>1</v>
      </c>
      <c r="BE79" s="226" cm="1">
        <f t="array" ref="BE79">_xlfn.IFS(AND($K79&gt;BD$7,$L79&gt;BD$7),0,AND($K79&lt;=BD$7,$L79&lt;=BD$7),1,AND($K79&lt;=BD$7,$L79&gt;BD$7),((BD$7-$K79)/($L79-$K79)))</f>
        <v>1</v>
      </c>
      <c r="BF79" s="226" cm="1">
        <f t="array" ref="BF79">_xlfn.IFS(AND($K79&gt;BE$7,$L79&gt;BE$7),0,AND($K79&lt;=BE$7,$L79&lt;=BE$7),1,AND($K79&lt;=BE$7,$L79&gt;BE$7),((BE$7-$K79)/($L79-$K79)))</f>
        <v>1</v>
      </c>
      <c r="BG79" s="226" cm="1">
        <f t="array" ref="BG79">_xlfn.IFS(AND($K79&gt;BF$7,$L79&gt;BF$7),0,AND($K79&lt;=BF$7,$L79&lt;=BF$7),1,AND($K79&lt;=BF$7,$L79&gt;BF$7),((BF$7-$K79)/($L79-$K79)))</f>
        <v>1</v>
      </c>
      <c r="BH79">
        <f>Tab.plano6[[#This Row],[Data Término
Prevista]]-Tab.plano6[[#This Row],[Data Início
Previsto]]</f>
        <v>3</v>
      </c>
    </row>
    <row r="80" spans="1:60" s="163" customFormat="1" ht="18" hidden="1" customHeight="1" x14ac:dyDescent="0.3">
      <c r="A80" s="220"/>
      <c r="B80" s="220" t="s">
        <v>161</v>
      </c>
      <c r="C80" s="220" t="s">
        <v>562</v>
      </c>
      <c r="D80" s="251" t="s">
        <v>399</v>
      </c>
      <c r="E80" s="251" t="s">
        <v>422</v>
      </c>
      <c r="F80" s="251" t="s">
        <v>558</v>
      </c>
      <c r="G80" s="251" t="s">
        <v>558</v>
      </c>
      <c r="H80" s="221" t="s">
        <v>434</v>
      </c>
      <c r="I80" s="260">
        <v>46168</v>
      </c>
      <c r="J80" s="260">
        <v>46185</v>
      </c>
      <c r="K80" s="260">
        <v>46168</v>
      </c>
      <c r="L80" s="260">
        <v>46185</v>
      </c>
      <c r="M80" s="231" t="s">
        <v>432</v>
      </c>
      <c r="N80" s="227" t="str" cm="1">
        <f t="array" ref="N80">_xlfn.IFS(L80&lt;$M$3,"Concluído",AND(K80&lt;=$M$3,L80&gt;=$M$3,L80&lt;=J80),"Em andamento",AND(K80&lt;=$M$3,L80&gt;=$M$3,L80&gt;J80),"Atrasado",AND(K80&gt;$M$3,I80&gt;$M$3),"Não iniciado",AND(K80&gt;$M$3,I80&lt;=$M$3),"Atrasado",TRUE,"Não iniciado")</f>
        <v>Não iniciado</v>
      </c>
      <c r="O80" s="231" cm="1">
        <f t="array" ref="O80">_xlfn.IFS(N80="Não iniciado",0,N80="Em andamento",1,N80="Concluído",2,N80="Atrasado",3)</f>
        <v>0</v>
      </c>
      <c r="P80" s="220"/>
      <c r="Q80" s="226" cm="1">
        <f t="array" ref="Q80">_xlfn.IFS(AND($I80&lt;$M$3,$J80&lt;$M$3),1,AND($I80&lt;=$M$3,$J80&gt;=$M$3),0.5,AND($I80&gt;=$M$3,$J80&gt;=$M$3),0)</f>
        <v>0</v>
      </c>
      <c r="R80" s="226" cm="1">
        <f t="array" ref="R80">_xlfn.IFS(AND($K80&lt;$M$3,$L80&lt;$M$3),1,AND($K80&lt;=$M$3,$L80&gt;=$M$3),0.5,AND($K80&gt;=$M$3,$L80&gt;=$M$3),0)</f>
        <v>0</v>
      </c>
      <c r="S80" s="226" cm="1">
        <f t="array" ref="S80">_xlfn.IFS(AND($K80&gt;R$7,$L80&gt;R$7),0,AND($K80&lt;=R$7,$L80&lt;=R$7),1,AND($K80&lt;=R$7,$L80&gt;R$7),((R$7-$K80)/($L80-$K80)))</f>
        <v>0</v>
      </c>
      <c r="T80" s="226" cm="1">
        <f t="array" ref="T80">_xlfn.IFS(AND($K80&gt;S$7,$L80&gt;S$7),0,AND($K80&lt;=S$7,$L80&lt;=S$7),1,AND($K80&lt;=S$7,$L80&gt;S$7),((S$7-$K80)/($L80-$K80)))</f>
        <v>0</v>
      </c>
      <c r="U80" s="226" cm="1">
        <f t="array" ref="U80">_xlfn.IFS(AND($K80&gt;T$7,$L80&gt;T$7),0,AND($K80&lt;=T$7,$L80&lt;=T$7),1,AND($K80&lt;=T$7,$L80&gt;T$7),((T$7-$K80)/($L80-$K80)))</f>
        <v>0</v>
      </c>
      <c r="V80" s="226" cm="1">
        <f t="array" ref="V80">_xlfn.IFS(AND($K80&gt;U$7,$L80&gt;U$7),0,AND($K80&lt;=U$7,$L80&lt;=U$7),1,AND($K80&lt;=U$7,$L80&gt;U$7),((U$7-$K80)/($L80-$K80)))</f>
        <v>0</v>
      </c>
      <c r="W80" s="226" cm="1">
        <f t="array" ref="W80">_xlfn.IFS(AND($K80&gt;V$7,$L80&gt;V$7),0,AND($K80&lt;=V$7,$L80&lt;=V$7),1,AND($K80&lt;=V$7,$L80&gt;V$7),((V$7-$K80)/($L80-$K80)))</f>
        <v>0</v>
      </c>
      <c r="X80" s="226" cm="1">
        <f t="array" ref="X80">_xlfn.IFS(AND($K80&gt;W$7,$L80&gt;W$7),0,AND($K80&lt;=W$7,$L80&lt;=W$7),1,AND($K80&lt;=W$7,$L80&gt;W$7),((W$7-$K80)/($L80-$K80)))</f>
        <v>0</v>
      </c>
      <c r="Y80" s="226" cm="1">
        <f t="array" ref="Y80">_xlfn.IFS(AND($K80&gt;X$7,$L80&gt;X$7),0,AND($K80&lt;=X$7,$L80&lt;=X$7),1,AND($K80&lt;=X$7,$L80&gt;X$7),((X$7-$K80)/($L80-$K80)))</f>
        <v>0</v>
      </c>
      <c r="Z80" s="226" cm="1">
        <f t="array" ref="Z80">_xlfn.IFS(AND($K80&gt;Y$7,$L80&gt;Y$7),0,AND($K80&lt;=Y$7,$L80&lt;=Y$7),1,AND($K80&lt;=Y$7,$L80&gt;Y$7),((Y$7-$K80)/($L80-$K80)))</f>
        <v>0</v>
      </c>
      <c r="AA80" s="226" cm="1">
        <f t="array" ref="AA80">_xlfn.IFS(AND($K80&gt;Z$7,$L80&gt;Z$7),0,AND($K80&lt;=Z$7,$L80&lt;=Z$7),1,AND($K80&lt;=Z$7,$L80&gt;Z$7),((Z$7-$K80)/($L80-$K80)))</f>
        <v>0</v>
      </c>
      <c r="AB80" s="226" cm="1">
        <f t="array" ref="AB80">_xlfn.IFS(AND($K80&gt;AA$7,$L80&gt;AA$7),0,AND($K80&lt;=AA$7,$L80&lt;=AA$7),1,AND($K80&lt;=AA$7,$L80&gt;AA$7),((AA$7-$K80)/($L80-$K80)))</f>
        <v>0</v>
      </c>
      <c r="AC80" s="226" cm="1">
        <f t="array" ref="AC80">_xlfn.IFS(AND($K80&gt;AB$7,$L80&gt;AB$7),0,AND($K80&lt;=AB$7,$L80&lt;=AB$7),1,AND($K80&lt;=AB$7,$L80&gt;AB$7),((AB$7-$K80)/($L80-$K80)))</f>
        <v>0.35294117647058826</v>
      </c>
      <c r="AD80" s="226" cm="1">
        <f t="array" ref="AD80">_xlfn.IFS(AND($K80&gt;AC$7,$L80&gt;AC$7),0,AND($K80&lt;=AC$7,$L80&lt;=AC$7),1,AND($K80&lt;=AC$7,$L80&gt;AC$7),((AC$7-$K80)/($L80-$K80)))</f>
        <v>0.76470588235294112</v>
      </c>
      <c r="AE80" s="226" cm="1">
        <f t="array" ref="AE80">_xlfn.IFS(AND($K80&gt;AD$7,$L80&gt;AD$7),0,AND($K80&lt;=AD$7,$L80&lt;=AD$7),1,AND($K80&lt;=AD$7,$L80&gt;AD$7),((AD$7-$K80)/($L80-$K80)))</f>
        <v>1</v>
      </c>
      <c r="AF80" s="226" cm="1">
        <f t="array" ref="AF80">_xlfn.IFS(AND($K80&gt;AE$7,$L80&gt;AE$7),0,AND($K80&lt;=AE$7,$L80&lt;=AE$7),1,AND($K80&lt;=AE$7,$L80&gt;AE$7),((AE$7-$K80)/($L80-$K80)))</f>
        <v>1</v>
      </c>
      <c r="AG80" s="226" cm="1">
        <f t="array" ref="AG80">_xlfn.IFS(AND($K80&gt;AF$7,$L80&gt;AF$7),0,AND($K80&lt;=AF$7,$L80&lt;=AF$7),1,AND($K80&lt;=AF$7,$L80&gt;AF$7),((AF$7-$K80)/($L80-$K80)))</f>
        <v>1</v>
      </c>
      <c r="AH80" s="226" cm="1">
        <f t="array" ref="AH80">_xlfn.IFS(AND($K80&gt;AG$7,$L80&gt;AG$7),0,AND($K80&lt;=AG$7,$L80&lt;=AG$7),1,AND($K80&lt;=AG$7,$L80&gt;AG$7),((AG$7-$K80)/($L80-$K80)))</f>
        <v>1</v>
      </c>
      <c r="AI80" s="226" cm="1">
        <f t="array" ref="AI80">_xlfn.IFS(AND($K80&gt;AH$7,$L80&gt;AH$7),0,AND($K80&lt;=AH$7,$L80&lt;=AH$7),1,AND($K80&lt;=AH$7,$L80&gt;AH$7),((AH$7-$K80)/($L80-$K80)))</f>
        <v>1</v>
      </c>
      <c r="AJ80" s="226" cm="1">
        <f t="array" ref="AJ80">_xlfn.IFS(AND($K80&gt;AI$7,$L80&gt;AI$7),0,AND($K80&lt;=AI$7,$L80&lt;=AI$7),1,AND($K80&lt;=AI$7,$L80&gt;AI$7),((AI$7-$K80)/($L80-$K80)))</f>
        <v>1</v>
      </c>
      <c r="AK80" s="226" cm="1">
        <f t="array" ref="AK80">_xlfn.IFS(AND($K80&gt;AJ$7,$L80&gt;AJ$7),0,AND($K80&lt;=AJ$7,$L80&lt;=AJ$7),1,AND($K80&lt;=AJ$7,$L80&gt;AJ$7),((AJ$7-$K80)/($L80-$K80)))</f>
        <v>1</v>
      </c>
      <c r="AL80" s="226" cm="1">
        <f t="array" ref="AL80">_xlfn.IFS(AND($K80&gt;AK$7,$L80&gt;AK$7),0,AND($K80&lt;=AK$7,$L80&lt;=AK$7),1,AND($K80&lt;=AK$7,$L80&gt;AK$7),((AK$7-$K80)/($L80-$K80)))</f>
        <v>1</v>
      </c>
      <c r="AM80" s="226" cm="1">
        <f t="array" ref="AM80">_xlfn.IFS(AND($K80&gt;AL$7,$L80&gt;AL$7),0,AND($K80&lt;=AL$7,$L80&lt;=AL$7),1,AND($K80&lt;=AL$7,$L80&gt;AL$7),((AL$7-$K80)/($L80-$K80)))</f>
        <v>1</v>
      </c>
      <c r="AN80" s="226" cm="1">
        <f t="array" ref="AN80">_xlfn.IFS(AND($K80&gt;AM$7,$L80&gt;AM$7),0,AND($K80&lt;=AM$7,$L80&lt;=AM$7),1,AND($K80&lt;=AM$7,$L80&gt;AM$7),((AM$7-$K80)/($L80-$K80)))</f>
        <v>1</v>
      </c>
      <c r="AO80" s="226" cm="1">
        <f t="array" ref="AO80">_xlfn.IFS(AND($K80&gt;AN$7,$L80&gt;AN$7),0,AND($K80&lt;=AN$7,$L80&lt;=AN$7),1,AND($K80&lt;=AN$7,$L80&gt;AN$7),((AN$7-$K80)/($L80-$K80)))</f>
        <v>1</v>
      </c>
      <c r="AP80" s="226" cm="1">
        <f t="array" ref="AP80">_xlfn.IFS(AND($K80&gt;AO$7,$L80&gt;AO$7),0,AND($K80&lt;=AO$7,$L80&lt;=AO$7),1,AND($K80&lt;=AO$7,$L80&gt;AO$7),((AO$7-$K80)/($L80-$K80)))</f>
        <v>1</v>
      </c>
      <c r="AQ80" s="226" cm="1">
        <f t="array" ref="AQ80">_xlfn.IFS(AND($K80&gt;AP$7,$L80&gt;AP$7),0,AND($K80&lt;=AP$7,$L80&lt;=AP$7),1,AND($K80&lt;=AP$7,$L80&gt;AP$7),((AP$7-$K80)/($L80-$K80)))</f>
        <v>1</v>
      </c>
      <c r="AR80" s="226" cm="1">
        <f t="array" ref="AR80">_xlfn.IFS(AND($K80&gt;AQ$7,$L80&gt;AQ$7),0,AND($K80&lt;=AQ$7,$L80&lt;=AQ$7),1,AND($K80&lt;=AQ$7,$L80&gt;AQ$7),((AQ$7-$K80)/($L80-$K80)))</f>
        <v>1</v>
      </c>
      <c r="AS80" s="226" cm="1">
        <f t="array" ref="AS80">_xlfn.IFS(AND($K80&gt;AR$7,$L80&gt;AR$7),0,AND($K80&lt;=AR$7,$L80&lt;=AR$7),1,AND($K80&lt;=AR$7,$L80&gt;AR$7),((AR$7-$K80)/($L80-$K80)))</f>
        <v>1</v>
      </c>
      <c r="AT80" s="226" cm="1">
        <f t="array" ref="AT80">_xlfn.IFS(AND($K80&gt;AS$7,$L80&gt;AS$7),0,AND($K80&lt;=AS$7,$L80&lt;=AS$7),1,AND($K80&lt;=AS$7,$L80&gt;AS$7),((AS$7-$K80)/($L80-$K80)))</f>
        <v>1</v>
      </c>
      <c r="AU80" s="226" cm="1">
        <f t="array" ref="AU80">_xlfn.IFS(AND($K80&gt;AT$7,$L80&gt;AT$7),0,AND($K80&lt;=AT$7,$L80&lt;=AT$7),1,AND($K80&lt;=AT$7,$L80&gt;AT$7),((AT$7-$K80)/($L80-$K80)))</f>
        <v>1</v>
      </c>
      <c r="AV80" s="226" cm="1">
        <f t="array" ref="AV80">_xlfn.IFS(AND($K80&gt;AU$7,$L80&gt;AU$7),0,AND($K80&lt;=AU$7,$L80&lt;=AU$7),1,AND($K80&lt;=AU$7,$L80&gt;AU$7),((AU$7-$K80)/($L80-$K80)))</f>
        <v>1</v>
      </c>
      <c r="AW80" s="226" cm="1">
        <f t="array" ref="AW80">_xlfn.IFS(AND($K80&gt;AV$7,$L80&gt;AV$7),0,AND($K80&lt;=AV$7,$L80&lt;=AV$7),1,AND($K80&lt;=AV$7,$L80&gt;AV$7),((AV$7-$K80)/($L80-$K80)))</f>
        <v>1</v>
      </c>
      <c r="AX80" s="226" cm="1">
        <f t="array" ref="AX80">_xlfn.IFS(AND($K80&gt;AW$7,$L80&gt;AW$7),0,AND($K80&lt;=AW$7,$L80&lt;=AW$7),1,AND($K80&lt;=AW$7,$L80&gt;AW$7),((AW$7-$K80)/($L80-$K80)))</f>
        <v>1</v>
      </c>
      <c r="AY80" s="226" cm="1">
        <f t="array" ref="AY80">_xlfn.IFS(AND($K80&gt;AX$7,$L80&gt;AX$7),0,AND($K80&lt;=AX$7,$L80&lt;=AX$7),1,AND($K80&lt;=AX$7,$L80&gt;AX$7),((AX$7-$K80)/($L80-$K80)))</f>
        <v>1</v>
      </c>
      <c r="AZ80" s="226" cm="1">
        <f t="array" ref="AZ80">_xlfn.IFS(AND($K80&gt;AY$7,$L80&gt;AY$7),0,AND($K80&lt;=AY$7,$L80&lt;=AY$7),1,AND($K80&lt;=AY$7,$L80&gt;AY$7),((AY$7-$K80)/($L80-$K80)))</f>
        <v>1</v>
      </c>
      <c r="BA80" s="226" cm="1">
        <f t="array" ref="BA80">_xlfn.IFS(AND($K80&gt;AZ$7,$L80&gt;AZ$7),0,AND($K80&lt;=AZ$7,$L80&lt;=AZ$7),1,AND($K80&lt;=AZ$7,$L80&gt;AZ$7),((AZ$7-$K80)/($L80-$K80)))</f>
        <v>1</v>
      </c>
      <c r="BB80" s="226" cm="1">
        <f t="array" ref="BB80">_xlfn.IFS(AND($K80&gt;BA$7,$L80&gt;BA$7),0,AND($K80&lt;=BA$7,$L80&lt;=BA$7),1,AND($K80&lt;=BA$7,$L80&gt;BA$7),((BA$7-$K80)/($L80-$K80)))</f>
        <v>1</v>
      </c>
      <c r="BC80" s="226" cm="1">
        <f t="array" ref="BC80">_xlfn.IFS(AND($K80&gt;BB$7,$L80&gt;BB$7),0,AND($K80&lt;=BB$7,$L80&lt;=BB$7),1,AND($K80&lt;=BB$7,$L80&gt;BB$7),((BB$7-$K80)/($L80-$K80)))</f>
        <v>1</v>
      </c>
      <c r="BD80" s="226" cm="1">
        <f t="array" ref="BD80">_xlfn.IFS(AND($K80&gt;BC$7,$L80&gt;BC$7),0,AND($K80&lt;=BC$7,$L80&lt;=BC$7),1,AND($K80&lt;=BC$7,$L80&gt;BC$7),((BC$7-$K80)/($L80-$K80)))</f>
        <v>1</v>
      </c>
      <c r="BE80" s="226" cm="1">
        <f t="array" ref="BE80">_xlfn.IFS(AND($K80&gt;BD$7,$L80&gt;BD$7),0,AND($K80&lt;=BD$7,$L80&lt;=BD$7),1,AND($K80&lt;=BD$7,$L80&gt;BD$7),((BD$7-$K80)/($L80-$K80)))</f>
        <v>1</v>
      </c>
      <c r="BF80" s="226" cm="1">
        <f t="array" ref="BF80">_xlfn.IFS(AND($K80&gt;BE$7,$L80&gt;BE$7),0,AND($K80&lt;=BE$7,$L80&lt;=BE$7),1,AND($K80&lt;=BE$7,$L80&gt;BE$7),((BE$7-$K80)/($L80-$K80)))</f>
        <v>1</v>
      </c>
      <c r="BG80" s="226" cm="1">
        <f t="array" ref="BG80">_xlfn.IFS(AND($K80&gt;BF$7,$L80&gt;BF$7),0,AND($K80&lt;=BF$7,$L80&lt;=BF$7),1,AND($K80&lt;=BF$7,$L80&gt;BF$7),((BF$7-$K80)/($L80-$K80)))</f>
        <v>1</v>
      </c>
      <c r="BH80">
        <f>Tab.plano6[[#This Row],[Data Término
Prevista]]-Tab.plano6[[#This Row],[Data Início
Previsto]]</f>
        <v>17</v>
      </c>
    </row>
    <row r="81" spans="1:60" s="163" customFormat="1" ht="18" hidden="1" customHeight="1" x14ac:dyDescent="0.3">
      <c r="A81" s="220"/>
      <c r="B81" s="220" t="s">
        <v>161</v>
      </c>
      <c r="C81" s="220" t="s">
        <v>564</v>
      </c>
      <c r="D81" s="251" t="s">
        <v>399</v>
      </c>
      <c r="E81" s="251" t="s">
        <v>422</v>
      </c>
      <c r="F81" s="251" t="s">
        <v>558</v>
      </c>
      <c r="G81" s="251" t="s">
        <v>558</v>
      </c>
      <c r="H81" s="246" t="s">
        <v>815</v>
      </c>
      <c r="I81" s="260">
        <v>46188</v>
      </c>
      <c r="J81" s="260">
        <v>46190</v>
      </c>
      <c r="K81" s="260">
        <v>46188</v>
      </c>
      <c r="L81" s="260">
        <v>46190</v>
      </c>
      <c r="M81" s="231" t="s">
        <v>432</v>
      </c>
      <c r="N81" s="227" t="str" cm="1">
        <f t="array" ref="N81">_xlfn.IFS(L81&lt;$M$3,"Concluído",AND(K81&lt;=$M$3,L81&gt;=$M$3,L81&lt;=J81),"Em andamento",AND(K81&lt;=$M$3,L81&gt;=$M$3,L81&gt;J81),"Atrasado",AND(K81&gt;$M$3,I81&gt;$M$3),"Não iniciado",AND(K81&gt;$M$3,I81&lt;=$M$3),"Atrasado",TRUE,"Não iniciado")</f>
        <v>Não iniciado</v>
      </c>
      <c r="O81" s="231" cm="1">
        <f t="array" ref="O81">_xlfn.IFS(N81="Não iniciado",0,N81="Em andamento",1,N81="Concluído",2,N81="Atrasado",3)</f>
        <v>0</v>
      </c>
      <c r="P81" s="220"/>
      <c r="Q81" s="226" cm="1">
        <f t="array" ref="Q81">_xlfn.IFS(AND($I81&lt;$M$3,$J81&lt;$M$3),1,AND($I81&lt;=$M$3,$J81&gt;=$M$3),0.5,AND($I81&gt;=$M$3,$J81&gt;=$M$3),0)</f>
        <v>0</v>
      </c>
      <c r="R81" s="226" cm="1">
        <f t="array" ref="R81">_xlfn.IFS(AND($K81&lt;$M$3,$L81&lt;$M$3),1,AND($K81&lt;=$M$3,$L81&gt;=$M$3),0.5,AND($K81&gt;=$M$3,$L81&gt;=$M$3),0)</f>
        <v>0</v>
      </c>
      <c r="S81" s="226" cm="1">
        <f t="array" ref="S81">_xlfn.IFS(AND($K81&gt;R$7,$L81&gt;R$7),0,AND($K81&lt;=R$7,$L81&lt;=R$7),1,AND($K81&lt;=R$7,$L81&gt;R$7),((R$7-$K81)/($L81-$K81)))</f>
        <v>0</v>
      </c>
      <c r="T81" s="226" cm="1">
        <f t="array" ref="T81">_xlfn.IFS(AND($K81&gt;S$7,$L81&gt;S$7),0,AND($K81&lt;=S$7,$L81&lt;=S$7),1,AND($K81&lt;=S$7,$L81&gt;S$7),((S$7-$K81)/($L81-$K81)))</f>
        <v>0</v>
      </c>
      <c r="U81" s="226" cm="1">
        <f t="array" ref="U81">_xlfn.IFS(AND($K81&gt;T$7,$L81&gt;T$7),0,AND($K81&lt;=T$7,$L81&lt;=T$7),1,AND($K81&lt;=T$7,$L81&gt;T$7),((T$7-$K81)/($L81-$K81)))</f>
        <v>0</v>
      </c>
      <c r="V81" s="226" cm="1">
        <f t="array" ref="V81">_xlfn.IFS(AND($K81&gt;U$7,$L81&gt;U$7),0,AND($K81&lt;=U$7,$L81&lt;=U$7),1,AND($K81&lt;=U$7,$L81&gt;U$7),((U$7-$K81)/($L81-$K81)))</f>
        <v>0</v>
      </c>
      <c r="W81" s="226" cm="1">
        <f t="array" ref="W81">_xlfn.IFS(AND($K81&gt;V$7,$L81&gt;V$7),0,AND($K81&lt;=V$7,$L81&lt;=V$7),1,AND($K81&lt;=V$7,$L81&gt;V$7),((V$7-$K81)/($L81-$K81)))</f>
        <v>0</v>
      </c>
      <c r="X81" s="226" cm="1">
        <f t="array" ref="X81">_xlfn.IFS(AND($K81&gt;W$7,$L81&gt;W$7),0,AND($K81&lt;=W$7,$L81&lt;=W$7),1,AND($K81&lt;=W$7,$L81&gt;W$7),((W$7-$K81)/($L81-$K81)))</f>
        <v>0</v>
      </c>
      <c r="Y81" s="226" cm="1">
        <f t="array" ref="Y81">_xlfn.IFS(AND($K81&gt;X$7,$L81&gt;X$7),0,AND($K81&lt;=X$7,$L81&lt;=X$7),1,AND($K81&lt;=X$7,$L81&gt;X$7),((X$7-$K81)/($L81-$K81)))</f>
        <v>0</v>
      </c>
      <c r="Z81" s="226" cm="1">
        <f t="array" ref="Z81">_xlfn.IFS(AND($K81&gt;Y$7,$L81&gt;Y$7),0,AND($K81&lt;=Y$7,$L81&lt;=Y$7),1,AND($K81&lt;=Y$7,$L81&gt;Y$7),((Y$7-$K81)/($L81-$K81)))</f>
        <v>0</v>
      </c>
      <c r="AA81" s="226" cm="1">
        <f t="array" ref="AA81">_xlfn.IFS(AND($K81&gt;Z$7,$L81&gt;Z$7),0,AND($K81&lt;=Z$7,$L81&lt;=Z$7),1,AND($K81&lt;=Z$7,$L81&gt;Z$7),((Z$7-$K81)/($L81-$K81)))</f>
        <v>0</v>
      </c>
      <c r="AB81" s="226" cm="1">
        <f t="array" ref="AB81">_xlfn.IFS(AND($K81&gt;AA$7,$L81&gt;AA$7),0,AND($K81&lt;=AA$7,$L81&lt;=AA$7),1,AND($K81&lt;=AA$7,$L81&gt;AA$7),((AA$7-$K81)/($L81-$K81)))</f>
        <v>0</v>
      </c>
      <c r="AC81" s="226" cm="1">
        <f t="array" ref="AC81">_xlfn.IFS(AND($K81&gt;AB$7,$L81&gt;AB$7),0,AND($K81&lt;=AB$7,$L81&lt;=AB$7),1,AND($K81&lt;=AB$7,$L81&gt;AB$7),((AB$7-$K81)/($L81-$K81)))</f>
        <v>0</v>
      </c>
      <c r="AD81" s="226" cm="1">
        <f t="array" ref="AD81">_xlfn.IFS(AND($K81&gt;AC$7,$L81&gt;AC$7),0,AND($K81&lt;=AC$7,$L81&lt;=AC$7),1,AND($K81&lt;=AC$7,$L81&gt;AC$7),((AC$7-$K81)/($L81-$K81)))</f>
        <v>0</v>
      </c>
      <c r="AE81" s="226" cm="1">
        <f t="array" ref="AE81">_xlfn.IFS(AND($K81&gt;AD$7,$L81&gt;AD$7),0,AND($K81&lt;=AD$7,$L81&lt;=AD$7),1,AND($K81&lt;=AD$7,$L81&gt;AD$7),((AD$7-$K81)/($L81-$K81)))</f>
        <v>0</v>
      </c>
      <c r="AF81" s="226" cm="1">
        <f t="array" ref="AF81">_xlfn.IFS(AND($K81&gt;AE$7,$L81&gt;AE$7),0,AND($K81&lt;=AE$7,$L81&lt;=AE$7),1,AND($K81&lt;=AE$7,$L81&gt;AE$7),((AE$7-$K81)/($L81-$K81)))</f>
        <v>1</v>
      </c>
      <c r="AG81" s="226" cm="1">
        <f t="array" ref="AG81">_xlfn.IFS(AND($K81&gt;AF$7,$L81&gt;AF$7),0,AND($K81&lt;=AF$7,$L81&lt;=AF$7),1,AND($K81&lt;=AF$7,$L81&gt;AF$7),((AF$7-$K81)/($L81-$K81)))</f>
        <v>1</v>
      </c>
      <c r="AH81" s="226" cm="1">
        <f t="array" ref="AH81">_xlfn.IFS(AND($K81&gt;AG$7,$L81&gt;AG$7),0,AND($K81&lt;=AG$7,$L81&lt;=AG$7),1,AND($K81&lt;=AG$7,$L81&gt;AG$7),((AG$7-$K81)/($L81-$K81)))</f>
        <v>1</v>
      </c>
      <c r="AI81" s="226" cm="1">
        <f t="array" ref="AI81">_xlfn.IFS(AND($K81&gt;AH$7,$L81&gt;AH$7),0,AND($K81&lt;=AH$7,$L81&lt;=AH$7),1,AND($K81&lt;=AH$7,$L81&gt;AH$7),((AH$7-$K81)/($L81-$K81)))</f>
        <v>1</v>
      </c>
      <c r="AJ81" s="226" cm="1">
        <f t="array" ref="AJ81">_xlfn.IFS(AND($K81&gt;AI$7,$L81&gt;AI$7),0,AND($K81&lt;=AI$7,$L81&lt;=AI$7),1,AND($K81&lt;=AI$7,$L81&gt;AI$7),((AI$7-$K81)/($L81-$K81)))</f>
        <v>1</v>
      </c>
      <c r="AK81" s="226" cm="1">
        <f t="array" ref="AK81">_xlfn.IFS(AND($K81&gt;AJ$7,$L81&gt;AJ$7),0,AND($K81&lt;=AJ$7,$L81&lt;=AJ$7),1,AND($K81&lt;=AJ$7,$L81&gt;AJ$7),((AJ$7-$K81)/($L81-$K81)))</f>
        <v>1</v>
      </c>
      <c r="AL81" s="226" cm="1">
        <f t="array" ref="AL81">_xlfn.IFS(AND($K81&gt;AK$7,$L81&gt;AK$7),0,AND($K81&lt;=AK$7,$L81&lt;=AK$7),1,AND($K81&lt;=AK$7,$L81&gt;AK$7),((AK$7-$K81)/($L81-$K81)))</f>
        <v>1</v>
      </c>
      <c r="AM81" s="226" cm="1">
        <f t="array" ref="AM81">_xlfn.IFS(AND($K81&gt;AL$7,$L81&gt;AL$7),0,AND($K81&lt;=AL$7,$L81&lt;=AL$7),1,AND($K81&lt;=AL$7,$L81&gt;AL$7),((AL$7-$K81)/($L81-$K81)))</f>
        <v>1</v>
      </c>
      <c r="AN81" s="226" cm="1">
        <f t="array" ref="AN81">_xlfn.IFS(AND($K81&gt;AM$7,$L81&gt;AM$7),0,AND($K81&lt;=AM$7,$L81&lt;=AM$7),1,AND($K81&lt;=AM$7,$L81&gt;AM$7),((AM$7-$K81)/($L81-$K81)))</f>
        <v>1</v>
      </c>
      <c r="AO81" s="226" cm="1">
        <f t="array" ref="AO81">_xlfn.IFS(AND($K81&gt;AN$7,$L81&gt;AN$7),0,AND($K81&lt;=AN$7,$L81&lt;=AN$7),1,AND($K81&lt;=AN$7,$L81&gt;AN$7),((AN$7-$K81)/($L81-$K81)))</f>
        <v>1</v>
      </c>
      <c r="AP81" s="226" cm="1">
        <f t="array" ref="AP81">_xlfn.IFS(AND($K81&gt;AO$7,$L81&gt;AO$7),0,AND($K81&lt;=AO$7,$L81&lt;=AO$7),1,AND($K81&lt;=AO$7,$L81&gt;AO$7),((AO$7-$K81)/($L81-$K81)))</f>
        <v>1</v>
      </c>
      <c r="AQ81" s="226" cm="1">
        <f t="array" ref="AQ81">_xlfn.IFS(AND($K81&gt;AP$7,$L81&gt;AP$7),0,AND($K81&lt;=AP$7,$L81&lt;=AP$7),1,AND($K81&lt;=AP$7,$L81&gt;AP$7),((AP$7-$K81)/($L81-$K81)))</f>
        <v>1</v>
      </c>
      <c r="AR81" s="226" cm="1">
        <f t="array" ref="AR81">_xlfn.IFS(AND($K81&gt;AQ$7,$L81&gt;AQ$7),0,AND($K81&lt;=AQ$7,$L81&lt;=AQ$7),1,AND($K81&lt;=AQ$7,$L81&gt;AQ$7),((AQ$7-$K81)/($L81-$K81)))</f>
        <v>1</v>
      </c>
      <c r="AS81" s="226" cm="1">
        <f t="array" ref="AS81">_xlfn.IFS(AND($K81&gt;AR$7,$L81&gt;AR$7),0,AND($K81&lt;=AR$7,$L81&lt;=AR$7),1,AND($K81&lt;=AR$7,$L81&gt;AR$7),((AR$7-$K81)/($L81-$K81)))</f>
        <v>1</v>
      </c>
      <c r="AT81" s="226" cm="1">
        <f t="array" ref="AT81">_xlfn.IFS(AND($K81&gt;AS$7,$L81&gt;AS$7),0,AND($K81&lt;=AS$7,$L81&lt;=AS$7),1,AND($K81&lt;=AS$7,$L81&gt;AS$7),((AS$7-$K81)/($L81-$K81)))</f>
        <v>1</v>
      </c>
      <c r="AU81" s="226" cm="1">
        <f t="array" ref="AU81">_xlfn.IFS(AND($K81&gt;AT$7,$L81&gt;AT$7),0,AND($K81&lt;=AT$7,$L81&lt;=AT$7),1,AND($K81&lt;=AT$7,$L81&gt;AT$7),((AT$7-$K81)/($L81-$K81)))</f>
        <v>1</v>
      </c>
      <c r="AV81" s="226" cm="1">
        <f t="array" ref="AV81">_xlfn.IFS(AND($K81&gt;AU$7,$L81&gt;AU$7),0,AND($K81&lt;=AU$7,$L81&lt;=AU$7),1,AND($K81&lt;=AU$7,$L81&gt;AU$7),((AU$7-$K81)/($L81-$K81)))</f>
        <v>1</v>
      </c>
      <c r="AW81" s="226" cm="1">
        <f t="array" ref="AW81">_xlfn.IFS(AND($K81&gt;AV$7,$L81&gt;AV$7),0,AND($K81&lt;=AV$7,$L81&lt;=AV$7),1,AND($K81&lt;=AV$7,$L81&gt;AV$7),((AV$7-$K81)/($L81-$K81)))</f>
        <v>1</v>
      </c>
      <c r="AX81" s="226" cm="1">
        <f t="array" ref="AX81">_xlfn.IFS(AND($K81&gt;AW$7,$L81&gt;AW$7),0,AND($K81&lt;=AW$7,$L81&lt;=AW$7),1,AND($K81&lt;=AW$7,$L81&gt;AW$7),((AW$7-$K81)/($L81-$K81)))</f>
        <v>1</v>
      </c>
      <c r="AY81" s="226" cm="1">
        <f t="array" ref="AY81">_xlfn.IFS(AND($K81&gt;AX$7,$L81&gt;AX$7),0,AND($K81&lt;=AX$7,$L81&lt;=AX$7),1,AND($K81&lt;=AX$7,$L81&gt;AX$7),((AX$7-$K81)/($L81-$K81)))</f>
        <v>1</v>
      </c>
      <c r="AZ81" s="226" cm="1">
        <f t="array" ref="AZ81">_xlfn.IFS(AND($K81&gt;AY$7,$L81&gt;AY$7),0,AND($K81&lt;=AY$7,$L81&lt;=AY$7),1,AND($K81&lt;=AY$7,$L81&gt;AY$7),((AY$7-$K81)/($L81-$K81)))</f>
        <v>1</v>
      </c>
      <c r="BA81" s="226" cm="1">
        <f t="array" ref="BA81">_xlfn.IFS(AND($K81&gt;AZ$7,$L81&gt;AZ$7),0,AND($K81&lt;=AZ$7,$L81&lt;=AZ$7),1,AND($K81&lt;=AZ$7,$L81&gt;AZ$7),((AZ$7-$K81)/($L81-$K81)))</f>
        <v>1</v>
      </c>
      <c r="BB81" s="226" cm="1">
        <f t="array" ref="BB81">_xlfn.IFS(AND($K81&gt;BA$7,$L81&gt;BA$7),0,AND($K81&lt;=BA$7,$L81&lt;=BA$7),1,AND($K81&lt;=BA$7,$L81&gt;BA$7),((BA$7-$K81)/($L81-$K81)))</f>
        <v>1</v>
      </c>
      <c r="BC81" s="226" cm="1">
        <f t="array" ref="BC81">_xlfn.IFS(AND($K81&gt;BB$7,$L81&gt;BB$7),0,AND($K81&lt;=BB$7,$L81&lt;=BB$7),1,AND($K81&lt;=BB$7,$L81&gt;BB$7),((BB$7-$K81)/($L81-$K81)))</f>
        <v>1</v>
      </c>
      <c r="BD81" s="226" cm="1">
        <f t="array" ref="BD81">_xlfn.IFS(AND($K81&gt;BC$7,$L81&gt;BC$7),0,AND($K81&lt;=BC$7,$L81&lt;=BC$7),1,AND($K81&lt;=BC$7,$L81&gt;BC$7),((BC$7-$K81)/($L81-$K81)))</f>
        <v>1</v>
      </c>
      <c r="BE81" s="226" cm="1">
        <f t="array" ref="BE81">_xlfn.IFS(AND($K81&gt;BD$7,$L81&gt;BD$7),0,AND($K81&lt;=BD$7,$L81&lt;=BD$7),1,AND($K81&lt;=BD$7,$L81&gt;BD$7),((BD$7-$K81)/($L81-$K81)))</f>
        <v>1</v>
      </c>
      <c r="BF81" s="226" cm="1">
        <f t="array" ref="BF81">_xlfn.IFS(AND($K81&gt;BE$7,$L81&gt;BE$7),0,AND($K81&lt;=BE$7,$L81&lt;=BE$7),1,AND($K81&lt;=BE$7,$L81&gt;BE$7),((BE$7-$K81)/($L81-$K81)))</f>
        <v>1</v>
      </c>
      <c r="BG81" s="226" cm="1">
        <f t="array" ref="BG81">_xlfn.IFS(AND($K81&gt;BF$7,$L81&gt;BF$7),0,AND($K81&lt;=BF$7,$L81&lt;=BF$7),1,AND($K81&lt;=BF$7,$L81&gt;BF$7),((BF$7-$K81)/($L81-$K81)))</f>
        <v>1</v>
      </c>
      <c r="BH81">
        <f>Tab.plano6[[#This Row],[Data Término
Prevista]]-Tab.plano6[[#This Row],[Data Início
Previsto]]</f>
        <v>2</v>
      </c>
    </row>
    <row r="82" spans="1:60" s="163" customFormat="1" ht="18" hidden="1" customHeight="1" x14ac:dyDescent="0.3">
      <c r="A82" s="216"/>
      <c r="B82" s="216" t="s">
        <v>12</v>
      </c>
      <c r="C82" s="216" t="s">
        <v>200</v>
      </c>
      <c r="D82" s="249" t="s">
        <v>399</v>
      </c>
      <c r="E82" s="249" t="s">
        <v>422</v>
      </c>
      <c r="F82" s="249" t="s">
        <v>74</v>
      </c>
      <c r="G82" s="249" t="s">
        <v>74</v>
      </c>
      <c r="H82" s="252" t="s">
        <v>818</v>
      </c>
      <c r="I82" s="257">
        <f>I83</f>
        <v>46154</v>
      </c>
      <c r="J82" s="257">
        <f>J83</f>
        <v>46192</v>
      </c>
      <c r="K82" s="257">
        <f>K83</f>
        <v>46154</v>
      </c>
      <c r="L82" s="257">
        <f>L83</f>
        <v>46192</v>
      </c>
      <c r="M82" s="229" t="s">
        <v>428</v>
      </c>
      <c r="N82" s="227" t="str" cm="1">
        <f t="array" ref="N82">_xlfn.IFS(L82&lt;$M$3,"Concluído",AND(K82&lt;=$M$3,L82&gt;=$M$3,L82&lt;=J82),"Em andamento",AND(K82&lt;=$M$3,L82&gt;=$M$3,L82&gt;J82),"Atrasado",AND(K82&gt;$M$3,I82&gt;$M$3),"Não iniciado",AND(K82&gt;$M$3,I82&lt;=$M$3),"Atrasado",TRUE,"Não iniciado")</f>
        <v>Em andamento</v>
      </c>
      <c r="O82" s="229" cm="1">
        <f t="array" ref="O82">_xlfn.IFS(N82="Não iniciado",0,N82="Em andamento",1,N82="Concluído",2,N82="Atrasado",3)</f>
        <v>1</v>
      </c>
      <c r="P82" s="216"/>
      <c r="Q82" s="224">
        <f t="shared" ref="Q82:BG82" si="33">Q83</f>
        <v>0.5</v>
      </c>
      <c r="R82" s="224">
        <f t="shared" si="33"/>
        <v>0.5</v>
      </c>
      <c r="S82" s="224">
        <f t="shared" si="33"/>
        <v>0</v>
      </c>
      <c r="T82" s="224">
        <f t="shared" si="33"/>
        <v>0</v>
      </c>
      <c r="U82" s="224">
        <f t="shared" si="33"/>
        <v>0</v>
      </c>
      <c r="V82" s="224">
        <f t="shared" si="33"/>
        <v>0</v>
      </c>
      <c r="W82" s="224">
        <f t="shared" si="33"/>
        <v>0</v>
      </c>
      <c r="X82" s="224">
        <f t="shared" si="33"/>
        <v>0</v>
      </c>
      <c r="Y82" s="224">
        <f t="shared" si="33"/>
        <v>0</v>
      </c>
      <c r="Z82" s="224">
        <f t="shared" si="33"/>
        <v>0</v>
      </c>
      <c r="AA82" s="224">
        <f t="shared" si="33"/>
        <v>0.3737373737373737</v>
      </c>
      <c r="AB82" s="224">
        <f t="shared" si="33"/>
        <v>0.44444444444444442</v>
      </c>
      <c r="AC82" s="224">
        <f t="shared" si="33"/>
        <v>0.51515151515151514</v>
      </c>
      <c r="AD82" s="224">
        <f t="shared" si="33"/>
        <v>0.58585858585858586</v>
      </c>
      <c r="AE82" s="224">
        <f t="shared" si="33"/>
        <v>0.65656565656565657</v>
      </c>
      <c r="AF82" s="224">
        <f t="shared" si="33"/>
        <v>1</v>
      </c>
      <c r="AG82" s="224">
        <f t="shared" si="33"/>
        <v>1</v>
      </c>
      <c r="AH82" s="224">
        <f t="shared" si="33"/>
        <v>1</v>
      </c>
      <c r="AI82" s="224">
        <f t="shared" si="33"/>
        <v>1</v>
      </c>
      <c r="AJ82" s="224">
        <f t="shared" si="33"/>
        <v>1</v>
      </c>
      <c r="AK82" s="224">
        <f t="shared" si="33"/>
        <v>1</v>
      </c>
      <c r="AL82" s="224">
        <f t="shared" si="33"/>
        <v>1</v>
      </c>
      <c r="AM82" s="224">
        <f t="shared" si="33"/>
        <v>1</v>
      </c>
      <c r="AN82" s="224">
        <f t="shared" si="33"/>
        <v>1</v>
      </c>
      <c r="AO82" s="224">
        <f t="shared" si="33"/>
        <v>1</v>
      </c>
      <c r="AP82" s="224">
        <f t="shared" si="33"/>
        <v>1</v>
      </c>
      <c r="AQ82" s="224">
        <f t="shared" si="33"/>
        <v>1</v>
      </c>
      <c r="AR82" s="224">
        <f t="shared" si="33"/>
        <v>1</v>
      </c>
      <c r="AS82" s="224">
        <f t="shared" si="33"/>
        <v>1</v>
      </c>
      <c r="AT82" s="224">
        <f t="shared" si="33"/>
        <v>1</v>
      </c>
      <c r="AU82" s="224">
        <f t="shared" si="33"/>
        <v>1</v>
      </c>
      <c r="AV82" s="224">
        <f t="shared" si="33"/>
        <v>1</v>
      </c>
      <c r="AW82" s="224">
        <f t="shared" si="33"/>
        <v>1</v>
      </c>
      <c r="AX82" s="224">
        <f t="shared" si="33"/>
        <v>1</v>
      </c>
      <c r="AY82" s="224">
        <f t="shared" si="33"/>
        <v>1</v>
      </c>
      <c r="AZ82" s="224">
        <f t="shared" si="33"/>
        <v>1</v>
      </c>
      <c r="BA82" s="224">
        <f t="shared" si="33"/>
        <v>1</v>
      </c>
      <c r="BB82" s="224">
        <f t="shared" si="33"/>
        <v>1</v>
      </c>
      <c r="BC82" s="224">
        <f t="shared" si="33"/>
        <v>1</v>
      </c>
      <c r="BD82" s="224">
        <f t="shared" si="33"/>
        <v>1</v>
      </c>
      <c r="BE82" s="224">
        <f t="shared" si="33"/>
        <v>1</v>
      </c>
      <c r="BF82" s="224">
        <f t="shared" si="33"/>
        <v>1</v>
      </c>
      <c r="BG82" s="224">
        <f t="shared" si="33"/>
        <v>1</v>
      </c>
      <c r="BH82" s="163">
        <f>Tab.plano6[[#This Row],[Data Término
Prevista]]-Tab.plano6[[#This Row],[Data Início
Previsto]]</f>
        <v>38</v>
      </c>
    </row>
    <row r="83" spans="1:60" s="163" customFormat="1" ht="18" hidden="1" customHeight="1" x14ac:dyDescent="0.3">
      <c r="A83" s="218"/>
      <c r="B83" s="218" t="s">
        <v>13</v>
      </c>
      <c r="C83" s="218" t="s">
        <v>202</v>
      </c>
      <c r="D83" s="250" t="s">
        <v>399</v>
      </c>
      <c r="E83" s="250" t="s">
        <v>422</v>
      </c>
      <c r="F83" s="250" t="s">
        <v>427</v>
      </c>
      <c r="G83" s="250" t="s">
        <v>74</v>
      </c>
      <c r="H83" s="219" t="s">
        <v>427</v>
      </c>
      <c r="I83" s="258">
        <f>MIN(I84:I86)</f>
        <v>46154</v>
      </c>
      <c r="J83" s="258">
        <f>MAX(J84:J86)</f>
        <v>46192</v>
      </c>
      <c r="K83" s="258">
        <f>MIN(K84:K86)</f>
        <v>46154</v>
      </c>
      <c r="L83" s="258">
        <f>MAX(L84:L86)</f>
        <v>46192</v>
      </c>
      <c r="M83" s="230" t="s">
        <v>428</v>
      </c>
      <c r="N83" s="227" t="str" cm="1">
        <f t="array" ref="N83">_xlfn.IFS(L83&lt;$M$3,"Concluído",AND(K83&lt;=$M$3,L83&gt;=$M$3,L83&lt;=J83),"Em andamento",AND(K83&lt;=$M$3,L83&gt;=$M$3,L83&gt;J83),"Atrasado",AND(K83&gt;$M$3,I83&gt;$M$3),"Não iniciado",AND(K83&gt;$M$3,I83&lt;=$M$3),"Atrasado",TRUE,"Não iniciado")</f>
        <v>Em andamento</v>
      </c>
      <c r="O83" s="230" cm="1">
        <f t="array" ref="O83">_xlfn.IFS(N83="Não iniciado",0,N83="Em andamento",1,N83="Concluído",2,N83="Atrasado",3)</f>
        <v>1</v>
      </c>
      <c r="P83" s="218"/>
      <c r="Q83" s="225">
        <f t="shared" ref="Q83:BG83" si="34">AVERAGE(Q84:Q86)</f>
        <v>0.5</v>
      </c>
      <c r="R83" s="225">
        <f t="shared" si="34"/>
        <v>0.5</v>
      </c>
      <c r="S83" s="225">
        <f t="shared" si="34"/>
        <v>0</v>
      </c>
      <c r="T83" s="225">
        <f t="shared" si="34"/>
        <v>0</v>
      </c>
      <c r="U83" s="225">
        <f t="shared" si="34"/>
        <v>0</v>
      </c>
      <c r="V83" s="225">
        <f t="shared" si="34"/>
        <v>0</v>
      </c>
      <c r="W83" s="225">
        <f t="shared" si="34"/>
        <v>0</v>
      </c>
      <c r="X83" s="225">
        <f t="shared" si="34"/>
        <v>0</v>
      </c>
      <c r="Y83" s="225">
        <f t="shared" si="34"/>
        <v>0</v>
      </c>
      <c r="Z83" s="225">
        <f t="shared" si="34"/>
        <v>0</v>
      </c>
      <c r="AA83" s="225">
        <f t="shared" si="34"/>
        <v>0.3737373737373737</v>
      </c>
      <c r="AB83" s="225">
        <f t="shared" si="34"/>
        <v>0.44444444444444442</v>
      </c>
      <c r="AC83" s="225">
        <f t="shared" si="34"/>
        <v>0.51515151515151514</v>
      </c>
      <c r="AD83" s="225">
        <f t="shared" si="34"/>
        <v>0.58585858585858586</v>
      </c>
      <c r="AE83" s="225">
        <f t="shared" si="34"/>
        <v>0.65656565656565657</v>
      </c>
      <c r="AF83" s="225">
        <f t="shared" si="34"/>
        <v>1</v>
      </c>
      <c r="AG83" s="225">
        <f t="shared" si="34"/>
        <v>1</v>
      </c>
      <c r="AH83" s="225">
        <f t="shared" si="34"/>
        <v>1</v>
      </c>
      <c r="AI83" s="225">
        <f t="shared" si="34"/>
        <v>1</v>
      </c>
      <c r="AJ83" s="225">
        <f t="shared" si="34"/>
        <v>1</v>
      </c>
      <c r="AK83" s="225">
        <f t="shared" si="34"/>
        <v>1</v>
      </c>
      <c r="AL83" s="225">
        <f t="shared" si="34"/>
        <v>1</v>
      </c>
      <c r="AM83" s="225">
        <f t="shared" si="34"/>
        <v>1</v>
      </c>
      <c r="AN83" s="225">
        <f t="shared" si="34"/>
        <v>1</v>
      </c>
      <c r="AO83" s="225">
        <f t="shared" si="34"/>
        <v>1</v>
      </c>
      <c r="AP83" s="225">
        <f t="shared" si="34"/>
        <v>1</v>
      </c>
      <c r="AQ83" s="225">
        <f t="shared" si="34"/>
        <v>1</v>
      </c>
      <c r="AR83" s="225">
        <f t="shared" si="34"/>
        <v>1</v>
      </c>
      <c r="AS83" s="225">
        <f t="shared" si="34"/>
        <v>1</v>
      </c>
      <c r="AT83" s="225">
        <f t="shared" si="34"/>
        <v>1</v>
      </c>
      <c r="AU83" s="225">
        <f t="shared" si="34"/>
        <v>1</v>
      </c>
      <c r="AV83" s="225">
        <f t="shared" si="34"/>
        <v>1</v>
      </c>
      <c r="AW83" s="225">
        <f t="shared" si="34"/>
        <v>1</v>
      </c>
      <c r="AX83" s="225">
        <f t="shared" si="34"/>
        <v>1</v>
      </c>
      <c r="AY83" s="225">
        <f t="shared" si="34"/>
        <v>1</v>
      </c>
      <c r="AZ83" s="225">
        <f t="shared" si="34"/>
        <v>1</v>
      </c>
      <c r="BA83" s="225">
        <f t="shared" si="34"/>
        <v>1</v>
      </c>
      <c r="BB83" s="225">
        <f t="shared" si="34"/>
        <v>1</v>
      </c>
      <c r="BC83" s="225">
        <f t="shared" si="34"/>
        <v>1</v>
      </c>
      <c r="BD83" s="225">
        <f t="shared" si="34"/>
        <v>1</v>
      </c>
      <c r="BE83" s="225">
        <f t="shared" si="34"/>
        <v>1</v>
      </c>
      <c r="BF83" s="225">
        <f t="shared" si="34"/>
        <v>1</v>
      </c>
      <c r="BG83" s="225">
        <f t="shared" si="34"/>
        <v>1</v>
      </c>
      <c r="BH83" s="163">
        <f>Tab.plano6[[#This Row],[Data Término
Prevista]]-Tab.plano6[[#This Row],[Data Início
Previsto]]</f>
        <v>38</v>
      </c>
    </row>
    <row r="84" spans="1:60" s="163" customFormat="1" ht="18" hidden="1" customHeight="1" x14ac:dyDescent="0.3">
      <c r="A84" s="220"/>
      <c r="B84" s="220" t="s">
        <v>161</v>
      </c>
      <c r="C84" s="220" t="s">
        <v>203</v>
      </c>
      <c r="D84" s="251" t="s">
        <v>399</v>
      </c>
      <c r="E84" s="251" t="s">
        <v>422</v>
      </c>
      <c r="F84" s="251" t="s">
        <v>427</v>
      </c>
      <c r="G84" s="251" t="s">
        <v>427</v>
      </c>
      <c r="H84" s="221" t="s">
        <v>429</v>
      </c>
      <c r="I84" s="260">
        <v>46154</v>
      </c>
      <c r="J84" s="260">
        <v>46155</v>
      </c>
      <c r="K84" s="260">
        <v>46154</v>
      </c>
      <c r="L84" s="260">
        <v>46155</v>
      </c>
      <c r="M84" s="231" t="s">
        <v>428</v>
      </c>
      <c r="N84" s="227" t="str" cm="1">
        <f t="array" ref="N84">_xlfn.IFS(L84&lt;$M$3,"Concluído",AND(K84&lt;=$M$3,L84&gt;=$M$3,L84&lt;=J84),"Em andamento",AND(K84&lt;=$M$3,L84&gt;=$M$3,L84&gt;J84),"Atrasado",AND(K84&gt;$M$3,I84&gt;$M$3),"Não iniciado",AND(K84&gt;$M$3,I84&lt;=$M$3),"Atrasado",TRUE,"Não iniciado")</f>
        <v>Concluído</v>
      </c>
      <c r="O84" s="231" cm="1">
        <f t="array" ref="O84">_xlfn.IFS(N84="Não iniciado",0,N84="Em andamento",1,N84="Concluído",2,N84="Atrasado",3)</f>
        <v>2</v>
      </c>
      <c r="P84" s="220"/>
      <c r="Q84" s="226" cm="1">
        <f t="array" ref="Q84">_xlfn.IFS(AND($I84&lt;$M$3,$J84&lt;$M$3),1,AND($I84&lt;=$M$3,$J84&gt;=$M$3),0.5,AND($I84&gt;=$M$3,$J84&gt;=$M$3),0)</f>
        <v>1</v>
      </c>
      <c r="R84" s="226" cm="1">
        <f t="array" ref="R84">_xlfn.IFS(AND($K84&lt;$M$3,$L84&lt;$M$3),1,AND($K84&lt;=$M$3,$L84&gt;=$M$3),0.5,AND($K84&gt;=$M$3,$L84&gt;=$M$3),0)</f>
        <v>1</v>
      </c>
      <c r="S84" s="226" cm="1">
        <f t="array" ref="S84">_xlfn.IFS(AND($K84&gt;R$7,$L84&gt;R$7),0,AND($K84&lt;=R$7,$L84&lt;=R$7),1,AND($K84&lt;=R$7,$L84&gt;R$7),((R$7-$K84)/($L84-$K84)))</f>
        <v>0</v>
      </c>
      <c r="T84" s="226" cm="1">
        <f t="array" ref="T84">_xlfn.IFS(AND($K84&gt;S$7,$L84&gt;S$7),0,AND($K84&lt;=S$7,$L84&lt;=S$7),1,AND($K84&lt;=S$7,$L84&gt;S$7),((S$7-$K84)/($L84-$K84)))</f>
        <v>0</v>
      </c>
      <c r="U84" s="226" cm="1">
        <f t="array" ref="U84">_xlfn.IFS(AND($K84&gt;T$7,$L84&gt;T$7),0,AND($K84&lt;=T$7,$L84&lt;=T$7),1,AND($K84&lt;=T$7,$L84&gt;T$7),((T$7-$K84)/($L84-$K84)))</f>
        <v>0</v>
      </c>
      <c r="V84" s="226" cm="1">
        <f t="array" ref="V84">_xlfn.IFS(AND($K84&gt;U$7,$L84&gt;U$7),0,AND($K84&lt;=U$7,$L84&lt;=U$7),1,AND($K84&lt;=U$7,$L84&gt;U$7),((U$7-$K84)/($L84-$K84)))</f>
        <v>0</v>
      </c>
      <c r="W84" s="226" cm="1">
        <f t="array" ref="W84">_xlfn.IFS(AND($K84&gt;V$7,$L84&gt;V$7),0,AND($K84&lt;=V$7,$L84&lt;=V$7),1,AND($K84&lt;=V$7,$L84&gt;V$7),((V$7-$K84)/($L84-$K84)))</f>
        <v>0</v>
      </c>
      <c r="X84" s="226" cm="1">
        <f t="array" ref="X84">_xlfn.IFS(AND($K84&gt;W$7,$L84&gt;W$7),0,AND($K84&lt;=W$7,$L84&lt;=W$7),1,AND($K84&lt;=W$7,$L84&gt;W$7),((W$7-$K84)/($L84-$K84)))</f>
        <v>0</v>
      </c>
      <c r="Y84" s="226" cm="1">
        <f t="array" ref="Y84">_xlfn.IFS(AND($K84&gt;X$7,$L84&gt;X$7),0,AND($K84&lt;=X$7,$L84&lt;=X$7),1,AND($K84&lt;=X$7,$L84&gt;X$7),((X$7-$K84)/($L84-$K84)))</f>
        <v>0</v>
      </c>
      <c r="Z84" s="226" cm="1">
        <f t="array" ref="Z84">_xlfn.IFS(AND($K84&gt;Y$7,$L84&gt;Y$7),0,AND($K84&lt;=Y$7,$L84&lt;=Y$7),1,AND($K84&lt;=Y$7,$L84&gt;Y$7),((Y$7-$K84)/($L84-$K84)))</f>
        <v>0</v>
      </c>
      <c r="AA84" s="226" cm="1">
        <f t="array" ref="AA84">_xlfn.IFS(AND($K84&gt;Z$7,$L84&gt;Z$7),0,AND($K84&lt;=Z$7,$L84&lt;=Z$7),1,AND($K84&lt;=Z$7,$L84&gt;Z$7),((Z$7-$K84)/($L84-$K84)))</f>
        <v>1</v>
      </c>
      <c r="AB84" s="226" cm="1">
        <f t="array" ref="AB84">_xlfn.IFS(AND($K84&gt;AA$7,$L84&gt;AA$7),0,AND($K84&lt;=AA$7,$L84&lt;=AA$7),1,AND($K84&lt;=AA$7,$L84&gt;AA$7),((AA$7-$K84)/($L84-$K84)))</f>
        <v>1</v>
      </c>
      <c r="AC84" s="226" cm="1">
        <f t="array" ref="AC84">_xlfn.IFS(AND($K84&gt;AB$7,$L84&gt;AB$7),0,AND($K84&lt;=AB$7,$L84&lt;=AB$7),1,AND($K84&lt;=AB$7,$L84&gt;AB$7),((AB$7-$K84)/($L84-$K84)))</f>
        <v>1</v>
      </c>
      <c r="AD84" s="226" cm="1">
        <f t="array" ref="AD84">_xlfn.IFS(AND($K84&gt;AC$7,$L84&gt;AC$7),0,AND($K84&lt;=AC$7,$L84&lt;=AC$7),1,AND($K84&lt;=AC$7,$L84&gt;AC$7),((AC$7-$K84)/($L84-$K84)))</f>
        <v>1</v>
      </c>
      <c r="AE84" s="226" cm="1">
        <f t="array" ref="AE84">_xlfn.IFS(AND($K84&gt;AD$7,$L84&gt;AD$7),0,AND($K84&lt;=AD$7,$L84&lt;=AD$7),1,AND($K84&lt;=AD$7,$L84&gt;AD$7),((AD$7-$K84)/($L84-$K84)))</f>
        <v>1</v>
      </c>
      <c r="AF84" s="226" cm="1">
        <f t="array" ref="AF84">_xlfn.IFS(AND($K84&gt;AE$7,$L84&gt;AE$7),0,AND($K84&lt;=AE$7,$L84&lt;=AE$7),1,AND($K84&lt;=AE$7,$L84&gt;AE$7),((AE$7-$K84)/($L84-$K84)))</f>
        <v>1</v>
      </c>
      <c r="AG84" s="226" cm="1">
        <f t="array" ref="AG84">_xlfn.IFS(AND($K84&gt;AF$7,$L84&gt;AF$7),0,AND($K84&lt;=AF$7,$L84&lt;=AF$7),1,AND($K84&lt;=AF$7,$L84&gt;AF$7),((AF$7-$K84)/($L84-$K84)))</f>
        <v>1</v>
      </c>
      <c r="AH84" s="226" cm="1">
        <f t="array" ref="AH84">_xlfn.IFS(AND($K84&gt;AG$7,$L84&gt;AG$7),0,AND($K84&lt;=AG$7,$L84&lt;=AG$7),1,AND($K84&lt;=AG$7,$L84&gt;AG$7),((AG$7-$K84)/($L84-$K84)))</f>
        <v>1</v>
      </c>
      <c r="AI84" s="226" cm="1">
        <f t="array" ref="AI84">_xlfn.IFS(AND($K84&gt;AH$7,$L84&gt;AH$7),0,AND($K84&lt;=AH$7,$L84&lt;=AH$7),1,AND($K84&lt;=AH$7,$L84&gt;AH$7),((AH$7-$K84)/($L84-$K84)))</f>
        <v>1</v>
      </c>
      <c r="AJ84" s="226" cm="1">
        <f t="array" ref="AJ84">_xlfn.IFS(AND($K84&gt;AI$7,$L84&gt;AI$7),0,AND($K84&lt;=AI$7,$L84&lt;=AI$7),1,AND($K84&lt;=AI$7,$L84&gt;AI$7),((AI$7-$K84)/($L84-$K84)))</f>
        <v>1</v>
      </c>
      <c r="AK84" s="226" cm="1">
        <f t="array" ref="AK84">_xlfn.IFS(AND($K84&gt;AJ$7,$L84&gt;AJ$7),0,AND($K84&lt;=AJ$7,$L84&lt;=AJ$7),1,AND($K84&lt;=AJ$7,$L84&gt;AJ$7),((AJ$7-$K84)/($L84-$K84)))</f>
        <v>1</v>
      </c>
      <c r="AL84" s="226" cm="1">
        <f t="array" ref="AL84">_xlfn.IFS(AND($K84&gt;AK$7,$L84&gt;AK$7),0,AND($K84&lt;=AK$7,$L84&lt;=AK$7),1,AND($K84&lt;=AK$7,$L84&gt;AK$7),((AK$7-$K84)/($L84-$K84)))</f>
        <v>1</v>
      </c>
      <c r="AM84" s="226" cm="1">
        <f t="array" ref="AM84">_xlfn.IFS(AND($K84&gt;AL$7,$L84&gt;AL$7),0,AND($K84&lt;=AL$7,$L84&lt;=AL$7),1,AND($K84&lt;=AL$7,$L84&gt;AL$7),((AL$7-$K84)/($L84-$K84)))</f>
        <v>1</v>
      </c>
      <c r="AN84" s="226" cm="1">
        <f t="array" ref="AN84">_xlfn.IFS(AND($K84&gt;AM$7,$L84&gt;AM$7),0,AND($K84&lt;=AM$7,$L84&lt;=AM$7),1,AND($K84&lt;=AM$7,$L84&gt;AM$7),((AM$7-$K84)/($L84-$K84)))</f>
        <v>1</v>
      </c>
      <c r="AO84" s="226" cm="1">
        <f t="array" ref="AO84">_xlfn.IFS(AND($K84&gt;AN$7,$L84&gt;AN$7),0,AND($K84&lt;=AN$7,$L84&lt;=AN$7),1,AND($K84&lt;=AN$7,$L84&gt;AN$7),((AN$7-$K84)/($L84-$K84)))</f>
        <v>1</v>
      </c>
      <c r="AP84" s="226" cm="1">
        <f t="array" ref="AP84">_xlfn.IFS(AND($K84&gt;AO$7,$L84&gt;AO$7),0,AND($K84&lt;=AO$7,$L84&lt;=AO$7),1,AND($K84&lt;=AO$7,$L84&gt;AO$7),((AO$7-$K84)/($L84-$K84)))</f>
        <v>1</v>
      </c>
      <c r="AQ84" s="226" cm="1">
        <f t="array" ref="AQ84">_xlfn.IFS(AND($K84&gt;AP$7,$L84&gt;AP$7),0,AND($K84&lt;=AP$7,$L84&lt;=AP$7),1,AND($K84&lt;=AP$7,$L84&gt;AP$7),((AP$7-$K84)/($L84-$K84)))</f>
        <v>1</v>
      </c>
      <c r="AR84" s="226" cm="1">
        <f t="array" ref="AR84">_xlfn.IFS(AND($K84&gt;AQ$7,$L84&gt;AQ$7),0,AND($K84&lt;=AQ$7,$L84&lt;=AQ$7),1,AND($K84&lt;=AQ$7,$L84&gt;AQ$7),((AQ$7-$K84)/($L84-$K84)))</f>
        <v>1</v>
      </c>
      <c r="AS84" s="226" cm="1">
        <f t="array" ref="AS84">_xlfn.IFS(AND($K84&gt;AR$7,$L84&gt;AR$7),0,AND($K84&lt;=AR$7,$L84&lt;=AR$7),1,AND($K84&lt;=AR$7,$L84&gt;AR$7),((AR$7-$K84)/($L84-$K84)))</f>
        <v>1</v>
      </c>
      <c r="AT84" s="226" cm="1">
        <f t="array" ref="AT84">_xlfn.IFS(AND($K84&gt;AS$7,$L84&gt;AS$7),0,AND($K84&lt;=AS$7,$L84&lt;=AS$7),1,AND($K84&lt;=AS$7,$L84&gt;AS$7),((AS$7-$K84)/($L84-$K84)))</f>
        <v>1</v>
      </c>
      <c r="AU84" s="226" cm="1">
        <f t="array" ref="AU84">_xlfn.IFS(AND($K84&gt;AT$7,$L84&gt;AT$7),0,AND($K84&lt;=AT$7,$L84&lt;=AT$7),1,AND($K84&lt;=AT$7,$L84&gt;AT$7),((AT$7-$K84)/($L84-$K84)))</f>
        <v>1</v>
      </c>
      <c r="AV84" s="226" cm="1">
        <f t="array" ref="AV84">_xlfn.IFS(AND($K84&gt;AU$7,$L84&gt;AU$7),0,AND($K84&lt;=AU$7,$L84&lt;=AU$7),1,AND($K84&lt;=AU$7,$L84&gt;AU$7),((AU$7-$K84)/($L84-$K84)))</f>
        <v>1</v>
      </c>
      <c r="AW84" s="226" cm="1">
        <f t="array" ref="AW84">_xlfn.IFS(AND($K84&gt;AV$7,$L84&gt;AV$7),0,AND($K84&lt;=AV$7,$L84&lt;=AV$7),1,AND($K84&lt;=AV$7,$L84&gt;AV$7),((AV$7-$K84)/($L84-$K84)))</f>
        <v>1</v>
      </c>
      <c r="AX84" s="226" cm="1">
        <f t="array" ref="AX84">_xlfn.IFS(AND($K84&gt;AW$7,$L84&gt;AW$7),0,AND($K84&lt;=AW$7,$L84&lt;=AW$7),1,AND($K84&lt;=AW$7,$L84&gt;AW$7),((AW$7-$K84)/($L84-$K84)))</f>
        <v>1</v>
      </c>
      <c r="AY84" s="226" cm="1">
        <f t="array" ref="AY84">_xlfn.IFS(AND($K84&gt;AX$7,$L84&gt;AX$7),0,AND($K84&lt;=AX$7,$L84&lt;=AX$7),1,AND($K84&lt;=AX$7,$L84&gt;AX$7),((AX$7-$K84)/($L84-$K84)))</f>
        <v>1</v>
      </c>
      <c r="AZ84" s="226" cm="1">
        <f t="array" ref="AZ84">_xlfn.IFS(AND($K84&gt;AY$7,$L84&gt;AY$7),0,AND($K84&lt;=AY$7,$L84&lt;=AY$7),1,AND($K84&lt;=AY$7,$L84&gt;AY$7),((AY$7-$K84)/($L84-$K84)))</f>
        <v>1</v>
      </c>
      <c r="BA84" s="226" cm="1">
        <f t="array" ref="BA84">_xlfn.IFS(AND($K84&gt;AZ$7,$L84&gt;AZ$7),0,AND($K84&lt;=AZ$7,$L84&lt;=AZ$7),1,AND($K84&lt;=AZ$7,$L84&gt;AZ$7),((AZ$7-$K84)/($L84-$K84)))</f>
        <v>1</v>
      </c>
      <c r="BB84" s="226" cm="1">
        <f t="array" ref="BB84">_xlfn.IFS(AND($K84&gt;BA$7,$L84&gt;BA$7),0,AND($K84&lt;=BA$7,$L84&lt;=BA$7),1,AND($K84&lt;=BA$7,$L84&gt;BA$7),((BA$7-$K84)/($L84-$K84)))</f>
        <v>1</v>
      </c>
      <c r="BC84" s="226" cm="1">
        <f t="array" ref="BC84">_xlfn.IFS(AND($K84&gt;BB$7,$L84&gt;BB$7),0,AND($K84&lt;=BB$7,$L84&lt;=BB$7),1,AND($K84&lt;=BB$7,$L84&gt;BB$7),((BB$7-$K84)/($L84-$K84)))</f>
        <v>1</v>
      </c>
      <c r="BD84" s="226" cm="1">
        <f t="array" ref="BD84">_xlfn.IFS(AND($K84&gt;BC$7,$L84&gt;BC$7),0,AND($K84&lt;=BC$7,$L84&lt;=BC$7),1,AND($K84&lt;=BC$7,$L84&gt;BC$7),((BC$7-$K84)/($L84-$K84)))</f>
        <v>1</v>
      </c>
      <c r="BE84" s="226" cm="1">
        <f t="array" ref="BE84">_xlfn.IFS(AND($K84&gt;BD$7,$L84&gt;BD$7),0,AND($K84&lt;=BD$7,$L84&lt;=BD$7),1,AND($K84&lt;=BD$7,$L84&gt;BD$7),((BD$7-$K84)/($L84-$K84)))</f>
        <v>1</v>
      </c>
      <c r="BF84" s="226" cm="1">
        <f t="array" ref="BF84">_xlfn.IFS(AND($K84&gt;BE$7,$L84&gt;BE$7),0,AND($K84&lt;=BE$7,$L84&lt;=BE$7),1,AND($K84&lt;=BE$7,$L84&gt;BE$7),((BE$7-$K84)/($L84-$K84)))</f>
        <v>1</v>
      </c>
      <c r="BG84" s="226" cm="1">
        <f t="array" ref="BG84">_xlfn.IFS(AND($K84&gt;BF$7,$L84&gt;BF$7),0,AND($K84&lt;=BF$7,$L84&lt;=BF$7),1,AND($K84&lt;=BF$7,$L84&gt;BF$7),((BF$7-$K84)/($L84-$K84)))</f>
        <v>1</v>
      </c>
      <c r="BH84" s="163">
        <f>Tab.plano6[[#This Row],[Data Término
Prevista]]-Tab.plano6[[#This Row],[Data Início
Previsto]]</f>
        <v>1</v>
      </c>
    </row>
    <row r="85" spans="1:60" s="163" customFormat="1" ht="18" hidden="1" customHeight="1" x14ac:dyDescent="0.3">
      <c r="A85" s="220"/>
      <c r="B85" s="220" t="s">
        <v>161</v>
      </c>
      <c r="C85" s="220" t="s">
        <v>205</v>
      </c>
      <c r="D85" s="251" t="s">
        <v>399</v>
      </c>
      <c r="E85" s="251" t="s">
        <v>422</v>
      </c>
      <c r="F85" s="251" t="s">
        <v>427</v>
      </c>
      <c r="G85" s="251" t="s">
        <v>427</v>
      </c>
      <c r="H85" s="221" t="s">
        <v>430</v>
      </c>
      <c r="I85" s="260">
        <v>46156</v>
      </c>
      <c r="J85" s="260">
        <v>46189</v>
      </c>
      <c r="K85" s="260">
        <v>46156</v>
      </c>
      <c r="L85" s="260">
        <v>46189</v>
      </c>
      <c r="M85" s="231" t="s">
        <v>428</v>
      </c>
      <c r="N85" s="227" t="str" cm="1">
        <f t="array" ref="N85">_xlfn.IFS(L85&lt;$M$3,"Concluído",AND(K85&lt;=$M$3,L85&gt;=$M$3,L85&lt;=J85),"Em andamento",AND(K85&lt;=$M$3,L85&gt;=$M$3,L85&gt;J85),"Atrasado",AND(K85&gt;$M$3,I85&gt;$M$3),"Não iniciado",AND(K85&gt;$M$3,I85&lt;=$M$3),"Atrasado",TRUE,"Não iniciado")</f>
        <v>Em andamento</v>
      </c>
      <c r="O85" s="231" cm="1">
        <f t="array" ref="O85">_xlfn.IFS(N85="Não iniciado",0,N85="Em andamento",1,N85="Concluído",2,N85="Atrasado",3)</f>
        <v>1</v>
      </c>
      <c r="P85" s="220"/>
      <c r="Q85" s="226" cm="1">
        <f t="array" ref="Q85">_xlfn.IFS(AND($I85&lt;$M$3,$J85&lt;$M$3),1,AND($I85&lt;=$M$3,$J85&gt;=$M$3),0.5,AND($I85&gt;=$M$3,$J85&gt;=$M$3),0)</f>
        <v>0.5</v>
      </c>
      <c r="R85" s="226" cm="1">
        <f t="array" ref="R85">_xlfn.IFS(AND($K85&lt;$M$3,$L85&lt;$M$3),1,AND($K85&lt;=$M$3,$L85&gt;=$M$3),0.5,AND($K85&gt;=$M$3,$L85&gt;=$M$3),0)</f>
        <v>0.5</v>
      </c>
      <c r="S85" s="226" cm="1">
        <f t="array" ref="S85">_xlfn.IFS(AND($K85&gt;R$7,$L85&gt;R$7),0,AND($K85&lt;=R$7,$L85&lt;=R$7),1,AND($K85&lt;=R$7,$L85&gt;R$7),((R$7-$K85)/($L85-$K85)))</f>
        <v>0</v>
      </c>
      <c r="T85" s="226" cm="1">
        <f t="array" ref="T85">_xlfn.IFS(AND($K85&gt;S$7,$L85&gt;S$7),0,AND($K85&lt;=S$7,$L85&lt;=S$7),1,AND($K85&lt;=S$7,$L85&gt;S$7),((S$7-$K85)/($L85-$K85)))</f>
        <v>0</v>
      </c>
      <c r="U85" s="226" cm="1">
        <f t="array" ref="U85">_xlfn.IFS(AND($K85&gt;T$7,$L85&gt;T$7),0,AND($K85&lt;=T$7,$L85&lt;=T$7),1,AND($K85&lt;=T$7,$L85&gt;T$7),((T$7-$K85)/($L85-$K85)))</f>
        <v>0</v>
      </c>
      <c r="V85" s="226" cm="1">
        <f t="array" ref="V85">_xlfn.IFS(AND($K85&gt;U$7,$L85&gt;U$7),0,AND($K85&lt;=U$7,$L85&lt;=U$7),1,AND($K85&lt;=U$7,$L85&gt;U$7),((U$7-$K85)/($L85-$K85)))</f>
        <v>0</v>
      </c>
      <c r="W85" s="226" cm="1">
        <f t="array" ref="W85">_xlfn.IFS(AND($K85&gt;V$7,$L85&gt;V$7),0,AND($K85&lt;=V$7,$L85&lt;=V$7),1,AND($K85&lt;=V$7,$L85&gt;V$7),((V$7-$K85)/($L85-$K85)))</f>
        <v>0</v>
      </c>
      <c r="X85" s="226" cm="1">
        <f t="array" ref="X85">_xlfn.IFS(AND($K85&gt;W$7,$L85&gt;W$7),0,AND($K85&lt;=W$7,$L85&lt;=W$7),1,AND($K85&lt;=W$7,$L85&gt;W$7),((W$7-$K85)/($L85-$K85)))</f>
        <v>0</v>
      </c>
      <c r="Y85" s="226" cm="1">
        <f t="array" ref="Y85">_xlfn.IFS(AND($K85&gt;X$7,$L85&gt;X$7),0,AND($K85&lt;=X$7,$L85&lt;=X$7),1,AND($K85&lt;=X$7,$L85&gt;X$7),((X$7-$K85)/($L85-$K85)))</f>
        <v>0</v>
      </c>
      <c r="Z85" s="226" cm="1">
        <f t="array" ref="Z85">_xlfn.IFS(AND($K85&gt;Y$7,$L85&gt;Y$7),0,AND($K85&lt;=Y$7,$L85&lt;=Y$7),1,AND($K85&lt;=Y$7,$L85&gt;Y$7),((Y$7-$K85)/($L85-$K85)))</f>
        <v>0</v>
      </c>
      <c r="AA85" s="226" cm="1">
        <f t="array" ref="AA85">_xlfn.IFS(AND($K85&gt;Z$7,$L85&gt;Z$7),0,AND($K85&lt;=Z$7,$L85&lt;=Z$7),1,AND($K85&lt;=Z$7,$L85&gt;Z$7),((Z$7-$K85)/($L85-$K85)))</f>
        <v>0.12121212121212122</v>
      </c>
      <c r="AB85" s="226" cm="1">
        <f t="array" ref="AB85">_xlfn.IFS(AND($K85&gt;AA$7,$L85&gt;AA$7),0,AND($K85&lt;=AA$7,$L85&lt;=AA$7),1,AND($K85&lt;=AA$7,$L85&gt;AA$7),((AA$7-$K85)/($L85-$K85)))</f>
        <v>0.33333333333333331</v>
      </c>
      <c r="AC85" s="226" cm="1">
        <f t="array" ref="AC85">_xlfn.IFS(AND($K85&gt;AB$7,$L85&gt;AB$7),0,AND($K85&lt;=AB$7,$L85&lt;=AB$7),1,AND($K85&lt;=AB$7,$L85&gt;AB$7),((AB$7-$K85)/($L85-$K85)))</f>
        <v>0.54545454545454541</v>
      </c>
      <c r="AD85" s="226" cm="1">
        <f t="array" ref="AD85">_xlfn.IFS(AND($K85&gt;AC$7,$L85&gt;AC$7),0,AND($K85&lt;=AC$7,$L85&lt;=AC$7),1,AND($K85&lt;=AC$7,$L85&gt;AC$7),((AC$7-$K85)/($L85-$K85)))</f>
        <v>0.75757575757575757</v>
      </c>
      <c r="AE85" s="226" cm="1">
        <f t="array" ref="AE85">_xlfn.IFS(AND($K85&gt;AD$7,$L85&gt;AD$7),0,AND($K85&lt;=AD$7,$L85&lt;=AD$7),1,AND($K85&lt;=AD$7,$L85&gt;AD$7),((AD$7-$K85)/($L85-$K85)))</f>
        <v>0.96969696969696972</v>
      </c>
      <c r="AF85" s="226" cm="1">
        <f t="array" ref="AF85">_xlfn.IFS(AND($K85&gt;AE$7,$L85&gt;AE$7),0,AND($K85&lt;=AE$7,$L85&lt;=AE$7),1,AND($K85&lt;=AE$7,$L85&gt;AE$7),((AE$7-$K85)/($L85-$K85)))</f>
        <v>1</v>
      </c>
      <c r="AG85" s="226" cm="1">
        <f t="array" ref="AG85">_xlfn.IFS(AND($K85&gt;AF$7,$L85&gt;AF$7),0,AND($K85&lt;=AF$7,$L85&lt;=AF$7),1,AND($K85&lt;=AF$7,$L85&gt;AF$7),((AF$7-$K85)/($L85-$K85)))</f>
        <v>1</v>
      </c>
      <c r="AH85" s="226" cm="1">
        <f t="array" ref="AH85">_xlfn.IFS(AND($K85&gt;AG$7,$L85&gt;AG$7),0,AND($K85&lt;=AG$7,$L85&lt;=AG$7),1,AND($K85&lt;=AG$7,$L85&gt;AG$7),((AG$7-$K85)/($L85-$K85)))</f>
        <v>1</v>
      </c>
      <c r="AI85" s="226" cm="1">
        <f t="array" ref="AI85">_xlfn.IFS(AND($K85&gt;AH$7,$L85&gt;AH$7),0,AND($K85&lt;=AH$7,$L85&lt;=AH$7),1,AND($K85&lt;=AH$7,$L85&gt;AH$7),((AH$7-$K85)/($L85-$K85)))</f>
        <v>1</v>
      </c>
      <c r="AJ85" s="226" cm="1">
        <f t="array" ref="AJ85">_xlfn.IFS(AND($K85&gt;AI$7,$L85&gt;AI$7),0,AND($K85&lt;=AI$7,$L85&lt;=AI$7),1,AND($K85&lt;=AI$7,$L85&gt;AI$7),((AI$7-$K85)/($L85-$K85)))</f>
        <v>1</v>
      </c>
      <c r="AK85" s="226" cm="1">
        <f t="array" ref="AK85">_xlfn.IFS(AND($K85&gt;AJ$7,$L85&gt;AJ$7),0,AND($K85&lt;=AJ$7,$L85&lt;=AJ$7),1,AND($K85&lt;=AJ$7,$L85&gt;AJ$7),((AJ$7-$K85)/($L85-$K85)))</f>
        <v>1</v>
      </c>
      <c r="AL85" s="226" cm="1">
        <f t="array" ref="AL85">_xlfn.IFS(AND($K85&gt;AK$7,$L85&gt;AK$7),0,AND($K85&lt;=AK$7,$L85&lt;=AK$7),1,AND($K85&lt;=AK$7,$L85&gt;AK$7),((AK$7-$K85)/($L85-$K85)))</f>
        <v>1</v>
      </c>
      <c r="AM85" s="226" cm="1">
        <f t="array" ref="AM85">_xlfn.IFS(AND($K85&gt;AL$7,$L85&gt;AL$7),0,AND($K85&lt;=AL$7,$L85&lt;=AL$7),1,AND($K85&lt;=AL$7,$L85&gt;AL$7),((AL$7-$K85)/($L85-$K85)))</f>
        <v>1</v>
      </c>
      <c r="AN85" s="226" cm="1">
        <f t="array" ref="AN85">_xlfn.IFS(AND($K85&gt;AM$7,$L85&gt;AM$7),0,AND($K85&lt;=AM$7,$L85&lt;=AM$7),1,AND($K85&lt;=AM$7,$L85&gt;AM$7),((AM$7-$K85)/($L85-$K85)))</f>
        <v>1</v>
      </c>
      <c r="AO85" s="226" cm="1">
        <f t="array" ref="AO85">_xlfn.IFS(AND($K85&gt;AN$7,$L85&gt;AN$7),0,AND($K85&lt;=AN$7,$L85&lt;=AN$7),1,AND($K85&lt;=AN$7,$L85&gt;AN$7),((AN$7-$K85)/($L85-$K85)))</f>
        <v>1</v>
      </c>
      <c r="AP85" s="226" cm="1">
        <f t="array" ref="AP85">_xlfn.IFS(AND($K85&gt;AO$7,$L85&gt;AO$7),0,AND($K85&lt;=AO$7,$L85&lt;=AO$7),1,AND($K85&lt;=AO$7,$L85&gt;AO$7),((AO$7-$K85)/($L85-$K85)))</f>
        <v>1</v>
      </c>
      <c r="AQ85" s="226" cm="1">
        <f t="array" ref="AQ85">_xlfn.IFS(AND($K85&gt;AP$7,$L85&gt;AP$7),0,AND($K85&lt;=AP$7,$L85&lt;=AP$7),1,AND($K85&lt;=AP$7,$L85&gt;AP$7),((AP$7-$K85)/($L85-$K85)))</f>
        <v>1</v>
      </c>
      <c r="AR85" s="226" cm="1">
        <f t="array" ref="AR85">_xlfn.IFS(AND($K85&gt;AQ$7,$L85&gt;AQ$7),0,AND($K85&lt;=AQ$7,$L85&lt;=AQ$7),1,AND($K85&lt;=AQ$7,$L85&gt;AQ$7),((AQ$7-$K85)/($L85-$K85)))</f>
        <v>1</v>
      </c>
      <c r="AS85" s="226" cm="1">
        <f t="array" ref="AS85">_xlfn.IFS(AND($K85&gt;AR$7,$L85&gt;AR$7),0,AND($K85&lt;=AR$7,$L85&lt;=AR$7),1,AND($K85&lt;=AR$7,$L85&gt;AR$7),((AR$7-$K85)/($L85-$K85)))</f>
        <v>1</v>
      </c>
      <c r="AT85" s="226" cm="1">
        <f t="array" ref="AT85">_xlfn.IFS(AND($K85&gt;AS$7,$L85&gt;AS$7),0,AND($K85&lt;=AS$7,$L85&lt;=AS$7),1,AND($K85&lt;=AS$7,$L85&gt;AS$7),((AS$7-$K85)/($L85-$K85)))</f>
        <v>1</v>
      </c>
      <c r="AU85" s="226" cm="1">
        <f t="array" ref="AU85">_xlfn.IFS(AND($K85&gt;AT$7,$L85&gt;AT$7),0,AND($K85&lt;=AT$7,$L85&lt;=AT$7),1,AND($K85&lt;=AT$7,$L85&gt;AT$7),((AT$7-$K85)/($L85-$K85)))</f>
        <v>1</v>
      </c>
      <c r="AV85" s="226" cm="1">
        <f t="array" ref="AV85">_xlfn.IFS(AND($K85&gt;AU$7,$L85&gt;AU$7),0,AND($K85&lt;=AU$7,$L85&lt;=AU$7),1,AND($K85&lt;=AU$7,$L85&gt;AU$7),((AU$7-$K85)/($L85-$K85)))</f>
        <v>1</v>
      </c>
      <c r="AW85" s="226" cm="1">
        <f t="array" ref="AW85">_xlfn.IFS(AND($K85&gt;AV$7,$L85&gt;AV$7),0,AND($K85&lt;=AV$7,$L85&lt;=AV$7),1,AND($K85&lt;=AV$7,$L85&gt;AV$7),((AV$7-$K85)/($L85-$K85)))</f>
        <v>1</v>
      </c>
      <c r="AX85" s="226" cm="1">
        <f t="array" ref="AX85">_xlfn.IFS(AND($K85&gt;AW$7,$L85&gt;AW$7),0,AND($K85&lt;=AW$7,$L85&lt;=AW$7),1,AND($K85&lt;=AW$7,$L85&gt;AW$7),((AW$7-$K85)/($L85-$K85)))</f>
        <v>1</v>
      </c>
      <c r="AY85" s="226" cm="1">
        <f t="array" ref="AY85">_xlfn.IFS(AND($K85&gt;AX$7,$L85&gt;AX$7),0,AND($K85&lt;=AX$7,$L85&lt;=AX$7),1,AND($K85&lt;=AX$7,$L85&gt;AX$7),((AX$7-$K85)/($L85-$K85)))</f>
        <v>1</v>
      </c>
      <c r="AZ85" s="226" cm="1">
        <f t="array" ref="AZ85">_xlfn.IFS(AND($K85&gt;AY$7,$L85&gt;AY$7),0,AND($K85&lt;=AY$7,$L85&lt;=AY$7),1,AND($K85&lt;=AY$7,$L85&gt;AY$7),((AY$7-$K85)/($L85-$K85)))</f>
        <v>1</v>
      </c>
      <c r="BA85" s="226" cm="1">
        <f t="array" ref="BA85">_xlfn.IFS(AND($K85&gt;AZ$7,$L85&gt;AZ$7),0,AND($K85&lt;=AZ$7,$L85&lt;=AZ$7),1,AND($K85&lt;=AZ$7,$L85&gt;AZ$7),((AZ$7-$K85)/($L85-$K85)))</f>
        <v>1</v>
      </c>
      <c r="BB85" s="226" cm="1">
        <f t="array" ref="BB85">_xlfn.IFS(AND($K85&gt;BA$7,$L85&gt;BA$7),0,AND($K85&lt;=BA$7,$L85&lt;=BA$7),1,AND($K85&lt;=BA$7,$L85&gt;BA$7),((BA$7-$K85)/($L85-$K85)))</f>
        <v>1</v>
      </c>
      <c r="BC85" s="226" cm="1">
        <f t="array" ref="BC85">_xlfn.IFS(AND($K85&gt;BB$7,$L85&gt;BB$7),0,AND($K85&lt;=BB$7,$L85&lt;=BB$7),1,AND($K85&lt;=BB$7,$L85&gt;BB$7),((BB$7-$K85)/($L85-$K85)))</f>
        <v>1</v>
      </c>
      <c r="BD85" s="226" cm="1">
        <f t="array" ref="BD85">_xlfn.IFS(AND($K85&gt;BC$7,$L85&gt;BC$7),0,AND($K85&lt;=BC$7,$L85&lt;=BC$7),1,AND($K85&lt;=BC$7,$L85&gt;BC$7),((BC$7-$K85)/($L85-$K85)))</f>
        <v>1</v>
      </c>
      <c r="BE85" s="226" cm="1">
        <f t="array" ref="BE85">_xlfn.IFS(AND($K85&gt;BD$7,$L85&gt;BD$7),0,AND($K85&lt;=BD$7,$L85&lt;=BD$7),1,AND($K85&lt;=BD$7,$L85&gt;BD$7),((BD$7-$K85)/($L85-$K85)))</f>
        <v>1</v>
      </c>
      <c r="BF85" s="226" cm="1">
        <f t="array" ref="BF85">_xlfn.IFS(AND($K85&gt;BE$7,$L85&gt;BE$7),0,AND($K85&lt;=BE$7,$L85&lt;=BE$7),1,AND($K85&lt;=BE$7,$L85&gt;BE$7),((BE$7-$K85)/($L85-$K85)))</f>
        <v>1</v>
      </c>
      <c r="BG85" s="226" cm="1">
        <f t="array" ref="BG85">_xlfn.IFS(AND($K85&gt;BF$7,$L85&gt;BF$7),0,AND($K85&lt;=BF$7,$L85&lt;=BF$7),1,AND($K85&lt;=BF$7,$L85&gt;BF$7),((BF$7-$K85)/($L85-$K85)))</f>
        <v>1</v>
      </c>
      <c r="BH85" s="163">
        <f>Tab.plano6[[#This Row],[Data Término
Prevista]]-Tab.plano6[[#This Row],[Data Início
Previsto]]</f>
        <v>33</v>
      </c>
    </row>
    <row r="86" spans="1:60" s="163" customFormat="1" ht="18" hidden="1" customHeight="1" x14ac:dyDescent="0.3">
      <c r="A86" s="220"/>
      <c r="B86" s="220" t="s">
        <v>161</v>
      </c>
      <c r="C86" s="220" t="s">
        <v>207</v>
      </c>
      <c r="D86" s="251" t="s">
        <v>399</v>
      </c>
      <c r="E86" s="251" t="s">
        <v>422</v>
      </c>
      <c r="F86" s="251" t="s">
        <v>427</v>
      </c>
      <c r="G86" s="251" t="s">
        <v>427</v>
      </c>
      <c r="H86" s="246" t="s">
        <v>796</v>
      </c>
      <c r="I86" s="260">
        <v>46190</v>
      </c>
      <c r="J86" s="260">
        <v>46192</v>
      </c>
      <c r="K86" s="260">
        <v>46190</v>
      </c>
      <c r="L86" s="260">
        <v>46192</v>
      </c>
      <c r="M86" s="231" t="s">
        <v>428</v>
      </c>
      <c r="N86" s="227" t="str" cm="1">
        <f t="array" ref="N86">_xlfn.IFS(L86&lt;$M$3,"Concluído",AND(K86&lt;=$M$3,L86&gt;=$M$3,L86&lt;=J86),"Em andamento",AND(K86&lt;=$M$3,L86&gt;=$M$3,L86&gt;J86),"Atrasado",AND(K86&gt;$M$3,I86&gt;$M$3),"Não iniciado",AND(K86&gt;$M$3,I86&lt;=$M$3),"Atrasado",TRUE,"Não iniciado")</f>
        <v>Não iniciado</v>
      </c>
      <c r="O86" s="231" cm="1">
        <f t="array" ref="O86">_xlfn.IFS(N86="Não iniciado",0,N86="Em andamento",1,N86="Concluído",2,N86="Atrasado",3)</f>
        <v>0</v>
      </c>
      <c r="P86" s="220"/>
      <c r="Q86" s="226" cm="1">
        <f t="array" ref="Q86">_xlfn.IFS(AND($I86&lt;$M$3,$J86&lt;$M$3),1,AND($I86&lt;=$M$3,$J86&gt;=$M$3),0.5,AND($I86&gt;=$M$3,$J86&gt;=$M$3),0)</f>
        <v>0</v>
      </c>
      <c r="R86" s="226" cm="1">
        <f t="array" ref="R86">_xlfn.IFS(AND($K86&lt;$M$3,$L86&lt;$M$3),1,AND($K86&lt;=$M$3,$L86&gt;=$M$3),0.5,AND($K86&gt;=$M$3,$L86&gt;=$M$3),0)</f>
        <v>0</v>
      </c>
      <c r="S86" s="226" cm="1">
        <f t="array" ref="S86">_xlfn.IFS(AND($K86&gt;R$7,$L86&gt;R$7),0,AND($K86&lt;=R$7,$L86&lt;=R$7),1,AND($K86&lt;=R$7,$L86&gt;R$7),((R$7-$K86)/($L86-$K86)))</f>
        <v>0</v>
      </c>
      <c r="T86" s="226" cm="1">
        <f t="array" ref="T86">_xlfn.IFS(AND($K86&gt;S$7,$L86&gt;S$7),0,AND($K86&lt;=S$7,$L86&lt;=S$7),1,AND($K86&lt;=S$7,$L86&gt;S$7),((S$7-$K86)/($L86-$K86)))</f>
        <v>0</v>
      </c>
      <c r="U86" s="226" cm="1">
        <f t="array" ref="U86">_xlfn.IFS(AND($K86&gt;T$7,$L86&gt;T$7),0,AND($K86&lt;=T$7,$L86&lt;=T$7),1,AND($K86&lt;=T$7,$L86&gt;T$7),((T$7-$K86)/($L86-$K86)))</f>
        <v>0</v>
      </c>
      <c r="V86" s="226" cm="1">
        <f t="array" ref="V86">_xlfn.IFS(AND($K86&gt;U$7,$L86&gt;U$7),0,AND($K86&lt;=U$7,$L86&lt;=U$7),1,AND($K86&lt;=U$7,$L86&gt;U$7),((U$7-$K86)/($L86-$K86)))</f>
        <v>0</v>
      </c>
      <c r="W86" s="226" cm="1">
        <f t="array" ref="W86">_xlfn.IFS(AND($K86&gt;V$7,$L86&gt;V$7),0,AND($K86&lt;=V$7,$L86&lt;=V$7),1,AND($K86&lt;=V$7,$L86&gt;V$7),((V$7-$K86)/($L86-$K86)))</f>
        <v>0</v>
      </c>
      <c r="X86" s="226" cm="1">
        <f t="array" ref="X86">_xlfn.IFS(AND($K86&gt;W$7,$L86&gt;W$7),0,AND($K86&lt;=W$7,$L86&lt;=W$7),1,AND($K86&lt;=W$7,$L86&gt;W$7),((W$7-$K86)/($L86-$K86)))</f>
        <v>0</v>
      </c>
      <c r="Y86" s="226" cm="1">
        <f t="array" ref="Y86">_xlfn.IFS(AND($K86&gt;X$7,$L86&gt;X$7),0,AND($K86&lt;=X$7,$L86&lt;=X$7),1,AND($K86&lt;=X$7,$L86&gt;X$7),((X$7-$K86)/($L86-$K86)))</f>
        <v>0</v>
      </c>
      <c r="Z86" s="226" cm="1">
        <f t="array" ref="Z86">_xlfn.IFS(AND($K86&gt;Y$7,$L86&gt;Y$7),0,AND($K86&lt;=Y$7,$L86&lt;=Y$7),1,AND($K86&lt;=Y$7,$L86&gt;Y$7),((Y$7-$K86)/($L86-$K86)))</f>
        <v>0</v>
      </c>
      <c r="AA86" s="226" cm="1">
        <f t="array" ref="AA86">_xlfn.IFS(AND($K86&gt;Z$7,$L86&gt;Z$7),0,AND($K86&lt;=Z$7,$L86&lt;=Z$7),1,AND($K86&lt;=Z$7,$L86&gt;Z$7),((Z$7-$K86)/($L86-$K86)))</f>
        <v>0</v>
      </c>
      <c r="AB86" s="226" cm="1">
        <f t="array" ref="AB86">_xlfn.IFS(AND($K86&gt;AA$7,$L86&gt;AA$7),0,AND($K86&lt;=AA$7,$L86&lt;=AA$7),1,AND($K86&lt;=AA$7,$L86&gt;AA$7),((AA$7-$K86)/($L86-$K86)))</f>
        <v>0</v>
      </c>
      <c r="AC86" s="226" cm="1">
        <f t="array" ref="AC86">_xlfn.IFS(AND($K86&gt;AB$7,$L86&gt;AB$7),0,AND($K86&lt;=AB$7,$L86&lt;=AB$7),1,AND($K86&lt;=AB$7,$L86&gt;AB$7),((AB$7-$K86)/($L86-$K86)))</f>
        <v>0</v>
      </c>
      <c r="AD86" s="226" cm="1">
        <f t="array" ref="AD86">_xlfn.IFS(AND($K86&gt;AC$7,$L86&gt;AC$7),0,AND($K86&lt;=AC$7,$L86&lt;=AC$7),1,AND($K86&lt;=AC$7,$L86&gt;AC$7),((AC$7-$K86)/($L86-$K86)))</f>
        <v>0</v>
      </c>
      <c r="AE86" s="226" cm="1">
        <f t="array" ref="AE86">_xlfn.IFS(AND($K86&gt;AD$7,$L86&gt;AD$7),0,AND($K86&lt;=AD$7,$L86&lt;=AD$7),1,AND($K86&lt;=AD$7,$L86&gt;AD$7),((AD$7-$K86)/($L86-$K86)))</f>
        <v>0</v>
      </c>
      <c r="AF86" s="226" cm="1">
        <f t="array" ref="AF86">_xlfn.IFS(AND($K86&gt;AE$7,$L86&gt;AE$7),0,AND($K86&lt;=AE$7,$L86&lt;=AE$7),1,AND($K86&lt;=AE$7,$L86&gt;AE$7),((AE$7-$K86)/($L86-$K86)))</f>
        <v>1</v>
      </c>
      <c r="AG86" s="226" cm="1">
        <f t="array" ref="AG86">_xlfn.IFS(AND($K86&gt;AF$7,$L86&gt;AF$7),0,AND($K86&lt;=AF$7,$L86&lt;=AF$7),1,AND($K86&lt;=AF$7,$L86&gt;AF$7),((AF$7-$K86)/($L86-$K86)))</f>
        <v>1</v>
      </c>
      <c r="AH86" s="226" cm="1">
        <f t="array" ref="AH86">_xlfn.IFS(AND($K86&gt;AG$7,$L86&gt;AG$7),0,AND($K86&lt;=AG$7,$L86&lt;=AG$7),1,AND($K86&lt;=AG$7,$L86&gt;AG$7),((AG$7-$K86)/($L86-$K86)))</f>
        <v>1</v>
      </c>
      <c r="AI86" s="226" cm="1">
        <f t="array" ref="AI86">_xlfn.IFS(AND($K86&gt;AH$7,$L86&gt;AH$7),0,AND($K86&lt;=AH$7,$L86&lt;=AH$7),1,AND($K86&lt;=AH$7,$L86&gt;AH$7),((AH$7-$K86)/($L86-$K86)))</f>
        <v>1</v>
      </c>
      <c r="AJ86" s="226" cm="1">
        <f t="array" ref="AJ86">_xlfn.IFS(AND($K86&gt;AI$7,$L86&gt;AI$7),0,AND($K86&lt;=AI$7,$L86&lt;=AI$7),1,AND($K86&lt;=AI$7,$L86&gt;AI$7),((AI$7-$K86)/($L86-$K86)))</f>
        <v>1</v>
      </c>
      <c r="AK86" s="226" cm="1">
        <f t="array" ref="AK86">_xlfn.IFS(AND($K86&gt;AJ$7,$L86&gt;AJ$7),0,AND($K86&lt;=AJ$7,$L86&lt;=AJ$7),1,AND($K86&lt;=AJ$7,$L86&gt;AJ$7),((AJ$7-$K86)/($L86-$K86)))</f>
        <v>1</v>
      </c>
      <c r="AL86" s="226" cm="1">
        <f t="array" ref="AL86">_xlfn.IFS(AND($K86&gt;AK$7,$L86&gt;AK$7),0,AND($K86&lt;=AK$7,$L86&lt;=AK$7),1,AND($K86&lt;=AK$7,$L86&gt;AK$7),((AK$7-$K86)/($L86-$K86)))</f>
        <v>1</v>
      </c>
      <c r="AM86" s="226" cm="1">
        <f t="array" ref="AM86">_xlfn.IFS(AND($K86&gt;AL$7,$L86&gt;AL$7),0,AND($K86&lt;=AL$7,$L86&lt;=AL$7),1,AND($K86&lt;=AL$7,$L86&gt;AL$7),((AL$7-$K86)/($L86-$K86)))</f>
        <v>1</v>
      </c>
      <c r="AN86" s="226" cm="1">
        <f t="array" ref="AN86">_xlfn.IFS(AND($K86&gt;AM$7,$L86&gt;AM$7),0,AND($K86&lt;=AM$7,$L86&lt;=AM$7),1,AND($K86&lt;=AM$7,$L86&gt;AM$7),((AM$7-$K86)/($L86-$K86)))</f>
        <v>1</v>
      </c>
      <c r="AO86" s="226" cm="1">
        <f t="array" ref="AO86">_xlfn.IFS(AND($K86&gt;AN$7,$L86&gt;AN$7),0,AND($K86&lt;=AN$7,$L86&lt;=AN$7),1,AND($K86&lt;=AN$7,$L86&gt;AN$7),((AN$7-$K86)/($L86-$K86)))</f>
        <v>1</v>
      </c>
      <c r="AP86" s="226" cm="1">
        <f t="array" ref="AP86">_xlfn.IFS(AND($K86&gt;AO$7,$L86&gt;AO$7),0,AND($K86&lt;=AO$7,$L86&lt;=AO$7),1,AND($K86&lt;=AO$7,$L86&gt;AO$7),((AO$7-$K86)/($L86-$K86)))</f>
        <v>1</v>
      </c>
      <c r="AQ86" s="226" cm="1">
        <f t="array" ref="AQ86">_xlfn.IFS(AND($K86&gt;AP$7,$L86&gt;AP$7),0,AND($K86&lt;=AP$7,$L86&lt;=AP$7),1,AND($K86&lt;=AP$7,$L86&gt;AP$7),((AP$7-$K86)/($L86-$K86)))</f>
        <v>1</v>
      </c>
      <c r="AR86" s="226" cm="1">
        <f t="array" ref="AR86">_xlfn.IFS(AND($K86&gt;AQ$7,$L86&gt;AQ$7),0,AND($K86&lt;=AQ$7,$L86&lt;=AQ$7),1,AND($K86&lt;=AQ$7,$L86&gt;AQ$7),((AQ$7-$K86)/($L86-$K86)))</f>
        <v>1</v>
      </c>
      <c r="AS86" s="226" cm="1">
        <f t="array" ref="AS86">_xlfn.IFS(AND($K86&gt;AR$7,$L86&gt;AR$7),0,AND($K86&lt;=AR$7,$L86&lt;=AR$7),1,AND($K86&lt;=AR$7,$L86&gt;AR$7),((AR$7-$K86)/($L86-$K86)))</f>
        <v>1</v>
      </c>
      <c r="AT86" s="226" cm="1">
        <f t="array" ref="AT86">_xlfn.IFS(AND($K86&gt;AS$7,$L86&gt;AS$7),0,AND($K86&lt;=AS$7,$L86&lt;=AS$7),1,AND($K86&lt;=AS$7,$L86&gt;AS$7),((AS$7-$K86)/($L86-$K86)))</f>
        <v>1</v>
      </c>
      <c r="AU86" s="226" cm="1">
        <f t="array" ref="AU86">_xlfn.IFS(AND($K86&gt;AT$7,$L86&gt;AT$7),0,AND($K86&lt;=AT$7,$L86&lt;=AT$7),1,AND($K86&lt;=AT$7,$L86&gt;AT$7),((AT$7-$K86)/($L86-$K86)))</f>
        <v>1</v>
      </c>
      <c r="AV86" s="226" cm="1">
        <f t="array" ref="AV86">_xlfn.IFS(AND($K86&gt;AU$7,$L86&gt;AU$7),0,AND($K86&lt;=AU$7,$L86&lt;=AU$7),1,AND($K86&lt;=AU$7,$L86&gt;AU$7),((AU$7-$K86)/($L86-$K86)))</f>
        <v>1</v>
      </c>
      <c r="AW86" s="226" cm="1">
        <f t="array" ref="AW86">_xlfn.IFS(AND($K86&gt;AV$7,$L86&gt;AV$7),0,AND($K86&lt;=AV$7,$L86&lt;=AV$7),1,AND($K86&lt;=AV$7,$L86&gt;AV$7),((AV$7-$K86)/($L86-$K86)))</f>
        <v>1</v>
      </c>
      <c r="AX86" s="226" cm="1">
        <f t="array" ref="AX86">_xlfn.IFS(AND($K86&gt;AW$7,$L86&gt;AW$7),0,AND($K86&lt;=AW$7,$L86&lt;=AW$7),1,AND($K86&lt;=AW$7,$L86&gt;AW$7),((AW$7-$K86)/($L86-$K86)))</f>
        <v>1</v>
      </c>
      <c r="AY86" s="226" cm="1">
        <f t="array" ref="AY86">_xlfn.IFS(AND($K86&gt;AX$7,$L86&gt;AX$7),0,AND($K86&lt;=AX$7,$L86&lt;=AX$7),1,AND($K86&lt;=AX$7,$L86&gt;AX$7),((AX$7-$K86)/($L86-$K86)))</f>
        <v>1</v>
      </c>
      <c r="AZ86" s="226" cm="1">
        <f t="array" ref="AZ86">_xlfn.IFS(AND($K86&gt;AY$7,$L86&gt;AY$7),0,AND($K86&lt;=AY$7,$L86&lt;=AY$7),1,AND($K86&lt;=AY$7,$L86&gt;AY$7),((AY$7-$K86)/($L86-$K86)))</f>
        <v>1</v>
      </c>
      <c r="BA86" s="226" cm="1">
        <f t="array" ref="BA86">_xlfn.IFS(AND($K86&gt;AZ$7,$L86&gt;AZ$7),0,AND($K86&lt;=AZ$7,$L86&lt;=AZ$7),1,AND($K86&lt;=AZ$7,$L86&gt;AZ$7),((AZ$7-$K86)/($L86-$K86)))</f>
        <v>1</v>
      </c>
      <c r="BB86" s="226" cm="1">
        <f t="array" ref="BB86">_xlfn.IFS(AND($K86&gt;BA$7,$L86&gt;BA$7),0,AND($K86&lt;=BA$7,$L86&lt;=BA$7),1,AND($K86&lt;=BA$7,$L86&gt;BA$7),((BA$7-$K86)/($L86-$K86)))</f>
        <v>1</v>
      </c>
      <c r="BC86" s="226" cm="1">
        <f t="array" ref="BC86">_xlfn.IFS(AND($K86&gt;BB$7,$L86&gt;BB$7),0,AND($K86&lt;=BB$7,$L86&lt;=BB$7),1,AND($K86&lt;=BB$7,$L86&gt;BB$7),((BB$7-$K86)/($L86-$K86)))</f>
        <v>1</v>
      </c>
      <c r="BD86" s="226" cm="1">
        <f t="array" ref="BD86">_xlfn.IFS(AND($K86&gt;BC$7,$L86&gt;BC$7),0,AND($K86&lt;=BC$7,$L86&lt;=BC$7),1,AND($K86&lt;=BC$7,$L86&gt;BC$7),((BC$7-$K86)/($L86-$K86)))</f>
        <v>1</v>
      </c>
      <c r="BE86" s="226" cm="1">
        <f t="array" ref="BE86">_xlfn.IFS(AND($K86&gt;BD$7,$L86&gt;BD$7),0,AND($K86&lt;=BD$7,$L86&lt;=BD$7),1,AND($K86&lt;=BD$7,$L86&gt;BD$7),((BD$7-$K86)/($L86-$K86)))</f>
        <v>1</v>
      </c>
      <c r="BF86" s="226" cm="1">
        <f t="array" ref="BF86">_xlfn.IFS(AND($K86&gt;BE$7,$L86&gt;BE$7),0,AND($K86&lt;=BE$7,$L86&lt;=BE$7),1,AND($K86&lt;=BE$7,$L86&gt;BE$7),((BE$7-$K86)/($L86-$K86)))</f>
        <v>1</v>
      </c>
      <c r="BG86" s="226" cm="1">
        <f t="array" ref="BG86">_xlfn.IFS(AND($K86&gt;BF$7,$L86&gt;BF$7),0,AND($K86&lt;=BF$7,$L86&lt;=BF$7),1,AND($K86&lt;=BF$7,$L86&gt;BF$7),((BF$7-$K86)/($L86-$K86)))</f>
        <v>1</v>
      </c>
      <c r="BH86" s="163">
        <f>Tab.plano6[[#This Row],[Data Término
Prevista]]-Tab.plano6[[#This Row],[Data Início
Previsto]]</f>
        <v>2</v>
      </c>
    </row>
    <row r="87" spans="1:60" s="163" customFormat="1" ht="18" hidden="1" customHeight="1" x14ac:dyDescent="0.3">
      <c r="A87" s="216"/>
      <c r="B87" s="216" t="s">
        <v>12</v>
      </c>
      <c r="C87" s="216" t="s">
        <v>565</v>
      </c>
      <c r="D87" s="249" t="s">
        <v>399</v>
      </c>
      <c r="E87" s="249" t="s">
        <v>422</v>
      </c>
      <c r="F87" s="249" t="s">
        <v>74</v>
      </c>
      <c r="G87" s="249" t="s">
        <v>74</v>
      </c>
      <c r="H87" s="217" t="s">
        <v>830</v>
      </c>
      <c r="I87" s="257">
        <f>I88</f>
        <v>46164</v>
      </c>
      <c r="J87" s="257">
        <f>J88</f>
        <v>46190</v>
      </c>
      <c r="K87" s="257">
        <f>K88</f>
        <v>46164</v>
      </c>
      <c r="L87" s="257">
        <f>L88</f>
        <v>46190</v>
      </c>
      <c r="M87" s="229" t="s">
        <v>488</v>
      </c>
      <c r="N87" s="227" t="str" cm="1">
        <f t="array" ref="N87">_xlfn.IFS(L87&lt;$M$3,"Concluído",AND(K87&lt;=$M$3,L87&gt;=$M$3,L87&lt;=J87),"Em andamento",AND(K87&lt;=$M$3,L87&gt;=$M$3,L87&gt;J87),"Atrasado",AND(K87&gt;$M$3,I87&gt;$M$3),"Não iniciado",AND(K87&gt;$M$3,I87&lt;=$M$3),"Atrasado",TRUE,"Não iniciado")</f>
        <v>Em andamento</v>
      </c>
      <c r="O87" s="229" cm="1">
        <f t="array" ref="O87">_xlfn.IFS(N87="Não iniciado",0,N87="Em andamento",1,N87="Concluído",2,N87="Atrasado",3)</f>
        <v>1</v>
      </c>
      <c r="P87" s="216"/>
      <c r="Q87" s="224">
        <f t="shared" ref="Q87:BG87" si="35">Q88</f>
        <v>0.16666666666666666</v>
      </c>
      <c r="R87" s="224">
        <f t="shared" si="35"/>
        <v>0.16666666666666666</v>
      </c>
      <c r="S87" s="224">
        <f t="shared" si="35"/>
        <v>0</v>
      </c>
      <c r="T87" s="224">
        <f t="shared" si="35"/>
        <v>0</v>
      </c>
      <c r="U87" s="224">
        <f t="shared" si="35"/>
        <v>0</v>
      </c>
      <c r="V87" s="224">
        <f t="shared" si="35"/>
        <v>0</v>
      </c>
      <c r="W87" s="224">
        <f t="shared" si="35"/>
        <v>0</v>
      </c>
      <c r="X87" s="224">
        <f t="shared" si="35"/>
        <v>0</v>
      </c>
      <c r="Y87" s="224">
        <f t="shared" si="35"/>
        <v>0</v>
      </c>
      <c r="Z87" s="224">
        <f t="shared" si="35"/>
        <v>0</v>
      </c>
      <c r="AA87" s="224">
        <f t="shared" si="35"/>
        <v>0</v>
      </c>
      <c r="AB87" s="224">
        <f t="shared" si="35"/>
        <v>0.33333333333333331</v>
      </c>
      <c r="AC87" s="224">
        <f t="shared" si="35"/>
        <v>0.45098039215686275</v>
      </c>
      <c r="AD87" s="224">
        <f t="shared" si="35"/>
        <v>0.58823529411764708</v>
      </c>
      <c r="AE87" s="224">
        <f t="shared" si="35"/>
        <v>0.66666666666666663</v>
      </c>
      <c r="AF87" s="224">
        <f t="shared" si="35"/>
        <v>1</v>
      </c>
      <c r="AG87" s="224">
        <f t="shared" si="35"/>
        <v>1</v>
      </c>
      <c r="AH87" s="224">
        <f t="shared" si="35"/>
        <v>1</v>
      </c>
      <c r="AI87" s="224">
        <f t="shared" si="35"/>
        <v>1</v>
      </c>
      <c r="AJ87" s="224">
        <f t="shared" si="35"/>
        <v>1</v>
      </c>
      <c r="AK87" s="224">
        <f t="shared" si="35"/>
        <v>1</v>
      </c>
      <c r="AL87" s="224">
        <f t="shared" si="35"/>
        <v>1</v>
      </c>
      <c r="AM87" s="224">
        <f t="shared" si="35"/>
        <v>1</v>
      </c>
      <c r="AN87" s="224">
        <f t="shared" si="35"/>
        <v>1</v>
      </c>
      <c r="AO87" s="224">
        <f t="shared" si="35"/>
        <v>1</v>
      </c>
      <c r="AP87" s="224">
        <f t="shared" si="35"/>
        <v>1</v>
      </c>
      <c r="AQ87" s="224">
        <f t="shared" si="35"/>
        <v>1</v>
      </c>
      <c r="AR87" s="224">
        <f t="shared" si="35"/>
        <v>1</v>
      </c>
      <c r="AS87" s="224">
        <f t="shared" si="35"/>
        <v>1</v>
      </c>
      <c r="AT87" s="224">
        <f t="shared" si="35"/>
        <v>1</v>
      </c>
      <c r="AU87" s="224">
        <f t="shared" si="35"/>
        <v>1</v>
      </c>
      <c r="AV87" s="224">
        <f t="shared" si="35"/>
        <v>1</v>
      </c>
      <c r="AW87" s="224">
        <f t="shared" si="35"/>
        <v>1</v>
      </c>
      <c r="AX87" s="224">
        <f t="shared" si="35"/>
        <v>1</v>
      </c>
      <c r="AY87" s="224">
        <f t="shared" si="35"/>
        <v>1</v>
      </c>
      <c r="AZ87" s="224">
        <f t="shared" si="35"/>
        <v>1</v>
      </c>
      <c r="BA87" s="224">
        <f t="shared" si="35"/>
        <v>1</v>
      </c>
      <c r="BB87" s="224">
        <f t="shared" si="35"/>
        <v>1</v>
      </c>
      <c r="BC87" s="224">
        <f t="shared" si="35"/>
        <v>1</v>
      </c>
      <c r="BD87" s="224">
        <f t="shared" si="35"/>
        <v>1</v>
      </c>
      <c r="BE87" s="224">
        <f t="shared" si="35"/>
        <v>1</v>
      </c>
      <c r="BF87" s="224">
        <f t="shared" si="35"/>
        <v>1</v>
      </c>
      <c r="BG87" s="224">
        <f t="shared" si="35"/>
        <v>1</v>
      </c>
      <c r="BH87">
        <f>Tab.plano6[[#This Row],[Data Término
Prevista]]-Tab.plano6[[#This Row],[Data Início
Previsto]]</f>
        <v>26</v>
      </c>
    </row>
    <row r="88" spans="1:60" customFormat="1" ht="18" hidden="1" customHeight="1" x14ac:dyDescent="0.3">
      <c r="A88" s="218"/>
      <c r="B88" s="218" t="s">
        <v>13</v>
      </c>
      <c r="C88" s="218" t="s">
        <v>567</v>
      </c>
      <c r="D88" s="250" t="s">
        <v>399</v>
      </c>
      <c r="E88" s="250" t="s">
        <v>422</v>
      </c>
      <c r="F88" s="250" t="s">
        <v>566</v>
      </c>
      <c r="G88" s="250" t="s">
        <v>74</v>
      </c>
      <c r="H88" s="219" t="s">
        <v>542</v>
      </c>
      <c r="I88" s="258">
        <f>MIN(I89:I91)</f>
        <v>46164</v>
      </c>
      <c r="J88" s="258">
        <f>MAX(J89:J91)</f>
        <v>46190</v>
      </c>
      <c r="K88" s="258">
        <f>MIN(K89:K91)</f>
        <v>46164</v>
      </c>
      <c r="L88" s="258">
        <f>MAX(L89:L91)</f>
        <v>46190</v>
      </c>
      <c r="M88" s="230" t="s">
        <v>488</v>
      </c>
      <c r="N88" s="227" t="str" cm="1">
        <f t="array" ref="N88">_xlfn.IFS(L88&lt;$M$3,"Concluído",AND(K88&lt;=$M$3,L88&gt;=$M$3,L88&lt;=J88),"Em andamento",AND(K88&lt;=$M$3,L88&gt;=$M$3,L88&gt;J88),"Atrasado",AND(K88&gt;$M$3,I88&gt;$M$3),"Não iniciado",AND(K88&gt;$M$3,I88&lt;=$M$3),"Atrasado",TRUE,"Não iniciado")</f>
        <v>Em andamento</v>
      </c>
      <c r="O88" s="230" cm="1">
        <f t="array" ref="O88">_xlfn.IFS(N88="Não iniciado",0,N88="Em andamento",1,N88="Concluído",2,N88="Atrasado",3)</f>
        <v>1</v>
      </c>
      <c r="P88" s="218"/>
      <c r="Q88" s="225">
        <f t="shared" ref="Q88:BG88" si="36">AVERAGE(Q89:Q91)</f>
        <v>0.16666666666666666</v>
      </c>
      <c r="R88" s="225">
        <f t="shared" si="36"/>
        <v>0.16666666666666666</v>
      </c>
      <c r="S88" s="225">
        <f t="shared" si="36"/>
        <v>0</v>
      </c>
      <c r="T88" s="225">
        <f t="shared" si="36"/>
        <v>0</v>
      </c>
      <c r="U88" s="225">
        <f t="shared" si="36"/>
        <v>0</v>
      </c>
      <c r="V88" s="225">
        <f t="shared" si="36"/>
        <v>0</v>
      </c>
      <c r="W88" s="225">
        <f t="shared" si="36"/>
        <v>0</v>
      </c>
      <c r="X88" s="225">
        <f t="shared" si="36"/>
        <v>0</v>
      </c>
      <c r="Y88" s="225">
        <f t="shared" si="36"/>
        <v>0</v>
      </c>
      <c r="Z88" s="225">
        <f t="shared" si="36"/>
        <v>0</v>
      </c>
      <c r="AA88" s="225">
        <f t="shared" si="36"/>
        <v>0</v>
      </c>
      <c r="AB88" s="225">
        <f t="shared" si="36"/>
        <v>0.33333333333333331</v>
      </c>
      <c r="AC88" s="225">
        <f t="shared" si="36"/>
        <v>0.45098039215686275</v>
      </c>
      <c r="AD88" s="225">
        <f t="shared" si="36"/>
        <v>0.58823529411764708</v>
      </c>
      <c r="AE88" s="225">
        <f t="shared" si="36"/>
        <v>0.66666666666666663</v>
      </c>
      <c r="AF88" s="225">
        <f t="shared" si="36"/>
        <v>1</v>
      </c>
      <c r="AG88" s="225">
        <f t="shared" si="36"/>
        <v>1</v>
      </c>
      <c r="AH88" s="225">
        <f t="shared" si="36"/>
        <v>1</v>
      </c>
      <c r="AI88" s="225">
        <f t="shared" si="36"/>
        <v>1</v>
      </c>
      <c r="AJ88" s="225">
        <f t="shared" si="36"/>
        <v>1</v>
      </c>
      <c r="AK88" s="225">
        <f t="shared" si="36"/>
        <v>1</v>
      </c>
      <c r="AL88" s="225">
        <f t="shared" si="36"/>
        <v>1</v>
      </c>
      <c r="AM88" s="225">
        <f t="shared" si="36"/>
        <v>1</v>
      </c>
      <c r="AN88" s="225">
        <f t="shared" si="36"/>
        <v>1</v>
      </c>
      <c r="AO88" s="225">
        <f t="shared" si="36"/>
        <v>1</v>
      </c>
      <c r="AP88" s="225">
        <f t="shared" si="36"/>
        <v>1</v>
      </c>
      <c r="AQ88" s="225">
        <f t="shared" si="36"/>
        <v>1</v>
      </c>
      <c r="AR88" s="225">
        <f t="shared" si="36"/>
        <v>1</v>
      </c>
      <c r="AS88" s="225">
        <f t="shared" si="36"/>
        <v>1</v>
      </c>
      <c r="AT88" s="225">
        <f t="shared" si="36"/>
        <v>1</v>
      </c>
      <c r="AU88" s="225">
        <f t="shared" si="36"/>
        <v>1</v>
      </c>
      <c r="AV88" s="225">
        <f t="shared" si="36"/>
        <v>1</v>
      </c>
      <c r="AW88" s="225">
        <f t="shared" si="36"/>
        <v>1</v>
      </c>
      <c r="AX88" s="225">
        <f t="shared" si="36"/>
        <v>1</v>
      </c>
      <c r="AY88" s="225">
        <f t="shared" si="36"/>
        <v>1</v>
      </c>
      <c r="AZ88" s="225">
        <f t="shared" si="36"/>
        <v>1</v>
      </c>
      <c r="BA88" s="225">
        <f t="shared" si="36"/>
        <v>1</v>
      </c>
      <c r="BB88" s="225">
        <f t="shared" si="36"/>
        <v>1</v>
      </c>
      <c r="BC88" s="225">
        <f t="shared" si="36"/>
        <v>1</v>
      </c>
      <c r="BD88" s="225">
        <f t="shared" si="36"/>
        <v>1</v>
      </c>
      <c r="BE88" s="225">
        <f t="shared" si="36"/>
        <v>1</v>
      </c>
      <c r="BF88" s="225">
        <f t="shared" si="36"/>
        <v>1</v>
      </c>
      <c r="BG88" s="225">
        <f t="shared" si="36"/>
        <v>1</v>
      </c>
      <c r="BH88">
        <f>Tab.plano6[[#This Row],[Data Término
Prevista]]-Tab.plano6[[#This Row],[Data Início
Previsto]]</f>
        <v>26</v>
      </c>
    </row>
    <row r="89" spans="1:60" customFormat="1" ht="18" hidden="1" customHeight="1" x14ac:dyDescent="0.3">
      <c r="A89" s="220"/>
      <c r="B89" s="220" t="s">
        <v>161</v>
      </c>
      <c r="C89" s="220" t="s">
        <v>568</v>
      </c>
      <c r="D89" s="251" t="s">
        <v>399</v>
      </c>
      <c r="E89" s="251" t="s">
        <v>422</v>
      </c>
      <c r="F89" s="251" t="s">
        <v>566</v>
      </c>
      <c r="G89" s="251" t="s">
        <v>566</v>
      </c>
      <c r="H89" s="221" t="s">
        <v>545</v>
      </c>
      <c r="I89" s="260">
        <v>46164</v>
      </c>
      <c r="J89" s="260">
        <v>46167</v>
      </c>
      <c r="K89" s="260">
        <v>46164</v>
      </c>
      <c r="L89" s="260">
        <v>46167</v>
      </c>
      <c r="M89" s="231" t="s">
        <v>488</v>
      </c>
      <c r="N89" s="227" t="str" cm="1">
        <f t="array" ref="N89">_xlfn.IFS(L89&lt;$M$3,"Concluído",AND(K89&lt;=$M$3,L89&gt;=$M$3,L89&lt;=J89),"Em andamento",AND(K89&lt;=$M$3,L89&gt;=$M$3,L89&gt;J89),"Atrasado",AND(K89&gt;$M$3,I89&gt;$M$3),"Não iniciado",AND(K89&gt;$M$3,I89&lt;=$M$3),"Atrasado",TRUE,"Não iniciado")</f>
        <v>Em andamento</v>
      </c>
      <c r="O89" s="231" cm="1">
        <f t="array" ref="O89">_xlfn.IFS(N89="Não iniciado",0,N89="Em andamento",1,N89="Concluído",2,N89="Atrasado",3)</f>
        <v>1</v>
      </c>
      <c r="P89" s="220"/>
      <c r="Q89" s="226" cm="1">
        <f t="array" ref="Q89">_xlfn.IFS(AND($I89&lt;$M$3,$J89&lt;$M$3),1,AND($I89&lt;=$M$3,$J89&gt;=$M$3),0.5,AND($I89&gt;=$M$3,$J89&gt;=$M$3),0)</f>
        <v>0.5</v>
      </c>
      <c r="R89" s="226" cm="1">
        <f t="array" ref="R89">_xlfn.IFS(AND($K89&lt;$M$3,$L89&lt;$M$3),1,AND($K89&lt;=$M$3,$L89&gt;=$M$3),0.5,AND($K89&gt;=$M$3,$L89&gt;=$M$3),0)</f>
        <v>0.5</v>
      </c>
      <c r="S89" s="226" cm="1">
        <f t="array" ref="S89">_xlfn.IFS(AND($K89&gt;R$7,$L89&gt;R$7),0,AND($K89&lt;=R$7,$L89&lt;=R$7),1,AND($K89&lt;=R$7,$L89&gt;R$7),((R$7-$K89)/($L89-$K89)))</f>
        <v>0</v>
      </c>
      <c r="T89" s="226" cm="1">
        <f t="array" ref="T89">_xlfn.IFS(AND($K89&gt;S$7,$L89&gt;S$7),0,AND($K89&lt;=S$7,$L89&lt;=S$7),1,AND($K89&lt;=S$7,$L89&gt;S$7),((S$7-$K89)/($L89-$K89)))</f>
        <v>0</v>
      </c>
      <c r="U89" s="226" cm="1">
        <f t="array" ref="U89">_xlfn.IFS(AND($K89&gt;T$7,$L89&gt;T$7),0,AND($K89&lt;=T$7,$L89&lt;=T$7),1,AND($K89&lt;=T$7,$L89&gt;T$7),((T$7-$K89)/($L89-$K89)))</f>
        <v>0</v>
      </c>
      <c r="V89" s="226" cm="1">
        <f t="array" ref="V89">_xlfn.IFS(AND($K89&gt;U$7,$L89&gt;U$7),0,AND($K89&lt;=U$7,$L89&lt;=U$7),1,AND($K89&lt;=U$7,$L89&gt;U$7),((U$7-$K89)/($L89-$K89)))</f>
        <v>0</v>
      </c>
      <c r="W89" s="226" cm="1">
        <f t="array" ref="W89">_xlfn.IFS(AND($K89&gt;V$7,$L89&gt;V$7),0,AND($K89&lt;=V$7,$L89&lt;=V$7),1,AND($K89&lt;=V$7,$L89&gt;V$7),((V$7-$K89)/($L89-$K89)))</f>
        <v>0</v>
      </c>
      <c r="X89" s="226" cm="1">
        <f t="array" ref="X89">_xlfn.IFS(AND($K89&gt;W$7,$L89&gt;W$7),0,AND($K89&lt;=W$7,$L89&lt;=W$7),1,AND($K89&lt;=W$7,$L89&gt;W$7),((W$7-$K89)/($L89-$K89)))</f>
        <v>0</v>
      </c>
      <c r="Y89" s="226" cm="1">
        <f t="array" ref="Y89">_xlfn.IFS(AND($K89&gt;X$7,$L89&gt;X$7),0,AND($K89&lt;=X$7,$L89&lt;=X$7),1,AND($K89&lt;=X$7,$L89&gt;X$7),((X$7-$K89)/($L89-$K89)))</f>
        <v>0</v>
      </c>
      <c r="Z89" s="226" cm="1">
        <f t="array" ref="Z89">_xlfn.IFS(AND($K89&gt;Y$7,$L89&gt;Y$7),0,AND($K89&lt;=Y$7,$L89&lt;=Y$7),1,AND($K89&lt;=Y$7,$L89&gt;Y$7),((Y$7-$K89)/($L89-$K89)))</f>
        <v>0</v>
      </c>
      <c r="AA89" s="226" cm="1">
        <f t="array" ref="AA89">_xlfn.IFS(AND($K89&gt;Z$7,$L89&gt;Z$7),0,AND($K89&lt;=Z$7,$L89&lt;=Z$7),1,AND($K89&lt;=Z$7,$L89&gt;Z$7),((Z$7-$K89)/($L89-$K89)))</f>
        <v>0</v>
      </c>
      <c r="AB89" s="226" cm="1">
        <f t="array" ref="AB89">_xlfn.IFS(AND($K89&gt;AA$7,$L89&gt;AA$7),0,AND($K89&lt;=AA$7,$L89&lt;=AA$7),1,AND($K89&lt;=AA$7,$L89&gt;AA$7),((AA$7-$K89)/($L89-$K89)))</f>
        <v>1</v>
      </c>
      <c r="AC89" s="226" cm="1">
        <f t="array" ref="AC89">_xlfn.IFS(AND($K89&gt;AB$7,$L89&gt;AB$7),0,AND($K89&lt;=AB$7,$L89&lt;=AB$7),1,AND($K89&lt;=AB$7,$L89&gt;AB$7),((AB$7-$K89)/($L89-$K89)))</f>
        <v>1</v>
      </c>
      <c r="AD89" s="226" cm="1">
        <f t="array" ref="AD89">_xlfn.IFS(AND($K89&gt;AC$7,$L89&gt;AC$7),0,AND($K89&lt;=AC$7,$L89&lt;=AC$7),1,AND($K89&lt;=AC$7,$L89&gt;AC$7),((AC$7-$K89)/($L89-$K89)))</f>
        <v>1</v>
      </c>
      <c r="AE89" s="226" cm="1">
        <f t="array" ref="AE89">_xlfn.IFS(AND($K89&gt;AD$7,$L89&gt;AD$7),0,AND($K89&lt;=AD$7,$L89&lt;=AD$7),1,AND($K89&lt;=AD$7,$L89&gt;AD$7),((AD$7-$K89)/($L89-$K89)))</f>
        <v>1</v>
      </c>
      <c r="AF89" s="226" cm="1">
        <f t="array" ref="AF89">_xlfn.IFS(AND($K89&gt;AE$7,$L89&gt;AE$7),0,AND($K89&lt;=AE$7,$L89&lt;=AE$7),1,AND($K89&lt;=AE$7,$L89&gt;AE$7),((AE$7-$K89)/($L89-$K89)))</f>
        <v>1</v>
      </c>
      <c r="AG89" s="226" cm="1">
        <f t="array" ref="AG89">_xlfn.IFS(AND($K89&gt;AF$7,$L89&gt;AF$7),0,AND($K89&lt;=AF$7,$L89&lt;=AF$7),1,AND($K89&lt;=AF$7,$L89&gt;AF$7),((AF$7-$K89)/($L89-$K89)))</f>
        <v>1</v>
      </c>
      <c r="AH89" s="226" cm="1">
        <f t="array" ref="AH89">_xlfn.IFS(AND($K89&gt;AG$7,$L89&gt;AG$7),0,AND($K89&lt;=AG$7,$L89&lt;=AG$7),1,AND($K89&lt;=AG$7,$L89&gt;AG$7),((AG$7-$K89)/($L89-$K89)))</f>
        <v>1</v>
      </c>
      <c r="AI89" s="226" cm="1">
        <f t="array" ref="AI89">_xlfn.IFS(AND($K89&gt;AH$7,$L89&gt;AH$7),0,AND($K89&lt;=AH$7,$L89&lt;=AH$7),1,AND($K89&lt;=AH$7,$L89&gt;AH$7),((AH$7-$K89)/($L89-$K89)))</f>
        <v>1</v>
      </c>
      <c r="AJ89" s="226" cm="1">
        <f t="array" ref="AJ89">_xlfn.IFS(AND($K89&gt;AI$7,$L89&gt;AI$7),0,AND($K89&lt;=AI$7,$L89&lt;=AI$7),1,AND($K89&lt;=AI$7,$L89&gt;AI$7),((AI$7-$K89)/($L89-$K89)))</f>
        <v>1</v>
      </c>
      <c r="AK89" s="226" cm="1">
        <f t="array" ref="AK89">_xlfn.IFS(AND($K89&gt;AJ$7,$L89&gt;AJ$7),0,AND($K89&lt;=AJ$7,$L89&lt;=AJ$7),1,AND($K89&lt;=AJ$7,$L89&gt;AJ$7),((AJ$7-$K89)/($L89-$K89)))</f>
        <v>1</v>
      </c>
      <c r="AL89" s="226" cm="1">
        <f t="array" ref="AL89">_xlfn.IFS(AND($K89&gt;AK$7,$L89&gt;AK$7),0,AND($K89&lt;=AK$7,$L89&lt;=AK$7),1,AND($K89&lt;=AK$7,$L89&gt;AK$7),((AK$7-$K89)/($L89-$K89)))</f>
        <v>1</v>
      </c>
      <c r="AM89" s="226" cm="1">
        <f t="array" ref="AM89">_xlfn.IFS(AND($K89&gt;AL$7,$L89&gt;AL$7),0,AND($K89&lt;=AL$7,$L89&lt;=AL$7),1,AND($K89&lt;=AL$7,$L89&gt;AL$7),((AL$7-$K89)/($L89-$K89)))</f>
        <v>1</v>
      </c>
      <c r="AN89" s="226" cm="1">
        <f t="array" ref="AN89">_xlfn.IFS(AND($K89&gt;AM$7,$L89&gt;AM$7),0,AND($K89&lt;=AM$7,$L89&lt;=AM$7),1,AND($K89&lt;=AM$7,$L89&gt;AM$7),((AM$7-$K89)/($L89-$K89)))</f>
        <v>1</v>
      </c>
      <c r="AO89" s="226" cm="1">
        <f t="array" ref="AO89">_xlfn.IFS(AND($K89&gt;AN$7,$L89&gt;AN$7),0,AND($K89&lt;=AN$7,$L89&lt;=AN$7),1,AND($K89&lt;=AN$7,$L89&gt;AN$7),((AN$7-$K89)/($L89-$K89)))</f>
        <v>1</v>
      </c>
      <c r="AP89" s="226" cm="1">
        <f t="array" ref="AP89">_xlfn.IFS(AND($K89&gt;AO$7,$L89&gt;AO$7),0,AND($K89&lt;=AO$7,$L89&lt;=AO$7),1,AND($K89&lt;=AO$7,$L89&gt;AO$7),((AO$7-$K89)/($L89-$K89)))</f>
        <v>1</v>
      </c>
      <c r="AQ89" s="226" cm="1">
        <f t="array" ref="AQ89">_xlfn.IFS(AND($K89&gt;AP$7,$L89&gt;AP$7),0,AND($K89&lt;=AP$7,$L89&lt;=AP$7),1,AND($K89&lt;=AP$7,$L89&gt;AP$7),((AP$7-$K89)/($L89-$K89)))</f>
        <v>1</v>
      </c>
      <c r="AR89" s="226" cm="1">
        <f t="array" ref="AR89">_xlfn.IFS(AND($K89&gt;AQ$7,$L89&gt;AQ$7),0,AND($K89&lt;=AQ$7,$L89&lt;=AQ$7),1,AND($K89&lt;=AQ$7,$L89&gt;AQ$7),((AQ$7-$K89)/($L89-$K89)))</f>
        <v>1</v>
      </c>
      <c r="AS89" s="226" cm="1">
        <f t="array" ref="AS89">_xlfn.IFS(AND($K89&gt;AR$7,$L89&gt;AR$7),0,AND($K89&lt;=AR$7,$L89&lt;=AR$7),1,AND($K89&lt;=AR$7,$L89&gt;AR$7),((AR$7-$K89)/($L89-$K89)))</f>
        <v>1</v>
      </c>
      <c r="AT89" s="226" cm="1">
        <f t="array" ref="AT89">_xlfn.IFS(AND($K89&gt;AS$7,$L89&gt;AS$7),0,AND($K89&lt;=AS$7,$L89&lt;=AS$7),1,AND($K89&lt;=AS$7,$L89&gt;AS$7),((AS$7-$K89)/($L89-$K89)))</f>
        <v>1</v>
      </c>
      <c r="AU89" s="226" cm="1">
        <f t="array" ref="AU89">_xlfn.IFS(AND($K89&gt;AT$7,$L89&gt;AT$7),0,AND($K89&lt;=AT$7,$L89&lt;=AT$7),1,AND($K89&lt;=AT$7,$L89&gt;AT$7),((AT$7-$K89)/($L89-$K89)))</f>
        <v>1</v>
      </c>
      <c r="AV89" s="226" cm="1">
        <f t="array" ref="AV89">_xlfn.IFS(AND($K89&gt;AU$7,$L89&gt;AU$7),0,AND($K89&lt;=AU$7,$L89&lt;=AU$7),1,AND($K89&lt;=AU$7,$L89&gt;AU$7),((AU$7-$K89)/($L89-$K89)))</f>
        <v>1</v>
      </c>
      <c r="AW89" s="226" cm="1">
        <f t="array" ref="AW89">_xlfn.IFS(AND($K89&gt;AV$7,$L89&gt;AV$7),0,AND($K89&lt;=AV$7,$L89&lt;=AV$7),1,AND($K89&lt;=AV$7,$L89&gt;AV$7),((AV$7-$K89)/($L89-$K89)))</f>
        <v>1</v>
      </c>
      <c r="AX89" s="226" cm="1">
        <f t="array" ref="AX89">_xlfn.IFS(AND($K89&gt;AW$7,$L89&gt;AW$7),0,AND($K89&lt;=AW$7,$L89&lt;=AW$7),1,AND($K89&lt;=AW$7,$L89&gt;AW$7),((AW$7-$K89)/($L89-$K89)))</f>
        <v>1</v>
      </c>
      <c r="AY89" s="226" cm="1">
        <f t="array" ref="AY89">_xlfn.IFS(AND($K89&gt;AX$7,$L89&gt;AX$7),0,AND($K89&lt;=AX$7,$L89&lt;=AX$7),1,AND($K89&lt;=AX$7,$L89&gt;AX$7),((AX$7-$K89)/($L89-$K89)))</f>
        <v>1</v>
      </c>
      <c r="AZ89" s="226" cm="1">
        <f t="array" ref="AZ89">_xlfn.IFS(AND($K89&gt;AY$7,$L89&gt;AY$7),0,AND($K89&lt;=AY$7,$L89&lt;=AY$7),1,AND($K89&lt;=AY$7,$L89&gt;AY$7),((AY$7-$K89)/($L89-$K89)))</f>
        <v>1</v>
      </c>
      <c r="BA89" s="226" cm="1">
        <f t="array" ref="BA89">_xlfn.IFS(AND($K89&gt;AZ$7,$L89&gt;AZ$7),0,AND($K89&lt;=AZ$7,$L89&lt;=AZ$7),1,AND($K89&lt;=AZ$7,$L89&gt;AZ$7),((AZ$7-$K89)/($L89-$K89)))</f>
        <v>1</v>
      </c>
      <c r="BB89" s="226" cm="1">
        <f t="array" ref="BB89">_xlfn.IFS(AND($K89&gt;BA$7,$L89&gt;BA$7),0,AND($K89&lt;=BA$7,$L89&lt;=BA$7),1,AND($K89&lt;=BA$7,$L89&gt;BA$7),((BA$7-$K89)/($L89-$K89)))</f>
        <v>1</v>
      </c>
      <c r="BC89" s="226" cm="1">
        <f t="array" ref="BC89">_xlfn.IFS(AND($K89&gt;BB$7,$L89&gt;BB$7),0,AND($K89&lt;=BB$7,$L89&lt;=BB$7),1,AND($K89&lt;=BB$7,$L89&gt;BB$7),((BB$7-$K89)/($L89-$K89)))</f>
        <v>1</v>
      </c>
      <c r="BD89" s="226" cm="1">
        <f t="array" ref="BD89">_xlfn.IFS(AND($K89&gt;BC$7,$L89&gt;BC$7),0,AND($K89&lt;=BC$7,$L89&lt;=BC$7),1,AND($K89&lt;=BC$7,$L89&gt;BC$7),((BC$7-$K89)/($L89-$K89)))</f>
        <v>1</v>
      </c>
      <c r="BE89" s="226" cm="1">
        <f t="array" ref="BE89">_xlfn.IFS(AND($K89&gt;BD$7,$L89&gt;BD$7),0,AND($K89&lt;=BD$7,$L89&lt;=BD$7),1,AND($K89&lt;=BD$7,$L89&gt;BD$7),((BD$7-$K89)/($L89-$K89)))</f>
        <v>1</v>
      </c>
      <c r="BF89" s="226" cm="1">
        <f t="array" ref="BF89">_xlfn.IFS(AND($K89&gt;BE$7,$L89&gt;BE$7),0,AND($K89&lt;=BE$7,$L89&lt;=BE$7),1,AND($K89&lt;=BE$7,$L89&gt;BE$7),((BE$7-$K89)/($L89-$K89)))</f>
        <v>1</v>
      </c>
      <c r="BG89" s="226" cm="1">
        <f t="array" ref="BG89">_xlfn.IFS(AND($K89&gt;BF$7,$L89&gt;BF$7),0,AND($K89&lt;=BF$7,$L89&lt;=BF$7),1,AND($K89&lt;=BF$7,$L89&gt;BF$7),((BF$7-$K89)/($L89-$K89)))</f>
        <v>1</v>
      </c>
      <c r="BH89">
        <f>Tab.plano6[[#This Row],[Data Término
Prevista]]-Tab.plano6[[#This Row],[Data Início
Previsto]]</f>
        <v>3</v>
      </c>
    </row>
    <row r="90" spans="1:60" customFormat="1" ht="18" hidden="1" customHeight="1" x14ac:dyDescent="0.3">
      <c r="A90" s="220"/>
      <c r="B90" s="220" t="s">
        <v>161</v>
      </c>
      <c r="C90" s="220" t="s">
        <v>570</v>
      </c>
      <c r="D90" s="251" t="s">
        <v>399</v>
      </c>
      <c r="E90" s="251" t="s">
        <v>422</v>
      </c>
      <c r="F90" s="251" t="s">
        <v>566</v>
      </c>
      <c r="G90" s="251" t="s">
        <v>566</v>
      </c>
      <c r="H90" s="221" t="s">
        <v>547</v>
      </c>
      <c r="I90" s="260">
        <v>46168</v>
      </c>
      <c r="J90" s="260">
        <v>46185</v>
      </c>
      <c r="K90" s="260">
        <v>46168</v>
      </c>
      <c r="L90" s="260">
        <v>46185</v>
      </c>
      <c r="M90" s="231" t="s">
        <v>488</v>
      </c>
      <c r="N90" s="227" t="str" cm="1">
        <f t="array" ref="N90">_xlfn.IFS(L90&lt;$M$3,"Concluído",AND(K90&lt;=$M$3,L90&gt;=$M$3,L90&lt;=J90),"Em andamento",AND(K90&lt;=$M$3,L90&gt;=$M$3,L90&gt;J90),"Atrasado",AND(K90&gt;$M$3,I90&gt;$M$3),"Não iniciado",AND(K90&gt;$M$3,I90&lt;=$M$3),"Atrasado",TRUE,"Não iniciado")</f>
        <v>Não iniciado</v>
      </c>
      <c r="O90" s="231" cm="1">
        <f t="array" ref="O90">_xlfn.IFS(N90="Não iniciado",0,N90="Em andamento",1,N90="Concluído",2,N90="Atrasado",3)</f>
        <v>0</v>
      </c>
      <c r="P90" s="220"/>
      <c r="Q90" s="226" cm="1">
        <f t="array" ref="Q90">_xlfn.IFS(AND($I90&lt;$M$3,$J90&lt;$M$3),1,AND($I90&lt;=$M$3,$J90&gt;=$M$3),0.5,AND($I90&gt;=$M$3,$J90&gt;=$M$3),0)</f>
        <v>0</v>
      </c>
      <c r="R90" s="226" cm="1">
        <f t="array" ref="R90">_xlfn.IFS(AND($K90&lt;$M$3,$L90&lt;$M$3),1,AND($K90&lt;=$M$3,$L90&gt;=$M$3),0.5,AND($K90&gt;=$M$3,$L90&gt;=$M$3),0)</f>
        <v>0</v>
      </c>
      <c r="S90" s="226" cm="1">
        <f t="array" ref="S90">_xlfn.IFS(AND($K90&gt;R$7,$L90&gt;R$7),0,AND($K90&lt;=R$7,$L90&lt;=R$7),1,AND($K90&lt;=R$7,$L90&gt;R$7),((R$7-$K90)/($L90-$K90)))</f>
        <v>0</v>
      </c>
      <c r="T90" s="226" cm="1">
        <f t="array" ref="T90">_xlfn.IFS(AND($K90&gt;S$7,$L90&gt;S$7),0,AND($K90&lt;=S$7,$L90&lt;=S$7),1,AND($K90&lt;=S$7,$L90&gt;S$7),((S$7-$K90)/($L90-$K90)))</f>
        <v>0</v>
      </c>
      <c r="U90" s="226" cm="1">
        <f t="array" ref="U90">_xlfn.IFS(AND($K90&gt;T$7,$L90&gt;T$7),0,AND($K90&lt;=T$7,$L90&lt;=T$7),1,AND($K90&lt;=T$7,$L90&gt;T$7),((T$7-$K90)/($L90-$K90)))</f>
        <v>0</v>
      </c>
      <c r="V90" s="226" cm="1">
        <f t="array" ref="V90">_xlfn.IFS(AND($K90&gt;U$7,$L90&gt;U$7),0,AND($K90&lt;=U$7,$L90&lt;=U$7),1,AND($K90&lt;=U$7,$L90&gt;U$7),((U$7-$K90)/($L90-$K90)))</f>
        <v>0</v>
      </c>
      <c r="W90" s="226" cm="1">
        <f t="array" ref="W90">_xlfn.IFS(AND($K90&gt;V$7,$L90&gt;V$7),0,AND($K90&lt;=V$7,$L90&lt;=V$7),1,AND($K90&lt;=V$7,$L90&gt;V$7),((V$7-$K90)/($L90-$K90)))</f>
        <v>0</v>
      </c>
      <c r="X90" s="226" cm="1">
        <f t="array" ref="X90">_xlfn.IFS(AND($K90&gt;W$7,$L90&gt;W$7),0,AND($K90&lt;=W$7,$L90&lt;=W$7),1,AND($K90&lt;=W$7,$L90&gt;W$7),((W$7-$K90)/($L90-$K90)))</f>
        <v>0</v>
      </c>
      <c r="Y90" s="226" cm="1">
        <f t="array" ref="Y90">_xlfn.IFS(AND($K90&gt;X$7,$L90&gt;X$7),0,AND($K90&lt;=X$7,$L90&lt;=X$7),1,AND($K90&lt;=X$7,$L90&gt;X$7),((X$7-$K90)/($L90-$K90)))</f>
        <v>0</v>
      </c>
      <c r="Z90" s="226" cm="1">
        <f t="array" ref="Z90">_xlfn.IFS(AND($K90&gt;Y$7,$L90&gt;Y$7),0,AND($K90&lt;=Y$7,$L90&lt;=Y$7),1,AND($K90&lt;=Y$7,$L90&gt;Y$7),((Y$7-$K90)/($L90-$K90)))</f>
        <v>0</v>
      </c>
      <c r="AA90" s="226" cm="1">
        <f t="array" ref="AA90">_xlfn.IFS(AND($K90&gt;Z$7,$L90&gt;Z$7),0,AND($K90&lt;=Z$7,$L90&lt;=Z$7),1,AND($K90&lt;=Z$7,$L90&gt;Z$7),((Z$7-$K90)/($L90-$K90)))</f>
        <v>0</v>
      </c>
      <c r="AB90" s="226" cm="1">
        <f t="array" ref="AB90">_xlfn.IFS(AND($K90&gt;AA$7,$L90&gt;AA$7),0,AND($K90&lt;=AA$7,$L90&lt;=AA$7),1,AND($K90&lt;=AA$7,$L90&gt;AA$7),((AA$7-$K90)/($L90-$K90)))</f>
        <v>0</v>
      </c>
      <c r="AC90" s="226" cm="1">
        <f t="array" ref="AC90">_xlfn.IFS(AND($K90&gt;AB$7,$L90&gt;AB$7),0,AND($K90&lt;=AB$7,$L90&lt;=AB$7),1,AND($K90&lt;=AB$7,$L90&gt;AB$7),((AB$7-$K90)/($L90-$K90)))</f>
        <v>0.35294117647058826</v>
      </c>
      <c r="AD90" s="226" cm="1">
        <f t="array" ref="AD90">_xlfn.IFS(AND($K90&gt;AC$7,$L90&gt;AC$7),0,AND($K90&lt;=AC$7,$L90&lt;=AC$7),1,AND($K90&lt;=AC$7,$L90&gt;AC$7),((AC$7-$K90)/($L90-$K90)))</f>
        <v>0.76470588235294112</v>
      </c>
      <c r="AE90" s="226" cm="1">
        <f t="array" ref="AE90">_xlfn.IFS(AND($K90&gt;AD$7,$L90&gt;AD$7),0,AND($K90&lt;=AD$7,$L90&lt;=AD$7),1,AND($K90&lt;=AD$7,$L90&gt;AD$7),((AD$7-$K90)/($L90-$K90)))</f>
        <v>1</v>
      </c>
      <c r="AF90" s="226" cm="1">
        <f t="array" ref="AF90">_xlfn.IFS(AND($K90&gt;AE$7,$L90&gt;AE$7),0,AND($K90&lt;=AE$7,$L90&lt;=AE$7),1,AND($K90&lt;=AE$7,$L90&gt;AE$7),((AE$7-$K90)/($L90-$K90)))</f>
        <v>1</v>
      </c>
      <c r="AG90" s="226" cm="1">
        <f t="array" ref="AG90">_xlfn.IFS(AND($K90&gt;AF$7,$L90&gt;AF$7),0,AND($K90&lt;=AF$7,$L90&lt;=AF$7),1,AND($K90&lt;=AF$7,$L90&gt;AF$7),((AF$7-$K90)/($L90-$K90)))</f>
        <v>1</v>
      </c>
      <c r="AH90" s="226" cm="1">
        <f t="array" ref="AH90">_xlfn.IFS(AND($K90&gt;AG$7,$L90&gt;AG$7),0,AND($K90&lt;=AG$7,$L90&lt;=AG$7),1,AND($K90&lt;=AG$7,$L90&gt;AG$7),((AG$7-$K90)/($L90-$K90)))</f>
        <v>1</v>
      </c>
      <c r="AI90" s="226" cm="1">
        <f t="array" ref="AI90">_xlfn.IFS(AND($K90&gt;AH$7,$L90&gt;AH$7),0,AND($K90&lt;=AH$7,$L90&lt;=AH$7),1,AND($K90&lt;=AH$7,$L90&gt;AH$7),((AH$7-$K90)/($L90-$K90)))</f>
        <v>1</v>
      </c>
      <c r="AJ90" s="226" cm="1">
        <f t="array" ref="AJ90">_xlfn.IFS(AND($K90&gt;AI$7,$L90&gt;AI$7),0,AND($K90&lt;=AI$7,$L90&lt;=AI$7),1,AND($K90&lt;=AI$7,$L90&gt;AI$7),((AI$7-$K90)/($L90-$K90)))</f>
        <v>1</v>
      </c>
      <c r="AK90" s="226" cm="1">
        <f t="array" ref="AK90">_xlfn.IFS(AND($K90&gt;AJ$7,$L90&gt;AJ$7),0,AND($K90&lt;=AJ$7,$L90&lt;=AJ$7),1,AND($K90&lt;=AJ$7,$L90&gt;AJ$7),((AJ$7-$K90)/($L90-$K90)))</f>
        <v>1</v>
      </c>
      <c r="AL90" s="226" cm="1">
        <f t="array" ref="AL90">_xlfn.IFS(AND($K90&gt;AK$7,$L90&gt;AK$7),0,AND($K90&lt;=AK$7,$L90&lt;=AK$7),1,AND($K90&lt;=AK$7,$L90&gt;AK$7),((AK$7-$K90)/($L90-$K90)))</f>
        <v>1</v>
      </c>
      <c r="AM90" s="226" cm="1">
        <f t="array" ref="AM90">_xlfn.IFS(AND($K90&gt;AL$7,$L90&gt;AL$7),0,AND($K90&lt;=AL$7,$L90&lt;=AL$7),1,AND($K90&lt;=AL$7,$L90&gt;AL$7),((AL$7-$K90)/($L90-$K90)))</f>
        <v>1</v>
      </c>
      <c r="AN90" s="226" cm="1">
        <f t="array" ref="AN90">_xlfn.IFS(AND($K90&gt;AM$7,$L90&gt;AM$7),0,AND($K90&lt;=AM$7,$L90&lt;=AM$7),1,AND($K90&lt;=AM$7,$L90&gt;AM$7),((AM$7-$K90)/($L90-$K90)))</f>
        <v>1</v>
      </c>
      <c r="AO90" s="226" cm="1">
        <f t="array" ref="AO90">_xlfn.IFS(AND($K90&gt;AN$7,$L90&gt;AN$7),0,AND($K90&lt;=AN$7,$L90&lt;=AN$7),1,AND($K90&lt;=AN$7,$L90&gt;AN$7),((AN$7-$K90)/($L90-$K90)))</f>
        <v>1</v>
      </c>
      <c r="AP90" s="226" cm="1">
        <f t="array" ref="AP90">_xlfn.IFS(AND($K90&gt;AO$7,$L90&gt;AO$7),0,AND($K90&lt;=AO$7,$L90&lt;=AO$7),1,AND($K90&lt;=AO$7,$L90&gt;AO$7),((AO$7-$K90)/($L90-$K90)))</f>
        <v>1</v>
      </c>
      <c r="AQ90" s="226" cm="1">
        <f t="array" ref="AQ90">_xlfn.IFS(AND($K90&gt;AP$7,$L90&gt;AP$7),0,AND($K90&lt;=AP$7,$L90&lt;=AP$7),1,AND($K90&lt;=AP$7,$L90&gt;AP$7),((AP$7-$K90)/($L90-$K90)))</f>
        <v>1</v>
      </c>
      <c r="AR90" s="226" cm="1">
        <f t="array" ref="AR90">_xlfn.IFS(AND($K90&gt;AQ$7,$L90&gt;AQ$7),0,AND($K90&lt;=AQ$7,$L90&lt;=AQ$7),1,AND($K90&lt;=AQ$7,$L90&gt;AQ$7),((AQ$7-$K90)/($L90-$K90)))</f>
        <v>1</v>
      </c>
      <c r="AS90" s="226" cm="1">
        <f t="array" ref="AS90">_xlfn.IFS(AND($K90&gt;AR$7,$L90&gt;AR$7),0,AND($K90&lt;=AR$7,$L90&lt;=AR$7),1,AND($K90&lt;=AR$7,$L90&gt;AR$7),((AR$7-$K90)/($L90-$K90)))</f>
        <v>1</v>
      </c>
      <c r="AT90" s="226" cm="1">
        <f t="array" ref="AT90">_xlfn.IFS(AND($K90&gt;AS$7,$L90&gt;AS$7),0,AND($K90&lt;=AS$7,$L90&lt;=AS$7),1,AND($K90&lt;=AS$7,$L90&gt;AS$7),((AS$7-$K90)/($L90-$K90)))</f>
        <v>1</v>
      </c>
      <c r="AU90" s="226" cm="1">
        <f t="array" ref="AU90">_xlfn.IFS(AND($K90&gt;AT$7,$L90&gt;AT$7),0,AND($K90&lt;=AT$7,$L90&lt;=AT$7),1,AND($K90&lt;=AT$7,$L90&gt;AT$7),((AT$7-$K90)/($L90-$K90)))</f>
        <v>1</v>
      </c>
      <c r="AV90" s="226" cm="1">
        <f t="array" ref="AV90">_xlfn.IFS(AND($K90&gt;AU$7,$L90&gt;AU$7),0,AND($K90&lt;=AU$7,$L90&lt;=AU$7),1,AND($K90&lt;=AU$7,$L90&gt;AU$7),((AU$7-$K90)/($L90-$K90)))</f>
        <v>1</v>
      </c>
      <c r="AW90" s="226" cm="1">
        <f t="array" ref="AW90">_xlfn.IFS(AND($K90&gt;AV$7,$L90&gt;AV$7),0,AND($K90&lt;=AV$7,$L90&lt;=AV$7),1,AND($K90&lt;=AV$7,$L90&gt;AV$7),((AV$7-$K90)/($L90-$K90)))</f>
        <v>1</v>
      </c>
      <c r="AX90" s="226" cm="1">
        <f t="array" ref="AX90">_xlfn.IFS(AND($K90&gt;AW$7,$L90&gt;AW$7),0,AND($K90&lt;=AW$7,$L90&lt;=AW$7),1,AND($K90&lt;=AW$7,$L90&gt;AW$7),((AW$7-$K90)/($L90-$K90)))</f>
        <v>1</v>
      </c>
      <c r="AY90" s="226" cm="1">
        <f t="array" ref="AY90">_xlfn.IFS(AND($K90&gt;AX$7,$L90&gt;AX$7),0,AND($K90&lt;=AX$7,$L90&lt;=AX$7),1,AND($K90&lt;=AX$7,$L90&gt;AX$7),((AX$7-$K90)/($L90-$K90)))</f>
        <v>1</v>
      </c>
      <c r="AZ90" s="226" cm="1">
        <f t="array" ref="AZ90">_xlfn.IFS(AND($K90&gt;AY$7,$L90&gt;AY$7),0,AND($K90&lt;=AY$7,$L90&lt;=AY$7),1,AND($K90&lt;=AY$7,$L90&gt;AY$7),((AY$7-$K90)/($L90-$K90)))</f>
        <v>1</v>
      </c>
      <c r="BA90" s="226" cm="1">
        <f t="array" ref="BA90">_xlfn.IFS(AND($K90&gt;AZ$7,$L90&gt;AZ$7),0,AND($K90&lt;=AZ$7,$L90&lt;=AZ$7),1,AND($K90&lt;=AZ$7,$L90&gt;AZ$7),((AZ$7-$K90)/($L90-$K90)))</f>
        <v>1</v>
      </c>
      <c r="BB90" s="226" cm="1">
        <f t="array" ref="BB90">_xlfn.IFS(AND($K90&gt;BA$7,$L90&gt;BA$7),0,AND($K90&lt;=BA$7,$L90&lt;=BA$7),1,AND($K90&lt;=BA$7,$L90&gt;BA$7),((BA$7-$K90)/($L90-$K90)))</f>
        <v>1</v>
      </c>
      <c r="BC90" s="226" cm="1">
        <f t="array" ref="BC90">_xlfn.IFS(AND($K90&gt;BB$7,$L90&gt;BB$7),0,AND($K90&lt;=BB$7,$L90&lt;=BB$7),1,AND($K90&lt;=BB$7,$L90&gt;BB$7),((BB$7-$K90)/($L90-$K90)))</f>
        <v>1</v>
      </c>
      <c r="BD90" s="226" cm="1">
        <f t="array" ref="BD90">_xlfn.IFS(AND($K90&gt;BC$7,$L90&gt;BC$7),0,AND($K90&lt;=BC$7,$L90&lt;=BC$7),1,AND($K90&lt;=BC$7,$L90&gt;BC$7),((BC$7-$K90)/($L90-$K90)))</f>
        <v>1</v>
      </c>
      <c r="BE90" s="226" cm="1">
        <f t="array" ref="BE90">_xlfn.IFS(AND($K90&gt;BD$7,$L90&gt;BD$7),0,AND($K90&lt;=BD$7,$L90&lt;=BD$7),1,AND($K90&lt;=BD$7,$L90&gt;BD$7),((BD$7-$K90)/($L90-$K90)))</f>
        <v>1</v>
      </c>
      <c r="BF90" s="226" cm="1">
        <f t="array" ref="BF90">_xlfn.IFS(AND($K90&gt;BE$7,$L90&gt;BE$7),0,AND($K90&lt;=BE$7,$L90&lt;=BE$7),1,AND($K90&lt;=BE$7,$L90&gt;BE$7),((BE$7-$K90)/($L90-$K90)))</f>
        <v>1</v>
      </c>
      <c r="BG90" s="226" cm="1">
        <f t="array" ref="BG90">_xlfn.IFS(AND($K90&gt;BF$7,$L90&gt;BF$7),0,AND($K90&lt;=BF$7,$L90&lt;=BF$7),1,AND($K90&lt;=BF$7,$L90&gt;BF$7),((BF$7-$K90)/($L90-$K90)))</f>
        <v>1</v>
      </c>
      <c r="BH90">
        <f>Tab.plano6[[#This Row],[Data Término
Prevista]]-Tab.plano6[[#This Row],[Data Início
Previsto]]</f>
        <v>17</v>
      </c>
    </row>
    <row r="91" spans="1:60" customFormat="1" ht="18" hidden="1" customHeight="1" x14ac:dyDescent="0.3">
      <c r="A91" s="220"/>
      <c r="B91" s="220" t="s">
        <v>161</v>
      </c>
      <c r="C91" s="220" t="s">
        <v>572</v>
      </c>
      <c r="D91" s="251" t="s">
        <v>399</v>
      </c>
      <c r="E91" s="251" t="s">
        <v>422</v>
      </c>
      <c r="F91" s="251" t="s">
        <v>566</v>
      </c>
      <c r="G91" s="251" t="s">
        <v>566</v>
      </c>
      <c r="H91" s="221" t="s">
        <v>810</v>
      </c>
      <c r="I91" s="260">
        <v>46188</v>
      </c>
      <c r="J91" s="260">
        <v>46190</v>
      </c>
      <c r="K91" s="260">
        <v>46188</v>
      </c>
      <c r="L91" s="260">
        <v>46190</v>
      </c>
      <c r="M91" s="231" t="s">
        <v>488</v>
      </c>
      <c r="N91" s="227" t="str" cm="1">
        <f t="array" ref="N91">_xlfn.IFS(L91&lt;$M$3,"Concluído",AND(K91&lt;=$M$3,L91&gt;=$M$3,L91&lt;=J91),"Em andamento",AND(K91&lt;=$M$3,L91&gt;=$M$3,L91&gt;J91),"Atrasado",AND(K91&gt;$M$3,I91&gt;$M$3),"Não iniciado",AND(K91&gt;$M$3,I91&lt;=$M$3),"Atrasado",TRUE,"Não iniciado")</f>
        <v>Não iniciado</v>
      </c>
      <c r="O91" s="231" cm="1">
        <f t="array" ref="O91">_xlfn.IFS(N91="Não iniciado",0,N91="Em andamento",1,N91="Concluído",2,N91="Atrasado",3)</f>
        <v>0</v>
      </c>
      <c r="P91" s="220"/>
      <c r="Q91" s="226" cm="1">
        <f t="array" ref="Q91">_xlfn.IFS(AND($I91&lt;$M$3,$J91&lt;$M$3),1,AND($I91&lt;=$M$3,$J91&gt;=$M$3),0.5,AND($I91&gt;=$M$3,$J91&gt;=$M$3),0)</f>
        <v>0</v>
      </c>
      <c r="R91" s="226" cm="1">
        <f t="array" ref="R91">_xlfn.IFS(AND($K91&lt;$M$3,$L91&lt;$M$3),1,AND($K91&lt;=$M$3,$L91&gt;=$M$3),0.5,AND($K91&gt;=$M$3,$L91&gt;=$M$3),0)</f>
        <v>0</v>
      </c>
      <c r="S91" s="226" cm="1">
        <f t="array" ref="S91">_xlfn.IFS(AND($K91&gt;R$7,$L91&gt;R$7),0,AND($K91&lt;=R$7,$L91&lt;=R$7),1,AND($K91&lt;=R$7,$L91&gt;R$7),((R$7-$K91)/($L91-$K91)))</f>
        <v>0</v>
      </c>
      <c r="T91" s="226" cm="1">
        <f t="array" ref="T91">_xlfn.IFS(AND($K91&gt;S$7,$L91&gt;S$7),0,AND($K91&lt;=S$7,$L91&lt;=S$7),1,AND($K91&lt;=S$7,$L91&gt;S$7),((S$7-$K91)/($L91-$K91)))</f>
        <v>0</v>
      </c>
      <c r="U91" s="226" cm="1">
        <f t="array" ref="U91">_xlfn.IFS(AND($K91&gt;T$7,$L91&gt;T$7),0,AND($K91&lt;=T$7,$L91&lt;=T$7),1,AND($K91&lt;=T$7,$L91&gt;T$7),((T$7-$K91)/($L91-$K91)))</f>
        <v>0</v>
      </c>
      <c r="V91" s="226" cm="1">
        <f t="array" ref="V91">_xlfn.IFS(AND($K91&gt;U$7,$L91&gt;U$7),0,AND($K91&lt;=U$7,$L91&lt;=U$7),1,AND($K91&lt;=U$7,$L91&gt;U$7),((U$7-$K91)/($L91-$K91)))</f>
        <v>0</v>
      </c>
      <c r="W91" s="226" cm="1">
        <f t="array" ref="W91">_xlfn.IFS(AND($K91&gt;V$7,$L91&gt;V$7),0,AND($K91&lt;=V$7,$L91&lt;=V$7),1,AND($K91&lt;=V$7,$L91&gt;V$7),((V$7-$K91)/($L91-$K91)))</f>
        <v>0</v>
      </c>
      <c r="X91" s="226" cm="1">
        <f t="array" ref="X91">_xlfn.IFS(AND($K91&gt;W$7,$L91&gt;W$7),0,AND($K91&lt;=W$7,$L91&lt;=W$7),1,AND($K91&lt;=W$7,$L91&gt;W$7),((W$7-$K91)/($L91-$K91)))</f>
        <v>0</v>
      </c>
      <c r="Y91" s="226" cm="1">
        <f t="array" ref="Y91">_xlfn.IFS(AND($K91&gt;X$7,$L91&gt;X$7),0,AND($K91&lt;=X$7,$L91&lt;=X$7),1,AND($K91&lt;=X$7,$L91&gt;X$7),((X$7-$K91)/($L91-$K91)))</f>
        <v>0</v>
      </c>
      <c r="Z91" s="226" cm="1">
        <f t="array" ref="Z91">_xlfn.IFS(AND($K91&gt;Y$7,$L91&gt;Y$7),0,AND($K91&lt;=Y$7,$L91&lt;=Y$7),1,AND($K91&lt;=Y$7,$L91&gt;Y$7),((Y$7-$K91)/($L91-$K91)))</f>
        <v>0</v>
      </c>
      <c r="AA91" s="226" cm="1">
        <f t="array" ref="AA91">_xlfn.IFS(AND($K91&gt;Z$7,$L91&gt;Z$7),0,AND($K91&lt;=Z$7,$L91&lt;=Z$7),1,AND($K91&lt;=Z$7,$L91&gt;Z$7),((Z$7-$K91)/($L91-$K91)))</f>
        <v>0</v>
      </c>
      <c r="AB91" s="226" cm="1">
        <f t="array" ref="AB91">_xlfn.IFS(AND($K91&gt;AA$7,$L91&gt;AA$7),0,AND($K91&lt;=AA$7,$L91&lt;=AA$7),1,AND($K91&lt;=AA$7,$L91&gt;AA$7),((AA$7-$K91)/($L91-$K91)))</f>
        <v>0</v>
      </c>
      <c r="AC91" s="226" cm="1">
        <f t="array" ref="AC91">_xlfn.IFS(AND($K91&gt;AB$7,$L91&gt;AB$7),0,AND($K91&lt;=AB$7,$L91&lt;=AB$7),1,AND($K91&lt;=AB$7,$L91&gt;AB$7),((AB$7-$K91)/($L91-$K91)))</f>
        <v>0</v>
      </c>
      <c r="AD91" s="226" cm="1">
        <f t="array" ref="AD91">_xlfn.IFS(AND($K91&gt;AC$7,$L91&gt;AC$7),0,AND($K91&lt;=AC$7,$L91&lt;=AC$7),1,AND($K91&lt;=AC$7,$L91&gt;AC$7),((AC$7-$K91)/($L91-$K91)))</f>
        <v>0</v>
      </c>
      <c r="AE91" s="226" cm="1">
        <f t="array" ref="AE91">_xlfn.IFS(AND($K91&gt;AD$7,$L91&gt;AD$7),0,AND($K91&lt;=AD$7,$L91&lt;=AD$7),1,AND($K91&lt;=AD$7,$L91&gt;AD$7),((AD$7-$K91)/($L91-$K91)))</f>
        <v>0</v>
      </c>
      <c r="AF91" s="226" cm="1">
        <f t="array" ref="AF91">_xlfn.IFS(AND($K91&gt;AE$7,$L91&gt;AE$7),0,AND($K91&lt;=AE$7,$L91&lt;=AE$7),1,AND($K91&lt;=AE$7,$L91&gt;AE$7),((AE$7-$K91)/($L91-$K91)))</f>
        <v>1</v>
      </c>
      <c r="AG91" s="226" cm="1">
        <f t="array" ref="AG91">_xlfn.IFS(AND($K91&gt;AF$7,$L91&gt;AF$7),0,AND($K91&lt;=AF$7,$L91&lt;=AF$7),1,AND($K91&lt;=AF$7,$L91&gt;AF$7),((AF$7-$K91)/($L91-$K91)))</f>
        <v>1</v>
      </c>
      <c r="AH91" s="226" cm="1">
        <f t="array" ref="AH91">_xlfn.IFS(AND($K91&gt;AG$7,$L91&gt;AG$7),0,AND($K91&lt;=AG$7,$L91&lt;=AG$7),1,AND($K91&lt;=AG$7,$L91&gt;AG$7),((AG$7-$K91)/($L91-$K91)))</f>
        <v>1</v>
      </c>
      <c r="AI91" s="226" cm="1">
        <f t="array" ref="AI91">_xlfn.IFS(AND($K91&gt;AH$7,$L91&gt;AH$7),0,AND($K91&lt;=AH$7,$L91&lt;=AH$7),1,AND($K91&lt;=AH$7,$L91&gt;AH$7),((AH$7-$K91)/($L91-$K91)))</f>
        <v>1</v>
      </c>
      <c r="AJ91" s="226" cm="1">
        <f t="array" ref="AJ91">_xlfn.IFS(AND($K91&gt;AI$7,$L91&gt;AI$7),0,AND($K91&lt;=AI$7,$L91&lt;=AI$7),1,AND($K91&lt;=AI$7,$L91&gt;AI$7),((AI$7-$K91)/($L91-$K91)))</f>
        <v>1</v>
      </c>
      <c r="AK91" s="226" cm="1">
        <f t="array" ref="AK91">_xlfn.IFS(AND($K91&gt;AJ$7,$L91&gt;AJ$7),0,AND($K91&lt;=AJ$7,$L91&lt;=AJ$7),1,AND($K91&lt;=AJ$7,$L91&gt;AJ$7),((AJ$7-$K91)/($L91-$K91)))</f>
        <v>1</v>
      </c>
      <c r="AL91" s="226" cm="1">
        <f t="array" ref="AL91">_xlfn.IFS(AND($K91&gt;AK$7,$L91&gt;AK$7),0,AND($K91&lt;=AK$7,$L91&lt;=AK$7),1,AND($K91&lt;=AK$7,$L91&gt;AK$7),((AK$7-$K91)/($L91-$K91)))</f>
        <v>1</v>
      </c>
      <c r="AM91" s="226" cm="1">
        <f t="array" ref="AM91">_xlfn.IFS(AND($K91&gt;AL$7,$L91&gt;AL$7),0,AND($K91&lt;=AL$7,$L91&lt;=AL$7),1,AND($K91&lt;=AL$7,$L91&gt;AL$7),((AL$7-$K91)/($L91-$K91)))</f>
        <v>1</v>
      </c>
      <c r="AN91" s="226" cm="1">
        <f t="array" ref="AN91">_xlfn.IFS(AND($K91&gt;AM$7,$L91&gt;AM$7),0,AND($K91&lt;=AM$7,$L91&lt;=AM$7),1,AND($K91&lt;=AM$7,$L91&gt;AM$7),((AM$7-$K91)/($L91-$K91)))</f>
        <v>1</v>
      </c>
      <c r="AO91" s="226" cm="1">
        <f t="array" ref="AO91">_xlfn.IFS(AND($K91&gt;AN$7,$L91&gt;AN$7),0,AND($K91&lt;=AN$7,$L91&lt;=AN$7),1,AND($K91&lt;=AN$7,$L91&gt;AN$7),((AN$7-$K91)/($L91-$K91)))</f>
        <v>1</v>
      </c>
      <c r="AP91" s="226" cm="1">
        <f t="array" ref="AP91">_xlfn.IFS(AND($K91&gt;AO$7,$L91&gt;AO$7),0,AND($K91&lt;=AO$7,$L91&lt;=AO$7),1,AND($K91&lt;=AO$7,$L91&gt;AO$7),((AO$7-$K91)/($L91-$K91)))</f>
        <v>1</v>
      </c>
      <c r="AQ91" s="226" cm="1">
        <f t="array" ref="AQ91">_xlfn.IFS(AND($K91&gt;AP$7,$L91&gt;AP$7),0,AND($K91&lt;=AP$7,$L91&lt;=AP$7),1,AND($K91&lt;=AP$7,$L91&gt;AP$7),((AP$7-$K91)/($L91-$K91)))</f>
        <v>1</v>
      </c>
      <c r="AR91" s="226" cm="1">
        <f t="array" ref="AR91">_xlfn.IFS(AND($K91&gt;AQ$7,$L91&gt;AQ$7),0,AND($K91&lt;=AQ$7,$L91&lt;=AQ$7),1,AND($K91&lt;=AQ$7,$L91&gt;AQ$7),((AQ$7-$K91)/($L91-$K91)))</f>
        <v>1</v>
      </c>
      <c r="AS91" s="226" cm="1">
        <f t="array" ref="AS91">_xlfn.IFS(AND($K91&gt;AR$7,$L91&gt;AR$7),0,AND($K91&lt;=AR$7,$L91&lt;=AR$7),1,AND($K91&lt;=AR$7,$L91&gt;AR$7),((AR$7-$K91)/($L91-$K91)))</f>
        <v>1</v>
      </c>
      <c r="AT91" s="226" cm="1">
        <f t="array" ref="AT91">_xlfn.IFS(AND($K91&gt;AS$7,$L91&gt;AS$7),0,AND($K91&lt;=AS$7,$L91&lt;=AS$7),1,AND($K91&lt;=AS$7,$L91&gt;AS$7),((AS$7-$K91)/($L91-$K91)))</f>
        <v>1</v>
      </c>
      <c r="AU91" s="226" cm="1">
        <f t="array" ref="AU91">_xlfn.IFS(AND($K91&gt;AT$7,$L91&gt;AT$7),0,AND($K91&lt;=AT$7,$L91&lt;=AT$7),1,AND($K91&lt;=AT$7,$L91&gt;AT$7),((AT$7-$K91)/($L91-$K91)))</f>
        <v>1</v>
      </c>
      <c r="AV91" s="226" cm="1">
        <f t="array" ref="AV91">_xlfn.IFS(AND($K91&gt;AU$7,$L91&gt;AU$7),0,AND($K91&lt;=AU$7,$L91&lt;=AU$7),1,AND($K91&lt;=AU$7,$L91&gt;AU$7),((AU$7-$K91)/($L91-$K91)))</f>
        <v>1</v>
      </c>
      <c r="AW91" s="226" cm="1">
        <f t="array" ref="AW91">_xlfn.IFS(AND($K91&gt;AV$7,$L91&gt;AV$7),0,AND($K91&lt;=AV$7,$L91&lt;=AV$7),1,AND($K91&lt;=AV$7,$L91&gt;AV$7),((AV$7-$K91)/($L91-$K91)))</f>
        <v>1</v>
      </c>
      <c r="AX91" s="226" cm="1">
        <f t="array" ref="AX91">_xlfn.IFS(AND($K91&gt;AW$7,$L91&gt;AW$7),0,AND($K91&lt;=AW$7,$L91&lt;=AW$7),1,AND($K91&lt;=AW$7,$L91&gt;AW$7),((AW$7-$K91)/($L91-$K91)))</f>
        <v>1</v>
      </c>
      <c r="AY91" s="226" cm="1">
        <f t="array" ref="AY91">_xlfn.IFS(AND($K91&gt;AX$7,$L91&gt;AX$7),0,AND($K91&lt;=AX$7,$L91&lt;=AX$7),1,AND($K91&lt;=AX$7,$L91&gt;AX$7),((AX$7-$K91)/($L91-$K91)))</f>
        <v>1</v>
      </c>
      <c r="AZ91" s="226" cm="1">
        <f t="array" ref="AZ91">_xlfn.IFS(AND($K91&gt;AY$7,$L91&gt;AY$7),0,AND($K91&lt;=AY$7,$L91&lt;=AY$7),1,AND($K91&lt;=AY$7,$L91&gt;AY$7),((AY$7-$K91)/($L91-$K91)))</f>
        <v>1</v>
      </c>
      <c r="BA91" s="226" cm="1">
        <f t="array" ref="BA91">_xlfn.IFS(AND($K91&gt;AZ$7,$L91&gt;AZ$7),0,AND($K91&lt;=AZ$7,$L91&lt;=AZ$7),1,AND($K91&lt;=AZ$7,$L91&gt;AZ$7),((AZ$7-$K91)/($L91-$K91)))</f>
        <v>1</v>
      </c>
      <c r="BB91" s="226" cm="1">
        <f t="array" ref="BB91">_xlfn.IFS(AND($K91&gt;BA$7,$L91&gt;BA$7),0,AND($K91&lt;=BA$7,$L91&lt;=BA$7),1,AND($K91&lt;=BA$7,$L91&gt;BA$7),((BA$7-$K91)/($L91-$K91)))</f>
        <v>1</v>
      </c>
      <c r="BC91" s="226" cm="1">
        <f t="array" ref="BC91">_xlfn.IFS(AND($K91&gt;BB$7,$L91&gt;BB$7),0,AND($K91&lt;=BB$7,$L91&lt;=BB$7),1,AND($K91&lt;=BB$7,$L91&gt;BB$7),((BB$7-$K91)/($L91-$K91)))</f>
        <v>1</v>
      </c>
      <c r="BD91" s="226" cm="1">
        <f t="array" ref="BD91">_xlfn.IFS(AND($K91&gt;BC$7,$L91&gt;BC$7),0,AND($K91&lt;=BC$7,$L91&lt;=BC$7),1,AND($K91&lt;=BC$7,$L91&gt;BC$7),((BC$7-$K91)/($L91-$K91)))</f>
        <v>1</v>
      </c>
      <c r="BE91" s="226" cm="1">
        <f t="array" ref="BE91">_xlfn.IFS(AND($K91&gt;BD$7,$L91&gt;BD$7),0,AND($K91&lt;=BD$7,$L91&lt;=BD$7),1,AND($K91&lt;=BD$7,$L91&gt;BD$7),((BD$7-$K91)/($L91-$K91)))</f>
        <v>1</v>
      </c>
      <c r="BF91" s="226" cm="1">
        <f t="array" ref="BF91">_xlfn.IFS(AND($K91&gt;BE$7,$L91&gt;BE$7),0,AND($K91&lt;=BE$7,$L91&lt;=BE$7),1,AND($K91&lt;=BE$7,$L91&gt;BE$7),((BE$7-$K91)/($L91-$K91)))</f>
        <v>1</v>
      </c>
      <c r="BG91" s="226" cm="1">
        <f t="array" ref="BG91">_xlfn.IFS(AND($K91&gt;BF$7,$L91&gt;BF$7),0,AND($K91&lt;=BF$7,$L91&lt;=BF$7),1,AND($K91&lt;=BF$7,$L91&gt;BF$7),((BF$7-$K91)/($L91-$K91)))</f>
        <v>1</v>
      </c>
      <c r="BH91">
        <f>Tab.plano6[[#This Row],[Data Término
Prevista]]-Tab.plano6[[#This Row],[Data Início
Previsto]]</f>
        <v>2</v>
      </c>
    </row>
    <row r="92" spans="1:60" customFormat="1" ht="18" hidden="1" customHeight="1" x14ac:dyDescent="0.3">
      <c r="A92" s="216"/>
      <c r="B92" s="216" t="s">
        <v>12</v>
      </c>
      <c r="C92" s="216" t="s">
        <v>263</v>
      </c>
      <c r="D92" s="249" t="s">
        <v>399</v>
      </c>
      <c r="E92" s="249" t="s">
        <v>422</v>
      </c>
      <c r="F92" s="249" t="s">
        <v>74</v>
      </c>
      <c r="G92" s="249" t="s">
        <v>74</v>
      </c>
      <c r="H92" s="252" t="s">
        <v>821</v>
      </c>
      <c r="I92" s="257">
        <f>I93</f>
        <v>46111</v>
      </c>
      <c r="J92" s="257">
        <f>J93</f>
        <v>46136</v>
      </c>
      <c r="K92" s="257">
        <f>K93</f>
        <v>46111</v>
      </c>
      <c r="L92" s="257">
        <f>L93</f>
        <v>46171</v>
      </c>
      <c r="M92" s="229" t="s">
        <v>432</v>
      </c>
      <c r="N92" s="227" t="str" cm="1">
        <f t="array" ref="N92">_xlfn.IFS(L92&lt;$M$3,"Concluído",AND(K92&lt;=$M$3,L92&gt;=$M$3,L92&lt;=J92),"Em andamento",AND(K92&lt;=$M$3,L92&gt;=$M$3,L92&gt;J92),"Atrasado",AND(K92&gt;$M$3,I92&gt;$M$3),"Não iniciado",AND(K92&gt;$M$3,I92&lt;=$M$3),"Atrasado",TRUE,"Não iniciado")</f>
        <v>Atrasado</v>
      </c>
      <c r="O92" s="229" cm="1">
        <f t="array" ref="O92">_xlfn.IFS(N92="Não iniciado",0,N92="Em andamento",1,N92="Concluído",2,N92="Atrasado",3)</f>
        <v>3</v>
      </c>
      <c r="P92" s="216"/>
      <c r="Q92" s="224">
        <f t="shared" ref="Q92:BG92" si="37">Q93</f>
        <v>1</v>
      </c>
      <c r="R92" s="224">
        <f t="shared" si="37"/>
        <v>0.83333333333333337</v>
      </c>
      <c r="S92" s="224">
        <f t="shared" si="37"/>
        <v>0</v>
      </c>
      <c r="T92" s="224">
        <f t="shared" si="37"/>
        <v>0</v>
      </c>
      <c r="U92" s="224">
        <f t="shared" si="37"/>
        <v>0.42105263157894735</v>
      </c>
      <c r="V92" s="224">
        <f t="shared" si="37"/>
        <v>0.54385964912280704</v>
      </c>
      <c r="W92" s="224">
        <f t="shared" si="37"/>
        <v>0.66666666666666663</v>
      </c>
      <c r="X92" s="224">
        <f t="shared" si="37"/>
        <v>0.71171171171171166</v>
      </c>
      <c r="Y92" s="224">
        <f t="shared" si="37"/>
        <v>0.77477477477477485</v>
      </c>
      <c r="Z92" s="224">
        <f t="shared" si="37"/>
        <v>0.83783783783783783</v>
      </c>
      <c r="AA92" s="224">
        <f t="shared" si="37"/>
        <v>0.90090090090090091</v>
      </c>
      <c r="AB92" s="224">
        <f t="shared" si="37"/>
        <v>0.963963963963964</v>
      </c>
      <c r="AC92" s="224">
        <f t="shared" si="37"/>
        <v>1</v>
      </c>
      <c r="AD92" s="224">
        <f t="shared" si="37"/>
        <v>1</v>
      </c>
      <c r="AE92" s="224">
        <f t="shared" si="37"/>
        <v>1</v>
      </c>
      <c r="AF92" s="224">
        <f t="shared" si="37"/>
        <v>1</v>
      </c>
      <c r="AG92" s="224">
        <f t="shared" si="37"/>
        <v>1</v>
      </c>
      <c r="AH92" s="224">
        <f t="shared" si="37"/>
        <v>1</v>
      </c>
      <c r="AI92" s="224">
        <f t="shared" si="37"/>
        <v>1</v>
      </c>
      <c r="AJ92" s="224">
        <f t="shared" si="37"/>
        <v>1</v>
      </c>
      <c r="AK92" s="224">
        <f t="shared" si="37"/>
        <v>1</v>
      </c>
      <c r="AL92" s="224">
        <f t="shared" si="37"/>
        <v>1</v>
      </c>
      <c r="AM92" s="224">
        <f t="shared" si="37"/>
        <v>1</v>
      </c>
      <c r="AN92" s="224">
        <f t="shared" si="37"/>
        <v>1</v>
      </c>
      <c r="AO92" s="224">
        <f t="shared" si="37"/>
        <v>1</v>
      </c>
      <c r="AP92" s="224">
        <f t="shared" si="37"/>
        <v>1</v>
      </c>
      <c r="AQ92" s="224">
        <f t="shared" si="37"/>
        <v>1</v>
      </c>
      <c r="AR92" s="224">
        <f t="shared" si="37"/>
        <v>1</v>
      </c>
      <c r="AS92" s="224">
        <f t="shared" si="37"/>
        <v>1</v>
      </c>
      <c r="AT92" s="224">
        <f t="shared" si="37"/>
        <v>1</v>
      </c>
      <c r="AU92" s="224">
        <f t="shared" si="37"/>
        <v>1</v>
      </c>
      <c r="AV92" s="224">
        <f t="shared" si="37"/>
        <v>1</v>
      </c>
      <c r="AW92" s="224">
        <f t="shared" si="37"/>
        <v>1</v>
      </c>
      <c r="AX92" s="224">
        <f t="shared" si="37"/>
        <v>1</v>
      </c>
      <c r="AY92" s="224">
        <f t="shared" si="37"/>
        <v>1</v>
      </c>
      <c r="AZ92" s="224">
        <f t="shared" si="37"/>
        <v>1</v>
      </c>
      <c r="BA92" s="224">
        <f t="shared" si="37"/>
        <v>1</v>
      </c>
      <c r="BB92" s="224">
        <f t="shared" si="37"/>
        <v>1</v>
      </c>
      <c r="BC92" s="224">
        <f t="shared" si="37"/>
        <v>1</v>
      </c>
      <c r="BD92" s="224">
        <f t="shared" si="37"/>
        <v>1</v>
      </c>
      <c r="BE92" s="224">
        <f t="shared" si="37"/>
        <v>1</v>
      </c>
      <c r="BF92" s="224">
        <f t="shared" si="37"/>
        <v>1</v>
      </c>
      <c r="BG92" s="224">
        <f t="shared" si="37"/>
        <v>1</v>
      </c>
      <c r="BH92" s="163">
        <f>Tab.plano6[[#This Row],[Data Término
Prevista]]-Tab.plano6[[#This Row],[Data Início
Previsto]]</f>
        <v>25</v>
      </c>
    </row>
    <row r="93" spans="1:60" customFormat="1" ht="18" hidden="1" customHeight="1" x14ac:dyDescent="0.3">
      <c r="A93" s="218"/>
      <c r="B93" s="218" t="s">
        <v>13</v>
      </c>
      <c r="C93" s="218" t="s">
        <v>265</v>
      </c>
      <c r="D93" s="250" t="s">
        <v>399</v>
      </c>
      <c r="E93" s="250" t="s">
        <v>422</v>
      </c>
      <c r="F93" s="250" t="s">
        <v>431</v>
      </c>
      <c r="G93" s="250" t="s">
        <v>74</v>
      </c>
      <c r="H93" s="219" t="s">
        <v>445</v>
      </c>
      <c r="I93" s="258">
        <f>MIN(I94:I96)</f>
        <v>46111</v>
      </c>
      <c r="J93" s="258">
        <f>MAX(J94:J96)</f>
        <v>46136</v>
      </c>
      <c r="K93" s="258">
        <f>MIN(K94:K96)</f>
        <v>46111</v>
      </c>
      <c r="L93" s="258">
        <f>MAX(L94:L96)</f>
        <v>46171</v>
      </c>
      <c r="M93" s="230" t="s">
        <v>432</v>
      </c>
      <c r="N93" s="227" t="str" cm="1">
        <f t="array" ref="N93">_xlfn.IFS(L93&lt;$M$3,"Concluído",AND(K93&lt;=$M$3,L93&gt;=$M$3,L93&lt;=J93),"Em andamento",AND(K93&lt;=$M$3,L93&gt;=$M$3,L93&gt;J93),"Atrasado",AND(K93&gt;$M$3,I93&gt;$M$3),"Não iniciado",AND(K93&gt;$M$3,I93&lt;=$M$3),"Atrasado",TRUE,"Não iniciado")</f>
        <v>Atrasado</v>
      </c>
      <c r="O93" s="230" cm="1">
        <f t="array" ref="O93">_xlfn.IFS(N93="Não iniciado",0,N93="Em andamento",1,N93="Concluído",2,N93="Atrasado",3)</f>
        <v>3</v>
      </c>
      <c r="P93" s="218"/>
      <c r="Q93" s="225">
        <f t="shared" ref="Q93:BG93" si="38">AVERAGE(Q94:Q96)</f>
        <v>1</v>
      </c>
      <c r="R93" s="225">
        <f t="shared" si="38"/>
        <v>0.83333333333333337</v>
      </c>
      <c r="S93" s="225">
        <f t="shared" si="38"/>
        <v>0</v>
      </c>
      <c r="T93" s="225">
        <f t="shared" si="38"/>
        <v>0</v>
      </c>
      <c r="U93" s="225">
        <f t="shared" si="38"/>
        <v>0.42105263157894735</v>
      </c>
      <c r="V93" s="225">
        <f t="shared" si="38"/>
        <v>0.54385964912280704</v>
      </c>
      <c r="W93" s="225">
        <f t="shared" si="38"/>
        <v>0.66666666666666663</v>
      </c>
      <c r="X93" s="225">
        <f t="shared" si="38"/>
        <v>0.71171171171171166</v>
      </c>
      <c r="Y93" s="225">
        <f t="shared" si="38"/>
        <v>0.77477477477477485</v>
      </c>
      <c r="Z93" s="225">
        <f t="shared" si="38"/>
        <v>0.83783783783783783</v>
      </c>
      <c r="AA93" s="225">
        <f t="shared" si="38"/>
        <v>0.90090090090090091</v>
      </c>
      <c r="AB93" s="225">
        <f t="shared" si="38"/>
        <v>0.963963963963964</v>
      </c>
      <c r="AC93" s="225">
        <f t="shared" si="38"/>
        <v>1</v>
      </c>
      <c r="AD93" s="225">
        <f t="shared" si="38"/>
        <v>1</v>
      </c>
      <c r="AE93" s="225">
        <f t="shared" si="38"/>
        <v>1</v>
      </c>
      <c r="AF93" s="225">
        <f t="shared" si="38"/>
        <v>1</v>
      </c>
      <c r="AG93" s="225">
        <f t="shared" si="38"/>
        <v>1</v>
      </c>
      <c r="AH93" s="225">
        <f t="shared" si="38"/>
        <v>1</v>
      </c>
      <c r="AI93" s="225">
        <f t="shared" si="38"/>
        <v>1</v>
      </c>
      <c r="AJ93" s="225">
        <f t="shared" si="38"/>
        <v>1</v>
      </c>
      <c r="AK93" s="225">
        <f t="shared" si="38"/>
        <v>1</v>
      </c>
      <c r="AL93" s="225">
        <f t="shared" si="38"/>
        <v>1</v>
      </c>
      <c r="AM93" s="225">
        <f t="shared" si="38"/>
        <v>1</v>
      </c>
      <c r="AN93" s="225">
        <f t="shared" si="38"/>
        <v>1</v>
      </c>
      <c r="AO93" s="225">
        <f t="shared" si="38"/>
        <v>1</v>
      </c>
      <c r="AP93" s="225">
        <f t="shared" si="38"/>
        <v>1</v>
      </c>
      <c r="AQ93" s="225">
        <f t="shared" si="38"/>
        <v>1</v>
      </c>
      <c r="AR93" s="225">
        <f t="shared" si="38"/>
        <v>1</v>
      </c>
      <c r="AS93" s="225">
        <f t="shared" si="38"/>
        <v>1</v>
      </c>
      <c r="AT93" s="225">
        <f t="shared" si="38"/>
        <v>1</v>
      </c>
      <c r="AU93" s="225">
        <f t="shared" si="38"/>
        <v>1</v>
      </c>
      <c r="AV93" s="225">
        <f t="shared" si="38"/>
        <v>1</v>
      </c>
      <c r="AW93" s="225">
        <f t="shared" si="38"/>
        <v>1</v>
      </c>
      <c r="AX93" s="225">
        <f t="shared" si="38"/>
        <v>1</v>
      </c>
      <c r="AY93" s="225">
        <f t="shared" si="38"/>
        <v>1</v>
      </c>
      <c r="AZ93" s="225">
        <f t="shared" si="38"/>
        <v>1</v>
      </c>
      <c r="BA93" s="225">
        <f t="shared" si="38"/>
        <v>1</v>
      </c>
      <c r="BB93" s="225">
        <f t="shared" si="38"/>
        <v>1</v>
      </c>
      <c r="BC93" s="225">
        <f t="shared" si="38"/>
        <v>1</v>
      </c>
      <c r="BD93" s="225">
        <f t="shared" si="38"/>
        <v>1</v>
      </c>
      <c r="BE93" s="225">
        <f t="shared" si="38"/>
        <v>1</v>
      </c>
      <c r="BF93" s="225">
        <f t="shared" si="38"/>
        <v>1</v>
      </c>
      <c r="BG93" s="225">
        <f t="shared" si="38"/>
        <v>1</v>
      </c>
      <c r="BH93" s="163">
        <f>Tab.plano6[[#This Row],[Data Término
Prevista]]-Tab.plano6[[#This Row],[Data Início
Previsto]]</f>
        <v>25</v>
      </c>
    </row>
    <row r="94" spans="1:60" customFormat="1" ht="18" hidden="1" customHeight="1" x14ac:dyDescent="0.3">
      <c r="A94" s="220"/>
      <c r="B94" s="220" t="s">
        <v>161</v>
      </c>
      <c r="C94" s="220" t="s">
        <v>266</v>
      </c>
      <c r="D94" s="251" t="s">
        <v>399</v>
      </c>
      <c r="E94" s="251" t="s">
        <v>422</v>
      </c>
      <c r="F94" s="251" t="s">
        <v>431</v>
      </c>
      <c r="G94" s="251" t="s">
        <v>431</v>
      </c>
      <c r="H94" s="221" t="s">
        <v>448</v>
      </c>
      <c r="I94" s="260">
        <v>46111</v>
      </c>
      <c r="J94" s="260">
        <v>46112</v>
      </c>
      <c r="K94" s="260">
        <v>46111</v>
      </c>
      <c r="L94" s="260">
        <v>46112</v>
      </c>
      <c r="M94" s="231" t="s">
        <v>432</v>
      </c>
      <c r="N94" s="227" t="str" cm="1">
        <f t="array" ref="N94">_xlfn.IFS(L94&lt;$M$3,"Concluído",AND(K94&lt;=$M$3,L94&gt;=$M$3,L94&lt;=J94),"Em andamento",AND(K94&lt;=$M$3,L94&gt;=$M$3,L94&gt;J94),"Atrasado",AND(K94&gt;$M$3,I94&gt;$M$3),"Não iniciado",AND(K94&gt;$M$3,I94&lt;=$M$3),"Atrasado",TRUE,"Não iniciado")</f>
        <v>Concluído</v>
      </c>
      <c r="O94" s="231" cm="1">
        <f t="array" ref="O94">_xlfn.IFS(N94="Não iniciado",0,N94="Em andamento",1,N94="Concluído",2,N94="Atrasado",3)</f>
        <v>2</v>
      </c>
      <c r="P94" s="220"/>
      <c r="Q94" s="226" cm="1">
        <f t="array" ref="Q94">_xlfn.IFS(AND($I94&lt;$M$3,$J94&lt;$M$3),1,AND($I94&lt;=$M$3,$J94&gt;=$M$3),0.5,AND($I94&gt;=$M$3,$J94&gt;=$M$3),0)</f>
        <v>1</v>
      </c>
      <c r="R94" s="226" cm="1">
        <f t="array" ref="R94">_xlfn.IFS(AND($K94&lt;$M$3,$L94&lt;$M$3),1,AND($K94&lt;=$M$3,$L94&gt;=$M$3),0.5,AND($K94&gt;=$M$3,$L94&gt;=$M$3),0)</f>
        <v>1</v>
      </c>
      <c r="S94" s="226" cm="1">
        <f t="array" ref="S94">_xlfn.IFS(AND($K94&gt;R$7,$L94&gt;R$7),0,AND($K94&lt;=R$7,$L94&lt;=R$7),1,AND($K94&lt;=R$7,$L94&gt;R$7),((R$7-$K94)/($L94-$K94)))</f>
        <v>0</v>
      </c>
      <c r="T94" s="226" cm="1">
        <f t="array" ref="T94">_xlfn.IFS(AND($K94&gt;S$7,$L94&gt;S$7),0,AND($K94&lt;=S$7,$L94&lt;=S$7),1,AND($K94&lt;=S$7,$L94&gt;S$7),((S$7-$K94)/($L94-$K94)))</f>
        <v>0</v>
      </c>
      <c r="U94" s="226" cm="1">
        <f t="array" ref="U94">_xlfn.IFS(AND($K94&gt;T$7,$L94&gt;T$7),0,AND($K94&lt;=T$7,$L94&lt;=T$7),1,AND($K94&lt;=T$7,$L94&gt;T$7),((T$7-$K94)/($L94-$K94)))</f>
        <v>1</v>
      </c>
      <c r="V94" s="226" cm="1">
        <f t="array" ref="V94">_xlfn.IFS(AND($K94&gt;U$7,$L94&gt;U$7),0,AND($K94&lt;=U$7,$L94&lt;=U$7),1,AND($K94&lt;=U$7,$L94&gt;U$7),((U$7-$K94)/($L94-$K94)))</f>
        <v>1</v>
      </c>
      <c r="W94" s="226" cm="1">
        <f t="array" ref="W94">_xlfn.IFS(AND($K94&gt;V$7,$L94&gt;V$7),0,AND($K94&lt;=V$7,$L94&lt;=V$7),1,AND($K94&lt;=V$7,$L94&gt;V$7),((V$7-$K94)/($L94-$K94)))</f>
        <v>1</v>
      </c>
      <c r="X94" s="226" cm="1">
        <f t="array" ref="X94">_xlfn.IFS(AND($K94&gt;W$7,$L94&gt;W$7),0,AND($K94&lt;=W$7,$L94&lt;=W$7),1,AND($K94&lt;=W$7,$L94&gt;W$7),((W$7-$K94)/($L94-$K94)))</f>
        <v>1</v>
      </c>
      <c r="Y94" s="226" cm="1">
        <f t="array" ref="Y94">_xlfn.IFS(AND($K94&gt;X$7,$L94&gt;X$7),0,AND($K94&lt;=X$7,$L94&lt;=X$7),1,AND($K94&lt;=X$7,$L94&gt;X$7),((X$7-$K94)/($L94-$K94)))</f>
        <v>1</v>
      </c>
      <c r="Z94" s="226" cm="1">
        <f t="array" ref="Z94">_xlfn.IFS(AND($K94&gt;Y$7,$L94&gt;Y$7),0,AND($K94&lt;=Y$7,$L94&lt;=Y$7),1,AND($K94&lt;=Y$7,$L94&gt;Y$7),((Y$7-$K94)/($L94-$K94)))</f>
        <v>1</v>
      </c>
      <c r="AA94" s="226" cm="1">
        <f t="array" ref="AA94">_xlfn.IFS(AND($K94&gt;Z$7,$L94&gt;Z$7),0,AND($K94&lt;=Z$7,$L94&lt;=Z$7),1,AND($K94&lt;=Z$7,$L94&gt;Z$7),((Z$7-$K94)/($L94-$K94)))</f>
        <v>1</v>
      </c>
      <c r="AB94" s="226" cm="1">
        <f t="array" ref="AB94">_xlfn.IFS(AND($K94&gt;AA$7,$L94&gt;AA$7),0,AND($K94&lt;=AA$7,$L94&lt;=AA$7),1,AND($K94&lt;=AA$7,$L94&gt;AA$7),((AA$7-$K94)/($L94-$K94)))</f>
        <v>1</v>
      </c>
      <c r="AC94" s="226" cm="1">
        <f t="array" ref="AC94">_xlfn.IFS(AND($K94&gt;AB$7,$L94&gt;AB$7),0,AND($K94&lt;=AB$7,$L94&lt;=AB$7),1,AND($K94&lt;=AB$7,$L94&gt;AB$7),((AB$7-$K94)/($L94-$K94)))</f>
        <v>1</v>
      </c>
      <c r="AD94" s="226" cm="1">
        <f t="array" ref="AD94">_xlfn.IFS(AND($K94&gt;AC$7,$L94&gt;AC$7),0,AND($K94&lt;=AC$7,$L94&lt;=AC$7),1,AND($K94&lt;=AC$7,$L94&gt;AC$7),((AC$7-$K94)/($L94-$K94)))</f>
        <v>1</v>
      </c>
      <c r="AE94" s="226" cm="1">
        <f t="array" ref="AE94">_xlfn.IFS(AND($K94&gt;AD$7,$L94&gt;AD$7),0,AND($K94&lt;=AD$7,$L94&lt;=AD$7),1,AND($K94&lt;=AD$7,$L94&gt;AD$7),((AD$7-$K94)/($L94-$K94)))</f>
        <v>1</v>
      </c>
      <c r="AF94" s="226" cm="1">
        <f t="array" ref="AF94">_xlfn.IFS(AND($K94&gt;AE$7,$L94&gt;AE$7),0,AND($K94&lt;=AE$7,$L94&lt;=AE$7),1,AND($K94&lt;=AE$7,$L94&gt;AE$7),((AE$7-$K94)/($L94-$K94)))</f>
        <v>1</v>
      </c>
      <c r="AG94" s="226" cm="1">
        <f t="array" ref="AG94">_xlfn.IFS(AND($K94&gt;AF$7,$L94&gt;AF$7),0,AND($K94&lt;=AF$7,$L94&lt;=AF$7),1,AND($K94&lt;=AF$7,$L94&gt;AF$7),((AF$7-$K94)/($L94-$K94)))</f>
        <v>1</v>
      </c>
      <c r="AH94" s="226" cm="1">
        <f t="array" ref="AH94">_xlfn.IFS(AND($K94&gt;AG$7,$L94&gt;AG$7),0,AND($K94&lt;=AG$7,$L94&lt;=AG$7),1,AND($K94&lt;=AG$7,$L94&gt;AG$7),((AG$7-$K94)/($L94-$K94)))</f>
        <v>1</v>
      </c>
      <c r="AI94" s="226" cm="1">
        <f t="array" ref="AI94">_xlfn.IFS(AND($K94&gt;AH$7,$L94&gt;AH$7),0,AND($K94&lt;=AH$7,$L94&lt;=AH$7),1,AND($K94&lt;=AH$7,$L94&gt;AH$7),((AH$7-$K94)/($L94-$K94)))</f>
        <v>1</v>
      </c>
      <c r="AJ94" s="226" cm="1">
        <f t="array" ref="AJ94">_xlfn.IFS(AND($K94&gt;AI$7,$L94&gt;AI$7),0,AND($K94&lt;=AI$7,$L94&lt;=AI$7),1,AND($K94&lt;=AI$7,$L94&gt;AI$7),((AI$7-$K94)/($L94-$K94)))</f>
        <v>1</v>
      </c>
      <c r="AK94" s="226" cm="1">
        <f t="array" ref="AK94">_xlfn.IFS(AND($K94&gt;AJ$7,$L94&gt;AJ$7),0,AND($K94&lt;=AJ$7,$L94&lt;=AJ$7),1,AND($K94&lt;=AJ$7,$L94&gt;AJ$7),((AJ$7-$K94)/($L94-$K94)))</f>
        <v>1</v>
      </c>
      <c r="AL94" s="226" cm="1">
        <f t="array" ref="AL94">_xlfn.IFS(AND($K94&gt;AK$7,$L94&gt;AK$7),0,AND($K94&lt;=AK$7,$L94&lt;=AK$7),1,AND($K94&lt;=AK$7,$L94&gt;AK$7),((AK$7-$K94)/($L94-$K94)))</f>
        <v>1</v>
      </c>
      <c r="AM94" s="226" cm="1">
        <f t="array" ref="AM94">_xlfn.IFS(AND($K94&gt;AL$7,$L94&gt;AL$7),0,AND($K94&lt;=AL$7,$L94&lt;=AL$7),1,AND($K94&lt;=AL$7,$L94&gt;AL$7),((AL$7-$K94)/($L94-$K94)))</f>
        <v>1</v>
      </c>
      <c r="AN94" s="226" cm="1">
        <f t="array" ref="AN94">_xlfn.IFS(AND($K94&gt;AM$7,$L94&gt;AM$7),0,AND($K94&lt;=AM$7,$L94&lt;=AM$7),1,AND($K94&lt;=AM$7,$L94&gt;AM$7),((AM$7-$K94)/($L94-$K94)))</f>
        <v>1</v>
      </c>
      <c r="AO94" s="226" cm="1">
        <f t="array" ref="AO94">_xlfn.IFS(AND($K94&gt;AN$7,$L94&gt;AN$7),0,AND($K94&lt;=AN$7,$L94&lt;=AN$7),1,AND($K94&lt;=AN$7,$L94&gt;AN$7),((AN$7-$K94)/($L94-$K94)))</f>
        <v>1</v>
      </c>
      <c r="AP94" s="226" cm="1">
        <f t="array" ref="AP94">_xlfn.IFS(AND($K94&gt;AO$7,$L94&gt;AO$7),0,AND($K94&lt;=AO$7,$L94&lt;=AO$7),1,AND($K94&lt;=AO$7,$L94&gt;AO$7),((AO$7-$K94)/($L94-$K94)))</f>
        <v>1</v>
      </c>
      <c r="AQ94" s="226" cm="1">
        <f t="array" ref="AQ94">_xlfn.IFS(AND($K94&gt;AP$7,$L94&gt;AP$7),0,AND($K94&lt;=AP$7,$L94&lt;=AP$7),1,AND($K94&lt;=AP$7,$L94&gt;AP$7),((AP$7-$K94)/($L94-$K94)))</f>
        <v>1</v>
      </c>
      <c r="AR94" s="226" cm="1">
        <f t="array" ref="AR94">_xlfn.IFS(AND($K94&gt;AQ$7,$L94&gt;AQ$7),0,AND($K94&lt;=AQ$7,$L94&lt;=AQ$7),1,AND($K94&lt;=AQ$7,$L94&gt;AQ$7),((AQ$7-$K94)/($L94-$K94)))</f>
        <v>1</v>
      </c>
      <c r="AS94" s="226" cm="1">
        <f t="array" ref="AS94">_xlfn.IFS(AND($K94&gt;AR$7,$L94&gt;AR$7),0,AND($K94&lt;=AR$7,$L94&lt;=AR$7),1,AND($K94&lt;=AR$7,$L94&gt;AR$7),((AR$7-$K94)/($L94-$K94)))</f>
        <v>1</v>
      </c>
      <c r="AT94" s="226" cm="1">
        <f t="array" ref="AT94">_xlfn.IFS(AND($K94&gt;AS$7,$L94&gt;AS$7),0,AND($K94&lt;=AS$7,$L94&lt;=AS$7),1,AND($K94&lt;=AS$7,$L94&gt;AS$7),((AS$7-$K94)/($L94-$K94)))</f>
        <v>1</v>
      </c>
      <c r="AU94" s="226" cm="1">
        <f t="array" ref="AU94">_xlfn.IFS(AND($K94&gt;AT$7,$L94&gt;AT$7),0,AND($K94&lt;=AT$7,$L94&lt;=AT$7),1,AND($K94&lt;=AT$7,$L94&gt;AT$7),((AT$7-$K94)/($L94-$K94)))</f>
        <v>1</v>
      </c>
      <c r="AV94" s="226" cm="1">
        <f t="array" ref="AV94">_xlfn.IFS(AND($K94&gt;AU$7,$L94&gt;AU$7),0,AND($K94&lt;=AU$7,$L94&lt;=AU$7),1,AND($K94&lt;=AU$7,$L94&gt;AU$7),((AU$7-$K94)/($L94-$K94)))</f>
        <v>1</v>
      </c>
      <c r="AW94" s="226" cm="1">
        <f t="array" ref="AW94">_xlfn.IFS(AND($K94&gt;AV$7,$L94&gt;AV$7),0,AND($K94&lt;=AV$7,$L94&lt;=AV$7),1,AND($K94&lt;=AV$7,$L94&gt;AV$7),((AV$7-$K94)/($L94-$K94)))</f>
        <v>1</v>
      </c>
      <c r="AX94" s="226" cm="1">
        <f t="array" ref="AX94">_xlfn.IFS(AND($K94&gt;AW$7,$L94&gt;AW$7),0,AND($K94&lt;=AW$7,$L94&lt;=AW$7),1,AND($K94&lt;=AW$7,$L94&gt;AW$7),((AW$7-$K94)/($L94-$K94)))</f>
        <v>1</v>
      </c>
      <c r="AY94" s="226" cm="1">
        <f t="array" ref="AY94">_xlfn.IFS(AND($K94&gt;AX$7,$L94&gt;AX$7),0,AND($K94&lt;=AX$7,$L94&lt;=AX$7),1,AND($K94&lt;=AX$7,$L94&gt;AX$7),((AX$7-$K94)/($L94-$K94)))</f>
        <v>1</v>
      </c>
      <c r="AZ94" s="226" cm="1">
        <f t="array" ref="AZ94">_xlfn.IFS(AND($K94&gt;AY$7,$L94&gt;AY$7),0,AND($K94&lt;=AY$7,$L94&lt;=AY$7),1,AND($K94&lt;=AY$7,$L94&gt;AY$7),((AY$7-$K94)/($L94-$K94)))</f>
        <v>1</v>
      </c>
      <c r="BA94" s="226" cm="1">
        <f t="array" ref="BA94">_xlfn.IFS(AND($K94&gt;AZ$7,$L94&gt;AZ$7),0,AND($K94&lt;=AZ$7,$L94&lt;=AZ$7),1,AND($K94&lt;=AZ$7,$L94&gt;AZ$7),((AZ$7-$K94)/($L94-$K94)))</f>
        <v>1</v>
      </c>
      <c r="BB94" s="226" cm="1">
        <f t="array" ref="BB94">_xlfn.IFS(AND($K94&gt;BA$7,$L94&gt;BA$7),0,AND($K94&lt;=BA$7,$L94&lt;=BA$7),1,AND($K94&lt;=BA$7,$L94&gt;BA$7),((BA$7-$K94)/($L94-$K94)))</f>
        <v>1</v>
      </c>
      <c r="BC94" s="226" cm="1">
        <f t="array" ref="BC94">_xlfn.IFS(AND($K94&gt;BB$7,$L94&gt;BB$7),0,AND($K94&lt;=BB$7,$L94&lt;=BB$7),1,AND($K94&lt;=BB$7,$L94&gt;BB$7),((BB$7-$K94)/($L94-$K94)))</f>
        <v>1</v>
      </c>
      <c r="BD94" s="226" cm="1">
        <f t="array" ref="BD94">_xlfn.IFS(AND($K94&gt;BC$7,$L94&gt;BC$7),0,AND($K94&lt;=BC$7,$L94&lt;=BC$7),1,AND($K94&lt;=BC$7,$L94&gt;BC$7),((BC$7-$K94)/($L94-$K94)))</f>
        <v>1</v>
      </c>
      <c r="BE94" s="226" cm="1">
        <f t="array" ref="BE94">_xlfn.IFS(AND($K94&gt;BD$7,$L94&gt;BD$7),0,AND($K94&lt;=BD$7,$L94&lt;=BD$7),1,AND($K94&lt;=BD$7,$L94&gt;BD$7),((BD$7-$K94)/($L94-$K94)))</f>
        <v>1</v>
      </c>
      <c r="BF94" s="226" cm="1">
        <f t="array" ref="BF94">_xlfn.IFS(AND($K94&gt;BE$7,$L94&gt;BE$7),0,AND($K94&lt;=BE$7,$L94&lt;=BE$7),1,AND($K94&lt;=BE$7,$L94&gt;BE$7),((BE$7-$K94)/($L94-$K94)))</f>
        <v>1</v>
      </c>
      <c r="BG94" s="226" cm="1">
        <f t="array" ref="BG94">_xlfn.IFS(AND($K94&gt;BF$7,$L94&gt;BF$7),0,AND($K94&lt;=BF$7,$L94&lt;=BF$7),1,AND($K94&lt;=BF$7,$L94&gt;BF$7),((BF$7-$K94)/($L94-$K94)))</f>
        <v>1</v>
      </c>
      <c r="BH94" s="163">
        <f>Tab.plano6[[#This Row],[Data Término
Prevista]]-Tab.plano6[[#This Row],[Data Início
Previsto]]</f>
        <v>1</v>
      </c>
    </row>
    <row r="95" spans="1:60" customFormat="1" ht="18" hidden="1" customHeight="1" x14ac:dyDescent="0.3">
      <c r="A95" s="220"/>
      <c r="B95" s="220" t="s">
        <v>161</v>
      </c>
      <c r="C95" s="220" t="s">
        <v>268</v>
      </c>
      <c r="D95" s="251" t="s">
        <v>399</v>
      </c>
      <c r="E95" s="251" t="s">
        <v>422</v>
      </c>
      <c r="F95" s="251" t="s">
        <v>431</v>
      </c>
      <c r="G95" s="251" t="s">
        <v>431</v>
      </c>
      <c r="H95" s="221" t="s">
        <v>450</v>
      </c>
      <c r="I95" s="260">
        <v>46113</v>
      </c>
      <c r="J95" s="260">
        <v>46132</v>
      </c>
      <c r="K95" s="260">
        <v>46113</v>
      </c>
      <c r="L95" s="260">
        <v>46132</v>
      </c>
      <c r="M95" s="231" t="s">
        <v>432</v>
      </c>
      <c r="N95" s="227" t="str" cm="1">
        <f t="array" ref="N95">_xlfn.IFS(L95&lt;$M$3,"Concluído",AND(K95&lt;=$M$3,L95&gt;=$M$3,L95&lt;=J95),"Em andamento",AND(K95&lt;=$M$3,L95&gt;=$M$3,L95&gt;J95),"Atrasado",AND(K95&gt;$M$3,I95&gt;$M$3),"Não iniciado",AND(K95&gt;$M$3,I95&lt;=$M$3),"Atrasado",TRUE,"Não iniciado")</f>
        <v>Concluído</v>
      </c>
      <c r="O95" s="231" cm="1">
        <f t="array" ref="O95">_xlfn.IFS(N95="Não iniciado",0,N95="Em andamento",1,N95="Concluído",2,N95="Atrasado",3)</f>
        <v>2</v>
      </c>
      <c r="P95" s="220"/>
      <c r="Q95" s="226" cm="1">
        <f t="array" ref="Q95">_xlfn.IFS(AND($I95&lt;$M$3,$J95&lt;$M$3),1,AND($I95&lt;=$M$3,$J95&gt;=$M$3),0.5,AND($I95&gt;=$M$3,$J95&gt;=$M$3),0)</f>
        <v>1</v>
      </c>
      <c r="R95" s="226" cm="1">
        <f t="array" ref="R95">_xlfn.IFS(AND($K95&lt;$M$3,$L95&lt;$M$3),1,AND($K95&lt;=$M$3,$L95&gt;=$M$3),0.5,AND($K95&gt;=$M$3,$L95&gt;=$M$3),0)</f>
        <v>1</v>
      </c>
      <c r="S95" s="226" cm="1">
        <f t="array" ref="S95">_xlfn.IFS(AND($K95&gt;R$7,$L95&gt;R$7),0,AND($K95&lt;=R$7,$L95&lt;=R$7),1,AND($K95&lt;=R$7,$L95&gt;R$7),((R$7-$K95)/($L95-$K95)))</f>
        <v>0</v>
      </c>
      <c r="T95" s="226" cm="1">
        <f t="array" ref="T95">_xlfn.IFS(AND($K95&gt;S$7,$L95&gt;S$7),0,AND($K95&lt;=S$7,$L95&lt;=S$7),1,AND($K95&lt;=S$7,$L95&gt;S$7),((S$7-$K95)/($L95-$K95)))</f>
        <v>0</v>
      </c>
      <c r="U95" s="226" cm="1">
        <f t="array" ref="U95">_xlfn.IFS(AND($K95&gt;T$7,$L95&gt;T$7),0,AND($K95&lt;=T$7,$L95&lt;=T$7),1,AND($K95&lt;=T$7,$L95&gt;T$7),((T$7-$K95)/($L95-$K95)))</f>
        <v>0.26315789473684209</v>
      </c>
      <c r="V95" s="226" cm="1">
        <f t="array" ref="V95">_xlfn.IFS(AND($K95&gt;U$7,$L95&gt;U$7),0,AND($K95&lt;=U$7,$L95&lt;=U$7),1,AND($K95&lt;=U$7,$L95&gt;U$7),((U$7-$K95)/($L95-$K95)))</f>
        <v>0.63157894736842102</v>
      </c>
      <c r="W95" s="226" cm="1">
        <f t="array" ref="W95">_xlfn.IFS(AND($K95&gt;V$7,$L95&gt;V$7),0,AND($K95&lt;=V$7,$L95&lt;=V$7),1,AND($K95&lt;=V$7,$L95&gt;V$7),((V$7-$K95)/($L95-$K95)))</f>
        <v>1</v>
      </c>
      <c r="X95" s="226" cm="1">
        <f t="array" ref="X95">_xlfn.IFS(AND($K95&gt;W$7,$L95&gt;W$7),0,AND($K95&lt;=W$7,$L95&lt;=W$7),1,AND($K95&lt;=W$7,$L95&gt;W$7),((W$7-$K95)/($L95-$K95)))</f>
        <v>1</v>
      </c>
      <c r="Y95" s="226" cm="1">
        <f t="array" ref="Y95">_xlfn.IFS(AND($K95&gt;X$7,$L95&gt;X$7),0,AND($K95&lt;=X$7,$L95&lt;=X$7),1,AND($K95&lt;=X$7,$L95&gt;X$7),((X$7-$K95)/($L95-$K95)))</f>
        <v>1</v>
      </c>
      <c r="Z95" s="226" cm="1">
        <f t="array" ref="Z95">_xlfn.IFS(AND($K95&gt;Y$7,$L95&gt;Y$7),0,AND($K95&lt;=Y$7,$L95&lt;=Y$7),1,AND($K95&lt;=Y$7,$L95&gt;Y$7),((Y$7-$K95)/($L95-$K95)))</f>
        <v>1</v>
      </c>
      <c r="AA95" s="226" cm="1">
        <f t="array" ref="AA95">_xlfn.IFS(AND($K95&gt;Z$7,$L95&gt;Z$7),0,AND($K95&lt;=Z$7,$L95&lt;=Z$7),1,AND($K95&lt;=Z$7,$L95&gt;Z$7),((Z$7-$K95)/($L95-$K95)))</f>
        <v>1</v>
      </c>
      <c r="AB95" s="226" cm="1">
        <f t="array" ref="AB95">_xlfn.IFS(AND($K95&gt;AA$7,$L95&gt;AA$7),0,AND($K95&lt;=AA$7,$L95&lt;=AA$7),1,AND($K95&lt;=AA$7,$L95&gt;AA$7),((AA$7-$K95)/($L95-$K95)))</f>
        <v>1</v>
      </c>
      <c r="AC95" s="226" cm="1">
        <f t="array" ref="AC95">_xlfn.IFS(AND($K95&gt;AB$7,$L95&gt;AB$7),0,AND($K95&lt;=AB$7,$L95&lt;=AB$7),1,AND($K95&lt;=AB$7,$L95&gt;AB$7),((AB$7-$K95)/($L95-$K95)))</f>
        <v>1</v>
      </c>
      <c r="AD95" s="226" cm="1">
        <f t="array" ref="AD95">_xlfn.IFS(AND($K95&gt;AC$7,$L95&gt;AC$7),0,AND($K95&lt;=AC$7,$L95&lt;=AC$7),1,AND($K95&lt;=AC$7,$L95&gt;AC$7),((AC$7-$K95)/($L95-$K95)))</f>
        <v>1</v>
      </c>
      <c r="AE95" s="226" cm="1">
        <f t="array" ref="AE95">_xlfn.IFS(AND($K95&gt;AD$7,$L95&gt;AD$7),0,AND($K95&lt;=AD$7,$L95&lt;=AD$7),1,AND($K95&lt;=AD$7,$L95&gt;AD$7),((AD$7-$K95)/($L95-$K95)))</f>
        <v>1</v>
      </c>
      <c r="AF95" s="226" cm="1">
        <f t="array" ref="AF95">_xlfn.IFS(AND($K95&gt;AE$7,$L95&gt;AE$7),0,AND($K95&lt;=AE$7,$L95&lt;=AE$7),1,AND($K95&lt;=AE$7,$L95&gt;AE$7),((AE$7-$K95)/($L95-$K95)))</f>
        <v>1</v>
      </c>
      <c r="AG95" s="226" cm="1">
        <f t="array" ref="AG95">_xlfn.IFS(AND($K95&gt;AF$7,$L95&gt;AF$7),0,AND($K95&lt;=AF$7,$L95&lt;=AF$7),1,AND($K95&lt;=AF$7,$L95&gt;AF$7),((AF$7-$K95)/($L95-$K95)))</f>
        <v>1</v>
      </c>
      <c r="AH95" s="226" cm="1">
        <f t="array" ref="AH95">_xlfn.IFS(AND($K95&gt;AG$7,$L95&gt;AG$7),0,AND($K95&lt;=AG$7,$L95&lt;=AG$7),1,AND($K95&lt;=AG$7,$L95&gt;AG$7),((AG$7-$K95)/($L95-$K95)))</f>
        <v>1</v>
      </c>
      <c r="AI95" s="226" cm="1">
        <f t="array" ref="AI95">_xlfn.IFS(AND($K95&gt;AH$7,$L95&gt;AH$7),0,AND($K95&lt;=AH$7,$L95&lt;=AH$7),1,AND($K95&lt;=AH$7,$L95&gt;AH$7),((AH$7-$K95)/($L95-$K95)))</f>
        <v>1</v>
      </c>
      <c r="AJ95" s="226" cm="1">
        <f t="array" ref="AJ95">_xlfn.IFS(AND($K95&gt;AI$7,$L95&gt;AI$7),0,AND($K95&lt;=AI$7,$L95&lt;=AI$7),1,AND($K95&lt;=AI$7,$L95&gt;AI$7),((AI$7-$K95)/($L95-$K95)))</f>
        <v>1</v>
      </c>
      <c r="AK95" s="226" cm="1">
        <f t="array" ref="AK95">_xlfn.IFS(AND($K95&gt;AJ$7,$L95&gt;AJ$7),0,AND($K95&lt;=AJ$7,$L95&lt;=AJ$7),1,AND($K95&lt;=AJ$7,$L95&gt;AJ$7),((AJ$7-$K95)/($L95-$K95)))</f>
        <v>1</v>
      </c>
      <c r="AL95" s="226" cm="1">
        <f t="array" ref="AL95">_xlfn.IFS(AND($K95&gt;AK$7,$L95&gt;AK$7),0,AND($K95&lt;=AK$7,$L95&lt;=AK$7),1,AND($K95&lt;=AK$7,$L95&gt;AK$7),((AK$7-$K95)/($L95-$K95)))</f>
        <v>1</v>
      </c>
      <c r="AM95" s="226" cm="1">
        <f t="array" ref="AM95">_xlfn.IFS(AND($K95&gt;AL$7,$L95&gt;AL$7),0,AND($K95&lt;=AL$7,$L95&lt;=AL$7),1,AND($K95&lt;=AL$7,$L95&gt;AL$7),((AL$7-$K95)/($L95-$K95)))</f>
        <v>1</v>
      </c>
      <c r="AN95" s="226" cm="1">
        <f t="array" ref="AN95">_xlfn.IFS(AND($K95&gt;AM$7,$L95&gt;AM$7),0,AND($K95&lt;=AM$7,$L95&lt;=AM$7),1,AND($K95&lt;=AM$7,$L95&gt;AM$7),((AM$7-$K95)/($L95-$K95)))</f>
        <v>1</v>
      </c>
      <c r="AO95" s="226" cm="1">
        <f t="array" ref="AO95">_xlfn.IFS(AND($K95&gt;AN$7,$L95&gt;AN$7),0,AND($K95&lt;=AN$7,$L95&lt;=AN$7),1,AND($K95&lt;=AN$7,$L95&gt;AN$7),((AN$7-$K95)/($L95-$K95)))</f>
        <v>1</v>
      </c>
      <c r="AP95" s="226" cm="1">
        <f t="array" ref="AP95">_xlfn.IFS(AND($K95&gt;AO$7,$L95&gt;AO$7),0,AND($K95&lt;=AO$7,$L95&lt;=AO$7),1,AND($K95&lt;=AO$7,$L95&gt;AO$7),((AO$7-$K95)/($L95-$K95)))</f>
        <v>1</v>
      </c>
      <c r="AQ95" s="226" cm="1">
        <f t="array" ref="AQ95">_xlfn.IFS(AND($K95&gt;AP$7,$L95&gt;AP$7),0,AND($K95&lt;=AP$7,$L95&lt;=AP$7),1,AND($K95&lt;=AP$7,$L95&gt;AP$7),((AP$7-$K95)/($L95-$K95)))</f>
        <v>1</v>
      </c>
      <c r="AR95" s="226" cm="1">
        <f t="array" ref="AR95">_xlfn.IFS(AND($K95&gt;AQ$7,$L95&gt;AQ$7),0,AND($K95&lt;=AQ$7,$L95&lt;=AQ$7),1,AND($K95&lt;=AQ$7,$L95&gt;AQ$7),((AQ$7-$K95)/($L95-$K95)))</f>
        <v>1</v>
      </c>
      <c r="AS95" s="226" cm="1">
        <f t="array" ref="AS95">_xlfn.IFS(AND($K95&gt;AR$7,$L95&gt;AR$7),0,AND($K95&lt;=AR$7,$L95&lt;=AR$7),1,AND($K95&lt;=AR$7,$L95&gt;AR$7),((AR$7-$K95)/($L95-$K95)))</f>
        <v>1</v>
      </c>
      <c r="AT95" s="226" cm="1">
        <f t="array" ref="AT95">_xlfn.IFS(AND($K95&gt;AS$7,$L95&gt;AS$7),0,AND($K95&lt;=AS$7,$L95&lt;=AS$7),1,AND($K95&lt;=AS$7,$L95&gt;AS$7),((AS$7-$K95)/($L95-$K95)))</f>
        <v>1</v>
      </c>
      <c r="AU95" s="226" cm="1">
        <f t="array" ref="AU95">_xlfn.IFS(AND($K95&gt;AT$7,$L95&gt;AT$7),0,AND($K95&lt;=AT$7,$L95&lt;=AT$7),1,AND($K95&lt;=AT$7,$L95&gt;AT$7),((AT$7-$K95)/($L95-$K95)))</f>
        <v>1</v>
      </c>
      <c r="AV95" s="226" cm="1">
        <f t="array" ref="AV95">_xlfn.IFS(AND($K95&gt;AU$7,$L95&gt;AU$7),0,AND($K95&lt;=AU$7,$L95&lt;=AU$7),1,AND($K95&lt;=AU$7,$L95&gt;AU$7),((AU$7-$K95)/($L95-$K95)))</f>
        <v>1</v>
      </c>
      <c r="AW95" s="226" cm="1">
        <f t="array" ref="AW95">_xlfn.IFS(AND($K95&gt;AV$7,$L95&gt;AV$7),0,AND($K95&lt;=AV$7,$L95&lt;=AV$7),1,AND($K95&lt;=AV$7,$L95&gt;AV$7),((AV$7-$K95)/($L95-$K95)))</f>
        <v>1</v>
      </c>
      <c r="AX95" s="226" cm="1">
        <f t="array" ref="AX95">_xlfn.IFS(AND($K95&gt;AW$7,$L95&gt;AW$7),0,AND($K95&lt;=AW$7,$L95&lt;=AW$7),1,AND($K95&lt;=AW$7,$L95&gt;AW$7),((AW$7-$K95)/($L95-$K95)))</f>
        <v>1</v>
      </c>
      <c r="AY95" s="226" cm="1">
        <f t="array" ref="AY95">_xlfn.IFS(AND($K95&gt;AX$7,$L95&gt;AX$7),0,AND($K95&lt;=AX$7,$L95&lt;=AX$7),1,AND($K95&lt;=AX$7,$L95&gt;AX$7),((AX$7-$K95)/($L95-$K95)))</f>
        <v>1</v>
      </c>
      <c r="AZ95" s="226" cm="1">
        <f t="array" ref="AZ95">_xlfn.IFS(AND($K95&gt;AY$7,$L95&gt;AY$7),0,AND($K95&lt;=AY$7,$L95&lt;=AY$7),1,AND($K95&lt;=AY$7,$L95&gt;AY$7),((AY$7-$K95)/($L95-$K95)))</f>
        <v>1</v>
      </c>
      <c r="BA95" s="226" cm="1">
        <f t="array" ref="BA95">_xlfn.IFS(AND($K95&gt;AZ$7,$L95&gt;AZ$7),0,AND($K95&lt;=AZ$7,$L95&lt;=AZ$7),1,AND($K95&lt;=AZ$7,$L95&gt;AZ$7),((AZ$7-$K95)/($L95-$K95)))</f>
        <v>1</v>
      </c>
      <c r="BB95" s="226" cm="1">
        <f t="array" ref="BB95">_xlfn.IFS(AND($K95&gt;BA$7,$L95&gt;BA$7),0,AND($K95&lt;=BA$7,$L95&lt;=BA$7),1,AND($K95&lt;=BA$7,$L95&gt;BA$7),((BA$7-$K95)/($L95-$K95)))</f>
        <v>1</v>
      </c>
      <c r="BC95" s="226" cm="1">
        <f t="array" ref="BC95">_xlfn.IFS(AND($K95&gt;BB$7,$L95&gt;BB$7),0,AND($K95&lt;=BB$7,$L95&lt;=BB$7),1,AND($K95&lt;=BB$7,$L95&gt;BB$7),((BB$7-$K95)/($L95-$K95)))</f>
        <v>1</v>
      </c>
      <c r="BD95" s="226" cm="1">
        <f t="array" ref="BD95">_xlfn.IFS(AND($K95&gt;BC$7,$L95&gt;BC$7),0,AND($K95&lt;=BC$7,$L95&lt;=BC$7),1,AND($K95&lt;=BC$7,$L95&gt;BC$7),((BC$7-$K95)/($L95-$K95)))</f>
        <v>1</v>
      </c>
      <c r="BE95" s="226" cm="1">
        <f t="array" ref="BE95">_xlfn.IFS(AND($K95&gt;BD$7,$L95&gt;BD$7),0,AND($K95&lt;=BD$7,$L95&lt;=BD$7),1,AND($K95&lt;=BD$7,$L95&gt;BD$7),((BD$7-$K95)/($L95-$K95)))</f>
        <v>1</v>
      </c>
      <c r="BF95" s="226" cm="1">
        <f t="array" ref="BF95">_xlfn.IFS(AND($K95&gt;BE$7,$L95&gt;BE$7),0,AND($K95&lt;=BE$7,$L95&lt;=BE$7),1,AND($K95&lt;=BE$7,$L95&gt;BE$7),((BE$7-$K95)/($L95-$K95)))</f>
        <v>1</v>
      </c>
      <c r="BG95" s="226" cm="1">
        <f t="array" ref="BG95">_xlfn.IFS(AND($K95&gt;BF$7,$L95&gt;BF$7),0,AND($K95&lt;=BF$7,$L95&lt;=BF$7),1,AND($K95&lt;=BF$7,$L95&gt;BF$7),((BF$7-$K95)/($L95-$K95)))</f>
        <v>1</v>
      </c>
      <c r="BH95" s="163">
        <f>Tab.plano6[[#This Row],[Data Término
Prevista]]-Tab.plano6[[#This Row],[Data Início
Previsto]]</f>
        <v>19</v>
      </c>
    </row>
    <row r="96" spans="1:60" s="163" customFormat="1" ht="18" hidden="1" customHeight="1" x14ac:dyDescent="0.3">
      <c r="A96" s="220"/>
      <c r="B96" s="220" t="s">
        <v>161</v>
      </c>
      <c r="C96" s="220" t="s">
        <v>270</v>
      </c>
      <c r="D96" s="251" t="s">
        <v>399</v>
      </c>
      <c r="E96" s="251" t="s">
        <v>422</v>
      </c>
      <c r="F96" s="251" t="s">
        <v>431</v>
      </c>
      <c r="G96" s="251" t="s">
        <v>431</v>
      </c>
      <c r="H96" s="246" t="s">
        <v>798</v>
      </c>
      <c r="I96" s="260">
        <v>46134</v>
      </c>
      <c r="J96" s="260">
        <v>46136</v>
      </c>
      <c r="K96" s="260">
        <v>46134</v>
      </c>
      <c r="L96" s="260">
        <v>46171</v>
      </c>
      <c r="M96" s="259" t="s">
        <v>432</v>
      </c>
      <c r="N96" s="227" t="str" cm="1">
        <f t="array" ref="N96">_xlfn.IFS(L96&lt;$M$3,"Concluído",AND(K96&lt;=$M$3,L96&gt;=$M$3,L96&lt;=J96),"Em andamento",AND(K96&lt;=$M$3,L96&gt;=$M$3,L96&gt;J96),"Atrasado",AND(K96&gt;$M$3,I96&gt;$M$3),"Não iniciado",AND(K96&gt;$M$3,I96&lt;=$M$3),"Atrasado",TRUE,"Não iniciado")</f>
        <v>Atrasado</v>
      </c>
      <c r="O96" s="231" cm="1">
        <f t="array" ref="O96">_xlfn.IFS(N96="Não iniciado",0,N96="Em andamento",1,N96="Concluído",2,N96="Atrasado",3)</f>
        <v>3</v>
      </c>
      <c r="P96" s="220"/>
      <c r="Q96" s="226" cm="1">
        <f t="array" ref="Q96">_xlfn.IFS(AND($I96&lt;$M$3,$J96&lt;$M$3),1,AND($I96&lt;=$M$3,$J96&gt;=$M$3),0.5,AND($I96&gt;=$M$3,$J96&gt;=$M$3),0)</f>
        <v>1</v>
      </c>
      <c r="R96" s="226" cm="1">
        <f t="array" ref="R96">_xlfn.IFS(AND($K96&lt;$M$3,$L96&lt;$M$3),1,AND($K96&lt;=$M$3,$L96&gt;=$M$3),0.5,AND($K96&gt;=$M$3,$L96&gt;=$M$3),0)</f>
        <v>0.5</v>
      </c>
      <c r="S96" s="226" cm="1">
        <f t="array" ref="S96">_xlfn.IFS(AND($K96&gt;R$7,$L96&gt;R$7),0,AND($K96&lt;=R$7,$L96&lt;=R$7),1,AND($K96&lt;=R$7,$L96&gt;R$7),((R$7-$K96)/($L96-$K96)))</f>
        <v>0</v>
      </c>
      <c r="T96" s="226" cm="1">
        <f t="array" ref="T96">_xlfn.IFS(AND($K96&gt;S$7,$L96&gt;S$7),0,AND($K96&lt;=S$7,$L96&lt;=S$7),1,AND($K96&lt;=S$7,$L96&gt;S$7),((S$7-$K96)/($L96-$K96)))</f>
        <v>0</v>
      </c>
      <c r="U96" s="226" cm="1">
        <f t="array" ref="U96">_xlfn.IFS(AND($K96&gt;T$7,$L96&gt;T$7),0,AND($K96&lt;=T$7,$L96&lt;=T$7),1,AND($K96&lt;=T$7,$L96&gt;T$7),((T$7-$K96)/($L96-$K96)))</f>
        <v>0</v>
      </c>
      <c r="V96" s="226" cm="1">
        <f t="array" ref="V96">_xlfn.IFS(AND($K96&gt;U$7,$L96&gt;U$7),0,AND($K96&lt;=U$7,$L96&lt;=U$7),1,AND($K96&lt;=U$7,$L96&gt;U$7),((U$7-$K96)/($L96-$K96)))</f>
        <v>0</v>
      </c>
      <c r="W96" s="226" cm="1">
        <f t="array" ref="W96">_xlfn.IFS(AND($K96&gt;V$7,$L96&gt;V$7),0,AND($K96&lt;=V$7,$L96&lt;=V$7),1,AND($K96&lt;=V$7,$L96&gt;V$7),((V$7-$K96)/($L96-$K96)))</f>
        <v>0</v>
      </c>
      <c r="X96" s="226" cm="1">
        <f t="array" ref="X96">_xlfn.IFS(AND($K96&gt;W$7,$L96&gt;W$7),0,AND($K96&lt;=W$7,$L96&lt;=W$7),1,AND($K96&lt;=W$7,$L96&gt;W$7),((W$7-$K96)/($L96-$K96)))</f>
        <v>0.13513513513513514</v>
      </c>
      <c r="Y96" s="226" cm="1">
        <f t="array" ref="Y96">_xlfn.IFS(AND($K96&gt;X$7,$L96&gt;X$7),0,AND($K96&lt;=X$7,$L96&lt;=X$7),1,AND($K96&lt;=X$7,$L96&gt;X$7),((X$7-$K96)/($L96-$K96)))</f>
        <v>0.32432432432432434</v>
      </c>
      <c r="Z96" s="226" cm="1">
        <f t="array" ref="Z96">_xlfn.IFS(AND($K96&gt;Y$7,$L96&gt;Y$7),0,AND($K96&lt;=Y$7,$L96&lt;=Y$7),1,AND($K96&lt;=Y$7,$L96&gt;Y$7),((Y$7-$K96)/($L96-$K96)))</f>
        <v>0.51351351351351349</v>
      </c>
      <c r="AA96" s="226" cm="1">
        <f t="array" ref="AA96">_xlfn.IFS(AND($K96&gt;Z$7,$L96&gt;Z$7),0,AND($K96&lt;=Z$7,$L96&lt;=Z$7),1,AND($K96&lt;=Z$7,$L96&gt;Z$7),((Z$7-$K96)/($L96-$K96)))</f>
        <v>0.70270270270270274</v>
      </c>
      <c r="AB96" s="226" cm="1">
        <f t="array" ref="AB96">_xlfn.IFS(AND($K96&gt;AA$7,$L96&gt;AA$7),0,AND($K96&lt;=AA$7,$L96&lt;=AA$7),1,AND($K96&lt;=AA$7,$L96&gt;AA$7),((AA$7-$K96)/($L96-$K96)))</f>
        <v>0.89189189189189189</v>
      </c>
      <c r="AC96" s="226" cm="1">
        <f t="array" ref="AC96">_xlfn.IFS(AND($K96&gt;AB$7,$L96&gt;AB$7),0,AND($K96&lt;=AB$7,$L96&lt;=AB$7),1,AND($K96&lt;=AB$7,$L96&gt;AB$7),((AB$7-$K96)/($L96-$K96)))</f>
        <v>1</v>
      </c>
      <c r="AD96" s="226" cm="1">
        <f t="array" ref="AD96">_xlfn.IFS(AND($K96&gt;AC$7,$L96&gt;AC$7),0,AND($K96&lt;=AC$7,$L96&lt;=AC$7),1,AND($K96&lt;=AC$7,$L96&gt;AC$7),((AC$7-$K96)/($L96-$K96)))</f>
        <v>1</v>
      </c>
      <c r="AE96" s="226" cm="1">
        <f t="array" ref="AE96">_xlfn.IFS(AND($K96&gt;AD$7,$L96&gt;AD$7),0,AND($K96&lt;=AD$7,$L96&lt;=AD$7),1,AND($K96&lt;=AD$7,$L96&gt;AD$7),((AD$7-$K96)/($L96-$K96)))</f>
        <v>1</v>
      </c>
      <c r="AF96" s="226" cm="1">
        <f t="array" ref="AF96">_xlfn.IFS(AND($K96&gt;AE$7,$L96&gt;AE$7),0,AND($K96&lt;=AE$7,$L96&lt;=AE$7),1,AND($K96&lt;=AE$7,$L96&gt;AE$7),((AE$7-$K96)/($L96-$K96)))</f>
        <v>1</v>
      </c>
      <c r="AG96" s="226" cm="1">
        <f t="array" ref="AG96">_xlfn.IFS(AND($K96&gt;AF$7,$L96&gt;AF$7),0,AND($K96&lt;=AF$7,$L96&lt;=AF$7),1,AND($K96&lt;=AF$7,$L96&gt;AF$7),((AF$7-$K96)/($L96-$K96)))</f>
        <v>1</v>
      </c>
      <c r="AH96" s="226" cm="1">
        <f t="array" ref="AH96">_xlfn.IFS(AND($K96&gt;AG$7,$L96&gt;AG$7),0,AND($K96&lt;=AG$7,$L96&lt;=AG$7),1,AND($K96&lt;=AG$7,$L96&gt;AG$7),((AG$7-$K96)/($L96-$K96)))</f>
        <v>1</v>
      </c>
      <c r="AI96" s="226" cm="1">
        <f t="array" ref="AI96">_xlfn.IFS(AND($K96&gt;AH$7,$L96&gt;AH$7),0,AND($K96&lt;=AH$7,$L96&lt;=AH$7),1,AND($K96&lt;=AH$7,$L96&gt;AH$7),((AH$7-$K96)/($L96-$K96)))</f>
        <v>1</v>
      </c>
      <c r="AJ96" s="226" cm="1">
        <f t="array" ref="AJ96">_xlfn.IFS(AND($K96&gt;AI$7,$L96&gt;AI$7),0,AND($K96&lt;=AI$7,$L96&lt;=AI$7),1,AND($K96&lt;=AI$7,$L96&gt;AI$7),((AI$7-$K96)/($L96-$K96)))</f>
        <v>1</v>
      </c>
      <c r="AK96" s="226" cm="1">
        <f t="array" ref="AK96">_xlfn.IFS(AND($K96&gt;AJ$7,$L96&gt;AJ$7),0,AND($K96&lt;=AJ$7,$L96&lt;=AJ$7),1,AND($K96&lt;=AJ$7,$L96&gt;AJ$7),((AJ$7-$K96)/($L96-$K96)))</f>
        <v>1</v>
      </c>
      <c r="AL96" s="226" cm="1">
        <f t="array" ref="AL96">_xlfn.IFS(AND($K96&gt;AK$7,$L96&gt;AK$7),0,AND($K96&lt;=AK$7,$L96&lt;=AK$7),1,AND($K96&lt;=AK$7,$L96&gt;AK$7),((AK$7-$K96)/($L96-$K96)))</f>
        <v>1</v>
      </c>
      <c r="AM96" s="226" cm="1">
        <f t="array" ref="AM96">_xlfn.IFS(AND($K96&gt;AL$7,$L96&gt;AL$7),0,AND($K96&lt;=AL$7,$L96&lt;=AL$7),1,AND($K96&lt;=AL$7,$L96&gt;AL$7),((AL$7-$K96)/($L96-$K96)))</f>
        <v>1</v>
      </c>
      <c r="AN96" s="226" cm="1">
        <f t="array" ref="AN96">_xlfn.IFS(AND($K96&gt;AM$7,$L96&gt;AM$7),0,AND($K96&lt;=AM$7,$L96&lt;=AM$7),1,AND($K96&lt;=AM$7,$L96&gt;AM$7),((AM$7-$K96)/($L96-$K96)))</f>
        <v>1</v>
      </c>
      <c r="AO96" s="226" cm="1">
        <f t="array" ref="AO96">_xlfn.IFS(AND($K96&gt;AN$7,$L96&gt;AN$7),0,AND($K96&lt;=AN$7,$L96&lt;=AN$7),1,AND($K96&lt;=AN$7,$L96&gt;AN$7),((AN$7-$K96)/($L96-$K96)))</f>
        <v>1</v>
      </c>
      <c r="AP96" s="226" cm="1">
        <f t="array" ref="AP96">_xlfn.IFS(AND($K96&gt;AO$7,$L96&gt;AO$7),0,AND($K96&lt;=AO$7,$L96&lt;=AO$7),1,AND($K96&lt;=AO$7,$L96&gt;AO$7),((AO$7-$K96)/($L96-$K96)))</f>
        <v>1</v>
      </c>
      <c r="AQ96" s="226" cm="1">
        <f t="array" ref="AQ96">_xlfn.IFS(AND($K96&gt;AP$7,$L96&gt;AP$7),0,AND($K96&lt;=AP$7,$L96&lt;=AP$7),1,AND($K96&lt;=AP$7,$L96&gt;AP$7),((AP$7-$K96)/($L96-$K96)))</f>
        <v>1</v>
      </c>
      <c r="AR96" s="226" cm="1">
        <f t="array" ref="AR96">_xlfn.IFS(AND($K96&gt;AQ$7,$L96&gt;AQ$7),0,AND($K96&lt;=AQ$7,$L96&lt;=AQ$7),1,AND($K96&lt;=AQ$7,$L96&gt;AQ$7),((AQ$7-$K96)/($L96-$K96)))</f>
        <v>1</v>
      </c>
      <c r="AS96" s="226" cm="1">
        <f t="array" ref="AS96">_xlfn.IFS(AND($K96&gt;AR$7,$L96&gt;AR$7),0,AND($K96&lt;=AR$7,$L96&lt;=AR$7),1,AND($K96&lt;=AR$7,$L96&gt;AR$7),((AR$7-$K96)/($L96-$K96)))</f>
        <v>1</v>
      </c>
      <c r="AT96" s="226" cm="1">
        <f t="array" ref="AT96">_xlfn.IFS(AND($K96&gt;AS$7,$L96&gt;AS$7),0,AND($K96&lt;=AS$7,$L96&lt;=AS$7),1,AND($K96&lt;=AS$7,$L96&gt;AS$7),((AS$7-$K96)/($L96-$K96)))</f>
        <v>1</v>
      </c>
      <c r="AU96" s="226" cm="1">
        <f t="array" ref="AU96">_xlfn.IFS(AND($K96&gt;AT$7,$L96&gt;AT$7),0,AND($K96&lt;=AT$7,$L96&lt;=AT$7),1,AND($K96&lt;=AT$7,$L96&gt;AT$7),((AT$7-$K96)/($L96-$K96)))</f>
        <v>1</v>
      </c>
      <c r="AV96" s="226" cm="1">
        <f t="array" ref="AV96">_xlfn.IFS(AND($K96&gt;AU$7,$L96&gt;AU$7),0,AND($K96&lt;=AU$7,$L96&lt;=AU$7),1,AND($K96&lt;=AU$7,$L96&gt;AU$7),((AU$7-$K96)/($L96-$K96)))</f>
        <v>1</v>
      </c>
      <c r="AW96" s="226" cm="1">
        <f t="array" ref="AW96">_xlfn.IFS(AND($K96&gt;AV$7,$L96&gt;AV$7),0,AND($K96&lt;=AV$7,$L96&lt;=AV$7),1,AND($K96&lt;=AV$7,$L96&gt;AV$7),((AV$7-$K96)/($L96-$K96)))</f>
        <v>1</v>
      </c>
      <c r="AX96" s="226" cm="1">
        <f t="array" ref="AX96">_xlfn.IFS(AND($K96&gt;AW$7,$L96&gt;AW$7),0,AND($K96&lt;=AW$7,$L96&lt;=AW$7),1,AND($K96&lt;=AW$7,$L96&gt;AW$7),((AW$7-$K96)/($L96-$K96)))</f>
        <v>1</v>
      </c>
      <c r="AY96" s="226" cm="1">
        <f t="array" ref="AY96">_xlfn.IFS(AND($K96&gt;AX$7,$L96&gt;AX$7),0,AND($K96&lt;=AX$7,$L96&lt;=AX$7),1,AND($K96&lt;=AX$7,$L96&gt;AX$7),((AX$7-$K96)/($L96-$K96)))</f>
        <v>1</v>
      </c>
      <c r="AZ96" s="226" cm="1">
        <f t="array" ref="AZ96">_xlfn.IFS(AND($K96&gt;AY$7,$L96&gt;AY$7),0,AND($K96&lt;=AY$7,$L96&lt;=AY$7),1,AND($K96&lt;=AY$7,$L96&gt;AY$7),((AY$7-$K96)/($L96-$K96)))</f>
        <v>1</v>
      </c>
      <c r="BA96" s="226" cm="1">
        <f t="array" ref="BA96">_xlfn.IFS(AND($K96&gt;AZ$7,$L96&gt;AZ$7),0,AND($K96&lt;=AZ$7,$L96&lt;=AZ$7),1,AND($K96&lt;=AZ$7,$L96&gt;AZ$7),((AZ$7-$K96)/($L96-$K96)))</f>
        <v>1</v>
      </c>
      <c r="BB96" s="226" cm="1">
        <f t="array" ref="BB96">_xlfn.IFS(AND($K96&gt;BA$7,$L96&gt;BA$7),0,AND($K96&lt;=BA$7,$L96&lt;=BA$7),1,AND($K96&lt;=BA$7,$L96&gt;BA$7),((BA$7-$K96)/($L96-$K96)))</f>
        <v>1</v>
      </c>
      <c r="BC96" s="226" cm="1">
        <f t="array" ref="BC96">_xlfn.IFS(AND($K96&gt;BB$7,$L96&gt;BB$7),0,AND($K96&lt;=BB$7,$L96&lt;=BB$7),1,AND($K96&lt;=BB$7,$L96&gt;BB$7),((BB$7-$K96)/($L96-$K96)))</f>
        <v>1</v>
      </c>
      <c r="BD96" s="226" cm="1">
        <f t="array" ref="BD96">_xlfn.IFS(AND($K96&gt;BC$7,$L96&gt;BC$7),0,AND($K96&lt;=BC$7,$L96&lt;=BC$7),1,AND($K96&lt;=BC$7,$L96&gt;BC$7),((BC$7-$K96)/($L96-$K96)))</f>
        <v>1</v>
      </c>
      <c r="BE96" s="226" cm="1">
        <f t="array" ref="BE96">_xlfn.IFS(AND($K96&gt;BD$7,$L96&gt;BD$7),0,AND($K96&lt;=BD$7,$L96&lt;=BD$7),1,AND($K96&lt;=BD$7,$L96&gt;BD$7),((BD$7-$K96)/($L96-$K96)))</f>
        <v>1</v>
      </c>
      <c r="BF96" s="226" cm="1">
        <f t="array" ref="BF96">_xlfn.IFS(AND($K96&gt;BE$7,$L96&gt;BE$7),0,AND($K96&lt;=BE$7,$L96&lt;=BE$7),1,AND($K96&lt;=BE$7,$L96&gt;BE$7),((BE$7-$K96)/($L96-$K96)))</f>
        <v>1</v>
      </c>
      <c r="BG96" s="226" cm="1">
        <f t="array" ref="BG96">_xlfn.IFS(AND($K96&gt;BF$7,$L96&gt;BF$7),0,AND($K96&lt;=BF$7,$L96&lt;=BF$7),1,AND($K96&lt;=BF$7,$L96&gt;BF$7),((BF$7-$K96)/($L96-$K96)))</f>
        <v>1</v>
      </c>
      <c r="BH96" s="163">
        <f>Tab.plano6[[#This Row],[Data Término
Prevista]]-Tab.plano6[[#This Row],[Data Início
Previsto]]</f>
        <v>2</v>
      </c>
    </row>
    <row r="97" spans="1:60" customFormat="1" ht="18" hidden="1" customHeight="1" x14ac:dyDescent="0.3">
      <c r="A97" s="216"/>
      <c r="B97" s="216" t="s">
        <v>12</v>
      </c>
      <c r="C97" s="216" t="s">
        <v>435</v>
      </c>
      <c r="D97" s="249" t="s">
        <v>399</v>
      </c>
      <c r="E97" s="249" t="s">
        <v>422</v>
      </c>
      <c r="F97" s="249" t="s">
        <v>74</v>
      </c>
      <c r="G97" s="249" t="s">
        <v>74</v>
      </c>
      <c r="H97" s="252" t="s">
        <v>820</v>
      </c>
      <c r="I97" s="257">
        <f>I98</f>
        <v>46111</v>
      </c>
      <c r="J97" s="257">
        <f>J98</f>
        <v>46132</v>
      </c>
      <c r="K97" s="257">
        <f>K98</f>
        <v>46111</v>
      </c>
      <c r="L97" s="257">
        <f>L98</f>
        <v>46171</v>
      </c>
      <c r="M97" s="229" t="s">
        <v>437</v>
      </c>
      <c r="N97" s="227" t="str" cm="1">
        <f t="array" ref="N97">_xlfn.IFS(L97&lt;$M$3,"Concluído",AND(K97&lt;=$M$3,L97&gt;=$M$3,L97&lt;=J97),"Em andamento",AND(K97&lt;=$M$3,L97&gt;=$M$3,L97&gt;J97),"Atrasado",AND(K97&gt;$M$3,I97&gt;$M$3),"Não iniciado",AND(K97&gt;$M$3,I97&lt;=$M$3),"Atrasado",TRUE,"Não iniciado")</f>
        <v>Atrasado</v>
      </c>
      <c r="O97" s="229" cm="1">
        <f t="array" ref="O97">_xlfn.IFS(N97="Não iniciado",0,N97="Em andamento",1,N97="Concluído",2,N97="Atrasado",3)</f>
        <v>3</v>
      </c>
      <c r="P97" s="216"/>
      <c r="Q97" s="224">
        <f t="shared" ref="Q97:BG97" si="39">Q98</f>
        <v>1</v>
      </c>
      <c r="R97" s="224">
        <f t="shared" si="39"/>
        <v>0.83333333333333337</v>
      </c>
      <c r="S97" s="224">
        <f t="shared" si="39"/>
        <v>0</v>
      </c>
      <c r="T97" s="224">
        <f t="shared" si="39"/>
        <v>0</v>
      </c>
      <c r="U97" s="224">
        <f t="shared" si="39"/>
        <v>0.40579710144927539</v>
      </c>
      <c r="V97" s="224">
        <f t="shared" si="39"/>
        <v>0.50724637681159424</v>
      </c>
      <c r="W97" s="224">
        <f t="shared" si="39"/>
        <v>0.60869565217391308</v>
      </c>
      <c r="X97" s="224">
        <f t="shared" si="39"/>
        <v>0.68627450980392146</v>
      </c>
      <c r="Y97" s="224">
        <f t="shared" si="39"/>
        <v>0.75490196078431371</v>
      </c>
      <c r="Z97" s="224">
        <f t="shared" si="39"/>
        <v>0.82352941176470595</v>
      </c>
      <c r="AA97" s="224">
        <f t="shared" si="39"/>
        <v>0.89215686274509809</v>
      </c>
      <c r="AB97" s="224">
        <f t="shared" si="39"/>
        <v>0.96078431372549022</v>
      </c>
      <c r="AC97" s="224">
        <f t="shared" si="39"/>
        <v>1</v>
      </c>
      <c r="AD97" s="224">
        <f t="shared" si="39"/>
        <v>1</v>
      </c>
      <c r="AE97" s="224">
        <f t="shared" si="39"/>
        <v>1</v>
      </c>
      <c r="AF97" s="224">
        <f t="shared" si="39"/>
        <v>1</v>
      </c>
      <c r="AG97" s="224">
        <f t="shared" si="39"/>
        <v>1</v>
      </c>
      <c r="AH97" s="224">
        <f t="shared" si="39"/>
        <v>1</v>
      </c>
      <c r="AI97" s="224">
        <f t="shared" si="39"/>
        <v>1</v>
      </c>
      <c r="AJ97" s="224">
        <f t="shared" si="39"/>
        <v>1</v>
      </c>
      <c r="AK97" s="224">
        <f t="shared" si="39"/>
        <v>1</v>
      </c>
      <c r="AL97" s="224">
        <f t="shared" si="39"/>
        <v>1</v>
      </c>
      <c r="AM97" s="224">
        <f t="shared" si="39"/>
        <v>1</v>
      </c>
      <c r="AN97" s="224">
        <f t="shared" si="39"/>
        <v>1</v>
      </c>
      <c r="AO97" s="224">
        <f t="shared" si="39"/>
        <v>1</v>
      </c>
      <c r="AP97" s="224">
        <f t="shared" si="39"/>
        <v>1</v>
      </c>
      <c r="AQ97" s="224">
        <f t="shared" si="39"/>
        <v>1</v>
      </c>
      <c r="AR97" s="224">
        <f t="shared" si="39"/>
        <v>1</v>
      </c>
      <c r="AS97" s="224">
        <f t="shared" si="39"/>
        <v>1</v>
      </c>
      <c r="AT97" s="224">
        <f t="shared" si="39"/>
        <v>1</v>
      </c>
      <c r="AU97" s="224">
        <f t="shared" si="39"/>
        <v>1</v>
      </c>
      <c r="AV97" s="224">
        <f t="shared" si="39"/>
        <v>1</v>
      </c>
      <c r="AW97" s="224">
        <f t="shared" si="39"/>
        <v>1</v>
      </c>
      <c r="AX97" s="224">
        <f t="shared" si="39"/>
        <v>1</v>
      </c>
      <c r="AY97" s="224">
        <f t="shared" si="39"/>
        <v>1</v>
      </c>
      <c r="AZ97" s="224">
        <f t="shared" si="39"/>
        <v>1</v>
      </c>
      <c r="BA97" s="224">
        <f t="shared" si="39"/>
        <v>1</v>
      </c>
      <c r="BB97" s="224">
        <f t="shared" si="39"/>
        <v>1</v>
      </c>
      <c r="BC97" s="224">
        <f t="shared" si="39"/>
        <v>1</v>
      </c>
      <c r="BD97" s="224">
        <f t="shared" si="39"/>
        <v>1</v>
      </c>
      <c r="BE97" s="224">
        <f t="shared" si="39"/>
        <v>1</v>
      </c>
      <c r="BF97" s="224">
        <f t="shared" si="39"/>
        <v>1</v>
      </c>
      <c r="BG97" s="224">
        <f t="shared" si="39"/>
        <v>1</v>
      </c>
      <c r="BH97" s="163">
        <f>Tab.plano6[[#This Row],[Data Término
Prevista]]-Tab.plano6[[#This Row],[Data Início
Previsto]]</f>
        <v>21</v>
      </c>
    </row>
    <row r="98" spans="1:60" customFormat="1" ht="18" hidden="1" customHeight="1" x14ac:dyDescent="0.3">
      <c r="A98" s="218"/>
      <c r="B98" s="218" t="s">
        <v>13</v>
      </c>
      <c r="C98" s="218" t="s">
        <v>438</v>
      </c>
      <c r="D98" s="250" t="s">
        <v>399</v>
      </c>
      <c r="E98" s="250" t="s">
        <v>422</v>
      </c>
      <c r="F98" s="250" t="s">
        <v>436</v>
      </c>
      <c r="G98" s="250" t="s">
        <v>74</v>
      </c>
      <c r="H98" s="219" t="s">
        <v>436</v>
      </c>
      <c r="I98" s="258">
        <f>MIN(I99:I101)</f>
        <v>46111</v>
      </c>
      <c r="J98" s="258">
        <f>MAX(J99:J101)</f>
        <v>46132</v>
      </c>
      <c r="K98" s="258">
        <f>MIN(K99:K101)</f>
        <v>46111</v>
      </c>
      <c r="L98" s="258">
        <f>MAX(L99:L101)</f>
        <v>46171</v>
      </c>
      <c r="M98" s="230" t="s">
        <v>437</v>
      </c>
      <c r="N98" s="227" t="str" cm="1">
        <f t="array" ref="N98">_xlfn.IFS(L98&lt;$M$3,"Concluído",AND(K98&lt;=$M$3,L98&gt;=$M$3,L98&lt;=J98),"Em andamento",AND(K98&lt;=$M$3,L98&gt;=$M$3,L98&gt;J98),"Atrasado",AND(K98&gt;$M$3,I98&gt;$M$3),"Não iniciado",AND(K98&gt;$M$3,I98&lt;=$M$3),"Atrasado",TRUE,"Não iniciado")</f>
        <v>Atrasado</v>
      </c>
      <c r="O98" s="230" cm="1">
        <f t="array" ref="O98">_xlfn.IFS(N98="Não iniciado",0,N98="Em andamento",1,N98="Concluído",2,N98="Atrasado",3)</f>
        <v>3</v>
      </c>
      <c r="P98" s="218"/>
      <c r="Q98" s="225">
        <f t="shared" ref="Q98:BG98" si="40">AVERAGE(Q99:Q101)</f>
        <v>1</v>
      </c>
      <c r="R98" s="225">
        <f t="shared" si="40"/>
        <v>0.83333333333333337</v>
      </c>
      <c r="S98" s="225">
        <f t="shared" si="40"/>
        <v>0</v>
      </c>
      <c r="T98" s="225">
        <f t="shared" si="40"/>
        <v>0</v>
      </c>
      <c r="U98" s="225">
        <f t="shared" si="40"/>
        <v>0.40579710144927539</v>
      </c>
      <c r="V98" s="225">
        <f t="shared" si="40"/>
        <v>0.50724637681159424</v>
      </c>
      <c r="W98" s="225">
        <f t="shared" si="40"/>
        <v>0.60869565217391308</v>
      </c>
      <c r="X98" s="225">
        <f t="shared" si="40"/>
        <v>0.68627450980392146</v>
      </c>
      <c r="Y98" s="225">
        <f t="shared" si="40"/>
        <v>0.75490196078431371</v>
      </c>
      <c r="Z98" s="225">
        <f t="shared" si="40"/>
        <v>0.82352941176470595</v>
      </c>
      <c r="AA98" s="225">
        <f t="shared" si="40"/>
        <v>0.89215686274509809</v>
      </c>
      <c r="AB98" s="225">
        <f t="shared" si="40"/>
        <v>0.96078431372549022</v>
      </c>
      <c r="AC98" s="225">
        <f t="shared" si="40"/>
        <v>1</v>
      </c>
      <c r="AD98" s="225">
        <f t="shared" si="40"/>
        <v>1</v>
      </c>
      <c r="AE98" s="225">
        <f t="shared" si="40"/>
        <v>1</v>
      </c>
      <c r="AF98" s="225">
        <f t="shared" si="40"/>
        <v>1</v>
      </c>
      <c r="AG98" s="225">
        <f t="shared" si="40"/>
        <v>1</v>
      </c>
      <c r="AH98" s="225">
        <f t="shared" si="40"/>
        <v>1</v>
      </c>
      <c r="AI98" s="225">
        <f t="shared" si="40"/>
        <v>1</v>
      </c>
      <c r="AJ98" s="225">
        <f t="shared" si="40"/>
        <v>1</v>
      </c>
      <c r="AK98" s="225">
        <f t="shared" si="40"/>
        <v>1</v>
      </c>
      <c r="AL98" s="225">
        <f t="shared" si="40"/>
        <v>1</v>
      </c>
      <c r="AM98" s="225">
        <f t="shared" si="40"/>
        <v>1</v>
      </c>
      <c r="AN98" s="225">
        <f t="shared" si="40"/>
        <v>1</v>
      </c>
      <c r="AO98" s="225">
        <f t="shared" si="40"/>
        <v>1</v>
      </c>
      <c r="AP98" s="225">
        <f t="shared" si="40"/>
        <v>1</v>
      </c>
      <c r="AQ98" s="225">
        <f t="shared" si="40"/>
        <v>1</v>
      </c>
      <c r="AR98" s="225">
        <f t="shared" si="40"/>
        <v>1</v>
      </c>
      <c r="AS98" s="225">
        <f t="shared" si="40"/>
        <v>1</v>
      </c>
      <c r="AT98" s="225">
        <f t="shared" si="40"/>
        <v>1</v>
      </c>
      <c r="AU98" s="225">
        <f t="shared" si="40"/>
        <v>1</v>
      </c>
      <c r="AV98" s="225">
        <f t="shared" si="40"/>
        <v>1</v>
      </c>
      <c r="AW98" s="225">
        <f t="shared" si="40"/>
        <v>1</v>
      </c>
      <c r="AX98" s="225">
        <f t="shared" si="40"/>
        <v>1</v>
      </c>
      <c r="AY98" s="225">
        <f t="shared" si="40"/>
        <v>1</v>
      </c>
      <c r="AZ98" s="225">
        <f t="shared" si="40"/>
        <v>1</v>
      </c>
      <c r="BA98" s="225">
        <f t="shared" si="40"/>
        <v>1</v>
      </c>
      <c r="BB98" s="225">
        <f t="shared" si="40"/>
        <v>1</v>
      </c>
      <c r="BC98" s="225">
        <f t="shared" si="40"/>
        <v>1</v>
      </c>
      <c r="BD98" s="225">
        <f t="shared" si="40"/>
        <v>1</v>
      </c>
      <c r="BE98" s="225">
        <f t="shared" si="40"/>
        <v>1</v>
      </c>
      <c r="BF98" s="225">
        <f t="shared" si="40"/>
        <v>1</v>
      </c>
      <c r="BG98" s="225">
        <f t="shared" si="40"/>
        <v>1</v>
      </c>
      <c r="BH98" s="163">
        <f>Tab.plano6[[#This Row],[Data Término
Prevista]]-Tab.plano6[[#This Row],[Data Início
Previsto]]</f>
        <v>21</v>
      </c>
    </row>
    <row r="99" spans="1:60" s="163" customFormat="1" ht="18" hidden="1" customHeight="1" x14ac:dyDescent="0.3">
      <c r="A99" s="220"/>
      <c r="B99" s="220" t="s">
        <v>161</v>
      </c>
      <c r="C99" s="220" t="s">
        <v>439</v>
      </c>
      <c r="D99" s="251" t="s">
        <v>399</v>
      </c>
      <c r="E99" s="251" t="s">
        <v>422</v>
      </c>
      <c r="F99" s="251" t="s">
        <v>436</v>
      </c>
      <c r="G99" s="251" t="s">
        <v>436</v>
      </c>
      <c r="H99" s="221" t="s">
        <v>440</v>
      </c>
      <c r="I99" s="260">
        <v>46111</v>
      </c>
      <c r="J99" s="260">
        <v>46112</v>
      </c>
      <c r="K99" s="260">
        <v>46111</v>
      </c>
      <c r="L99" s="260">
        <v>46112</v>
      </c>
      <c r="M99" s="231" t="s">
        <v>437</v>
      </c>
      <c r="N99" s="227" t="str" cm="1">
        <f t="array" ref="N99">_xlfn.IFS(L99&lt;$M$3,"Concluído",AND(K99&lt;=$M$3,L99&gt;=$M$3,L99&lt;=J99),"Em andamento",AND(K99&lt;=$M$3,L99&gt;=$M$3,L99&gt;J99),"Atrasado",AND(K99&gt;$M$3,I99&gt;$M$3),"Não iniciado",AND(K99&gt;$M$3,I99&lt;=$M$3),"Atrasado",TRUE,"Não iniciado")</f>
        <v>Concluído</v>
      </c>
      <c r="O99" s="231" cm="1">
        <f t="array" ref="O99">_xlfn.IFS(N99="Não iniciado",0,N99="Em andamento",1,N99="Concluído",2,N99="Atrasado",3)</f>
        <v>2</v>
      </c>
      <c r="P99" s="220"/>
      <c r="Q99" s="226" cm="1">
        <f t="array" ref="Q99">_xlfn.IFS(AND($I99&lt;$M$3,$J99&lt;$M$3),1,AND($I99&lt;=$M$3,$J99&gt;=$M$3),0.5,AND($I99&gt;=$M$3,$J99&gt;=$M$3),0)</f>
        <v>1</v>
      </c>
      <c r="R99" s="226" cm="1">
        <f t="array" ref="R99">_xlfn.IFS(AND($K99&lt;$M$3,$L99&lt;$M$3),1,AND($K99&lt;=$M$3,$L99&gt;=$M$3),0.5,AND($K99&gt;=$M$3,$L99&gt;=$M$3),0)</f>
        <v>1</v>
      </c>
      <c r="S99" s="226" cm="1">
        <f t="array" ref="S99">_xlfn.IFS(AND($K99&gt;R$7,$L99&gt;R$7),0,AND($K99&lt;=R$7,$L99&lt;=R$7),1,AND($K99&lt;=R$7,$L99&gt;R$7),((R$7-$K99)/($L99-$K99)))</f>
        <v>0</v>
      </c>
      <c r="T99" s="226" cm="1">
        <f t="array" ref="T99">_xlfn.IFS(AND($K99&gt;S$7,$L99&gt;S$7),0,AND($K99&lt;=S$7,$L99&lt;=S$7),1,AND($K99&lt;=S$7,$L99&gt;S$7),((S$7-$K99)/($L99-$K99)))</f>
        <v>0</v>
      </c>
      <c r="U99" s="226" cm="1">
        <f t="array" ref="U99">_xlfn.IFS(AND($K99&gt;T$7,$L99&gt;T$7),0,AND($K99&lt;=T$7,$L99&lt;=T$7),1,AND($K99&lt;=T$7,$L99&gt;T$7),((T$7-$K99)/($L99-$K99)))</f>
        <v>1</v>
      </c>
      <c r="V99" s="226" cm="1">
        <f t="array" ref="V99">_xlfn.IFS(AND($K99&gt;U$7,$L99&gt;U$7),0,AND($K99&lt;=U$7,$L99&lt;=U$7),1,AND($K99&lt;=U$7,$L99&gt;U$7),((U$7-$K99)/($L99-$K99)))</f>
        <v>1</v>
      </c>
      <c r="W99" s="226" cm="1">
        <f t="array" ref="W99">_xlfn.IFS(AND($K99&gt;V$7,$L99&gt;V$7),0,AND($K99&lt;=V$7,$L99&lt;=V$7),1,AND($K99&lt;=V$7,$L99&gt;V$7),((V$7-$K99)/($L99-$K99)))</f>
        <v>1</v>
      </c>
      <c r="X99" s="226" cm="1">
        <f t="array" ref="X99">_xlfn.IFS(AND($K99&gt;W$7,$L99&gt;W$7),0,AND($K99&lt;=W$7,$L99&lt;=W$7),1,AND($K99&lt;=W$7,$L99&gt;W$7),((W$7-$K99)/($L99-$K99)))</f>
        <v>1</v>
      </c>
      <c r="Y99" s="226" cm="1">
        <f t="array" ref="Y99">_xlfn.IFS(AND($K99&gt;X$7,$L99&gt;X$7),0,AND($K99&lt;=X$7,$L99&lt;=X$7),1,AND($K99&lt;=X$7,$L99&gt;X$7),((X$7-$K99)/($L99-$K99)))</f>
        <v>1</v>
      </c>
      <c r="Z99" s="226" cm="1">
        <f t="array" ref="Z99">_xlfn.IFS(AND($K99&gt;Y$7,$L99&gt;Y$7),0,AND($K99&lt;=Y$7,$L99&lt;=Y$7),1,AND($K99&lt;=Y$7,$L99&gt;Y$7),((Y$7-$K99)/($L99-$K99)))</f>
        <v>1</v>
      </c>
      <c r="AA99" s="226" cm="1">
        <f t="array" ref="AA99">_xlfn.IFS(AND($K99&gt;Z$7,$L99&gt;Z$7),0,AND($K99&lt;=Z$7,$L99&lt;=Z$7),1,AND($K99&lt;=Z$7,$L99&gt;Z$7),((Z$7-$K99)/($L99-$K99)))</f>
        <v>1</v>
      </c>
      <c r="AB99" s="226" cm="1">
        <f t="array" ref="AB99">_xlfn.IFS(AND($K99&gt;AA$7,$L99&gt;AA$7),0,AND($K99&lt;=AA$7,$L99&lt;=AA$7),1,AND($K99&lt;=AA$7,$L99&gt;AA$7),((AA$7-$K99)/($L99-$K99)))</f>
        <v>1</v>
      </c>
      <c r="AC99" s="226" cm="1">
        <f t="array" ref="AC99">_xlfn.IFS(AND($K99&gt;AB$7,$L99&gt;AB$7),0,AND($K99&lt;=AB$7,$L99&lt;=AB$7),1,AND($K99&lt;=AB$7,$L99&gt;AB$7),((AB$7-$K99)/($L99-$K99)))</f>
        <v>1</v>
      </c>
      <c r="AD99" s="226" cm="1">
        <f t="array" ref="AD99">_xlfn.IFS(AND($K99&gt;AC$7,$L99&gt;AC$7),0,AND($K99&lt;=AC$7,$L99&lt;=AC$7),1,AND($K99&lt;=AC$7,$L99&gt;AC$7),((AC$7-$K99)/($L99-$K99)))</f>
        <v>1</v>
      </c>
      <c r="AE99" s="226" cm="1">
        <f t="array" ref="AE99">_xlfn.IFS(AND($K99&gt;AD$7,$L99&gt;AD$7),0,AND($K99&lt;=AD$7,$L99&lt;=AD$7),1,AND($K99&lt;=AD$7,$L99&gt;AD$7),((AD$7-$K99)/($L99-$K99)))</f>
        <v>1</v>
      </c>
      <c r="AF99" s="226" cm="1">
        <f t="array" ref="AF99">_xlfn.IFS(AND($K99&gt;AE$7,$L99&gt;AE$7),0,AND($K99&lt;=AE$7,$L99&lt;=AE$7),1,AND($K99&lt;=AE$7,$L99&gt;AE$7),((AE$7-$K99)/($L99-$K99)))</f>
        <v>1</v>
      </c>
      <c r="AG99" s="226" cm="1">
        <f t="array" ref="AG99">_xlfn.IFS(AND($K99&gt;AF$7,$L99&gt;AF$7),0,AND($K99&lt;=AF$7,$L99&lt;=AF$7),1,AND($K99&lt;=AF$7,$L99&gt;AF$7),((AF$7-$K99)/($L99-$K99)))</f>
        <v>1</v>
      </c>
      <c r="AH99" s="226" cm="1">
        <f t="array" ref="AH99">_xlfn.IFS(AND($K99&gt;AG$7,$L99&gt;AG$7),0,AND($K99&lt;=AG$7,$L99&lt;=AG$7),1,AND($K99&lt;=AG$7,$L99&gt;AG$7),((AG$7-$K99)/($L99-$K99)))</f>
        <v>1</v>
      </c>
      <c r="AI99" s="226" cm="1">
        <f t="array" ref="AI99">_xlfn.IFS(AND($K99&gt;AH$7,$L99&gt;AH$7),0,AND($K99&lt;=AH$7,$L99&lt;=AH$7),1,AND($K99&lt;=AH$7,$L99&gt;AH$7),((AH$7-$K99)/($L99-$K99)))</f>
        <v>1</v>
      </c>
      <c r="AJ99" s="226" cm="1">
        <f t="array" ref="AJ99">_xlfn.IFS(AND($K99&gt;AI$7,$L99&gt;AI$7),0,AND($K99&lt;=AI$7,$L99&lt;=AI$7),1,AND($K99&lt;=AI$7,$L99&gt;AI$7),((AI$7-$K99)/($L99-$K99)))</f>
        <v>1</v>
      </c>
      <c r="AK99" s="226" cm="1">
        <f t="array" ref="AK99">_xlfn.IFS(AND($K99&gt;AJ$7,$L99&gt;AJ$7),0,AND($K99&lt;=AJ$7,$L99&lt;=AJ$7),1,AND($K99&lt;=AJ$7,$L99&gt;AJ$7),((AJ$7-$K99)/($L99-$K99)))</f>
        <v>1</v>
      </c>
      <c r="AL99" s="226" cm="1">
        <f t="array" ref="AL99">_xlfn.IFS(AND($K99&gt;AK$7,$L99&gt;AK$7),0,AND($K99&lt;=AK$7,$L99&lt;=AK$7),1,AND($K99&lt;=AK$7,$L99&gt;AK$7),((AK$7-$K99)/($L99-$K99)))</f>
        <v>1</v>
      </c>
      <c r="AM99" s="226" cm="1">
        <f t="array" ref="AM99">_xlfn.IFS(AND($K99&gt;AL$7,$L99&gt;AL$7),0,AND($K99&lt;=AL$7,$L99&lt;=AL$7),1,AND($K99&lt;=AL$7,$L99&gt;AL$7),((AL$7-$K99)/($L99-$K99)))</f>
        <v>1</v>
      </c>
      <c r="AN99" s="226" cm="1">
        <f t="array" ref="AN99">_xlfn.IFS(AND($K99&gt;AM$7,$L99&gt;AM$7),0,AND($K99&lt;=AM$7,$L99&lt;=AM$7),1,AND($K99&lt;=AM$7,$L99&gt;AM$7),((AM$7-$K99)/($L99-$K99)))</f>
        <v>1</v>
      </c>
      <c r="AO99" s="226" cm="1">
        <f t="array" ref="AO99">_xlfn.IFS(AND($K99&gt;AN$7,$L99&gt;AN$7),0,AND($K99&lt;=AN$7,$L99&lt;=AN$7),1,AND($K99&lt;=AN$7,$L99&gt;AN$7),((AN$7-$K99)/($L99-$K99)))</f>
        <v>1</v>
      </c>
      <c r="AP99" s="226" cm="1">
        <f t="array" ref="AP99">_xlfn.IFS(AND($K99&gt;AO$7,$L99&gt;AO$7),0,AND($K99&lt;=AO$7,$L99&lt;=AO$7),1,AND($K99&lt;=AO$7,$L99&gt;AO$7),((AO$7-$K99)/($L99-$K99)))</f>
        <v>1</v>
      </c>
      <c r="AQ99" s="226" cm="1">
        <f t="array" ref="AQ99">_xlfn.IFS(AND($K99&gt;AP$7,$L99&gt;AP$7),0,AND($K99&lt;=AP$7,$L99&lt;=AP$7),1,AND($K99&lt;=AP$7,$L99&gt;AP$7),((AP$7-$K99)/($L99-$K99)))</f>
        <v>1</v>
      </c>
      <c r="AR99" s="226" cm="1">
        <f t="array" ref="AR99">_xlfn.IFS(AND($K99&gt;AQ$7,$L99&gt;AQ$7),0,AND($K99&lt;=AQ$7,$L99&lt;=AQ$7),1,AND($K99&lt;=AQ$7,$L99&gt;AQ$7),((AQ$7-$K99)/($L99-$K99)))</f>
        <v>1</v>
      </c>
      <c r="AS99" s="226" cm="1">
        <f t="array" ref="AS99">_xlfn.IFS(AND($K99&gt;AR$7,$L99&gt;AR$7),0,AND($K99&lt;=AR$7,$L99&lt;=AR$7),1,AND($K99&lt;=AR$7,$L99&gt;AR$7),((AR$7-$K99)/($L99-$K99)))</f>
        <v>1</v>
      </c>
      <c r="AT99" s="226" cm="1">
        <f t="array" ref="AT99">_xlfn.IFS(AND($K99&gt;AS$7,$L99&gt;AS$7),0,AND($K99&lt;=AS$7,$L99&lt;=AS$7),1,AND($K99&lt;=AS$7,$L99&gt;AS$7),((AS$7-$K99)/($L99-$K99)))</f>
        <v>1</v>
      </c>
      <c r="AU99" s="226" cm="1">
        <f t="array" ref="AU99">_xlfn.IFS(AND($K99&gt;AT$7,$L99&gt;AT$7),0,AND($K99&lt;=AT$7,$L99&lt;=AT$7),1,AND($K99&lt;=AT$7,$L99&gt;AT$7),((AT$7-$K99)/($L99-$K99)))</f>
        <v>1</v>
      </c>
      <c r="AV99" s="226" cm="1">
        <f t="array" ref="AV99">_xlfn.IFS(AND($K99&gt;AU$7,$L99&gt;AU$7),0,AND($K99&lt;=AU$7,$L99&lt;=AU$7),1,AND($K99&lt;=AU$7,$L99&gt;AU$7),((AU$7-$K99)/($L99-$K99)))</f>
        <v>1</v>
      </c>
      <c r="AW99" s="226" cm="1">
        <f t="array" ref="AW99">_xlfn.IFS(AND($K99&gt;AV$7,$L99&gt;AV$7),0,AND($K99&lt;=AV$7,$L99&lt;=AV$7),1,AND($K99&lt;=AV$7,$L99&gt;AV$7),((AV$7-$K99)/($L99-$K99)))</f>
        <v>1</v>
      </c>
      <c r="AX99" s="226" cm="1">
        <f t="array" ref="AX99">_xlfn.IFS(AND($K99&gt;AW$7,$L99&gt;AW$7),0,AND($K99&lt;=AW$7,$L99&lt;=AW$7),1,AND($K99&lt;=AW$7,$L99&gt;AW$7),((AW$7-$K99)/($L99-$K99)))</f>
        <v>1</v>
      </c>
      <c r="AY99" s="226" cm="1">
        <f t="array" ref="AY99">_xlfn.IFS(AND($K99&gt;AX$7,$L99&gt;AX$7),0,AND($K99&lt;=AX$7,$L99&lt;=AX$7),1,AND($K99&lt;=AX$7,$L99&gt;AX$7),((AX$7-$K99)/($L99-$K99)))</f>
        <v>1</v>
      </c>
      <c r="AZ99" s="226" cm="1">
        <f t="array" ref="AZ99">_xlfn.IFS(AND($K99&gt;AY$7,$L99&gt;AY$7),0,AND($K99&lt;=AY$7,$L99&lt;=AY$7),1,AND($K99&lt;=AY$7,$L99&gt;AY$7),((AY$7-$K99)/($L99-$K99)))</f>
        <v>1</v>
      </c>
      <c r="BA99" s="226" cm="1">
        <f t="array" ref="BA99">_xlfn.IFS(AND($K99&gt;AZ$7,$L99&gt;AZ$7),0,AND($K99&lt;=AZ$7,$L99&lt;=AZ$7),1,AND($K99&lt;=AZ$7,$L99&gt;AZ$7),((AZ$7-$K99)/($L99-$K99)))</f>
        <v>1</v>
      </c>
      <c r="BB99" s="226" cm="1">
        <f t="array" ref="BB99">_xlfn.IFS(AND($K99&gt;BA$7,$L99&gt;BA$7),0,AND($K99&lt;=BA$7,$L99&lt;=BA$7),1,AND($K99&lt;=BA$7,$L99&gt;BA$7),((BA$7-$K99)/($L99-$K99)))</f>
        <v>1</v>
      </c>
      <c r="BC99" s="226" cm="1">
        <f t="array" ref="BC99">_xlfn.IFS(AND($K99&gt;BB$7,$L99&gt;BB$7),0,AND($K99&lt;=BB$7,$L99&lt;=BB$7),1,AND($K99&lt;=BB$7,$L99&gt;BB$7),((BB$7-$K99)/($L99-$K99)))</f>
        <v>1</v>
      </c>
      <c r="BD99" s="226" cm="1">
        <f t="array" ref="BD99">_xlfn.IFS(AND($K99&gt;BC$7,$L99&gt;BC$7),0,AND($K99&lt;=BC$7,$L99&lt;=BC$7),1,AND($K99&lt;=BC$7,$L99&gt;BC$7),((BC$7-$K99)/($L99-$K99)))</f>
        <v>1</v>
      </c>
      <c r="BE99" s="226" cm="1">
        <f t="array" ref="BE99">_xlfn.IFS(AND($K99&gt;BD$7,$L99&gt;BD$7),0,AND($K99&lt;=BD$7,$L99&lt;=BD$7),1,AND($K99&lt;=BD$7,$L99&gt;BD$7),((BD$7-$K99)/($L99-$K99)))</f>
        <v>1</v>
      </c>
      <c r="BF99" s="226" cm="1">
        <f t="array" ref="BF99">_xlfn.IFS(AND($K99&gt;BE$7,$L99&gt;BE$7),0,AND($K99&lt;=BE$7,$L99&lt;=BE$7),1,AND($K99&lt;=BE$7,$L99&gt;BE$7),((BE$7-$K99)/($L99-$K99)))</f>
        <v>1</v>
      </c>
      <c r="BG99" s="226" cm="1">
        <f t="array" ref="BG99">_xlfn.IFS(AND($K99&gt;BF$7,$L99&gt;BF$7),0,AND($K99&lt;=BF$7,$L99&lt;=BF$7),1,AND($K99&lt;=BF$7,$L99&gt;BF$7),((BF$7-$K99)/($L99-$K99)))</f>
        <v>1</v>
      </c>
      <c r="BH99" s="163">
        <f>Tab.plano6[[#This Row],[Data Término
Prevista]]-Tab.plano6[[#This Row],[Data Início
Previsto]]</f>
        <v>1</v>
      </c>
    </row>
    <row r="100" spans="1:60" s="163" customFormat="1" ht="18" hidden="1" customHeight="1" x14ac:dyDescent="0.3">
      <c r="A100" s="220"/>
      <c r="B100" s="220" t="s">
        <v>161</v>
      </c>
      <c r="C100" s="220" t="s">
        <v>441</v>
      </c>
      <c r="D100" s="251" t="s">
        <v>399</v>
      </c>
      <c r="E100" s="251" t="s">
        <v>422</v>
      </c>
      <c r="F100" s="251" t="s">
        <v>436</v>
      </c>
      <c r="G100" s="251" t="s">
        <v>436</v>
      </c>
      <c r="H100" s="221" t="s">
        <v>442</v>
      </c>
      <c r="I100" s="260">
        <v>46113</v>
      </c>
      <c r="J100" s="260">
        <v>46127</v>
      </c>
      <c r="K100" s="260">
        <v>46113</v>
      </c>
      <c r="L100" s="260">
        <v>46136</v>
      </c>
      <c r="M100" s="231" t="s">
        <v>437</v>
      </c>
      <c r="N100" s="227" t="str" cm="1">
        <f t="array" ref="N100">_xlfn.IFS(L100&lt;$M$3,"Concluído",AND(K100&lt;=$M$3,L100&gt;=$M$3,L100&lt;=J100),"Em andamento",AND(K100&lt;=$M$3,L100&gt;=$M$3,L100&gt;J100),"Atrasado",AND(K100&gt;$M$3,I100&gt;$M$3),"Não iniciado",AND(K100&gt;$M$3,I100&lt;=$M$3),"Atrasado",TRUE,"Não iniciado")</f>
        <v>Concluído</v>
      </c>
      <c r="O100" s="231" cm="1">
        <f t="array" ref="O100">_xlfn.IFS(N100="Não iniciado",0,N100="Em andamento",1,N100="Concluído",2,N100="Atrasado",3)</f>
        <v>2</v>
      </c>
      <c r="P100" s="220"/>
      <c r="Q100" s="226" cm="1">
        <f t="array" ref="Q100">_xlfn.IFS(AND($I100&lt;$M$3,$J100&lt;$M$3),1,AND($I100&lt;=$M$3,$J100&gt;=$M$3),0.5,AND($I100&gt;=$M$3,$J100&gt;=$M$3),0)</f>
        <v>1</v>
      </c>
      <c r="R100" s="226" cm="1">
        <f t="array" ref="R100">_xlfn.IFS(AND($K100&lt;$M$3,$L100&lt;$M$3),1,AND($K100&lt;=$M$3,$L100&gt;=$M$3),0.5,AND($K100&gt;=$M$3,$L100&gt;=$M$3),0)</f>
        <v>1</v>
      </c>
      <c r="S100" s="226" cm="1">
        <f t="array" ref="S100">_xlfn.IFS(AND($K100&gt;R$7,$L100&gt;R$7),0,AND($K100&lt;=R$7,$L100&lt;=R$7),1,AND($K100&lt;=R$7,$L100&gt;R$7),((R$7-$K100)/($L100-$K100)))</f>
        <v>0</v>
      </c>
      <c r="T100" s="226" cm="1">
        <f t="array" ref="T100">_xlfn.IFS(AND($K100&gt;S$7,$L100&gt;S$7),0,AND($K100&lt;=S$7,$L100&lt;=S$7),1,AND($K100&lt;=S$7,$L100&gt;S$7),((S$7-$K100)/($L100-$K100)))</f>
        <v>0</v>
      </c>
      <c r="U100" s="226" cm="1">
        <f t="array" ref="U100">_xlfn.IFS(AND($K100&gt;T$7,$L100&gt;T$7),0,AND($K100&lt;=T$7,$L100&lt;=T$7),1,AND($K100&lt;=T$7,$L100&gt;T$7),((T$7-$K100)/($L100-$K100)))</f>
        <v>0.21739130434782608</v>
      </c>
      <c r="V100" s="226" cm="1">
        <f t="array" ref="V100">_xlfn.IFS(AND($K100&gt;U$7,$L100&gt;U$7),0,AND($K100&lt;=U$7,$L100&lt;=U$7),1,AND($K100&lt;=U$7,$L100&gt;U$7),((U$7-$K100)/($L100-$K100)))</f>
        <v>0.52173913043478259</v>
      </c>
      <c r="W100" s="226" cm="1">
        <f t="array" ref="W100">_xlfn.IFS(AND($K100&gt;V$7,$L100&gt;V$7),0,AND($K100&lt;=V$7,$L100&lt;=V$7),1,AND($K100&lt;=V$7,$L100&gt;V$7),((V$7-$K100)/($L100-$K100)))</f>
        <v>0.82608695652173914</v>
      </c>
      <c r="X100" s="226" cm="1">
        <f t="array" ref="X100">_xlfn.IFS(AND($K100&gt;W$7,$L100&gt;W$7),0,AND($K100&lt;=W$7,$L100&lt;=W$7),1,AND($K100&lt;=W$7,$L100&gt;W$7),((W$7-$K100)/($L100-$K100)))</f>
        <v>1</v>
      </c>
      <c r="Y100" s="226" cm="1">
        <f t="array" ref="Y100">_xlfn.IFS(AND($K100&gt;X$7,$L100&gt;X$7),0,AND($K100&lt;=X$7,$L100&lt;=X$7),1,AND($K100&lt;=X$7,$L100&gt;X$7),((X$7-$K100)/($L100-$K100)))</f>
        <v>1</v>
      </c>
      <c r="Z100" s="226" cm="1">
        <f t="array" ref="Z100">_xlfn.IFS(AND($K100&gt;Y$7,$L100&gt;Y$7),0,AND($K100&lt;=Y$7,$L100&lt;=Y$7),1,AND($K100&lt;=Y$7,$L100&gt;Y$7),((Y$7-$K100)/($L100-$K100)))</f>
        <v>1</v>
      </c>
      <c r="AA100" s="226" cm="1">
        <f t="array" ref="AA100">_xlfn.IFS(AND($K100&gt;Z$7,$L100&gt;Z$7),0,AND($K100&lt;=Z$7,$L100&lt;=Z$7),1,AND($K100&lt;=Z$7,$L100&gt;Z$7),((Z$7-$K100)/($L100-$K100)))</f>
        <v>1</v>
      </c>
      <c r="AB100" s="226" cm="1">
        <f t="array" ref="AB100">_xlfn.IFS(AND($K100&gt;AA$7,$L100&gt;AA$7),0,AND($K100&lt;=AA$7,$L100&lt;=AA$7),1,AND($K100&lt;=AA$7,$L100&gt;AA$7),((AA$7-$K100)/($L100-$K100)))</f>
        <v>1</v>
      </c>
      <c r="AC100" s="226" cm="1">
        <f t="array" ref="AC100">_xlfn.IFS(AND($K100&gt;AB$7,$L100&gt;AB$7),0,AND($K100&lt;=AB$7,$L100&lt;=AB$7),1,AND($K100&lt;=AB$7,$L100&gt;AB$7),((AB$7-$K100)/($L100-$K100)))</f>
        <v>1</v>
      </c>
      <c r="AD100" s="226" cm="1">
        <f t="array" ref="AD100">_xlfn.IFS(AND($K100&gt;AC$7,$L100&gt;AC$7),0,AND($K100&lt;=AC$7,$L100&lt;=AC$7),1,AND($K100&lt;=AC$7,$L100&gt;AC$7),((AC$7-$K100)/($L100-$K100)))</f>
        <v>1</v>
      </c>
      <c r="AE100" s="226" cm="1">
        <f t="array" ref="AE100">_xlfn.IFS(AND($K100&gt;AD$7,$L100&gt;AD$7),0,AND($K100&lt;=AD$7,$L100&lt;=AD$7),1,AND($K100&lt;=AD$7,$L100&gt;AD$7),((AD$7-$K100)/($L100-$K100)))</f>
        <v>1</v>
      </c>
      <c r="AF100" s="226" cm="1">
        <f t="array" ref="AF100">_xlfn.IFS(AND($K100&gt;AE$7,$L100&gt;AE$7),0,AND($K100&lt;=AE$7,$L100&lt;=AE$7),1,AND($K100&lt;=AE$7,$L100&gt;AE$7),((AE$7-$K100)/($L100-$K100)))</f>
        <v>1</v>
      </c>
      <c r="AG100" s="226" cm="1">
        <f t="array" ref="AG100">_xlfn.IFS(AND($K100&gt;AF$7,$L100&gt;AF$7),0,AND($K100&lt;=AF$7,$L100&lt;=AF$7),1,AND($K100&lt;=AF$7,$L100&gt;AF$7),((AF$7-$K100)/($L100-$K100)))</f>
        <v>1</v>
      </c>
      <c r="AH100" s="226" cm="1">
        <f t="array" ref="AH100">_xlfn.IFS(AND($K100&gt;AG$7,$L100&gt;AG$7),0,AND($K100&lt;=AG$7,$L100&lt;=AG$7),1,AND($K100&lt;=AG$7,$L100&gt;AG$7),((AG$7-$K100)/($L100-$K100)))</f>
        <v>1</v>
      </c>
      <c r="AI100" s="226" cm="1">
        <f t="array" ref="AI100">_xlfn.IFS(AND($K100&gt;AH$7,$L100&gt;AH$7),0,AND($K100&lt;=AH$7,$L100&lt;=AH$7),1,AND($K100&lt;=AH$7,$L100&gt;AH$7),((AH$7-$K100)/($L100-$K100)))</f>
        <v>1</v>
      </c>
      <c r="AJ100" s="226" cm="1">
        <f t="array" ref="AJ100">_xlfn.IFS(AND($K100&gt;AI$7,$L100&gt;AI$7),0,AND($K100&lt;=AI$7,$L100&lt;=AI$7),1,AND($K100&lt;=AI$7,$L100&gt;AI$7),((AI$7-$K100)/($L100-$K100)))</f>
        <v>1</v>
      </c>
      <c r="AK100" s="226" cm="1">
        <f t="array" ref="AK100">_xlfn.IFS(AND($K100&gt;AJ$7,$L100&gt;AJ$7),0,AND($K100&lt;=AJ$7,$L100&lt;=AJ$7),1,AND($K100&lt;=AJ$7,$L100&gt;AJ$7),((AJ$7-$K100)/($L100-$K100)))</f>
        <v>1</v>
      </c>
      <c r="AL100" s="226" cm="1">
        <f t="array" ref="AL100">_xlfn.IFS(AND($K100&gt;AK$7,$L100&gt;AK$7),0,AND($K100&lt;=AK$7,$L100&lt;=AK$7),1,AND($K100&lt;=AK$7,$L100&gt;AK$7),((AK$7-$K100)/($L100-$K100)))</f>
        <v>1</v>
      </c>
      <c r="AM100" s="226" cm="1">
        <f t="array" ref="AM100">_xlfn.IFS(AND($K100&gt;AL$7,$L100&gt;AL$7),0,AND($K100&lt;=AL$7,$L100&lt;=AL$7),1,AND($K100&lt;=AL$7,$L100&gt;AL$7),((AL$7-$K100)/($L100-$K100)))</f>
        <v>1</v>
      </c>
      <c r="AN100" s="226" cm="1">
        <f t="array" ref="AN100">_xlfn.IFS(AND($K100&gt;AM$7,$L100&gt;AM$7),0,AND($K100&lt;=AM$7,$L100&lt;=AM$7),1,AND($K100&lt;=AM$7,$L100&gt;AM$7),((AM$7-$K100)/($L100-$K100)))</f>
        <v>1</v>
      </c>
      <c r="AO100" s="226" cm="1">
        <f t="array" ref="AO100">_xlfn.IFS(AND($K100&gt;AN$7,$L100&gt;AN$7),0,AND($K100&lt;=AN$7,$L100&lt;=AN$7),1,AND($K100&lt;=AN$7,$L100&gt;AN$7),((AN$7-$K100)/($L100-$K100)))</f>
        <v>1</v>
      </c>
      <c r="AP100" s="226" cm="1">
        <f t="array" ref="AP100">_xlfn.IFS(AND($K100&gt;AO$7,$L100&gt;AO$7),0,AND($K100&lt;=AO$7,$L100&lt;=AO$7),1,AND($K100&lt;=AO$7,$L100&gt;AO$7),((AO$7-$K100)/($L100-$K100)))</f>
        <v>1</v>
      </c>
      <c r="AQ100" s="226" cm="1">
        <f t="array" ref="AQ100">_xlfn.IFS(AND($K100&gt;AP$7,$L100&gt;AP$7),0,AND($K100&lt;=AP$7,$L100&lt;=AP$7),1,AND($K100&lt;=AP$7,$L100&gt;AP$7),((AP$7-$K100)/($L100-$K100)))</f>
        <v>1</v>
      </c>
      <c r="AR100" s="226" cm="1">
        <f t="array" ref="AR100">_xlfn.IFS(AND($K100&gt;AQ$7,$L100&gt;AQ$7),0,AND($K100&lt;=AQ$7,$L100&lt;=AQ$7),1,AND($K100&lt;=AQ$7,$L100&gt;AQ$7),((AQ$7-$K100)/($L100-$K100)))</f>
        <v>1</v>
      </c>
      <c r="AS100" s="226" cm="1">
        <f t="array" ref="AS100">_xlfn.IFS(AND($K100&gt;AR$7,$L100&gt;AR$7),0,AND($K100&lt;=AR$7,$L100&lt;=AR$7),1,AND($K100&lt;=AR$7,$L100&gt;AR$7),((AR$7-$K100)/($L100-$K100)))</f>
        <v>1</v>
      </c>
      <c r="AT100" s="226" cm="1">
        <f t="array" ref="AT100">_xlfn.IFS(AND($K100&gt;AS$7,$L100&gt;AS$7),0,AND($K100&lt;=AS$7,$L100&lt;=AS$7),1,AND($K100&lt;=AS$7,$L100&gt;AS$7),((AS$7-$K100)/($L100-$K100)))</f>
        <v>1</v>
      </c>
      <c r="AU100" s="226" cm="1">
        <f t="array" ref="AU100">_xlfn.IFS(AND($K100&gt;AT$7,$L100&gt;AT$7),0,AND($K100&lt;=AT$7,$L100&lt;=AT$7),1,AND($K100&lt;=AT$7,$L100&gt;AT$7),((AT$7-$K100)/($L100-$K100)))</f>
        <v>1</v>
      </c>
      <c r="AV100" s="226" cm="1">
        <f t="array" ref="AV100">_xlfn.IFS(AND($K100&gt;AU$7,$L100&gt;AU$7),0,AND($K100&lt;=AU$7,$L100&lt;=AU$7),1,AND($K100&lt;=AU$7,$L100&gt;AU$7),((AU$7-$K100)/($L100-$K100)))</f>
        <v>1</v>
      </c>
      <c r="AW100" s="226" cm="1">
        <f t="array" ref="AW100">_xlfn.IFS(AND($K100&gt;AV$7,$L100&gt;AV$7),0,AND($K100&lt;=AV$7,$L100&lt;=AV$7),1,AND($K100&lt;=AV$7,$L100&gt;AV$7),((AV$7-$K100)/($L100-$K100)))</f>
        <v>1</v>
      </c>
      <c r="AX100" s="226" cm="1">
        <f t="array" ref="AX100">_xlfn.IFS(AND($K100&gt;AW$7,$L100&gt;AW$7),0,AND($K100&lt;=AW$7,$L100&lt;=AW$7),1,AND($K100&lt;=AW$7,$L100&gt;AW$7),((AW$7-$K100)/($L100-$K100)))</f>
        <v>1</v>
      </c>
      <c r="AY100" s="226" cm="1">
        <f t="array" ref="AY100">_xlfn.IFS(AND($K100&gt;AX$7,$L100&gt;AX$7),0,AND($K100&lt;=AX$7,$L100&lt;=AX$7),1,AND($K100&lt;=AX$7,$L100&gt;AX$7),((AX$7-$K100)/($L100-$K100)))</f>
        <v>1</v>
      </c>
      <c r="AZ100" s="226" cm="1">
        <f t="array" ref="AZ100">_xlfn.IFS(AND($K100&gt;AY$7,$L100&gt;AY$7),0,AND($K100&lt;=AY$7,$L100&lt;=AY$7),1,AND($K100&lt;=AY$7,$L100&gt;AY$7),((AY$7-$K100)/($L100-$K100)))</f>
        <v>1</v>
      </c>
      <c r="BA100" s="226" cm="1">
        <f t="array" ref="BA100">_xlfn.IFS(AND($K100&gt;AZ$7,$L100&gt;AZ$7),0,AND($K100&lt;=AZ$7,$L100&lt;=AZ$7),1,AND($K100&lt;=AZ$7,$L100&gt;AZ$7),((AZ$7-$K100)/($L100-$K100)))</f>
        <v>1</v>
      </c>
      <c r="BB100" s="226" cm="1">
        <f t="array" ref="BB100">_xlfn.IFS(AND($K100&gt;BA$7,$L100&gt;BA$7),0,AND($K100&lt;=BA$7,$L100&lt;=BA$7),1,AND($K100&lt;=BA$7,$L100&gt;BA$7),((BA$7-$K100)/($L100-$K100)))</f>
        <v>1</v>
      </c>
      <c r="BC100" s="226" cm="1">
        <f t="array" ref="BC100">_xlfn.IFS(AND($K100&gt;BB$7,$L100&gt;BB$7),0,AND($K100&lt;=BB$7,$L100&lt;=BB$7),1,AND($K100&lt;=BB$7,$L100&gt;BB$7),((BB$7-$K100)/($L100-$K100)))</f>
        <v>1</v>
      </c>
      <c r="BD100" s="226" cm="1">
        <f t="array" ref="BD100">_xlfn.IFS(AND($K100&gt;BC$7,$L100&gt;BC$7),0,AND($K100&lt;=BC$7,$L100&lt;=BC$7),1,AND($K100&lt;=BC$7,$L100&gt;BC$7),((BC$7-$K100)/($L100-$K100)))</f>
        <v>1</v>
      </c>
      <c r="BE100" s="226" cm="1">
        <f t="array" ref="BE100">_xlfn.IFS(AND($K100&gt;BD$7,$L100&gt;BD$7),0,AND($K100&lt;=BD$7,$L100&lt;=BD$7),1,AND($K100&lt;=BD$7,$L100&gt;BD$7),((BD$7-$K100)/($L100-$K100)))</f>
        <v>1</v>
      </c>
      <c r="BF100" s="226" cm="1">
        <f t="array" ref="BF100">_xlfn.IFS(AND($K100&gt;BE$7,$L100&gt;BE$7),0,AND($K100&lt;=BE$7,$L100&lt;=BE$7),1,AND($K100&lt;=BE$7,$L100&gt;BE$7),((BE$7-$K100)/($L100-$K100)))</f>
        <v>1</v>
      </c>
      <c r="BG100" s="226" cm="1">
        <f t="array" ref="BG100">_xlfn.IFS(AND($K100&gt;BF$7,$L100&gt;BF$7),0,AND($K100&lt;=BF$7,$L100&lt;=BF$7),1,AND($K100&lt;=BF$7,$L100&gt;BF$7),((BF$7-$K100)/($L100-$K100)))</f>
        <v>1</v>
      </c>
      <c r="BH100" s="163">
        <f>Tab.plano6[[#This Row],[Data Término
Prevista]]-Tab.plano6[[#This Row],[Data Início
Previsto]]</f>
        <v>14</v>
      </c>
    </row>
    <row r="101" spans="1:60" s="163" customFormat="1" ht="18" hidden="1" customHeight="1" x14ac:dyDescent="0.3">
      <c r="A101" s="220"/>
      <c r="B101" s="220" t="s">
        <v>161</v>
      </c>
      <c r="C101" s="220" t="s">
        <v>443</v>
      </c>
      <c r="D101" s="251" t="s">
        <v>399</v>
      </c>
      <c r="E101" s="251" t="s">
        <v>422</v>
      </c>
      <c r="F101" s="251" t="s">
        <v>436</v>
      </c>
      <c r="G101" s="251" t="s">
        <v>436</v>
      </c>
      <c r="H101" s="246" t="s">
        <v>797</v>
      </c>
      <c r="I101" s="260">
        <v>46128</v>
      </c>
      <c r="J101" s="260">
        <v>46132</v>
      </c>
      <c r="K101" s="260">
        <v>46137</v>
      </c>
      <c r="L101" s="260">
        <v>46171</v>
      </c>
      <c r="M101" s="231" t="s">
        <v>437</v>
      </c>
      <c r="N101" s="227" t="str" cm="1">
        <f t="array" ref="N101">_xlfn.IFS(L101&lt;$M$3,"Concluído",AND(K101&lt;=$M$3,L101&gt;=$M$3,L101&lt;=J101),"Em andamento",AND(K101&lt;=$M$3,L101&gt;=$M$3,L101&gt;J101),"Atrasado",AND(K101&gt;$M$3,I101&gt;$M$3),"Não iniciado",AND(K101&gt;$M$3,I101&lt;=$M$3),"Atrasado",TRUE,"Não iniciado")</f>
        <v>Atrasado</v>
      </c>
      <c r="O101" s="231" cm="1">
        <f t="array" ref="O101">_xlfn.IFS(N101="Não iniciado",0,N101="Em andamento",1,N101="Concluído",2,N101="Atrasado",3)</f>
        <v>3</v>
      </c>
      <c r="P101" s="220"/>
      <c r="Q101" s="226" cm="1">
        <f t="array" ref="Q101">_xlfn.IFS(AND($I101&lt;$M$3,$J101&lt;$M$3),1,AND($I101&lt;=$M$3,$J101&gt;=$M$3),0.5,AND($I101&gt;=$M$3,$J101&gt;=$M$3),0)</f>
        <v>1</v>
      </c>
      <c r="R101" s="226" cm="1">
        <f t="array" ref="R101">_xlfn.IFS(AND($K101&lt;$M$3,$L101&lt;$M$3),1,AND($K101&lt;=$M$3,$L101&gt;=$M$3),0.5,AND($K101&gt;=$M$3,$L101&gt;=$M$3),0)</f>
        <v>0.5</v>
      </c>
      <c r="S101" s="226" cm="1">
        <f t="array" ref="S101">_xlfn.IFS(AND($K101&gt;R$7,$L101&gt;R$7),0,AND($K101&lt;=R$7,$L101&lt;=R$7),1,AND($K101&lt;=R$7,$L101&gt;R$7),((R$7-$K101)/($L101-$K101)))</f>
        <v>0</v>
      </c>
      <c r="T101" s="226" cm="1">
        <f t="array" ref="T101">_xlfn.IFS(AND($K101&gt;S$7,$L101&gt;S$7),0,AND($K101&lt;=S$7,$L101&lt;=S$7),1,AND($K101&lt;=S$7,$L101&gt;S$7),((S$7-$K101)/($L101-$K101)))</f>
        <v>0</v>
      </c>
      <c r="U101" s="226" cm="1">
        <f t="array" ref="U101">_xlfn.IFS(AND($K101&gt;T$7,$L101&gt;T$7),0,AND($K101&lt;=T$7,$L101&lt;=T$7),1,AND($K101&lt;=T$7,$L101&gt;T$7),((T$7-$K101)/($L101-$K101)))</f>
        <v>0</v>
      </c>
      <c r="V101" s="226" cm="1">
        <f t="array" ref="V101">_xlfn.IFS(AND($K101&gt;U$7,$L101&gt;U$7),0,AND($K101&lt;=U$7,$L101&lt;=U$7),1,AND($K101&lt;=U$7,$L101&gt;U$7),((U$7-$K101)/($L101-$K101)))</f>
        <v>0</v>
      </c>
      <c r="W101" s="226" cm="1">
        <f t="array" ref="W101">_xlfn.IFS(AND($K101&gt;V$7,$L101&gt;V$7),0,AND($K101&lt;=V$7,$L101&lt;=V$7),1,AND($K101&lt;=V$7,$L101&gt;V$7),((V$7-$K101)/($L101-$K101)))</f>
        <v>0</v>
      </c>
      <c r="X101" s="226" cm="1">
        <f t="array" ref="X101">_xlfn.IFS(AND($K101&gt;W$7,$L101&gt;W$7),0,AND($K101&lt;=W$7,$L101&lt;=W$7),1,AND($K101&lt;=W$7,$L101&gt;W$7),((W$7-$K101)/($L101-$K101)))</f>
        <v>5.8823529411764705E-2</v>
      </c>
      <c r="Y101" s="226" cm="1">
        <f t="array" ref="Y101">_xlfn.IFS(AND($K101&gt;X$7,$L101&gt;X$7),0,AND($K101&lt;=X$7,$L101&lt;=X$7),1,AND($K101&lt;=X$7,$L101&gt;X$7),((X$7-$K101)/($L101-$K101)))</f>
        <v>0.26470588235294118</v>
      </c>
      <c r="Z101" s="226" cm="1">
        <f t="array" ref="Z101">_xlfn.IFS(AND($K101&gt;Y$7,$L101&gt;Y$7),0,AND($K101&lt;=Y$7,$L101&lt;=Y$7),1,AND($K101&lt;=Y$7,$L101&gt;Y$7),((Y$7-$K101)/($L101-$K101)))</f>
        <v>0.47058823529411764</v>
      </c>
      <c r="AA101" s="226" cm="1">
        <f t="array" ref="AA101">_xlfn.IFS(AND($K101&gt;Z$7,$L101&gt;Z$7),0,AND($K101&lt;=Z$7,$L101&lt;=Z$7),1,AND($K101&lt;=Z$7,$L101&gt;Z$7),((Z$7-$K101)/($L101-$K101)))</f>
        <v>0.67647058823529416</v>
      </c>
      <c r="AB101" s="226" cm="1">
        <f t="array" ref="AB101">_xlfn.IFS(AND($K101&gt;AA$7,$L101&gt;AA$7),0,AND($K101&lt;=AA$7,$L101&lt;=AA$7),1,AND($K101&lt;=AA$7,$L101&gt;AA$7),((AA$7-$K101)/($L101-$K101)))</f>
        <v>0.88235294117647056</v>
      </c>
      <c r="AC101" s="226" cm="1">
        <f t="array" ref="AC101">_xlfn.IFS(AND($K101&gt;AB$7,$L101&gt;AB$7),0,AND($K101&lt;=AB$7,$L101&lt;=AB$7),1,AND($K101&lt;=AB$7,$L101&gt;AB$7),((AB$7-$K101)/($L101-$K101)))</f>
        <v>1</v>
      </c>
      <c r="AD101" s="226" cm="1">
        <f t="array" ref="AD101">_xlfn.IFS(AND($K101&gt;AC$7,$L101&gt;AC$7),0,AND($K101&lt;=AC$7,$L101&lt;=AC$7),1,AND($K101&lt;=AC$7,$L101&gt;AC$7),((AC$7-$K101)/($L101-$K101)))</f>
        <v>1</v>
      </c>
      <c r="AE101" s="226" cm="1">
        <f t="array" ref="AE101">_xlfn.IFS(AND($K101&gt;AD$7,$L101&gt;AD$7),0,AND($K101&lt;=AD$7,$L101&lt;=AD$7),1,AND($K101&lt;=AD$7,$L101&gt;AD$7),((AD$7-$K101)/($L101-$K101)))</f>
        <v>1</v>
      </c>
      <c r="AF101" s="226" cm="1">
        <f t="array" ref="AF101">_xlfn.IFS(AND($K101&gt;AE$7,$L101&gt;AE$7),0,AND($K101&lt;=AE$7,$L101&lt;=AE$7),1,AND($K101&lt;=AE$7,$L101&gt;AE$7),((AE$7-$K101)/($L101-$K101)))</f>
        <v>1</v>
      </c>
      <c r="AG101" s="226" cm="1">
        <f t="array" ref="AG101">_xlfn.IFS(AND($K101&gt;AF$7,$L101&gt;AF$7),0,AND($K101&lt;=AF$7,$L101&lt;=AF$7),1,AND($K101&lt;=AF$7,$L101&gt;AF$7),((AF$7-$K101)/($L101-$K101)))</f>
        <v>1</v>
      </c>
      <c r="AH101" s="226" cm="1">
        <f t="array" ref="AH101">_xlfn.IFS(AND($K101&gt;AG$7,$L101&gt;AG$7),0,AND($K101&lt;=AG$7,$L101&lt;=AG$7),1,AND($K101&lt;=AG$7,$L101&gt;AG$7),((AG$7-$K101)/($L101-$K101)))</f>
        <v>1</v>
      </c>
      <c r="AI101" s="226" cm="1">
        <f t="array" ref="AI101">_xlfn.IFS(AND($K101&gt;AH$7,$L101&gt;AH$7),0,AND($K101&lt;=AH$7,$L101&lt;=AH$7),1,AND($K101&lt;=AH$7,$L101&gt;AH$7),((AH$7-$K101)/($L101-$K101)))</f>
        <v>1</v>
      </c>
      <c r="AJ101" s="226" cm="1">
        <f t="array" ref="AJ101">_xlfn.IFS(AND($K101&gt;AI$7,$L101&gt;AI$7),0,AND($K101&lt;=AI$7,$L101&lt;=AI$7),1,AND($K101&lt;=AI$7,$L101&gt;AI$7),((AI$7-$K101)/($L101-$K101)))</f>
        <v>1</v>
      </c>
      <c r="AK101" s="226" cm="1">
        <f t="array" ref="AK101">_xlfn.IFS(AND($K101&gt;AJ$7,$L101&gt;AJ$7),0,AND($K101&lt;=AJ$7,$L101&lt;=AJ$7),1,AND($K101&lt;=AJ$7,$L101&gt;AJ$7),((AJ$7-$K101)/($L101-$K101)))</f>
        <v>1</v>
      </c>
      <c r="AL101" s="226" cm="1">
        <f t="array" ref="AL101">_xlfn.IFS(AND($K101&gt;AK$7,$L101&gt;AK$7),0,AND($K101&lt;=AK$7,$L101&lt;=AK$7),1,AND($K101&lt;=AK$7,$L101&gt;AK$7),((AK$7-$K101)/($L101-$K101)))</f>
        <v>1</v>
      </c>
      <c r="AM101" s="226" cm="1">
        <f t="array" ref="AM101">_xlfn.IFS(AND($K101&gt;AL$7,$L101&gt;AL$7),0,AND($K101&lt;=AL$7,$L101&lt;=AL$7),1,AND($K101&lt;=AL$7,$L101&gt;AL$7),((AL$7-$K101)/($L101-$K101)))</f>
        <v>1</v>
      </c>
      <c r="AN101" s="226" cm="1">
        <f t="array" ref="AN101">_xlfn.IFS(AND($K101&gt;AM$7,$L101&gt;AM$7),0,AND($K101&lt;=AM$7,$L101&lt;=AM$7),1,AND($K101&lt;=AM$7,$L101&gt;AM$7),((AM$7-$K101)/($L101-$K101)))</f>
        <v>1</v>
      </c>
      <c r="AO101" s="226" cm="1">
        <f t="array" ref="AO101">_xlfn.IFS(AND($K101&gt;AN$7,$L101&gt;AN$7),0,AND($K101&lt;=AN$7,$L101&lt;=AN$7),1,AND($K101&lt;=AN$7,$L101&gt;AN$7),((AN$7-$K101)/($L101-$K101)))</f>
        <v>1</v>
      </c>
      <c r="AP101" s="226" cm="1">
        <f t="array" ref="AP101">_xlfn.IFS(AND($K101&gt;AO$7,$L101&gt;AO$7),0,AND($K101&lt;=AO$7,$L101&lt;=AO$7),1,AND($K101&lt;=AO$7,$L101&gt;AO$7),((AO$7-$K101)/($L101-$K101)))</f>
        <v>1</v>
      </c>
      <c r="AQ101" s="226" cm="1">
        <f t="array" ref="AQ101">_xlfn.IFS(AND($K101&gt;AP$7,$L101&gt;AP$7),0,AND($K101&lt;=AP$7,$L101&lt;=AP$7),1,AND($K101&lt;=AP$7,$L101&gt;AP$7),((AP$7-$K101)/($L101-$K101)))</f>
        <v>1</v>
      </c>
      <c r="AR101" s="226" cm="1">
        <f t="array" ref="AR101">_xlfn.IFS(AND($K101&gt;AQ$7,$L101&gt;AQ$7),0,AND($K101&lt;=AQ$7,$L101&lt;=AQ$7),1,AND($K101&lt;=AQ$7,$L101&gt;AQ$7),((AQ$7-$K101)/($L101-$K101)))</f>
        <v>1</v>
      </c>
      <c r="AS101" s="226" cm="1">
        <f t="array" ref="AS101">_xlfn.IFS(AND($K101&gt;AR$7,$L101&gt;AR$7),0,AND($K101&lt;=AR$7,$L101&lt;=AR$7),1,AND($K101&lt;=AR$7,$L101&gt;AR$7),((AR$7-$K101)/($L101-$K101)))</f>
        <v>1</v>
      </c>
      <c r="AT101" s="226" cm="1">
        <f t="array" ref="AT101">_xlfn.IFS(AND($K101&gt;AS$7,$L101&gt;AS$7),0,AND($K101&lt;=AS$7,$L101&lt;=AS$7),1,AND($K101&lt;=AS$7,$L101&gt;AS$7),((AS$7-$K101)/($L101-$K101)))</f>
        <v>1</v>
      </c>
      <c r="AU101" s="226" cm="1">
        <f t="array" ref="AU101">_xlfn.IFS(AND($K101&gt;AT$7,$L101&gt;AT$7),0,AND($K101&lt;=AT$7,$L101&lt;=AT$7),1,AND($K101&lt;=AT$7,$L101&gt;AT$7),((AT$7-$K101)/($L101-$K101)))</f>
        <v>1</v>
      </c>
      <c r="AV101" s="226" cm="1">
        <f t="array" ref="AV101">_xlfn.IFS(AND($K101&gt;AU$7,$L101&gt;AU$7),0,AND($K101&lt;=AU$7,$L101&lt;=AU$7),1,AND($K101&lt;=AU$7,$L101&gt;AU$7),((AU$7-$K101)/($L101-$K101)))</f>
        <v>1</v>
      </c>
      <c r="AW101" s="226" cm="1">
        <f t="array" ref="AW101">_xlfn.IFS(AND($K101&gt;AV$7,$L101&gt;AV$7),0,AND($K101&lt;=AV$7,$L101&lt;=AV$7),1,AND($K101&lt;=AV$7,$L101&gt;AV$7),((AV$7-$K101)/($L101-$K101)))</f>
        <v>1</v>
      </c>
      <c r="AX101" s="226" cm="1">
        <f t="array" ref="AX101">_xlfn.IFS(AND($K101&gt;AW$7,$L101&gt;AW$7),0,AND($K101&lt;=AW$7,$L101&lt;=AW$7),1,AND($K101&lt;=AW$7,$L101&gt;AW$7),((AW$7-$K101)/($L101-$K101)))</f>
        <v>1</v>
      </c>
      <c r="AY101" s="226" cm="1">
        <f t="array" ref="AY101">_xlfn.IFS(AND($K101&gt;AX$7,$L101&gt;AX$7),0,AND($K101&lt;=AX$7,$L101&lt;=AX$7),1,AND($K101&lt;=AX$7,$L101&gt;AX$7),((AX$7-$K101)/($L101-$K101)))</f>
        <v>1</v>
      </c>
      <c r="AZ101" s="226" cm="1">
        <f t="array" ref="AZ101">_xlfn.IFS(AND($K101&gt;AY$7,$L101&gt;AY$7),0,AND($K101&lt;=AY$7,$L101&lt;=AY$7),1,AND($K101&lt;=AY$7,$L101&gt;AY$7),((AY$7-$K101)/($L101-$K101)))</f>
        <v>1</v>
      </c>
      <c r="BA101" s="226" cm="1">
        <f t="array" ref="BA101">_xlfn.IFS(AND($K101&gt;AZ$7,$L101&gt;AZ$7),0,AND($K101&lt;=AZ$7,$L101&lt;=AZ$7),1,AND($K101&lt;=AZ$7,$L101&gt;AZ$7),((AZ$7-$K101)/($L101-$K101)))</f>
        <v>1</v>
      </c>
      <c r="BB101" s="226" cm="1">
        <f t="array" ref="BB101">_xlfn.IFS(AND($K101&gt;BA$7,$L101&gt;BA$7),0,AND($K101&lt;=BA$7,$L101&lt;=BA$7),1,AND($K101&lt;=BA$7,$L101&gt;BA$7),((BA$7-$K101)/($L101-$K101)))</f>
        <v>1</v>
      </c>
      <c r="BC101" s="226" cm="1">
        <f t="array" ref="BC101">_xlfn.IFS(AND($K101&gt;BB$7,$L101&gt;BB$7),0,AND($K101&lt;=BB$7,$L101&lt;=BB$7),1,AND($K101&lt;=BB$7,$L101&gt;BB$7),((BB$7-$K101)/($L101-$K101)))</f>
        <v>1</v>
      </c>
      <c r="BD101" s="226" cm="1">
        <f t="array" ref="BD101">_xlfn.IFS(AND($K101&gt;BC$7,$L101&gt;BC$7),0,AND($K101&lt;=BC$7,$L101&lt;=BC$7),1,AND($K101&lt;=BC$7,$L101&gt;BC$7),((BC$7-$K101)/($L101-$K101)))</f>
        <v>1</v>
      </c>
      <c r="BE101" s="226" cm="1">
        <f t="array" ref="BE101">_xlfn.IFS(AND($K101&gt;BD$7,$L101&gt;BD$7),0,AND($K101&lt;=BD$7,$L101&lt;=BD$7),1,AND($K101&lt;=BD$7,$L101&gt;BD$7),((BD$7-$K101)/($L101-$K101)))</f>
        <v>1</v>
      </c>
      <c r="BF101" s="226" cm="1">
        <f t="array" ref="BF101">_xlfn.IFS(AND($K101&gt;BE$7,$L101&gt;BE$7),0,AND($K101&lt;=BE$7,$L101&lt;=BE$7),1,AND($K101&lt;=BE$7,$L101&gt;BE$7),((BE$7-$K101)/($L101-$K101)))</f>
        <v>1</v>
      </c>
      <c r="BG101" s="226" cm="1">
        <f t="array" ref="BG101">_xlfn.IFS(AND($K101&gt;BF$7,$L101&gt;BF$7),0,AND($K101&lt;=BF$7,$L101&lt;=BF$7),1,AND($K101&lt;=BF$7,$L101&gt;BF$7),((BF$7-$K101)/($L101-$K101)))</f>
        <v>1</v>
      </c>
      <c r="BH101" s="163">
        <f>Tab.plano6[[#This Row],[Data Término
Prevista]]-Tab.plano6[[#This Row],[Data Início
Previsto]]</f>
        <v>4</v>
      </c>
    </row>
    <row r="102" spans="1:60" s="163" customFormat="1" ht="18" hidden="1" customHeight="1" x14ac:dyDescent="0.3">
      <c r="A102" s="216"/>
      <c r="B102" s="216" t="s">
        <v>12</v>
      </c>
      <c r="C102" s="216" t="s">
        <v>444</v>
      </c>
      <c r="D102" s="249" t="s">
        <v>399</v>
      </c>
      <c r="E102" s="249" t="s">
        <v>422</v>
      </c>
      <c r="F102" s="249" t="s">
        <v>74</v>
      </c>
      <c r="G102" s="249" t="s">
        <v>74</v>
      </c>
      <c r="H102" s="252" t="s">
        <v>832</v>
      </c>
      <c r="I102" s="257">
        <f>I103</f>
        <v>46139</v>
      </c>
      <c r="J102" s="257">
        <f>J103</f>
        <v>46163</v>
      </c>
      <c r="K102" s="257">
        <f>K103</f>
        <v>46139</v>
      </c>
      <c r="L102" s="257">
        <f>L103</f>
        <v>46171</v>
      </c>
      <c r="M102" s="229" t="s">
        <v>432</v>
      </c>
      <c r="N102" s="227" t="str" cm="1">
        <f t="array" ref="N102">_xlfn.IFS(L102&lt;$M$3,"Concluído",AND(K102&lt;=$M$3,L102&gt;=$M$3,L102&lt;=J102),"Em andamento",AND(K102&lt;=$M$3,L102&gt;=$M$3,L102&gt;J102),"Atrasado",AND(K102&gt;$M$3,I102&gt;$M$3),"Não iniciado",AND(K102&gt;$M$3,I102&lt;=$M$3),"Atrasado",TRUE,"Não iniciado")</f>
        <v>Atrasado</v>
      </c>
      <c r="O102" s="229" cm="1">
        <f t="array" ref="O102">_xlfn.IFS(N102="Não iniciado",0,N102="Em andamento",1,N102="Concluído",2,N102="Atrasado",3)</f>
        <v>3</v>
      </c>
      <c r="P102" s="216"/>
      <c r="Q102" s="224">
        <f t="shared" ref="Q102:BG102" si="41">Q103</f>
        <v>1</v>
      </c>
      <c r="R102" s="224">
        <f t="shared" si="41"/>
        <v>0.83333333333333337</v>
      </c>
      <c r="S102" s="224">
        <f t="shared" si="41"/>
        <v>0</v>
      </c>
      <c r="T102" s="224">
        <f t="shared" si="41"/>
        <v>0</v>
      </c>
      <c r="U102" s="224">
        <f t="shared" si="41"/>
        <v>0</v>
      </c>
      <c r="V102" s="224">
        <f t="shared" si="41"/>
        <v>0</v>
      </c>
      <c r="W102" s="224">
        <f t="shared" si="41"/>
        <v>0</v>
      </c>
      <c r="X102" s="224">
        <f t="shared" si="41"/>
        <v>0</v>
      </c>
      <c r="Y102" s="224">
        <f t="shared" si="41"/>
        <v>0.66666666666666663</v>
      </c>
      <c r="Z102" s="224">
        <f t="shared" si="41"/>
        <v>0.76000000000000012</v>
      </c>
      <c r="AA102" s="224">
        <f t="shared" si="41"/>
        <v>0.85333333333333339</v>
      </c>
      <c r="AB102" s="224">
        <f t="shared" si="41"/>
        <v>0.94666666666666666</v>
      </c>
      <c r="AC102" s="224">
        <f t="shared" si="41"/>
        <v>1</v>
      </c>
      <c r="AD102" s="224">
        <f t="shared" si="41"/>
        <v>1</v>
      </c>
      <c r="AE102" s="224">
        <f t="shared" si="41"/>
        <v>1</v>
      </c>
      <c r="AF102" s="224">
        <f t="shared" si="41"/>
        <v>1</v>
      </c>
      <c r="AG102" s="224">
        <f t="shared" si="41"/>
        <v>1</v>
      </c>
      <c r="AH102" s="224">
        <f t="shared" si="41"/>
        <v>1</v>
      </c>
      <c r="AI102" s="224">
        <f t="shared" si="41"/>
        <v>1</v>
      </c>
      <c r="AJ102" s="224">
        <f t="shared" si="41"/>
        <v>1</v>
      </c>
      <c r="AK102" s="224">
        <f t="shared" si="41"/>
        <v>1</v>
      </c>
      <c r="AL102" s="224">
        <f t="shared" si="41"/>
        <v>1</v>
      </c>
      <c r="AM102" s="224">
        <f t="shared" si="41"/>
        <v>1</v>
      </c>
      <c r="AN102" s="224">
        <f t="shared" si="41"/>
        <v>1</v>
      </c>
      <c r="AO102" s="224">
        <f t="shared" si="41"/>
        <v>1</v>
      </c>
      <c r="AP102" s="224">
        <f t="shared" si="41"/>
        <v>1</v>
      </c>
      <c r="AQ102" s="224">
        <f t="shared" si="41"/>
        <v>1</v>
      </c>
      <c r="AR102" s="224">
        <f t="shared" si="41"/>
        <v>1</v>
      </c>
      <c r="AS102" s="224">
        <f t="shared" si="41"/>
        <v>1</v>
      </c>
      <c r="AT102" s="224">
        <f t="shared" si="41"/>
        <v>1</v>
      </c>
      <c r="AU102" s="224">
        <f t="shared" si="41"/>
        <v>1</v>
      </c>
      <c r="AV102" s="224">
        <f t="shared" si="41"/>
        <v>1</v>
      </c>
      <c r="AW102" s="224">
        <f t="shared" si="41"/>
        <v>1</v>
      </c>
      <c r="AX102" s="224">
        <f t="shared" si="41"/>
        <v>1</v>
      </c>
      <c r="AY102" s="224">
        <f t="shared" si="41"/>
        <v>1</v>
      </c>
      <c r="AZ102" s="224">
        <f t="shared" si="41"/>
        <v>1</v>
      </c>
      <c r="BA102" s="224">
        <f t="shared" si="41"/>
        <v>1</v>
      </c>
      <c r="BB102" s="224">
        <f t="shared" si="41"/>
        <v>1</v>
      </c>
      <c r="BC102" s="224">
        <f t="shared" si="41"/>
        <v>1</v>
      </c>
      <c r="BD102" s="224">
        <f t="shared" si="41"/>
        <v>1</v>
      </c>
      <c r="BE102" s="224">
        <f t="shared" si="41"/>
        <v>1</v>
      </c>
      <c r="BF102" s="224">
        <f t="shared" si="41"/>
        <v>1</v>
      </c>
      <c r="BG102" s="224">
        <f t="shared" si="41"/>
        <v>1</v>
      </c>
      <c r="BH102" s="163">
        <f>Tab.plano6[[#This Row],[Data Término
Prevista]]-Tab.plano6[[#This Row],[Data Início
Previsto]]</f>
        <v>24</v>
      </c>
    </row>
    <row r="103" spans="1:60" s="163" customFormat="1" ht="18" hidden="1" customHeight="1" x14ac:dyDescent="0.3">
      <c r="A103" s="218"/>
      <c r="B103" s="218" t="s">
        <v>13</v>
      </c>
      <c r="C103" s="218" t="s">
        <v>446</v>
      </c>
      <c r="D103" s="250" t="s">
        <v>399</v>
      </c>
      <c r="E103" s="250" t="s">
        <v>422</v>
      </c>
      <c r="F103" s="250" t="s">
        <v>445</v>
      </c>
      <c r="G103" s="250" t="s">
        <v>74</v>
      </c>
      <c r="H103" s="219" t="s">
        <v>558</v>
      </c>
      <c r="I103" s="258">
        <f>MIN(I104:I106)</f>
        <v>46139</v>
      </c>
      <c r="J103" s="258">
        <f>MAX(J104:J106)</f>
        <v>46163</v>
      </c>
      <c r="K103" s="258">
        <f>MIN(K104:K106)</f>
        <v>46139</v>
      </c>
      <c r="L103" s="258">
        <f>MAX(L104:L106)</f>
        <v>46171</v>
      </c>
      <c r="M103" s="230" t="s">
        <v>432</v>
      </c>
      <c r="N103" s="227" t="str" cm="1">
        <f t="array" ref="N103">_xlfn.IFS(L103&lt;$M$3,"Concluído",AND(K103&lt;=$M$3,L103&gt;=$M$3,L103&lt;=J103),"Em andamento",AND(K103&lt;=$M$3,L103&gt;=$M$3,L103&gt;J103),"Atrasado",AND(K103&gt;$M$3,I103&gt;$M$3),"Não iniciado",AND(K103&gt;$M$3,I103&lt;=$M$3),"Atrasado",TRUE,"Não iniciado")</f>
        <v>Atrasado</v>
      </c>
      <c r="O103" s="230" cm="1">
        <f t="array" ref="O103">_xlfn.IFS(N103="Não iniciado",0,N103="Em andamento",1,N103="Concluído",2,N103="Atrasado",3)</f>
        <v>3</v>
      </c>
      <c r="P103" s="218"/>
      <c r="Q103" s="225">
        <f t="shared" ref="Q103:BG103" si="42">AVERAGE(Q104:Q106)</f>
        <v>1</v>
      </c>
      <c r="R103" s="225">
        <f t="shared" si="42"/>
        <v>0.83333333333333337</v>
      </c>
      <c r="S103" s="225">
        <f t="shared" si="42"/>
        <v>0</v>
      </c>
      <c r="T103" s="225">
        <f t="shared" si="42"/>
        <v>0</v>
      </c>
      <c r="U103" s="225">
        <f t="shared" si="42"/>
        <v>0</v>
      </c>
      <c r="V103" s="225">
        <f t="shared" si="42"/>
        <v>0</v>
      </c>
      <c r="W103" s="225">
        <f t="shared" si="42"/>
        <v>0</v>
      </c>
      <c r="X103" s="225">
        <f t="shared" si="42"/>
        <v>0</v>
      </c>
      <c r="Y103" s="225">
        <f t="shared" si="42"/>
        <v>0.66666666666666663</v>
      </c>
      <c r="Z103" s="225">
        <f t="shared" si="42"/>
        <v>0.76000000000000012</v>
      </c>
      <c r="AA103" s="225">
        <f t="shared" si="42"/>
        <v>0.85333333333333339</v>
      </c>
      <c r="AB103" s="225">
        <f t="shared" si="42"/>
        <v>0.94666666666666666</v>
      </c>
      <c r="AC103" s="225">
        <f t="shared" si="42"/>
        <v>1</v>
      </c>
      <c r="AD103" s="225">
        <f t="shared" si="42"/>
        <v>1</v>
      </c>
      <c r="AE103" s="225">
        <f t="shared" si="42"/>
        <v>1</v>
      </c>
      <c r="AF103" s="225">
        <f t="shared" si="42"/>
        <v>1</v>
      </c>
      <c r="AG103" s="225">
        <f t="shared" si="42"/>
        <v>1</v>
      </c>
      <c r="AH103" s="225">
        <f t="shared" si="42"/>
        <v>1</v>
      </c>
      <c r="AI103" s="225">
        <f t="shared" si="42"/>
        <v>1</v>
      </c>
      <c r="AJ103" s="225">
        <f t="shared" si="42"/>
        <v>1</v>
      </c>
      <c r="AK103" s="225">
        <f t="shared" si="42"/>
        <v>1</v>
      </c>
      <c r="AL103" s="225">
        <f t="shared" si="42"/>
        <v>1</v>
      </c>
      <c r="AM103" s="225">
        <f t="shared" si="42"/>
        <v>1</v>
      </c>
      <c r="AN103" s="225">
        <f t="shared" si="42"/>
        <v>1</v>
      </c>
      <c r="AO103" s="225">
        <f t="shared" si="42"/>
        <v>1</v>
      </c>
      <c r="AP103" s="225">
        <f t="shared" si="42"/>
        <v>1</v>
      </c>
      <c r="AQ103" s="225">
        <f t="shared" si="42"/>
        <v>1</v>
      </c>
      <c r="AR103" s="225">
        <f t="shared" si="42"/>
        <v>1</v>
      </c>
      <c r="AS103" s="225">
        <f t="shared" si="42"/>
        <v>1</v>
      </c>
      <c r="AT103" s="225">
        <f t="shared" si="42"/>
        <v>1</v>
      </c>
      <c r="AU103" s="225">
        <f t="shared" si="42"/>
        <v>1</v>
      </c>
      <c r="AV103" s="225">
        <f t="shared" si="42"/>
        <v>1</v>
      </c>
      <c r="AW103" s="225">
        <f t="shared" si="42"/>
        <v>1</v>
      </c>
      <c r="AX103" s="225">
        <f t="shared" si="42"/>
        <v>1</v>
      </c>
      <c r="AY103" s="225">
        <f t="shared" si="42"/>
        <v>1</v>
      </c>
      <c r="AZ103" s="225">
        <f t="shared" si="42"/>
        <v>1</v>
      </c>
      <c r="BA103" s="225">
        <f t="shared" si="42"/>
        <v>1</v>
      </c>
      <c r="BB103" s="225">
        <f t="shared" si="42"/>
        <v>1</v>
      </c>
      <c r="BC103" s="225">
        <f t="shared" si="42"/>
        <v>1</v>
      </c>
      <c r="BD103" s="225">
        <f t="shared" si="42"/>
        <v>1</v>
      </c>
      <c r="BE103" s="225">
        <f t="shared" si="42"/>
        <v>1</v>
      </c>
      <c r="BF103" s="225">
        <f t="shared" si="42"/>
        <v>1</v>
      </c>
      <c r="BG103" s="225">
        <f t="shared" si="42"/>
        <v>1</v>
      </c>
      <c r="BH103" s="163">
        <f>Tab.plano6[[#This Row],[Data Término
Prevista]]-Tab.plano6[[#This Row],[Data Início
Previsto]]</f>
        <v>24</v>
      </c>
    </row>
    <row r="104" spans="1:60" s="163" customFormat="1" ht="18" hidden="1" customHeight="1" x14ac:dyDescent="0.3">
      <c r="A104" s="220"/>
      <c r="B104" s="220" t="s">
        <v>161</v>
      </c>
      <c r="C104" s="220" t="s">
        <v>447</v>
      </c>
      <c r="D104" s="251" t="s">
        <v>399</v>
      </c>
      <c r="E104" s="251" t="s">
        <v>422</v>
      </c>
      <c r="F104" s="251" t="s">
        <v>445</v>
      </c>
      <c r="G104" s="251" t="s">
        <v>445</v>
      </c>
      <c r="H104" s="221" t="s">
        <v>561</v>
      </c>
      <c r="I104" s="260">
        <v>46139</v>
      </c>
      <c r="J104" s="260">
        <v>46140</v>
      </c>
      <c r="K104" s="260">
        <v>46139</v>
      </c>
      <c r="L104" s="260">
        <v>46140</v>
      </c>
      <c r="M104" s="231" t="s">
        <v>432</v>
      </c>
      <c r="N104" s="227" t="str" cm="1">
        <f t="array" ref="N104">_xlfn.IFS(L104&lt;$M$3,"Concluído",AND(K104&lt;=$M$3,L104&gt;=$M$3,L104&lt;=J104),"Em andamento",AND(K104&lt;=$M$3,L104&gt;=$M$3,L104&gt;J104),"Atrasado",AND(K104&gt;$M$3,I104&gt;$M$3),"Não iniciado",AND(K104&gt;$M$3,I104&lt;=$M$3),"Atrasado",TRUE,"Não iniciado")</f>
        <v>Concluído</v>
      </c>
      <c r="O104" s="231" cm="1">
        <f t="array" ref="O104">_xlfn.IFS(N104="Não iniciado",0,N104="Em andamento",1,N104="Concluído",2,N104="Atrasado",3)</f>
        <v>2</v>
      </c>
      <c r="P104" s="220"/>
      <c r="Q104" s="226" cm="1">
        <f t="array" ref="Q104">_xlfn.IFS(AND($I104&lt;$M$3,$J104&lt;$M$3),1,AND($I104&lt;=$M$3,$J104&gt;=$M$3),0.5,AND($I104&gt;=$M$3,$J104&gt;=$M$3),0)</f>
        <v>1</v>
      </c>
      <c r="R104" s="226" cm="1">
        <f t="array" ref="R104">_xlfn.IFS(AND($K104&lt;$M$3,$L104&lt;$M$3),1,AND($K104&lt;=$M$3,$L104&gt;=$M$3),0.5,AND($K104&gt;=$M$3,$L104&gt;=$M$3),0)</f>
        <v>1</v>
      </c>
      <c r="S104" s="226" cm="1">
        <f t="array" ref="S104">_xlfn.IFS(AND($K104&gt;R$7,$L104&gt;R$7),0,AND($K104&lt;=R$7,$L104&lt;=R$7),1,AND($K104&lt;=R$7,$L104&gt;R$7),((R$7-$K104)/($L104-$K104)))</f>
        <v>0</v>
      </c>
      <c r="T104" s="226" cm="1">
        <f t="array" ref="T104">_xlfn.IFS(AND($K104&gt;S$7,$L104&gt;S$7),0,AND($K104&lt;=S$7,$L104&lt;=S$7),1,AND($K104&lt;=S$7,$L104&gt;S$7),((S$7-$K104)/($L104-$K104)))</f>
        <v>0</v>
      </c>
      <c r="U104" s="226" cm="1">
        <f t="array" ref="U104">_xlfn.IFS(AND($K104&gt;T$7,$L104&gt;T$7),0,AND($K104&lt;=T$7,$L104&lt;=T$7),1,AND($K104&lt;=T$7,$L104&gt;T$7),((T$7-$K104)/($L104-$K104)))</f>
        <v>0</v>
      </c>
      <c r="V104" s="226" cm="1">
        <f t="array" ref="V104">_xlfn.IFS(AND($K104&gt;U$7,$L104&gt;U$7),0,AND($K104&lt;=U$7,$L104&lt;=U$7),1,AND($K104&lt;=U$7,$L104&gt;U$7),((U$7-$K104)/($L104-$K104)))</f>
        <v>0</v>
      </c>
      <c r="W104" s="226" cm="1">
        <f t="array" ref="W104">_xlfn.IFS(AND($K104&gt;V$7,$L104&gt;V$7),0,AND($K104&lt;=V$7,$L104&lt;=V$7),1,AND($K104&lt;=V$7,$L104&gt;V$7),((V$7-$K104)/($L104-$K104)))</f>
        <v>0</v>
      </c>
      <c r="X104" s="226" cm="1">
        <f t="array" ref="X104">_xlfn.IFS(AND($K104&gt;W$7,$L104&gt;W$7),0,AND($K104&lt;=W$7,$L104&lt;=W$7),1,AND($K104&lt;=W$7,$L104&gt;W$7),((W$7-$K104)/($L104-$K104)))</f>
        <v>0</v>
      </c>
      <c r="Y104" s="226" cm="1">
        <f t="array" ref="Y104">_xlfn.IFS(AND($K104&gt;X$7,$L104&gt;X$7),0,AND($K104&lt;=X$7,$L104&lt;=X$7),1,AND($K104&lt;=X$7,$L104&gt;X$7),((X$7-$K104)/($L104-$K104)))</f>
        <v>1</v>
      </c>
      <c r="Z104" s="226" cm="1">
        <f t="array" ref="Z104">_xlfn.IFS(AND($K104&gt;Y$7,$L104&gt;Y$7),0,AND($K104&lt;=Y$7,$L104&lt;=Y$7),1,AND($K104&lt;=Y$7,$L104&gt;Y$7),((Y$7-$K104)/($L104-$K104)))</f>
        <v>1</v>
      </c>
      <c r="AA104" s="226" cm="1">
        <f t="array" ref="AA104">_xlfn.IFS(AND($K104&gt;Z$7,$L104&gt;Z$7),0,AND($K104&lt;=Z$7,$L104&lt;=Z$7),1,AND($K104&lt;=Z$7,$L104&gt;Z$7),((Z$7-$K104)/($L104-$K104)))</f>
        <v>1</v>
      </c>
      <c r="AB104" s="226" cm="1">
        <f t="array" ref="AB104">_xlfn.IFS(AND($K104&gt;AA$7,$L104&gt;AA$7),0,AND($K104&lt;=AA$7,$L104&lt;=AA$7),1,AND($K104&lt;=AA$7,$L104&gt;AA$7),((AA$7-$K104)/($L104-$K104)))</f>
        <v>1</v>
      </c>
      <c r="AC104" s="226" cm="1">
        <f t="array" ref="AC104">_xlfn.IFS(AND($K104&gt;AB$7,$L104&gt;AB$7),0,AND($K104&lt;=AB$7,$L104&lt;=AB$7),1,AND($K104&lt;=AB$7,$L104&gt;AB$7),((AB$7-$K104)/($L104-$K104)))</f>
        <v>1</v>
      </c>
      <c r="AD104" s="226" cm="1">
        <f t="array" ref="AD104">_xlfn.IFS(AND($K104&gt;AC$7,$L104&gt;AC$7),0,AND($K104&lt;=AC$7,$L104&lt;=AC$7),1,AND($K104&lt;=AC$7,$L104&gt;AC$7),((AC$7-$K104)/($L104-$K104)))</f>
        <v>1</v>
      </c>
      <c r="AE104" s="226" cm="1">
        <f t="array" ref="AE104">_xlfn.IFS(AND($K104&gt;AD$7,$L104&gt;AD$7),0,AND($K104&lt;=AD$7,$L104&lt;=AD$7),1,AND($K104&lt;=AD$7,$L104&gt;AD$7),((AD$7-$K104)/($L104-$K104)))</f>
        <v>1</v>
      </c>
      <c r="AF104" s="226" cm="1">
        <f t="array" ref="AF104">_xlfn.IFS(AND($K104&gt;AE$7,$L104&gt;AE$7),0,AND($K104&lt;=AE$7,$L104&lt;=AE$7),1,AND($K104&lt;=AE$7,$L104&gt;AE$7),((AE$7-$K104)/($L104-$K104)))</f>
        <v>1</v>
      </c>
      <c r="AG104" s="226" cm="1">
        <f t="array" ref="AG104">_xlfn.IFS(AND($K104&gt;AF$7,$L104&gt;AF$7),0,AND($K104&lt;=AF$7,$L104&lt;=AF$7),1,AND($K104&lt;=AF$7,$L104&gt;AF$7),((AF$7-$K104)/($L104-$K104)))</f>
        <v>1</v>
      </c>
      <c r="AH104" s="226" cm="1">
        <f t="array" ref="AH104">_xlfn.IFS(AND($K104&gt;AG$7,$L104&gt;AG$7),0,AND($K104&lt;=AG$7,$L104&lt;=AG$7),1,AND($K104&lt;=AG$7,$L104&gt;AG$7),((AG$7-$K104)/($L104-$K104)))</f>
        <v>1</v>
      </c>
      <c r="AI104" s="226" cm="1">
        <f t="array" ref="AI104">_xlfn.IFS(AND($K104&gt;AH$7,$L104&gt;AH$7),0,AND($K104&lt;=AH$7,$L104&lt;=AH$7),1,AND($K104&lt;=AH$7,$L104&gt;AH$7),((AH$7-$K104)/($L104-$K104)))</f>
        <v>1</v>
      </c>
      <c r="AJ104" s="226" cm="1">
        <f t="array" ref="AJ104">_xlfn.IFS(AND($K104&gt;AI$7,$L104&gt;AI$7),0,AND($K104&lt;=AI$7,$L104&lt;=AI$7),1,AND($K104&lt;=AI$7,$L104&gt;AI$7),((AI$7-$K104)/($L104-$K104)))</f>
        <v>1</v>
      </c>
      <c r="AK104" s="226" cm="1">
        <f t="array" ref="AK104">_xlfn.IFS(AND($K104&gt;AJ$7,$L104&gt;AJ$7),0,AND($K104&lt;=AJ$7,$L104&lt;=AJ$7),1,AND($K104&lt;=AJ$7,$L104&gt;AJ$7),((AJ$7-$K104)/($L104-$K104)))</f>
        <v>1</v>
      </c>
      <c r="AL104" s="226" cm="1">
        <f t="array" ref="AL104">_xlfn.IFS(AND($K104&gt;AK$7,$L104&gt;AK$7),0,AND($K104&lt;=AK$7,$L104&lt;=AK$7),1,AND($K104&lt;=AK$7,$L104&gt;AK$7),((AK$7-$K104)/($L104-$K104)))</f>
        <v>1</v>
      </c>
      <c r="AM104" s="226" cm="1">
        <f t="array" ref="AM104">_xlfn.IFS(AND($K104&gt;AL$7,$L104&gt;AL$7),0,AND($K104&lt;=AL$7,$L104&lt;=AL$7),1,AND($K104&lt;=AL$7,$L104&gt;AL$7),((AL$7-$K104)/($L104-$K104)))</f>
        <v>1</v>
      </c>
      <c r="AN104" s="226" cm="1">
        <f t="array" ref="AN104">_xlfn.IFS(AND($K104&gt;AM$7,$L104&gt;AM$7),0,AND($K104&lt;=AM$7,$L104&lt;=AM$7),1,AND($K104&lt;=AM$7,$L104&gt;AM$7),((AM$7-$K104)/($L104-$K104)))</f>
        <v>1</v>
      </c>
      <c r="AO104" s="226" cm="1">
        <f t="array" ref="AO104">_xlfn.IFS(AND($K104&gt;AN$7,$L104&gt;AN$7),0,AND($K104&lt;=AN$7,$L104&lt;=AN$7),1,AND($K104&lt;=AN$7,$L104&gt;AN$7),((AN$7-$K104)/($L104-$K104)))</f>
        <v>1</v>
      </c>
      <c r="AP104" s="226" cm="1">
        <f t="array" ref="AP104">_xlfn.IFS(AND($K104&gt;AO$7,$L104&gt;AO$7),0,AND($K104&lt;=AO$7,$L104&lt;=AO$7),1,AND($K104&lt;=AO$7,$L104&gt;AO$7),((AO$7-$K104)/($L104-$K104)))</f>
        <v>1</v>
      </c>
      <c r="AQ104" s="226" cm="1">
        <f t="array" ref="AQ104">_xlfn.IFS(AND($K104&gt;AP$7,$L104&gt;AP$7),0,AND($K104&lt;=AP$7,$L104&lt;=AP$7),1,AND($K104&lt;=AP$7,$L104&gt;AP$7),((AP$7-$K104)/($L104-$K104)))</f>
        <v>1</v>
      </c>
      <c r="AR104" s="226" cm="1">
        <f t="array" ref="AR104">_xlfn.IFS(AND($K104&gt;AQ$7,$L104&gt;AQ$7),0,AND($K104&lt;=AQ$7,$L104&lt;=AQ$7),1,AND($K104&lt;=AQ$7,$L104&gt;AQ$7),((AQ$7-$K104)/($L104-$K104)))</f>
        <v>1</v>
      </c>
      <c r="AS104" s="226" cm="1">
        <f t="array" ref="AS104">_xlfn.IFS(AND($K104&gt;AR$7,$L104&gt;AR$7),0,AND($K104&lt;=AR$7,$L104&lt;=AR$7),1,AND($K104&lt;=AR$7,$L104&gt;AR$7),((AR$7-$K104)/($L104-$K104)))</f>
        <v>1</v>
      </c>
      <c r="AT104" s="226" cm="1">
        <f t="array" ref="AT104">_xlfn.IFS(AND($K104&gt;AS$7,$L104&gt;AS$7),0,AND($K104&lt;=AS$7,$L104&lt;=AS$7),1,AND($K104&lt;=AS$7,$L104&gt;AS$7),((AS$7-$K104)/($L104-$K104)))</f>
        <v>1</v>
      </c>
      <c r="AU104" s="226" cm="1">
        <f t="array" ref="AU104">_xlfn.IFS(AND($K104&gt;AT$7,$L104&gt;AT$7),0,AND($K104&lt;=AT$7,$L104&lt;=AT$7),1,AND($K104&lt;=AT$7,$L104&gt;AT$7),((AT$7-$K104)/($L104-$K104)))</f>
        <v>1</v>
      </c>
      <c r="AV104" s="226" cm="1">
        <f t="array" ref="AV104">_xlfn.IFS(AND($K104&gt;AU$7,$L104&gt;AU$7),0,AND($K104&lt;=AU$7,$L104&lt;=AU$7),1,AND($K104&lt;=AU$7,$L104&gt;AU$7),((AU$7-$K104)/($L104-$K104)))</f>
        <v>1</v>
      </c>
      <c r="AW104" s="226" cm="1">
        <f t="array" ref="AW104">_xlfn.IFS(AND($K104&gt;AV$7,$L104&gt;AV$7),0,AND($K104&lt;=AV$7,$L104&lt;=AV$7),1,AND($K104&lt;=AV$7,$L104&gt;AV$7),((AV$7-$K104)/($L104-$K104)))</f>
        <v>1</v>
      </c>
      <c r="AX104" s="226" cm="1">
        <f t="array" ref="AX104">_xlfn.IFS(AND($K104&gt;AW$7,$L104&gt;AW$7),0,AND($K104&lt;=AW$7,$L104&lt;=AW$7),1,AND($K104&lt;=AW$7,$L104&gt;AW$7),((AW$7-$K104)/($L104-$K104)))</f>
        <v>1</v>
      </c>
      <c r="AY104" s="226" cm="1">
        <f t="array" ref="AY104">_xlfn.IFS(AND($K104&gt;AX$7,$L104&gt;AX$7),0,AND($K104&lt;=AX$7,$L104&lt;=AX$7),1,AND($K104&lt;=AX$7,$L104&gt;AX$7),((AX$7-$K104)/($L104-$K104)))</f>
        <v>1</v>
      </c>
      <c r="AZ104" s="226" cm="1">
        <f t="array" ref="AZ104">_xlfn.IFS(AND($K104&gt;AY$7,$L104&gt;AY$7),0,AND($K104&lt;=AY$7,$L104&lt;=AY$7),1,AND($K104&lt;=AY$7,$L104&gt;AY$7),((AY$7-$K104)/($L104-$K104)))</f>
        <v>1</v>
      </c>
      <c r="BA104" s="226" cm="1">
        <f t="array" ref="BA104">_xlfn.IFS(AND($K104&gt;AZ$7,$L104&gt;AZ$7),0,AND($K104&lt;=AZ$7,$L104&lt;=AZ$7),1,AND($K104&lt;=AZ$7,$L104&gt;AZ$7),((AZ$7-$K104)/($L104-$K104)))</f>
        <v>1</v>
      </c>
      <c r="BB104" s="226" cm="1">
        <f t="array" ref="BB104">_xlfn.IFS(AND($K104&gt;BA$7,$L104&gt;BA$7),0,AND($K104&lt;=BA$7,$L104&lt;=BA$7),1,AND($K104&lt;=BA$7,$L104&gt;BA$7),((BA$7-$K104)/($L104-$K104)))</f>
        <v>1</v>
      </c>
      <c r="BC104" s="226" cm="1">
        <f t="array" ref="BC104">_xlfn.IFS(AND($K104&gt;BB$7,$L104&gt;BB$7),0,AND($K104&lt;=BB$7,$L104&lt;=BB$7),1,AND($K104&lt;=BB$7,$L104&gt;BB$7),((BB$7-$K104)/($L104-$K104)))</f>
        <v>1</v>
      </c>
      <c r="BD104" s="226" cm="1">
        <f t="array" ref="BD104">_xlfn.IFS(AND($K104&gt;BC$7,$L104&gt;BC$7),0,AND($K104&lt;=BC$7,$L104&lt;=BC$7),1,AND($K104&lt;=BC$7,$L104&gt;BC$7),((BC$7-$K104)/($L104-$K104)))</f>
        <v>1</v>
      </c>
      <c r="BE104" s="226" cm="1">
        <f t="array" ref="BE104">_xlfn.IFS(AND($K104&gt;BD$7,$L104&gt;BD$7),0,AND($K104&lt;=BD$7,$L104&lt;=BD$7),1,AND($K104&lt;=BD$7,$L104&gt;BD$7),((BD$7-$K104)/($L104-$K104)))</f>
        <v>1</v>
      </c>
      <c r="BF104" s="226" cm="1">
        <f t="array" ref="BF104">_xlfn.IFS(AND($K104&gt;BE$7,$L104&gt;BE$7),0,AND($K104&lt;=BE$7,$L104&lt;=BE$7),1,AND($K104&lt;=BE$7,$L104&gt;BE$7),((BE$7-$K104)/($L104-$K104)))</f>
        <v>1</v>
      </c>
      <c r="BG104" s="226" cm="1">
        <f t="array" ref="BG104">_xlfn.IFS(AND($K104&gt;BF$7,$L104&gt;BF$7),0,AND($K104&lt;=BF$7,$L104&lt;=BF$7),1,AND($K104&lt;=BF$7,$L104&gt;BF$7),((BF$7-$K104)/($L104-$K104)))</f>
        <v>1</v>
      </c>
      <c r="BH104" s="163">
        <f>Tab.plano6[[#This Row],[Data Término
Prevista]]-Tab.plano6[[#This Row],[Data Início
Previsto]]</f>
        <v>1</v>
      </c>
    </row>
    <row r="105" spans="1:60" s="163" customFormat="1" ht="18" hidden="1" customHeight="1" x14ac:dyDescent="0.3">
      <c r="A105" s="220"/>
      <c r="B105" s="220" t="s">
        <v>161</v>
      </c>
      <c r="C105" s="220" t="s">
        <v>449</v>
      </c>
      <c r="D105" s="251" t="s">
        <v>399</v>
      </c>
      <c r="E105" s="251" t="s">
        <v>422</v>
      </c>
      <c r="F105" s="251" t="s">
        <v>445</v>
      </c>
      <c r="G105" s="251" t="s">
        <v>445</v>
      </c>
      <c r="H105" s="221" t="s">
        <v>563</v>
      </c>
      <c r="I105" s="260">
        <v>46141</v>
      </c>
      <c r="J105" s="260">
        <v>46160</v>
      </c>
      <c r="K105" s="260">
        <v>46141</v>
      </c>
      <c r="L105" s="260">
        <v>46145</v>
      </c>
      <c r="M105" s="231" t="s">
        <v>432</v>
      </c>
      <c r="N105" s="227" t="str" cm="1">
        <f t="array" ref="N105">_xlfn.IFS(L105&lt;$M$3,"Concluído",AND(K105&lt;=$M$3,L105&gt;=$M$3,L105&lt;=J105),"Em andamento",AND(K105&lt;=$M$3,L105&gt;=$M$3,L105&gt;J105),"Atrasado",AND(K105&gt;$M$3,I105&gt;$M$3),"Não iniciado",AND(K105&gt;$M$3,I105&lt;=$M$3),"Atrasado",TRUE,"Não iniciado")</f>
        <v>Concluído</v>
      </c>
      <c r="O105" s="231" cm="1">
        <f t="array" ref="O105">_xlfn.IFS(N105="Não iniciado",0,N105="Em andamento",1,N105="Concluído",2,N105="Atrasado",3)</f>
        <v>2</v>
      </c>
      <c r="P105" s="220"/>
      <c r="Q105" s="226" cm="1">
        <f t="array" ref="Q105">_xlfn.IFS(AND($I105&lt;$M$3,$J105&lt;$M$3),1,AND($I105&lt;=$M$3,$J105&gt;=$M$3),0.5,AND($I105&gt;=$M$3,$J105&gt;=$M$3),0)</f>
        <v>1</v>
      </c>
      <c r="R105" s="226" cm="1">
        <f t="array" ref="R105">_xlfn.IFS(AND($K105&lt;$M$3,$L105&lt;$M$3),1,AND($K105&lt;=$M$3,$L105&gt;=$M$3),0.5,AND($K105&gt;=$M$3,$L105&gt;=$M$3),0)</f>
        <v>1</v>
      </c>
      <c r="S105" s="226" cm="1">
        <f t="array" ref="S105">_xlfn.IFS(AND($K105&gt;R$7,$L105&gt;R$7),0,AND($K105&lt;=R$7,$L105&lt;=R$7),1,AND($K105&lt;=R$7,$L105&gt;R$7),((R$7-$K105)/($L105-$K105)))</f>
        <v>0</v>
      </c>
      <c r="T105" s="226" cm="1">
        <f t="array" ref="T105">_xlfn.IFS(AND($K105&gt;S$7,$L105&gt;S$7),0,AND($K105&lt;=S$7,$L105&lt;=S$7),1,AND($K105&lt;=S$7,$L105&gt;S$7),((S$7-$K105)/($L105-$K105)))</f>
        <v>0</v>
      </c>
      <c r="U105" s="226" cm="1">
        <f t="array" ref="U105">_xlfn.IFS(AND($K105&gt;T$7,$L105&gt;T$7),0,AND($K105&lt;=T$7,$L105&lt;=T$7),1,AND($K105&lt;=T$7,$L105&gt;T$7),((T$7-$K105)/($L105-$K105)))</f>
        <v>0</v>
      </c>
      <c r="V105" s="226" cm="1">
        <f t="array" ref="V105">_xlfn.IFS(AND($K105&gt;U$7,$L105&gt;U$7),0,AND($K105&lt;=U$7,$L105&lt;=U$7),1,AND($K105&lt;=U$7,$L105&gt;U$7),((U$7-$K105)/($L105-$K105)))</f>
        <v>0</v>
      </c>
      <c r="W105" s="226" cm="1">
        <f t="array" ref="W105">_xlfn.IFS(AND($K105&gt;V$7,$L105&gt;V$7),0,AND($K105&lt;=V$7,$L105&lt;=V$7),1,AND($K105&lt;=V$7,$L105&gt;V$7),((V$7-$K105)/($L105-$K105)))</f>
        <v>0</v>
      </c>
      <c r="X105" s="226" cm="1">
        <f t="array" ref="X105">_xlfn.IFS(AND($K105&gt;W$7,$L105&gt;W$7),0,AND($K105&lt;=W$7,$L105&lt;=W$7),1,AND($K105&lt;=W$7,$L105&gt;W$7),((W$7-$K105)/($L105-$K105)))</f>
        <v>0</v>
      </c>
      <c r="Y105" s="226" cm="1">
        <f t="array" ref="Y105">_xlfn.IFS(AND($K105&gt;X$7,$L105&gt;X$7),0,AND($K105&lt;=X$7,$L105&lt;=X$7),1,AND($K105&lt;=X$7,$L105&gt;X$7),((X$7-$K105)/($L105-$K105)))</f>
        <v>1</v>
      </c>
      <c r="Z105" s="226" cm="1">
        <f t="array" ref="Z105">_xlfn.IFS(AND($K105&gt;Y$7,$L105&gt;Y$7),0,AND($K105&lt;=Y$7,$L105&lt;=Y$7),1,AND($K105&lt;=Y$7,$L105&gt;Y$7),((Y$7-$K105)/($L105-$K105)))</f>
        <v>1</v>
      </c>
      <c r="AA105" s="226" cm="1">
        <f t="array" ref="AA105">_xlfn.IFS(AND($K105&gt;Z$7,$L105&gt;Z$7),0,AND($K105&lt;=Z$7,$L105&lt;=Z$7),1,AND($K105&lt;=Z$7,$L105&gt;Z$7),((Z$7-$K105)/($L105-$K105)))</f>
        <v>1</v>
      </c>
      <c r="AB105" s="226" cm="1">
        <f t="array" ref="AB105">_xlfn.IFS(AND($K105&gt;AA$7,$L105&gt;AA$7),0,AND($K105&lt;=AA$7,$L105&lt;=AA$7),1,AND($K105&lt;=AA$7,$L105&gt;AA$7),((AA$7-$K105)/($L105-$K105)))</f>
        <v>1</v>
      </c>
      <c r="AC105" s="226" cm="1">
        <f t="array" ref="AC105">_xlfn.IFS(AND($K105&gt;AB$7,$L105&gt;AB$7),0,AND($K105&lt;=AB$7,$L105&lt;=AB$7),1,AND($K105&lt;=AB$7,$L105&gt;AB$7),((AB$7-$K105)/($L105-$K105)))</f>
        <v>1</v>
      </c>
      <c r="AD105" s="226" cm="1">
        <f t="array" ref="AD105">_xlfn.IFS(AND($K105&gt;AC$7,$L105&gt;AC$7),0,AND($K105&lt;=AC$7,$L105&lt;=AC$7),1,AND($K105&lt;=AC$7,$L105&gt;AC$7),((AC$7-$K105)/($L105-$K105)))</f>
        <v>1</v>
      </c>
      <c r="AE105" s="226" cm="1">
        <f t="array" ref="AE105">_xlfn.IFS(AND($K105&gt;AD$7,$L105&gt;AD$7),0,AND($K105&lt;=AD$7,$L105&lt;=AD$7),1,AND($K105&lt;=AD$7,$L105&gt;AD$7),((AD$7-$K105)/($L105-$K105)))</f>
        <v>1</v>
      </c>
      <c r="AF105" s="226" cm="1">
        <f t="array" ref="AF105">_xlfn.IFS(AND($K105&gt;AE$7,$L105&gt;AE$7),0,AND($K105&lt;=AE$7,$L105&lt;=AE$7),1,AND($K105&lt;=AE$7,$L105&gt;AE$7),((AE$7-$K105)/($L105-$K105)))</f>
        <v>1</v>
      </c>
      <c r="AG105" s="226" cm="1">
        <f t="array" ref="AG105">_xlfn.IFS(AND($K105&gt;AF$7,$L105&gt;AF$7),0,AND($K105&lt;=AF$7,$L105&lt;=AF$7),1,AND($K105&lt;=AF$7,$L105&gt;AF$7),((AF$7-$K105)/($L105-$K105)))</f>
        <v>1</v>
      </c>
      <c r="AH105" s="226" cm="1">
        <f t="array" ref="AH105">_xlfn.IFS(AND($K105&gt;AG$7,$L105&gt;AG$7),0,AND($K105&lt;=AG$7,$L105&lt;=AG$7),1,AND($K105&lt;=AG$7,$L105&gt;AG$7),((AG$7-$K105)/($L105-$K105)))</f>
        <v>1</v>
      </c>
      <c r="AI105" s="226" cm="1">
        <f t="array" ref="AI105">_xlfn.IFS(AND($K105&gt;AH$7,$L105&gt;AH$7),0,AND($K105&lt;=AH$7,$L105&lt;=AH$7),1,AND($K105&lt;=AH$7,$L105&gt;AH$7),((AH$7-$K105)/($L105-$K105)))</f>
        <v>1</v>
      </c>
      <c r="AJ105" s="226" cm="1">
        <f t="array" ref="AJ105">_xlfn.IFS(AND($K105&gt;AI$7,$L105&gt;AI$7),0,AND($K105&lt;=AI$7,$L105&lt;=AI$7),1,AND($K105&lt;=AI$7,$L105&gt;AI$7),((AI$7-$K105)/($L105-$K105)))</f>
        <v>1</v>
      </c>
      <c r="AK105" s="226" cm="1">
        <f t="array" ref="AK105">_xlfn.IFS(AND($K105&gt;AJ$7,$L105&gt;AJ$7),0,AND($K105&lt;=AJ$7,$L105&lt;=AJ$7),1,AND($K105&lt;=AJ$7,$L105&gt;AJ$7),((AJ$7-$K105)/($L105-$K105)))</f>
        <v>1</v>
      </c>
      <c r="AL105" s="226" cm="1">
        <f t="array" ref="AL105">_xlfn.IFS(AND($K105&gt;AK$7,$L105&gt;AK$7),0,AND($K105&lt;=AK$7,$L105&lt;=AK$7),1,AND($K105&lt;=AK$7,$L105&gt;AK$7),((AK$7-$K105)/($L105-$K105)))</f>
        <v>1</v>
      </c>
      <c r="AM105" s="226" cm="1">
        <f t="array" ref="AM105">_xlfn.IFS(AND($K105&gt;AL$7,$L105&gt;AL$7),0,AND($K105&lt;=AL$7,$L105&lt;=AL$7),1,AND($K105&lt;=AL$7,$L105&gt;AL$7),((AL$7-$K105)/($L105-$K105)))</f>
        <v>1</v>
      </c>
      <c r="AN105" s="226" cm="1">
        <f t="array" ref="AN105">_xlfn.IFS(AND($K105&gt;AM$7,$L105&gt;AM$7),0,AND($K105&lt;=AM$7,$L105&lt;=AM$7),1,AND($K105&lt;=AM$7,$L105&gt;AM$7),((AM$7-$K105)/($L105-$K105)))</f>
        <v>1</v>
      </c>
      <c r="AO105" s="226" cm="1">
        <f t="array" ref="AO105">_xlfn.IFS(AND($K105&gt;AN$7,$L105&gt;AN$7),0,AND($K105&lt;=AN$7,$L105&lt;=AN$7),1,AND($K105&lt;=AN$7,$L105&gt;AN$7),((AN$7-$K105)/($L105-$K105)))</f>
        <v>1</v>
      </c>
      <c r="AP105" s="226" cm="1">
        <f t="array" ref="AP105">_xlfn.IFS(AND($K105&gt;AO$7,$L105&gt;AO$7),0,AND($K105&lt;=AO$7,$L105&lt;=AO$7),1,AND($K105&lt;=AO$7,$L105&gt;AO$7),((AO$7-$K105)/($L105-$K105)))</f>
        <v>1</v>
      </c>
      <c r="AQ105" s="226" cm="1">
        <f t="array" ref="AQ105">_xlfn.IFS(AND($K105&gt;AP$7,$L105&gt;AP$7),0,AND($K105&lt;=AP$7,$L105&lt;=AP$7),1,AND($K105&lt;=AP$7,$L105&gt;AP$7),((AP$7-$K105)/($L105-$K105)))</f>
        <v>1</v>
      </c>
      <c r="AR105" s="226" cm="1">
        <f t="array" ref="AR105">_xlfn.IFS(AND($K105&gt;AQ$7,$L105&gt;AQ$7),0,AND($K105&lt;=AQ$7,$L105&lt;=AQ$7),1,AND($K105&lt;=AQ$7,$L105&gt;AQ$7),((AQ$7-$K105)/($L105-$K105)))</f>
        <v>1</v>
      </c>
      <c r="AS105" s="226" cm="1">
        <f t="array" ref="AS105">_xlfn.IFS(AND($K105&gt;AR$7,$L105&gt;AR$7),0,AND($K105&lt;=AR$7,$L105&lt;=AR$7),1,AND($K105&lt;=AR$7,$L105&gt;AR$7),((AR$7-$K105)/($L105-$K105)))</f>
        <v>1</v>
      </c>
      <c r="AT105" s="226" cm="1">
        <f t="array" ref="AT105">_xlfn.IFS(AND($K105&gt;AS$7,$L105&gt;AS$7),0,AND($K105&lt;=AS$7,$L105&lt;=AS$7),1,AND($K105&lt;=AS$7,$L105&gt;AS$7),((AS$7-$K105)/($L105-$K105)))</f>
        <v>1</v>
      </c>
      <c r="AU105" s="226" cm="1">
        <f t="array" ref="AU105">_xlfn.IFS(AND($K105&gt;AT$7,$L105&gt;AT$7),0,AND($K105&lt;=AT$7,$L105&lt;=AT$7),1,AND($K105&lt;=AT$7,$L105&gt;AT$7),((AT$7-$K105)/($L105-$K105)))</f>
        <v>1</v>
      </c>
      <c r="AV105" s="226" cm="1">
        <f t="array" ref="AV105">_xlfn.IFS(AND($K105&gt;AU$7,$L105&gt;AU$7),0,AND($K105&lt;=AU$7,$L105&lt;=AU$7),1,AND($K105&lt;=AU$7,$L105&gt;AU$7),((AU$7-$K105)/($L105-$K105)))</f>
        <v>1</v>
      </c>
      <c r="AW105" s="226" cm="1">
        <f t="array" ref="AW105">_xlfn.IFS(AND($K105&gt;AV$7,$L105&gt;AV$7),0,AND($K105&lt;=AV$7,$L105&lt;=AV$7),1,AND($K105&lt;=AV$7,$L105&gt;AV$7),((AV$7-$K105)/($L105-$K105)))</f>
        <v>1</v>
      </c>
      <c r="AX105" s="226" cm="1">
        <f t="array" ref="AX105">_xlfn.IFS(AND($K105&gt;AW$7,$L105&gt;AW$7),0,AND($K105&lt;=AW$7,$L105&lt;=AW$7),1,AND($K105&lt;=AW$7,$L105&gt;AW$7),((AW$7-$K105)/($L105-$K105)))</f>
        <v>1</v>
      </c>
      <c r="AY105" s="226" cm="1">
        <f t="array" ref="AY105">_xlfn.IFS(AND($K105&gt;AX$7,$L105&gt;AX$7),0,AND($K105&lt;=AX$7,$L105&lt;=AX$7),1,AND($K105&lt;=AX$7,$L105&gt;AX$7),((AX$7-$K105)/($L105-$K105)))</f>
        <v>1</v>
      </c>
      <c r="AZ105" s="226" cm="1">
        <f t="array" ref="AZ105">_xlfn.IFS(AND($K105&gt;AY$7,$L105&gt;AY$7),0,AND($K105&lt;=AY$7,$L105&lt;=AY$7),1,AND($K105&lt;=AY$7,$L105&gt;AY$7),((AY$7-$K105)/($L105-$K105)))</f>
        <v>1</v>
      </c>
      <c r="BA105" s="226" cm="1">
        <f t="array" ref="BA105">_xlfn.IFS(AND($K105&gt;AZ$7,$L105&gt;AZ$7),0,AND($K105&lt;=AZ$7,$L105&lt;=AZ$7),1,AND($K105&lt;=AZ$7,$L105&gt;AZ$7),((AZ$7-$K105)/($L105-$K105)))</f>
        <v>1</v>
      </c>
      <c r="BB105" s="226" cm="1">
        <f t="array" ref="BB105">_xlfn.IFS(AND($K105&gt;BA$7,$L105&gt;BA$7),0,AND($K105&lt;=BA$7,$L105&lt;=BA$7),1,AND($K105&lt;=BA$7,$L105&gt;BA$7),((BA$7-$K105)/($L105-$K105)))</f>
        <v>1</v>
      </c>
      <c r="BC105" s="226" cm="1">
        <f t="array" ref="BC105">_xlfn.IFS(AND($K105&gt;BB$7,$L105&gt;BB$7),0,AND($K105&lt;=BB$7,$L105&lt;=BB$7),1,AND($K105&lt;=BB$7,$L105&gt;BB$7),((BB$7-$K105)/($L105-$K105)))</f>
        <v>1</v>
      </c>
      <c r="BD105" s="226" cm="1">
        <f t="array" ref="BD105">_xlfn.IFS(AND($K105&gt;BC$7,$L105&gt;BC$7),0,AND($K105&lt;=BC$7,$L105&lt;=BC$7),1,AND($K105&lt;=BC$7,$L105&gt;BC$7),((BC$7-$K105)/($L105-$K105)))</f>
        <v>1</v>
      </c>
      <c r="BE105" s="226" cm="1">
        <f t="array" ref="BE105">_xlfn.IFS(AND($K105&gt;BD$7,$L105&gt;BD$7),0,AND($K105&lt;=BD$7,$L105&lt;=BD$7),1,AND($K105&lt;=BD$7,$L105&gt;BD$7),((BD$7-$K105)/($L105-$K105)))</f>
        <v>1</v>
      </c>
      <c r="BF105" s="226" cm="1">
        <f t="array" ref="BF105">_xlfn.IFS(AND($K105&gt;BE$7,$L105&gt;BE$7),0,AND($K105&lt;=BE$7,$L105&lt;=BE$7),1,AND($K105&lt;=BE$7,$L105&gt;BE$7),((BE$7-$K105)/($L105-$K105)))</f>
        <v>1</v>
      </c>
      <c r="BG105" s="226" cm="1">
        <f t="array" ref="BG105">_xlfn.IFS(AND($K105&gt;BF$7,$L105&gt;BF$7),0,AND($K105&lt;=BF$7,$L105&lt;=BF$7),1,AND($K105&lt;=BF$7,$L105&gt;BF$7),((BF$7-$K105)/($L105-$K105)))</f>
        <v>1</v>
      </c>
      <c r="BH105">
        <f>Tab.plano6[[#This Row],[Data Término
Prevista]]-Tab.plano6[[#This Row],[Data Início
Previsto]]</f>
        <v>19</v>
      </c>
    </row>
    <row r="106" spans="1:60" customFormat="1" ht="18" hidden="1" customHeight="1" x14ac:dyDescent="0.3">
      <c r="A106" s="220"/>
      <c r="B106" s="220" t="s">
        <v>161</v>
      </c>
      <c r="C106" s="220" t="s">
        <v>451</v>
      </c>
      <c r="D106" s="251" t="s">
        <v>399</v>
      </c>
      <c r="E106" s="251" t="s">
        <v>422</v>
      </c>
      <c r="F106" s="251" t="s">
        <v>445</v>
      </c>
      <c r="G106" s="251" t="s">
        <v>445</v>
      </c>
      <c r="H106" s="246" t="s">
        <v>812</v>
      </c>
      <c r="I106" s="260">
        <v>46161</v>
      </c>
      <c r="J106" s="260">
        <v>46163</v>
      </c>
      <c r="K106" s="260">
        <v>46146</v>
      </c>
      <c r="L106" s="260">
        <v>46171</v>
      </c>
      <c r="M106" s="231" t="s">
        <v>432</v>
      </c>
      <c r="N106" s="227" t="str" cm="1">
        <f t="array" ref="N106">_xlfn.IFS(L106&lt;$M$3,"Concluído",AND(K106&lt;=$M$3,L106&gt;=$M$3,L106&lt;=J106),"Em andamento",AND(K106&lt;=$M$3,L106&gt;=$M$3,L106&gt;J106),"Atrasado",AND(K106&gt;$M$3,I106&gt;$M$3),"Não iniciado",AND(K106&gt;$M$3,I106&lt;=$M$3),"Atrasado",TRUE,"Não iniciado")</f>
        <v>Atrasado</v>
      </c>
      <c r="O106" s="231" cm="1">
        <f t="array" ref="O106">_xlfn.IFS(N106="Não iniciado",0,N106="Em andamento",1,N106="Concluído",2,N106="Atrasado",3)</f>
        <v>3</v>
      </c>
      <c r="P106" s="220"/>
      <c r="Q106" s="226" cm="1">
        <f t="array" ref="Q106">_xlfn.IFS(AND($I106&lt;$M$3,$J106&lt;$M$3),1,AND($I106&lt;=$M$3,$J106&gt;=$M$3),0.5,AND($I106&gt;=$M$3,$J106&gt;=$M$3),0)</f>
        <v>1</v>
      </c>
      <c r="R106" s="226" cm="1">
        <f t="array" ref="R106">_xlfn.IFS(AND($K106&lt;$M$3,$L106&lt;$M$3),1,AND($K106&lt;=$M$3,$L106&gt;=$M$3),0.5,AND($K106&gt;=$M$3,$L106&gt;=$M$3),0)</f>
        <v>0.5</v>
      </c>
      <c r="S106" s="226" cm="1">
        <f t="array" ref="S106">_xlfn.IFS(AND($K106&gt;R$7,$L106&gt;R$7),0,AND($K106&lt;=R$7,$L106&lt;=R$7),1,AND($K106&lt;=R$7,$L106&gt;R$7),((R$7-$K106)/($L106-$K106)))</f>
        <v>0</v>
      </c>
      <c r="T106" s="226" cm="1">
        <f t="array" ref="T106">_xlfn.IFS(AND($K106&gt;S$7,$L106&gt;S$7),0,AND($K106&lt;=S$7,$L106&lt;=S$7),1,AND($K106&lt;=S$7,$L106&gt;S$7),((S$7-$K106)/($L106-$K106)))</f>
        <v>0</v>
      </c>
      <c r="U106" s="226" cm="1">
        <f t="array" ref="U106">_xlfn.IFS(AND($K106&gt;T$7,$L106&gt;T$7),0,AND($K106&lt;=T$7,$L106&lt;=T$7),1,AND($K106&lt;=T$7,$L106&gt;T$7),((T$7-$K106)/($L106-$K106)))</f>
        <v>0</v>
      </c>
      <c r="V106" s="226" cm="1">
        <f t="array" ref="V106">_xlfn.IFS(AND($K106&gt;U$7,$L106&gt;U$7),0,AND($K106&lt;=U$7,$L106&lt;=U$7),1,AND($K106&lt;=U$7,$L106&gt;U$7),((U$7-$K106)/($L106-$K106)))</f>
        <v>0</v>
      </c>
      <c r="W106" s="226" cm="1">
        <f t="array" ref="W106">_xlfn.IFS(AND($K106&gt;V$7,$L106&gt;V$7),0,AND($K106&lt;=V$7,$L106&lt;=V$7),1,AND($K106&lt;=V$7,$L106&gt;V$7),((V$7-$K106)/($L106-$K106)))</f>
        <v>0</v>
      </c>
      <c r="X106" s="226" cm="1">
        <f t="array" ref="X106">_xlfn.IFS(AND($K106&gt;W$7,$L106&gt;W$7),0,AND($K106&lt;=W$7,$L106&lt;=W$7),1,AND($K106&lt;=W$7,$L106&gt;W$7),((W$7-$K106)/($L106-$K106)))</f>
        <v>0</v>
      </c>
      <c r="Y106" s="226" cm="1">
        <f t="array" ref="Y106">_xlfn.IFS(AND($K106&gt;X$7,$L106&gt;X$7),0,AND($K106&lt;=X$7,$L106&lt;=X$7),1,AND($K106&lt;=X$7,$L106&gt;X$7),((X$7-$K106)/($L106-$K106)))</f>
        <v>0</v>
      </c>
      <c r="Z106" s="226" cm="1">
        <f t="array" ref="Z106">_xlfn.IFS(AND($K106&gt;Y$7,$L106&gt;Y$7),0,AND($K106&lt;=Y$7,$L106&lt;=Y$7),1,AND($K106&lt;=Y$7,$L106&gt;Y$7),((Y$7-$K106)/($L106-$K106)))</f>
        <v>0.28000000000000003</v>
      </c>
      <c r="AA106" s="226" cm="1">
        <f t="array" ref="AA106">_xlfn.IFS(AND($K106&gt;Z$7,$L106&gt;Z$7),0,AND($K106&lt;=Z$7,$L106&lt;=Z$7),1,AND($K106&lt;=Z$7,$L106&gt;Z$7),((Z$7-$K106)/($L106-$K106)))</f>
        <v>0.56000000000000005</v>
      </c>
      <c r="AB106" s="226" cm="1">
        <f t="array" ref="AB106">_xlfn.IFS(AND($K106&gt;AA$7,$L106&gt;AA$7),0,AND($K106&lt;=AA$7,$L106&lt;=AA$7),1,AND($K106&lt;=AA$7,$L106&gt;AA$7),((AA$7-$K106)/($L106-$K106)))</f>
        <v>0.84</v>
      </c>
      <c r="AC106" s="226" cm="1">
        <f t="array" ref="AC106">_xlfn.IFS(AND($K106&gt;AB$7,$L106&gt;AB$7),0,AND($K106&lt;=AB$7,$L106&lt;=AB$7),1,AND($K106&lt;=AB$7,$L106&gt;AB$7),((AB$7-$K106)/($L106-$K106)))</f>
        <v>1</v>
      </c>
      <c r="AD106" s="226" cm="1">
        <f t="array" ref="AD106">_xlfn.IFS(AND($K106&gt;AC$7,$L106&gt;AC$7),0,AND($K106&lt;=AC$7,$L106&lt;=AC$7),1,AND($K106&lt;=AC$7,$L106&gt;AC$7),((AC$7-$K106)/($L106-$K106)))</f>
        <v>1</v>
      </c>
      <c r="AE106" s="226" cm="1">
        <f t="array" ref="AE106">_xlfn.IFS(AND($K106&gt;AD$7,$L106&gt;AD$7),0,AND($K106&lt;=AD$7,$L106&lt;=AD$7),1,AND($K106&lt;=AD$7,$L106&gt;AD$7),((AD$7-$K106)/($L106-$K106)))</f>
        <v>1</v>
      </c>
      <c r="AF106" s="226" cm="1">
        <f t="array" ref="AF106">_xlfn.IFS(AND($K106&gt;AE$7,$L106&gt;AE$7),0,AND($K106&lt;=AE$7,$L106&lt;=AE$7),1,AND($K106&lt;=AE$7,$L106&gt;AE$7),((AE$7-$K106)/($L106-$K106)))</f>
        <v>1</v>
      </c>
      <c r="AG106" s="226" cm="1">
        <f t="array" ref="AG106">_xlfn.IFS(AND($K106&gt;AF$7,$L106&gt;AF$7),0,AND($K106&lt;=AF$7,$L106&lt;=AF$7),1,AND($K106&lt;=AF$7,$L106&gt;AF$7),((AF$7-$K106)/($L106-$K106)))</f>
        <v>1</v>
      </c>
      <c r="AH106" s="226" cm="1">
        <f t="array" ref="AH106">_xlfn.IFS(AND($K106&gt;AG$7,$L106&gt;AG$7),0,AND($K106&lt;=AG$7,$L106&lt;=AG$7),1,AND($K106&lt;=AG$7,$L106&gt;AG$7),((AG$7-$K106)/($L106-$K106)))</f>
        <v>1</v>
      </c>
      <c r="AI106" s="226" cm="1">
        <f t="array" ref="AI106">_xlfn.IFS(AND($K106&gt;AH$7,$L106&gt;AH$7),0,AND($K106&lt;=AH$7,$L106&lt;=AH$7),1,AND($K106&lt;=AH$7,$L106&gt;AH$7),((AH$7-$K106)/($L106-$K106)))</f>
        <v>1</v>
      </c>
      <c r="AJ106" s="226" cm="1">
        <f t="array" ref="AJ106">_xlfn.IFS(AND($K106&gt;AI$7,$L106&gt;AI$7),0,AND($K106&lt;=AI$7,$L106&lt;=AI$7),1,AND($K106&lt;=AI$7,$L106&gt;AI$7),((AI$7-$K106)/($L106-$K106)))</f>
        <v>1</v>
      </c>
      <c r="AK106" s="226" cm="1">
        <f t="array" ref="AK106">_xlfn.IFS(AND($K106&gt;AJ$7,$L106&gt;AJ$7),0,AND($K106&lt;=AJ$7,$L106&lt;=AJ$7),1,AND($K106&lt;=AJ$7,$L106&gt;AJ$7),((AJ$7-$K106)/($L106-$K106)))</f>
        <v>1</v>
      </c>
      <c r="AL106" s="226" cm="1">
        <f t="array" ref="AL106">_xlfn.IFS(AND($K106&gt;AK$7,$L106&gt;AK$7),0,AND($K106&lt;=AK$7,$L106&lt;=AK$7),1,AND($K106&lt;=AK$7,$L106&gt;AK$7),((AK$7-$K106)/($L106-$K106)))</f>
        <v>1</v>
      </c>
      <c r="AM106" s="226" cm="1">
        <f t="array" ref="AM106">_xlfn.IFS(AND($K106&gt;AL$7,$L106&gt;AL$7),0,AND($K106&lt;=AL$7,$L106&lt;=AL$7),1,AND($K106&lt;=AL$7,$L106&gt;AL$7),((AL$7-$K106)/($L106-$K106)))</f>
        <v>1</v>
      </c>
      <c r="AN106" s="226" cm="1">
        <f t="array" ref="AN106">_xlfn.IFS(AND($K106&gt;AM$7,$L106&gt;AM$7),0,AND($K106&lt;=AM$7,$L106&lt;=AM$7),1,AND($K106&lt;=AM$7,$L106&gt;AM$7),((AM$7-$K106)/($L106-$K106)))</f>
        <v>1</v>
      </c>
      <c r="AO106" s="226" cm="1">
        <f t="array" ref="AO106">_xlfn.IFS(AND($K106&gt;AN$7,$L106&gt;AN$7),0,AND($K106&lt;=AN$7,$L106&lt;=AN$7),1,AND($K106&lt;=AN$7,$L106&gt;AN$7),((AN$7-$K106)/($L106-$K106)))</f>
        <v>1</v>
      </c>
      <c r="AP106" s="226" cm="1">
        <f t="array" ref="AP106">_xlfn.IFS(AND($K106&gt;AO$7,$L106&gt;AO$7),0,AND($K106&lt;=AO$7,$L106&lt;=AO$7),1,AND($K106&lt;=AO$7,$L106&gt;AO$7),((AO$7-$K106)/($L106-$K106)))</f>
        <v>1</v>
      </c>
      <c r="AQ106" s="226" cm="1">
        <f t="array" ref="AQ106">_xlfn.IFS(AND($K106&gt;AP$7,$L106&gt;AP$7),0,AND($K106&lt;=AP$7,$L106&lt;=AP$7),1,AND($K106&lt;=AP$7,$L106&gt;AP$7),((AP$7-$K106)/($L106-$K106)))</f>
        <v>1</v>
      </c>
      <c r="AR106" s="226" cm="1">
        <f t="array" ref="AR106">_xlfn.IFS(AND($K106&gt;AQ$7,$L106&gt;AQ$7),0,AND($K106&lt;=AQ$7,$L106&lt;=AQ$7),1,AND($K106&lt;=AQ$7,$L106&gt;AQ$7),((AQ$7-$K106)/($L106-$K106)))</f>
        <v>1</v>
      </c>
      <c r="AS106" s="226" cm="1">
        <f t="array" ref="AS106">_xlfn.IFS(AND($K106&gt;AR$7,$L106&gt;AR$7),0,AND($K106&lt;=AR$7,$L106&lt;=AR$7),1,AND($K106&lt;=AR$7,$L106&gt;AR$7),((AR$7-$K106)/($L106-$K106)))</f>
        <v>1</v>
      </c>
      <c r="AT106" s="226" cm="1">
        <f t="array" ref="AT106">_xlfn.IFS(AND($K106&gt;AS$7,$L106&gt;AS$7),0,AND($K106&lt;=AS$7,$L106&lt;=AS$7),1,AND($K106&lt;=AS$7,$L106&gt;AS$7),((AS$7-$K106)/($L106-$K106)))</f>
        <v>1</v>
      </c>
      <c r="AU106" s="226" cm="1">
        <f t="array" ref="AU106">_xlfn.IFS(AND($K106&gt;AT$7,$L106&gt;AT$7),0,AND($K106&lt;=AT$7,$L106&lt;=AT$7),1,AND($K106&lt;=AT$7,$L106&gt;AT$7),((AT$7-$K106)/($L106-$K106)))</f>
        <v>1</v>
      </c>
      <c r="AV106" s="226" cm="1">
        <f t="array" ref="AV106">_xlfn.IFS(AND($K106&gt;AU$7,$L106&gt;AU$7),0,AND($K106&lt;=AU$7,$L106&lt;=AU$7),1,AND($K106&lt;=AU$7,$L106&gt;AU$7),((AU$7-$K106)/($L106-$K106)))</f>
        <v>1</v>
      </c>
      <c r="AW106" s="226" cm="1">
        <f t="array" ref="AW106">_xlfn.IFS(AND($K106&gt;AV$7,$L106&gt;AV$7),0,AND($K106&lt;=AV$7,$L106&lt;=AV$7),1,AND($K106&lt;=AV$7,$L106&gt;AV$7),((AV$7-$K106)/($L106-$K106)))</f>
        <v>1</v>
      </c>
      <c r="AX106" s="226" cm="1">
        <f t="array" ref="AX106">_xlfn.IFS(AND($K106&gt;AW$7,$L106&gt;AW$7),0,AND($K106&lt;=AW$7,$L106&lt;=AW$7),1,AND($K106&lt;=AW$7,$L106&gt;AW$7),((AW$7-$K106)/($L106-$K106)))</f>
        <v>1</v>
      </c>
      <c r="AY106" s="226" cm="1">
        <f t="array" ref="AY106">_xlfn.IFS(AND($K106&gt;AX$7,$L106&gt;AX$7),0,AND($K106&lt;=AX$7,$L106&lt;=AX$7),1,AND($K106&lt;=AX$7,$L106&gt;AX$7),((AX$7-$K106)/($L106-$K106)))</f>
        <v>1</v>
      </c>
      <c r="AZ106" s="226" cm="1">
        <f t="array" ref="AZ106">_xlfn.IFS(AND($K106&gt;AY$7,$L106&gt;AY$7),0,AND($K106&lt;=AY$7,$L106&lt;=AY$7),1,AND($K106&lt;=AY$7,$L106&gt;AY$7),((AY$7-$K106)/($L106-$K106)))</f>
        <v>1</v>
      </c>
      <c r="BA106" s="226" cm="1">
        <f t="array" ref="BA106">_xlfn.IFS(AND($K106&gt;AZ$7,$L106&gt;AZ$7),0,AND($K106&lt;=AZ$7,$L106&lt;=AZ$7),1,AND($K106&lt;=AZ$7,$L106&gt;AZ$7),((AZ$7-$K106)/($L106-$K106)))</f>
        <v>1</v>
      </c>
      <c r="BB106" s="226" cm="1">
        <f t="array" ref="BB106">_xlfn.IFS(AND($K106&gt;BA$7,$L106&gt;BA$7),0,AND($K106&lt;=BA$7,$L106&lt;=BA$7),1,AND($K106&lt;=BA$7,$L106&gt;BA$7),((BA$7-$K106)/($L106-$K106)))</f>
        <v>1</v>
      </c>
      <c r="BC106" s="226" cm="1">
        <f t="array" ref="BC106">_xlfn.IFS(AND($K106&gt;BB$7,$L106&gt;BB$7),0,AND($K106&lt;=BB$7,$L106&lt;=BB$7),1,AND($K106&lt;=BB$7,$L106&gt;BB$7),((BB$7-$K106)/($L106-$K106)))</f>
        <v>1</v>
      </c>
      <c r="BD106" s="226" cm="1">
        <f t="array" ref="BD106">_xlfn.IFS(AND($K106&gt;BC$7,$L106&gt;BC$7),0,AND($K106&lt;=BC$7,$L106&lt;=BC$7),1,AND($K106&lt;=BC$7,$L106&gt;BC$7),((BC$7-$K106)/($L106-$K106)))</f>
        <v>1</v>
      </c>
      <c r="BE106" s="226" cm="1">
        <f t="array" ref="BE106">_xlfn.IFS(AND($K106&gt;BD$7,$L106&gt;BD$7),0,AND($K106&lt;=BD$7,$L106&lt;=BD$7),1,AND($K106&lt;=BD$7,$L106&gt;BD$7),((BD$7-$K106)/($L106-$K106)))</f>
        <v>1</v>
      </c>
      <c r="BF106" s="226" cm="1">
        <f t="array" ref="BF106">_xlfn.IFS(AND($K106&gt;BE$7,$L106&gt;BE$7),0,AND($K106&lt;=BE$7,$L106&lt;=BE$7),1,AND($K106&lt;=BE$7,$L106&gt;BE$7),((BE$7-$K106)/($L106-$K106)))</f>
        <v>1</v>
      </c>
      <c r="BG106" s="226" cm="1">
        <f t="array" ref="BG106">_xlfn.IFS(AND($K106&gt;BF$7,$L106&gt;BF$7),0,AND($K106&lt;=BF$7,$L106&lt;=BF$7),1,AND($K106&lt;=BF$7,$L106&gt;BF$7),((BF$7-$K106)/($L106-$K106)))</f>
        <v>1</v>
      </c>
      <c r="BH106" s="163">
        <f>Tab.plano6[[#This Row],[Data Término
Prevista]]-Tab.plano6[[#This Row],[Data Início
Previsto]]</f>
        <v>2</v>
      </c>
    </row>
    <row r="107" spans="1:60" customFormat="1" ht="18" customHeight="1" x14ac:dyDescent="0.3">
      <c r="A107" s="216"/>
      <c r="B107" s="216" t="s">
        <v>12</v>
      </c>
      <c r="C107" s="216" t="s">
        <v>452</v>
      </c>
      <c r="D107" s="249" t="s">
        <v>399</v>
      </c>
      <c r="E107" s="249" t="s">
        <v>422</v>
      </c>
      <c r="F107" s="249" t="s">
        <v>74</v>
      </c>
      <c r="G107" s="249" t="s">
        <v>74</v>
      </c>
      <c r="H107" s="252" t="s">
        <v>822</v>
      </c>
      <c r="I107" s="257">
        <f>I108</f>
        <v>46160</v>
      </c>
      <c r="J107" s="257">
        <f>J108</f>
        <v>46191</v>
      </c>
      <c r="K107" s="257">
        <f>K108</f>
        <v>46160</v>
      </c>
      <c r="L107" s="257">
        <f>L108</f>
        <v>46191</v>
      </c>
      <c r="M107" s="229" t="s">
        <v>454</v>
      </c>
      <c r="N107" s="227" t="str" cm="1">
        <f t="array" ref="N107">_xlfn.IFS(L107&lt;$M$3,"Concluído",AND(K107&lt;=$M$3,L107&gt;=$M$3,L107&lt;=J107),"Em andamento",AND(K107&lt;=$M$3,L107&gt;=$M$3,L107&gt;J107),"Atrasado",AND(K107&gt;$M$3,I107&gt;$M$3),"Não iniciado",AND(K107&gt;$M$3,I107&lt;=$M$3),"Atrasado",TRUE,"Não iniciado")</f>
        <v>Em andamento</v>
      </c>
      <c r="O107" s="229" cm="1">
        <f t="array" ref="O107">_xlfn.IFS(N107="Não iniciado",0,N107="Em andamento",1,N107="Concluído",2,N107="Atrasado",3)</f>
        <v>1</v>
      </c>
      <c r="P107" s="216"/>
      <c r="Q107" s="224">
        <f t="shared" ref="Q107:BG107" si="43">Q108</f>
        <v>0.5</v>
      </c>
      <c r="R107" s="224">
        <f t="shared" si="43"/>
        <v>0.5</v>
      </c>
      <c r="S107" s="224">
        <f t="shared" si="43"/>
        <v>0</v>
      </c>
      <c r="T107" s="224">
        <f t="shared" si="43"/>
        <v>0</v>
      </c>
      <c r="U107" s="224">
        <f t="shared" si="43"/>
        <v>0</v>
      </c>
      <c r="V107" s="224">
        <f t="shared" si="43"/>
        <v>0</v>
      </c>
      <c r="W107" s="224">
        <f t="shared" si="43"/>
        <v>0</v>
      </c>
      <c r="X107" s="224">
        <f t="shared" si="43"/>
        <v>0</v>
      </c>
      <c r="Y107" s="224">
        <f t="shared" si="43"/>
        <v>0</v>
      </c>
      <c r="Z107" s="224">
        <f t="shared" si="43"/>
        <v>0</v>
      </c>
      <c r="AA107" s="224">
        <f t="shared" si="43"/>
        <v>0</v>
      </c>
      <c r="AB107" s="224">
        <f t="shared" si="43"/>
        <v>0.39743589743589741</v>
      </c>
      <c r="AC107" s="224">
        <f t="shared" si="43"/>
        <v>0.48717948717948723</v>
      </c>
      <c r="AD107" s="224">
        <f t="shared" si="43"/>
        <v>0.57692307692307698</v>
      </c>
      <c r="AE107" s="224">
        <f t="shared" si="43"/>
        <v>0.66666666666666663</v>
      </c>
      <c r="AF107" s="224">
        <f t="shared" si="43"/>
        <v>1</v>
      </c>
      <c r="AG107" s="224">
        <f t="shared" si="43"/>
        <v>1</v>
      </c>
      <c r="AH107" s="224">
        <f t="shared" si="43"/>
        <v>1</v>
      </c>
      <c r="AI107" s="224">
        <f t="shared" si="43"/>
        <v>1</v>
      </c>
      <c r="AJ107" s="224">
        <f t="shared" si="43"/>
        <v>1</v>
      </c>
      <c r="AK107" s="224">
        <f t="shared" si="43"/>
        <v>1</v>
      </c>
      <c r="AL107" s="224">
        <f t="shared" si="43"/>
        <v>1</v>
      </c>
      <c r="AM107" s="224">
        <f t="shared" si="43"/>
        <v>1</v>
      </c>
      <c r="AN107" s="224">
        <f t="shared" si="43"/>
        <v>1</v>
      </c>
      <c r="AO107" s="224">
        <f t="shared" si="43"/>
        <v>1</v>
      </c>
      <c r="AP107" s="224">
        <f t="shared" si="43"/>
        <v>1</v>
      </c>
      <c r="AQ107" s="224">
        <f t="shared" si="43"/>
        <v>1</v>
      </c>
      <c r="AR107" s="224">
        <f t="shared" si="43"/>
        <v>1</v>
      </c>
      <c r="AS107" s="224">
        <f t="shared" si="43"/>
        <v>1</v>
      </c>
      <c r="AT107" s="224">
        <f t="shared" si="43"/>
        <v>1</v>
      </c>
      <c r="AU107" s="224">
        <f t="shared" si="43"/>
        <v>1</v>
      </c>
      <c r="AV107" s="224">
        <f t="shared" si="43"/>
        <v>1</v>
      </c>
      <c r="AW107" s="224">
        <f t="shared" si="43"/>
        <v>1</v>
      </c>
      <c r="AX107" s="224">
        <f t="shared" si="43"/>
        <v>1</v>
      </c>
      <c r="AY107" s="224">
        <f t="shared" si="43"/>
        <v>1</v>
      </c>
      <c r="AZ107" s="224">
        <f t="shared" si="43"/>
        <v>1</v>
      </c>
      <c r="BA107" s="224">
        <f t="shared" si="43"/>
        <v>1</v>
      </c>
      <c r="BB107" s="224">
        <f t="shared" si="43"/>
        <v>1</v>
      </c>
      <c r="BC107" s="224">
        <f t="shared" si="43"/>
        <v>1</v>
      </c>
      <c r="BD107" s="224">
        <f t="shared" si="43"/>
        <v>1</v>
      </c>
      <c r="BE107" s="224">
        <f t="shared" si="43"/>
        <v>1</v>
      </c>
      <c r="BF107" s="224">
        <f t="shared" si="43"/>
        <v>1</v>
      </c>
      <c r="BG107" s="224">
        <f t="shared" si="43"/>
        <v>1</v>
      </c>
      <c r="BH107" s="163">
        <f>Tab.plano6[[#This Row],[Data Término
Prevista]]-Tab.plano6[[#This Row],[Data Início
Previsto]]</f>
        <v>31</v>
      </c>
    </row>
    <row r="108" spans="1:60" customFormat="1" ht="18" customHeight="1" x14ac:dyDescent="0.3">
      <c r="A108" s="218"/>
      <c r="B108" s="218" t="s">
        <v>13</v>
      </c>
      <c r="C108" s="218" t="s">
        <v>455</v>
      </c>
      <c r="D108" s="250" t="s">
        <v>399</v>
      </c>
      <c r="E108" s="250" t="s">
        <v>422</v>
      </c>
      <c r="F108" s="250" t="s">
        <v>453</v>
      </c>
      <c r="G108" s="250" t="s">
        <v>74</v>
      </c>
      <c r="H108" s="219" t="s">
        <v>453</v>
      </c>
      <c r="I108" s="258">
        <f>MIN(I109:I111)</f>
        <v>46160</v>
      </c>
      <c r="J108" s="258">
        <f>MAX(J109:J111)</f>
        <v>46191</v>
      </c>
      <c r="K108" s="258">
        <f>MIN(K109:K111)</f>
        <v>46160</v>
      </c>
      <c r="L108" s="258">
        <f>MAX(L109:L111)</f>
        <v>46191</v>
      </c>
      <c r="M108" s="230" t="s">
        <v>454</v>
      </c>
      <c r="N108" s="227" t="str" cm="1">
        <f t="array" ref="N108">_xlfn.IFS(L108&lt;$M$3,"Concluído",AND(K108&lt;=$M$3,L108&gt;=$M$3,L108&lt;=J108),"Em andamento",AND(K108&lt;=$M$3,L108&gt;=$M$3,L108&gt;J108),"Atrasado",AND(K108&gt;$M$3,I108&gt;$M$3),"Não iniciado",AND(K108&gt;$M$3,I108&lt;=$M$3),"Atrasado",TRUE,"Não iniciado")</f>
        <v>Em andamento</v>
      </c>
      <c r="O108" s="230" cm="1">
        <f t="array" ref="O108">_xlfn.IFS(N108="Não iniciado",0,N108="Em andamento",1,N108="Concluído",2,N108="Atrasado",3)</f>
        <v>1</v>
      </c>
      <c r="P108" s="218"/>
      <c r="Q108" s="225">
        <f t="shared" ref="Q108:BG108" si="44">AVERAGE(Q109:Q111)</f>
        <v>0.5</v>
      </c>
      <c r="R108" s="225">
        <f t="shared" si="44"/>
        <v>0.5</v>
      </c>
      <c r="S108" s="225">
        <f t="shared" si="44"/>
        <v>0</v>
      </c>
      <c r="T108" s="225">
        <f t="shared" si="44"/>
        <v>0</v>
      </c>
      <c r="U108" s="225">
        <f t="shared" si="44"/>
        <v>0</v>
      </c>
      <c r="V108" s="225">
        <f t="shared" si="44"/>
        <v>0</v>
      </c>
      <c r="W108" s="225">
        <f t="shared" si="44"/>
        <v>0</v>
      </c>
      <c r="X108" s="225">
        <f t="shared" si="44"/>
        <v>0</v>
      </c>
      <c r="Y108" s="225">
        <f t="shared" si="44"/>
        <v>0</v>
      </c>
      <c r="Z108" s="225">
        <f t="shared" si="44"/>
        <v>0</v>
      </c>
      <c r="AA108" s="225">
        <f t="shared" si="44"/>
        <v>0</v>
      </c>
      <c r="AB108" s="225">
        <f t="shared" si="44"/>
        <v>0.39743589743589741</v>
      </c>
      <c r="AC108" s="225">
        <f t="shared" si="44"/>
        <v>0.48717948717948723</v>
      </c>
      <c r="AD108" s="225">
        <f t="shared" si="44"/>
        <v>0.57692307692307698</v>
      </c>
      <c r="AE108" s="225">
        <f t="shared" si="44"/>
        <v>0.66666666666666663</v>
      </c>
      <c r="AF108" s="225">
        <f t="shared" si="44"/>
        <v>1</v>
      </c>
      <c r="AG108" s="225">
        <f t="shared" si="44"/>
        <v>1</v>
      </c>
      <c r="AH108" s="225">
        <f t="shared" si="44"/>
        <v>1</v>
      </c>
      <c r="AI108" s="225">
        <f t="shared" si="44"/>
        <v>1</v>
      </c>
      <c r="AJ108" s="225">
        <f t="shared" si="44"/>
        <v>1</v>
      </c>
      <c r="AK108" s="225">
        <f t="shared" si="44"/>
        <v>1</v>
      </c>
      <c r="AL108" s="225">
        <f t="shared" si="44"/>
        <v>1</v>
      </c>
      <c r="AM108" s="225">
        <f t="shared" si="44"/>
        <v>1</v>
      </c>
      <c r="AN108" s="225">
        <f t="shared" si="44"/>
        <v>1</v>
      </c>
      <c r="AO108" s="225">
        <f t="shared" si="44"/>
        <v>1</v>
      </c>
      <c r="AP108" s="225">
        <f t="shared" si="44"/>
        <v>1</v>
      </c>
      <c r="AQ108" s="225">
        <f t="shared" si="44"/>
        <v>1</v>
      </c>
      <c r="AR108" s="225">
        <f t="shared" si="44"/>
        <v>1</v>
      </c>
      <c r="AS108" s="225">
        <f t="shared" si="44"/>
        <v>1</v>
      </c>
      <c r="AT108" s="225">
        <f t="shared" si="44"/>
        <v>1</v>
      </c>
      <c r="AU108" s="225">
        <f t="shared" si="44"/>
        <v>1</v>
      </c>
      <c r="AV108" s="225">
        <f t="shared" si="44"/>
        <v>1</v>
      </c>
      <c r="AW108" s="225">
        <f t="shared" si="44"/>
        <v>1</v>
      </c>
      <c r="AX108" s="225">
        <f t="shared" si="44"/>
        <v>1</v>
      </c>
      <c r="AY108" s="225">
        <f t="shared" si="44"/>
        <v>1</v>
      </c>
      <c r="AZ108" s="225">
        <f t="shared" si="44"/>
        <v>1</v>
      </c>
      <c r="BA108" s="225">
        <f t="shared" si="44"/>
        <v>1</v>
      </c>
      <c r="BB108" s="225">
        <f t="shared" si="44"/>
        <v>1</v>
      </c>
      <c r="BC108" s="225">
        <f t="shared" si="44"/>
        <v>1</v>
      </c>
      <c r="BD108" s="225">
        <f t="shared" si="44"/>
        <v>1</v>
      </c>
      <c r="BE108" s="225">
        <f t="shared" si="44"/>
        <v>1</v>
      </c>
      <c r="BF108" s="225">
        <f t="shared" si="44"/>
        <v>1</v>
      </c>
      <c r="BG108" s="225">
        <f t="shared" si="44"/>
        <v>1</v>
      </c>
      <c r="BH108" s="163">
        <f>Tab.plano6[[#This Row],[Data Término
Prevista]]-Tab.plano6[[#This Row],[Data Início
Previsto]]</f>
        <v>31</v>
      </c>
    </row>
    <row r="109" spans="1:60" customFormat="1" ht="18" customHeight="1" x14ac:dyDescent="0.3">
      <c r="A109" s="220"/>
      <c r="B109" s="220" t="s">
        <v>161</v>
      </c>
      <c r="C109" s="220" t="s">
        <v>456</v>
      </c>
      <c r="D109" s="251" t="s">
        <v>399</v>
      </c>
      <c r="E109" s="251" t="s">
        <v>422</v>
      </c>
      <c r="F109" s="251" t="s">
        <v>453</v>
      </c>
      <c r="G109" s="251" t="s">
        <v>453</v>
      </c>
      <c r="H109" s="221" t="s">
        <v>457</v>
      </c>
      <c r="I109" s="260">
        <v>46160</v>
      </c>
      <c r="J109" s="260">
        <v>46161</v>
      </c>
      <c r="K109" s="260">
        <v>46160</v>
      </c>
      <c r="L109" s="260">
        <v>46161</v>
      </c>
      <c r="M109" s="231" t="s">
        <v>454</v>
      </c>
      <c r="N109" s="227" t="str" cm="1">
        <f t="array" ref="N109">_xlfn.IFS(L109&lt;$M$3,"Concluído",AND(K109&lt;=$M$3,L109&gt;=$M$3,L109&lt;=J109),"Em andamento",AND(K109&lt;=$M$3,L109&gt;=$M$3,L109&gt;J109),"Atrasado",AND(K109&gt;$M$3,I109&gt;$M$3),"Não iniciado",AND(K109&gt;$M$3,I109&lt;=$M$3),"Atrasado",TRUE,"Não iniciado")</f>
        <v>Concluído</v>
      </c>
      <c r="O109" s="231" cm="1">
        <f t="array" ref="O109">_xlfn.IFS(N109="Não iniciado",0,N109="Em andamento",1,N109="Concluído",2,N109="Atrasado",3)</f>
        <v>2</v>
      </c>
      <c r="P109" s="220"/>
      <c r="Q109" s="226" cm="1">
        <f t="array" ref="Q109">_xlfn.IFS(AND($I109&lt;$M$3,$J109&lt;$M$3),1,AND($I109&lt;=$M$3,$J109&gt;=$M$3),0.5,AND($I109&gt;=$M$3,$J109&gt;=$M$3),0)</f>
        <v>1</v>
      </c>
      <c r="R109" s="226" cm="1">
        <f t="array" ref="R109">_xlfn.IFS(AND($K109&lt;$M$3,$L109&lt;$M$3),1,AND($K109&lt;=$M$3,$L109&gt;=$M$3),0.5,AND($K109&gt;=$M$3,$L109&gt;=$M$3),0)</f>
        <v>1</v>
      </c>
      <c r="S109" s="226" cm="1">
        <f t="array" ref="S109">_xlfn.IFS(AND($K109&gt;R$7,$L109&gt;R$7),0,AND($K109&lt;=R$7,$L109&lt;=R$7),1,AND($K109&lt;=R$7,$L109&gt;R$7),((R$7-$K109)/($L109-$K109)))</f>
        <v>0</v>
      </c>
      <c r="T109" s="226" cm="1">
        <f t="array" ref="T109">_xlfn.IFS(AND($K109&gt;S$7,$L109&gt;S$7),0,AND($K109&lt;=S$7,$L109&lt;=S$7),1,AND($K109&lt;=S$7,$L109&gt;S$7),((S$7-$K109)/($L109-$K109)))</f>
        <v>0</v>
      </c>
      <c r="U109" s="226" cm="1">
        <f t="array" ref="U109">_xlfn.IFS(AND($K109&gt;T$7,$L109&gt;T$7),0,AND($K109&lt;=T$7,$L109&lt;=T$7),1,AND($K109&lt;=T$7,$L109&gt;T$7),((T$7-$K109)/($L109-$K109)))</f>
        <v>0</v>
      </c>
      <c r="V109" s="226" cm="1">
        <f t="array" ref="V109">_xlfn.IFS(AND($K109&gt;U$7,$L109&gt;U$7),0,AND($K109&lt;=U$7,$L109&lt;=U$7),1,AND($K109&lt;=U$7,$L109&gt;U$7),((U$7-$K109)/($L109-$K109)))</f>
        <v>0</v>
      </c>
      <c r="W109" s="226" cm="1">
        <f t="array" ref="W109">_xlfn.IFS(AND($K109&gt;V$7,$L109&gt;V$7),0,AND($K109&lt;=V$7,$L109&lt;=V$7),1,AND($K109&lt;=V$7,$L109&gt;V$7),((V$7-$K109)/($L109-$K109)))</f>
        <v>0</v>
      </c>
      <c r="X109" s="226" cm="1">
        <f t="array" ref="X109">_xlfn.IFS(AND($K109&gt;W$7,$L109&gt;W$7),0,AND($K109&lt;=W$7,$L109&lt;=W$7),1,AND($K109&lt;=W$7,$L109&gt;W$7),((W$7-$K109)/($L109-$K109)))</f>
        <v>0</v>
      </c>
      <c r="Y109" s="226" cm="1">
        <f t="array" ref="Y109">_xlfn.IFS(AND($K109&gt;X$7,$L109&gt;X$7),0,AND($K109&lt;=X$7,$L109&lt;=X$7),1,AND($K109&lt;=X$7,$L109&gt;X$7),((X$7-$K109)/($L109-$K109)))</f>
        <v>0</v>
      </c>
      <c r="Z109" s="226" cm="1">
        <f t="array" ref="Z109">_xlfn.IFS(AND($K109&gt;Y$7,$L109&gt;Y$7),0,AND($K109&lt;=Y$7,$L109&lt;=Y$7),1,AND($K109&lt;=Y$7,$L109&gt;Y$7),((Y$7-$K109)/($L109-$K109)))</f>
        <v>0</v>
      </c>
      <c r="AA109" s="226" cm="1">
        <f t="array" ref="AA109">_xlfn.IFS(AND($K109&gt;Z$7,$L109&gt;Z$7),0,AND($K109&lt;=Z$7,$L109&lt;=Z$7),1,AND($K109&lt;=Z$7,$L109&gt;Z$7),((Z$7-$K109)/($L109-$K109)))</f>
        <v>0</v>
      </c>
      <c r="AB109" s="226" cm="1">
        <f t="array" ref="AB109">_xlfn.IFS(AND($K109&gt;AA$7,$L109&gt;AA$7),0,AND($K109&lt;=AA$7,$L109&lt;=AA$7),1,AND($K109&lt;=AA$7,$L109&gt;AA$7),((AA$7-$K109)/($L109-$K109)))</f>
        <v>1</v>
      </c>
      <c r="AC109" s="226" cm="1">
        <f t="array" ref="AC109">_xlfn.IFS(AND($K109&gt;AB$7,$L109&gt;AB$7),0,AND($K109&lt;=AB$7,$L109&lt;=AB$7),1,AND($K109&lt;=AB$7,$L109&gt;AB$7),((AB$7-$K109)/($L109-$K109)))</f>
        <v>1</v>
      </c>
      <c r="AD109" s="226" cm="1">
        <f t="array" ref="AD109">_xlfn.IFS(AND($K109&gt;AC$7,$L109&gt;AC$7),0,AND($K109&lt;=AC$7,$L109&lt;=AC$7),1,AND($K109&lt;=AC$7,$L109&gt;AC$7),((AC$7-$K109)/($L109-$K109)))</f>
        <v>1</v>
      </c>
      <c r="AE109" s="226" cm="1">
        <f t="array" ref="AE109">_xlfn.IFS(AND($K109&gt;AD$7,$L109&gt;AD$7),0,AND($K109&lt;=AD$7,$L109&lt;=AD$7),1,AND($K109&lt;=AD$7,$L109&gt;AD$7),((AD$7-$K109)/($L109-$K109)))</f>
        <v>1</v>
      </c>
      <c r="AF109" s="226" cm="1">
        <f t="array" ref="AF109">_xlfn.IFS(AND($K109&gt;AE$7,$L109&gt;AE$7),0,AND($K109&lt;=AE$7,$L109&lt;=AE$7),1,AND($K109&lt;=AE$7,$L109&gt;AE$7),((AE$7-$K109)/($L109-$K109)))</f>
        <v>1</v>
      </c>
      <c r="AG109" s="226" cm="1">
        <f t="array" ref="AG109">_xlfn.IFS(AND($K109&gt;AF$7,$L109&gt;AF$7),0,AND($K109&lt;=AF$7,$L109&lt;=AF$7),1,AND($K109&lt;=AF$7,$L109&gt;AF$7),((AF$7-$K109)/($L109-$K109)))</f>
        <v>1</v>
      </c>
      <c r="AH109" s="226" cm="1">
        <f t="array" ref="AH109">_xlfn.IFS(AND($K109&gt;AG$7,$L109&gt;AG$7),0,AND($K109&lt;=AG$7,$L109&lt;=AG$7),1,AND($K109&lt;=AG$7,$L109&gt;AG$7),((AG$7-$K109)/($L109-$K109)))</f>
        <v>1</v>
      </c>
      <c r="AI109" s="226" cm="1">
        <f t="array" ref="AI109">_xlfn.IFS(AND($K109&gt;AH$7,$L109&gt;AH$7),0,AND($K109&lt;=AH$7,$L109&lt;=AH$7),1,AND($K109&lt;=AH$7,$L109&gt;AH$7),((AH$7-$K109)/($L109-$K109)))</f>
        <v>1</v>
      </c>
      <c r="AJ109" s="226" cm="1">
        <f t="array" ref="AJ109">_xlfn.IFS(AND($K109&gt;AI$7,$L109&gt;AI$7),0,AND($K109&lt;=AI$7,$L109&lt;=AI$7),1,AND($K109&lt;=AI$7,$L109&gt;AI$7),((AI$7-$K109)/($L109-$K109)))</f>
        <v>1</v>
      </c>
      <c r="AK109" s="226" cm="1">
        <f t="array" ref="AK109">_xlfn.IFS(AND($K109&gt;AJ$7,$L109&gt;AJ$7),0,AND($K109&lt;=AJ$7,$L109&lt;=AJ$7),1,AND($K109&lt;=AJ$7,$L109&gt;AJ$7),((AJ$7-$K109)/($L109-$K109)))</f>
        <v>1</v>
      </c>
      <c r="AL109" s="226" cm="1">
        <f t="array" ref="AL109">_xlfn.IFS(AND($K109&gt;AK$7,$L109&gt;AK$7),0,AND($K109&lt;=AK$7,$L109&lt;=AK$7),1,AND($K109&lt;=AK$7,$L109&gt;AK$7),((AK$7-$K109)/($L109-$K109)))</f>
        <v>1</v>
      </c>
      <c r="AM109" s="226" cm="1">
        <f t="array" ref="AM109">_xlfn.IFS(AND($K109&gt;AL$7,$L109&gt;AL$7),0,AND($K109&lt;=AL$7,$L109&lt;=AL$7),1,AND($K109&lt;=AL$7,$L109&gt;AL$7),((AL$7-$K109)/($L109-$K109)))</f>
        <v>1</v>
      </c>
      <c r="AN109" s="226" cm="1">
        <f t="array" ref="AN109">_xlfn.IFS(AND($K109&gt;AM$7,$L109&gt;AM$7),0,AND($K109&lt;=AM$7,$L109&lt;=AM$7),1,AND($K109&lt;=AM$7,$L109&gt;AM$7),((AM$7-$K109)/($L109-$K109)))</f>
        <v>1</v>
      </c>
      <c r="AO109" s="226" cm="1">
        <f t="array" ref="AO109">_xlfn.IFS(AND($K109&gt;AN$7,$L109&gt;AN$7),0,AND($K109&lt;=AN$7,$L109&lt;=AN$7),1,AND($K109&lt;=AN$7,$L109&gt;AN$7),((AN$7-$K109)/($L109-$K109)))</f>
        <v>1</v>
      </c>
      <c r="AP109" s="226" cm="1">
        <f t="array" ref="AP109">_xlfn.IFS(AND($K109&gt;AO$7,$L109&gt;AO$7),0,AND($K109&lt;=AO$7,$L109&lt;=AO$7),1,AND($K109&lt;=AO$7,$L109&gt;AO$7),((AO$7-$K109)/($L109-$K109)))</f>
        <v>1</v>
      </c>
      <c r="AQ109" s="226" cm="1">
        <f t="array" ref="AQ109">_xlfn.IFS(AND($K109&gt;AP$7,$L109&gt;AP$7),0,AND($K109&lt;=AP$7,$L109&lt;=AP$7),1,AND($K109&lt;=AP$7,$L109&gt;AP$7),((AP$7-$K109)/($L109-$K109)))</f>
        <v>1</v>
      </c>
      <c r="AR109" s="226" cm="1">
        <f t="array" ref="AR109">_xlfn.IFS(AND($K109&gt;AQ$7,$L109&gt;AQ$7),0,AND($K109&lt;=AQ$7,$L109&lt;=AQ$7),1,AND($K109&lt;=AQ$7,$L109&gt;AQ$7),((AQ$7-$K109)/($L109-$K109)))</f>
        <v>1</v>
      </c>
      <c r="AS109" s="226" cm="1">
        <f t="array" ref="AS109">_xlfn.IFS(AND($K109&gt;AR$7,$L109&gt;AR$7),0,AND($K109&lt;=AR$7,$L109&lt;=AR$7),1,AND($K109&lt;=AR$7,$L109&gt;AR$7),((AR$7-$K109)/($L109-$K109)))</f>
        <v>1</v>
      </c>
      <c r="AT109" s="226" cm="1">
        <f t="array" ref="AT109">_xlfn.IFS(AND($K109&gt;AS$7,$L109&gt;AS$7),0,AND($K109&lt;=AS$7,$L109&lt;=AS$7),1,AND($K109&lt;=AS$7,$L109&gt;AS$7),((AS$7-$K109)/($L109-$K109)))</f>
        <v>1</v>
      </c>
      <c r="AU109" s="226" cm="1">
        <f t="array" ref="AU109">_xlfn.IFS(AND($K109&gt;AT$7,$L109&gt;AT$7),0,AND($K109&lt;=AT$7,$L109&lt;=AT$7),1,AND($K109&lt;=AT$7,$L109&gt;AT$7),((AT$7-$K109)/($L109-$K109)))</f>
        <v>1</v>
      </c>
      <c r="AV109" s="226" cm="1">
        <f t="array" ref="AV109">_xlfn.IFS(AND($K109&gt;AU$7,$L109&gt;AU$7),0,AND($K109&lt;=AU$7,$L109&lt;=AU$7),1,AND($K109&lt;=AU$7,$L109&gt;AU$7),((AU$7-$K109)/($L109-$K109)))</f>
        <v>1</v>
      </c>
      <c r="AW109" s="226" cm="1">
        <f t="array" ref="AW109">_xlfn.IFS(AND($K109&gt;AV$7,$L109&gt;AV$7),0,AND($K109&lt;=AV$7,$L109&lt;=AV$7),1,AND($K109&lt;=AV$7,$L109&gt;AV$7),((AV$7-$K109)/($L109-$K109)))</f>
        <v>1</v>
      </c>
      <c r="AX109" s="226" cm="1">
        <f t="array" ref="AX109">_xlfn.IFS(AND($K109&gt;AW$7,$L109&gt;AW$7),0,AND($K109&lt;=AW$7,$L109&lt;=AW$7),1,AND($K109&lt;=AW$7,$L109&gt;AW$7),((AW$7-$K109)/($L109-$K109)))</f>
        <v>1</v>
      </c>
      <c r="AY109" s="226" cm="1">
        <f t="array" ref="AY109">_xlfn.IFS(AND($K109&gt;AX$7,$L109&gt;AX$7),0,AND($K109&lt;=AX$7,$L109&lt;=AX$7),1,AND($K109&lt;=AX$7,$L109&gt;AX$7),((AX$7-$K109)/($L109-$K109)))</f>
        <v>1</v>
      </c>
      <c r="AZ109" s="226" cm="1">
        <f t="array" ref="AZ109">_xlfn.IFS(AND($K109&gt;AY$7,$L109&gt;AY$7),0,AND($K109&lt;=AY$7,$L109&lt;=AY$7),1,AND($K109&lt;=AY$7,$L109&gt;AY$7),((AY$7-$K109)/($L109-$K109)))</f>
        <v>1</v>
      </c>
      <c r="BA109" s="226" cm="1">
        <f t="array" ref="BA109">_xlfn.IFS(AND($K109&gt;AZ$7,$L109&gt;AZ$7),0,AND($K109&lt;=AZ$7,$L109&lt;=AZ$7),1,AND($K109&lt;=AZ$7,$L109&gt;AZ$7),((AZ$7-$K109)/($L109-$K109)))</f>
        <v>1</v>
      </c>
      <c r="BB109" s="226" cm="1">
        <f t="array" ref="BB109">_xlfn.IFS(AND($K109&gt;BA$7,$L109&gt;BA$7),0,AND($K109&lt;=BA$7,$L109&lt;=BA$7),1,AND($K109&lt;=BA$7,$L109&gt;BA$7),((BA$7-$K109)/($L109-$K109)))</f>
        <v>1</v>
      </c>
      <c r="BC109" s="226" cm="1">
        <f t="array" ref="BC109">_xlfn.IFS(AND($K109&gt;BB$7,$L109&gt;BB$7),0,AND($K109&lt;=BB$7,$L109&lt;=BB$7),1,AND($K109&lt;=BB$7,$L109&gt;BB$7),((BB$7-$K109)/($L109-$K109)))</f>
        <v>1</v>
      </c>
      <c r="BD109" s="226" cm="1">
        <f t="array" ref="BD109">_xlfn.IFS(AND($K109&gt;BC$7,$L109&gt;BC$7),0,AND($K109&lt;=BC$7,$L109&lt;=BC$7),1,AND($K109&lt;=BC$7,$L109&gt;BC$7),((BC$7-$K109)/($L109-$K109)))</f>
        <v>1</v>
      </c>
      <c r="BE109" s="226" cm="1">
        <f t="array" ref="BE109">_xlfn.IFS(AND($K109&gt;BD$7,$L109&gt;BD$7),0,AND($K109&lt;=BD$7,$L109&lt;=BD$7),1,AND($K109&lt;=BD$7,$L109&gt;BD$7),((BD$7-$K109)/($L109-$K109)))</f>
        <v>1</v>
      </c>
      <c r="BF109" s="226" cm="1">
        <f t="array" ref="BF109">_xlfn.IFS(AND($K109&gt;BE$7,$L109&gt;BE$7),0,AND($K109&lt;=BE$7,$L109&lt;=BE$7),1,AND($K109&lt;=BE$7,$L109&gt;BE$7),((BE$7-$K109)/($L109-$K109)))</f>
        <v>1</v>
      </c>
      <c r="BG109" s="226" cm="1">
        <f t="array" ref="BG109">_xlfn.IFS(AND($K109&gt;BF$7,$L109&gt;BF$7),0,AND($K109&lt;=BF$7,$L109&lt;=BF$7),1,AND($K109&lt;=BF$7,$L109&gt;BF$7),((BF$7-$K109)/($L109-$K109)))</f>
        <v>1</v>
      </c>
      <c r="BH109" s="163">
        <f>Tab.plano6[[#This Row],[Data Término
Prevista]]-Tab.plano6[[#This Row],[Data Início
Previsto]]</f>
        <v>1</v>
      </c>
    </row>
    <row r="110" spans="1:60" customFormat="1" ht="18" customHeight="1" x14ac:dyDescent="0.3">
      <c r="A110" s="220"/>
      <c r="B110" s="220" t="s">
        <v>161</v>
      </c>
      <c r="C110" s="220" t="s">
        <v>458</v>
      </c>
      <c r="D110" s="251" t="s">
        <v>399</v>
      </c>
      <c r="E110" s="251" t="s">
        <v>422</v>
      </c>
      <c r="F110" s="251" t="s">
        <v>453</v>
      </c>
      <c r="G110" s="251" t="s">
        <v>453</v>
      </c>
      <c r="H110" s="221" t="s">
        <v>459</v>
      </c>
      <c r="I110" s="260">
        <v>46162</v>
      </c>
      <c r="J110" s="260">
        <v>46188</v>
      </c>
      <c r="K110" s="260">
        <v>46162</v>
      </c>
      <c r="L110" s="260">
        <v>46188</v>
      </c>
      <c r="M110" s="231" t="s">
        <v>454</v>
      </c>
      <c r="N110" s="227" t="str" cm="1">
        <f t="array" ref="N110">_xlfn.IFS(L110&lt;$M$3,"Concluído",AND(K110&lt;=$M$3,L110&gt;=$M$3,L110&lt;=J110),"Em andamento",AND(K110&lt;=$M$3,L110&gt;=$M$3,L110&gt;J110),"Atrasado",AND(K110&gt;$M$3,I110&gt;$M$3),"Não iniciado",AND(K110&gt;$M$3,I110&lt;=$M$3),"Atrasado",TRUE,"Não iniciado")</f>
        <v>Em andamento</v>
      </c>
      <c r="O110" s="231" cm="1">
        <f t="array" ref="O110">_xlfn.IFS(N110="Não iniciado",0,N110="Em andamento",1,N110="Concluído",2,N110="Atrasado",3)</f>
        <v>1</v>
      </c>
      <c r="P110" s="220"/>
      <c r="Q110" s="226" cm="1">
        <f t="array" ref="Q110">_xlfn.IFS(AND($I110&lt;$M$3,$J110&lt;$M$3),1,AND($I110&lt;=$M$3,$J110&gt;=$M$3),0.5,AND($I110&gt;=$M$3,$J110&gt;=$M$3),0)</f>
        <v>0.5</v>
      </c>
      <c r="R110" s="226" cm="1">
        <f t="array" ref="R110">_xlfn.IFS(AND($K110&lt;$M$3,$L110&lt;$M$3),1,AND($K110&lt;=$M$3,$L110&gt;=$M$3),0.5,AND($K110&gt;=$M$3,$L110&gt;=$M$3),0)</f>
        <v>0.5</v>
      </c>
      <c r="S110" s="226" cm="1">
        <f t="array" ref="S110">_xlfn.IFS(AND($K110&gt;R$7,$L110&gt;R$7),0,AND($K110&lt;=R$7,$L110&lt;=R$7),1,AND($K110&lt;=R$7,$L110&gt;R$7),((R$7-$K110)/($L110-$K110)))</f>
        <v>0</v>
      </c>
      <c r="T110" s="226" cm="1">
        <f t="array" ref="T110">_xlfn.IFS(AND($K110&gt;S$7,$L110&gt;S$7),0,AND($K110&lt;=S$7,$L110&lt;=S$7),1,AND($K110&lt;=S$7,$L110&gt;S$7),((S$7-$K110)/($L110-$K110)))</f>
        <v>0</v>
      </c>
      <c r="U110" s="226" cm="1">
        <f t="array" ref="U110">_xlfn.IFS(AND($K110&gt;T$7,$L110&gt;T$7),0,AND($K110&lt;=T$7,$L110&lt;=T$7),1,AND($K110&lt;=T$7,$L110&gt;T$7),((T$7-$K110)/($L110-$K110)))</f>
        <v>0</v>
      </c>
      <c r="V110" s="226" cm="1">
        <f t="array" ref="V110">_xlfn.IFS(AND($K110&gt;U$7,$L110&gt;U$7),0,AND($K110&lt;=U$7,$L110&lt;=U$7),1,AND($K110&lt;=U$7,$L110&gt;U$7),((U$7-$K110)/($L110-$K110)))</f>
        <v>0</v>
      </c>
      <c r="W110" s="226" cm="1">
        <f t="array" ref="W110">_xlfn.IFS(AND($K110&gt;V$7,$L110&gt;V$7),0,AND($K110&lt;=V$7,$L110&lt;=V$7),1,AND($K110&lt;=V$7,$L110&gt;V$7),((V$7-$K110)/($L110-$K110)))</f>
        <v>0</v>
      </c>
      <c r="X110" s="226" cm="1">
        <f t="array" ref="X110">_xlfn.IFS(AND($K110&gt;W$7,$L110&gt;W$7),0,AND($K110&lt;=W$7,$L110&lt;=W$7),1,AND($K110&lt;=W$7,$L110&gt;W$7),((W$7-$K110)/($L110-$K110)))</f>
        <v>0</v>
      </c>
      <c r="Y110" s="226" cm="1">
        <f t="array" ref="Y110">_xlfn.IFS(AND($K110&gt;X$7,$L110&gt;X$7),0,AND($K110&lt;=X$7,$L110&lt;=X$7),1,AND($K110&lt;=X$7,$L110&gt;X$7),((X$7-$K110)/($L110-$K110)))</f>
        <v>0</v>
      </c>
      <c r="Z110" s="226" cm="1">
        <f t="array" ref="Z110">_xlfn.IFS(AND($K110&gt;Y$7,$L110&gt;Y$7),0,AND($K110&lt;=Y$7,$L110&lt;=Y$7),1,AND($K110&lt;=Y$7,$L110&gt;Y$7),((Y$7-$K110)/($L110-$K110)))</f>
        <v>0</v>
      </c>
      <c r="AA110" s="226" cm="1">
        <f t="array" ref="AA110">_xlfn.IFS(AND($K110&gt;Z$7,$L110&gt;Z$7),0,AND($K110&lt;=Z$7,$L110&lt;=Z$7),1,AND($K110&lt;=Z$7,$L110&gt;Z$7),((Z$7-$K110)/($L110-$K110)))</f>
        <v>0</v>
      </c>
      <c r="AB110" s="226" cm="1">
        <f t="array" ref="AB110">_xlfn.IFS(AND($K110&gt;AA$7,$L110&gt;AA$7),0,AND($K110&lt;=AA$7,$L110&lt;=AA$7),1,AND($K110&lt;=AA$7,$L110&gt;AA$7),((AA$7-$K110)/($L110-$K110)))</f>
        <v>0.19230769230769232</v>
      </c>
      <c r="AC110" s="226" cm="1">
        <f t="array" ref="AC110">_xlfn.IFS(AND($K110&gt;AB$7,$L110&gt;AB$7),0,AND($K110&lt;=AB$7,$L110&lt;=AB$7),1,AND($K110&lt;=AB$7,$L110&gt;AB$7),((AB$7-$K110)/($L110-$K110)))</f>
        <v>0.46153846153846156</v>
      </c>
      <c r="AD110" s="226" cm="1">
        <f t="array" ref="AD110">_xlfn.IFS(AND($K110&gt;AC$7,$L110&gt;AC$7),0,AND($K110&lt;=AC$7,$L110&lt;=AC$7),1,AND($K110&lt;=AC$7,$L110&gt;AC$7),((AC$7-$K110)/($L110-$K110)))</f>
        <v>0.73076923076923073</v>
      </c>
      <c r="AE110" s="226" cm="1">
        <f t="array" ref="AE110">_xlfn.IFS(AND($K110&gt;AD$7,$L110&gt;AD$7),0,AND($K110&lt;=AD$7,$L110&lt;=AD$7),1,AND($K110&lt;=AD$7,$L110&gt;AD$7),((AD$7-$K110)/($L110-$K110)))</f>
        <v>1</v>
      </c>
      <c r="AF110" s="226" cm="1">
        <f t="array" ref="AF110">_xlfn.IFS(AND($K110&gt;AE$7,$L110&gt;AE$7),0,AND($K110&lt;=AE$7,$L110&lt;=AE$7),1,AND($K110&lt;=AE$7,$L110&gt;AE$7),((AE$7-$K110)/($L110-$K110)))</f>
        <v>1</v>
      </c>
      <c r="AG110" s="226" cm="1">
        <f t="array" ref="AG110">_xlfn.IFS(AND($K110&gt;AF$7,$L110&gt;AF$7),0,AND($K110&lt;=AF$7,$L110&lt;=AF$7),1,AND($K110&lt;=AF$7,$L110&gt;AF$7),((AF$7-$K110)/($L110-$K110)))</f>
        <v>1</v>
      </c>
      <c r="AH110" s="226" cm="1">
        <f t="array" ref="AH110">_xlfn.IFS(AND($K110&gt;AG$7,$L110&gt;AG$7),0,AND($K110&lt;=AG$7,$L110&lt;=AG$7),1,AND($K110&lt;=AG$7,$L110&gt;AG$7),((AG$7-$K110)/($L110-$K110)))</f>
        <v>1</v>
      </c>
      <c r="AI110" s="226" cm="1">
        <f t="array" ref="AI110">_xlfn.IFS(AND($K110&gt;AH$7,$L110&gt;AH$7),0,AND($K110&lt;=AH$7,$L110&lt;=AH$7),1,AND($K110&lt;=AH$7,$L110&gt;AH$7),((AH$7-$K110)/($L110-$K110)))</f>
        <v>1</v>
      </c>
      <c r="AJ110" s="226" cm="1">
        <f t="array" ref="AJ110">_xlfn.IFS(AND($K110&gt;AI$7,$L110&gt;AI$7),0,AND($K110&lt;=AI$7,$L110&lt;=AI$7),1,AND($K110&lt;=AI$7,$L110&gt;AI$7),((AI$7-$K110)/($L110-$K110)))</f>
        <v>1</v>
      </c>
      <c r="AK110" s="226" cm="1">
        <f t="array" ref="AK110">_xlfn.IFS(AND($K110&gt;AJ$7,$L110&gt;AJ$7),0,AND($K110&lt;=AJ$7,$L110&lt;=AJ$7),1,AND($K110&lt;=AJ$7,$L110&gt;AJ$7),((AJ$7-$K110)/($L110-$K110)))</f>
        <v>1</v>
      </c>
      <c r="AL110" s="226" cm="1">
        <f t="array" ref="AL110">_xlfn.IFS(AND($K110&gt;AK$7,$L110&gt;AK$7),0,AND($K110&lt;=AK$7,$L110&lt;=AK$7),1,AND($K110&lt;=AK$7,$L110&gt;AK$7),((AK$7-$K110)/($L110-$K110)))</f>
        <v>1</v>
      </c>
      <c r="AM110" s="226" cm="1">
        <f t="array" ref="AM110">_xlfn.IFS(AND($K110&gt;AL$7,$L110&gt;AL$7),0,AND($K110&lt;=AL$7,$L110&lt;=AL$7),1,AND($K110&lt;=AL$7,$L110&gt;AL$7),((AL$7-$K110)/($L110-$K110)))</f>
        <v>1</v>
      </c>
      <c r="AN110" s="226" cm="1">
        <f t="array" ref="AN110">_xlfn.IFS(AND($K110&gt;AM$7,$L110&gt;AM$7),0,AND($K110&lt;=AM$7,$L110&lt;=AM$7),1,AND($K110&lt;=AM$7,$L110&gt;AM$7),((AM$7-$K110)/($L110-$K110)))</f>
        <v>1</v>
      </c>
      <c r="AO110" s="226" cm="1">
        <f t="array" ref="AO110">_xlfn.IFS(AND($K110&gt;AN$7,$L110&gt;AN$7),0,AND($K110&lt;=AN$7,$L110&lt;=AN$7),1,AND($K110&lt;=AN$7,$L110&gt;AN$7),((AN$7-$K110)/($L110-$K110)))</f>
        <v>1</v>
      </c>
      <c r="AP110" s="226" cm="1">
        <f t="array" ref="AP110">_xlfn.IFS(AND($K110&gt;AO$7,$L110&gt;AO$7),0,AND($K110&lt;=AO$7,$L110&lt;=AO$7),1,AND($K110&lt;=AO$7,$L110&gt;AO$7),((AO$7-$K110)/($L110-$K110)))</f>
        <v>1</v>
      </c>
      <c r="AQ110" s="226" cm="1">
        <f t="array" ref="AQ110">_xlfn.IFS(AND($K110&gt;AP$7,$L110&gt;AP$7),0,AND($K110&lt;=AP$7,$L110&lt;=AP$7),1,AND($K110&lt;=AP$7,$L110&gt;AP$7),((AP$7-$K110)/($L110-$K110)))</f>
        <v>1</v>
      </c>
      <c r="AR110" s="226" cm="1">
        <f t="array" ref="AR110">_xlfn.IFS(AND($K110&gt;AQ$7,$L110&gt;AQ$7),0,AND($K110&lt;=AQ$7,$L110&lt;=AQ$7),1,AND($K110&lt;=AQ$7,$L110&gt;AQ$7),((AQ$7-$K110)/($L110-$K110)))</f>
        <v>1</v>
      </c>
      <c r="AS110" s="226" cm="1">
        <f t="array" ref="AS110">_xlfn.IFS(AND($K110&gt;AR$7,$L110&gt;AR$7),0,AND($K110&lt;=AR$7,$L110&lt;=AR$7),1,AND($K110&lt;=AR$7,$L110&gt;AR$7),((AR$7-$K110)/($L110-$K110)))</f>
        <v>1</v>
      </c>
      <c r="AT110" s="226" cm="1">
        <f t="array" ref="AT110">_xlfn.IFS(AND($K110&gt;AS$7,$L110&gt;AS$7),0,AND($K110&lt;=AS$7,$L110&lt;=AS$7),1,AND($K110&lt;=AS$7,$L110&gt;AS$7),((AS$7-$K110)/($L110-$K110)))</f>
        <v>1</v>
      </c>
      <c r="AU110" s="226" cm="1">
        <f t="array" ref="AU110">_xlfn.IFS(AND($K110&gt;AT$7,$L110&gt;AT$7),0,AND($K110&lt;=AT$7,$L110&lt;=AT$7),1,AND($K110&lt;=AT$7,$L110&gt;AT$7),((AT$7-$K110)/($L110-$K110)))</f>
        <v>1</v>
      </c>
      <c r="AV110" s="226" cm="1">
        <f t="array" ref="AV110">_xlfn.IFS(AND($K110&gt;AU$7,$L110&gt;AU$7),0,AND($K110&lt;=AU$7,$L110&lt;=AU$7),1,AND($K110&lt;=AU$7,$L110&gt;AU$7),((AU$7-$K110)/($L110-$K110)))</f>
        <v>1</v>
      </c>
      <c r="AW110" s="226" cm="1">
        <f t="array" ref="AW110">_xlfn.IFS(AND($K110&gt;AV$7,$L110&gt;AV$7),0,AND($K110&lt;=AV$7,$L110&lt;=AV$7),1,AND($K110&lt;=AV$7,$L110&gt;AV$7),((AV$7-$K110)/($L110-$K110)))</f>
        <v>1</v>
      </c>
      <c r="AX110" s="226" cm="1">
        <f t="array" ref="AX110">_xlfn.IFS(AND($K110&gt;AW$7,$L110&gt;AW$7),0,AND($K110&lt;=AW$7,$L110&lt;=AW$7),1,AND($K110&lt;=AW$7,$L110&gt;AW$7),((AW$7-$K110)/($L110-$K110)))</f>
        <v>1</v>
      </c>
      <c r="AY110" s="226" cm="1">
        <f t="array" ref="AY110">_xlfn.IFS(AND($K110&gt;AX$7,$L110&gt;AX$7),0,AND($K110&lt;=AX$7,$L110&lt;=AX$7),1,AND($K110&lt;=AX$7,$L110&gt;AX$7),((AX$7-$K110)/($L110-$K110)))</f>
        <v>1</v>
      </c>
      <c r="AZ110" s="226" cm="1">
        <f t="array" ref="AZ110">_xlfn.IFS(AND($K110&gt;AY$7,$L110&gt;AY$7),0,AND($K110&lt;=AY$7,$L110&lt;=AY$7),1,AND($K110&lt;=AY$7,$L110&gt;AY$7),((AY$7-$K110)/($L110-$K110)))</f>
        <v>1</v>
      </c>
      <c r="BA110" s="226" cm="1">
        <f t="array" ref="BA110">_xlfn.IFS(AND($K110&gt;AZ$7,$L110&gt;AZ$7),0,AND($K110&lt;=AZ$7,$L110&lt;=AZ$7),1,AND($K110&lt;=AZ$7,$L110&gt;AZ$7),((AZ$7-$K110)/($L110-$K110)))</f>
        <v>1</v>
      </c>
      <c r="BB110" s="226" cm="1">
        <f t="array" ref="BB110">_xlfn.IFS(AND($K110&gt;BA$7,$L110&gt;BA$7),0,AND($K110&lt;=BA$7,$L110&lt;=BA$7),1,AND($K110&lt;=BA$7,$L110&gt;BA$7),((BA$7-$K110)/($L110-$K110)))</f>
        <v>1</v>
      </c>
      <c r="BC110" s="226" cm="1">
        <f t="array" ref="BC110">_xlfn.IFS(AND($K110&gt;BB$7,$L110&gt;BB$7),0,AND($K110&lt;=BB$7,$L110&lt;=BB$7),1,AND($K110&lt;=BB$7,$L110&gt;BB$7),((BB$7-$K110)/($L110-$K110)))</f>
        <v>1</v>
      </c>
      <c r="BD110" s="226" cm="1">
        <f t="array" ref="BD110">_xlfn.IFS(AND($K110&gt;BC$7,$L110&gt;BC$7),0,AND($K110&lt;=BC$7,$L110&lt;=BC$7),1,AND($K110&lt;=BC$7,$L110&gt;BC$7),((BC$7-$K110)/($L110-$K110)))</f>
        <v>1</v>
      </c>
      <c r="BE110" s="226" cm="1">
        <f t="array" ref="BE110">_xlfn.IFS(AND($K110&gt;BD$7,$L110&gt;BD$7),0,AND($K110&lt;=BD$7,$L110&lt;=BD$7),1,AND($K110&lt;=BD$7,$L110&gt;BD$7),((BD$7-$K110)/($L110-$K110)))</f>
        <v>1</v>
      </c>
      <c r="BF110" s="226" cm="1">
        <f t="array" ref="BF110">_xlfn.IFS(AND($K110&gt;BE$7,$L110&gt;BE$7),0,AND($K110&lt;=BE$7,$L110&lt;=BE$7),1,AND($K110&lt;=BE$7,$L110&gt;BE$7),((BE$7-$K110)/($L110-$K110)))</f>
        <v>1</v>
      </c>
      <c r="BG110" s="226" cm="1">
        <f t="array" ref="BG110">_xlfn.IFS(AND($K110&gt;BF$7,$L110&gt;BF$7),0,AND($K110&lt;=BF$7,$L110&lt;=BF$7),1,AND($K110&lt;=BF$7,$L110&gt;BF$7),((BF$7-$K110)/($L110-$K110)))</f>
        <v>1</v>
      </c>
      <c r="BH110" s="163">
        <f>Tab.plano6[[#This Row],[Data Término
Prevista]]-Tab.plano6[[#This Row],[Data Início
Previsto]]</f>
        <v>26</v>
      </c>
    </row>
    <row r="111" spans="1:60" customFormat="1" ht="18" customHeight="1" x14ac:dyDescent="0.3">
      <c r="A111" s="220"/>
      <c r="B111" s="220" t="s">
        <v>161</v>
      </c>
      <c r="C111" s="220" t="s">
        <v>460</v>
      </c>
      <c r="D111" s="251" t="s">
        <v>399</v>
      </c>
      <c r="E111" s="251" t="s">
        <v>422</v>
      </c>
      <c r="F111" s="251" t="s">
        <v>453</v>
      </c>
      <c r="G111" s="251" t="s">
        <v>453</v>
      </c>
      <c r="H111" s="246" t="s">
        <v>799</v>
      </c>
      <c r="I111" s="260">
        <v>46189</v>
      </c>
      <c r="J111" s="260">
        <v>46191</v>
      </c>
      <c r="K111" s="260">
        <v>46189</v>
      </c>
      <c r="L111" s="260">
        <v>46191</v>
      </c>
      <c r="M111" s="231" t="s">
        <v>454</v>
      </c>
      <c r="N111" s="227" t="str" cm="1">
        <f t="array" ref="N111">_xlfn.IFS(L111&lt;$M$3,"Concluído",AND(K111&lt;=$M$3,L111&gt;=$M$3,L111&lt;=J111),"Em andamento",AND(K111&lt;=$M$3,L111&gt;=$M$3,L111&gt;J111),"Atrasado",AND(K111&gt;$M$3,I111&gt;$M$3),"Não iniciado",AND(K111&gt;$M$3,I111&lt;=$M$3),"Atrasado",TRUE,"Não iniciado")</f>
        <v>Não iniciado</v>
      </c>
      <c r="O111" s="231" cm="1">
        <f t="array" ref="O111">_xlfn.IFS(N111="Não iniciado",0,N111="Em andamento",1,N111="Concluído",2,N111="Atrasado",3)</f>
        <v>0</v>
      </c>
      <c r="P111" s="220"/>
      <c r="Q111" s="226" cm="1">
        <f t="array" ref="Q111">_xlfn.IFS(AND($I111&lt;$M$3,$J111&lt;$M$3),1,AND($I111&lt;=$M$3,$J111&gt;=$M$3),0.5,AND($I111&gt;=$M$3,$J111&gt;=$M$3),0)</f>
        <v>0</v>
      </c>
      <c r="R111" s="226" cm="1">
        <f t="array" ref="R111">_xlfn.IFS(AND($K111&lt;$M$3,$L111&lt;$M$3),1,AND($K111&lt;=$M$3,$L111&gt;=$M$3),0.5,AND($K111&gt;=$M$3,$L111&gt;=$M$3),0)</f>
        <v>0</v>
      </c>
      <c r="S111" s="226" cm="1">
        <f t="array" ref="S111">_xlfn.IFS(AND($K111&gt;R$7,$L111&gt;R$7),0,AND($K111&lt;=R$7,$L111&lt;=R$7),1,AND($K111&lt;=R$7,$L111&gt;R$7),((R$7-$K111)/($L111-$K111)))</f>
        <v>0</v>
      </c>
      <c r="T111" s="226" cm="1">
        <f t="array" ref="T111">_xlfn.IFS(AND($K111&gt;S$7,$L111&gt;S$7),0,AND($K111&lt;=S$7,$L111&lt;=S$7),1,AND($K111&lt;=S$7,$L111&gt;S$7),((S$7-$K111)/($L111-$K111)))</f>
        <v>0</v>
      </c>
      <c r="U111" s="226" cm="1">
        <f t="array" ref="U111">_xlfn.IFS(AND($K111&gt;T$7,$L111&gt;T$7),0,AND($K111&lt;=T$7,$L111&lt;=T$7),1,AND($K111&lt;=T$7,$L111&gt;T$7),((T$7-$K111)/($L111-$K111)))</f>
        <v>0</v>
      </c>
      <c r="V111" s="226" cm="1">
        <f t="array" ref="V111">_xlfn.IFS(AND($K111&gt;U$7,$L111&gt;U$7),0,AND($K111&lt;=U$7,$L111&lt;=U$7),1,AND($K111&lt;=U$7,$L111&gt;U$7),((U$7-$K111)/($L111-$K111)))</f>
        <v>0</v>
      </c>
      <c r="W111" s="226" cm="1">
        <f t="array" ref="W111">_xlfn.IFS(AND($K111&gt;V$7,$L111&gt;V$7),0,AND($K111&lt;=V$7,$L111&lt;=V$7),1,AND($K111&lt;=V$7,$L111&gt;V$7),((V$7-$K111)/($L111-$K111)))</f>
        <v>0</v>
      </c>
      <c r="X111" s="226" cm="1">
        <f t="array" ref="X111">_xlfn.IFS(AND($K111&gt;W$7,$L111&gt;W$7),0,AND($K111&lt;=W$7,$L111&lt;=W$7),1,AND($K111&lt;=W$7,$L111&gt;W$7),((W$7-$K111)/($L111-$K111)))</f>
        <v>0</v>
      </c>
      <c r="Y111" s="226" cm="1">
        <f t="array" ref="Y111">_xlfn.IFS(AND($K111&gt;X$7,$L111&gt;X$7),0,AND($K111&lt;=X$7,$L111&lt;=X$7),1,AND($K111&lt;=X$7,$L111&gt;X$7),((X$7-$K111)/($L111-$K111)))</f>
        <v>0</v>
      </c>
      <c r="Z111" s="226" cm="1">
        <f t="array" ref="Z111">_xlfn.IFS(AND($K111&gt;Y$7,$L111&gt;Y$7),0,AND($K111&lt;=Y$7,$L111&lt;=Y$7),1,AND($K111&lt;=Y$7,$L111&gt;Y$7),((Y$7-$K111)/($L111-$K111)))</f>
        <v>0</v>
      </c>
      <c r="AA111" s="226" cm="1">
        <f t="array" ref="AA111">_xlfn.IFS(AND($K111&gt;Z$7,$L111&gt;Z$7),0,AND($K111&lt;=Z$7,$L111&lt;=Z$7),1,AND($K111&lt;=Z$7,$L111&gt;Z$7),((Z$7-$K111)/($L111-$K111)))</f>
        <v>0</v>
      </c>
      <c r="AB111" s="226" cm="1">
        <f t="array" ref="AB111">_xlfn.IFS(AND($K111&gt;AA$7,$L111&gt;AA$7),0,AND($K111&lt;=AA$7,$L111&lt;=AA$7),1,AND($K111&lt;=AA$7,$L111&gt;AA$7),((AA$7-$K111)/($L111-$K111)))</f>
        <v>0</v>
      </c>
      <c r="AC111" s="226" cm="1">
        <f t="array" ref="AC111">_xlfn.IFS(AND($K111&gt;AB$7,$L111&gt;AB$7),0,AND($K111&lt;=AB$7,$L111&lt;=AB$7),1,AND($K111&lt;=AB$7,$L111&gt;AB$7),((AB$7-$K111)/($L111-$K111)))</f>
        <v>0</v>
      </c>
      <c r="AD111" s="226" cm="1">
        <f t="array" ref="AD111">_xlfn.IFS(AND($K111&gt;AC$7,$L111&gt;AC$7),0,AND($K111&lt;=AC$7,$L111&lt;=AC$7),1,AND($K111&lt;=AC$7,$L111&gt;AC$7),((AC$7-$K111)/($L111-$K111)))</f>
        <v>0</v>
      </c>
      <c r="AE111" s="226" cm="1">
        <f t="array" ref="AE111">_xlfn.IFS(AND($K111&gt;AD$7,$L111&gt;AD$7),0,AND($K111&lt;=AD$7,$L111&lt;=AD$7),1,AND($K111&lt;=AD$7,$L111&gt;AD$7),((AD$7-$K111)/($L111-$K111)))</f>
        <v>0</v>
      </c>
      <c r="AF111" s="226" cm="1">
        <f t="array" ref="AF111">_xlfn.IFS(AND($K111&gt;AE$7,$L111&gt;AE$7),0,AND($K111&lt;=AE$7,$L111&lt;=AE$7),1,AND($K111&lt;=AE$7,$L111&gt;AE$7),((AE$7-$K111)/($L111-$K111)))</f>
        <v>1</v>
      </c>
      <c r="AG111" s="226" cm="1">
        <f t="array" ref="AG111">_xlfn.IFS(AND($K111&gt;AF$7,$L111&gt;AF$7),0,AND($K111&lt;=AF$7,$L111&lt;=AF$7),1,AND($K111&lt;=AF$7,$L111&gt;AF$7),((AF$7-$K111)/($L111-$K111)))</f>
        <v>1</v>
      </c>
      <c r="AH111" s="226" cm="1">
        <f t="array" ref="AH111">_xlfn.IFS(AND($K111&gt;AG$7,$L111&gt;AG$7),0,AND($K111&lt;=AG$7,$L111&lt;=AG$7),1,AND($K111&lt;=AG$7,$L111&gt;AG$7),((AG$7-$K111)/($L111-$K111)))</f>
        <v>1</v>
      </c>
      <c r="AI111" s="226" cm="1">
        <f t="array" ref="AI111">_xlfn.IFS(AND($K111&gt;AH$7,$L111&gt;AH$7),0,AND($K111&lt;=AH$7,$L111&lt;=AH$7),1,AND($K111&lt;=AH$7,$L111&gt;AH$7),((AH$7-$K111)/($L111-$K111)))</f>
        <v>1</v>
      </c>
      <c r="AJ111" s="226" cm="1">
        <f t="array" ref="AJ111">_xlfn.IFS(AND($K111&gt;AI$7,$L111&gt;AI$7),0,AND($K111&lt;=AI$7,$L111&lt;=AI$7),1,AND($K111&lt;=AI$7,$L111&gt;AI$7),((AI$7-$K111)/($L111-$K111)))</f>
        <v>1</v>
      </c>
      <c r="AK111" s="226" cm="1">
        <f t="array" ref="AK111">_xlfn.IFS(AND($K111&gt;AJ$7,$L111&gt;AJ$7),0,AND($K111&lt;=AJ$7,$L111&lt;=AJ$7),1,AND($K111&lt;=AJ$7,$L111&gt;AJ$7),((AJ$7-$K111)/($L111-$K111)))</f>
        <v>1</v>
      </c>
      <c r="AL111" s="226" cm="1">
        <f t="array" ref="AL111">_xlfn.IFS(AND($K111&gt;AK$7,$L111&gt;AK$7),0,AND($K111&lt;=AK$7,$L111&lt;=AK$7),1,AND($K111&lt;=AK$7,$L111&gt;AK$7),((AK$7-$K111)/($L111-$K111)))</f>
        <v>1</v>
      </c>
      <c r="AM111" s="226" cm="1">
        <f t="array" ref="AM111">_xlfn.IFS(AND($K111&gt;AL$7,$L111&gt;AL$7),0,AND($K111&lt;=AL$7,$L111&lt;=AL$7),1,AND($K111&lt;=AL$7,$L111&gt;AL$7),((AL$7-$K111)/($L111-$K111)))</f>
        <v>1</v>
      </c>
      <c r="AN111" s="226" cm="1">
        <f t="array" ref="AN111">_xlfn.IFS(AND($K111&gt;AM$7,$L111&gt;AM$7),0,AND($K111&lt;=AM$7,$L111&lt;=AM$7),1,AND($K111&lt;=AM$7,$L111&gt;AM$7),((AM$7-$K111)/($L111-$K111)))</f>
        <v>1</v>
      </c>
      <c r="AO111" s="226" cm="1">
        <f t="array" ref="AO111">_xlfn.IFS(AND($K111&gt;AN$7,$L111&gt;AN$7),0,AND($K111&lt;=AN$7,$L111&lt;=AN$7),1,AND($K111&lt;=AN$7,$L111&gt;AN$7),((AN$7-$K111)/($L111-$K111)))</f>
        <v>1</v>
      </c>
      <c r="AP111" s="226" cm="1">
        <f t="array" ref="AP111">_xlfn.IFS(AND($K111&gt;AO$7,$L111&gt;AO$7),0,AND($K111&lt;=AO$7,$L111&lt;=AO$7),1,AND($K111&lt;=AO$7,$L111&gt;AO$7),((AO$7-$K111)/($L111-$K111)))</f>
        <v>1</v>
      </c>
      <c r="AQ111" s="226" cm="1">
        <f t="array" ref="AQ111">_xlfn.IFS(AND($K111&gt;AP$7,$L111&gt;AP$7),0,AND($K111&lt;=AP$7,$L111&lt;=AP$7),1,AND($K111&lt;=AP$7,$L111&gt;AP$7),((AP$7-$K111)/($L111-$K111)))</f>
        <v>1</v>
      </c>
      <c r="AR111" s="226" cm="1">
        <f t="array" ref="AR111">_xlfn.IFS(AND($K111&gt;AQ$7,$L111&gt;AQ$7),0,AND($K111&lt;=AQ$7,$L111&lt;=AQ$7),1,AND($K111&lt;=AQ$7,$L111&gt;AQ$7),((AQ$7-$K111)/($L111-$K111)))</f>
        <v>1</v>
      </c>
      <c r="AS111" s="226" cm="1">
        <f t="array" ref="AS111">_xlfn.IFS(AND($K111&gt;AR$7,$L111&gt;AR$7),0,AND($K111&lt;=AR$7,$L111&lt;=AR$7),1,AND($K111&lt;=AR$7,$L111&gt;AR$7),((AR$7-$K111)/($L111-$K111)))</f>
        <v>1</v>
      </c>
      <c r="AT111" s="226" cm="1">
        <f t="array" ref="AT111">_xlfn.IFS(AND($K111&gt;AS$7,$L111&gt;AS$7),0,AND($K111&lt;=AS$7,$L111&lt;=AS$7),1,AND($K111&lt;=AS$7,$L111&gt;AS$7),((AS$7-$K111)/($L111-$K111)))</f>
        <v>1</v>
      </c>
      <c r="AU111" s="226" cm="1">
        <f t="array" ref="AU111">_xlfn.IFS(AND($K111&gt;AT$7,$L111&gt;AT$7),0,AND($K111&lt;=AT$7,$L111&lt;=AT$7),1,AND($K111&lt;=AT$7,$L111&gt;AT$7),((AT$7-$K111)/($L111-$K111)))</f>
        <v>1</v>
      </c>
      <c r="AV111" s="226" cm="1">
        <f t="array" ref="AV111">_xlfn.IFS(AND($K111&gt;AU$7,$L111&gt;AU$7),0,AND($K111&lt;=AU$7,$L111&lt;=AU$7),1,AND($K111&lt;=AU$7,$L111&gt;AU$7),((AU$7-$K111)/($L111-$K111)))</f>
        <v>1</v>
      </c>
      <c r="AW111" s="226" cm="1">
        <f t="array" ref="AW111">_xlfn.IFS(AND($K111&gt;AV$7,$L111&gt;AV$7),0,AND($K111&lt;=AV$7,$L111&lt;=AV$7),1,AND($K111&lt;=AV$7,$L111&gt;AV$7),((AV$7-$K111)/($L111-$K111)))</f>
        <v>1</v>
      </c>
      <c r="AX111" s="226" cm="1">
        <f t="array" ref="AX111">_xlfn.IFS(AND($K111&gt;AW$7,$L111&gt;AW$7),0,AND($K111&lt;=AW$7,$L111&lt;=AW$7),1,AND($K111&lt;=AW$7,$L111&gt;AW$7),((AW$7-$K111)/($L111-$K111)))</f>
        <v>1</v>
      </c>
      <c r="AY111" s="226" cm="1">
        <f t="array" ref="AY111">_xlfn.IFS(AND($K111&gt;AX$7,$L111&gt;AX$7),0,AND($K111&lt;=AX$7,$L111&lt;=AX$7),1,AND($K111&lt;=AX$7,$L111&gt;AX$7),((AX$7-$K111)/($L111-$K111)))</f>
        <v>1</v>
      </c>
      <c r="AZ111" s="226" cm="1">
        <f t="array" ref="AZ111">_xlfn.IFS(AND($K111&gt;AY$7,$L111&gt;AY$7),0,AND($K111&lt;=AY$7,$L111&lt;=AY$7),1,AND($K111&lt;=AY$7,$L111&gt;AY$7),((AY$7-$K111)/($L111-$K111)))</f>
        <v>1</v>
      </c>
      <c r="BA111" s="226" cm="1">
        <f t="array" ref="BA111">_xlfn.IFS(AND($K111&gt;AZ$7,$L111&gt;AZ$7),0,AND($K111&lt;=AZ$7,$L111&lt;=AZ$7),1,AND($K111&lt;=AZ$7,$L111&gt;AZ$7),((AZ$7-$K111)/($L111-$K111)))</f>
        <v>1</v>
      </c>
      <c r="BB111" s="226" cm="1">
        <f t="array" ref="BB111">_xlfn.IFS(AND($K111&gt;BA$7,$L111&gt;BA$7),0,AND($K111&lt;=BA$7,$L111&lt;=BA$7),1,AND($K111&lt;=BA$7,$L111&gt;BA$7),((BA$7-$K111)/($L111-$K111)))</f>
        <v>1</v>
      </c>
      <c r="BC111" s="226" cm="1">
        <f t="array" ref="BC111">_xlfn.IFS(AND($K111&gt;BB$7,$L111&gt;BB$7),0,AND($K111&lt;=BB$7,$L111&lt;=BB$7),1,AND($K111&lt;=BB$7,$L111&gt;BB$7),((BB$7-$K111)/($L111-$K111)))</f>
        <v>1</v>
      </c>
      <c r="BD111" s="226" cm="1">
        <f t="array" ref="BD111">_xlfn.IFS(AND($K111&gt;BC$7,$L111&gt;BC$7),0,AND($K111&lt;=BC$7,$L111&lt;=BC$7),1,AND($K111&lt;=BC$7,$L111&gt;BC$7),((BC$7-$K111)/($L111-$K111)))</f>
        <v>1</v>
      </c>
      <c r="BE111" s="226" cm="1">
        <f t="array" ref="BE111">_xlfn.IFS(AND($K111&gt;BD$7,$L111&gt;BD$7),0,AND($K111&lt;=BD$7,$L111&lt;=BD$7),1,AND($K111&lt;=BD$7,$L111&gt;BD$7),((BD$7-$K111)/($L111-$K111)))</f>
        <v>1</v>
      </c>
      <c r="BF111" s="226" cm="1">
        <f t="array" ref="BF111">_xlfn.IFS(AND($K111&gt;BE$7,$L111&gt;BE$7),0,AND($K111&lt;=BE$7,$L111&lt;=BE$7),1,AND($K111&lt;=BE$7,$L111&gt;BE$7),((BE$7-$K111)/($L111-$K111)))</f>
        <v>1</v>
      </c>
      <c r="BG111" s="226" cm="1">
        <f t="array" ref="BG111">_xlfn.IFS(AND($K111&gt;BF$7,$L111&gt;BF$7),0,AND($K111&lt;=BF$7,$L111&lt;=BF$7),1,AND($K111&lt;=BF$7,$L111&gt;BF$7),((BF$7-$K111)/($L111-$K111)))</f>
        <v>1</v>
      </c>
      <c r="BH111" s="163">
        <f>Tab.plano6[[#This Row],[Data Término
Prevista]]-Tab.plano6[[#This Row],[Data Início
Previsto]]</f>
        <v>2</v>
      </c>
    </row>
    <row r="112" spans="1:60" customFormat="1" ht="18" hidden="1" customHeight="1" x14ac:dyDescent="0.3">
      <c r="A112" s="216"/>
      <c r="B112" s="216" t="s">
        <v>12</v>
      </c>
      <c r="C112" s="216" t="s">
        <v>461</v>
      </c>
      <c r="D112" s="249" t="s">
        <v>399</v>
      </c>
      <c r="E112" s="249" t="s">
        <v>422</v>
      </c>
      <c r="F112" s="249" t="s">
        <v>74</v>
      </c>
      <c r="G112" s="249" t="s">
        <v>74</v>
      </c>
      <c r="H112" s="252" t="s">
        <v>828</v>
      </c>
      <c r="I112" s="257">
        <f>I113</f>
        <v>46111</v>
      </c>
      <c r="J112" s="257">
        <f>J113</f>
        <v>46141</v>
      </c>
      <c r="K112" s="257">
        <f>K113</f>
        <v>46111</v>
      </c>
      <c r="L112" s="257">
        <f>L113</f>
        <v>46189</v>
      </c>
      <c r="M112" s="229" t="s">
        <v>463</v>
      </c>
      <c r="N112" s="227" t="str" cm="1">
        <f t="array" ref="N112">_xlfn.IFS(L112&lt;$M$3,"Concluído",AND(K112&lt;=$M$3,L112&gt;=$M$3,L112&lt;=J112),"Em andamento",AND(K112&lt;=$M$3,L112&gt;=$M$3,L112&gt;J112),"Atrasado",AND(K112&gt;$M$3,I112&gt;$M$3),"Não iniciado",AND(K112&gt;$M$3,I112&lt;=$M$3),"Atrasado",TRUE,"Não iniciado")</f>
        <v>Atrasado</v>
      </c>
      <c r="O112" s="229" cm="1">
        <f t="array" ref="O112">_xlfn.IFS(N112="Não iniciado",0,N112="Em andamento",1,N112="Concluído",2,N112="Atrasado",3)</f>
        <v>3</v>
      </c>
      <c r="P112" s="216"/>
      <c r="Q112" s="224">
        <f t="shared" ref="Q112:BG112" si="45">Q113</f>
        <v>1</v>
      </c>
      <c r="R112" s="224">
        <f t="shared" si="45"/>
        <v>0.33333333333333331</v>
      </c>
      <c r="S112" s="224">
        <f t="shared" si="45"/>
        <v>0</v>
      </c>
      <c r="T112" s="224">
        <f t="shared" si="45"/>
        <v>0</v>
      </c>
      <c r="U112" s="224">
        <f t="shared" si="45"/>
        <v>0.33333333333333331</v>
      </c>
      <c r="V112" s="224">
        <f t="shared" si="45"/>
        <v>0.33333333333333331</v>
      </c>
      <c r="W112" s="224">
        <f t="shared" si="45"/>
        <v>0.33333333333333331</v>
      </c>
      <c r="X112" s="224">
        <f t="shared" si="45"/>
        <v>0.33333333333333331</v>
      </c>
      <c r="Y112" s="224">
        <f t="shared" si="45"/>
        <v>0.33333333333333331</v>
      </c>
      <c r="Z112" s="224">
        <f t="shared" si="45"/>
        <v>0.33333333333333331</v>
      </c>
      <c r="AA112" s="224">
        <f t="shared" si="45"/>
        <v>0.33333333333333331</v>
      </c>
      <c r="AB112" s="224">
        <f t="shared" si="45"/>
        <v>0.33333333333333331</v>
      </c>
      <c r="AC112" s="224">
        <f t="shared" si="45"/>
        <v>0.42857142857142855</v>
      </c>
      <c r="AD112" s="224">
        <f t="shared" si="45"/>
        <v>0.53968253968253965</v>
      </c>
      <c r="AE112" s="224">
        <f t="shared" si="45"/>
        <v>0.65079365079365081</v>
      </c>
      <c r="AF112" s="224" t="e">
        <f t="shared" si="45"/>
        <v>#VALUE!</v>
      </c>
      <c r="AG112" s="224" t="e">
        <f t="shared" si="45"/>
        <v>#VALUE!</v>
      </c>
      <c r="AH112" s="224" t="e">
        <f t="shared" si="45"/>
        <v>#VALUE!</v>
      </c>
      <c r="AI112" s="224" t="e">
        <f t="shared" si="45"/>
        <v>#VALUE!</v>
      </c>
      <c r="AJ112" s="224" t="e">
        <f t="shared" si="45"/>
        <v>#VALUE!</v>
      </c>
      <c r="AK112" s="224" t="e">
        <f t="shared" si="45"/>
        <v>#VALUE!</v>
      </c>
      <c r="AL112" s="224" t="e">
        <f t="shared" si="45"/>
        <v>#VALUE!</v>
      </c>
      <c r="AM112" s="224" t="e">
        <f t="shared" si="45"/>
        <v>#VALUE!</v>
      </c>
      <c r="AN112" s="224" t="e">
        <f t="shared" si="45"/>
        <v>#VALUE!</v>
      </c>
      <c r="AO112" s="224" t="e">
        <f t="shared" si="45"/>
        <v>#VALUE!</v>
      </c>
      <c r="AP112" s="224" t="e">
        <f t="shared" si="45"/>
        <v>#VALUE!</v>
      </c>
      <c r="AQ112" s="224" t="e">
        <f t="shared" si="45"/>
        <v>#VALUE!</v>
      </c>
      <c r="AR112" s="224" t="e">
        <f t="shared" si="45"/>
        <v>#VALUE!</v>
      </c>
      <c r="AS112" s="224" t="e">
        <f t="shared" si="45"/>
        <v>#VALUE!</v>
      </c>
      <c r="AT112" s="224" t="e">
        <f t="shared" si="45"/>
        <v>#VALUE!</v>
      </c>
      <c r="AU112" s="224" t="e">
        <f t="shared" si="45"/>
        <v>#VALUE!</v>
      </c>
      <c r="AV112" s="224" t="e">
        <f t="shared" si="45"/>
        <v>#VALUE!</v>
      </c>
      <c r="AW112" s="224" t="e">
        <f t="shared" si="45"/>
        <v>#VALUE!</v>
      </c>
      <c r="AX112" s="224" t="e">
        <f t="shared" si="45"/>
        <v>#VALUE!</v>
      </c>
      <c r="AY112" s="224" t="e">
        <f t="shared" si="45"/>
        <v>#VALUE!</v>
      </c>
      <c r="AZ112" s="224" t="e">
        <f t="shared" si="45"/>
        <v>#VALUE!</v>
      </c>
      <c r="BA112" s="224" t="e">
        <f t="shared" si="45"/>
        <v>#VALUE!</v>
      </c>
      <c r="BB112" s="224" t="e">
        <f t="shared" si="45"/>
        <v>#VALUE!</v>
      </c>
      <c r="BC112" s="224" t="e">
        <f t="shared" si="45"/>
        <v>#VALUE!</v>
      </c>
      <c r="BD112" s="224" t="e">
        <f t="shared" si="45"/>
        <v>#VALUE!</v>
      </c>
      <c r="BE112" s="224" t="e">
        <f t="shared" si="45"/>
        <v>#VALUE!</v>
      </c>
      <c r="BF112" s="224" t="e">
        <f t="shared" si="45"/>
        <v>#VALUE!</v>
      </c>
      <c r="BG112" s="224" t="e">
        <f t="shared" si="45"/>
        <v>#VALUE!</v>
      </c>
      <c r="BH112" s="163">
        <f>Tab.plano6[[#This Row],[Data Término
Prevista]]-Tab.plano6[[#This Row],[Data Início
Previsto]]</f>
        <v>30</v>
      </c>
    </row>
    <row r="113" spans="1:60" customFormat="1" ht="18" hidden="1" customHeight="1" x14ac:dyDescent="0.3">
      <c r="A113" s="218"/>
      <c r="B113" s="218" t="s">
        <v>13</v>
      </c>
      <c r="C113" s="218" t="s">
        <v>464</v>
      </c>
      <c r="D113" s="250" t="s">
        <v>399</v>
      </c>
      <c r="E113" s="250" t="s">
        <v>422</v>
      </c>
      <c r="F113" s="250" t="s">
        <v>462</v>
      </c>
      <c r="G113" s="250" t="s">
        <v>74</v>
      </c>
      <c r="H113" s="219" t="s">
        <v>519</v>
      </c>
      <c r="I113" s="258">
        <f>MIN(I114:I116)</f>
        <v>46111</v>
      </c>
      <c r="J113" s="258">
        <f>MAX(J114:J116)</f>
        <v>46141</v>
      </c>
      <c r="K113" s="258">
        <f>MIN(K114:K116)</f>
        <v>46111</v>
      </c>
      <c r="L113" s="258">
        <f>MAX(L114:L116)</f>
        <v>46189</v>
      </c>
      <c r="M113" s="230" t="s">
        <v>463</v>
      </c>
      <c r="N113" s="227" t="str" cm="1">
        <f t="array" ref="N113">_xlfn.IFS(L113&lt;$M$3,"Concluído",AND(K113&lt;=$M$3,L113&gt;=$M$3,L113&lt;=J113),"Em andamento",AND(K113&lt;=$M$3,L113&gt;=$M$3,L113&gt;J113),"Atrasado",AND(K113&gt;$M$3,I113&gt;$M$3),"Não iniciado",AND(K113&gt;$M$3,I113&lt;=$M$3),"Atrasado",TRUE,"Não iniciado")</f>
        <v>Atrasado</v>
      </c>
      <c r="O113" s="230" cm="1">
        <f t="array" ref="O113">_xlfn.IFS(N113="Não iniciado",0,N113="Em andamento",1,N113="Concluído",2,N113="Atrasado",3)</f>
        <v>3</v>
      </c>
      <c r="P113" s="218"/>
      <c r="Q113" s="225">
        <f t="shared" ref="Q113:BG113" si="46">AVERAGE(Q114:Q116)</f>
        <v>1</v>
      </c>
      <c r="R113" s="225">
        <f t="shared" si="46"/>
        <v>0.33333333333333331</v>
      </c>
      <c r="S113" s="225">
        <f t="shared" si="46"/>
        <v>0</v>
      </c>
      <c r="T113" s="225">
        <f t="shared" si="46"/>
        <v>0</v>
      </c>
      <c r="U113" s="225">
        <f t="shared" si="46"/>
        <v>0.33333333333333331</v>
      </c>
      <c r="V113" s="225">
        <f t="shared" si="46"/>
        <v>0.33333333333333331</v>
      </c>
      <c r="W113" s="225">
        <f t="shared" si="46"/>
        <v>0.33333333333333331</v>
      </c>
      <c r="X113" s="225">
        <f t="shared" si="46"/>
        <v>0.33333333333333331</v>
      </c>
      <c r="Y113" s="225">
        <f t="shared" si="46"/>
        <v>0.33333333333333331</v>
      </c>
      <c r="Z113" s="225">
        <f t="shared" si="46"/>
        <v>0.33333333333333331</v>
      </c>
      <c r="AA113" s="225">
        <f t="shared" si="46"/>
        <v>0.33333333333333331</v>
      </c>
      <c r="AB113" s="225">
        <f t="shared" si="46"/>
        <v>0.33333333333333331</v>
      </c>
      <c r="AC113" s="225">
        <f t="shared" si="46"/>
        <v>0.42857142857142855</v>
      </c>
      <c r="AD113" s="225">
        <f t="shared" si="46"/>
        <v>0.53968253968253965</v>
      </c>
      <c r="AE113" s="225">
        <f t="shared" si="46"/>
        <v>0.65079365079365081</v>
      </c>
      <c r="AF113" s="225" t="e">
        <f t="shared" si="46"/>
        <v>#VALUE!</v>
      </c>
      <c r="AG113" s="225" t="e">
        <f t="shared" si="46"/>
        <v>#VALUE!</v>
      </c>
      <c r="AH113" s="225" t="e">
        <f t="shared" si="46"/>
        <v>#VALUE!</v>
      </c>
      <c r="AI113" s="225" t="e">
        <f t="shared" si="46"/>
        <v>#VALUE!</v>
      </c>
      <c r="AJ113" s="225" t="e">
        <f t="shared" si="46"/>
        <v>#VALUE!</v>
      </c>
      <c r="AK113" s="225" t="e">
        <f t="shared" si="46"/>
        <v>#VALUE!</v>
      </c>
      <c r="AL113" s="225" t="e">
        <f t="shared" si="46"/>
        <v>#VALUE!</v>
      </c>
      <c r="AM113" s="225" t="e">
        <f t="shared" si="46"/>
        <v>#VALUE!</v>
      </c>
      <c r="AN113" s="225" t="e">
        <f t="shared" si="46"/>
        <v>#VALUE!</v>
      </c>
      <c r="AO113" s="225" t="e">
        <f t="shared" si="46"/>
        <v>#VALUE!</v>
      </c>
      <c r="AP113" s="225" t="e">
        <f t="shared" si="46"/>
        <v>#VALUE!</v>
      </c>
      <c r="AQ113" s="225" t="e">
        <f t="shared" si="46"/>
        <v>#VALUE!</v>
      </c>
      <c r="AR113" s="225" t="e">
        <f t="shared" si="46"/>
        <v>#VALUE!</v>
      </c>
      <c r="AS113" s="225" t="e">
        <f t="shared" si="46"/>
        <v>#VALUE!</v>
      </c>
      <c r="AT113" s="225" t="e">
        <f t="shared" si="46"/>
        <v>#VALUE!</v>
      </c>
      <c r="AU113" s="225" t="e">
        <f t="shared" si="46"/>
        <v>#VALUE!</v>
      </c>
      <c r="AV113" s="225" t="e">
        <f t="shared" si="46"/>
        <v>#VALUE!</v>
      </c>
      <c r="AW113" s="225" t="e">
        <f t="shared" si="46"/>
        <v>#VALUE!</v>
      </c>
      <c r="AX113" s="225" t="e">
        <f t="shared" si="46"/>
        <v>#VALUE!</v>
      </c>
      <c r="AY113" s="225" t="e">
        <f t="shared" si="46"/>
        <v>#VALUE!</v>
      </c>
      <c r="AZ113" s="225" t="e">
        <f t="shared" si="46"/>
        <v>#VALUE!</v>
      </c>
      <c r="BA113" s="225" t="e">
        <f t="shared" si="46"/>
        <v>#VALUE!</v>
      </c>
      <c r="BB113" s="225" t="e">
        <f t="shared" si="46"/>
        <v>#VALUE!</v>
      </c>
      <c r="BC113" s="225" t="e">
        <f t="shared" si="46"/>
        <v>#VALUE!</v>
      </c>
      <c r="BD113" s="225" t="e">
        <f t="shared" si="46"/>
        <v>#VALUE!</v>
      </c>
      <c r="BE113" s="225" t="e">
        <f t="shared" si="46"/>
        <v>#VALUE!</v>
      </c>
      <c r="BF113" s="225" t="e">
        <f t="shared" si="46"/>
        <v>#VALUE!</v>
      </c>
      <c r="BG113" s="225" t="e">
        <f t="shared" si="46"/>
        <v>#VALUE!</v>
      </c>
      <c r="BH113" s="163">
        <f>Tab.plano6[[#This Row],[Data Término
Prevista]]-Tab.plano6[[#This Row],[Data Início
Previsto]]</f>
        <v>30</v>
      </c>
    </row>
    <row r="114" spans="1:60" customFormat="1" ht="18" hidden="1" customHeight="1" x14ac:dyDescent="0.3">
      <c r="A114" s="220"/>
      <c r="B114" s="220" t="s">
        <v>161</v>
      </c>
      <c r="C114" s="220" t="s">
        <v>465</v>
      </c>
      <c r="D114" s="251" t="s">
        <v>399</v>
      </c>
      <c r="E114" s="251" t="s">
        <v>422</v>
      </c>
      <c r="F114" s="251" t="s">
        <v>462</v>
      </c>
      <c r="G114" s="251" t="s">
        <v>462</v>
      </c>
      <c r="H114" s="221" t="s">
        <v>522</v>
      </c>
      <c r="I114" s="260">
        <v>46111</v>
      </c>
      <c r="J114" s="260">
        <v>46112</v>
      </c>
      <c r="K114" s="260">
        <v>46111</v>
      </c>
      <c r="L114" s="260">
        <v>46112</v>
      </c>
      <c r="M114" s="231" t="s">
        <v>463</v>
      </c>
      <c r="N114" s="227" t="str" cm="1">
        <f t="array" ref="N114">_xlfn.IFS(L114&lt;$M$3,"Concluído",AND(K114&lt;=$M$3,L114&gt;=$M$3,L114&lt;=J114),"Em andamento",AND(K114&lt;=$M$3,L114&gt;=$M$3,L114&gt;J114),"Atrasado",AND(K114&gt;$M$3,I114&gt;$M$3),"Não iniciado",AND(K114&gt;$M$3,I114&lt;=$M$3),"Atrasado",TRUE,"Não iniciado")</f>
        <v>Concluído</v>
      </c>
      <c r="O114" s="231" cm="1">
        <f t="array" ref="O114">_xlfn.IFS(N114="Não iniciado",0,N114="Em andamento",1,N114="Concluído",2,N114="Atrasado",3)</f>
        <v>2</v>
      </c>
      <c r="P114" s="220"/>
      <c r="Q114" s="226" cm="1">
        <f t="array" ref="Q114">_xlfn.IFS(AND($I114&lt;$M$3,$J114&lt;$M$3),1,AND($I114&lt;=$M$3,$J114&gt;=$M$3),0.5,AND($I114&gt;=$M$3,$J114&gt;=$M$3),0)</f>
        <v>1</v>
      </c>
      <c r="R114" s="226" cm="1">
        <f t="array" ref="R114">_xlfn.IFS(AND($K114&lt;$M$3,$L114&lt;$M$3),1,AND($K114&lt;=$M$3,$L114&gt;=$M$3),0.5,AND($K114&gt;=$M$3,$L114&gt;=$M$3),0)</f>
        <v>1</v>
      </c>
      <c r="S114" s="226" cm="1">
        <f t="array" ref="S114">_xlfn.IFS(AND($K114&gt;R$7,$L114&gt;R$7),0,AND($K114&lt;=R$7,$L114&lt;=R$7),1,AND($K114&lt;=R$7,$L114&gt;R$7),((R$7-$K114)/($L114-$K114)))</f>
        <v>0</v>
      </c>
      <c r="T114" s="226" cm="1">
        <f t="array" ref="T114">_xlfn.IFS(AND($K114&gt;S$7,$L114&gt;S$7),0,AND($K114&lt;=S$7,$L114&lt;=S$7),1,AND($K114&lt;=S$7,$L114&gt;S$7),((S$7-$K114)/($L114-$K114)))</f>
        <v>0</v>
      </c>
      <c r="U114" s="226" cm="1">
        <f t="array" ref="U114">_xlfn.IFS(AND($K114&gt;T$7,$L114&gt;T$7),0,AND($K114&lt;=T$7,$L114&lt;=T$7),1,AND($K114&lt;=T$7,$L114&gt;T$7),((T$7-$K114)/($L114-$K114)))</f>
        <v>1</v>
      </c>
      <c r="V114" s="226" cm="1">
        <f t="array" ref="V114">_xlfn.IFS(AND($K114&gt;U$7,$L114&gt;U$7),0,AND($K114&lt;=U$7,$L114&lt;=U$7),1,AND($K114&lt;=U$7,$L114&gt;U$7),((U$7-$K114)/($L114-$K114)))</f>
        <v>1</v>
      </c>
      <c r="W114" s="226" cm="1">
        <f t="array" ref="W114">_xlfn.IFS(AND($K114&gt;V$7,$L114&gt;V$7),0,AND($K114&lt;=V$7,$L114&lt;=V$7),1,AND($K114&lt;=V$7,$L114&gt;V$7),((V$7-$K114)/($L114-$K114)))</f>
        <v>1</v>
      </c>
      <c r="X114" s="226" cm="1">
        <f t="array" ref="X114">_xlfn.IFS(AND($K114&gt;W$7,$L114&gt;W$7),0,AND($K114&lt;=W$7,$L114&lt;=W$7),1,AND($K114&lt;=W$7,$L114&gt;W$7),((W$7-$K114)/($L114-$K114)))</f>
        <v>1</v>
      </c>
      <c r="Y114" s="226" cm="1">
        <f t="array" ref="Y114">_xlfn.IFS(AND($K114&gt;X$7,$L114&gt;X$7),0,AND($K114&lt;=X$7,$L114&lt;=X$7),1,AND($K114&lt;=X$7,$L114&gt;X$7),((X$7-$K114)/($L114-$K114)))</f>
        <v>1</v>
      </c>
      <c r="Z114" s="226" cm="1">
        <f t="array" ref="Z114">_xlfn.IFS(AND($K114&gt;Y$7,$L114&gt;Y$7),0,AND($K114&lt;=Y$7,$L114&lt;=Y$7),1,AND($K114&lt;=Y$7,$L114&gt;Y$7),((Y$7-$K114)/($L114-$K114)))</f>
        <v>1</v>
      </c>
      <c r="AA114" s="226" cm="1">
        <f t="array" ref="AA114">_xlfn.IFS(AND($K114&gt;Z$7,$L114&gt;Z$7),0,AND($K114&lt;=Z$7,$L114&lt;=Z$7),1,AND($K114&lt;=Z$7,$L114&gt;Z$7),((Z$7-$K114)/($L114-$K114)))</f>
        <v>1</v>
      </c>
      <c r="AB114" s="226" cm="1">
        <f t="array" ref="AB114">_xlfn.IFS(AND($K114&gt;AA$7,$L114&gt;AA$7),0,AND($K114&lt;=AA$7,$L114&lt;=AA$7),1,AND($K114&lt;=AA$7,$L114&gt;AA$7),((AA$7-$K114)/($L114-$K114)))</f>
        <v>1</v>
      </c>
      <c r="AC114" s="226" cm="1">
        <f t="array" ref="AC114">_xlfn.IFS(AND($K114&gt;AB$7,$L114&gt;AB$7),0,AND($K114&lt;=AB$7,$L114&lt;=AB$7),1,AND($K114&lt;=AB$7,$L114&gt;AB$7),((AB$7-$K114)/($L114-$K114)))</f>
        <v>1</v>
      </c>
      <c r="AD114" s="226" cm="1">
        <f t="array" ref="AD114">_xlfn.IFS(AND($K114&gt;AC$7,$L114&gt;AC$7),0,AND($K114&lt;=AC$7,$L114&lt;=AC$7),1,AND($K114&lt;=AC$7,$L114&gt;AC$7),((AC$7-$K114)/($L114-$K114)))</f>
        <v>1</v>
      </c>
      <c r="AE114" s="226" cm="1">
        <f t="array" ref="AE114">_xlfn.IFS(AND($K114&gt;AD$7,$L114&gt;AD$7),0,AND($K114&lt;=AD$7,$L114&lt;=AD$7),1,AND($K114&lt;=AD$7,$L114&gt;AD$7),((AD$7-$K114)/($L114-$K114)))</f>
        <v>1</v>
      </c>
      <c r="AF114" s="226" cm="1">
        <f t="array" ref="AF114">_xlfn.IFS(AND($K114&gt;AE$7,$L114&gt;AE$7),0,AND($K114&lt;=AE$7,$L114&lt;=AE$7),1,AND($K114&lt;=AE$7,$L114&gt;AE$7),((AE$7-$K114)/($L114-$K114)))</f>
        <v>1</v>
      </c>
      <c r="AG114" s="226" cm="1">
        <f t="array" ref="AG114">_xlfn.IFS(AND($K114&gt;AF$7,$L114&gt;AF$7),0,AND($K114&lt;=AF$7,$L114&lt;=AF$7),1,AND($K114&lt;=AF$7,$L114&gt;AF$7),((AF$7-$K114)/($L114-$K114)))</f>
        <v>1</v>
      </c>
      <c r="AH114" s="226" cm="1">
        <f t="array" ref="AH114">_xlfn.IFS(AND($K114&gt;AG$7,$L114&gt;AG$7),0,AND($K114&lt;=AG$7,$L114&lt;=AG$7),1,AND($K114&lt;=AG$7,$L114&gt;AG$7),((AG$7-$K114)/($L114-$K114)))</f>
        <v>1</v>
      </c>
      <c r="AI114" s="226" cm="1">
        <f t="array" ref="AI114">_xlfn.IFS(AND($K114&gt;AH$7,$L114&gt;AH$7),0,AND($K114&lt;=AH$7,$L114&lt;=AH$7),1,AND($K114&lt;=AH$7,$L114&gt;AH$7),((AH$7-$K114)/($L114-$K114)))</f>
        <v>1</v>
      </c>
      <c r="AJ114" s="226" cm="1">
        <f t="array" ref="AJ114">_xlfn.IFS(AND($K114&gt;AI$7,$L114&gt;AI$7),0,AND($K114&lt;=AI$7,$L114&lt;=AI$7),1,AND($K114&lt;=AI$7,$L114&gt;AI$7),((AI$7-$K114)/($L114-$K114)))</f>
        <v>1</v>
      </c>
      <c r="AK114" s="226" cm="1">
        <f t="array" ref="AK114">_xlfn.IFS(AND($K114&gt;AJ$7,$L114&gt;AJ$7),0,AND($K114&lt;=AJ$7,$L114&lt;=AJ$7),1,AND($K114&lt;=AJ$7,$L114&gt;AJ$7),((AJ$7-$K114)/($L114-$K114)))</f>
        <v>1</v>
      </c>
      <c r="AL114" s="226" cm="1">
        <f t="array" ref="AL114">_xlfn.IFS(AND($K114&gt;AK$7,$L114&gt;AK$7),0,AND($K114&lt;=AK$7,$L114&lt;=AK$7),1,AND($K114&lt;=AK$7,$L114&gt;AK$7),((AK$7-$K114)/($L114-$K114)))</f>
        <v>1</v>
      </c>
      <c r="AM114" s="226" cm="1">
        <f t="array" ref="AM114">_xlfn.IFS(AND($K114&gt;AL$7,$L114&gt;AL$7),0,AND($K114&lt;=AL$7,$L114&lt;=AL$7),1,AND($K114&lt;=AL$7,$L114&gt;AL$7),((AL$7-$K114)/($L114-$K114)))</f>
        <v>1</v>
      </c>
      <c r="AN114" s="226" cm="1">
        <f t="array" ref="AN114">_xlfn.IFS(AND($K114&gt;AM$7,$L114&gt;AM$7),0,AND($K114&lt;=AM$7,$L114&lt;=AM$7),1,AND($K114&lt;=AM$7,$L114&gt;AM$7),((AM$7-$K114)/($L114-$K114)))</f>
        <v>1</v>
      </c>
      <c r="AO114" s="226" cm="1">
        <f t="array" ref="AO114">_xlfn.IFS(AND($K114&gt;AN$7,$L114&gt;AN$7),0,AND($K114&lt;=AN$7,$L114&lt;=AN$7),1,AND($K114&lt;=AN$7,$L114&gt;AN$7),((AN$7-$K114)/($L114-$K114)))</f>
        <v>1</v>
      </c>
      <c r="AP114" s="226" cm="1">
        <f t="array" ref="AP114">_xlfn.IFS(AND($K114&gt;AO$7,$L114&gt;AO$7),0,AND($K114&lt;=AO$7,$L114&lt;=AO$7),1,AND($K114&lt;=AO$7,$L114&gt;AO$7),((AO$7-$K114)/($L114-$K114)))</f>
        <v>1</v>
      </c>
      <c r="AQ114" s="226" cm="1">
        <f t="array" ref="AQ114">_xlfn.IFS(AND($K114&gt;AP$7,$L114&gt;AP$7),0,AND($K114&lt;=AP$7,$L114&lt;=AP$7),1,AND($K114&lt;=AP$7,$L114&gt;AP$7),((AP$7-$K114)/($L114-$K114)))</f>
        <v>1</v>
      </c>
      <c r="AR114" s="226" cm="1">
        <f t="array" ref="AR114">_xlfn.IFS(AND($K114&gt;AQ$7,$L114&gt;AQ$7),0,AND($K114&lt;=AQ$7,$L114&lt;=AQ$7),1,AND($K114&lt;=AQ$7,$L114&gt;AQ$7),((AQ$7-$K114)/($L114-$K114)))</f>
        <v>1</v>
      </c>
      <c r="AS114" s="226" cm="1">
        <f t="array" ref="AS114">_xlfn.IFS(AND($K114&gt;AR$7,$L114&gt;AR$7),0,AND($K114&lt;=AR$7,$L114&lt;=AR$7),1,AND($K114&lt;=AR$7,$L114&gt;AR$7),((AR$7-$K114)/($L114-$K114)))</f>
        <v>1</v>
      </c>
      <c r="AT114" s="226" cm="1">
        <f t="array" ref="AT114">_xlfn.IFS(AND($K114&gt;AS$7,$L114&gt;AS$7),0,AND($K114&lt;=AS$7,$L114&lt;=AS$7),1,AND($K114&lt;=AS$7,$L114&gt;AS$7),((AS$7-$K114)/($L114-$K114)))</f>
        <v>1</v>
      </c>
      <c r="AU114" s="226" cm="1">
        <f t="array" ref="AU114">_xlfn.IFS(AND($K114&gt;AT$7,$L114&gt;AT$7),0,AND($K114&lt;=AT$7,$L114&lt;=AT$7),1,AND($K114&lt;=AT$7,$L114&gt;AT$7),((AT$7-$K114)/($L114-$K114)))</f>
        <v>1</v>
      </c>
      <c r="AV114" s="226" cm="1">
        <f t="array" ref="AV114">_xlfn.IFS(AND($K114&gt;AU$7,$L114&gt;AU$7),0,AND($K114&lt;=AU$7,$L114&lt;=AU$7),1,AND($K114&lt;=AU$7,$L114&gt;AU$7),((AU$7-$K114)/($L114-$K114)))</f>
        <v>1</v>
      </c>
      <c r="AW114" s="226" cm="1">
        <f t="array" ref="AW114">_xlfn.IFS(AND($K114&gt;AV$7,$L114&gt;AV$7),0,AND($K114&lt;=AV$7,$L114&lt;=AV$7),1,AND($K114&lt;=AV$7,$L114&gt;AV$7),((AV$7-$K114)/($L114-$K114)))</f>
        <v>1</v>
      </c>
      <c r="AX114" s="226" cm="1">
        <f t="array" ref="AX114">_xlfn.IFS(AND($K114&gt;AW$7,$L114&gt;AW$7),0,AND($K114&lt;=AW$7,$L114&lt;=AW$7),1,AND($K114&lt;=AW$7,$L114&gt;AW$7),((AW$7-$K114)/($L114-$K114)))</f>
        <v>1</v>
      </c>
      <c r="AY114" s="226" cm="1">
        <f t="array" ref="AY114">_xlfn.IFS(AND($K114&gt;AX$7,$L114&gt;AX$7),0,AND($K114&lt;=AX$7,$L114&lt;=AX$7),1,AND($K114&lt;=AX$7,$L114&gt;AX$7),((AX$7-$K114)/($L114-$K114)))</f>
        <v>1</v>
      </c>
      <c r="AZ114" s="226" cm="1">
        <f t="array" ref="AZ114">_xlfn.IFS(AND($K114&gt;AY$7,$L114&gt;AY$7),0,AND($K114&lt;=AY$7,$L114&lt;=AY$7),1,AND($K114&lt;=AY$7,$L114&gt;AY$7),((AY$7-$K114)/($L114-$K114)))</f>
        <v>1</v>
      </c>
      <c r="BA114" s="226" cm="1">
        <f t="array" ref="BA114">_xlfn.IFS(AND($K114&gt;AZ$7,$L114&gt;AZ$7),0,AND($K114&lt;=AZ$7,$L114&lt;=AZ$7),1,AND($K114&lt;=AZ$7,$L114&gt;AZ$7),((AZ$7-$K114)/($L114-$K114)))</f>
        <v>1</v>
      </c>
      <c r="BB114" s="226" cm="1">
        <f t="array" ref="BB114">_xlfn.IFS(AND($K114&gt;BA$7,$L114&gt;BA$7),0,AND($K114&lt;=BA$7,$L114&lt;=BA$7),1,AND($K114&lt;=BA$7,$L114&gt;BA$7),((BA$7-$K114)/($L114-$K114)))</f>
        <v>1</v>
      </c>
      <c r="BC114" s="226" cm="1">
        <f t="array" ref="BC114">_xlfn.IFS(AND($K114&gt;BB$7,$L114&gt;BB$7),0,AND($K114&lt;=BB$7,$L114&lt;=BB$7),1,AND($K114&lt;=BB$7,$L114&gt;BB$7),((BB$7-$K114)/($L114-$K114)))</f>
        <v>1</v>
      </c>
      <c r="BD114" s="226" cm="1">
        <f t="array" ref="BD114">_xlfn.IFS(AND($K114&gt;BC$7,$L114&gt;BC$7),0,AND($K114&lt;=BC$7,$L114&lt;=BC$7),1,AND($K114&lt;=BC$7,$L114&gt;BC$7),((BC$7-$K114)/($L114-$K114)))</f>
        <v>1</v>
      </c>
      <c r="BE114" s="226" cm="1">
        <f t="array" ref="BE114">_xlfn.IFS(AND($K114&gt;BD$7,$L114&gt;BD$7),0,AND($K114&lt;=BD$7,$L114&lt;=BD$7),1,AND($K114&lt;=BD$7,$L114&gt;BD$7),((BD$7-$K114)/($L114-$K114)))</f>
        <v>1</v>
      </c>
      <c r="BF114" s="226" cm="1">
        <f t="array" ref="BF114">_xlfn.IFS(AND($K114&gt;BE$7,$L114&gt;BE$7),0,AND($K114&lt;=BE$7,$L114&lt;=BE$7),1,AND($K114&lt;=BE$7,$L114&gt;BE$7),((BE$7-$K114)/($L114-$K114)))</f>
        <v>1</v>
      </c>
      <c r="BG114" s="226" cm="1">
        <f t="array" ref="BG114">_xlfn.IFS(AND($K114&gt;BF$7,$L114&gt;BF$7),0,AND($K114&lt;=BF$7,$L114&lt;=BF$7),1,AND($K114&lt;=BF$7,$L114&gt;BF$7),((BF$7-$K114)/($L114-$K114)))</f>
        <v>1</v>
      </c>
      <c r="BH114" s="163">
        <f>Tab.plano6[[#This Row],[Data Término
Prevista]]-Tab.plano6[[#This Row],[Data Início
Previsto]]</f>
        <v>1</v>
      </c>
    </row>
    <row r="115" spans="1:60" customFormat="1" ht="18" hidden="1" customHeight="1" x14ac:dyDescent="0.3">
      <c r="A115" s="220"/>
      <c r="B115" s="220" t="s">
        <v>161</v>
      </c>
      <c r="C115" s="220" t="s">
        <v>467</v>
      </c>
      <c r="D115" s="251" t="s">
        <v>399</v>
      </c>
      <c r="E115" s="251" t="s">
        <v>422</v>
      </c>
      <c r="F115" s="251" t="s">
        <v>462</v>
      </c>
      <c r="G115" s="251" t="s">
        <v>462</v>
      </c>
      <c r="H115" s="221" t="s">
        <v>524</v>
      </c>
      <c r="I115" s="260">
        <v>46113</v>
      </c>
      <c r="J115" s="260">
        <v>46136</v>
      </c>
      <c r="K115" s="260">
        <v>46168</v>
      </c>
      <c r="L115" s="260">
        <v>46189</v>
      </c>
      <c r="M115" s="231" t="s">
        <v>463</v>
      </c>
      <c r="N115" s="227" t="str" cm="1">
        <f t="array" ref="N115">_xlfn.IFS(L115&lt;$M$3,"Concluído",AND(K115&lt;=$M$3,L115&gt;=$M$3,L115&lt;=J115),"Em andamento",AND(K115&lt;=$M$3,L115&gt;=$M$3,L115&gt;J115),"Atrasado",AND(K115&gt;$M$3,I115&gt;$M$3),"Não iniciado",AND(K115&gt;$M$3,I115&lt;=$M$3),"Atrasado",TRUE,"Não iniciado")</f>
        <v>Atrasado</v>
      </c>
      <c r="O115" s="231" cm="1">
        <f t="array" ref="O115">_xlfn.IFS(N115="Não iniciado",0,N115="Em andamento",1,N115="Concluído",2,N115="Atrasado",3)</f>
        <v>3</v>
      </c>
      <c r="P115" s="220"/>
      <c r="Q115" s="226" cm="1">
        <f t="array" ref="Q115">_xlfn.IFS(AND($I115&lt;$M$3,$J115&lt;$M$3),1,AND($I115&lt;=$M$3,$J115&gt;=$M$3),0.5,AND($I115&gt;=$M$3,$J115&gt;=$M$3),0)</f>
        <v>1</v>
      </c>
      <c r="R115" s="226" cm="1">
        <f t="array" ref="R115">_xlfn.IFS(AND($K115&lt;$M$3,$L115&lt;$M$3),1,AND($K115&lt;=$M$3,$L115&gt;=$M$3),0.5,AND($K115&gt;=$M$3,$L115&gt;=$M$3),0)</f>
        <v>0</v>
      </c>
      <c r="S115" s="226" cm="1">
        <f t="array" ref="S115">_xlfn.IFS(AND($K115&gt;R$7,$L115&gt;R$7),0,AND($K115&lt;=R$7,$L115&lt;=R$7),1,AND($K115&lt;=R$7,$L115&gt;R$7),((R$7-$K115)/($L115-$K115)))</f>
        <v>0</v>
      </c>
      <c r="T115" s="226" cm="1">
        <f t="array" ref="T115">_xlfn.IFS(AND($K115&gt;S$7,$L115&gt;S$7),0,AND($K115&lt;=S$7,$L115&lt;=S$7),1,AND($K115&lt;=S$7,$L115&gt;S$7),((S$7-$K115)/($L115-$K115)))</f>
        <v>0</v>
      </c>
      <c r="U115" s="226" cm="1">
        <f t="array" ref="U115">_xlfn.IFS(AND($K115&gt;T$7,$L115&gt;T$7),0,AND($K115&lt;=T$7,$L115&lt;=T$7),1,AND($K115&lt;=T$7,$L115&gt;T$7),((T$7-$K115)/($L115-$K115)))</f>
        <v>0</v>
      </c>
      <c r="V115" s="226" cm="1">
        <f t="array" ref="V115">_xlfn.IFS(AND($K115&gt;U$7,$L115&gt;U$7),0,AND($K115&lt;=U$7,$L115&lt;=U$7),1,AND($K115&lt;=U$7,$L115&gt;U$7),((U$7-$K115)/($L115-$K115)))</f>
        <v>0</v>
      </c>
      <c r="W115" s="226" cm="1">
        <f t="array" ref="W115">_xlfn.IFS(AND($K115&gt;V$7,$L115&gt;V$7),0,AND($K115&lt;=V$7,$L115&lt;=V$7),1,AND($K115&lt;=V$7,$L115&gt;V$7),((V$7-$K115)/($L115-$K115)))</f>
        <v>0</v>
      </c>
      <c r="X115" s="226" cm="1">
        <f t="array" ref="X115">_xlfn.IFS(AND($K115&gt;W$7,$L115&gt;W$7),0,AND($K115&lt;=W$7,$L115&lt;=W$7),1,AND($K115&lt;=W$7,$L115&gt;W$7),((W$7-$K115)/($L115-$K115)))</f>
        <v>0</v>
      </c>
      <c r="Y115" s="226" cm="1">
        <f t="array" ref="Y115">_xlfn.IFS(AND($K115&gt;X$7,$L115&gt;X$7),0,AND($K115&lt;=X$7,$L115&lt;=X$7),1,AND($K115&lt;=X$7,$L115&gt;X$7),((X$7-$K115)/($L115-$K115)))</f>
        <v>0</v>
      </c>
      <c r="Z115" s="226" cm="1">
        <f t="array" ref="Z115">_xlfn.IFS(AND($K115&gt;Y$7,$L115&gt;Y$7),0,AND($K115&lt;=Y$7,$L115&lt;=Y$7),1,AND($K115&lt;=Y$7,$L115&gt;Y$7),((Y$7-$K115)/($L115-$K115)))</f>
        <v>0</v>
      </c>
      <c r="AA115" s="226" cm="1">
        <f t="array" ref="AA115">_xlfn.IFS(AND($K115&gt;Z$7,$L115&gt;Z$7),0,AND($K115&lt;=Z$7,$L115&lt;=Z$7),1,AND($K115&lt;=Z$7,$L115&gt;Z$7),((Z$7-$K115)/($L115-$K115)))</f>
        <v>0</v>
      </c>
      <c r="AB115" s="226" cm="1">
        <f t="array" ref="AB115">_xlfn.IFS(AND($K115&gt;AA$7,$L115&gt;AA$7),0,AND($K115&lt;=AA$7,$L115&lt;=AA$7),1,AND($K115&lt;=AA$7,$L115&gt;AA$7),((AA$7-$K115)/($L115-$K115)))</f>
        <v>0</v>
      </c>
      <c r="AC115" s="226" cm="1">
        <f t="array" ref="AC115">_xlfn.IFS(AND($K115&gt;AB$7,$L115&gt;AB$7),0,AND($K115&lt;=AB$7,$L115&lt;=AB$7),1,AND($K115&lt;=AB$7,$L115&gt;AB$7),((AB$7-$K115)/($L115-$K115)))</f>
        <v>0.2857142857142857</v>
      </c>
      <c r="AD115" s="226" cm="1">
        <f t="array" ref="AD115">_xlfn.IFS(AND($K115&gt;AC$7,$L115&gt;AC$7),0,AND($K115&lt;=AC$7,$L115&lt;=AC$7),1,AND($K115&lt;=AC$7,$L115&gt;AC$7),((AC$7-$K115)/($L115-$K115)))</f>
        <v>0.61904761904761907</v>
      </c>
      <c r="AE115" s="226" cm="1">
        <f t="array" ref="AE115">_xlfn.IFS(AND($K115&gt;AD$7,$L115&gt;AD$7),0,AND($K115&lt;=AD$7,$L115&lt;=AD$7),1,AND($K115&lt;=AD$7,$L115&gt;AD$7),((AD$7-$K115)/($L115-$K115)))</f>
        <v>0.95238095238095233</v>
      </c>
      <c r="AF115" s="226" cm="1">
        <f t="array" ref="AF115">_xlfn.IFS(AND($K115&gt;AE$7,$L115&gt;AE$7),0,AND($K115&lt;=AE$7,$L115&lt;=AE$7),1,AND($K115&lt;=AE$7,$L115&gt;AE$7),((AE$7-$K115)/($L115-$K115)))</f>
        <v>1</v>
      </c>
      <c r="AG115" s="226" cm="1">
        <f t="array" ref="AG115">_xlfn.IFS(AND($K115&gt;AF$7,$L115&gt;AF$7),0,AND($K115&lt;=AF$7,$L115&lt;=AF$7),1,AND($K115&lt;=AF$7,$L115&gt;AF$7),((AF$7-$K115)/($L115-$K115)))</f>
        <v>1</v>
      </c>
      <c r="AH115" s="226" cm="1">
        <f t="array" ref="AH115">_xlfn.IFS(AND($K115&gt;AG$7,$L115&gt;AG$7),0,AND($K115&lt;=AG$7,$L115&lt;=AG$7),1,AND($K115&lt;=AG$7,$L115&gt;AG$7),((AG$7-$K115)/($L115-$K115)))</f>
        <v>1</v>
      </c>
      <c r="AI115" s="226" cm="1">
        <f t="array" ref="AI115">_xlfn.IFS(AND($K115&gt;AH$7,$L115&gt;AH$7),0,AND($K115&lt;=AH$7,$L115&lt;=AH$7),1,AND($K115&lt;=AH$7,$L115&gt;AH$7),((AH$7-$K115)/($L115-$K115)))</f>
        <v>1</v>
      </c>
      <c r="AJ115" s="226" cm="1">
        <f t="array" ref="AJ115">_xlfn.IFS(AND($K115&gt;AI$7,$L115&gt;AI$7),0,AND($K115&lt;=AI$7,$L115&lt;=AI$7),1,AND($K115&lt;=AI$7,$L115&gt;AI$7),((AI$7-$K115)/($L115-$K115)))</f>
        <v>1</v>
      </c>
      <c r="AK115" s="226" cm="1">
        <f t="array" ref="AK115">_xlfn.IFS(AND($K115&gt;AJ$7,$L115&gt;AJ$7),0,AND($K115&lt;=AJ$7,$L115&lt;=AJ$7),1,AND($K115&lt;=AJ$7,$L115&gt;AJ$7),((AJ$7-$K115)/($L115-$K115)))</f>
        <v>1</v>
      </c>
      <c r="AL115" s="226" cm="1">
        <f t="array" ref="AL115">_xlfn.IFS(AND($K115&gt;AK$7,$L115&gt;AK$7),0,AND($K115&lt;=AK$7,$L115&lt;=AK$7),1,AND($K115&lt;=AK$7,$L115&gt;AK$7),((AK$7-$K115)/($L115-$K115)))</f>
        <v>1</v>
      </c>
      <c r="AM115" s="226" cm="1">
        <f t="array" ref="AM115">_xlfn.IFS(AND($K115&gt;AL$7,$L115&gt;AL$7),0,AND($K115&lt;=AL$7,$L115&lt;=AL$7),1,AND($K115&lt;=AL$7,$L115&gt;AL$7),((AL$7-$K115)/($L115-$K115)))</f>
        <v>1</v>
      </c>
      <c r="AN115" s="226" cm="1">
        <f t="array" ref="AN115">_xlfn.IFS(AND($K115&gt;AM$7,$L115&gt;AM$7),0,AND($K115&lt;=AM$7,$L115&lt;=AM$7),1,AND($K115&lt;=AM$7,$L115&gt;AM$7),((AM$7-$K115)/($L115-$K115)))</f>
        <v>1</v>
      </c>
      <c r="AO115" s="226" cm="1">
        <f t="array" ref="AO115">_xlfn.IFS(AND($K115&gt;AN$7,$L115&gt;AN$7),0,AND($K115&lt;=AN$7,$L115&lt;=AN$7),1,AND($K115&lt;=AN$7,$L115&gt;AN$7),((AN$7-$K115)/($L115-$K115)))</f>
        <v>1</v>
      </c>
      <c r="AP115" s="226" cm="1">
        <f t="array" ref="AP115">_xlfn.IFS(AND($K115&gt;AO$7,$L115&gt;AO$7),0,AND($K115&lt;=AO$7,$L115&lt;=AO$7),1,AND($K115&lt;=AO$7,$L115&gt;AO$7),((AO$7-$K115)/($L115-$K115)))</f>
        <v>1</v>
      </c>
      <c r="AQ115" s="226" cm="1">
        <f t="array" ref="AQ115">_xlfn.IFS(AND($K115&gt;AP$7,$L115&gt;AP$7),0,AND($K115&lt;=AP$7,$L115&lt;=AP$7),1,AND($K115&lt;=AP$7,$L115&gt;AP$7),((AP$7-$K115)/($L115-$K115)))</f>
        <v>1</v>
      </c>
      <c r="AR115" s="226" cm="1">
        <f t="array" ref="AR115">_xlfn.IFS(AND($K115&gt;AQ$7,$L115&gt;AQ$7),0,AND($K115&lt;=AQ$7,$L115&lt;=AQ$7),1,AND($K115&lt;=AQ$7,$L115&gt;AQ$7),((AQ$7-$K115)/($L115-$K115)))</f>
        <v>1</v>
      </c>
      <c r="AS115" s="226" cm="1">
        <f t="array" ref="AS115">_xlfn.IFS(AND($K115&gt;AR$7,$L115&gt;AR$7),0,AND($K115&lt;=AR$7,$L115&lt;=AR$7),1,AND($K115&lt;=AR$7,$L115&gt;AR$7),((AR$7-$K115)/($L115-$K115)))</f>
        <v>1</v>
      </c>
      <c r="AT115" s="226" cm="1">
        <f t="array" ref="AT115">_xlfn.IFS(AND($K115&gt;AS$7,$L115&gt;AS$7),0,AND($K115&lt;=AS$7,$L115&lt;=AS$7),1,AND($K115&lt;=AS$7,$L115&gt;AS$7),((AS$7-$K115)/($L115-$K115)))</f>
        <v>1</v>
      </c>
      <c r="AU115" s="226" cm="1">
        <f t="array" ref="AU115">_xlfn.IFS(AND($K115&gt;AT$7,$L115&gt;AT$7),0,AND($K115&lt;=AT$7,$L115&lt;=AT$7),1,AND($K115&lt;=AT$7,$L115&gt;AT$7),((AT$7-$K115)/($L115-$K115)))</f>
        <v>1</v>
      </c>
      <c r="AV115" s="226" cm="1">
        <f t="array" ref="AV115">_xlfn.IFS(AND($K115&gt;AU$7,$L115&gt;AU$7),0,AND($K115&lt;=AU$7,$L115&lt;=AU$7),1,AND($K115&lt;=AU$7,$L115&gt;AU$7),((AU$7-$K115)/($L115-$K115)))</f>
        <v>1</v>
      </c>
      <c r="AW115" s="226" cm="1">
        <f t="array" ref="AW115">_xlfn.IFS(AND($K115&gt;AV$7,$L115&gt;AV$7),0,AND($K115&lt;=AV$7,$L115&lt;=AV$7),1,AND($K115&lt;=AV$7,$L115&gt;AV$7),((AV$7-$K115)/($L115-$K115)))</f>
        <v>1</v>
      </c>
      <c r="AX115" s="226" cm="1">
        <f t="array" ref="AX115">_xlfn.IFS(AND($K115&gt;AW$7,$L115&gt;AW$7),0,AND($K115&lt;=AW$7,$L115&lt;=AW$7),1,AND($K115&lt;=AW$7,$L115&gt;AW$7),((AW$7-$K115)/($L115-$K115)))</f>
        <v>1</v>
      </c>
      <c r="AY115" s="226" cm="1">
        <f t="array" ref="AY115">_xlfn.IFS(AND($K115&gt;AX$7,$L115&gt;AX$7),0,AND($K115&lt;=AX$7,$L115&lt;=AX$7),1,AND($K115&lt;=AX$7,$L115&gt;AX$7),((AX$7-$K115)/($L115-$K115)))</f>
        <v>1</v>
      </c>
      <c r="AZ115" s="226" cm="1">
        <f t="array" ref="AZ115">_xlfn.IFS(AND($K115&gt;AY$7,$L115&gt;AY$7),0,AND($K115&lt;=AY$7,$L115&lt;=AY$7),1,AND($K115&lt;=AY$7,$L115&gt;AY$7),((AY$7-$K115)/($L115-$K115)))</f>
        <v>1</v>
      </c>
      <c r="BA115" s="226" cm="1">
        <f t="array" ref="BA115">_xlfn.IFS(AND($K115&gt;AZ$7,$L115&gt;AZ$7),0,AND($K115&lt;=AZ$7,$L115&lt;=AZ$7),1,AND($K115&lt;=AZ$7,$L115&gt;AZ$7),((AZ$7-$K115)/($L115-$K115)))</f>
        <v>1</v>
      </c>
      <c r="BB115" s="226" cm="1">
        <f t="array" ref="BB115">_xlfn.IFS(AND($K115&gt;BA$7,$L115&gt;BA$7),0,AND($K115&lt;=BA$7,$L115&lt;=BA$7),1,AND($K115&lt;=BA$7,$L115&gt;BA$7),((BA$7-$K115)/($L115-$K115)))</f>
        <v>1</v>
      </c>
      <c r="BC115" s="226" cm="1">
        <f t="array" ref="BC115">_xlfn.IFS(AND($K115&gt;BB$7,$L115&gt;BB$7),0,AND($K115&lt;=BB$7,$L115&lt;=BB$7),1,AND($K115&lt;=BB$7,$L115&gt;BB$7),((BB$7-$K115)/($L115-$K115)))</f>
        <v>1</v>
      </c>
      <c r="BD115" s="226" cm="1">
        <f t="array" ref="BD115">_xlfn.IFS(AND($K115&gt;BC$7,$L115&gt;BC$7),0,AND($K115&lt;=BC$7,$L115&lt;=BC$7),1,AND($K115&lt;=BC$7,$L115&gt;BC$7),((BC$7-$K115)/($L115-$K115)))</f>
        <v>1</v>
      </c>
      <c r="BE115" s="226" cm="1">
        <f t="array" ref="BE115">_xlfn.IFS(AND($K115&gt;BD$7,$L115&gt;BD$7),0,AND($K115&lt;=BD$7,$L115&lt;=BD$7),1,AND($K115&lt;=BD$7,$L115&gt;BD$7),((BD$7-$K115)/($L115-$K115)))</f>
        <v>1</v>
      </c>
      <c r="BF115" s="226" cm="1">
        <f t="array" ref="BF115">_xlfn.IFS(AND($K115&gt;BE$7,$L115&gt;BE$7),0,AND($K115&lt;=BE$7,$L115&lt;=BE$7),1,AND($K115&lt;=BE$7,$L115&gt;BE$7),((BE$7-$K115)/($L115-$K115)))</f>
        <v>1</v>
      </c>
      <c r="BG115" s="226" cm="1">
        <f t="array" ref="BG115">_xlfn.IFS(AND($K115&gt;BF$7,$L115&gt;BF$7),0,AND($K115&lt;=BF$7,$L115&lt;=BF$7),1,AND($K115&lt;=BF$7,$L115&gt;BF$7),((BF$7-$K115)/($L115-$K115)))</f>
        <v>1</v>
      </c>
      <c r="BH115" s="163">
        <f>Tab.plano6[[#This Row],[Data Término
Prevista]]-Tab.plano6[[#This Row],[Data Início
Previsto]]</f>
        <v>23</v>
      </c>
    </row>
    <row r="116" spans="1:60" customFormat="1" ht="18" hidden="1" customHeight="1" x14ac:dyDescent="0.3">
      <c r="A116" s="220"/>
      <c r="B116" s="220" t="s">
        <v>161</v>
      </c>
      <c r="C116" s="220" t="s">
        <v>469</v>
      </c>
      <c r="D116" s="251" t="s">
        <v>399</v>
      </c>
      <c r="E116" s="251" t="s">
        <v>422</v>
      </c>
      <c r="F116" s="251" t="s">
        <v>462</v>
      </c>
      <c r="G116" s="251" t="s">
        <v>462</v>
      </c>
      <c r="H116" s="268" t="s">
        <v>807</v>
      </c>
      <c r="I116" s="260">
        <v>46139</v>
      </c>
      <c r="J116" s="260">
        <v>46141</v>
      </c>
      <c r="K116" s="260">
        <v>46189</v>
      </c>
      <c r="L116" s="272" t="s">
        <v>843</v>
      </c>
      <c r="M116" s="231" t="s">
        <v>463</v>
      </c>
      <c r="N116" s="227" t="str" cm="1">
        <f t="array" ref="N116">_xlfn.IFS(L116&lt;$M$3,"Concluído",AND(K116&lt;=$M$3,L116&gt;=$M$3,L116&lt;=J116),"Em andamento",AND(K116&lt;=$M$3,L116&gt;=$M$3,L116&gt;J116),"Atrasado",AND(K116&gt;$M$3,I116&gt;$M$3),"Não iniciado",AND(K116&gt;$M$3,I116&lt;=$M$3),"Atrasado",TRUE,"Não iniciado")</f>
        <v>Atrasado</v>
      </c>
      <c r="O116" s="231" cm="1">
        <f t="array" ref="O116">_xlfn.IFS(N116="Não iniciado",0,N116="Em andamento",1,N116="Concluído",2,N116="Atrasado",3)</f>
        <v>3</v>
      </c>
      <c r="P116" s="220"/>
      <c r="Q116" s="226" cm="1">
        <f t="array" ref="Q116">_xlfn.IFS(AND($I116&lt;$M$3,$J116&lt;$M$3),1,AND($I116&lt;=$M$3,$J116&gt;=$M$3),0.5,AND($I116&gt;=$M$3,$J116&gt;=$M$3),0)</f>
        <v>1</v>
      </c>
      <c r="R116" s="226" cm="1">
        <f t="array" ref="R116">_xlfn.IFS(AND($K116&lt;$M$3,$L116&lt;$M$3),1,AND($K116&lt;=$M$3,$L116&gt;=$M$3),0.5,AND($K116&gt;=$M$3,$L116&gt;=$M$3),0)</f>
        <v>0</v>
      </c>
      <c r="S116" s="226" cm="1">
        <f t="array" ref="S116">_xlfn.IFS(AND($K116&gt;R$7,$L116&gt;R$7),0,AND($K116&lt;=R$7,$L116&lt;=R$7),1,AND($K116&lt;=R$7,$L116&gt;R$7),((R$7-$K116)/($L116-$K116)))</f>
        <v>0</v>
      </c>
      <c r="T116" s="226" cm="1">
        <f t="array" ref="T116">_xlfn.IFS(AND($K116&gt;S$7,$L116&gt;S$7),0,AND($K116&lt;=S$7,$L116&lt;=S$7),1,AND($K116&lt;=S$7,$L116&gt;S$7),((S$7-$K116)/($L116-$K116)))</f>
        <v>0</v>
      </c>
      <c r="U116" s="226" cm="1">
        <f t="array" ref="U116">_xlfn.IFS(AND($K116&gt;T$7,$L116&gt;T$7),0,AND($K116&lt;=T$7,$L116&lt;=T$7),1,AND($K116&lt;=T$7,$L116&gt;T$7),((T$7-$K116)/($L116-$K116)))</f>
        <v>0</v>
      </c>
      <c r="V116" s="226" cm="1">
        <f t="array" ref="V116">_xlfn.IFS(AND($K116&gt;U$7,$L116&gt;U$7),0,AND($K116&lt;=U$7,$L116&lt;=U$7),1,AND($K116&lt;=U$7,$L116&gt;U$7),((U$7-$K116)/($L116-$K116)))</f>
        <v>0</v>
      </c>
      <c r="W116" s="226" cm="1">
        <f t="array" ref="W116">_xlfn.IFS(AND($K116&gt;V$7,$L116&gt;V$7),0,AND($K116&lt;=V$7,$L116&lt;=V$7),1,AND($K116&lt;=V$7,$L116&gt;V$7),((V$7-$K116)/($L116-$K116)))</f>
        <v>0</v>
      </c>
      <c r="X116" s="226" cm="1">
        <f t="array" ref="X116">_xlfn.IFS(AND($K116&gt;W$7,$L116&gt;W$7),0,AND($K116&lt;=W$7,$L116&lt;=W$7),1,AND($K116&lt;=W$7,$L116&gt;W$7),((W$7-$K116)/($L116-$K116)))</f>
        <v>0</v>
      </c>
      <c r="Y116" s="226" cm="1">
        <f t="array" ref="Y116">_xlfn.IFS(AND($K116&gt;X$7,$L116&gt;X$7),0,AND($K116&lt;=X$7,$L116&lt;=X$7),1,AND($K116&lt;=X$7,$L116&gt;X$7),((X$7-$K116)/($L116-$K116)))</f>
        <v>0</v>
      </c>
      <c r="Z116" s="226" cm="1">
        <f t="array" ref="Z116">_xlfn.IFS(AND($K116&gt;Y$7,$L116&gt;Y$7),0,AND($K116&lt;=Y$7,$L116&lt;=Y$7),1,AND($K116&lt;=Y$7,$L116&gt;Y$7),((Y$7-$K116)/($L116-$K116)))</f>
        <v>0</v>
      </c>
      <c r="AA116" s="226" cm="1">
        <f t="array" ref="AA116">_xlfn.IFS(AND($K116&gt;Z$7,$L116&gt;Z$7),0,AND($K116&lt;=Z$7,$L116&lt;=Z$7),1,AND($K116&lt;=Z$7,$L116&gt;Z$7),((Z$7-$K116)/($L116-$K116)))</f>
        <v>0</v>
      </c>
      <c r="AB116" s="226" cm="1">
        <f t="array" ref="AB116">_xlfn.IFS(AND($K116&gt;AA$7,$L116&gt;AA$7),0,AND($K116&lt;=AA$7,$L116&lt;=AA$7),1,AND($K116&lt;=AA$7,$L116&gt;AA$7),((AA$7-$K116)/($L116-$K116)))</f>
        <v>0</v>
      </c>
      <c r="AC116" s="226" cm="1">
        <f t="array" ref="AC116">_xlfn.IFS(AND($K116&gt;AB$7,$L116&gt;AB$7),0,AND($K116&lt;=AB$7,$L116&lt;=AB$7),1,AND($K116&lt;=AB$7,$L116&gt;AB$7),((AB$7-$K116)/($L116-$K116)))</f>
        <v>0</v>
      </c>
      <c r="AD116" s="226" cm="1">
        <f t="array" ref="AD116">_xlfn.IFS(AND($K116&gt;AC$7,$L116&gt;AC$7),0,AND($K116&lt;=AC$7,$L116&lt;=AC$7),1,AND($K116&lt;=AC$7,$L116&gt;AC$7),((AC$7-$K116)/($L116-$K116)))</f>
        <v>0</v>
      </c>
      <c r="AE116" s="226" cm="1">
        <f t="array" ref="AE116">_xlfn.IFS(AND($K116&gt;AD$7,$L116&gt;AD$7),0,AND($K116&lt;=AD$7,$L116&lt;=AD$7),1,AND($K116&lt;=AD$7,$L116&gt;AD$7),((AD$7-$K116)/($L116-$K116)))</f>
        <v>0</v>
      </c>
      <c r="AF116" s="226" t="e" cm="1">
        <f t="array" ref="AF116">_xlfn.IFS(AND($K116&gt;AE$7,$L116&gt;AE$7),0,AND($K116&lt;=AE$7,$L116&lt;=AE$7),1,AND($K116&lt;=AE$7,$L116&gt;AE$7),((AE$7-$K116)/($L116-$K116)))</f>
        <v>#VALUE!</v>
      </c>
      <c r="AG116" s="226" t="e" cm="1">
        <f t="array" ref="AG116">_xlfn.IFS(AND($K116&gt;AF$7,$L116&gt;AF$7),0,AND($K116&lt;=AF$7,$L116&lt;=AF$7),1,AND($K116&lt;=AF$7,$L116&gt;AF$7),((AF$7-$K116)/($L116-$K116)))</f>
        <v>#VALUE!</v>
      </c>
      <c r="AH116" s="226" t="e" cm="1">
        <f t="array" ref="AH116">_xlfn.IFS(AND($K116&gt;AG$7,$L116&gt;AG$7),0,AND($K116&lt;=AG$7,$L116&lt;=AG$7),1,AND($K116&lt;=AG$7,$L116&gt;AG$7),((AG$7-$K116)/($L116-$K116)))</f>
        <v>#VALUE!</v>
      </c>
      <c r="AI116" s="226" t="e" cm="1">
        <f t="array" ref="AI116">_xlfn.IFS(AND($K116&gt;AH$7,$L116&gt;AH$7),0,AND($K116&lt;=AH$7,$L116&lt;=AH$7),1,AND($K116&lt;=AH$7,$L116&gt;AH$7),((AH$7-$K116)/($L116-$K116)))</f>
        <v>#VALUE!</v>
      </c>
      <c r="AJ116" s="226" t="e" cm="1">
        <f t="array" ref="AJ116">_xlfn.IFS(AND($K116&gt;AI$7,$L116&gt;AI$7),0,AND($K116&lt;=AI$7,$L116&lt;=AI$7),1,AND($K116&lt;=AI$7,$L116&gt;AI$7),((AI$7-$K116)/($L116-$K116)))</f>
        <v>#VALUE!</v>
      </c>
      <c r="AK116" s="226" t="e" cm="1">
        <f t="array" ref="AK116">_xlfn.IFS(AND($K116&gt;AJ$7,$L116&gt;AJ$7),0,AND($K116&lt;=AJ$7,$L116&lt;=AJ$7),1,AND($K116&lt;=AJ$7,$L116&gt;AJ$7),((AJ$7-$K116)/($L116-$K116)))</f>
        <v>#VALUE!</v>
      </c>
      <c r="AL116" s="226" t="e" cm="1">
        <f t="array" ref="AL116">_xlfn.IFS(AND($K116&gt;AK$7,$L116&gt;AK$7),0,AND($K116&lt;=AK$7,$L116&lt;=AK$7),1,AND($K116&lt;=AK$7,$L116&gt;AK$7),((AK$7-$K116)/($L116-$K116)))</f>
        <v>#VALUE!</v>
      </c>
      <c r="AM116" s="226" t="e" cm="1">
        <f t="array" ref="AM116">_xlfn.IFS(AND($K116&gt;AL$7,$L116&gt;AL$7),0,AND($K116&lt;=AL$7,$L116&lt;=AL$7),1,AND($K116&lt;=AL$7,$L116&gt;AL$7),((AL$7-$K116)/($L116-$K116)))</f>
        <v>#VALUE!</v>
      </c>
      <c r="AN116" s="226" t="e" cm="1">
        <f t="array" ref="AN116">_xlfn.IFS(AND($K116&gt;AM$7,$L116&gt;AM$7),0,AND($K116&lt;=AM$7,$L116&lt;=AM$7),1,AND($K116&lt;=AM$7,$L116&gt;AM$7),((AM$7-$K116)/($L116-$K116)))</f>
        <v>#VALUE!</v>
      </c>
      <c r="AO116" s="226" t="e" cm="1">
        <f t="array" ref="AO116">_xlfn.IFS(AND($K116&gt;AN$7,$L116&gt;AN$7),0,AND($K116&lt;=AN$7,$L116&lt;=AN$7),1,AND($K116&lt;=AN$7,$L116&gt;AN$7),((AN$7-$K116)/($L116-$K116)))</f>
        <v>#VALUE!</v>
      </c>
      <c r="AP116" s="226" t="e" cm="1">
        <f t="array" ref="AP116">_xlfn.IFS(AND($K116&gt;AO$7,$L116&gt;AO$7),0,AND($K116&lt;=AO$7,$L116&lt;=AO$7),1,AND($K116&lt;=AO$7,$L116&gt;AO$7),((AO$7-$K116)/($L116-$K116)))</f>
        <v>#VALUE!</v>
      </c>
      <c r="AQ116" s="226" t="e" cm="1">
        <f t="array" ref="AQ116">_xlfn.IFS(AND($K116&gt;AP$7,$L116&gt;AP$7),0,AND($K116&lt;=AP$7,$L116&lt;=AP$7),1,AND($K116&lt;=AP$7,$L116&gt;AP$7),((AP$7-$K116)/($L116-$K116)))</f>
        <v>#VALUE!</v>
      </c>
      <c r="AR116" s="226" t="e" cm="1">
        <f t="array" ref="AR116">_xlfn.IFS(AND($K116&gt;AQ$7,$L116&gt;AQ$7),0,AND($K116&lt;=AQ$7,$L116&lt;=AQ$7),1,AND($K116&lt;=AQ$7,$L116&gt;AQ$7),((AQ$7-$K116)/($L116-$K116)))</f>
        <v>#VALUE!</v>
      </c>
      <c r="AS116" s="226" t="e" cm="1">
        <f t="array" ref="AS116">_xlfn.IFS(AND($K116&gt;AR$7,$L116&gt;AR$7),0,AND($K116&lt;=AR$7,$L116&lt;=AR$7),1,AND($K116&lt;=AR$7,$L116&gt;AR$7),((AR$7-$K116)/($L116-$K116)))</f>
        <v>#VALUE!</v>
      </c>
      <c r="AT116" s="226" t="e" cm="1">
        <f t="array" ref="AT116">_xlfn.IFS(AND($K116&gt;AS$7,$L116&gt;AS$7),0,AND($K116&lt;=AS$7,$L116&lt;=AS$7),1,AND($K116&lt;=AS$7,$L116&gt;AS$7),((AS$7-$K116)/($L116-$K116)))</f>
        <v>#VALUE!</v>
      </c>
      <c r="AU116" s="226" t="e" cm="1">
        <f t="array" ref="AU116">_xlfn.IFS(AND($K116&gt;AT$7,$L116&gt;AT$7),0,AND($K116&lt;=AT$7,$L116&lt;=AT$7),1,AND($K116&lt;=AT$7,$L116&gt;AT$7),((AT$7-$K116)/($L116-$K116)))</f>
        <v>#VALUE!</v>
      </c>
      <c r="AV116" s="226" t="e" cm="1">
        <f t="array" ref="AV116">_xlfn.IFS(AND($K116&gt;AU$7,$L116&gt;AU$7),0,AND($K116&lt;=AU$7,$L116&lt;=AU$7),1,AND($K116&lt;=AU$7,$L116&gt;AU$7),((AU$7-$K116)/($L116-$K116)))</f>
        <v>#VALUE!</v>
      </c>
      <c r="AW116" s="226" t="e" cm="1">
        <f t="array" ref="AW116">_xlfn.IFS(AND($K116&gt;AV$7,$L116&gt;AV$7),0,AND($K116&lt;=AV$7,$L116&lt;=AV$7),1,AND($K116&lt;=AV$7,$L116&gt;AV$7),((AV$7-$K116)/($L116-$K116)))</f>
        <v>#VALUE!</v>
      </c>
      <c r="AX116" s="226" t="e" cm="1">
        <f t="array" ref="AX116">_xlfn.IFS(AND($K116&gt;AW$7,$L116&gt;AW$7),0,AND($K116&lt;=AW$7,$L116&lt;=AW$7),1,AND($K116&lt;=AW$7,$L116&gt;AW$7),((AW$7-$K116)/($L116-$K116)))</f>
        <v>#VALUE!</v>
      </c>
      <c r="AY116" s="226" t="e" cm="1">
        <f t="array" ref="AY116">_xlfn.IFS(AND($K116&gt;AX$7,$L116&gt;AX$7),0,AND($K116&lt;=AX$7,$L116&lt;=AX$7),1,AND($K116&lt;=AX$7,$L116&gt;AX$7),((AX$7-$K116)/($L116-$K116)))</f>
        <v>#VALUE!</v>
      </c>
      <c r="AZ116" s="226" t="e" cm="1">
        <f t="array" ref="AZ116">_xlfn.IFS(AND($K116&gt;AY$7,$L116&gt;AY$7),0,AND($K116&lt;=AY$7,$L116&lt;=AY$7),1,AND($K116&lt;=AY$7,$L116&gt;AY$7),((AY$7-$K116)/($L116-$K116)))</f>
        <v>#VALUE!</v>
      </c>
      <c r="BA116" s="226" t="e" cm="1">
        <f t="array" ref="BA116">_xlfn.IFS(AND($K116&gt;AZ$7,$L116&gt;AZ$7),0,AND($K116&lt;=AZ$7,$L116&lt;=AZ$7),1,AND($K116&lt;=AZ$7,$L116&gt;AZ$7),((AZ$7-$K116)/($L116-$K116)))</f>
        <v>#VALUE!</v>
      </c>
      <c r="BB116" s="226" t="e" cm="1">
        <f t="array" ref="BB116">_xlfn.IFS(AND($K116&gt;BA$7,$L116&gt;BA$7),0,AND($K116&lt;=BA$7,$L116&lt;=BA$7),1,AND($K116&lt;=BA$7,$L116&gt;BA$7),((BA$7-$K116)/($L116-$K116)))</f>
        <v>#VALUE!</v>
      </c>
      <c r="BC116" s="226" t="e" cm="1">
        <f t="array" ref="BC116">_xlfn.IFS(AND($K116&gt;BB$7,$L116&gt;BB$7),0,AND($K116&lt;=BB$7,$L116&lt;=BB$7),1,AND($K116&lt;=BB$7,$L116&gt;BB$7),((BB$7-$K116)/($L116-$K116)))</f>
        <v>#VALUE!</v>
      </c>
      <c r="BD116" s="226" t="e" cm="1">
        <f t="array" ref="BD116">_xlfn.IFS(AND($K116&gt;BC$7,$L116&gt;BC$7),0,AND($K116&lt;=BC$7,$L116&lt;=BC$7),1,AND($K116&lt;=BC$7,$L116&gt;BC$7),((BC$7-$K116)/($L116-$K116)))</f>
        <v>#VALUE!</v>
      </c>
      <c r="BE116" s="226" t="e" cm="1">
        <f t="array" ref="BE116">_xlfn.IFS(AND($K116&gt;BD$7,$L116&gt;BD$7),0,AND($K116&lt;=BD$7,$L116&lt;=BD$7),1,AND($K116&lt;=BD$7,$L116&gt;BD$7),((BD$7-$K116)/($L116-$K116)))</f>
        <v>#VALUE!</v>
      </c>
      <c r="BF116" s="226" t="e" cm="1">
        <f t="array" ref="BF116">_xlfn.IFS(AND($K116&gt;BE$7,$L116&gt;BE$7),0,AND($K116&lt;=BE$7,$L116&lt;=BE$7),1,AND($K116&lt;=BE$7,$L116&gt;BE$7),((BE$7-$K116)/($L116-$K116)))</f>
        <v>#VALUE!</v>
      </c>
      <c r="BG116" s="226" t="e" cm="1">
        <f t="array" ref="BG116">_xlfn.IFS(AND($K116&gt;BF$7,$L116&gt;BF$7),0,AND($K116&lt;=BF$7,$L116&lt;=BF$7),1,AND($K116&lt;=BF$7,$L116&gt;BF$7),((BF$7-$K116)/($L116-$K116)))</f>
        <v>#VALUE!</v>
      </c>
      <c r="BH116" s="163">
        <f>Tab.plano6[[#This Row],[Data Término
Prevista]]-Tab.plano6[[#This Row],[Data Início
Previsto]]</f>
        <v>2</v>
      </c>
    </row>
    <row r="117" spans="1:60" customFormat="1" ht="18" hidden="1" customHeight="1" x14ac:dyDescent="0.3">
      <c r="A117" s="216"/>
      <c r="B117" s="216" t="s">
        <v>12</v>
      </c>
      <c r="C117" s="216" t="s">
        <v>470</v>
      </c>
      <c r="D117" s="249" t="s">
        <v>399</v>
      </c>
      <c r="E117" s="249" t="s">
        <v>422</v>
      </c>
      <c r="F117" s="249" t="s">
        <v>74</v>
      </c>
      <c r="G117" s="249" t="s">
        <v>74</v>
      </c>
      <c r="H117" s="217" t="s">
        <v>842</v>
      </c>
      <c r="I117" s="257">
        <f>I118</f>
        <v>46111</v>
      </c>
      <c r="J117" s="257">
        <f>J118</f>
        <v>46153</v>
      </c>
      <c r="K117" s="257">
        <f>K118</f>
        <v>46111</v>
      </c>
      <c r="L117" s="257">
        <f>L118</f>
        <v>46171</v>
      </c>
      <c r="M117" s="229" t="s">
        <v>428</v>
      </c>
      <c r="N117" s="227" t="str" cm="1">
        <f t="array" ref="N117">_xlfn.IFS(L117&lt;$M$3,"Concluído",AND(K117&lt;=$M$3,L117&gt;=$M$3,L117&lt;=J117),"Em andamento",AND(K117&lt;=$M$3,L117&gt;=$M$3,L117&gt;J117),"Atrasado",AND(K117&gt;$M$3,I117&gt;$M$3),"Não iniciado",AND(K117&gt;$M$3,I117&lt;=$M$3),"Atrasado",TRUE,"Não iniciado")</f>
        <v>Atrasado</v>
      </c>
      <c r="O117" s="229" cm="1">
        <f t="array" ref="O117">_xlfn.IFS(N117="Não iniciado",0,N117="Em andamento",1,N117="Concluído",2,N117="Atrasado",3)</f>
        <v>3</v>
      </c>
      <c r="P117" s="216"/>
      <c r="Q117" s="224">
        <f t="shared" ref="Q117:BG117" si="47">Q118</f>
        <v>1</v>
      </c>
      <c r="R117" s="224">
        <f t="shared" si="47"/>
        <v>0.83333333333333337</v>
      </c>
      <c r="S117" s="224">
        <f t="shared" si="47"/>
        <v>0</v>
      </c>
      <c r="T117" s="224">
        <f t="shared" si="47"/>
        <v>0</v>
      </c>
      <c r="U117" s="224">
        <f t="shared" si="47"/>
        <v>0.37606837606837606</v>
      </c>
      <c r="V117" s="224">
        <f t="shared" si="47"/>
        <v>0.4358974358974359</v>
      </c>
      <c r="W117" s="224">
        <f t="shared" si="47"/>
        <v>0.49572649572649574</v>
      </c>
      <c r="X117" s="224">
        <f t="shared" si="47"/>
        <v>0.55555555555555547</v>
      </c>
      <c r="Y117" s="224">
        <f t="shared" si="47"/>
        <v>0.61538461538461542</v>
      </c>
      <c r="Z117" s="224">
        <f t="shared" si="47"/>
        <v>0.66666666666666663</v>
      </c>
      <c r="AA117" s="224">
        <f t="shared" si="47"/>
        <v>0.79629629629629628</v>
      </c>
      <c r="AB117" s="224">
        <f t="shared" si="47"/>
        <v>0.92592592592592593</v>
      </c>
      <c r="AC117" s="224">
        <f t="shared" si="47"/>
        <v>1</v>
      </c>
      <c r="AD117" s="224">
        <f t="shared" si="47"/>
        <v>1</v>
      </c>
      <c r="AE117" s="224">
        <f t="shared" si="47"/>
        <v>1</v>
      </c>
      <c r="AF117" s="224">
        <f t="shared" si="47"/>
        <v>1</v>
      </c>
      <c r="AG117" s="224">
        <f t="shared" si="47"/>
        <v>1</v>
      </c>
      <c r="AH117" s="224">
        <f t="shared" si="47"/>
        <v>1</v>
      </c>
      <c r="AI117" s="224">
        <f t="shared" si="47"/>
        <v>1</v>
      </c>
      <c r="AJ117" s="224">
        <f t="shared" si="47"/>
        <v>1</v>
      </c>
      <c r="AK117" s="224">
        <f t="shared" si="47"/>
        <v>1</v>
      </c>
      <c r="AL117" s="224">
        <f t="shared" si="47"/>
        <v>1</v>
      </c>
      <c r="AM117" s="224">
        <f t="shared" si="47"/>
        <v>1</v>
      </c>
      <c r="AN117" s="224">
        <f t="shared" si="47"/>
        <v>1</v>
      </c>
      <c r="AO117" s="224">
        <f t="shared" si="47"/>
        <v>1</v>
      </c>
      <c r="AP117" s="224">
        <f t="shared" si="47"/>
        <v>1</v>
      </c>
      <c r="AQ117" s="224">
        <f t="shared" si="47"/>
        <v>1</v>
      </c>
      <c r="AR117" s="224">
        <f t="shared" si="47"/>
        <v>1</v>
      </c>
      <c r="AS117" s="224">
        <f t="shared" si="47"/>
        <v>1</v>
      </c>
      <c r="AT117" s="224">
        <f t="shared" si="47"/>
        <v>1</v>
      </c>
      <c r="AU117" s="224">
        <f t="shared" si="47"/>
        <v>1</v>
      </c>
      <c r="AV117" s="224">
        <f t="shared" si="47"/>
        <v>1</v>
      </c>
      <c r="AW117" s="224">
        <f t="shared" si="47"/>
        <v>1</v>
      </c>
      <c r="AX117" s="224">
        <f t="shared" si="47"/>
        <v>1</v>
      </c>
      <c r="AY117" s="224">
        <f t="shared" si="47"/>
        <v>1</v>
      </c>
      <c r="AZ117" s="224">
        <f t="shared" si="47"/>
        <v>1</v>
      </c>
      <c r="BA117" s="224">
        <f t="shared" si="47"/>
        <v>1</v>
      </c>
      <c r="BB117" s="224">
        <f t="shared" si="47"/>
        <v>1</v>
      </c>
      <c r="BC117" s="224">
        <f t="shared" si="47"/>
        <v>1</v>
      </c>
      <c r="BD117" s="224">
        <f t="shared" si="47"/>
        <v>1</v>
      </c>
      <c r="BE117" s="224">
        <f t="shared" si="47"/>
        <v>1</v>
      </c>
      <c r="BF117" s="224">
        <f t="shared" si="47"/>
        <v>1</v>
      </c>
      <c r="BG117" s="224">
        <f t="shared" si="47"/>
        <v>1</v>
      </c>
      <c r="BH117" s="163">
        <f>Tab.plano6[[#This Row],[Data Término
Prevista]]-Tab.plano6[[#This Row],[Data Início
Previsto]]</f>
        <v>42</v>
      </c>
    </row>
    <row r="118" spans="1:60" customFormat="1" ht="18" hidden="1" customHeight="1" x14ac:dyDescent="0.3">
      <c r="A118" s="218"/>
      <c r="B118" s="218" t="s">
        <v>13</v>
      </c>
      <c r="C118" s="218" t="s">
        <v>472</v>
      </c>
      <c r="D118" s="250" t="s">
        <v>399</v>
      </c>
      <c r="E118" s="250" t="s">
        <v>422</v>
      </c>
      <c r="F118" s="250" t="s">
        <v>471</v>
      </c>
      <c r="G118" s="250" t="s">
        <v>74</v>
      </c>
      <c r="H118" s="219" t="s">
        <v>471</v>
      </c>
      <c r="I118" s="258">
        <f>MIN(I119:I121)</f>
        <v>46111</v>
      </c>
      <c r="J118" s="258">
        <f>MAX(J119:J121)</f>
        <v>46153</v>
      </c>
      <c r="K118" s="258">
        <f>MIN(K119:K121)</f>
        <v>46111</v>
      </c>
      <c r="L118" s="258">
        <f>MAX(L119:L121)</f>
        <v>46171</v>
      </c>
      <c r="M118" s="230" t="s">
        <v>428</v>
      </c>
      <c r="N118" s="227" t="str" cm="1">
        <f t="array" ref="N118">_xlfn.IFS(L118&lt;$M$3,"Concluído",AND(K118&lt;=$M$3,L118&gt;=$M$3,L118&lt;=J118),"Em andamento",AND(K118&lt;=$M$3,L118&gt;=$M$3,L118&gt;J118),"Atrasado",AND(K118&gt;$M$3,I118&gt;$M$3),"Não iniciado",AND(K118&gt;$M$3,I118&lt;=$M$3),"Atrasado",TRUE,"Não iniciado")</f>
        <v>Atrasado</v>
      </c>
      <c r="O118" s="230" cm="1">
        <f t="array" ref="O118">_xlfn.IFS(N118="Não iniciado",0,N118="Em andamento",1,N118="Concluído",2,N118="Atrasado",3)</f>
        <v>3</v>
      </c>
      <c r="P118" s="218"/>
      <c r="Q118" s="225">
        <f t="shared" ref="Q118:BG118" si="48">AVERAGE(Q119:Q121)</f>
        <v>1</v>
      </c>
      <c r="R118" s="225">
        <f t="shared" si="48"/>
        <v>0.83333333333333337</v>
      </c>
      <c r="S118" s="225">
        <f t="shared" si="48"/>
        <v>0</v>
      </c>
      <c r="T118" s="225">
        <f t="shared" si="48"/>
        <v>0</v>
      </c>
      <c r="U118" s="225">
        <f t="shared" si="48"/>
        <v>0.37606837606837606</v>
      </c>
      <c r="V118" s="225">
        <f t="shared" si="48"/>
        <v>0.4358974358974359</v>
      </c>
      <c r="W118" s="225">
        <f t="shared" si="48"/>
        <v>0.49572649572649574</v>
      </c>
      <c r="X118" s="225">
        <f t="shared" si="48"/>
        <v>0.55555555555555547</v>
      </c>
      <c r="Y118" s="225">
        <f t="shared" si="48"/>
        <v>0.61538461538461542</v>
      </c>
      <c r="Z118" s="225">
        <f t="shared" si="48"/>
        <v>0.66666666666666663</v>
      </c>
      <c r="AA118" s="225">
        <f t="shared" si="48"/>
        <v>0.79629629629629628</v>
      </c>
      <c r="AB118" s="225">
        <f t="shared" si="48"/>
        <v>0.92592592592592593</v>
      </c>
      <c r="AC118" s="225">
        <f t="shared" si="48"/>
        <v>1</v>
      </c>
      <c r="AD118" s="225">
        <f t="shared" si="48"/>
        <v>1</v>
      </c>
      <c r="AE118" s="225">
        <f t="shared" si="48"/>
        <v>1</v>
      </c>
      <c r="AF118" s="225">
        <f t="shared" si="48"/>
        <v>1</v>
      </c>
      <c r="AG118" s="225">
        <f t="shared" si="48"/>
        <v>1</v>
      </c>
      <c r="AH118" s="225">
        <f t="shared" si="48"/>
        <v>1</v>
      </c>
      <c r="AI118" s="225">
        <f t="shared" si="48"/>
        <v>1</v>
      </c>
      <c r="AJ118" s="225">
        <f t="shared" si="48"/>
        <v>1</v>
      </c>
      <c r="AK118" s="225">
        <f t="shared" si="48"/>
        <v>1</v>
      </c>
      <c r="AL118" s="225">
        <f t="shared" si="48"/>
        <v>1</v>
      </c>
      <c r="AM118" s="225">
        <f t="shared" si="48"/>
        <v>1</v>
      </c>
      <c r="AN118" s="225">
        <f t="shared" si="48"/>
        <v>1</v>
      </c>
      <c r="AO118" s="225">
        <f t="shared" si="48"/>
        <v>1</v>
      </c>
      <c r="AP118" s="225">
        <f t="shared" si="48"/>
        <v>1</v>
      </c>
      <c r="AQ118" s="225">
        <f t="shared" si="48"/>
        <v>1</v>
      </c>
      <c r="AR118" s="225">
        <f t="shared" si="48"/>
        <v>1</v>
      </c>
      <c r="AS118" s="225">
        <f t="shared" si="48"/>
        <v>1</v>
      </c>
      <c r="AT118" s="225">
        <f t="shared" si="48"/>
        <v>1</v>
      </c>
      <c r="AU118" s="225">
        <f t="shared" si="48"/>
        <v>1</v>
      </c>
      <c r="AV118" s="225">
        <f t="shared" si="48"/>
        <v>1</v>
      </c>
      <c r="AW118" s="225">
        <f t="shared" si="48"/>
        <v>1</v>
      </c>
      <c r="AX118" s="225">
        <f t="shared" si="48"/>
        <v>1</v>
      </c>
      <c r="AY118" s="225">
        <f t="shared" si="48"/>
        <v>1</v>
      </c>
      <c r="AZ118" s="225">
        <f t="shared" si="48"/>
        <v>1</v>
      </c>
      <c r="BA118" s="225">
        <f t="shared" si="48"/>
        <v>1</v>
      </c>
      <c r="BB118" s="225">
        <f t="shared" si="48"/>
        <v>1</v>
      </c>
      <c r="BC118" s="225">
        <f t="shared" si="48"/>
        <v>1</v>
      </c>
      <c r="BD118" s="225">
        <f t="shared" si="48"/>
        <v>1</v>
      </c>
      <c r="BE118" s="225">
        <f t="shared" si="48"/>
        <v>1</v>
      </c>
      <c r="BF118" s="225">
        <f t="shared" si="48"/>
        <v>1</v>
      </c>
      <c r="BG118" s="225">
        <f t="shared" si="48"/>
        <v>1</v>
      </c>
      <c r="BH118" s="163">
        <f>Tab.plano6[[#This Row],[Data Término
Prevista]]-Tab.plano6[[#This Row],[Data Início
Previsto]]</f>
        <v>42</v>
      </c>
    </row>
    <row r="119" spans="1:60" customFormat="1" ht="18" hidden="1" customHeight="1" x14ac:dyDescent="0.3">
      <c r="A119" s="220"/>
      <c r="B119" s="220" t="s">
        <v>161</v>
      </c>
      <c r="C119" s="220" t="s">
        <v>473</v>
      </c>
      <c r="D119" s="251" t="s">
        <v>399</v>
      </c>
      <c r="E119" s="251" t="s">
        <v>422</v>
      </c>
      <c r="F119" s="251" t="s">
        <v>471</v>
      </c>
      <c r="G119" s="251" t="s">
        <v>471</v>
      </c>
      <c r="H119" s="221" t="s">
        <v>474</v>
      </c>
      <c r="I119" s="260">
        <v>46111</v>
      </c>
      <c r="J119" s="260">
        <v>46112</v>
      </c>
      <c r="K119" s="260">
        <v>46111</v>
      </c>
      <c r="L119" s="260">
        <v>46112</v>
      </c>
      <c r="M119" s="231" t="s">
        <v>428</v>
      </c>
      <c r="N119" s="227" t="str" cm="1">
        <f t="array" ref="N119">_xlfn.IFS(L119&lt;$M$3,"Concluído",AND(K119&lt;=$M$3,L119&gt;=$M$3,L119&lt;=J119),"Em andamento",AND(K119&lt;=$M$3,L119&gt;=$M$3,L119&gt;J119),"Atrasado",AND(K119&gt;$M$3,I119&gt;$M$3),"Não iniciado",AND(K119&gt;$M$3,I119&lt;=$M$3),"Atrasado",TRUE,"Não iniciado")</f>
        <v>Concluído</v>
      </c>
      <c r="O119" s="231" cm="1">
        <f t="array" ref="O119">_xlfn.IFS(N119="Não iniciado",0,N119="Em andamento",1,N119="Concluído",2,N119="Atrasado",3)</f>
        <v>2</v>
      </c>
      <c r="P119" s="220"/>
      <c r="Q119" s="226" cm="1">
        <f t="array" ref="Q119">_xlfn.IFS(AND($I119&lt;$M$3,$J119&lt;$M$3),1,AND($I119&lt;=$M$3,$J119&gt;=$M$3),0.5,AND($I119&gt;=$M$3,$J119&gt;=$M$3),0)</f>
        <v>1</v>
      </c>
      <c r="R119" s="226" cm="1">
        <f t="array" ref="R119">_xlfn.IFS(AND($K119&lt;$M$3,$L119&lt;$M$3),1,AND($K119&lt;=$M$3,$L119&gt;=$M$3),0.5,AND($K119&gt;=$M$3,$L119&gt;=$M$3),0)</f>
        <v>1</v>
      </c>
      <c r="S119" s="226" cm="1">
        <f t="array" ref="S119">_xlfn.IFS(AND($K119&gt;R$7,$L119&gt;R$7),0,AND($K119&lt;=R$7,$L119&lt;=R$7),1,AND($K119&lt;=R$7,$L119&gt;R$7),((R$7-$K119)/($L119-$K119)))</f>
        <v>0</v>
      </c>
      <c r="T119" s="226" cm="1">
        <f t="array" ref="T119">_xlfn.IFS(AND($K119&gt;S$7,$L119&gt;S$7),0,AND($K119&lt;=S$7,$L119&lt;=S$7),1,AND($K119&lt;=S$7,$L119&gt;S$7),((S$7-$K119)/($L119-$K119)))</f>
        <v>0</v>
      </c>
      <c r="U119" s="226" cm="1">
        <f t="array" ref="U119">_xlfn.IFS(AND($K119&gt;T$7,$L119&gt;T$7),0,AND($K119&lt;=T$7,$L119&lt;=T$7),1,AND($K119&lt;=T$7,$L119&gt;T$7),((T$7-$K119)/($L119-$K119)))</f>
        <v>1</v>
      </c>
      <c r="V119" s="226" cm="1">
        <f t="array" ref="V119">_xlfn.IFS(AND($K119&gt;U$7,$L119&gt;U$7),0,AND($K119&lt;=U$7,$L119&lt;=U$7),1,AND($K119&lt;=U$7,$L119&gt;U$7),((U$7-$K119)/($L119-$K119)))</f>
        <v>1</v>
      </c>
      <c r="W119" s="226" cm="1">
        <f t="array" ref="W119">_xlfn.IFS(AND($K119&gt;V$7,$L119&gt;V$7),0,AND($K119&lt;=V$7,$L119&lt;=V$7),1,AND($K119&lt;=V$7,$L119&gt;V$7),((V$7-$K119)/($L119-$K119)))</f>
        <v>1</v>
      </c>
      <c r="X119" s="226" cm="1">
        <f t="array" ref="X119">_xlfn.IFS(AND($K119&gt;W$7,$L119&gt;W$7),0,AND($K119&lt;=W$7,$L119&lt;=W$7),1,AND($K119&lt;=W$7,$L119&gt;W$7),((W$7-$K119)/($L119-$K119)))</f>
        <v>1</v>
      </c>
      <c r="Y119" s="226" cm="1">
        <f t="array" ref="Y119">_xlfn.IFS(AND($K119&gt;X$7,$L119&gt;X$7),0,AND($K119&lt;=X$7,$L119&lt;=X$7),1,AND($K119&lt;=X$7,$L119&gt;X$7),((X$7-$K119)/($L119-$K119)))</f>
        <v>1</v>
      </c>
      <c r="Z119" s="226" cm="1">
        <f t="array" ref="Z119">_xlfn.IFS(AND($K119&gt;Y$7,$L119&gt;Y$7),0,AND($K119&lt;=Y$7,$L119&lt;=Y$7),1,AND($K119&lt;=Y$7,$L119&gt;Y$7),((Y$7-$K119)/($L119-$K119)))</f>
        <v>1</v>
      </c>
      <c r="AA119" s="226" cm="1">
        <f t="array" ref="AA119">_xlfn.IFS(AND($K119&gt;Z$7,$L119&gt;Z$7),0,AND($K119&lt;=Z$7,$L119&lt;=Z$7),1,AND($K119&lt;=Z$7,$L119&gt;Z$7),((Z$7-$K119)/($L119-$K119)))</f>
        <v>1</v>
      </c>
      <c r="AB119" s="226" cm="1">
        <f t="array" ref="AB119">_xlfn.IFS(AND($K119&gt;AA$7,$L119&gt;AA$7),0,AND($K119&lt;=AA$7,$L119&lt;=AA$7),1,AND($K119&lt;=AA$7,$L119&gt;AA$7),((AA$7-$K119)/($L119-$K119)))</f>
        <v>1</v>
      </c>
      <c r="AC119" s="226" cm="1">
        <f t="array" ref="AC119">_xlfn.IFS(AND($K119&gt;AB$7,$L119&gt;AB$7),0,AND($K119&lt;=AB$7,$L119&lt;=AB$7),1,AND($K119&lt;=AB$7,$L119&gt;AB$7),((AB$7-$K119)/($L119-$K119)))</f>
        <v>1</v>
      </c>
      <c r="AD119" s="226" cm="1">
        <f t="array" ref="AD119">_xlfn.IFS(AND($K119&gt;AC$7,$L119&gt;AC$7),0,AND($K119&lt;=AC$7,$L119&lt;=AC$7),1,AND($K119&lt;=AC$7,$L119&gt;AC$7),((AC$7-$K119)/($L119-$K119)))</f>
        <v>1</v>
      </c>
      <c r="AE119" s="226" cm="1">
        <f t="array" ref="AE119">_xlfn.IFS(AND($K119&gt;AD$7,$L119&gt;AD$7),0,AND($K119&lt;=AD$7,$L119&lt;=AD$7),1,AND($K119&lt;=AD$7,$L119&gt;AD$7),((AD$7-$K119)/($L119-$K119)))</f>
        <v>1</v>
      </c>
      <c r="AF119" s="226" cm="1">
        <f t="array" ref="AF119">_xlfn.IFS(AND($K119&gt;AE$7,$L119&gt;AE$7),0,AND($K119&lt;=AE$7,$L119&lt;=AE$7),1,AND($K119&lt;=AE$7,$L119&gt;AE$7),((AE$7-$K119)/($L119-$K119)))</f>
        <v>1</v>
      </c>
      <c r="AG119" s="226" cm="1">
        <f t="array" ref="AG119">_xlfn.IFS(AND($K119&gt;AF$7,$L119&gt;AF$7),0,AND($K119&lt;=AF$7,$L119&lt;=AF$7),1,AND($K119&lt;=AF$7,$L119&gt;AF$7),((AF$7-$K119)/($L119-$K119)))</f>
        <v>1</v>
      </c>
      <c r="AH119" s="226" cm="1">
        <f t="array" ref="AH119">_xlfn.IFS(AND($K119&gt;AG$7,$L119&gt;AG$7),0,AND($K119&lt;=AG$7,$L119&lt;=AG$7),1,AND($K119&lt;=AG$7,$L119&gt;AG$7),((AG$7-$K119)/($L119-$K119)))</f>
        <v>1</v>
      </c>
      <c r="AI119" s="226" cm="1">
        <f t="array" ref="AI119">_xlfn.IFS(AND($K119&gt;AH$7,$L119&gt;AH$7),0,AND($K119&lt;=AH$7,$L119&lt;=AH$7),1,AND($K119&lt;=AH$7,$L119&gt;AH$7),((AH$7-$K119)/($L119-$K119)))</f>
        <v>1</v>
      </c>
      <c r="AJ119" s="226" cm="1">
        <f t="array" ref="AJ119">_xlfn.IFS(AND($K119&gt;AI$7,$L119&gt;AI$7),0,AND($K119&lt;=AI$7,$L119&lt;=AI$7),1,AND($K119&lt;=AI$7,$L119&gt;AI$7),((AI$7-$K119)/($L119-$K119)))</f>
        <v>1</v>
      </c>
      <c r="AK119" s="226" cm="1">
        <f t="array" ref="AK119">_xlfn.IFS(AND($K119&gt;AJ$7,$L119&gt;AJ$7),0,AND($K119&lt;=AJ$7,$L119&lt;=AJ$7),1,AND($K119&lt;=AJ$7,$L119&gt;AJ$7),((AJ$7-$K119)/($L119-$K119)))</f>
        <v>1</v>
      </c>
      <c r="AL119" s="226" cm="1">
        <f t="array" ref="AL119">_xlfn.IFS(AND($K119&gt;AK$7,$L119&gt;AK$7),0,AND($K119&lt;=AK$7,$L119&lt;=AK$7),1,AND($K119&lt;=AK$7,$L119&gt;AK$7),((AK$7-$K119)/($L119-$K119)))</f>
        <v>1</v>
      </c>
      <c r="AM119" s="226" cm="1">
        <f t="array" ref="AM119">_xlfn.IFS(AND($K119&gt;AL$7,$L119&gt;AL$7),0,AND($K119&lt;=AL$7,$L119&lt;=AL$7),1,AND($K119&lt;=AL$7,$L119&gt;AL$7),((AL$7-$K119)/($L119-$K119)))</f>
        <v>1</v>
      </c>
      <c r="AN119" s="226" cm="1">
        <f t="array" ref="AN119">_xlfn.IFS(AND($K119&gt;AM$7,$L119&gt;AM$7),0,AND($K119&lt;=AM$7,$L119&lt;=AM$7),1,AND($K119&lt;=AM$7,$L119&gt;AM$7),((AM$7-$K119)/($L119-$K119)))</f>
        <v>1</v>
      </c>
      <c r="AO119" s="226" cm="1">
        <f t="array" ref="AO119">_xlfn.IFS(AND($K119&gt;AN$7,$L119&gt;AN$7),0,AND($K119&lt;=AN$7,$L119&lt;=AN$7),1,AND($K119&lt;=AN$7,$L119&gt;AN$7),((AN$7-$K119)/($L119-$K119)))</f>
        <v>1</v>
      </c>
      <c r="AP119" s="226" cm="1">
        <f t="array" ref="AP119">_xlfn.IFS(AND($K119&gt;AO$7,$L119&gt;AO$7),0,AND($K119&lt;=AO$7,$L119&lt;=AO$7),1,AND($K119&lt;=AO$7,$L119&gt;AO$7),((AO$7-$K119)/($L119-$K119)))</f>
        <v>1</v>
      </c>
      <c r="AQ119" s="226" cm="1">
        <f t="array" ref="AQ119">_xlfn.IFS(AND($K119&gt;AP$7,$L119&gt;AP$7),0,AND($K119&lt;=AP$7,$L119&lt;=AP$7),1,AND($K119&lt;=AP$7,$L119&gt;AP$7),((AP$7-$K119)/($L119-$K119)))</f>
        <v>1</v>
      </c>
      <c r="AR119" s="226" cm="1">
        <f t="array" ref="AR119">_xlfn.IFS(AND($K119&gt;AQ$7,$L119&gt;AQ$7),0,AND($K119&lt;=AQ$7,$L119&lt;=AQ$7),1,AND($K119&lt;=AQ$7,$L119&gt;AQ$7),((AQ$7-$K119)/($L119-$K119)))</f>
        <v>1</v>
      </c>
      <c r="AS119" s="226" cm="1">
        <f t="array" ref="AS119">_xlfn.IFS(AND($K119&gt;AR$7,$L119&gt;AR$7),0,AND($K119&lt;=AR$7,$L119&lt;=AR$7),1,AND($K119&lt;=AR$7,$L119&gt;AR$7),((AR$7-$K119)/($L119-$K119)))</f>
        <v>1</v>
      </c>
      <c r="AT119" s="226" cm="1">
        <f t="array" ref="AT119">_xlfn.IFS(AND($K119&gt;AS$7,$L119&gt;AS$7),0,AND($K119&lt;=AS$7,$L119&lt;=AS$7),1,AND($K119&lt;=AS$7,$L119&gt;AS$7),((AS$7-$K119)/($L119-$K119)))</f>
        <v>1</v>
      </c>
      <c r="AU119" s="226" cm="1">
        <f t="array" ref="AU119">_xlfn.IFS(AND($K119&gt;AT$7,$L119&gt;AT$7),0,AND($K119&lt;=AT$7,$L119&lt;=AT$7),1,AND($K119&lt;=AT$7,$L119&gt;AT$7),((AT$7-$K119)/($L119-$K119)))</f>
        <v>1</v>
      </c>
      <c r="AV119" s="226" cm="1">
        <f t="array" ref="AV119">_xlfn.IFS(AND($K119&gt;AU$7,$L119&gt;AU$7),0,AND($K119&lt;=AU$7,$L119&lt;=AU$7),1,AND($K119&lt;=AU$7,$L119&gt;AU$7),((AU$7-$K119)/($L119-$K119)))</f>
        <v>1</v>
      </c>
      <c r="AW119" s="226" cm="1">
        <f t="array" ref="AW119">_xlfn.IFS(AND($K119&gt;AV$7,$L119&gt;AV$7),0,AND($K119&lt;=AV$7,$L119&lt;=AV$7),1,AND($K119&lt;=AV$7,$L119&gt;AV$7),((AV$7-$K119)/($L119-$K119)))</f>
        <v>1</v>
      </c>
      <c r="AX119" s="226" cm="1">
        <f t="array" ref="AX119">_xlfn.IFS(AND($K119&gt;AW$7,$L119&gt;AW$7),0,AND($K119&lt;=AW$7,$L119&lt;=AW$7),1,AND($K119&lt;=AW$7,$L119&gt;AW$7),((AW$7-$K119)/($L119-$K119)))</f>
        <v>1</v>
      </c>
      <c r="AY119" s="226" cm="1">
        <f t="array" ref="AY119">_xlfn.IFS(AND($K119&gt;AX$7,$L119&gt;AX$7),0,AND($K119&lt;=AX$7,$L119&lt;=AX$7),1,AND($K119&lt;=AX$7,$L119&gt;AX$7),((AX$7-$K119)/($L119-$K119)))</f>
        <v>1</v>
      </c>
      <c r="AZ119" s="226" cm="1">
        <f t="array" ref="AZ119">_xlfn.IFS(AND($K119&gt;AY$7,$L119&gt;AY$7),0,AND($K119&lt;=AY$7,$L119&lt;=AY$7),1,AND($K119&lt;=AY$7,$L119&gt;AY$7),((AY$7-$K119)/($L119-$K119)))</f>
        <v>1</v>
      </c>
      <c r="BA119" s="226" cm="1">
        <f t="array" ref="BA119">_xlfn.IFS(AND($K119&gt;AZ$7,$L119&gt;AZ$7),0,AND($K119&lt;=AZ$7,$L119&lt;=AZ$7),1,AND($K119&lt;=AZ$7,$L119&gt;AZ$7),((AZ$7-$K119)/($L119-$K119)))</f>
        <v>1</v>
      </c>
      <c r="BB119" s="226" cm="1">
        <f t="array" ref="BB119">_xlfn.IFS(AND($K119&gt;BA$7,$L119&gt;BA$7),0,AND($K119&lt;=BA$7,$L119&lt;=BA$7),1,AND($K119&lt;=BA$7,$L119&gt;BA$7),((BA$7-$K119)/($L119-$K119)))</f>
        <v>1</v>
      </c>
      <c r="BC119" s="226" cm="1">
        <f t="array" ref="BC119">_xlfn.IFS(AND($K119&gt;BB$7,$L119&gt;BB$7),0,AND($K119&lt;=BB$7,$L119&lt;=BB$7),1,AND($K119&lt;=BB$7,$L119&gt;BB$7),((BB$7-$K119)/($L119-$K119)))</f>
        <v>1</v>
      </c>
      <c r="BD119" s="226" cm="1">
        <f t="array" ref="BD119">_xlfn.IFS(AND($K119&gt;BC$7,$L119&gt;BC$7),0,AND($K119&lt;=BC$7,$L119&lt;=BC$7),1,AND($K119&lt;=BC$7,$L119&gt;BC$7),((BC$7-$K119)/($L119-$K119)))</f>
        <v>1</v>
      </c>
      <c r="BE119" s="226" cm="1">
        <f t="array" ref="BE119">_xlfn.IFS(AND($K119&gt;BD$7,$L119&gt;BD$7),0,AND($K119&lt;=BD$7,$L119&lt;=BD$7),1,AND($K119&lt;=BD$7,$L119&gt;BD$7),((BD$7-$K119)/($L119-$K119)))</f>
        <v>1</v>
      </c>
      <c r="BF119" s="226" cm="1">
        <f t="array" ref="BF119">_xlfn.IFS(AND($K119&gt;BE$7,$L119&gt;BE$7),0,AND($K119&lt;=BE$7,$L119&lt;=BE$7),1,AND($K119&lt;=BE$7,$L119&gt;BE$7),((BE$7-$K119)/($L119-$K119)))</f>
        <v>1</v>
      </c>
      <c r="BG119" s="226" cm="1">
        <f t="array" ref="BG119">_xlfn.IFS(AND($K119&gt;BF$7,$L119&gt;BF$7),0,AND($K119&lt;=BF$7,$L119&lt;=BF$7),1,AND($K119&lt;=BF$7,$L119&gt;BF$7),((BF$7-$K119)/($L119-$K119)))</f>
        <v>1</v>
      </c>
      <c r="BH119" s="163">
        <f>Tab.plano6[[#This Row],[Data Término
Prevista]]-Tab.plano6[[#This Row],[Data Início
Previsto]]</f>
        <v>1</v>
      </c>
    </row>
    <row r="120" spans="1:60" customFormat="1" ht="18" hidden="1" customHeight="1" x14ac:dyDescent="0.3">
      <c r="A120" s="220"/>
      <c r="B120" s="220" t="s">
        <v>161</v>
      </c>
      <c r="C120" s="220" t="s">
        <v>475</v>
      </c>
      <c r="D120" s="251" t="s">
        <v>399</v>
      </c>
      <c r="E120" s="251" t="s">
        <v>422</v>
      </c>
      <c r="F120" s="251" t="s">
        <v>471</v>
      </c>
      <c r="G120" s="251" t="s">
        <v>471</v>
      </c>
      <c r="H120" s="221" t="s">
        <v>476</v>
      </c>
      <c r="I120" s="260">
        <v>46113</v>
      </c>
      <c r="J120" s="260">
        <v>46148</v>
      </c>
      <c r="K120" s="260">
        <v>46113</v>
      </c>
      <c r="L120" s="260">
        <v>46152</v>
      </c>
      <c r="M120" s="231" t="s">
        <v>428</v>
      </c>
      <c r="N120" s="227" t="str" cm="1">
        <f t="array" ref="N120">_xlfn.IFS(L120&lt;$M$3,"Concluído",AND(K120&lt;=$M$3,L120&gt;=$M$3,L120&lt;=J120),"Em andamento",AND(K120&lt;=$M$3,L120&gt;=$M$3,L120&gt;J120),"Atrasado",AND(K120&gt;$M$3,I120&gt;$M$3),"Não iniciado",AND(K120&gt;$M$3,I120&lt;=$M$3),"Atrasado",TRUE,"Não iniciado")</f>
        <v>Concluído</v>
      </c>
      <c r="O120" s="231" cm="1">
        <f t="array" ref="O120">_xlfn.IFS(N120="Não iniciado",0,N120="Em andamento",1,N120="Concluído",2,N120="Atrasado",3)</f>
        <v>2</v>
      </c>
      <c r="P120" s="220"/>
      <c r="Q120" s="226" cm="1">
        <f t="array" ref="Q120">_xlfn.IFS(AND($I120&lt;$M$3,$J120&lt;$M$3),1,AND($I120&lt;=$M$3,$J120&gt;=$M$3),0.5,AND($I120&gt;=$M$3,$J120&gt;=$M$3),0)</f>
        <v>1</v>
      </c>
      <c r="R120" s="226" cm="1">
        <f t="array" ref="R120">_xlfn.IFS(AND($K120&lt;$M$3,$L120&lt;$M$3),1,AND($K120&lt;=$M$3,$L120&gt;=$M$3),0.5,AND($K120&gt;=$M$3,$L120&gt;=$M$3),0)</f>
        <v>1</v>
      </c>
      <c r="S120" s="226" cm="1">
        <f t="array" ref="S120">_xlfn.IFS(AND($K120&gt;R$7,$L120&gt;R$7),0,AND($K120&lt;=R$7,$L120&lt;=R$7),1,AND($K120&lt;=R$7,$L120&gt;R$7),((R$7-$K120)/($L120-$K120)))</f>
        <v>0</v>
      </c>
      <c r="T120" s="226" cm="1">
        <f t="array" ref="T120">_xlfn.IFS(AND($K120&gt;S$7,$L120&gt;S$7),0,AND($K120&lt;=S$7,$L120&lt;=S$7),1,AND($K120&lt;=S$7,$L120&gt;S$7),((S$7-$K120)/($L120-$K120)))</f>
        <v>0</v>
      </c>
      <c r="U120" s="226" cm="1">
        <f t="array" ref="U120">_xlfn.IFS(AND($K120&gt;T$7,$L120&gt;T$7),0,AND($K120&lt;=T$7,$L120&lt;=T$7),1,AND($K120&lt;=T$7,$L120&gt;T$7),((T$7-$K120)/($L120-$K120)))</f>
        <v>0.12820512820512819</v>
      </c>
      <c r="V120" s="226" cm="1">
        <f t="array" ref="V120">_xlfn.IFS(AND($K120&gt;U$7,$L120&gt;U$7),0,AND($K120&lt;=U$7,$L120&lt;=U$7),1,AND($K120&lt;=U$7,$L120&gt;U$7),((U$7-$K120)/($L120-$K120)))</f>
        <v>0.30769230769230771</v>
      </c>
      <c r="W120" s="226" cm="1">
        <f t="array" ref="W120">_xlfn.IFS(AND($K120&gt;V$7,$L120&gt;V$7),0,AND($K120&lt;=V$7,$L120&lt;=V$7),1,AND($K120&lt;=V$7,$L120&gt;V$7),((V$7-$K120)/($L120-$K120)))</f>
        <v>0.48717948717948717</v>
      </c>
      <c r="X120" s="226" cm="1">
        <f t="array" ref="X120">_xlfn.IFS(AND($K120&gt;W$7,$L120&gt;W$7),0,AND($K120&lt;=W$7,$L120&lt;=W$7),1,AND($K120&lt;=W$7,$L120&gt;W$7),((W$7-$K120)/($L120-$K120)))</f>
        <v>0.66666666666666663</v>
      </c>
      <c r="Y120" s="226" cm="1">
        <f t="array" ref="Y120">_xlfn.IFS(AND($K120&gt;X$7,$L120&gt;X$7),0,AND($K120&lt;=X$7,$L120&lt;=X$7),1,AND($K120&lt;=X$7,$L120&gt;X$7),((X$7-$K120)/($L120-$K120)))</f>
        <v>0.84615384615384615</v>
      </c>
      <c r="Z120" s="226" cm="1">
        <f t="array" ref="Z120">_xlfn.IFS(AND($K120&gt;Y$7,$L120&gt;Y$7),0,AND($K120&lt;=Y$7,$L120&lt;=Y$7),1,AND($K120&lt;=Y$7,$L120&gt;Y$7),((Y$7-$K120)/($L120-$K120)))</f>
        <v>1</v>
      </c>
      <c r="AA120" s="226" cm="1">
        <f t="array" ref="AA120">_xlfn.IFS(AND($K120&gt;Z$7,$L120&gt;Z$7),0,AND($K120&lt;=Z$7,$L120&lt;=Z$7),1,AND($K120&lt;=Z$7,$L120&gt;Z$7),((Z$7-$K120)/($L120-$K120)))</f>
        <v>1</v>
      </c>
      <c r="AB120" s="226" cm="1">
        <f t="array" ref="AB120">_xlfn.IFS(AND($K120&gt;AA$7,$L120&gt;AA$7),0,AND($K120&lt;=AA$7,$L120&lt;=AA$7),1,AND($K120&lt;=AA$7,$L120&gt;AA$7),((AA$7-$K120)/($L120-$K120)))</f>
        <v>1</v>
      </c>
      <c r="AC120" s="226" cm="1">
        <f t="array" ref="AC120">_xlfn.IFS(AND($K120&gt;AB$7,$L120&gt;AB$7),0,AND($K120&lt;=AB$7,$L120&lt;=AB$7),1,AND($K120&lt;=AB$7,$L120&gt;AB$7),((AB$7-$K120)/($L120-$K120)))</f>
        <v>1</v>
      </c>
      <c r="AD120" s="226" cm="1">
        <f t="array" ref="AD120">_xlfn.IFS(AND($K120&gt;AC$7,$L120&gt;AC$7),0,AND($K120&lt;=AC$7,$L120&lt;=AC$7),1,AND($K120&lt;=AC$7,$L120&gt;AC$7),((AC$7-$K120)/($L120-$K120)))</f>
        <v>1</v>
      </c>
      <c r="AE120" s="226" cm="1">
        <f t="array" ref="AE120">_xlfn.IFS(AND($K120&gt;AD$7,$L120&gt;AD$7),0,AND($K120&lt;=AD$7,$L120&lt;=AD$7),1,AND($K120&lt;=AD$7,$L120&gt;AD$7),((AD$7-$K120)/($L120-$K120)))</f>
        <v>1</v>
      </c>
      <c r="AF120" s="226" cm="1">
        <f t="array" ref="AF120">_xlfn.IFS(AND($K120&gt;AE$7,$L120&gt;AE$7),0,AND($K120&lt;=AE$7,$L120&lt;=AE$7),1,AND($K120&lt;=AE$7,$L120&gt;AE$7),((AE$7-$K120)/($L120-$K120)))</f>
        <v>1</v>
      </c>
      <c r="AG120" s="226" cm="1">
        <f t="array" ref="AG120">_xlfn.IFS(AND($K120&gt;AF$7,$L120&gt;AF$7),0,AND($K120&lt;=AF$7,$L120&lt;=AF$7),1,AND($K120&lt;=AF$7,$L120&gt;AF$7),((AF$7-$K120)/($L120-$K120)))</f>
        <v>1</v>
      </c>
      <c r="AH120" s="226" cm="1">
        <f t="array" ref="AH120">_xlfn.IFS(AND($K120&gt;AG$7,$L120&gt;AG$7),0,AND($K120&lt;=AG$7,$L120&lt;=AG$7),1,AND($K120&lt;=AG$7,$L120&gt;AG$7),((AG$7-$K120)/($L120-$K120)))</f>
        <v>1</v>
      </c>
      <c r="AI120" s="226" cm="1">
        <f t="array" ref="AI120">_xlfn.IFS(AND($K120&gt;AH$7,$L120&gt;AH$7),0,AND($K120&lt;=AH$7,$L120&lt;=AH$7),1,AND($K120&lt;=AH$7,$L120&gt;AH$7),((AH$7-$K120)/($L120-$K120)))</f>
        <v>1</v>
      </c>
      <c r="AJ120" s="226" cm="1">
        <f t="array" ref="AJ120">_xlfn.IFS(AND($K120&gt;AI$7,$L120&gt;AI$7),0,AND($K120&lt;=AI$7,$L120&lt;=AI$7),1,AND($K120&lt;=AI$7,$L120&gt;AI$7),((AI$7-$K120)/($L120-$K120)))</f>
        <v>1</v>
      </c>
      <c r="AK120" s="226" cm="1">
        <f t="array" ref="AK120">_xlfn.IFS(AND($K120&gt;AJ$7,$L120&gt;AJ$7),0,AND($K120&lt;=AJ$7,$L120&lt;=AJ$7),1,AND($K120&lt;=AJ$7,$L120&gt;AJ$7),((AJ$7-$K120)/($L120-$K120)))</f>
        <v>1</v>
      </c>
      <c r="AL120" s="226" cm="1">
        <f t="array" ref="AL120">_xlfn.IFS(AND($K120&gt;AK$7,$L120&gt;AK$7),0,AND($K120&lt;=AK$7,$L120&lt;=AK$7),1,AND($K120&lt;=AK$7,$L120&gt;AK$7),((AK$7-$K120)/($L120-$K120)))</f>
        <v>1</v>
      </c>
      <c r="AM120" s="226" cm="1">
        <f t="array" ref="AM120">_xlfn.IFS(AND($K120&gt;AL$7,$L120&gt;AL$7),0,AND($K120&lt;=AL$7,$L120&lt;=AL$7),1,AND($K120&lt;=AL$7,$L120&gt;AL$7),((AL$7-$K120)/($L120-$K120)))</f>
        <v>1</v>
      </c>
      <c r="AN120" s="226" cm="1">
        <f t="array" ref="AN120">_xlfn.IFS(AND($K120&gt;AM$7,$L120&gt;AM$7),0,AND($K120&lt;=AM$7,$L120&lt;=AM$7),1,AND($K120&lt;=AM$7,$L120&gt;AM$7),((AM$7-$K120)/($L120-$K120)))</f>
        <v>1</v>
      </c>
      <c r="AO120" s="226" cm="1">
        <f t="array" ref="AO120">_xlfn.IFS(AND($K120&gt;AN$7,$L120&gt;AN$7),0,AND($K120&lt;=AN$7,$L120&lt;=AN$7),1,AND($K120&lt;=AN$7,$L120&gt;AN$7),((AN$7-$K120)/($L120-$K120)))</f>
        <v>1</v>
      </c>
      <c r="AP120" s="226" cm="1">
        <f t="array" ref="AP120">_xlfn.IFS(AND($K120&gt;AO$7,$L120&gt;AO$7),0,AND($K120&lt;=AO$7,$L120&lt;=AO$7),1,AND($K120&lt;=AO$7,$L120&gt;AO$7),((AO$7-$K120)/($L120-$K120)))</f>
        <v>1</v>
      </c>
      <c r="AQ120" s="226" cm="1">
        <f t="array" ref="AQ120">_xlfn.IFS(AND($K120&gt;AP$7,$L120&gt;AP$7),0,AND($K120&lt;=AP$7,$L120&lt;=AP$7),1,AND($K120&lt;=AP$7,$L120&gt;AP$7),((AP$7-$K120)/($L120-$K120)))</f>
        <v>1</v>
      </c>
      <c r="AR120" s="226" cm="1">
        <f t="array" ref="AR120">_xlfn.IFS(AND($K120&gt;AQ$7,$L120&gt;AQ$7),0,AND($K120&lt;=AQ$7,$L120&lt;=AQ$7),1,AND($K120&lt;=AQ$7,$L120&gt;AQ$7),((AQ$7-$K120)/($L120-$K120)))</f>
        <v>1</v>
      </c>
      <c r="AS120" s="226" cm="1">
        <f t="array" ref="AS120">_xlfn.IFS(AND($K120&gt;AR$7,$L120&gt;AR$7),0,AND($K120&lt;=AR$7,$L120&lt;=AR$7),1,AND($K120&lt;=AR$7,$L120&gt;AR$7),((AR$7-$K120)/($L120-$K120)))</f>
        <v>1</v>
      </c>
      <c r="AT120" s="226" cm="1">
        <f t="array" ref="AT120">_xlfn.IFS(AND($K120&gt;AS$7,$L120&gt;AS$7),0,AND($K120&lt;=AS$7,$L120&lt;=AS$7),1,AND($K120&lt;=AS$7,$L120&gt;AS$7),((AS$7-$K120)/($L120-$K120)))</f>
        <v>1</v>
      </c>
      <c r="AU120" s="226" cm="1">
        <f t="array" ref="AU120">_xlfn.IFS(AND($K120&gt;AT$7,$L120&gt;AT$7),0,AND($K120&lt;=AT$7,$L120&lt;=AT$7),1,AND($K120&lt;=AT$7,$L120&gt;AT$7),((AT$7-$K120)/($L120-$K120)))</f>
        <v>1</v>
      </c>
      <c r="AV120" s="226" cm="1">
        <f t="array" ref="AV120">_xlfn.IFS(AND($K120&gt;AU$7,$L120&gt;AU$7),0,AND($K120&lt;=AU$7,$L120&lt;=AU$7),1,AND($K120&lt;=AU$7,$L120&gt;AU$7),((AU$7-$K120)/($L120-$K120)))</f>
        <v>1</v>
      </c>
      <c r="AW120" s="226" cm="1">
        <f t="array" ref="AW120">_xlfn.IFS(AND($K120&gt;AV$7,$L120&gt;AV$7),0,AND($K120&lt;=AV$7,$L120&lt;=AV$7),1,AND($K120&lt;=AV$7,$L120&gt;AV$7),((AV$7-$K120)/($L120-$K120)))</f>
        <v>1</v>
      </c>
      <c r="AX120" s="226" cm="1">
        <f t="array" ref="AX120">_xlfn.IFS(AND($K120&gt;AW$7,$L120&gt;AW$7),0,AND($K120&lt;=AW$7,$L120&lt;=AW$7),1,AND($K120&lt;=AW$7,$L120&gt;AW$7),((AW$7-$K120)/($L120-$K120)))</f>
        <v>1</v>
      </c>
      <c r="AY120" s="226" cm="1">
        <f t="array" ref="AY120">_xlfn.IFS(AND($K120&gt;AX$7,$L120&gt;AX$7),0,AND($K120&lt;=AX$7,$L120&lt;=AX$7),1,AND($K120&lt;=AX$7,$L120&gt;AX$7),((AX$7-$K120)/($L120-$K120)))</f>
        <v>1</v>
      </c>
      <c r="AZ120" s="226" cm="1">
        <f t="array" ref="AZ120">_xlfn.IFS(AND($K120&gt;AY$7,$L120&gt;AY$7),0,AND($K120&lt;=AY$7,$L120&lt;=AY$7),1,AND($K120&lt;=AY$7,$L120&gt;AY$7),((AY$7-$K120)/($L120-$K120)))</f>
        <v>1</v>
      </c>
      <c r="BA120" s="226" cm="1">
        <f t="array" ref="BA120">_xlfn.IFS(AND($K120&gt;AZ$7,$L120&gt;AZ$7),0,AND($K120&lt;=AZ$7,$L120&lt;=AZ$7),1,AND($K120&lt;=AZ$7,$L120&gt;AZ$7),((AZ$7-$K120)/($L120-$K120)))</f>
        <v>1</v>
      </c>
      <c r="BB120" s="226" cm="1">
        <f t="array" ref="BB120">_xlfn.IFS(AND($K120&gt;BA$7,$L120&gt;BA$7),0,AND($K120&lt;=BA$7,$L120&lt;=BA$7),1,AND($K120&lt;=BA$7,$L120&gt;BA$7),((BA$7-$K120)/($L120-$K120)))</f>
        <v>1</v>
      </c>
      <c r="BC120" s="226" cm="1">
        <f t="array" ref="BC120">_xlfn.IFS(AND($K120&gt;BB$7,$L120&gt;BB$7),0,AND($K120&lt;=BB$7,$L120&lt;=BB$7),1,AND($K120&lt;=BB$7,$L120&gt;BB$7),((BB$7-$K120)/($L120-$K120)))</f>
        <v>1</v>
      </c>
      <c r="BD120" s="226" cm="1">
        <f t="array" ref="BD120">_xlfn.IFS(AND($K120&gt;BC$7,$L120&gt;BC$7),0,AND($K120&lt;=BC$7,$L120&lt;=BC$7),1,AND($K120&lt;=BC$7,$L120&gt;BC$7),((BC$7-$K120)/($L120-$K120)))</f>
        <v>1</v>
      </c>
      <c r="BE120" s="226" cm="1">
        <f t="array" ref="BE120">_xlfn.IFS(AND($K120&gt;BD$7,$L120&gt;BD$7),0,AND($K120&lt;=BD$7,$L120&lt;=BD$7),1,AND($K120&lt;=BD$7,$L120&gt;BD$7),((BD$7-$K120)/($L120-$K120)))</f>
        <v>1</v>
      </c>
      <c r="BF120" s="226" cm="1">
        <f t="array" ref="BF120">_xlfn.IFS(AND($K120&gt;BE$7,$L120&gt;BE$7),0,AND($K120&lt;=BE$7,$L120&lt;=BE$7),1,AND($K120&lt;=BE$7,$L120&gt;BE$7),((BE$7-$K120)/($L120-$K120)))</f>
        <v>1</v>
      </c>
      <c r="BG120" s="226" cm="1">
        <f t="array" ref="BG120">_xlfn.IFS(AND($K120&gt;BF$7,$L120&gt;BF$7),0,AND($K120&lt;=BF$7,$L120&lt;=BF$7),1,AND($K120&lt;=BF$7,$L120&gt;BF$7),((BF$7-$K120)/($L120-$K120)))</f>
        <v>1</v>
      </c>
      <c r="BH120" s="163">
        <f>Tab.plano6[[#This Row],[Data Término
Prevista]]-Tab.plano6[[#This Row],[Data Início
Previsto]]</f>
        <v>35</v>
      </c>
    </row>
    <row r="121" spans="1:60" customFormat="1" ht="18" hidden="1" customHeight="1" x14ac:dyDescent="0.3">
      <c r="A121" s="220"/>
      <c r="B121" s="220" t="s">
        <v>161</v>
      </c>
      <c r="C121" s="220" t="s">
        <v>477</v>
      </c>
      <c r="D121" s="251" t="s">
        <v>399</v>
      </c>
      <c r="E121" s="251" t="s">
        <v>422</v>
      </c>
      <c r="F121" s="251" t="s">
        <v>471</v>
      </c>
      <c r="G121" s="251" t="s">
        <v>471</v>
      </c>
      <c r="H121" s="246" t="s">
        <v>801</v>
      </c>
      <c r="I121" s="260">
        <v>46149</v>
      </c>
      <c r="J121" s="260">
        <v>46153</v>
      </c>
      <c r="K121" s="260">
        <v>46153</v>
      </c>
      <c r="L121" s="260">
        <v>46171</v>
      </c>
      <c r="M121" s="231" t="s">
        <v>428</v>
      </c>
      <c r="N121" s="227" t="str" cm="1">
        <f t="array" ref="N121">_xlfn.IFS(L121&lt;$M$3,"Concluído",AND(K121&lt;=$M$3,L121&gt;=$M$3,L121&lt;=J121),"Em andamento",AND(K121&lt;=$M$3,L121&gt;=$M$3,L121&gt;J121),"Atrasado",AND(K121&gt;$M$3,I121&gt;$M$3),"Não iniciado",AND(K121&gt;$M$3,I121&lt;=$M$3),"Atrasado",TRUE,"Não iniciado")</f>
        <v>Atrasado</v>
      </c>
      <c r="O121" s="231" cm="1">
        <f t="array" ref="O121">_xlfn.IFS(N121="Não iniciado",0,N121="Em andamento",1,N121="Concluído",2,N121="Atrasado",3)</f>
        <v>3</v>
      </c>
      <c r="P121" s="220"/>
      <c r="Q121" s="226" cm="1">
        <f t="array" ref="Q121">_xlfn.IFS(AND($I121&lt;$M$3,$J121&lt;$M$3),1,AND($I121&lt;=$M$3,$J121&gt;=$M$3),0.5,AND($I121&gt;=$M$3,$J121&gt;=$M$3),0)</f>
        <v>1</v>
      </c>
      <c r="R121" s="226" cm="1">
        <f t="array" ref="R121">_xlfn.IFS(AND($K121&lt;$M$3,$L121&lt;$M$3),1,AND($K121&lt;=$M$3,$L121&gt;=$M$3),0.5,AND($K121&gt;=$M$3,$L121&gt;=$M$3),0)</f>
        <v>0.5</v>
      </c>
      <c r="S121" s="226" cm="1">
        <f t="array" ref="S121">_xlfn.IFS(AND($K121&gt;R$7,$L121&gt;R$7),0,AND($K121&lt;=R$7,$L121&lt;=R$7),1,AND($K121&lt;=R$7,$L121&gt;R$7),((R$7-$K121)/($L121-$K121)))</f>
        <v>0</v>
      </c>
      <c r="T121" s="226" cm="1">
        <f t="array" ref="T121">_xlfn.IFS(AND($K121&gt;S$7,$L121&gt;S$7),0,AND($K121&lt;=S$7,$L121&lt;=S$7),1,AND($K121&lt;=S$7,$L121&gt;S$7),((S$7-$K121)/($L121-$K121)))</f>
        <v>0</v>
      </c>
      <c r="U121" s="226" cm="1">
        <f t="array" ref="U121">_xlfn.IFS(AND($K121&gt;T$7,$L121&gt;T$7),0,AND($K121&lt;=T$7,$L121&lt;=T$7),1,AND($K121&lt;=T$7,$L121&gt;T$7),((T$7-$K121)/($L121-$K121)))</f>
        <v>0</v>
      </c>
      <c r="V121" s="226" cm="1">
        <f t="array" ref="V121">_xlfn.IFS(AND($K121&gt;U$7,$L121&gt;U$7),0,AND($K121&lt;=U$7,$L121&lt;=U$7),1,AND($K121&lt;=U$7,$L121&gt;U$7),((U$7-$K121)/($L121-$K121)))</f>
        <v>0</v>
      </c>
      <c r="W121" s="226" cm="1">
        <f t="array" ref="W121">_xlfn.IFS(AND($K121&gt;V$7,$L121&gt;V$7),0,AND($K121&lt;=V$7,$L121&lt;=V$7),1,AND($K121&lt;=V$7,$L121&gt;V$7),((V$7-$K121)/($L121-$K121)))</f>
        <v>0</v>
      </c>
      <c r="X121" s="226" cm="1">
        <f t="array" ref="X121">_xlfn.IFS(AND($K121&gt;W$7,$L121&gt;W$7),0,AND($K121&lt;=W$7,$L121&lt;=W$7),1,AND($K121&lt;=W$7,$L121&gt;W$7),((W$7-$K121)/($L121-$K121)))</f>
        <v>0</v>
      </c>
      <c r="Y121" s="226" cm="1">
        <f t="array" ref="Y121">_xlfn.IFS(AND($K121&gt;X$7,$L121&gt;X$7),0,AND($K121&lt;=X$7,$L121&lt;=X$7),1,AND($K121&lt;=X$7,$L121&gt;X$7),((X$7-$K121)/($L121-$K121)))</f>
        <v>0</v>
      </c>
      <c r="Z121" s="226" cm="1">
        <f t="array" ref="Z121">_xlfn.IFS(AND($K121&gt;Y$7,$L121&gt;Y$7),0,AND($K121&lt;=Y$7,$L121&lt;=Y$7),1,AND($K121&lt;=Y$7,$L121&gt;Y$7),((Y$7-$K121)/($L121-$K121)))</f>
        <v>0</v>
      </c>
      <c r="AA121" s="226" cm="1">
        <f t="array" ref="AA121">_xlfn.IFS(AND($K121&gt;Z$7,$L121&gt;Z$7),0,AND($K121&lt;=Z$7,$L121&lt;=Z$7),1,AND($K121&lt;=Z$7,$L121&gt;Z$7),((Z$7-$K121)/($L121-$K121)))</f>
        <v>0.3888888888888889</v>
      </c>
      <c r="AB121" s="226" cm="1">
        <f t="array" ref="AB121">_xlfn.IFS(AND($K121&gt;AA$7,$L121&gt;AA$7),0,AND($K121&lt;=AA$7,$L121&lt;=AA$7),1,AND($K121&lt;=AA$7,$L121&gt;AA$7),((AA$7-$K121)/($L121-$K121)))</f>
        <v>0.77777777777777779</v>
      </c>
      <c r="AC121" s="226" cm="1">
        <f t="array" ref="AC121">_xlfn.IFS(AND($K121&gt;AB$7,$L121&gt;AB$7),0,AND($K121&lt;=AB$7,$L121&lt;=AB$7),1,AND($K121&lt;=AB$7,$L121&gt;AB$7),((AB$7-$K121)/($L121-$K121)))</f>
        <v>1</v>
      </c>
      <c r="AD121" s="226" cm="1">
        <f t="array" ref="AD121">_xlfn.IFS(AND($K121&gt;AC$7,$L121&gt;AC$7),0,AND($K121&lt;=AC$7,$L121&lt;=AC$7),1,AND($K121&lt;=AC$7,$L121&gt;AC$7),((AC$7-$K121)/($L121-$K121)))</f>
        <v>1</v>
      </c>
      <c r="AE121" s="226" cm="1">
        <f t="array" ref="AE121">_xlfn.IFS(AND($K121&gt;AD$7,$L121&gt;AD$7),0,AND($K121&lt;=AD$7,$L121&lt;=AD$7),1,AND($K121&lt;=AD$7,$L121&gt;AD$7),((AD$7-$K121)/($L121-$K121)))</f>
        <v>1</v>
      </c>
      <c r="AF121" s="226" cm="1">
        <f t="array" ref="AF121">_xlfn.IFS(AND($K121&gt;AE$7,$L121&gt;AE$7),0,AND($K121&lt;=AE$7,$L121&lt;=AE$7),1,AND($K121&lt;=AE$7,$L121&gt;AE$7),((AE$7-$K121)/($L121-$K121)))</f>
        <v>1</v>
      </c>
      <c r="AG121" s="226" cm="1">
        <f t="array" ref="AG121">_xlfn.IFS(AND($K121&gt;AF$7,$L121&gt;AF$7),0,AND($K121&lt;=AF$7,$L121&lt;=AF$7),1,AND($K121&lt;=AF$7,$L121&gt;AF$7),((AF$7-$K121)/($L121-$K121)))</f>
        <v>1</v>
      </c>
      <c r="AH121" s="226" cm="1">
        <f t="array" ref="AH121">_xlfn.IFS(AND($K121&gt;AG$7,$L121&gt;AG$7),0,AND($K121&lt;=AG$7,$L121&lt;=AG$7),1,AND($K121&lt;=AG$7,$L121&gt;AG$7),((AG$7-$K121)/($L121-$K121)))</f>
        <v>1</v>
      </c>
      <c r="AI121" s="226" cm="1">
        <f t="array" ref="AI121">_xlfn.IFS(AND($K121&gt;AH$7,$L121&gt;AH$7),0,AND($K121&lt;=AH$7,$L121&lt;=AH$7),1,AND($K121&lt;=AH$7,$L121&gt;AH$7),((AH$7-$K121)/($L121-$K121)))</f>
        <v>1</v>
      </c>
      <c r="AJ121" s="226" cm="1">
        <f t="array" ref="AJ121">_xlfn.IFS(AND($K121&gt;AI$7,$L121&gt;AI$7),0,AND($K121&lt;=AI$7,$L121&lt;=AI$7),1,AND($K121&lt;=AI$7,$L121&gt;AI$7),((AI$7-$K121)/($L121-$K121)))</f>
        <v>1</v>
      </c>
      <c r="AK121" s="226" cm="1">
        <f t="array" ref="AK121">_xlfn.IFS(AND($K121&gt;AJ$7,$L121&gt;AJ$7),0,AND($K121&lt;=AJ$7,$L121&lt;=AJ$7),1,AND($K121&lt;=AJ$7,$L121&gt;AJ$7),((AJ$7-$K121)/($L121-$K121)))</f>
        <v>1</v>
      </c>
      <c r="AL121" s="226" cm="1">
        <f t="array" ref="AL121">_xlfn.IFS(AND($K121&gt;AK$7,$L121&gt;AK$7),0,AND($K121&lt;=AK$7,$L121&lt;=AK$7),1,AND($K121&lt;=AK$7,$L121&gt;AK$7),((AK$7-$K121)/($L121-$K121)))</f>
        <v>1</v>
      </c>
      <c r="AM121" s="226" cm="1">
        <f t="array" ref="AM121">_xlfn.IFS(AND($K121&gt;AL$7,$L121&gt;AL$7),0,AND($K121&lt;=AL$7,$L121&lt;=AL$7),1,AND($K121&lt;=AL$7,$L121&gt;AL$7),((AL$7-$K121)/($L121-$K121)))</f>
        <v>1</v>
      </c>
      <c r="AN121" s="226" cm="1">
        <f t="array" ref="AN121">_xlfn.IFS(AND($K121&gt;AM$7,$L121&gt;AM$7),0,AND($K121&lt;=AM$7,$L121&lt;=AM$7),1,AND($K121&lt;=AM$7,$L121&gt;AM$7),((AM$7-$K121)/($L121-$K121)))</f>
        <v>1</v>
      </c>
      <c r="AO121" s="226" cm="1">
        <f t="array" ref="AO121">_xlfn.IFS(AND($K121&gt;AN$7,$L121&gt;AN$7),0,AND($K121&lt;=AN$7,$L121&lt;=AN$7),1,AND($K121&lt;=AN$7,$L121&gt;AN$7),((AN$7-$K121)/($L121-$K121)))</f>
        <v>1</v>
      </c>
      <c r="AP121" s="226" cm="1">
        <f t="array" ref="AP121">_xlfn.IFS(AND($K121&gt;AO$7,$L121&gt;AO$7),0,AND($K121&lt;=AO$7,$L121&lt;=AO$7),1,AND($K121&lt;=AO$7,$L121&gt;AO$7),((AO$7-$K121)/($L121-$K121)))</f>
        <v>1</v>
      </c>
      <c r="AQ121" s="226" cm="1">
        <f t="array" ref="AQ121">_xlfn.IFS(AND($K121&gt;AP$7,$L121&gt;AP$7),0,AND($K121&lt;=AP$7,$L121&lt;=AP$7),1,AND($K121&lt;=AP$7,$L121&gt;AP$7),((AP$7-$K121)/($L121-$K121)))</f>
        <v>1</v>
      </c>
      <c r="AR121" s="226" cm="1">
        <f t="array" ref="AR121">_xlfn.IFS(AND($K121&gt;AQ$7,$L121&gt;AQ$7),0,AND($K121&lt;=AQ$7,$L121&lt;=AQ$7),1,AND($K121&lt;=AQ$7,$L121&gt;AQ$7),((AQ$7-$K121)/($L121-$K121)))</f>
        <v>1</v>
      </c>
      <c r="AS121" s="226" cm="1">
        <f t="array" ref="AS121">_xlfn.IFS(AND($K121&gt;AR$7,$L121&gt;AR$7),0,AND($K121&lt;=AR$7,$L121&lt;=AR$7),1,AND($K121&lt;=AR$7,$L121&gt;AR$7),((AR$7-$K121)/($L121-$K121)))</f>
        <v>1</v>
      </c>
      <c r="AT121" s="226" cm="1">
        <f t="array" ref="AT121">_xlfn.IFS(AND($K121&gt;AS$7,$L121&gt;AS$7),0,AND($K121&lt;=AS$7,$L121&lt;=AS$7),1,AND($K121&lt;=AS$7,$L121&gt;AS$7),((AS$7-$K121)/($L121-$K121)))</f>
        <v>1</v>
      </c>
      <c r="AU121" s="226" cm="1">
        <f t="array" ref="AU121">_xlfn.IFS(AND($K121&gt;AT$7,$L121&gt;AT$7),0,AND($K121&lt;=AT$7,$L121&lt;=AT$7),1,AND($K121&lt;=AT$7,$L121&gt;AT$7),((AT$7-$K121)/($L121-$K121)))</f>
        <v>1</v>
      </c>
      <c r="AV121" s="226" cm="1">
        <f t="array" ref="AV121">_xlfn.IFS(AND($K121&gt;AU$7,$L121&gt;AU$7),0,AND($K121&lt;=AU$7,$L121&lt;=AU$7),1,AND($K121&lt;=AU$7,$L121&gt;AU$7),((AU$7-$K121)/($L121-$K121)))</f>
        <v>1</v>
      </c>
      <c r="AW121" s="226" cm="1">
        <f t="array" ref="AW121">_xlfn.IFS(AND($K121&gt;AV$7,$L121&gt;AV$7),0,AND($K121&lt;=AV$7,$L121&lt;=AV$7),1,AND($K121&lt;=AV$7,$L121&gt;AV$7),((AV$7-$K121)/($L121-$K121)))</f>
        <v>1</v>
      </c>
      <c r="AX121" s="226" cm="1">
        <f t="array" ref="AX121">_xlfn.IFS(AND($K121&gt;AW$7,$L121&gt;AW$7),0,AND($K121&lt;=AW$7,$L121&lt;=AW$7),1,AND($K121&lt;=AW$7,$L121&gt;AW$7),((AW$7-$K121)/($L121-$K121)))</f>
        <v>1</v>
      </c>
      <c r="AY121" s="226" cm="1">
        <f t="array" ref="AY121">_xlfn.IFS(AND($K121&gt;AX$7,$L121&gt;AX$7),0,AND($K121&lt;=AX$7,$L121&lt;=AX$7),1,AND($K121&lt;=AX$7,$L121&gt;AX$7),((AX$7-$K121)/($L121-$K121)))</f>
        <v>1</v>
      </c>
      <c r="AZ121" s="226" cm="1">
        <f t="array" ref="AZ121">_xlfn.IFS(AND($K121&gt;AY$7,$L121&gt;AY$7),0,AND($K121&lt;=AY$7,$L121&lt;=AY$7),1,AND($K121&lt;=AY$7,$L121&gt;AY$7),((AY$7-$K121)/($L121-$K121)))</f>
        <v>1</v>
      </c>
      <c r="BA121" s="226" cm="1">
        <f t="array" ref="BA121">_xlfn.IFS(AND($K121&gt;AZ$7,$L121&gt;AZ$7),0,AND($K121&lt;=AZ$7,$L121&lt;=AZ$7),1,AND($K121&lt;=AZ$7,$L121&gt;AZ$7),((AZ$7-$K121)/($L121-$K121)))</f>
        <v>1</v>
      </c>
      <c r="BB121" s="226" cm="1">
        <f t="array" ref="BB121">_xlfn.IFS(AND($K121&gt;BA$7,$L121&gt;BA$7),0,AND($K121&lt;=BA$7,$L121&lt;=BA$7),1,AND($K121&lt;=BA$7,$L121&gt;BA$7),((BA$7-$K121)/($L121-$K121)))</f>
        <v>1</v>
      </c>
      <c r="BC121" s="226" cm="1">
        <f t="array" ref="BC121">_xlfn.IFS(AND($K121&gt;BB$7,$L121&gt;BB$7),0,AND($K121&lt;=BB$7,$L121&lt;=BB$7),1,AND($K121&lt;=BB$7,$L121&gt;BB$7),((BB$7-$K121)/($L121-$K121)))</f>
        <v>1</v>
      </c>
      <c r="BD121" s="226" cm="1">
        <f t="array" ref="BD121">_xlfn.IFS(AND($K121&gt;BC$7,$L121&gt;BC$7),0,AND($K121&lt;=BC$7,$L121&lt;=BC$7),1,AND($K121&lt;=BC$7,$L121&gt;BC$7),((BC$7-$K121)/($L121-$K121)))</f>
        <v>1</v>
      </c>
      <c r="BE121" s="226" cm="1">
        <f t="array" ref="BE121">_xlfn.IFS(AND($K121&gt;BD$7,$L121&gt;BD$7),0,AND($K121&lt;=BD$7,$L121&lt;=BD$7),1,AND($K121&lt;=BD$7,$L121&gt;BD$7),((BD$7-$K121)/($L121-$K121)))</f>
        <v>1</v>
      </c>
      <c r="BF121" s="226" cm="1">
        <f t="array" ref="BF121">_xlfn.IFS(AND($K121&gt;BE$7,$L121&gt;BE$7),0,AND($K121&lt;=BE$7,$L121&lt;=BE$7),1,AND($K121&lt;=BE$7,$L121&gt;BE$7),((BE$7-$K121)/($L121-$K121)))</f>
        <v>1</v>
      </c>
      <c r="BG121" s="226" cm="1">
        <f t="array" ref="BG121">_xlfn.IFS(AND($K121&gt;BF$7,$L121&gt;BF$7),0,AND($K121&lt;=BF$7,$L121&lt;=BF$7),1,AND($K121&lt;=BF$7,$L121&gt;BF$7),((BF$7-$K121)/($L121-$K121)))</f>
        <v>1</v>
      </c>
      <c r="BH121" s="163">
        <f>Tab.plano6[[#This Row],[Data Término
Prevista]]-Tab.plano6[[#This Row],[Data Início
Previsto]]</f>
        <v>4</v>
      </c>
    </row>
    <row r="122" spans="1:60" customFormat="1" ht="18" hidden="1" customHeight="1" x14ac:dyDescent="0.3">
      <c r="A122" s="216"/>
      <c r="B122" s="216" t="s">
        <v>12</v>
      </c>
      <c r="C122" s="216" t="s">
        <v>478</v>
      </c>
      <c r="D122" s="249" t="s">
        <v>399</v>
      </c>
      <c r="E122" s="249" t="s">
        <v>422</v>
      </c>
      <c r="F122" s="249" t="s">
        <v>74</v>
      </c>
      <c r="G122" s="249" t="s">
        <v>74</v>
      </c>
      <c r="H122" s="217" t="s">
        <v>817</v>
      </c>
      <c r="I122" s="257">
        <f>I123</f>
        <v>46154</v>
      </c>
      <c r="J122" s="257">
        <f>J123</f>
        <v>46192</v>
      </c>
      <c r="K122" s="257">
        <f>K123</f>
        <v>46154</v>
      </c>
      <c r="L122" s="257">
        <f>L123</f>
        <v>46192</v>
      </c>
      <c r="M122" s="229" t="s">
        <v>424</v>
      </c>
      <c r="N122" s="227" t="str" cm="1">
        <f t="array" ref="N122">_xlfn.IFS(L122&lt;$M$3,"Concluído",AND(K122&lt;=$M$3,L122&gt;=$M$3,L122&lt;=J122),"Em andamento",AND(K122&lt;=$M$3,L122&gt;=$M$3,L122&gt;J122),"Atrasado",AND(K122&gt;$M$3,I122&gt;$M$3),"Não iniciado",AND(K122&gt;$M$3,I122&lt;=$M$3),"Atrasado",TRUE,"Não iniciado")</f>
        <v>Em andamento</v>
      </c>
      <c r="O122" s="229" cm="1">
        <f t="array" ref="O122">_xlfn.IFS(N122="Não iniciado",0,N122="Em andamento",1,N122="Concluído",2,N122="Atrasado",3)</f>
        <v>1</v>
      </c>
      <c r="P122" s="216"/>
      <c r="Q122" s="224">
        <f t="shared" ref="Q122:BG122" si="49">Q123</f>
        <v>0.5</v>
      </c>
      <c r="R122" s="224">
        <f t="shared" si="49"/>
        <v>0.5</v>
      </c>
      <c r="S122" s="224">
        <f t="shared" si="49"/>
        <v>0</v>
      </c>
      <c r="T122" s="224">
        <f t="shared" si="49"/>
        <v>0</v>
      </c>
      <c r="U122" s="224">
        <f t="shared" si="49"/>
        <v>0</v>
      </c>
      <c r="V122" s="224">
        <f t="shared" si="49"/>
        <v>0</v>
      </c>
      <c r="W122" s="224">
        <f t="shared" si="49"/>
        <v>0</v>
      </c>
      <c r="X122" s="224">
        <f t="shared" si="49"/>
        <v>0</v>
      </c>
      <c r="Y122" s="224">
        <f t="shared" si="49"/>
        <v>0</v>
      </c>
      <c r="Z122" s="224">
        <f t="shared" si="49"/>
        <v>0</v>
      </c>
      <c r="AA122" s="224">
        <f t="shared" si="49"/>
        <v>0.3737373737373737</v>
      </c>
      <c r="AB122" s="224">
        <f t="shared" si="49"/>
        <v>0.44444444444444442</v>
      </c>
      <c r="AC122" s="224">
        <f t="shared" si="49"/>
        <v>0.51515151515151514</v>
      </c>
      <c r="AD122" s="224">
        <f t="shared" si="49"/>
        <v>0.58585858585858586</v>
      </c>
      <c r="AE122" s="224">
        <f t="shared" si="49"/>
        <v>0.65656565656565657</v>
      </c>
      <c r="AF122" s="224">
        <f t="shared" si="49"/>
        <v>1</v>
      </c>
      <c r="AG122" s="224">
        <f t="shared" si="49"/>
        <v>1</v>
      </c>
      <c r="AH122" s="224">
        <f t="shared" si="49"/>
        <v>1</v>
      </c>
      <c r="AI122" s="224">
        <f t="shared" si="49"/>
        <v>1</v>
      </c>
      <c r="AJ122" s="224">
        <f t="shared" si="49"/>
        <v>1</v>
      </c>
      <c r="AK122" s="224">
        <f t="shared" si="49"/>
        <v>1</v>
      </c>
      <c r="AL122" s="224">
        <f t="shared" si="49"/>
        <v>1</v>
      </c>
      <c r="AM122" s="224">
        <f t="shared" si="49"/>
        <v>1</v>
      </c>
      <c r="AN122" s="224">
        <f t="shared" si="49"/>
        <v>1</v>
      </c>
      <c r="AO122" s="224">
        <f t="shared" si="49"/>
        <v>1</v>
      </c>
      <c r="AP122" s="224">
        <f t="shared" si="49"/>
        <v>1</v>
      </c>
      <c r="AQ122" s="224">
        <f t="shared" si="49"/>
        <v>1</v>
      </c>
      <c r="AR122" s="224">
        <f t="shared" si="49"/>
        <v>1</v>
      </c>
      <c r="AS122" s="224">
        <f t="shared" si="49"/>
        <v>1</v>
      </c>
      <c r="AT122" s="224">
        <f t="shared" si="49"/>
        <v>1</v>
      </c>
      <c r="AU122" s="224">
        <f t="shared" si="49"/>
        <v>1</v>
      </c>
      <c r="AV122" s="224">
        <f t="shared" si="49"/>
        <v>1</v>
      </c>
      <c r="AW122" s="224">
        <f t="shared" si="49"/>
        <v>1</v>
      </c>
      <c r="AX122" s="224">
        <f t="shared" si="49"/>
        <v>1</v>
      </c>
      <c r="AY122" s="224">
        <f t="shared" si="49"/>
        <v>1</v>
      </c>
      <c r="AZ122" s="224">
        <f t="shared" si="49"/>
        <v>1</v>
      </c>
      <c r="BA122" s="224">
        <f t="shared" si="49"/>
        <v>1</v>
      </c>
      <c r="BB122" s="224">
        <f t="shared" si="49"/>
        <v>1</v>
      </c>
      <c r="BC122" s="224">
        <f t="shared" si="49"/>
        <v>1</v>
      </c>
      <c r="BD122" s="224">
        <f t="shared" si="49"/>
        <v>1</v>
      </c>
      <c r="BE122" s="224">
        <f t="shared" si="49"/>
        <v>1</v>
      </c>
      <c r="BF122" s="224">
        <f t="shared" si="49"/>
        <v>1</v>
      </c>
      <c r="BG122" s="224">
        <f t="shared" si="49"/>
        <v>1</v>
      </c>
      <c r="BH122" s="163">
        <f>Tab.plano6[[#This Row],[Data Término
Prevista]]-Tab.plano6[[#This Row],[Data Início
Previsto]]</f>
        <v>38</v>
      </c>
    </row>
    <row r="123" spans="1:60" customFormat="1" ht="18" hidden="1" customHeight="1" x14ac:dyDescent="0.3">
      <c r="A123" s="218"/>
      <c r="B123" s="218" t="s">
        <v>13</v>
      </c>
      <c r="C123" s="218" t="s">
        <v>480</v>
      </c>
      <c r="D123" s="250" t="s">
        <v>399</v>
      </c>
      <c r="E123" s="250" t="s">
        <v>422</v>
      </c>
      <c r="F123" s="250" t="s">
        <v>479</v>
      </c>
      <c r="G123" s="250" t="s">
        <v>74</v>
      </c>
      <c r="H123" s="219" t="s">
        <v>423</v>
      </c>
      <c r="I123" s="258">
        <f>MIN(I124:I126)</f>
        <v>46154</v>
      </c>
      <c r="J123" s="258">
        <f>MAX(J124:J126)</f>
        <v>46192</v>
      </c>
      <c r="K123" s="258">
        <f>MIN(K124:K126)</f>
        <v>46154</v>
      </c>
      <c r="L123" s="258">
        <f>MAX(L124:L126)</f>
        <v>46192</v>
      </c>
      <c r="M123" s="230" t="s">
        <v>424</v>
      </c>
      <c r="N123" s="227" t="str" cm="1">
        <f t="array" ref="N123">_xlfn.IFS(L123&lt;$M$3,"Concluído",AND(K123&lt;=$M$3,L123&gt;=$M$3,L123&lt;=J123),"Em andamento",AND(K123&lt;=$M$3,L123&gt;=$M$3,L123&gt;J123),"Atrasado",AND(K123&gt;$M$3,I123&gt;$M$3),"Não iniciado",AND(K123&gt;$M$3,I123&lt;=$M$3),"Atrasado",TRUE,"Não iniciado")</f>
        <v>Em andamento</v>
      </c>
      <c r="O123" s="230" cm="1">
        <f t="array" ref="O123">_xlfn.IFS(N123="Não iniciado",0,N123="Em andamento",1,N123="Concluído",2,N123="Atrasado",3)</f>
        <v>1</v>
      </c>
      <c r="P123" s="218"/>
      <c r="Q123" s="225">
        <f t="shared" ref="Q123:BG123" si="50">AVERAGE(Q124:Q126)</f>
        <v>0.5</v>
      </c>
      <c r="R123" s="225">
        <f t="shared" si="50"/>
        <v>0.5</v>
      </c>
      <c r="S123" s="225">
        <f t="shared" si="50"/>
        <v>0</v>
      </c>
      <c r="T123" s="225">
        <f t="shared" si="50"/>
        <v>0</v>
      </c>
      <c r="U123" s="225">
        <f t="shared" si="50"/>
        <v>0</v>
      </c>
      <c r="V123" s="225">
        <f t="shared" si="50"/>
        <v>0</v>
      </c>
      <c r="W123" s="225">
        <f t="shared" si="50"/>
        <v>0</v>
      </c>
      <c r="X123" s="225">
        <f t="shared" si="50"/>
        <v>0</v>
      </c>
      <c r="Y123" s="225">
        <f t="shared" si="50"/>
        <v>0</v>
      </c>
      <c r="Z123" s="225">
        <f t="shared" si="50"/>
        <v>0</v>
      </c>
      <c r="AA123" s="225">
        <f t="shared" si="50"/>
        <v>0.3737373737373737</v>
      </c>
      <c r="AB123" s="225">
        <f t="shared" si="50"/>
        <v>0.44444444444444442</v>
      </c>
      <c r="AC123" s="225">
        <f t="shared" si="50"/>
        <v>0.51515151515151514</v>
      </c>
      <c r="AD123" s="225">
        <f t="shared" si="50"/>
        <v>0.58585858585858586</v>
      </c>
      <c r="AE123" s="225">
        <f t="shared" si="50"/>
        <v>0.65656565656565657</v>
      </c>
      <c r="AF123" s="225">
        <f t="shared" si="50"/>
        <v>1</v>
      </c>
      <c r="AG123" s="225">
        <f t="shared" si="50"/>
        <v>1</v>
      </c>
      <c r="AH123" s="225">
        <f t="shared" si="50"/>
        <v>1</v>
      </c>
      <c r="AI123" s="225">
        <f t="shared" si="50"/>
        <v>1</v>
      </c>
      <c r="AJ123" s="225">
        <f t="shared" si="50"/>
        <v>1</v>
      </c>
      <c r="AK123" s="225">
        <f t="shared" si="50"/>
        <v>1</v>
      </c>
      <c r="AL123" s="225">
        <f t="shared" si="50"/>
        <v>1</v>
      </c>
      <c r="AM123" s="225">
        <f t="shared" si="50"/>
        <v>1</v>
      </c>
      <c r="AN123" s="225">
        <f t="shared" si="50"/>
        <v>1</v>
      </c>
      <c r="AO123" s="225">
        <f t="shared" si="50"/>
        <v>1</v>
      </c>
      <c r="AP123" s="225">
        <f t="shared" si="50"/>
        <v>1</v>
      </c>
      <c r="AQ123" s="225">
        <f t="shared" si="50"/>
        <v>1</v>
      </c>
      <c r="AR123" s="225">
        <f t="shared" si="50"/>
        <v>1</v>
      </c>
      <c r="AS123" s="225">
        <f t="shared" si="50"/>
        <v>1</v>
      </c>
      <c r="AT123" s="225">
        <f t="shared" si="50"/>
        <v>1</v>
      </c>
      <c r="AU123" s="225">
        <f t="shared" si="50"/>
        <v>1</v>
      </c>
      <c r="AV123" s="225">
        <f t="shared" si="50"/>
        <v>1</v>
      </c>
      <c r="AW123" s="225">
        <f t="shared" si="50"/>
        <v>1</v>
      </c>
      <c r="AX123" s="225">
        <f t="shared" si="50"/>
        <v>1</v>
      </c>
      <c r="AY123" s="225">
        <f t="shared" si="50"/>
        <v>1</v>
      </c>
      <c r="AZ123" s="225">
        <f t="shared" si="50"/>
        <v>1</v>
      </c>
      <c r="BA123" s="225">
        <f t="shared" si="50"/>
        <v>1</v>
      </c>
      <c r="BB123" s="225">
        <f t="shared" si="50"/>
        <v>1</v>
      </c>
      <c r="BC123" s="225">
        <f t="shared" si="50"/>
        <v>1</v>
      </c>
      <c r="BD123" s="225">
        <f t="shared" si="50"/>
        <v>1</v>
      </c>
      <c r="BE123" s="225">
        <f t="shared" si="50"/>
        <v>1</v>
      </c>
      <c r="BF123" s="225">
        <f t="shared" si="50"/>
        <v>1</v>
      </c>
      <c r="BG123" s="225">
        <f t="shared" si="50"/>
        <v>1</v>
      </c>
      <c r="BH123" s="163">
        <f>Tab.plano6[[#This Row],[Data Término
Prevista]]-Tab.plano6[[#This Row],[Data Início
Previsto]]</f>
        <v>38</v>
      </c>
    </row>
    <row r="124" spans="1:60" customFormat="1" ht="18" hidden="1" customHeight="1" x14ac:dyDescent="0.3">
      <c r="A124" s="220"/>
      <c r="B124" s="220" t="s">
        <v>161</v>
      </c>
      <c r="C124" s="220" t="s">
        <v>481</v>
      </c>
      <c r="D124" s="251" t="s">
        <v>399</v>
      </c>
      <c r="E124" s="251" t="s">
        <v>422</v>
      </c>
      <c r="F124" s="251" t="s">
        <v>479</v>
      </c>
      <c r="G124" s="251" t="s">
        <v>479</v>
      </c>
      <c r="H124" s="221" t="s">
        <v>425</v>
      </c>
      <c r="I124" s="260">
        <v>46154</v>
      </c>
      <c r="J124" s="260">
        <v>46155</v>
      </c>
      <c r="K124" s="260">
        <v>46154</v>
      </c>
      <c r="L124" s="260">
        <v>46155</v>
      </c>
      <c r="M124" s="231" t="s">
        <v>424</v>
      </c>
      <c r="N124" s="227" t="str" cm="1">
        <f t="array" ref="N124">_xlfn.IFS(L124&lt;$M$3,"Concluído",AND(K124&lt;=$M$3,L124&gt;=$M$3,L124&lt;=J124),"Em andamento",AND(K124&lt;=$M$3,L124&gt;=$M$3,L124&gt;J124),"Atrasado",AND(K124&gt;$M$3,I124&gt;$M$3),"Não iniciado",AND(K124&gt;$M$3,I124&lt;=$M$3),"Atrasado",TRUE,"Não iniciado")</f>
        <v>Concluído</v>
      </c>
      <c r="O124" s="231" cm="1">
        <f t="array" ref="O124">_xlfn.IFS(N124="Não iniciado",0,N124="Em andamento",1,N124="Concluído",2,N124="Atrasado",3)</f>
        <v>2</v>
      </c>
      <c r="P124" s="220"/>
      <c r="Q124" s="226" cm="1">
        <f t="array" ref="Q124">_xlfn.IFS(AND($I124&lt;$M$3,$J124&lt;$M$3),1,AND($I124&lt;=$M$3,$J124&gt;=$M$3),0.5,AND($I124&gt;=$M$3,$J124&gt;=$M$3),0)</f>
        <v>1</v>
      </c>
      <c r="R124" s="226" cm="1">
        <f t="array" ref="R124">_xlfn.IFS(AND($K124&lt;$M$3,$L124&lt;$M$3),1,AND($K124&lt;=$M$3,$L124&gt;=$M$3),0.5,AND($K124&gt;=$M$3,$L124&gt;=$M$3),0)</f>
        <v>1</v>
      </c>
      <c r="S124" s="226" cm="1">
        <f t="array" ref="S124">_xlfn.IFS(AND($K124&gt;R$7,$L124&gt;R$7),0,AND($K124&lt;=R$7,$L124&lt;=R$7),1,AND($K124&lt;=R$7,$L124&gt;R$7),((R$7-$K124)/($L124-$K124)))</f>
        <v>0</v>
      </c>
      <c r="T124" s="226" cm="1">
        <f t="array" ref="T124">_xlfn.IFS(AND($K124&gt;S$7,$L124&gt;S$7),0,AND($K124&lt;=S$7,$L124&lt;=S$7),1,AND($K124&lt;=S$7,$L124&gt;S$7),((S$7-$K124)/($L124-$K124)))</f>
        <v>0</v>
      </c>
      <c r="U124" s="226" cm="1">
        <f t="array" ref="U124">_xlfn.IFS(AND($K124&gt;T$7,$L124&gt;T$7),0,AND($K124&lt;=T$7,$L124&lt;=T$7),1,AND($K124&lt;=T$7,$L124&gt;T$7),((T$7-$K124)/($L124-$K124)))</f>
        <v>0</v>
      </c>
      <c r="V124" s="226" cm="1">
        <f t="array" ref="V124">_xlfn.IFS(AND($K124&gt;U$7,$L124&gt;U$7),0,AND($K124&lt;=U$7,$L124&lt;=U$7),1,AND($K124&lt;=U$7,$L124&gt;U$7),((U$7-$K124)/($L124-$K124)))</f>
        <v>0</v>
      </c>
      <c r="W124" s="226" cm="1">
        <f t="array" ref="W124">_xlfn.IFS(AND($K124&gt;V$7,$L124&gt;V$7),0,AND($K124&lt;=V$7,$L124&lt;=V$7),1,AND($K124&lt;=V$7,$L124&gt;V$7),((V$7-$K124)/($L124-$K124)))</f>
        <v>0</v>
      </c>
      <c r="X124" s="226" cm="1">
        <f t="array" ref="X124">_xlfn.IFS(AND($K124&gt;W$7,$L124&gt;W$7),0,AND($K124&lt;=W$7,$L124&lt;=W$7),1,AND($K124&lt;=W$7,$L124&gt;W$7),((W$7-$K124)/($L124-$K124)))</f>
        <v>0</v>
      </c>
      <c r="Y124" s="226" cm="1">
        <f t="array" ref="Y124">_xlfn.IFS(AND($K124&gt;X$7,$L124&gt;X$7),0,AND($K124&lt;=X$7,$L124&lt;=X$7),1,AND($K124&lt;=X$7,$L124&gt;X$7),((X$7-$K124)/($L124-$K124)))</f>
        <v>0</v>
      </c>
      <c r="Z124" s="226" cm="1">
        <f t="array" ref="Z124">_xlfn.IFS(AND($K124&gt;Y$7,$L124&gt;Y$7),0,AND($K124&lt;=Y$7,$L124&lt;=Y$7),1,AND($K124&lt;=Y$7,$L124&gt;Y$7),((Y$7-$K124)/($L124-$K124)))</f>
        <v>0</v>
      </c>
      <c r="AA124" s="226" cm="1">
        <f t="array" ref="AA124">_xlfn.IFS(AND($K124&gt;Z$7,$L124&gt;Z$7),0,AND($K124&lt;=Z$7,$L124&lt;=Z$7),1,AND($K124&lt;=Z$7,$L124&gt;Z$7),((Z$7-$K124)/($L124-$K124)))</f>
        <v>1</v>
      </c>
      <c r="AB124" s="226" cm="1">
        <f t="array" ref="AB124">_xlfn.IFS(AND($K124&gt;AA$7,$L124&gt;AA$7),0,AND($K124&lt;=AA$7,$L124&lt;=AA$7),1,AND($K124&lt;=AA$7,$L124&gt;AA$7),((AA$7-$K124)/($L124-$K124)))</f>
        <v>1</v>
      </c>
      <c r="AC124" s="226" cm="1">
        <f t="array" ref="AC124">_xlfn.IFS(AND($K124&gt;AB$7,$L124&gt;AB$7),0,AND($K124&lt;=AB$7,$L124&lt;=AB$7),1,AND($K124&lt;=AB$7,$L124&gt;AB$7),((AB$7-$K124)/($L124-$K124)))</f>
        <v>1</v>
      </c>
      <c r="AD124" s="226" cm="1">
        <f t="array" ref="AD124">_xlfn.IFS(AND($K124&gt;AC$7,$L124&gt;AC$7),0,AND($K124&lt;=AC$7,$L124&lt;=AC$7),1,AND($K124&lt;=AC$7,$L124&gt;AC$7),((AC$7-$K124)/($L124-$K124)))</f>
        <v>1</v>
      </c>
      <c r="AE124" s="226" cm="1">
        <f t="array" ref="AE124">_xlfn.IFS(AND($K124&gt;AD$7,$L124&gt;AD$7),0,AND($K124&lt;=AD$7,$L124&lt;=AD$7),1,AND($K124&lt;=AD$7,$L124&gt;AD$7),((AD$7-$K124)/($L124-$K124)))</f>
        <v>1</v>
      </c>
      <c r="AF124" s="226" cm="1">
        <f t="array" ref="AF124">_xlfn.IFS(AND($K124&gt;AE$7,$L124&gt;AE$7),0,AND($K124&lt;=AE$7,$L124&lt;=AE$7),1,AND($K124&lt;=AE$7,$L124&gt;AE$7),((AE$7-$K124)/($L124-$K124)))</f>
        <v>1</v>
      </c>
      <c r="AG124" s="226" cm="1">
        <f t="array" ref="AG124">_xlfn.IFS(AND($K124&gt;AF$7,$L124&gt;AF$7),0,AND($K124&lt;=AF$7,$L124&lt;=AF$7),1,AND($K124&lt;=AF$7,$L124&gt;AF$7),((AF$7-$K124)/($L124-$K124)))</f>
        <v>1</v>
      </c>
      <c r="AH124" s="226" cm="1">
        <f t="array" ref="AH124">_xlfn.IFS(AND($K124&gt;AG$7,$L124&gt;AG$7),0,AND($K124&lt;=AG$7,$L124&lt;=AG$7),1,AND($K124&lt;=AG$7,$L124&gt;AG$7),((AG$7-$K124)/($L124-$K124)))</f>
        <v>1</v>
      </c>
      <c r="AI124" s="226" cm="1">
        <f t="array" ref="AI124">_xlfn.IFS(AND($K124&gt;AH$7,$L124&gt;AH$7),0,AND($K124&lt;=AH$7,$L124&lt;=AH$7),1,AND($K124&lt;=AH$7,$L124&gt;AH$7),((AH$7-$K124)/($L124-$K124)))</f>
        <v>1</v>
      </c>
      <c r="AJ124" s="226" cm="1">
        <f t="array" ref="AJ124">_xlfn.IFS(AND($K124&gt;AI$7,$L124&gt;AI$7),0,AND($K124&lt;=AI$7,$L124&lt;=AI$7),1,AND($K124&lt;=AI$7,$L124&gt;AI$7),((AI$7-$K124)/($L124-$K124)))</f>
        <v>1</v>
      </c>
      <c r="AK124" s="226" cm="1">
        <f t="array" ref="AK124">_xlfn.IFS(AND($K124&gt;AJ$7,$L124&gt;AJ$7),0,AND($K124&lt;=AJ$7,$L124&lt;=AJ$7),1,AND($K124&lt;=AJ$7,$L124&gt;AJ$7),((AJ$7-$K124)/($L124-$K124)))</f>
        <v>1</v>
      </c>
      <c r="AL124" s="226" cm="1">
        <f t="array" ref="AL124">_xlfn.IFS(AND($K124&gt;AK$7,$L124&gt;AK$7),0,AND($K124&lt;=AK$7,$L124&lt;=AK$7),1,AND($K124&lt;=AK$7,$L124&gt;AK$7),((AK$7-$K124)/($L124-$K124)))</f>
        <v>1</v>
      </c>
      <c r="AM124" s="226" cm="1">
        <f t="array" ref="AM124">_xlfn.IFS(AND($K124&gt;AL$7,$L124&gt;AL$7),0,AND($K124&lt;=AL$7,$L124&lt;=AL$7),1,AND($K124&lt;=AL$7,$L124&gt;AL$7),((AL$7-$K124)/($L124-$K124)))</f>
        <v>1</v>
      </c>
      <c r="AN124" s="226" cm="1">
        <f t="array" ref="AN124">_xlfn.IFS(AND($K124&gt;AM$7,$L124&gt;AM$7),0,AND($K124&lt;=AM$7,$L124&lt;=AM$7),1,AND($K124&lt;=AM$7,$L124&gt;AM$7),((AM$7-$K124)/($L124-$K124)))</f>
        <v>1</v>
      </c>
      <c r="AO124" s="226" cm="1">
        <f t="array" ref="AO124">_xlfn.IFS(AND($K124&gt;AN$7,$L124&gt;AN$7),0,AND($K124&lt;=AN$7,$L124&lt;=AN$7),1,AND($K124&lt;=AN$7,$L124&gt;AN$7),((AN$7-$K124)/($L124-$K124)))</f>
        <v>1</v>
      </c>
      <c r="AP124" s="226" cm="1">
        <f t="array" ref="AP124">_xlfn.IFS(AND($K124&gt;AO$7,$L124&gt;AO$7),0,AND($K124&lt;=AO$7,$L124&lt;=AO$7),1,AND($K124&lt;=AO$7,$L124&gt;AO$7),((AO$7-$K124)/($L124-$K124)))</f>
        <v>1</v>
      </c>
      <c r="AQ124" s="226" cm="1">
        <f t="array" ref="AQ124">_xlfn.IFS(AND($K124&gt;AP$7,$L124&gt;AP$7),0,AND($K124&lt;=AP$7,$L124&lt;=AP$7),1,AND($K124&lt;=AP$7,$L124&gt;AP$7),((AP$7-$K124)/($L124-$K124)))</f>
        <v>1</v>
      </c>
      <c r="AR124" s="226" cm="1">
        <f t="array" ref="AR124">_xlfn.IFS(AND($K124&gt;AQ$7,$L124&gt;AQ$7),0,AND($K124&lt;=AQ$7,$L124&lt;=AQ$7),1,AND($K124&lt;=AQ$7,$L124&gt;AQ$7),((AQ$7-$K124)/($L124-$K124)))</f>
        <v>1</v>
      </c>
      <c r="AS124" s="226" cm="1">
        <f t="array" ref="AS124">_xlfn.IFS(AND($K124&gt;AR$7,$L124&gt;AR$7),0,AND($K124&lt;=AR$7,$L124&lt;=AR$7),1,AND($K124&lt;=AR$7,$L124&gt;AR$7),((AR$7-$K124)/($L124-$K124)))</f>
        <v>1</v>
      </c>
      <c r="AT124" s="226" cm="1">
        <f t="array" ref="AT124">_xlfn.IFS(AND($K124&gt;AS$7,$L124&gt;AS$7),0,AND($K124&lt;=AS$7,$L124&lt;=AS$7),1,AND($K124&lt;=AS$7,$L124&gt;AS$7),((AS$7-$K124)/($L124-$K124)))</f>
        <v>1</v>
      </c>
      <c r="AU124" s="226" cm="1">
        <f t="array" ref="AU124">_xlfn.IFS(AND($K124&gt;AT$7,$L124&gt;AT$7),0,AND($K124&lt;=AT$7,$L124&lt;=AT$7),1,AND($K124&lt;=AT$7,$L124&gt;AT$7),((AT$7-$K124)/($L124-$K124)))</f>
        <v>1</v>
      </c>
      <c r="AV124" s="226" cm="1">
        <f t="array" ref="AV124">_xlfn.IFS(AND($K124&gt;AU$7,$L124&gt;AU$7),0,AND($K124&lt;=AU$7,$L124&lt;=AU$7),1,AND($K124&lt;=AU$7,$L124&gt;AU$7),((AU$7-$K124)/($L124-$K124)))</f>
        <v>1</v>
      </c>
      <c r="AW124" s="226" cm="1">
        <f t="array" ref="AW124">_xlfn.IFS(AND($K124&gt;AV$7,$L124&gt;AV$7),0,AND($K124&lt;=AV$7,$L124&lt;=AV$7),1,AND($K124&lt;=AV$7,$L124&gt;AV$7),((AV$7-$K124)/($L124-$K124)))</f>
        <v>1</v>
      </c>
      <c r="AX124" s="226" cm="1">
        <f t="array" ref="AX124">_xlfn.IFS(AND($K124&gt;AW$7,$L124&gt;AW$7),0,AND($K124&lt;=AW$7,$L124&lt;=AW$7),1,AND($K124&lt;=AW$7,$L124&gt;AW$7),((AW$7-$K124)/($L124-$K124)))</f>
        <v>1</v>
      </c>
      <c r="AY124" s="226" cm="1">
        <f t="array" ref="AY124">_xlfn.IFS(AND($K124&gt;AX$7,$L124&gt;AX$7),0,AND($K124&lt;=AX$7,$L124&lt;=AX$7),1,AND($K124&lt;=AX$7,$L124&gt;AX$7),((AX$7-$K124)/($L124-$K124)))</f>
        <v>1</v>
      </c>
      <c r="AZ124" s="226" cm="1">
        <f t="array" ref="AZ124">_xlfn.IFS(AND($K124&gt;AY$7,$L124&gt;AY$7),0,AND($K124&lt;=AY$7,$L124&lt;=AY$7),1,AND($K124&lt;=AY$7,$L124&gt;AY$7),((AY$7-$K124)/($L124-$K124)))</f>
        <v>1</v>
      </c>
      <c r="BA124" s="226" cm="1">
        <f t="array" ref="BA124">_xlfn.IFS(AND($K124&gt;AZ$7,$L124&gt;AZ$7),0,AND($K124&lt;=AZ$7,$L124&lt;=AZ$7),1,AND($K124&lt;=AZ$7,$L124&gt;AZ$7),((AZ$7-$K124)/($L124-$K124)))</f>
        <v>1</v>
      </c>
      <c r="BB124" s="226" cm="1">
        <f t="array" ref="BB124">_xlfn.IFS(AND($K124&gt;BA$7,$L124&gt;BA$7),0,AND($K124&lt;=BA$7,$L124&lt;=BA$7),1,AND($K124&lt;=BA$7,$L124&gt;BA$7),((BA$7-$K124)/($L124-$K124)))</f>
        <v>1</v>
      </c>
      <c r="BC124" s="226" cm="1">
        <f t="array" ref="BC124">_xlfn.IFS(AND($K124&gt;BB$7,$L124&gt;BB$7),0,AND($K124&lt;=BB$7,$L124&lt;=BB$7),1,AND($K124&lt;=BB$7,$L124&gt;BB$7),((BB$7-$K124)/($L124-$K124)))</f>
        <v>1</v>
      </c>
      <c r="BD124" s="226" cm="1">
        <f t="array" ref="BD124">_xlfn.IFS(AND($K124&gt;BC$7,$L124&gt;BC$7),0,AND($K124&lt;=BC$7,$L124&lt;=BC$7),1,AND($K124&lt;=BC$7,$L124&gt;BC$7),((BC$7-$K124)/($L124-$K124)))</f>
        <v>1</v>
      </c>
      <c r="BE124" s="226" cm="1">
        <f t="array" ref="BE124">_xlfn.IFS(AND($K124&gt;BD$7,$L124&gt;BD$7),0,AND($K124&lt;=BD$7,$L124&lt;=BD$7),1,AND($K124&lt;=BD$7,$L124&gt;BD$7),((BD$7-$K124)/($L124-$K124)))</f>
        <v>1</v>
      </c>
      <c r="BF124" s="226" cm="1">
        <f t="array" ref="BF124">_xlfn.IFS(AND($K124&gt;BE$7,$L124&gt;BE$7),0,AND($K124&lt;=BE$7,$L124&lt;=BE$7),1,AND($K124&lt;=BE$7,$L124&gt;BE$7),((BE$7-$K124)/($L124-$K124)))</f>
        <v>1</v>
      </c>
      <c r="BG124" s="226" cm="1">
        <f t="array" ref="BG124">_xlfn.IFS(AND($K124&gt;BF$7,$L124&gt;BF$7),0,AND($K124&lt;=BF$7,$L124&lt;=BF$7),1,AND($K124&lt;=BF$7,$L124&gt;BF$7),((BF$7-$K124)/($L124-$K124)))</f>
        <v>1</v>
      </c>
      <c r="BH124" s="163">
        <f>Tab.plano6[[#This Row],[Data Término
Prevista]]-Tab.plano6[[#This Row],[Data Início
Previsto]]</f>
        <v>1</v>
      </c>
    </row>
    <row r="125" spans="1:60" customFormat="1" ht="18" hidden="1" customHeight="1" x14ac:dyDescent="0.3">
      <c r="A125" s="220"/>
      <c r="B125" s="220" t="s">
        <v>161</v>
      </c>
      <c r="C125" s="220" t="s">
        <v>483</v>
      </c>
      <c r="D125" s="251" t="s">
        <v>399</v>
      </c>
      <c r="E125" s="251" t="s">
        <v>422</v>
      </c>
      <c r="F125" s="251" t="s">
        <v>479</v>
      </c>
      <c r="G125" s="251" t="s">
        <v>479</v>
      </c>
      <c r="H125" s="221" t="s">
        <v>426</v>
      </c>
      <c r="I125" s="260">
        <v>46156</v>
      </c>
      <c r="J125" s="260">
        <v>46189</v>
      </c>
      <c r="K125" s="260">
        <v>46156</v>
      </c>
      <c r="L125" s="260">
        <v>46189</v>
      </c>
      <c r="M125" s="231" t="s">
        <v>424</v>
      </c>
      <c r="N125" s="227" t="str" cm="1">
        <f t="array" ref="N125">_xlfn.IFS(L125&lt;$M$3,"Concluído",AND(K125&lt;=$M$3,L125&gt;=$M$3,L125&lt;=J125),"Em andamento",AND(K125&lt;=$M$3,L125&gt;=$M$3,L125&gt;J125),"Atrasado",AND(K125&gt;$M$3,I125&gt;$M$3),"Não iniciado",AND(K125&gt;$M$3,I125&lt;=$M$3),"Atrasado",TRUE,"Não iniciado")</f>
        <v>Em andamento</v>
      </c>
      <c r="O125" s="231" cm="1">
        <f t="array" ref="O125">_xlfn.IFS(N125="Não iniciado",0,N125="Em andamento",1,N125="Concluído",2,N125="Atrasado",3)</f>
        <v>1</v>
      </c>
      <c r="P125" s="220"/>
      <c r="Q125" s="226" cm="1">
        <f t="array" ref="Q125">_xlfn.IFS(AND($I125&lt;$M$3,$J125&lt;$M$3),1,AND($I125&lt;=$M$3,$J125&gt;=$M$3),0.5,AND($I125&gt;=$M$3,$J125&gt;=$M$3),0)</f>
        <v>0.5</v>
      </c>
      <c r="R125" s="226" cm="1">
        <f t="array" ref="R125">_xlfn.IFS(AND($K125&lt;$M$3,$L125&lt;$M$3),1,AND($K125&lt;=$M$3,$L125&gt;=$M$3),0.5,AND($K125&gt;=$M$3,$L125&gt;=$M$3),0)</f>
        <v>0.5</v>
      </c>
      <c r="S125" s="226" cm="1">
        <f t="array" ref="S125">_xlfn.IFS(AND($K125&gt;R$7,$L125&gt;R$7),0,AND($K125&lt;=R$7,$L125&lt;=R$7),1,AND($K125&lt;=R$7,$L125&gt;R$7),((R$7-$K125)/($L125-$K125)))</f>
        <v>0</v>
      </c>
      <c r="T125" s="226" cm="1">
        <f t="array" ref="T125">_xlfn.IFS(AND($K125&gt;S$7,$L125&gt;S$7),0,AND($K125&lt;=S$7,$L125&lt;=S$7),1,AND($K125&lt;=S$7,$L125&gt;S$7),((S$7-$K125)/($L125-$K125)))</f>
        <v>0</v>
      </c>
      <c r="U125" s="226" cm="1">
        <f t="array" ref="U125">_xlfn.IFS(AND($K125&gt;T$7,$L125&gt;T$7),0,AND($K125&lt;=T$7,$L125&lt;=T$7),1,AND($K125&lt;=T$7,$L125&gt;T$7),((T$7-$K125)/($L125-$K125)))</f>
        <v>0</v>
      </c>
      <c r="V125" s="226" cm="1">
        <f t="array" ref="V125">_xlfn.IFS(AND($K125&gt;U$7,$L125&gt;U$7),0,AND($K125&lt;=U$7,$L125&lt;=U$7),1,AND($K125&lt;=U$7,$L125&gt;U$7),((U$7-$K125)/($L125-$K125)))</f>
        <v>0</v>
      </c>
      <c r="W125" s="226" cm="1">
        <f t="array" ref="W125">_xlfn.IFS(AND($K125&gt;V$7,$L125&gt;V$7),0,AND($K125&lt;=V$7,$L125&lt;=V$7),1,AND($K125&lt;=V$7,$L125&gt;V$7),((V$7-$K125)/($L125-$K125)))</f>
        <v>0</v>
      </c>
      <c r="X125" s="226" cm="1">
        <f t="array" ref="X125">_xlfn.IFS(AND($K125&gt;W$7,$L125&gt;W$7),0,AND($K125&lt;=W$7,$L125&lt;=W$7),1,AND($K125&lt;=W$7,$L125&gt;W$7),((W$7-$K125)/($L125-$K125)))</f>
        <v>0</v>
      </c>
      <c r="Y125" s="226" cm="1">
        <f t="array" ref="Y125">_xlfn.IFS(AND($K125&gt;X$7,$L125&gt;X$7),0,AND($K125&lt;=X$7,$L125&lt;=X$7),1,AND($K125&lt;=X$7,$L125&gt;X$7),((X$7-$K125)/($L125-$K125)))</f>
        <v>0</v>
      </c>
      <c r="Z125" s="226" cm="1">
        <f t="array" ref="Z125">_xlfn.IFS(AND($K125&gt;Y$7,$L125&gt;Y$7),0,AND($K125&lt;=Y$7,$L125&lt;=Y$7),1,AND($K125&lt;=Y$7,$L125&gt;Y$7),((Y$7-$K125)/($L125-$K125)))</f>
        <v>0</v>
      </c>
      <c r="AA125" s="226" cm="1">
        <f t="array" ref="AA125">_xlfn.IFS(AND($K125&gt;Z$7,$L125&gt;Z$7),0,AND($K125&lt;=Z$7,$L125&lt;=Z$7),1,AND($K125&lt;=Z$7,$L125&gt;Z$7),((Z$7-$K125)/($L125-$K125)))</f>
        <v>0.12121212121212122</v>
      </c>
      <c r="AB125" s="226" cm="1">
        <f t="array" ref="AB125">_xlfn.IFS(AND($K125&gt;AA$7,$L125&gt;AA$7),0,AND($K125&lt;=AA$7,$L125&lt;=AA$7),1,AND($K125&lt;=AA$7,$L125&gt;AA$7),((AA$7-$K125)/($L125-$K125)))</f>
        <v>0.33333333333333331</v>
      </c>
      <c r="AC125" s="226" cm="1">
        <f t="array" ref="AC125">_xlfn.IFS(AND($K125&gt;AB$7,$L125&gt;AB$7),0,AND($K125&lt;=AB$7,$L125&lt;=AB$7),1,AND($K125&lt;=AB$7,$L125&gt;AB$7),((AB$7-$K125)/($L125-$K125)))</f>
        <v>0.54545454545454541</v>
      </c>
      <c r="AD125" s="226" cm="1">
        <f t="array" ref="AD125">_xlfn.IFS(AND($K125&gt;AC$7,$L125&gt;AC$7),0,AND($K125&lt;=AC$7,$L125&lt;=AC$7),1,AND($K125&lt;=AC$7,$L125&gt;AC$7),((AC$7-$K125)/($L125-$K125)))</f>
        <v>0.75757575757575757</v>
      </c>
      <c r="AE125" s="226" cm="1">
        <f t="array" ref="AE125">_xlfn.IFS(AND($K125&gt;AD$7,$L125&gt;AD$7),0,AND($K125&lt;=AD$7,$L125&lt;=AD$7),1,AND($K125&lt;=AD$7,$L125&gt;AD$7),((AD$7-$K125)/($L125-$K125)))</f>
        <v>0.96969696969696972</v>
      </c>
      <c r="AF125" s="226" cm="1">
        <f t="array" ref="AF125">_xlfn.IFS(AND($K125&gt;AE$7,$L125&gt;AE$7),0,AND($K125&lt;=AE$7,$L125&lt;=AE$7),1,AND($K125&lt;=AE$7,$L125&gt;AE$7),((AE$7-$K125)/($L125-$K125)))</f>
        <v>1</v>
      </c>
      <c r="AG125" s="226" cm="1">
        <f t="array" ref="AG125">_xlfn.IFS(AND($K125&gt;AF$7,$L125&gt;AF$7),0,AND($K125&lt;=AF$7,$L125&lt;=AF$7),1,AND($K125&lt;=AF$7,$L125&gt;AF$7),((AF$7-$K125)/($L125-$K125)))</f>
        <v>1</v>
      </c>
      <c r="AH125" s="226" cm="1">
        <f t="array" ref="AH125">_xlfn.IFS(AND($K125&gt;AG$7,$L125&gt;AG$7),0,AND($K125&lt;=AG$7,$L125&lt;=AG$7),1,AND($K125&lt;=AG$7,$L125&gt;AG$7),((AG$7-$K125)/($L125-$K125)))</f>
        <v>1</v>
      </c>
      <c r="AI125" s="226" cm="1">
        <f t="array" ref="AI125">_xlfn.IFS(AND($K125&gt;AH$7,$L125&gt;AH$7),0,AND($K125&lt;=AH$7,$L125&lt;=AH$7),1,AND($K125&lt;=AH$7,$L125&gt;AH$7),((AH$7-$K125)/($L125-$K125)))</f>
        <v>1</v>
      </c>
      <c r="AJ125" s="226" cm="1">
        <f t="array" ref="AJ125">_xlfn.IFS(AND($K125&gt;AI$7,$L125&gt;AI$7),0,AND($K125&lt;=AI$7,$L125&lt;=AI$7),1,AND($K125&lt;=AI$7,$L125&gt;AI$7),((AI$7-$K125)/($L125-$K125)))</f>
        <v>1</v>
      </c>
      <c r="AK125" s="226" cm="1">
        <f t="array" ref="AK125">_xlfn.IFS(AND($K125&gt;AJ$7,$L125&gt;AJ$7),0,AND($K125&lt;=AJ$7,$L125&lt;=AJ$7),1,AND($K125&lt;=AJ$7,$L125&gt;AJ$7),((AJ$7-$K125)/($L125-$K125)))</f>
        <v>1</v>
      </c>
      <c r="AL125" s="226" cm="1">
        <f t="array" ref="AL125">_xlfn.IFS(AND($K125&gt;AK$7,$L125&gt;AK$7),0,AND($K125&lt;=AK$7,$L125&lt;=AK$7),1,AND($K125&lt;=AK$7,$L125&gt;AK$7),((AK$7-$K125)/($L125-$K125)))</f>
        <v>1</v>
      </c>
      <c r="AM125" s="226" cm="1">
        <f t="array" ref="AM125">_xlfn.IFS(AND($K125&gt;AL$7,$L125&gt;AL$7),0,AND($K125&lt;=AL$7,$L125&lt;=AL$7),1,AND($K125&lt;=AL$7,$L125&gt;AL$7),((AL$7-$K125)/($L125-$K125)))</f>
        <v>1</v>
      </c>
      <c r="AN125" s="226" cm="1">
        <f t="array" ref="AN125">_xlfn.IFS(AND($K125&gt;AM$7,$L125&gt;AM$7),0,AND($K125&lt;=AM$7,$L125&lt;=AM$7),1,AND($K125&lt;=AM$7,$L125&gt;AM$7),((AM$7-$K125)/($L125-$K125)))</f>
        <v>1</v>
      </c>
      <c r="AO125" s="226" cm="1">
        <f t="array" ref="AO125">_xlfn.IFS(AND($K125&gt;AN$7,$L125&gt;AN$7),0,AND($K125&lt;=AN$7,$L125&lt;=AN$7),1,AND($K125&lt;=AN$7,$L125&gt;AN$7),((AN$7-$K125)/($L125-$K125)))</f>
        <v>1</v>
      </c>
      <c r="AP125" s="226" cm="1">
        <f t="array" ref="AP125">_xlfn.IFS(AND($K125&gt;AO$7,$L125&gt;AO$7),0,AND($K125&lt;=AO$7,$L125&lt;=AO$7),1,AND($K125&lt;=AO$7,$L125&gt;AO$7),((AO$7-$K125)/($L125-$K125)))</f>
        <v>1</v>
      </c>
      <c r="AQ125" s="226" cm="1">
        <f t="array" ref="AQ125">_xlfn.IFS(AND($K125&gt;AP$7,$L125&gt;AP$7),0,AND($K125&lt;=AP$7,$L125&lt;=AP$7),1,AND($K125&lt;=AP$7,$L125&gt;AP$7),((AP$7-$K125)/($L125-$K125)))</f>
        <v>1</v>
      </c>
      <c r="AR125" s="226" cm="1">
        <f t="array" ref="AR125">_xlfn.IFS(AND($K125&gt;AQ$7,$L125&gt;AQ$7),0,AND($K125&lt;=AQ$7,$L125&lt;=AQ$7),1,AND($K125&lt;=AQ$7,$L125&gt;AQ$7),((AQ$7-$K125)/($L125-$K125)))</f>
        <v>1</v>
      </c>
      <c r="AS125" s="226" cm="1">
        <f t="array" ref="AS125">_xlfn.IFS(AND($K125&gt;AR$7,$L125&gt;AR$7),0,AND($K125&lt;=AR$7,$L125&lt;=AR$7),1,AND($K125&lt;=AR$7,$L125&gt;AR$7),((AR$7-$K125)/($L125-$K125)))</f>
        <v>1</v>
      </c>
      <c r="AT125" s="226" cm="1">
        <f t="array" ref="AT125">_xlfn.IFS(AND($K125&gt;AS$7,$L125&gt;AS$7),0,AND($K125&lt;=AS$7,$L125&lt;=AS$7),1,AND($K125&lt;=AS$7,$L125&gt;AS$7),((AS$7-$K125)/($L125-$K125)))</f>
        <v>1</v>
      </c>
      <c r="AU125" s="226" cm="1">
        <f t="array" ref="AU125">_xlfn.IFS(AND($K125&gt;AT$7,$L125&gt;AT$7),0,AND($K125&lt;=AT$7,$L125&lt;=AT$7),1,AND($K125&lt;=AT$7,$L125&gt;AT$7),((AT$7-$K125)/($L125-$K125)))</f>
        <v>1</v>
      </c>
      <c r="AV125" s="226" cm="1">
        <f t="array" ref="AV125">_xlfn.IFS(AND($K125&gt;AU$7,$L125&gt;AU$7),0,AND($K125&lt;=AU$7,$L125&lt;=AU$7),1,AND($K125&lt;=AU$7,$L125&gt;AU$7),((AU$7-$K125)/($L125-$K125)))</f>
        <v>1</v>
      </c>
      <c r="AW125" s="226" cm="1">
        <f t="array" ref="AW125">_xlfn.IFS(AND($K125&gt;AV$7,$L125&gt;AV$7),0,AND($K125&lt;=AV$7,$L125&lt;=AV$7),1,AND($K125&lt;=AV$7,$L125&gt;AV$7),((AV$7-$K125)/($L125-$K125)))</f>
        <v>1</v>
      </c>
      <c r="AX125" s="226" cm="1">
        <f t="array" ref="AX125">_xlfn.IFS(AND($K125&gt;AW$7,$L125&gt;AW$7),0,AND($K125&lt;=AW$7,$L125&lt;=AW$7),1,AND($K125&lt;=AW$7,$L125&gt;AW$7),((AW$7-$K125)/($L125-$K125)))</f>
        <v>1</v>
      </c>
      <c r="AY125" s="226" cm="1">
        <f t="array" ref="AY125">_xlfn.IFS(AND($K125&gt;AX$7,$L125&gt;AX$7),0,AND($K125&lt;=AX$7,$L125&lt;=AX$7),1,AND($K125&lt;=AX$7,$L125&gt;AX$7),((AX$7-$K125)/($L125-$K125)))</f>
        <v>1</v>
      </c>
      <c r="AZ125" s="226" cm="1">
        <f t="array" ref="AZ125">_xlfn.IFS(AND($K125&gt;AY$7,$L125&gt;AY$7),0,AND($K125&lt;=AY$7,$L125&lt;=AY$7),1,AND($K125&lt;=AY$7,$L125&gt;AY$7),((AY$7-$K125)/($L125-$K125)))</f>
        <v>1</v>
      </c>
      <c r="BA125" s="226" cm="1">
        <f t="array" ref="BA125">_xlfn.IFS(AND($K125&gt;AZ$7,$L125&gt;AZ$7),0,AND($K125&lt;=AZ$7,$L125&lt;=AZ$7),1,AND($K125&lt;=AZ$7,$L125&gt;AZ$7),((AZ$7-$K125)/($L125-$K125)))</f>
        <v>1</v>
      </c>
      <c r="BB125" s="226" cm="1">
        <f t="array" ref="BB125">_xlfn.IFS(AND($K125&gt;BA$7,$L125&gt;BA$7),0,AND($K125&lt;=BA$7,$L125&lt;=BA$7),1,AND($K125&lt;=BA$7,$L125&gt;BA$7),((BA$7-$K125)/($L125-$K125)))</f>
        <v>1</v>
      </c>
      <c r="BC125" s="226" cm="1">
        <f t="array" ref="BC125">_xlfn.IFS(AND($K125&gt;BB$7,$L125&gt;BB$7),0,AND($K125&lt;=BB$7,$L125&lt;=BB$7),1,AND($K125&lt;=BB$7,$L125&gt;BB$7),((BB$7-$K125)/($L125-$K125)))</f>
        <v>1</v>
      </c>
      <c r="BD125" s="226" cm="1">
        <f t="array" ref="BD125">_xlfn.IFS(AND($K125&gt;BC$7,$L125&gt;BC$7),0,AND($K125&lt;=BC$7,$L125&lt;=BC$7),1,AND($K125&lt;=BC$7,$L125&gt;BC$7),((BC$7-$K125)/($L125-$K125)))</f>
        <v>1</v>
      </c>
      <c r="BE125" s="226" cm="1">
        <f t="array" ref="BE125">_xlfn.IFS(AND($K125&gt;BD$7,$L125&gt;BD$7),0,AND($K125&lt;=BD$7,$L125&lt;=BD$7),1,AND($K125&lt;=BD$7,$L125&gt;BD$7),((BD$7-$K125)/($L125-$K125)))</f>
        <v>1</v>
      </c>
      <c r="BF125" s="226" cm="1">
        <f t="array" ref="BF125">_xlfn.IFS(AND($K125&gt;BE$7,$L125&gt;BE$7),0,AND($K125&lt;=BE$7,$L125&lt;=BE$7),1,AND($K125&lt;=BE$7,$L125&gt;BE$7),((BE$7-$K125)/($L125-$K125)))</f>
        <v>1</v>
      </c>
      <c r="BG125" s="226" cm="1">
        <f t="array" ref="BG125">_xlfn.IFS(AND($K125&gt;BF$7,$L125&gt;BF$7),0,AND($K125&lt;=BF$7,$L125&lt;=BF$7),1,AND($K125&lt;=BF$7,$L125&gt;BF$7),((BF$7-$K125)/($L125-$K125)))</f>
        <v>1</v>
      </c>
      <c r="BH125" s="163">
        <f>Tab.plano6[[#This Row],[Data Término
Prevista]]-Tab.plano6[[#This Row],[Data Início
Previsto]]</f>
        <v>33</v>
      </c>
    </row>
    <row r="126" spans="1:60" customFormat="1" ht="18" hidden="1" customHeight="1" x14ac:dyDescent="0.3">
      <c r="A126" s="220"/>
      <c r="B126" s="220" t="s">
        <v>161</v>
      </c>
      <c r="C126" s="220" t="s">
        <v>485</v>
      </c>
      <c r="D126" s="251" t="s">
        <v>399</v>
      </c>
      <c r="E126" s="251" t="s">
        <v>422</v>
      </c>
      <c r="F126" s="251" t="s">
        <v>479</v>
      </c>
      <c r="G126" s="251" t="s">
        <v>479</v>
      </c>
      <c r="H126" s="221" t="s">
        <v>795</v>
      </c>
      <c r="I126" s="260">
        <v>46190</v>
      </c>
      <c r="J126" s="260">
        <v>46192</v>
      </c>
      <c r="K126" s="260">
        <v>46190</v>
      </c>
      <c r="L126" s="260">
        <v>46192</v>
      </c>
      <c r="M126" s="231" t="s">
        <v>424</v>
      </c>
      <c r="N126" s="227" t="str" cm="1">
        <f t="array" ref="N126">_xlfn.IFS(L126&lt;$M$3,"Concluído",AND(K126&lt;=$M$3,L126&gt;=$M$3,L126&lt;=J126),"Em andamento",AND(K126&lt;=$M$3,L126&gt;=$M$3,L126&gt;J126),"Atrasado",AND(K126&gt;$M$3,I126&gt;$M$3),"Não iniciado",AND(K126&gt;$M$3,I126&lt;=$M$3),"Atrasado",TRUE,"Não iniciado")</f>
        <v>Não iniciado</v>
      </c>
      <c r="O126" s="231" cm="1">
        <f t="array" ref="O126">_xlfn.IFS(N126="Não iniciado",0,N126="Em andamento",1,N126="Concluído",2,N126="Atrasado",3)</f>
        <v>0</v>
      </c>
      <c r="P126" s="220"/>
      <c r="Q126" s="226" cm="1">
        <f t="array" ref="Q126">_xlfn.IFS(AND($I126&lt;$M$3,$J126&lt;$M$3),1,AND($I126&lt;=$M$3,$J126&gt;=$M$3),0.5,AND($I126&gt;=$M$3,$J126&gt;=$M$3),0)</f>
        <v>0</v>
      </c>
      <c r="R126" s="226" cm="1">
        <f t="array" ref="R126">_xlfn.IFS(AND($K126&lt;$M$3,$L126&lt;$M$3),1,AND($K126&lt;=$M$3,$L126&gt;=$M$3),0.5,AND($K126&gt;=$M$3,$L126&gt;=$M$3),0)</f>
        <v>0</v>
      </c>
      <c r="S126" s="226" cm="1">
        <f t="array" ref="S126">_xlfn.IFS(AND($K126&gt;R$7,$L126&gt;R$7),0,AND($K126&lt;=R$7,$L126&lt;=R$7),1,AND($K126&lt;=R$7,$L126&gt;R$7),((R$7-$K126)/($L126-$K126)))</f>
        <v>0</v>
      </c>
      <c r="T126" s="226" cm="1">
        <f t="array" ref="T126">_xlfn.IFS(AND($K126&gt;S$7,$L126&gt;S$7),0,AND($K126&lt;=S$7,$L126&lt;=S$7),1,AND($K126&lt;=S$7,$L126&gt;S$7),((S$7-$K126)/($L126-$K126)))</f>
        <v>0</v>
      </c>
      <c r="U126" s="226" cm="1">
        <f t="array" ref="U126">_xlfn.IFS(AND($K126&gt;T$7,$L126&gt;T$7),0,AND($K126&lt;=T$7,$L126&lt;=T$7),1,AND($K126&lt;=T$7,$L126&gt;T$7),((T$7-$K126)/($L126-$K126)))</f>
        <v>0</v>
      </c>
      <c r="V126" s="226" cm="1">
        <f t="array" ref="V126">_xlfn.IFS(AND($K126&gt;U$7,$L126&gt;U$7),0,AND($K126&lt;=U$7,$L126&lt;=U$7),1,AND($K126&lt;=U$7,$L126&gt;U$7),((U$7-$K126)/($L126-$K126)))</f>
        <v>0</v>
      </c>
      <c r="W126" s="226" cm="1">
        <f t="array" ref="W126">_xlfn.IFS(AND($K126&gt;V$7,$L126&gt;V$7),0,AND($K126&lt;=V$7,$L126&lt;=V$7),1,AND($K126&lt;=V$7,$L126&gt;V$7),((V$7-$K126)/($L126-$K126)))</f>
        <v>0</v>
      </c>
      <c r="X126" s="226" cm="1">
        <f t="array" ref="X126">_xlfn.IFS(AND($K126&gt;W$7,$L126&gt;W$7),0,AND($K126&lt;=W$7,$L126&lt;=W$7),1,AND($K126&lt;=W$7,$L126&gt;W$7),((W$7-$K126)/($L126-$K126)))</f>
        <v>0</v>
      </c>
      <c r="Y126" s="226" cm="1">
        <f t="array" ref="Y126">_xlfn.IFS(AND($K126&gt;X$7,$L126&gt;X$7),0,AND($K126&lt;=X$7,$L126&lt;=X$7),1,AND($K126&lt;=X$7,$L126&gt;X$7),((X$7-$K126)/($L126-$K126)))</f>
        <v>0</v>
      </c>
      <c r="Z126" s="226" cm="1">
        <f t="array" ref="Z126">_xlfn.IFS(AND($K126&gt;Y$7,$L126&gt;Y$7),0,AND($K126&lt;=Y$7,$L126&lt;=Y$7),1,AND($K126&lt;=Y$7,$L126&gt;Y$7),((Y$7-$K126)/($L126-$K126)))</f>
        <v>0</v>
      </c>
      <c r="AA126" s="226" cm="1">
        <f t="array" ref="AA126">_xlfn.IFS(AND($K126&gt;Z$7,$L126&gt;Z$7),0,AND($K126&lt;=Z$7,$L126&lt;=Z$7),1,AND($K126&lt;=Z$7,$L126&gt;Z$7),((Z$7-$K126)/($L126-$K126)))</f>
        <v>0</v>
      </c>
      <c r="AB126" s="226" cm="1">
        <f t="array" ref="AB126">_xlfn.IFS(AND($K126&gt;AA$7,$L126&gt;AA$7),0,AND($K126&lt;=AA$7,$L126&lt;=AA$7),1,AND($K126&lt;=AA$7,$L126&gt;AA$7),((AA$7-$K126)/($L126-$K126)))</f>
        <v>0</v>
      </c>
      <c r="AC126" s="226" cm="1">
        <f t="array" ref="AC126">_xlfn.IFS(AND($K126&gt;AB$7,$L126&gt;AB$7),0,AND($K126&lt;=AB$7,$L126&lt;=AB$7),1,AND($K126&lt;=AB$7,$L126&gt;AB$7),((AB$7-$K126)/($L126-$K126)))</f>
        <v>0</v>
      </c>
      <c r="AD126" s="226" cm="1">
        <f t="array" ref="AD126">_xlfn.IFS(AND($K126&gt;AC$7,$L126&gt;AC$7),0,AND($K126&lt;=AC$7,$L126&lt;=AC$7),1,AND($K126&lt;=AC$7,$L126&gt;AC$7),((AC$7-$K126)/($L126-$K126)))</f>
        <v>0</v>
      </c>
      <c r="AE126" s="226" cm="1">
        <f t="array" ref="AE126">_xlfn.IFS(AND($K126&gt;AD$7,$L126&gt;AD$7),0,AND($K126&lt;=AD$7,$L126&lt;=AD$7),1,AND($K126&lt;=AD$7,$L126&gt;AD$7),((AD$7-$K126)/($L126-$K126)))</f>
        <v>0</v>
      </c>
      <c r="AF126" s="226" cm="1">
        <f t="array" ref="AF126">_xlfn.IFS(AND($K126&gt;AE$7,$L126&gt;AE$7),0,AND($K126&lt;=AE$7,$L126&lt;=AE$7),1,AND($K126&lt;=AE$7,$L126&gt;AE$7),((AE$7-$K126)/($L126-$K126)))</f>
        <v>1</v>
      </c>
      <c r="AG126" s="226" cm="1">
        <f t="array" ref="AG126">_xlfn.IFS(AND($K126&gt;AF$7,$L126&gt;AF$7),0,AND($K126&lt;=AF$7,$L126&lt;=AF$7),1,AND($K126&lt;=AF$7,$L126&gt;AF$7),((AF$7-$K126)/($L126-$K126)))</f>
        <v>1</v>
      </c>
      <c r="AH126" s="226" cm="1">
        <f t="array" ref="AH126">_xlfn.IFS(AND($K126&gt;AG$7,$L126&gt;AG$7),0,AND($K126&lt;=AG$7,$L126&lt;=AG$7),1,AND($K126&lt;=AG$7,$L126&gt;AG$7),((AG$7-$K126)/($L126-$K126)))</f>
        <v>1</v>
      </c>
      <c r="AI126" s="226" cm="1">
        <f t="array" ref="AI126">_xlfn.IFS(AND($K126&gt;AH$7,$L126&gt;AH$7),0,AND($K126&lt;=AH$7,$L126&lt;=AH$7),1,AND($K126&lt;=AH$7,$L126&gt;AH$7),((AH$7-$K126)/($L126-$K126)))</f>
        <v>1</v>
      </c>
      <c r="AJ126" s="226" cm="1">
        <f t="array" ref="AJ126">_xlfn.IFS(AND($K126&gt;AI$7,$L126&gt;AI$7),0,AND($K126&lt;=AI$7,$L126&lt;=AI$7),1,AND($K126&lt;=AI$7,$L126&gt;AI$7),((AI$7-$K126)/($L126-$K126)))</f>
        <v>1</v>
      </c>
      <c r="AK126" s="226" cm="1">
        <f t="array" ref="AK126">_xlfn.IFS(AND($K126&gt;AJ$7,$L126&gt;AJ$7),0,AND($K126&lt;=AJ$7,$L126&lt;=AJ$7),1,AND($K126&lt;=AJ$7,$L126&gt;AJ$7),((AJ$7-$K126)/($L126-$K126)))</f>
        <v>1</v>
      </c>
      <c r="AL126" s="226" cm="1">
        <f t="array" ref="AL126">_xlfn.IFS(AND($K126&gt;AK$7,$L126&gt;AK$7),0,AND($K126&lt;=AK$7,$L126&lt;=AK$7),1,AND($K126&lt;=AK$7,$L126&gt;AK$7),((AK$7-$K126)/($L126-$K126)))</f>
        <v>1</v>
      </c>
      <c r="AM126" s="226" cm="1">
        <f t="array" ref="AM126">_xlfn.IFS(AND($K126&gt;AL$7,$L126&gt;AL$7),0,AND($K126&lt;=AL$7,$L126&lt;=AL$7),1,AND($K126&lt;=AL$7,$L126&gt;AL$7),((AL$7-$K126)/($L126-$K126)))</f>
        <v>1</v>
      </c>
      <c r="AN126" s="226" cm="1">
        <f t="array" ref="AN126">_xlfn.IFS(AND($K126&gt;AM$7,$L126&gt;AM$7),0,AND($K126&lt;=AM$7,$L126&lt;=AM$7),1,AND($K126&lt;=AM$7,$L126&gt;AM$7),((AM$7-$K126)/($L126-$K126)))</f>
        <v>1</v>
      </c>
      <c r="AO126" s="226" cm="1">
        <f t="array" ref="AO126">_xlfn.IFS(AND($K126&gt;AN$7,$L126&gt;AN$7),0,AND($K126&lt;=AN$7,$L126&lt;=AN$7),1,AND($K126&lt;=AN$7,$L126&gt;AN$7),((AN$7-$K126)/($L126-$K126)))</f>
        <v>1</v>
      </c>
      <c r="AP126" s="226" cm="1">
        <f t="array" ref="AP126">_xlfn.IFS(AND($K126&gt;AO$7,$L126&gt;AO$7),0,AND($K126&lt;=AO$7,$L126&lt;=AO$7),1,AND($K126&lt;=AO$7,$L126&gt;AO$7),((AO$7-$K126)/($L126-$K126)))</f>
        <v>1</v>
      </c>
      <c r="AQ126" s="226" cm="1">
        <f t="array" ref="AQ126">_xlfn.IFS(AND($K126&gt;AP$7,$L126&gt;AP$7),0,AND($K126&lt;=AP$7,$L126&lt;=AP$7),1,AND($K126&lt;=AP$7,$L126&gt;AP$7),((AP$7-$K126)/($L126-$K126)))</f>
        <v>1</v>
      </c>
      <c r="AR126" s="226" cm="1">
        <f t="array" ref="AR126">_xlfn.IFS(AND($K126&gt;AQ$7,$L126&gt;AQ$7),0,AND($K126&lt;=AQ$7,$L126&lt;=AQ$7),1,AND($K126&lt;=AQ$7,$L126&gt;AQ$7),((AQ$7-$K126)/($L126-$K126)))</f>
        <v>1</v>
      </c>
      <c r="AS126" s="226" cm="1">
        <f t="array" ref="AS126">_xlfn.IFS(AND($K126&gt;AR$7,$L126&gt;AR$7),0,AND($K126&lt;=AR$7,$L126&lt;=AR$7),1,AND($K126&lt;=AR$7,$L126&gt;AR$7),((AR$7-$K126)/($L126-$K126)))</f>
        <v>1</v>
      </c>
      <c r="AT126" s="226" cm="1">
        <f t="array" ref="AT126">_xlfn.IFS(AND($K126&gt;AS$7,$L126&gt;AS$7),0,AND($K126&lt;=AS$7,$L126&lt;=AS$7),1,AND($K126&lt;=AS$7,$L126&gt;AS$7),((AS$7-$K126)/($L126-$K126)))</f>
        <v>1</v>
      </c>
      <c r="AU126" s="226" cm="1">
        <f t="array" ref="AU126">_xlfn.IFS(AND($K126&gt;AT$7,$L126&gt;AT$7),0,AND($K126&lt;=AT$7,$L126&lt;=AT$7),1,AND($K126&lt;=AT$7,$L126&gt;AT$7),((AT$7-$K126)/($L126-$K126)))</f>
        <v>1</v>
      </c>
      <c r="AV126" s="226" cm="1">
        <f t="array" ref="AV126">_xlfn.IFS(AND($K126&gt;AU$7,$L126&gt;AU$7),0,AND($K126&lt;=AU$7,$L126&lt;=AU$7),1,AND($K126&lt;=AU$7,$L126&gt;AU$7),((AU$7-$K126)/($L126-$K126)))</f>
        <v>1</v>
      </c>
      <c r="AW126" s="226" cm="1">
        <f t="array" ref="AW126">_xlfn.IFS(AND($K126&gt;AV$7,$L126&gt;AV$7),0,AND($K126&lt;=AV$7,$L126&lt;=AV$7),1,AND($K126&lt;=AV$7,$L126&gt;AV$7),((AV$7-$K126)/($L126-$K126)))</f>
        <v>1</v>
      </c>
      <c r="AX126" s="226" cm="1">
        <f t="array" ref="AX126">_xlfn.IFS(AND($K126&gt;AW$7,$L126&gt;AW$7),0,AND($K126&lt;=AW$7,$L126&lt;=AW$7),1,AND($K126&lt;=AW$7,$L126&gt;AW$7),((AW$7-$K126)/($L126-$K126)))</f>
        <v>1</v>
      </c>
      <c r="AY126" s="226" cm="1">
        <f t="array" ref="AY126">_xlfn.IFS(AND($K126&gt;AX$7,$L126&gt;AX$7),0,AND($K126&lt;=AX$7,$L126&lt;=AX$7),1,AND($K126&lt;=AX$7,$L126&gt;AX$7),((AX$7-$K126)/($L126-$K126)))</f>
        <v>1</v>
      </c>
      <c r="AZ126" s="226" cm="1">
        <f t="array" ref="AZ126">_xlfn.IFS(AND($K126&gt;AY$7,$L126&gt;AY$7),0,AND($K126&lt;=AY$7,$L126&lt;=AY$7),1,AND($K126&lt;=AY$7,$L126&gt;AY$7),((AY$7-$K126)/($L126-$K126)))</f>
        <v>1</v>
      </c>
      <c r="BA126" s="226" cm="1">
        <f t="array" ref="BA126">_xlfn.IFS(AND($K126&gt;AZ$7,$L126&gt;AZ$7),0,AND($K126&lt;=AZ$7,$L126&lt;=AZ$7),1,AND($K126&lt;=AZ$7,$L126&gt;AZ$7),((AZ$7-$K126)/($L126-$K126)))</f>
        <v>1</v>
      </c>
      <c r="BB126" s="226" cm="1">
        <f t="array" ref="BB126">_xlfn.IFS(AND($K126&gt;BA$7,$L126&gt;BA$7),0,AND($K126&lt;=BA$7,$L126&lt;=BA$7),1,AND($K126&lt;=BA$7,$L126&gt;BA$7),((BA$7-$K126)/($L126-$K126)))</f>
        <v>1</v>
      </c>
      <c r="BC126" s="226" cm="1">
        <f t="array" ref="BC126">_xlfn.IFS(AND($K126&gt;BB$7,$L126&gt;BB$7),0,AND($K126&lt;=BB$7,$L126&lt;=BB$7),1,AND($K126&lt;=BB$7,$L126&gt;BB$7),((BB$7-$K126)/($L126-$K126)))</f>
        <v>1</v>
      </c>
      <c r="BD126" s="226" cm="1">
        <f t="array" ref="BD126">_xlfn.IFS(AND($K126&gt;BC$7,$L126&gt;BC$7),0,AND($K126&lt;=BC$7,$L126&lt;=BC$7),1,AND($K126&lt;=BC$7,$L126&gt;BC$7),((BC$7-$K126)/($L126-$K126)))</f>
        <v>1</v>
      </c>
      <c r="BE126" s="226" cm="1">
        <f t="array" ref="BE126">_xlfn.IFS(AND($K126&gt;BD$7,$L126&gt;BD$7),0,AND($K126&lt;=BD$7,$L126&lt;=BD$7),1,AND($K126&lt;=BD$7,$L126&gt;BD$7),((BD$7-$K126)/($L126-$K126)))</f>
        <v>1</v>
      </c>
      <c r="BF126" s="226" cm="1">
        <f t="array" ref="BF126">_xlfn.IFS(AND($K126&gt;BE$7,$L126&gt;BE$7),0,AND($K126&lt;=BE$7,$L126&lt;=BE$7),1,AND($K126&lt;=BE$7,$L126&gt;BE$7),((BE$7-$K126)/($L126-$K126)))</f>
        <v>1</v>
      </c>
      <c r="BG126" s="226" cm="1">
        <f t="array" ref="BG126">_xlfn.IFS(AND($K126&gt;BF$7,$L126&gt;BF$7),0,AND($K126&lt;=BF$7,$L126&lt;=BF$7),1,AND($K126&lt;=BF$7,$L126&gt;BF$7),((BF$7-$K126)/($L126-$K126)))</f>
        <v>1</v>
      </c>
      <c r="BH126" s="163">
        <f>Tab.plano6[[#This Row],[Data Término
Prevista]]-Tab.plano6[[#This Row],[Data Início
Previsto]]</f>
        <v>2</v>
      </c>
    </row>
    <row r="127" spans="1:60" customFormat="1" ht="18" hidden="1" customHeight="1" x14ac:dyDescent="0.3">
      <c r="A127" s="214"/>
      <c r="B127" s="214" t="s">
        <v>11</v>
      </c>
      <c r="C127" s="214" t="s">
        <v>326</v>
      </c>
      <c r="D127" s="248" t="s">
        <v>399</v>
      </c>
      <c r="E127" s="248" t="s">
        <v>74</v>
      </c>
      <c r="F127" s="248" t="s">
        <v>74</v>
      </c>
      <c r="G127" s="248" t="s">
        <v>74</v>
      </c>
      <c r="H127" s="215" t="s">
        <v>573</v>
      </c>
      <c r="I127" s="256">
        <f>MIN(I128)</f>
        <v>46195</v>
      </c>
      <c r="J127" s="256">
        <f>MAX(J128)</f>
        <v>46203</v>
      </c>
      <c r="K127" s="256">
        <f>MIN(K128)</f>
        <v>46195</v>
      </c>
      <c r="L127" s="256">
        <f>MAX(L128)</f>
        <v>46203</v>
      </c>
      <c r="M127" s="228" t="s">
        <v>400</v>
      </c>
      <c r="N127" s="227" t="str" cm="1">
        <f t="array" ref="N127">_xlfn.IFS(L127&lt;$M$3,"Concluído",AND(K127&lt;=$M$3,L127&gt;=$M$3,L127&lt;=J127),"Em andamento",AND(K127&lt;=$M$3,L127&gt;=$M$3,L127&gt;J127),"Atrasado",AND(K127&gt;$M$3,I127&gt;$M$3),"Não iniciado",AND(K127&gt;$M$3,I127&lt;=$M$3),"Atrasado",TRUE,"Não iniciado")</f>
        <v>Não iniciado</v>
      </c>
      <c r="O127" s="228" cm="1">
        <f t="array" ref="O127">_xlfn.IFS(N127="Não iniciado",0,N127="Em andamento",1,N127="Concluído",2,N127="Atrasado",3)</f>
        <v>0</v>
      </c>
      <c r="P127" s="214"/>
      <c r="Q127" s="223">
        <f t="shared" ref="Q127:Z128" si="51">Q128</f>
        <v>0</v>
      </c>
      <c r="R127" s="223">
        <f t="shared" si="51"/>
        <v>0</v>
      </c>
      <c r="S127" s="223">
        <f t="shared" si="51"/>
        <v>0</v>
      </c>
      <c r="T127" s="223">
        <f t="shared" si="51"/>
        <v>0</v>
      </c>
      <c r="U127" s="223">
        <f t="shared" si="51"/>
        <v>0</v>
      </c>
      <c r="V127" s="223">
        <f t="shared" si="51"/>
        <v>0</v>
      </c>
      <c r="W127" s="223">
        <f t="shared" si="51"/>
        <v>0</v>
      </c>
      <c r="X127" s="223">
        <f t="shared" si="51"/>
        <v>0</v>
      </c>
      <c r="Y127" s="223">
        <f t="shared" si="51"/>
        <v>0</v>
      </c>
      <c r="Z127" s="223">
        <f t="shared" si="51"/>
        <v>0</v>
      </c>
      <c r="AA127" s="223">
        <f t="shared" ref="AA127:AJ128" si="52">AA128</f>
        <v>0</v>
      </c>
      <c r="AB127" s="223">
        <f t="shared" si="52"/>
        <v>0</v>
      </c>
      <c r="AC127" s="223">
        <f t="shared" si="52"/>
        <v>0</v>
      </c>
      <c r="AD127" s="223">
        <f t="shared" si="52"/>
        <v>0</v>
      </c>
      <c r="AE127" s="223">
        <f t="shared" si="52"/>
        <v>0</v>
      </c>
      <c r="AF127" s="223">
        <f t="shared" si="52"/>
        <v>0</v>
      </c>
      <c r="AG127" s="223">
        <f t="shared" si="52"/>
        <v>0.55555555555555547</v>
      </c>
      <c r="AH127" s="223">
        <f t="shared" si="52"/>
        <v>1</v>
      </c>
      <c r="AI127" s="223">
        <f t="shared" si="52"/>
        <v>1</v>
      </c>
      <c r="AJ127" s="223">
        <f t="shared" si="52"/>
        <v>1</v>
      </c>
      <c r="AK127" s="223">
        <f t="shared" ref="AK127:AT128" si="53">AK128</f>
        <v>1</v>
      </c>
      <c r="AL127" s="223">
        <f t="shared" si="53"/>
        <v>1</v>
      </c>
      <c r="AM127" s="223">
        <f t="shared" si="53"/>
        <v>1</v>
      </c>
      <c r="AN127" s="223">
        <f t="shared" si="53"/>
        <v>1</v>
      </c>
      <c r="AO127" s="223">
        <f t="shared" si="53"/>
        <v>1</v>
      </c>
      <c r="AP127" s="223">
        <f t="shared" si="53"/>
        <v>1</v>
      </c>
      <c r="AQ127" s="223">
        <f t="shared" si="53"/>
        <v>1</v>
      </c>
      <c r="AR127" s="223">
        <f t="shared" si="53"/>
        <v>1</v>
      </c>
      <c r="AS127" s="223">
        <f t="shared" si="53"/>
        <v>1</v>
      </c>
      <c r="AT127" s="223">
        <f t="shared" si="53"/>
        <v>1</v>
      </c>
      <c r="AU127" s="223">
        <f t="shared" ref="AU127:BD128" si="54">AU128</f>
        <v>1</v>
      </c>
      <c r="AV127" s="223">
        <f t="shared" si="54"/>
        <v>1</v>
      </c>
      <c r="AW127" s="223">
        <f t="shared" si="54"/>
        <v>1</v>
      </c>
      <c r="AX127" s="223">
        <f t="shared" si="54"/>
        <v>1</v>
      </c>
      <c r="AY127" s="223">
        <f t="shared" si="54"/>
        <v>1</v>
      </c>
      <c r="AZ127" s="223">
        <f t="shared" si="54"/>
        <v>1</v>
      </c>
      <c r="BA127" s="223">
        <f t="shared" si="54"/>
        <v>1</v>
      </c>
      <c r="BB127" s="223">
        <f t="shared" si="54"/>
        <v>1</v>
      </c>
      <c r="BC127" s="223">
        <f t="shared" si="54"/>
        <v>1</v>
      </c>
      <c r="BD127" s="223">
        <f t="shared" si="54"/>
        <v>1</v>
      </c>
      <c r="BE127" s="223">
        <f t="shared" ref="BE127:BG128" si="55">BE128</f>
        <v>1</v>
      </c>
      <c r="BF127" s="223">
        <f t="shared" si="55"/>
        <v>1</v>
      </c>
      <c r="BG127" s="223">
        <f t="shared" si="55"/>
        <v>1</v>
      </c>
      <c r="BH127">
        <f>Tab.plano6[[#This Row],[Data Término
Prevista]]-Tab.plano6[[#This Row],[Data Início
Previsto]]</f>
        <v>8</v>
      </c>
    </row>
    <row r="128" spans="1:60" customFormat="1" ht="18" hidden="1" customHeight="1" x14ac:dyDescent="0.3">
      <c r="A128" s="216"/>
      <c r="B128" s="216" t="s">
        <v>12</v>
      </c>
      <c r="C128" s="216" t="s">
        <v>328</v>
      </c>
      <c r="D128" s="249" t="s">
        <v>399</v>
      </c>
      <c r="E128" s="249" t="s">
        <v>573</v>
      </c>
      <c r="F128" s="249" t="s">
        <v>74</v>
      </c>
      <c r="G128" s="249" t="s">
        <v>74</v>
      </c>
      <c r="H128" s="217" t="s">
        <v>574</v>
      </c>
      <c r="I128" s="257">
        <f>I129</f>
        <v>46195</v>
      </c>
      <c r="J128" s="257">
        <f>J129</f>
        <v>46203</v>
      </c>
      <c r="K128" s="257">
        <f>K129</f>
        <v>46195</v>
      </c>
      <c r="L128" s="257">
        <f>L129</f>
        <v>46203</v>
      </c>
      <c r="M128" s="229" t="s">
        <v>400</v>
      </c>
      <c r="N128" s="227" t="str" cm="1">
        <f t="array" ref="N128">_xlfn.IFS(L128&lt;$M$3,"Concluído",AND(K128&lt;=$M$3,L128&gt;=$M$3,L128&lt;=J128),"Em andamento",AND(K128&lt;=$M$3,L128&gt;=$M$3,L128&gt;J128),"Atrasado",AND(K128&gt;$M$3,I128&gt;$M$3),"Não iniciado",AND(K128&gt;$M$3,I128&lt;=$M$3),"Atrasado",TRUE,"Não iniciado")</f>
        <v>Não iniciado</v>
      </c>
      <c r="O128" s="229" cm="1">
        <f t="array" ref="O128">_xlfn.IFS(N128="Não iniciado",0,N128="Em andamento",1,N128="Concluído",2,N128="Atrasado",3)</f>
        <v>0</v>
      </c>
      <c r="P128" s="216"/>
      <c r="Q128" s="224">
        <f t="shared" si="51"/>
        <v>0</v>
      </c>
      <c r="R128" s="224">
        <f t="shared" si="51"/>
        <v>0</v>
      </c>
      <c r="S128" s="224">
        <f t="shared" si="51"/>
        <v>0</v>
      </c>
      <c r="T128" s="224">
        <f t="shared" si="51"/>
        <v>0</v>
      </c>
      <c r="U128" s="224">
        <f t="shared" si="51"/>
        <v>0</v>
      </c>
      <c r="V128" s="224">
        <f t="shared" si="51"/>
        <v>0</v>
      </c>
      <c r="W128" s="224">
        <f t="shared" si="51"/>
        <v>0</v>
      </c>
      <c r="X128" s="224">
        <f t="shared" si="51"/>
        <v>0</v>
      </c>
      <c r="Y128" s="224">
        <f t="shared" si="51"/>
        <v>0</v>
      </c>
      <c r="Z128" s="224">
        <f t="shared" si="51"/>
        <v>0</v>
      </c>
      <c r="AA128" s="224">
        <f t="shared" si="52"/>
        <v>0</v>
      </c>
      <c r="AB128" s="224">
        <f t="shared" si="52"/>
        <v>0</v>
      </c>
      <c r="AC128" s="224">
        <f t="shared" si="52"/>
        <v>0</v>
      </c>
      <c r="AD128" s="224">
        <f t="shared" si="52"/>
        <v>0</v>
      </c>
      <c r="AE128" s="224">
        <f t="shared" si="52"/>
        <v>0</v>
      </c>
      <c r="AF128" s="224">
        <f t="shared" si="52"/>
        <v>0</v>
      </c>
      <c r="AG128" s="224">
        <f t="shared" si="52"/>
        <v>0.55555555555555547</v>
      </c>
      <c r="AH128" s="224">
        <f t="shared" si="52"/>
        <v>1</v>
      </c>
      <c r="AI128" s="224">
        <f t="shared" si="52"/>
        <v>1</v>
      </c>
      <c r="AJ128" s="224">
        <f t="shared" si="52"/>
        <v>1</v>
      </c>
      <c r="AK128" s="224">
        <f t="shared" si="53"/>
        <v>1</v>
      </c>
      <c r="AL128" s="224">
        <f t="shared" si="53"/>
        <v>1</v>
      </c>
      <c r="AM128" s="224">
        <f t="shared" si="53"/>
        <v>1</v>
      </c>
      <c r="AN128" s="224">
        <f t="shared" si="53"/>
        <v>1</v>
      </c>
      <c r="AO128" s="224">
        <f t="shared" si="53"/>
        <v>1</v>
      </c>
      <c r="AP128" s="224">
        <f t="shared" si="53"/>
        <v>1</v>
      </c>
      <c r="AQ128" s="224">
        <f t="shared" si="53"/>
        <v>1</v>
      </c>
      <c r="AR128" s="224">
        <f t="shared" si="53"/>
        <v>1</v>
      </c>
      <c r="AS128" s="224">
        <f t="shared" si="53"/>
        <v>1</v>
      </c>
      <c r="AT128" s="224">
        <f t="shared" si="53"/>
        <v>1</v>
      </c>
      <c r="AU128" s="224">
        <f t="shared" si="54"/>
        <v>1</v>
      </c>
      <c r="AV128" s="224">
        <f t="shared" si="54"/>
        <v>1</v>
      </c>
      <c r="AW128" s="224">
        <f t="shared" si="54"/>
        <v>1</v>
      </c>
      <c r="AX128" s="224">
        <f t="shared" si="54"/>
        <v>1</v>
      </c>
      <c r="AY128" s="224">
        <f t="shared" si="54"/>
        <v>1</v>
      </c>
      <c r="AZ128" s="224">
        <f t="shared" si="54"/>
        <v>1</v>
      </c>
      <c r="BA128" s="224">
        <f t="shared" si="54"/>
        <v>1</v>
      </c>
      <c r="BB128" s="224">
        <f t="shared" si="54"/>
        <v>1</v>
      </c>
      <c r="BC128" s="224">
        <f t="shared" si="54"/>
        <v>1</v>
      </c>
      <c r="BD128" s="224">
        <f t="shared" si="54"/>
        <v>1</v>
      </c>
      <c r="BE128" s="224">
        <f t="shared" si="55"/>
        <v>1</v>
      </c>
      <c r="BF128" s="224">
        <f t="shared" si="55"/>
        <v>1</v>
      </c>
      <c r="BG128" s="224">
        <f t="shared" si="55"/>
        <v>1</v>
      </c>
      <c r="BH128">
        <f>Tab.plano6[[#This Row],[Data Término
Prevista]]-Tab.plano6[[#This Row],[Data Início
Previsto]]</f>
        <v>8</v>
      </c>
    </row>
    <row r="129" spans="1:60" customFormat="1" ht="18" hidden="1" customHeight="1" x14ac:dyDescent="0.3">
      <c r="A129" s="218"/>
      <c r="B129" s="218" t="s">
        <v>13</v>
      </c>
      <c r="C129" s="218" t="s">
        <v>330</v>
      </c>
      <c r="D129" s="250" t="s">
        <v>399</v>
      </c>
      <c r="E129" s="250" t="s">
        <v>573</v>
      </c>
      <c r="F129" s="250" t="s">
        <v>574</v>
      </c>
      <c r="G129" s="250" t="s">
        <v>74</v>
      </c>
      <c r="H129" s="219" t="s">
        <v>574</v>
      </c>
      <c r="I129" s="258">
        <f>MIN(I130,I131:I132)</f>
        <v>46195</v>
      </c>
      <c r="J129" s="258">
        <f>MAX(J130,J131:J132)</f>
        <v>46203</v>
      </c>
      <c r="K129" s="258">
        <f>MIN(K130,K131:K132)</f>
        <v>46195</v>
      </c>
      <c r="L129" s="258">
        <f>MAX(L130,L131:L132)</f>
        <v>46203</v>
      </c>
      <c r="M129" s="230" t="s">
        <v>400</v>
      </c>
      <c r="N129" s="227" t="str" cm="1">
        <f t="array" ref="N129">_xlfn.IFS(L129&lt;$M$3,"Concluído",AND(K129&lt;=$M$3,L129&gt;=$M$3,L129&lt;=J129),"Em andamento",AND(K129&lt;=$M$3,L129&gt;=$M$3,L129&gt;J129),"Atrasado",AND(K129&gt;$M$3,I129&gt;$M$3),"Não iniciado",AND(K129&gt;$M$3,I129&lt;=$M$3),"Atrasado",TRUE,"Não iniciado")</f>
        <v>Não iniciado</v>
      </c>
      <c r="O129" s="230" cm="1">
        <f t="array" ref="O129">_xlfn.IFS(N129="Não iniciado",0,N129="Em andamento",1,N129="Concluído",2,N129="Atrasado",3)</f>
        <v>0</v>
      </c>
      <c r="P129" s="218"/>
      <c r="Q129" s="225">
        <f t="shared" ref="Q129:BG129" si="56">AVERAGE(Q130,Q131:Q132)</f>
        <v>0</v>
      </c>
      <c r="R129" s="225">
        <f t="shared" si="56"/>
        <v>0</v>
      </c>
      <c r="S129" s="225">
        <f t="shared" si="56"/>
        <v>0</v>
      </c>
      <c r="T129" s="225">
        <f t="shared" si="56"/>
        <v>0</v>
      </c>
      <c r="U129" s="225">
        <f t="shared" si="56"/>
        <v>0</v>
      </c>
      <c r="V129" s="225">
        <f t="shared" si="56"/>
        <v>0</v>
      </c>
      <c r="W129" s="225">
        <f t="shared" si="56"/>
        <v>0</v>
      </c>
      <c r="X129" s="225">
        <f t="shared" si="56"/>
        <v>0</v>
      </c>
      <c r="Y129" s="225">
        <f t="shared" si="56"/>
        <v>0</v>
      </c>
      <c r="Z129" s="225">
        <f t="shared" si="56"/>
        <v>0</v>
      </c>
      <c r="AA129" s="225">
        <f t="shared" si="56"/>
        <v>0</v>
      </c>
      <c r="AB129" s="225">
        <f t="shared" si="56"/>
        <v>0</v>
      </c>
      <c r="AC129" s="225">
        <f t="shared" si="56"/>
        <v>0</v>
      </c>
      <c r="AD129" s="225">
        <f t="shared" si="56"/>
        <v>0</v>
      </c>
      <c r="AE129" s="225">
        <f t="shared" si="56"/>
        <v>0</v>
      </c>
      <c r="AF129" s="225">
        <f t="shared" si="56"/>
        <v>0</v>
      </c>
      <c r="AG129" s="225">
        <f t="shared" si="56"/>
        <v>0.55555555555555547</v>
      </c>
      <c r="AH129" s="225">
        <f t="shared" si="56"/>
        <v>1</v>
      </c>
      <c r="AI129" s="225">
        <f t="shared" si="56"/>
        <v>1</v>
      </c>
      <c r="AJ129" s="225">
        <f t="shared" si="56"/>
        <v>1</v>
      </c>
      <c r="AK129" s="225">
        <f t="shared" si="56"/>
        <v>1</v>
      </c>
      <c r="AL129" s="225">
        <f t="shared" si="56"/>
        <v>1</v>
      </c>
      <c r="AM129" s="225">
        <f t="shared" si="56"/>
        <v>1</v>
      </c>
      <c r="AN129" s="225">
        <f t="shared" si="56"/>
        <v>1</v>
      </c>
      <c r="AO129" s="225">
        <f t="shared" si="56"/>
        <v>1</v>
      </c>
      <c r="AP129" s="225">
        <f t="shared" si="56"/>
        <v>1</v>
      </c>
      <c r="AQ129" s="225">
        <f t="shared" si="56"/>
        <v>1</v>
      </c>
      <c r="AR129" s="225">
        <f t="shared" si="56"/>
        <v>1</v>
      </c>
      <c r="AS129" s="225">
        <f t="shared" si="56"/>
        <v>1</v>
      </c>
      <c r="AT129" s="225">
        <f t="shared" si="56"/>
        <v>1</v>
      </c>
      <c r="AU129" s="225">
        <f t="shared" si="56"/>
        <v>1</v>
      </c>
      <c r="AV129" s="225">
        <f t="shared" si="56"/>
        <v>1</v>
      </c>
      <c r="AW129" s="225">
        <f t="shared" si="56"/>
        <v>1</v>
      </c>
      <c r="AX129" s="225">
        <f t="shared" si="56"/>
        <v>1</v>
      </c>
      <c r="AY129" s="225">
        <f t="shared" si="56"/>
        <v>1</v>
      </c>
      <c r="AZ129" s="225">
        <f t="shared" si="56"/>
        <v>1</v>
      </c>
      <c r="BA129" s="225">
        <f t="shared" si="56"/>
        <v>1</v>
      </c>
      <c r="BB129" s="225">
        <f t="shared" si="56"/>
        <v>1</v>
      </c>
      <c r="BC129" s="225">
        <f t="shared" si="56"/>
        <v>1</v>
      </c>
      <c r="BD129" s="225">
        <f t="shared" si="56"/>
        <v>1</v>
      </c>
      <c r="BE129" s="225">
        <f t="shared" si="56"/>
        <v>1</v>
      </c>
      <c r="BF129" s="225">
        <f t="shared" si="56"/>
        <v>1</v>
      </c>
      <c r="BG129" s="225">
        <f t="shared" si="56"/>
        <v>1</v>
      </c>
      <c r="BH129">
        <f>Tab.plano6[[#This Row],[Data Término
Prevista]]-Tab.plano6[[#This Row],[Data Início
Previsto]]</f>
        <v>8</v>
      </c>
    </row>
    <row r="130" spans="1:60" customFormat="1" ht="18" hidden="1" customHeight="1" x14ac:dyDescent="0.3">
      <c r="A130" s="220"/>
      <c r="B130" s="220" t="s">
        <v>161</v>
      </c>
      <c r="C130" s="220" t="s">
        <v>331</v>
      </c>
      <c r="D130" s="251" t="s">
        <v>399</v>
      </c>
      <c r="E130" s="251" t="s">
        <v>573</v>
      </c>
      <c r="F130" s="251" t="s">
        <v>574</v>
      </c>
      <c r="G130" s="251" t="s">
        <v>574</v>
      </c>
      <c r="H130" s="221" t="s">
        <v>575</v>
      </c>
      <c r="I130" s="260">
        <v>46195</v>
      </c>
      <c r="J130" s="260">
        <v>46199</v>
      </c>
      <c r="K130" s="260">
        <v>46195</v>
      </c>
      <c r="L130" s="260">
        <v>46199</v>
      </c>
      <c r="M130" s="231" t="s">
        <v>400</v>
      </c>
      <c r="N130" s="227" t="str" cm="1">
        <f t="array" ref="N130">_xlfn.IFS(L130&lt;$M$3,"Concluído",AND(K130&lt;=$M$3,L130&gt;=$M$3,L130&lt;=J130),"Em andamento",AND(K130&lt;=$M$3,L130&gt;=$M$3,L130&gt;J130),"Atrasado",AND(K130&gt;$M$3,I130&gt;$M$3),"Não iniciado",AND(K130&gt;$M$3,I130&lt;=$M$3),"Atrasado",TRUE,"Não iniciado")</f>
        <v>Não iniciado</v>
      </c>
      <c r="O130" s="231" cm="1">
        <f t="array" ref="O130">_xlfn.IFS(N130="Não iniciado",0,N130="Em andamento",1,N130="Concluído",2,N130="Atrasado",3)</f>
        <v>0</v>
      </c>
      <c r="P130" s="220"/>
      <c r="Q130" s="226" cm="1">
        <f t="array" ref="Q130">_xlfn.IFS(AND($I130&lt;$M$3,$J130&lt;$M$3),1,AND($I130&lt;=$M$3,$J130&gt;=$M$3),0.5,AND($I130&gt;=$M$3,$J130&gt;=$M$3),0)</f>
        <v>0</v>
      </c>
      <c r="R130" s="226" cm="1">
        <f t="array" ref="R130">_xlfn.IFS(AND($K130&lt;$M$3,$L130&lt;$M$3),1,AND($K130&lt;=$M$3,$L130&gt;=$M$3),0.5,AND($K130&gt;=$M$3,$L130&gt;=$M$3),0)</f>
        <v>0</v>
      </c>
      <c r="S130" s="226" cm="1">
        <f t="array" ref="S130">_xlfn.IFS(AND($K130&gt;R$7,$L130&gt;R$7),0,AND($K130&lt;=R$7,$L130&lt;=R$7),1,AND($K130&lt;=R$7,$L130&gt;R$7),((R$7-$K130)/($L130-$K130)))</f>
        <v>0</v>
      </c>
      <c r="T130" s="226" cm="1">
        <f t="array" ref="T130">_xlfn.IFS(AND($K130&gt;S$7,$L130&gt;S$7),0,AND($K130&lt;=S$7,$L130&lt;=S$7),1,AND($K130&lt;=S$7,$L130&gt;S$7),((S$7-$K130)/($L130-$K130)))</f>
        <v>0</v>
      </c>
      <c r="U130" s="226" cm="1">
        <f t="array" ref="U130">_xlfn.IFS(AND($K130&gt;T$7,$L130&gt;T$7),0,AND($K130&lt;=T$7,$L130&lt;=T$7),1,AND($K130&lt;=T$7,$L130&gt;T$7),((T$7-$K130)/($L130-$K130)))</f>
        <v>0</v>
      </c>
      <c r="V130" s="226" cm="1">
        <f t="array" ref="V130">_xlfn.IFS(AND($K130&gt;U$7,$L130&gt;U$7),0,AND($K130&lt;=U$7,$L130&lt;=U$7),1,AND($K130&lt;=U$7,$L130&gt;U$7),((U$7-$K130)/($L130-$K130)))</f>
        <v>0</v>
      </c>
      <c r="W130" s="226" cm="1">
        <f t="array" ref="W130">_xlfn.IFS(AND($K130&gt;V$7,$L130&gt;V$7),0,AND($K130&lt;=V$7,$L130&lt;=V$7),1,AND($K130&lt;=V$7,$L130&gt;V$7),((V$7-$K130)/($L130-$K130)))</f>
        <v>0</v>
      </c>
      <c r="X130" s="226" cm="1">
        <f t="array" ref="X130">_xlfn.IFS(AND($K130&gt;W$7,$L130&gt;W$7),0,AND($K130&lt;=W$7,$L130&lt;=W$7),1,AND($K130&lt;=W$7,$L130&gt;W$7),((W$7-$K130)/($L130-$K130)))</f>
        <v>0</v>
      </c>
      <c r="Y130" s="226" cm="1">
        <f t="array" ref="Y130">_xlfn.IFS(AND($K130&gt;X$7,$L130&gt;X$7),0,AND($K130&lt;=X$7,$L130&lt;=X$7),1,AND($K130&lt;=X$7,$L130&gt;X$7),((X$7-$K130)/($L130-$K130)))</f>
        <v>0</v>
      </c>
      <c r="Z130" s="226" cm="1">
        <f t="array" ref="Z130">_xlfn.IFS(AND($K130&gt;Y$7,$L130&gt;Y$7),0,AND($K130&lt;=Y$7,$L130&lt;=Y$7),1,AND($K130&lt;=Y$7,$L130&gt;Y$7),((Y$7-$K130)/($L130-$K130)))</f>
        <v>0</v>
      </c>
      <c r="AA130" s="226" cm="1">
        <f t="array" ref="AA130">_xlfn.IFS(AND($K130&gt;Z$7,$L130&gt;Z$7),0,AND($K130&lt;=Z$7,$L130&lt;=Z$7),1,AND($K130&lt;=Z$7,$L130&gt;Z$7),((Z$7-$K130)/($L130-$K130)))</f>
        <v>0</v>
      </c>
      <c r="AB130" s="226" cm="1">
        <f t="array" ref="AB130">_xlfn.IFS(AND($K130&gt;AA$7,$L130&gt;AA$7),0,AND($K130&lt;=AA$7,$L130&lt;=AA$7),1,AND($K130&lt;=AA$7,$L130&gt;AA$7),((AA$7-$K130)/($L130-$K130)))</f>
        <v>0</v>
      </c>
      <c r="AC130" s="226" cm="1">
        <f t="array" ref="AC130">_xlfn.IFS(AND($K130&gt;AB$7,$L130&gt;AB$7),0,AND($K130&lt;=AB$7,$L130&lt;=AB$7),1,AND($K130&lt;=AB$7,$L130&gt;AB$7),((AB$7-$K130)/($L130-$K130)))</f>
        <v>0</v>
      </c>
      <c r="AD130" s="226" cm="1">
        <f t="array" ref="AD130">_xlfn.IFS(AND($K130&gt;AC$7,$L130&gt;AC$7),0,AND($K130&lt;=AC$7,$L130&lt;=AC$7),1,AND($K130&lt;=AC$7,$L130&gt;AC$7),((AC$7-$K130)/($L130-$K130)))</f>
        <v>0</v>
      </c>
      <c r="AE130" s="226" cm="1">
        <f t="array" ref="AE130">_xlfn.IFS(AND($K130&gt;AD$7,$L130&gt;AD$7),0,AND($K130&lt;=AD$7,$L130&lt;=AD$7),1,AND($K130&lt;=AD$7,$L130&gt;AD$7),((AD$7-$K130)/($L130-$K130)))</f>
        <v>0</v>
      </c>
      <c r="AF130" s="226" cm="1">
        <f t="array" ref="AF130">_xlfn.IFS(AND($K130&gt;AE$7,$L130&gt;AE$7),0,AND($K130&lt;=AE$7,$L130&lt;=AE$7),1,AND($K130&lt;=AE$7,$L130&gt;AE$7),((AE$7-$K130)/($L130-$K130)))</f>
        <v>0</v>
      </c>
      <c r="AG130" s="226" cm="1">
        <f t="array" ref="AG130">_xlfn.IFS(AND($K130&gt;AF$7,$L130&gt;AF$7),0,AND($K130&lt;=AF$7,$L130&lt;=AF$7),1,AND($K130&lt;=AF$7,$L130&gt;AF$7),((AF$7-$K130)/($L130-$K130)))</f>
        <v>1</v>
      </c>
      <c r="AH130" s="226" cm="1">
        <f t="array" ref="AH130">_xlfn.IFS(AND($K130&gt;AG$7,$L130&gt;AG$7),0,AND($K130&lt;=AG$7,$L130&lt;=AG$7),1,AND($K130&lt;=AG$7,$L130&gt;AG$7),((AG$7-$K130)/($L130-$K130)))</f>
        <v>1</v>
      </c>
      <c r="AI130" s="226" cm="1">
        <f t="array" ref="AI130">_xlfn.IFS(AND($K130&gt;AH$7,$L130&gt;AH$7),0,AND($K130&lt;=AH$7,$L130&lt;=AH$7),1,AND($K130&lt;=AH$7,$L130&gt;AH$7),((AH$7-$K130)/($L130-$K130)))</f>
        <v>1</v>
      </c>
      <c r="AJ130" s="226" cm="1">
        <f t="array" ref="AJ130">_xlfn.IFS(AND($K130&gt;AI$7,$L130&gt;AI$7),0,AND($K130&lt;=AI$7,$L130&lt;=AI$7),1,AND($K130&lt;=AI$7,$L130&gt;AI$7),((AI$7-$K130)/($L130-$K130)))</f>
        <v>1</v>
      </c>
      <c r="AK130" s="226" cm="1">
        <f t="array" ref="AK130">_xlfn.IFS(AND($K130&gt;AJ$7,$L130&gt;AJ$7),0,AND($K130&lt;=AJ$7,$L130&lt;=AJ$7),1,AND($K130&lt;=AJ$7,$L130&gt;AJ$7),((AJ$7-$K130)/($L130-$K130)))</f>
        <v>1</v>
      </c>
      <c r="AL130" s="226" cm="1">
        <f t="array" ref="AL130">_xlfn.IFS(AND($K130&gt;AK$7,$L130&gt;AK$7),0,AND($K130&lt;=AK$7,$L130&lt;=AK$7),1,AND($K130&lt;=AK$7,$L130&gt;AK$7),((AK$7-$K130)/($L130-$K130)))</f>
        <v>1</v>
      </c>
      <c r="AM130" s="226" cm="1">
        <f t="array" ref="AM130">_xlfn.IFS(AND($K130&gt;AL$7,$L130&gt;AL$7),0,AND($K130&lt;=AL$7,$L130&lt;=AL$7),1,AND($K130&lt;=AL$7,$L130&gt;AL$7),((AL$7-$K130)/($L130-$K130)))</f>
        <v>1</v>
      </c>
      <c r="AN130" s="226" cm="1">
        <f t="array" ref="AN130">_xlfn.IFS(AND($K130&gt;AM$7,$L130&gt;AM$7),0,AND($K130&lt;=AM$7,$L130&lt;=AM$7),1,AND($K130&lt;=AM$7,$L130&gt;AM$7),((AM$7-$K130)/($L130-$K130)))</f>
        <v>1</v>
      </c>
      <c r="AO130" s="226" cm="1">
        <f t="array" ref="AO130">_xlfn.IFS(AND($K130&gt;AN$7,$L130&gt;AN$7),0,AND($K130&lt;=AN$7,$L130&lt;=AN$7),1,AND($K130&lt;=AN$7,$L130&gt;AN$7),((AN$7-$K130)/($L130-$K130)))</f>
        <v>1</v>
      </c>
      <c r="AP130" s="226" cm="1">
        <f t="array" ref="AP130">_xlfn.IFS(AND($K130&gt;AO$7,$L130&gt;AO$7),0,AND($K130&lt;=AO$7,$L130&lt;=AO$7),1,AND($K130&lt;=AO$7,$L130&gt;AO$7),((AO$7-$K130)/($L130-$K130)))</f>
        <v>1</v>
      </c>
      <c r="AQ130" s="226" cm="1">
        <f t="array" ref="AQ130">_xlfn.IFS(AND($K130&gt;AP$7,$L130&gt;AP$7),0,AND($K130&lt;=AP$7,$L130&lt;=AP$7),1,AND($K130&lt;=AP$7,$L130&gt;AP$7),((AP$7-$K130)/($L130-$K130)))</f>
        <v>1</v>
      </c>
      <c r="AR130" s="226" cm="1">
        <f t="array" ref="AR130">_xlfn.IFS(AND($K130&gt;AQ$7,$L130&gt;AQ$7),0,AND($K130&lt;=AQ$7,$L130&lt;=AQ$7),1,AND($K130&lt;=AQ$7,$L130&gt;AQ$7),((AQ$7-$K130)/($L130-$K130)))</f>
        <v>1</v>
      </c>
      <c r="AS130" s="226" cm="1">
        <f t="array" ref="AS130">_xlfn.IFS(AND($K130&gt;AR$7,$L130&gt;AR$7),0,AND($K130&lt;=AR$7,$L130&lt;=AR$7),1,AND($K130&lt;=AR$7,$L130&gt;AR$7),((AR$7-$K130)/($L130-$K130)))</f>
        <v>1</v>
      </c>
      <c r="AT130" s="226" cm="1">
        <f t="array" ref="AT130">_xlfn.IFS(AND($K130&gt;AS$7,$L130&gt;AS$7),0,AND($K130&lt;=AS$7,$L130&lt;=AS$7),1,AND($K130&lt;=AS$7,$L130&gt;AS$7),((AS$7-$K130)/($L130-$K130)))</f>
        <v>1</v>
      </c>
      <c r="AU130" s="226" cm="1">
        <f t="array" ref="AU130">_xlfn.IFS(AND($K130&gt;AT$7,$L130&gt;AT$7),0,AND($K130&lt;=AT$7,$L130&lt;=AT$7),1,AND($K130&lt;=AT$7,$L130&gt;AT$7),((AT$7-$K130)/($L130-$K130)))</f>
        <v>1</v>
      </c>
      <c r="AV130" s="226" cm="1">
        <f t="array" ref="AV130">_xlfn.IFS(AND($K130&gt;AU$7,$L130&gt;AU$7),0,AND($K130&lt;=AU$7,$L130&lt;=AU$7),1,AND($K130&lt;=AU$7,$L130&gt;AU$7),((AU$7-$K130)/($L130-$K130)))</f>
        <v>1</v>
      </c>
      <c r="AW130" s="226" cm="1">
        <f t="array" ref="AW130">_xlfn.IFS(AND($K130&gt;AV$7,$L130&gt;AV$7),0,AND($K130&lt;=AV$7,$L130&lt;=AV$7),1,AND($K130&lt;=AV$7,$L130&gt;AV$7),((AV$7-$K130)/($L130-$K130)))</f>
        <v>1</v>
      </c>
      <c r="AX130" s="226" cm="1">
        <f t="array" ref="AX130">_xlfn.IFS(AND($K130&gt;AW$7,$L130&gt;AW$7),0,AND($K130&lt;=AW$7,$L130&lt;=AW$7),1,AND($K130&lt;=AW$7,$L130&gt;AW$7),((AW$7-$K130)/($L130-$K130)))</f>
        <v>1</v>
      </c>
      <c r="AY130" s="226" cm="1">
        <f t="array" ref="AY130">_xlfn.IFS(AND($K130&gt;AX$7,$L130&gt;AX$7),0,AND($K130&lt;=AX$7,$L130&lt;=AX$7),1,AND($K130&lt;=AX$7,$L130&gt;AX$7),((AX$7-$K130)/($L130-$K130)))</f>
        <v>1</v>
      </c>
      <c r="AZ130" s="226" cm="1">
        <f t="array" ref="AZ130">_xlfn.IFS(AND($K130&gt;AY$7,$L130&gt;AY$7),0,AND($K130&lt;=AY$7,$L130&lt;=AY$7),1,AND($K130&lt;=AY$7,$L130&gt;AY$7),((AY$7-$K130)/($L130-$K130)))</f>
        <v>1</v>
      </c>
      <c r="BA130" s="226" cm="1">
        <f t="array" ref="BA130">_xlfn.IFS(AND($K130&gt;AZ$7,$L130&gt;AZ$7),0,AND($K130&lt;=AZ$7,$L130&lt;=AZ$7),1,AND($K130&lt;=AZ$7,$L130&gt;AZ$7),((AZ$7-$K130)/($L130-$K130)))</f>
        <v>1</v>
      </c>
      <c r="BB130" s="226" cm="1">
        <f t="array" ref="BB130">_xlfn.IFS(AND($K130&gt;BA$7,$L130&gt;BA$7),0,AND($K130&lt;=BA$7,$L130&lt;=BA$7),1,AND($K130&lt;=BA$7,$L130&gt;BA$7),((BA$7-$K130)/($L130-$K130)))</f>
        <v>1</v>
      </c>
      <c r="BC130" s="226" cm="1">
        <f t="array" ref="BC130">_xlfn.IFS(AND($K130&gt;BB$7,$L130&gt;BB$7),0,AND($K130&lt;=BB$7,$L130&lt;=BB$7),1,AND($K130&lt;=BB$7,$L130&gt;BB$7),((BB$7-$K130)/($L130-$K130)))</f>
        <v>1</v>
      </c>
      <c r="BD130" s="226" cm="1">
        <f t="array" ref="BD130">_xlfn.IFS(AND($K130&gt;BC$7,$L130&gt;BC$7),0,AND($K130&lt;=BC$7,$L130&lt;=BC$7),1,AND($K130&lt;=BC$7,$L130&gt;BC$7),((BC$7-$K130)/($L130-$K130)))</f>
        <v>1</v>
      </c>
      <c r="BE130" s="226" cm="1">
        <f t="array" ref="BE130">_xlfn.IFS(AND($K130&gt;BD$7,$L130&gt;BD$7),0,AND($K130&lt;=BD$7,$L130&lt;=BD$7),1,AND($K130&lt;=BD$7,$L130&gt;BD$7),((BD$7-$K130)/($L130-$K130)))</f>
        <v>1</v>
      </c>
      <c r="BF130" s="226" cm="1">
        <f t="array" ref="BF130">_xlfn.IFS(AND($K130&gt;BE$7,$L130&gt;BE$7),0,AND($K130&lt;=BE$7,$L130&lt;=BE$7),1,AND($K130&lt;=BE$7,$L130&gt;BE$7),((BE$7-$K130)/($L130-$K130)))</f>
        <v>1</v>
      </c>
      <c r="BG130" s="226" cm="1">
        <f t="array" ref="BG130">_xlfn.IFS(AND($K130&gt;BF$7,$L130&gt;BF$7),0,AND($K130&lt;=BF$7,$L130&lt;=BF$7),1,AND($K130&lt;=BF$7,$L130&gt;BF$7),((BF$7-$K130)/($L130-$K130)))</f>
        <v>1</v>
      </c>
      <c r="BH130">
        <f>Tab.plano6[[#This Row],[Data Término
Prevista]]-Tab.plano6[[#This Row],[Data Início
Previsto]]</f>
        <v>4</v>
      </c>
    </row>
    <row r="131" spans="1:60" customFormat="1" ht="18" hidden="1" customHeight="1" x14ac:dyDescent="0.3">
      <c r="A131" s="220"/>
      <c r="B131" s="220" t="s">
        <v>161</v>
      </c>
      <c r="C131" s="220" t="s">
        <v>576</v>
      </c>
      <c r="D131" s="251" t="s">
        <v>399</v>
      </c>
      <c r="E131" s="251" t="s">
        <v>573</v>
      </c>
      <c r="F131" s="251" t="s">
        <v>574</v>
      </c>
      <c r="G131" s="251" t="s">
        <v>574</v>
      </c>
      <c r="H131" s="221" t="s">
        <v>577</v>
      </c>
      <c r="I131" s="260">
        <v>46200</v>
      </c>
      <c r="J131" s="260">
        <v>46203</v>
      </c>
      <c r="K131" s="260">
        <v>46200</v>
      </c>
      <c r="L131" s="260">
        <v>46203</v>
      </c>
      <c r="M131" s="231" t="s">
        <v>400</v>
      </c>
      <c r="N131" s="227" t="str" cm="1">
        <f t="array" ref="N131">_xlfn.IFS(L131&lt;$M$3,"Concluído",AND(K131&lt;=$M$3,L131&gt;=$M$3,L131&lt;=J131),"Em andamento",AND(K131&lt;=$M$3,L131&gt;=$M$3,L131&gt;J131),"Atrasado",AND(K131&gt;$M$3,I131&gt;$M$3),"Não iniciado",AND(K131&gt;$M$3,I131&lt;=$M$3),"Atrasado",TRUE,"Não iniciado")</f>
        <v>Não iniciado</v>
      </c>
      <c r="O131" s="231" cm="1">
        <f t="array" ref="O131">_xlfn.IFS(N131="Não iniciado",0,N131="Em andamento",1,N131="Concluído",2,N131="Atrasado",3)</f>
        <v>0</v>
      </c>
      <c r="P131" s="220"/>
      <c r="Q131" s="226" cm="1">
        <f t="array" ref="Q131">_xlfn.IFS(AND($I131&lt;$M$3,$J131&lt;$M$3),1,AND($I131&lt;=$M$3,$J131&gt;=$M$3),0.5,AND($I131&gt;=$M$3,$J131&gt;=$M$3),0)</f>
        <v>0</v>
      </c>
      <c r="R131" s="226" cm="1">
        <f t="array" ref="R131">_xlfn.IFS(AND($K131&lt;$M$3,$L131&lt;$M$3),1,AND($K131&lt;=$M$3,$L131&gt;=$M$3),0.5,AND($K131&gt;=$M$3,$L131&gt;=$M$3),0)</f>
        <v>0</v>
      </c>
      <c r="S131" s="226" cm="1">
        <f t="array" ref="S131">_xlfn.IFS(AND($K131&gt;R$7,$L131&gt;R$7),0,AND($K131&lt;=R$7,$L131&lt;=R$7),1,AND($K131&lt;=R$7,$L131&gt;R$7),((R$7-$K131)/($L131-$K131)))</f>
        <v>0</v>
      </c>
      <c r="T131" s="226" cm="1">
        <f t="array" ref="T131">_xlfn.IFS(AND($K131&gt;S$7,$L131&gt;S$7),0,AND($K131&lt;=S$7,$L131&lt;=S$7),1,AND($K131&lt;=S$7,$L131&gt;S$7),((S$7-$K131)/($L131-$K131)))</f>
        <v>0</v>
      </c>
      <c r="U131" s="226" cm="1">
        <f t="array" ref="U131">_xlfn.IFS(AND($K131&gt;T$7,$L131&gt;T$7),0,AND($K131&lt;=T$7,$L131&lt;=T$7),1,AND($K131&lt;=T$7,$L131&gt;T$7),((T$7-$K131)/($L131-$K131)))</f>
        <v>0</v>
      </c>
      <c r="V131" s="226" cm="1">
        <f t="array" ref="V131">_xlfn.IFS(AND($K131&gt;U$7,$L131&gt;U$7),0,AND($K131&lt;=U$7,$L131&lt;=U$7),1,AND($K131&lt;=U$7,$L131&gt;U$7),((U$7-$K131)/($L131-$K131)))</f>
        <v>0</v>
      </c>
      <c r="W131" s="226" cm="1">
        <f t="array" ref="W131">_xlfn.IFS(AND($K131&gt;V$7,$L131&gt;V$7),0,AND($K131&lt;=V$7,$L131&lt;=V$7),1,AND($K131&lt;=V$7,$L131&gt;V$7),((V$7-$K131)/($L131-$K131)))</f>
        <v>0</v>
      </c>
      <c r="X131" s="226" cm="1">
        <f t="array" ref="X131">_xlfn.IFS(AND($K131&gt;W$7,$L131&gt;W$7),0,AND($K131&lt;=W$7,$L131&lt;=W$7),1,AND($K131&lt;=W$7,$L131&gt;W$7),((W$7-$K131)/($L131-$K131)))</f>
        <v>0</v>
      </c>
      <c r="Y131" s="226" cm="1">
        <f t="array" ref="Y131">_xlfn.IFS(AND($K131&gt;X$7,$L131&gt;X$7),0,AND($K131&lt;=X$7,$L131&lt;=X$7),1,AND($K131&lt;=X$7,$L131&gt;X$7),((X$7-$K131)/($L131-$K131)))</f>
        <v>0</v>
      </c>
      <c r="Z131" s="226" cm="1">
        <f t="array" ref="Z131">_xlfn.IFS(AND($K131&gt;Y$7,$L131&gt;Y$7),0,AND($K131&lt;=Y$7,$L131&lt;=Y$7),1,AND($K131&lt;=Y$7,$L131&gt;Y$7),((Y$7-$K131)/($L131-$K131)))</f>
        <v>0</v>
      </c>
      <c r="AA131" s="226" cm="1">
        <f t="array" ref="AA131">_xlfn.IFS(AND($K131&gt;Z$7,$L131&gt;Z$7),0,AND($K131&lt;=Z$7,$L131&lt;=Z$7),1,AND($K131&lt;=Z$7,$L131&gt;Z$7),((Z$7-$K131)/($L131-$K131)))</f>
        <v>0</v>
      </c>
      <c r="AB131" s="226" cm="1">
        <f t="array" ref="AB131">_xlfn.IFS(AND($K131&gt;AA$7,$L131&gt;AA$7),0,AND($K131&lt;=AA$7,$L131&lt;=AA$7),1,AND($K131&lt;=AA$7,$L131&gt;AA$7),((AA$7-$K131)/($L131-$K131)))</f>
        <v>0</v>
      </c>
      <c r="AC131" s="226" cm="1">
        <f t="array" ref="AC131">_xlfn.IFS(AND($K131&gt;AB$7,$L131&gt;AB$7),0,AND($K131&lt;=AB$7,$L131&lt;=AB$7),1,AND($K131&lt;=AB$7,$L131&gt;AB$7),((AB$7-$K131)/($L131-$K131)))</f>
        <v>0</v>
      </c>
      <c r="AD131" s="226" cm="1">
        <f t="array" ref="AD131">_xlfn.IFS(AND($K131&gt;AC$7,$L131&gt;AC$7),0,AND($K131&lt;=AC$7,$L131&lt;=AC$7),1,AND($K131&lt;=AC$7,$L131&gt;AC$7),((AC$7-$K131)/($L131-$K131)))</f>
        <v>0</v>
      </c>
      <c r="AE131" s="226" cm="1">
        <f t="array" ref="AE131">_xlfn.IFS(AND($K131&gt;AD$7,$L131&gt;AD$7),0,AND($K131&lt;=AD$7,$L131&lt;=AD$7),1,AND($K131&lt;=AD$7,$L131&gt;AD$7),((AD$7-$K131)/($L131-$K131)))</f>
        <v>0</v>
      </c>
      <c r="AF131" s="226" cm="1">
        <f t="array" ref="AF131">_xlfn.IFS(AND($K131&gt;AE$7,$L131&gt;AE$7),0,AND($K131&lt;=AE$7,$L131&lt;=AE$7),1,AND($K131&lt;=AE$7,$L131&gt;AE$7),((AE$7-$K131)/($L131-$K131)))</f>
        <v>0</v>
      </c>
      <c r="AG131" s="226" cm="1">
        <f t="array" ref="AG131">_xlfn.IFS(AND($K131&gt;AF$7,$L131&gt;AF$7),0,AND($K131&lt;=AF$7,$L131&lt;=AF$7),1,AND($K131&lt;=AF$7,$L131&gt;AF$7),((AF$7-$K131)/($L131-$K131)))</f>
        <v>0.66666666666666663</v>
      </c>
      <c r="AH131" s="226" cm="1">
        <f t="array" ref="AH131">_xlfn.IFS(AND($K131&gt;AG$7,$L131&gt;AG$7),0,AND($K131&lt;=AG$7,$L131&lt;=AG$7),1,AND($K131&lt;=AG$7,$L131&gt;AG$7),((AG$7-$K131)/($L131-$K131)))</f>
        <v>1</v>
      </c>
      <c r="AI131" s="226" cm="1">
        <f t="array" ref="AI131">_xlfn.IFS(AND($K131&gt;AH$7,$L131&gt;AH$7),0,AND($K131&lt;=AH$7,$L131&lt;=AH$7),1,AND($K131&lt;=AH$7,$L131&gt;AH$7),((AH$7-$K131)/($L131-$K131)))</f>
        <v>1</v>
      </c>
      <c r="AJ131" s="226" cm="1">
        <f t="array" ref="AJ131">_xlfn.IFS(AND($K131&gt;AI$7,$L131&gt;AI$7),0,AND($K131&lt;=AI$7,$L131&lt;=AI$7),1,AND($K131&lt;=AI$7,$L131&gt;AI$7),((AI$7-$K131)/($L131-$K131)))</f>
        <v>1</v>
      </c>
      <c r="AK131" s="226" cm="1">
        <f t="array" ref="AK131">_xlfn.IFS(AND($K131&gt;AJ$7,$L131&gt;AJ$7),0,AND($K131&lt;=AJ$7,$L131&lt;=AJ$7),1,AND($K131&lt;=AJ$7,$L131&gt;AJ$7),((AJ$7-$K131)/($L131-$K131)))</f>
        <v>1</v>
      </c>
      <c r="AL131" s="226" cm="1">
        <f t="array" ref="AL131">_xlfn.IFS(AND($K131&gt;AK$7,$L131&gt;AK$7),0,AND($K131&lt;=AK$7,$L131&lt;=AK$7),1,AND($K131&lt;=AK$7,$L131&gt;AK$7),((AK$7-$K131)/($L131-$K131)))</f>
        <v>1</v>
      </c>
      <c r="AM131" s="226" cm="1">
        <f t="array" ref="AM131">_xlfn.IFS(AND($K131&gt;AL$7,$L131&gt;AL$7),0,AND($K131&lt;=AL$7,$L131&lt;=AL$7),1,AND($K131&lt;=AL$7,$L131&gt;AL$7),((AL$7-$K131)/($L131-$K131)))</f>
        <v>1</v>
      </c>
      <c r="AN131" s="226" cm="1">
        <f t="array" ref="AN131">_xlfn.IFS(AND($K131&gt;AM$7,$L131&gt;AM$7),0,AND($K131&lt;=AM$7,$L131&lt;=AM$7),1,AND($K131&lt;=AM$7,$L131&gt;AM$7),((AM$7-$K131)/($L131-$K131)))</f>
        <v>1</v>
      </c>
      <c r="AO131" s="226" cm="1">
        <f t="array" ref="AO131">_xlfn.IFS(AND($K131&gt;AN$7,$L131&gt;AN$7),0,AND($K131&lt;=AN$7,$L131&lt;=AN$7),1,AND($K131&lt;=AN$7,$L131&gt;AN$7),((AN$7-$K131)/($L131-$K131)))</f>
        <v>1</v>
      </c>
      <c r="AP131" s="226" cm="1">
        <f t="array" ref="AP131">_xlfn.IFS(AND($K131&gt;AO$7,$L131&gt;AO$7),0,AND($K131&lt;=AO$7,$L131&lt;=AO$7),1,AND($K131&lt;=AO$7,$L131&gt;AO$7),((AO$7-$K131)/($L131-$K131)))</f>
        <v>1</v>
      </c>
      <c r="AQ131" s="226" cm="1">
        <f t="array" ref="AQ131">_xlfn.IFS(AND($K131&gt;AP$7,$L131&gt;AP$7),0,AND($K131&lt;=AP$7,$L131&lt;=AP$7),1,AND($K131&lt;=AP$7,$L131&gt;AP$7),((AP$7-$K131)/($L131-$K131)))</f>
        <v>1</v>
      </c>
      <c r="AR131" s="226" cm="1">
        <f t="array" ref="AR131">_xlfn.IFS(AND($K131&gt;AQ$7,$L131&gt;AQ$7),0,AND($K131&lt;=AQ$7,$L131&lt;=AQ$7),1,AND($K131&lt;=AQ$7,$L131&gt;AQ$7),((AQ$7-$K131)/($L131-$K131)))</f>
        <v>1</v>
      </c>
      <c r="AS131" s="226" cm="1">
        <f t="array" ref="AS131">_xlfn.IFS(AND($K131&gt;AR$7,$L131&gt;AR$7),0,AND($K131&lt;=AR$7,$L131&lt;=AR$7),1,AND($K131&lt;=AR$7,$L131&gt;AR$7),((AR$7-$K131)/($L131-$K131)))</f>
        <v>1</v>
      </c>
      <c r="AT131" s="226" cm="1">
        <f t="array" ref="AT131">_xlfn.IFS(AND($K131&gt;AS$7,$L131&gt;AS$7),0,AND($K131&lt;=AS$7,$L131&lt;=AS$7),1,AND($K131&lt;=AS$7,$L131&gt;AS$7),((AS$7-$K131)/($L131-$K131)))</f>
        <v>1</v>
      </c>
      <c r="AU131" s="226" cm="1">
        <f t="array" ref="AU131">_xlfn.IFS(AND($K131&gt;AT$7,$L131&gt;AT$7),0,AND($K131&lt;=AT$7,$L131&lt;=AT$7),1,AND($K131&lt;=AT$7,$L131&gt;AT$7),((AT$7-$K131)/($L131-$K131)))</f>
        <v>1</v>
      </c>
      <c r="AV131" s="226" cm="1">
        <f t="array" ref="AV131">_xlfn.IFS(AND($K131&gt;AU$7,$L131&gt;AU$7),0,AND($K131&lt;=AU$7,$L131&lt;=AU$7),1,AND($K131&lt;=AU$7,$L131&gt;AU$7),((AU$7-$K131)/($L131-$K131)))</f>
        <v>1</v>
      </c>
      <c r="AW131" s="226" cm="1">
        <f t="array" ref="AW131">_xlfn.IFS(AND($K131&gt;AV$7,$L131&gt;AV$7),0,AND($K131&lt;=AV$7,$L131&lt;=AV$7),1,AND($K131&lt;=AV$7,$L131&gt;AV$7),((AV$7-$K131)/($L131-$K131)))</f>
        <v>1</v>
      </c>
      <c r="AX131" s="226" cm="1">
        <f t="array" ref="AX131">_xlfn.IFS(AND($K131&gt;AW$7,$L131&gt;AW$7),0,AND($K131&lt;=AW$7,$L131&lt;=AW$7),1,AND($K131&lt;=AW$7,$L131&gt;AW$7),((AW$7-$K131)/($L131-$K131)))</f>
        <v>1</v>
      </c>
      <c r="AY131" s="226" cm="1">
        <f t="array" ref="AY131">_xlfn.IFS(AND($K131&gt;AX$7,$L131&gt;AX$7),0,AND($K131&lt;=AX$7,$L131&lt;=AX$7),1,AND($K131&lt;=AX$7,$L131&gt;AX$7),((AX$7-$K131)/($L131-$K131)))</f>
        <v>1</v>
      </c>
      <c r="AZ131" s="226" cm="1">
        <f t="array" ref="AZ131">_xlfn.IFS(AND($K131&gt;AY$7,$L131&gt;AY$7),0,AND($K131&lt;=AY$7,$L131&lt;=AY$7),1,AND($K131&lt;=AY$7,$L131&gt;AY$7),((AY$7-$K131)/($L131-$K131)))</f>
        <v>1</v>
      </c>
      <c r="BA131" s="226" cm="1">
        <f t="array" ref="BA131">_xlfn.IFS(AND($K131&gt;AZ$7,$L131&gt;AZ$7),0,AND($K131&lt;=AZ$7,$L131&lt;=AZ$7),1,AND($K131&lt;=AZ$7,$L131&gt;AZ$7),((AZ$7-$K131)/($L131-$K131)))</f>
        <v>1</v>
      </c>
      <c r="BB131" s="226" cm="1">
        <f t="array" ref="BB131">_xlfn.IFS(AND($K131&gt;BA$7,$L131&gt;BA$7),0,AND($K131&lt;=BA$7,$L131&lt;=BA$7),1,AND($K131&lt;=BA$7,$L131&gt;BA$7),((BA$7-$K131)/($L131-$K131)))</f>
        <v>1</v>
      </c>
      <c r="BC131" s="226" cm="1">
        <f t="array" ref="BC131">_xlfn.IFS(AND($K131&gt;BB$7,$L131&gt;BB$7),0,AND($K131&lt;=BB$7,$L131&lt;=BB$7),1,AND($K131&lt;=BB$7,$L131&gt;BB$7),((BB$7-$K131)/($L131-$K131)))</f>
        <v>1</v>
      </c>
      <c r="BD131" s="226" cm="1">
        <f t="array" ref="BD131">_xlfn.IFS(AND($K131&gt;BC$7,$L131&gt;BC$7),0,AND($K131&lt;=BC$7,$L131&lt;=BC$7),1,AND($K131&lt;=BC$7,$L131&gt;BC$7),((BC$7-$K131)/($L131-$K131)))</f>
        <v>1</v>
      </c>
      <c r="BE131" s="226" cm="1">
        <f t="array" ref="BE131">_xlfn.IFS(AND($K131&gt;BD$7,$L131&gt;BD$7),0,AND($K131&lt;=BD$7,$L131&lt;=BD$7),1,AND($K131&lt;=BD$7,$L131&gt;BD$7),((BD$7-$K131)/($L131-$K131)))</f>
        <v>1</v>
      </c>
      <c r="BF131" s="226" cm="1">
        <f t="array" ref="BF131">_xlfn.IFS(AND($K131&gt;BE$7,$L131&gt;BE$7),0,AND($K131&lt;=BE$7,$L131&lt;=BE$7),1,AND($K131&lt;=BE$7,$L131&gt;BE$7),((BE$7-$K131)/($L131-$K131)))</f>
        <v>1</v>
      </c>
      <c r="BG131" s="226" cm="1">
        <f t="array" ref="BG131">_xlfn.IFS(AND($K131&gt;BF$7,$L131&gt;BF$7),0,AND($K131&lt;=BF$7,$L131&lt;=BF$7),1,AND($K131&lt;=BF$7,$L131&gt;BF$7),((BF$7-$K131)/($L131-$K131)))</f>
        <v>1</v>
      </c>
      <c r="BH131">
        <f>Tab.plano6[[#This Row],[Data Término
Prevista]]-Tab.plano6[[#This Row],[Data Início
Previsto]]</f>
        <v>3</v>
      </c>
    </row>
    <row r="132" spans="1:60" customFormat="1" ht="18" hidden="1" customHeight="1" x14ac:dyDescent="0.3">
      <c r="A132" s="220"/>
      <c r="B132" s="220" t="s">
        <v>161</v>
      </c>
      <c r="C132" s="220" t="s">
        <v>578</v>
      </c>
      <c r="D132" s="251" t="s">
        <v>399</v>
      </c>
      <c r="E132" s="251" t="s">
        <v>573</v>
      </c>
      <c r="F132" s="251" t="s">
        <v>574</v>
      </c>
      <c r="G132" s="251" t="s">
        <v>574</v>
      </c>
      <c r="H132" s="221" t="s">
        <v>579</v>
      </c>
      <c r="I132" s="260">
        <v>46203</v>
      </c>
      <c r="J132" s="260">
        <v>46203</v>
      </c>
      <c r="K132" s="260">
        <v>46203</v>
      </c>
      <c r="L132" s="260">
        <v>46203</v>
      </c>
      <c r="M132" s="231" t="s">
        <v>400</v>
      </c>
      <c r="N132" s="227" t="str" cm="1">
        <f t="array" ref="N132">_xlfn.IFS(L132&lt;$M$3,"Concluído",AND(K132&lt;=$M$3,L132&gt;=$M$3,L132&lt;=J132),"Em andamento",AND(K132&lt;=$M$3,L132&gt;=$M$3,L132&gt;J132),"Atrasado",AND(K132&gt;$M$3,I132&gt;$M$3),"Não iniciado",AND(K132&gt;$M$3,I132&lt;=$M$3),"Atrasado",TRUE,"Não iniciado")</f>
        <v>Não iniciado</v>
      </c>
      <c r="O132" s="231" cm="1">
        <f t="array" ref="O132">_xlfn.IFS(N132="Não iniciado",0,N132="Em andamento",1,N132="Concluído",2,N132="Atrasado",3)</f>
        <v>0</v>
      </c>
      <c r="P132" s="220"/>
      <c r="Q132" s="226" cm="1">
        <f t="array" ref="Q132">_xlfn.IFS(AND($I132&lt;$M$3,$J132&lt;$M$3),1,AND($I132&lt;=$M$3,$J132&gt;=$M$3),0.5,AND($I132&gt;=$M$3,$J132&gt;=$M$3),0)</f>
        <v>0</v>
      </c>
      <c r="R132" s="226" cm="1">
        <f t="array" ref="R132">_xlfn.IFS(AND($K132&lt;$M$3,$L132&lt;$M$3),1,AND($K132&lt;=$M$3,$L132&gt;=$M$3),0.5,AND($K132&gt;=$M$3,$L132&gt;=$M$3),0)</f>
        <v>0</v>
      </c>
      <c r="S132" s="226" cm="1">
        <f t="array" ref="S132">_xlfn.IFS(AND($K132&gt;R$7,$L132&gt;R$7),0,AND($K132&lt;=R$7,$L132&lt;=R$7),1,AND($K132&lt;=R$7,$L132&gt;R$7),((R$7-$K132)/($L132-$K132)))</f>
        <v>0</v>
      </c>
      <c r="T132" s="226" cm="1">
        <f t="array" ref="T132">_xlfn.IFS(AND($K132&gt;S$7,$L132&gt;S$7),0,AND($K132&lt;=S$7,$L132&lt;=S$7),1,AND($K132&lt;=S$7,$L132&gt;S$7),((S$7-$K132)/($L132-$K132)))</f>
        <v>0</v>
      </c>
      <c r="U132" s="226" cm="1">
        <f t="array" ref="U132">_xlfn.IFS(AND($K132&gt;T$7,$L132&gt;T$7),0,AND($K132&lt;=T$7,$L132&lt;=T$7),1,AND($K132&lt;=T$7,$L132&gt;T$7),((T$7-$K132)/($L132-$K132)))</f>
        <v>0</v>
      </c>
      <c r="V132" s="226" cm="1">
        <f t="array" ref="V132">_xlfn.IFS(AND($K132&gt;U$7,$L132&gt;U$7),0,AND($K132&lt;=U$7,$L132&lt;=U$7),1,AND($K132&lt;=U$7,$L132&gt;U$7),((U$7-$K132)/($L132-$K132)))</f>
        <v>0</v>
      </c>
      <c r="W132" s="226" cm="1">
        <f t="array" ref="W132">_xlfn.IFS(AND($K132&gt;V$7,$L132&gt;V$7),0,AND($K132&lt;=V$7,$L132&lt;=V$7),1,AND($K132&lt;=V$7,$L132&gt;V$7),((V$7-$K132)/($L132-$K132)))</f>
        <v>0</v>
      </c>
      <c r="X132" s="226" cm="1">
        <f t="array" ref="X132">_xlfn.IFS(AND($K132&gt;W$7,$L132&gt;W$7),0,AND($K132&lt;=W$7,$L132&lt;=W$7),1,AND($K132&lt;=W$7,$L132&gt;W$7),((W$7-$K132)/($L132-$K132)))</f>
        <v>0</v>
      </c>
      <c r="Y132" s="226" cm="1">
        <f t="array" ref="Y132">_xlfn.IFS(AND($K132&gt;X$7,$L132&gt;X$7),0,AND($K132&lt;=X$7,$L132&lt;=X$7),1,AND($K132&lt;=X$7,$L132&gt;X$7),((X$7-$K132)/($L132-$K132)))</f>
        <v>0</v>
      </c>
      <c r="Z132" s="226" cm="1">
        <f t="array" ref="Z132">_xlfn.IFS(AND($K132&gt;Y$7,$L132&gt;Y$7),0,AND($K132&lt;=Y$7,$L132&lt;=Y$7),1,AND($K132&lt;=Y$7,$L132&gt;Y$7),((Y$7-$K132)/($L132-$K132)))</f>
        <v>0</v>
      </c>
      <c r="AA132" s="226" cm="1">
        <f t="array" ref="AA132">_xlfn.IFS(AND($K132&gt;Z$7,$L132&gt;Z$7),0,AND($K132&lt;=Z$7,$L132&lt;=Z$7),1,AND($K132&lt;=Z$7,$L132&gt;Z$7),((Z$7-$K132)/($L132-$K132)))</f>
        <v>0</v>
      </c>
      <c r="AB132" s="226" cm="1">
        <f t="array" ref="AB132">_xlfn.IFS(AND($K132&gt;AA$7,$L132&gt;AA$7),0,AND($K132&lt;=AA$7,$L132&lt;=AA$7),1,AND($K132&lt;=AA$7,$L132&gt;AA$7),((AA$7-$K132)/($L132-$K132)))</f>
        <v>0</v>
      </c>
      <c r="AC132" s="226" cm="1">
        <f t="array" ref="AC132">_xlfn.IFS(AND($K132&gt;AB$7,$L132&gt;AB$7),0,AND($K132&lt;=AB$7,$L132&lt;=AB$7),1,AND($K132&lt;=AB$7,$L132&gt;AB$7),((AB$7-$K132)/($L132-$K132)))</f>
        <v>0</v>
      </c>
      <c r="AD132" s="226" cm="1">
        <f t="array" ref="AD132">_xlfn.IFS(AND($K132&gt;AC$7,$L132&gt;AC$7),0,AND($K132&lt;=AC$7,$L132&lt;=AC$7),1,AND($K132&lt;=AC$7,$L132&gt;AC$7),((AC$7-$K132)/($L132-$K132)))</f>
        <v>0</v>
      </c>
      <c r="AE132" s="226" cm="1">
        <f t="array" ref="AE132">_xlfn.IFS(AND($K132&gt;AD$7,$L132&gt;AD$7),0,AND($K132&lt;=AD$7,$L132&lt;=AD$7),1,AND($K132&lt;=AD$7,$L132&gt;AD$7),((AD$7-$K132)/($L132-$K132)))</f>
        <v>0</v>
      </c>
      <c r="AF132" s="226" cm="1">
        <f t="array" ref="AF132">_xlfn.IFS(AND($K132&gt;AE$7,$L132&gt;AE$7),0,AND($K132&lt;=AE$7,$L132&lt;=AE$7),1,AND($K132&lt;=AE$7,$L132&gt;AE$7),((AE$7-$K132)/($L132-$K132)))</f>
        <v>0</v>
      </c>
      <c r="AG132" s="226" cm="1">
        <f t="array" ref="AG132">_xlfn.IFS(AND($K132&gt;AF$7,$L132&gt;AF$7),0,AND($K132&lt;=AF$7,$L132&lt;=AF$7),1,AND($K132&lt;=AF$7,$L132&gt;AF$7),((AF$7-$K132)/($L132-$K132)))</f>
        <v>0</v>
      </c>
      <c r="AH132" s="226" cm="1">
        <f t="array" ref="AH132">_xlfn.IFS(AND($K132&gt;AG$7,$L132&gt;AG$7),0,AND($K132&lt;=AG$7,$L132&lt;=AG$7),1,AND($K132&lt;=AG$7,$L132&gt;AG$7),((AG$7-$K132)/($L132-$K132)))</f>
        <v>1</v>
      </c>
      <c r="AI132" s="226" cm="1">
        <f t="array" ref="AI132">_xlfn.IFS(AND($K132&gt;AH$7,$L132&gt;AH$7),0,AND($K132&lt;=AH$7,$L132&lt;=AH$7),1,AND($K132&lt;=AH$7,$L132&gt;AH$7),((AH$7-$K132)/($L132-$K132)))</f>
        <v>1</v>
      </c>
      <c r="AJ132" s="226" cm="1">
        <f t="array" ref="AJ132">_xlfn.IFS(AND($K132&gt;AI$7,$L132&gt;AI$7),0,AND($K132&lt;=AI$7,$L132&lt;=AI$7),1,AND($K132&lt;=AI$7,$L132&gt;AI$7),((AI$7-$K132)/($L132-$K132)))</f>
        <v>1</v>
      </c>
      <c r="AK132" s="226" cm="1">
        <f t="array" ref="AK132">_xlfn.IFS(AND($K132&gt;AJ$7,$L132&gt;AJ$7),0,AND($K132&lt;=AJ$7,$L132&lt;=AJ$7),1,AND($K132&lt;=AJ$7,$L132&gt;AJ$7),((AJ$7-$K132)/($L132-$K132)))</f>
        <v>1</v>
      </c>
      <c r="AL132" s="226" cm="1">
        <f t="array" ref="AL132">_xlfn.IFS(AND($K132&gt;AK$7,$L132&gt;AK$7),0,AND($K132&lt;=AK$7,$L132&lt;=AK$7),1,AND($K132&lt;=AK$7,$L132&gt;AK$7),((AK$7-$K132)/($L132-$K132)))</f>
        <v>1</v>
      </c>
      <c r="AM132" s="226" cm="1">
        <f t="array" ref="AM132">_xlfn.IFS(AND($K132&gt;AL$7,$L132&gt;AL$7),0,AND($K132&lt;=AL$7,$L132&lt;=AL$7),1,AND($K132&lt;=AL$7,$L132&gt;AL$7),((AL$7-$K132)/($L132-$K132)))</f>
        <v>1</v>
      </c>
      <c r="AN132" s="226" cm="1">
        <f t="array" ref="AN132">_xlfn.IFS(AND($K132&gt;AM$7,$L132&gt;AM$7),0,AND($K132&lt;=AM$7,$L132&lt;=AM$7),1,AND($K132&lt;=AM$7,$L132&gt;AM$7),((AM$7-$K132)/($L132-$K132)))</f>
        <v>1</v>
      </c>
      <c r="AO132" s="226" cm="1">
        <f t="array" ref="AO132">_xlfn.IFS(AND($K132&gt;AN$7,$L132&gt;AN$7),0,AND($K132&lt;=AN$7,$L132&lt;=AN$7),1,AND($K132&lt;=AN$7,$L132&gt;AN$7),((AN$7-$K132)/($L132-$K132)))</f>
        <v>1</v>
      </c>
      <c r="AP132" s="226" cm="1">
        <f t="array" ref="AP132">_xlfn.IFS(AND($K132&gt;AO$7,$L132&gt;AO$7),0,AND($K132&lt;=AO$7,$L132&lt;=AO$7),1,AND($K132&lt;=AO$7,$L132&gt;AO$7),((AO$7-$K132)/($L132-$K132)))</f>
        <v>1</v>
      </c>
      <c r="AQ132" s="226" cm="1">
        <f t="array" ref="AQ132">_xlfn.IFS(AND($K132&gt;AP$7,$L132&gt;AP$7),0,AND($K132&lt;=AP$7,$L132&lt;=AP$7),1,AND($K132&lt;=AP$7,$L132&gt;AP$7),((AP$7-$K132)/($L132-$K132)))</f>
        <v>1</v>
      </c>
      <c r="AR132" s="226" cm="1">
        <f t="array" ref="AR132">_xlfn.IFS(AND($K132&gt;AQ$7,$L132&gt;AQ$7),0,AND($K132&lt;=AQ$7,$L132&lt;=AQ$7),1,AND($K132&lt;=AQ$7,$L132&gt;AQ$7),((AQ$7-$K132)/($L132-$K132)))</f>
        <v>1</v>
      </c>
      <c r="AS132" s="226" cm="1">
        <f t="array" ref="AS132">_xlfn.IFS(AND($K132&gt;AR$7,$L132&gt;AR$7),0,AND($K132&lt;=AR$7,$L132&lt;=AR$7),1,AND($K132&lt;=AR$7,$L132&gt;AR$7),((AR$7-$K132)/($L132-$K132)))</f>
        <v>1</v>
      </c>
      <c r="AT132" s="226" cm="1">
        <f t="array" ref="AT132">_xlfn.IFS(AND($K132&gt;AS$7,$L132&gt;AS$7),0,AND($K132&lt;=AS$7,$L132&lt;=AS$7),1,AND($K132&lt;=AS$7,$L132&gt;AS$7),((AS$7-$K132)/($L132-$K132)))</f>
        <v>1</v>
      </c>
      <c r="AU132" s="226" cm="1">
        <f t="array" ref="AU132">_xlfn.IFS(AND($K132&gt;AT$7,$L132&gt;AT$7),0,AND($K132&lt;=AT$7,$L132&lt;=AT$7),1,AND($K132&lt;=AT$7,$L132&gt;AT$7),((AT$7-$K132)/($L132-$K132)))</f>
        <v>1</v>
      </c>
      <c r="AV132" s="226" cm="1">
        <f t="array" ref="AV132">_xlfn.IFS(AND($K132&gt;AU$7,$L132&gt;AU$7),0,AND($K132&lt;=AU$7,$L132&lt;=AU$7),1,AND($K132&lt;=AU$7,$L132&gt;AU$7),((AU$7-$K132)/($L132-$K132)))</f>
        <v>1</v>
      </c>
      <c r="AW132" s="226" cm="1">
        <f t="array" ref="AW132">_xlfn.IFS(AND($K132&gt;AV$7,$L132&gt;AV$7),0,AND($K132&lt;=AV$7,$L132&lt;=AV$7),1,AND($K132&lt;=AV$7,$L132&gt;AV$7),((AV$7-$K132)/($L132-$K132)))</f>
        <v>1</v>
      </c>
      <c r="AX132" s="226" cm="1">
        <f t="array" ref="AX132">_xlfn.IFS(AND($K132&gt;AW$7,$L132&gt;AW$7),0,AND($K132&lt;=AW$7,$L132&lt;=AW$7),1,AND($K132&lt;=AW$7,$L132&gt;AW$7),((AW$7-$K132)/($L132-$K132)))</f>
        <v>1</v>
      </c>
      <c r="AY132" s="226" cm="1">
        <f t="array" ref="AY132">_xlfn.IFS(AND($K132&gt;AX$7,$L132&gt;AX$7),0,AND($K132&lt;=AX$7,$L132&lt;=AX$7),1,AND($K132&lt;=AX$7,$L132&gt;AX$7),((AX$7-$K132)/($L132-$K132)))</f>
        <v>1</v>
      </c>
      <c r="AZ132" s="226" cm="1">
        <f t="array" ref="AZ132">_xlfn.IFS(AND($K132&gt;AY$7,$L132&gt;AY$7),0,AND($K132&lt;=AY$7,$L132&lt;=AY$7),1,AND($K132&lt;=AY$7,$L132&gt;AY$7),((AY$7-$K132)/($L132-$K132)))</f>
        <v>1</v>
      </c>
      <c r="BA132" s="226" cm="1">
        <f t="array" ref="BA132">_xlfn.IFS(AND($K132&gt;AZ$7,$L132&gt;AZ$7),0,AND($K132&lt;=AZ$7,$L132&lt;=AZ$7),1,AND($K132&lt;=AZ$7,$L132&gt;AZ$7),((AZ$7-$K132)/($L132-$K132)))</f>
        <v>1</v>
      </c>
      <c r="BB132" s="226" cm="1">
        <f t="array" ref="BB132">_xlfn.IFS(AND($K132&gt;BA$7,$L132&gt;BA$7),0,AND($K132&lt;=BA$7,$L132&lt;=BA$7),1,AND($K132&lt;=BA$7,$L132&gt;BA$7),((BA$7-$K132)/($L132-$K132)))</f>
        <v>1</v>
      </c>
      <c r="BC132" s="226" cm="1">
        <f t="array" ref="BC132">_xlfn.IFS(AND($K132&gt;BB$7,$L132&gt;BB$7),0,AND($K132&lt;=BB$7,$L132&lt;=BB$7),1,AND($K132&lt;=BB$7,$L132&gt;BB$7),((BB$7-$K132)/($L132-$K132)))</f>
        <v>1</v>
      </c>
      <c r="BD132" s="226" cm="1">
        <f t="array" ref="BD132">_xlfn.IFS(AND($K132&gt;BC$7,$L132&gt;BC$7),0,AND($K132&lt;=BC$7,$L132&lt;=BC$7),1,AND($K132&lt;=BC$7,$L132&gt;BC$7),((BC$7-$K132)/($L132-$K132)))</f>
        <v>1</v>
      </c>
      <c r="BE132" s="226" cm="1">
        <f t="array" ref="BE132">_xlfn.IFS(AND($K132&gt;BD$7,$L132&gt;BD$7),0,AND($K132&lt;=BD$7,$L132&lt;=BD$7),1,AND($K132&lt;=BD$7,$L132&gt;BD$7),((BD$7-$K132)/($L132-$K132)))</f>
        <v>1</v>
      </c>
      <c r="BF132" s="226" cm="1">
        <f t="array" ref="BF132">_xlfn.IFS(AND($K132&gt;BE$7,$L132&gt;BE$7),0,AND($K132&lt;=BE$7,$L132&lt;=BE$7),1,AND($K132&lt;=BE$7,$L132&gt;BE$7),((BE$7-$K132)/($L132-$K132)))</f>
        <v>1</v>
      </c>
      <c r="BG132" s="226" cm="1">
        <f t="array" ref="BG132">_xlfn.IFS(AND($K132&gt;BF$7,$L132&gt;BF$7),0,AND($K132&lt;=BF$7,$L132&lt;=BF$7),1,AND($K132&lt;=BF$7,$L132&gt;BF$7),((BF$7-$K132)/($L132-$K132)))</f>
        <v>1</v>
      </c>
      <c r="BH132">
        <f>Tab.plano6[[#This Row],[Data Término
Prevista]]-Tab.plano6[[#This Row],[Data Início
Previsto]]</f>
        <v>0</v>
      </c>
    </row>
    <row r="133" spans="1:60" customFormat="1" ht="18" hidden="1" customHeight="1" x14ac:dyDescent="0.3">
      <c r="A133" s="214"/>
      <c r="B133" s="214" t="s">
        <v>11</v>
      </c>
      <c r="C133" s="214" t="s">
        <v>580</v>
      </c>
      <c r="D133" s="248" t="s">
        <v>399</v>
      </c>
      <c r="E133" s="248" t="s">
        <v>74</v>
      </c>
      <c r="F133" s="248" t="s">
        <v>74</v>
      </c>
      <c r="G133" s="248" t="s">
        <v>74</v>
      </c>
      <c r="H133" s="215" t="s">
        <v>581</v>
      </c>
      <c r="I133" s="256">
        <f>MIN(I134)</f>
        <v>46204</v>
      </c>
      <c r="J133" s="256">
        <f>MAX(J134)</f>
        <v>46234</v>
      </c>
      <c r="K133" s="256">
        <f>MIN(K134)</f>
        <v>46204</v>
      </c>
      <c r="L133" s="256">
        <f>MAX(L134)</f>
        <v>46234</v>
      </c>
      <c r="M133" s="228" t="s">
        <v>400</v>
      </c>
      <c r="N133" s="227" t="str" cm="1">
        <f t="array" ref="N133">_xlfn.IFS(L133&lt;$M$3,"Concluído",AND(K133&lt;=$M$3,L133&gt;=$M$3,L133&lt;=J133),"Em andamento",AND(K133&lt;=$M$3,L133&gt;=$M$3,L133&gt;J133),"Atrasado",AND(K133&gt;$M$3,I133&gt;$M$3),"Não iniciado",AND(K133&gt;$M$3,I133&lt;=$M$3),"Atrasado",TRUE,"Não iniciado")</f>
        <v>Não iniciado</v>
      </c>
      <c r="O133" s="228" cm="1">
        <f t="array" ref="O133">_xlfn.IFS(N133="Não iniciado",0,N133="Em andamento",1,N133="Concluído",2,N133="Atrasado",3)</f>
        <v>0</v>
      </c>
      <c r="P133" s="214"/>
      <c r="Q133" s="223">
        <f t="shared" ref="Q133:Z134" si="57">Q134</f>
        <v>0</v>
      </c>
      <c r="R133" s="223">
        <f t="shared" si="57"/>
        <v>0</v>
      </c>
      <c r="S133" s="223">
        <f t="shared" si="57"/>
        <v>0</v>
      </c>
      <c r="T133" s="223">
        <f t="shared" si="57"/>
        <v>0</v>
      </c>
      <c r="U133" s="223">
        <f t="shared" si="57"/>
        <v>0</v>
      </c>
      <c r="V133" s="223">
        <f t="shared" si="57"/>
        <v>0</v>
      </c>
      <c r="W133" s="223">
        <f t="shared" si="57"/>
        <v>0</v>
      </c>
      <c r="X133" s="223">
        <f t="shared" si="57"/>
        <v>0</v>
      </c>
      <c r="Y133" s="223">
        <f t="shared" si="57"/>
        <v>0</v>
      </c>
      <c r="Z133" s="223">
        <f t="shared" si="57"/>
        <v>0</v>
      </c>
      <c r="AA133" s="223">
        <f t="shared" ref="AA133:AJ134" si="58">AA134</f>
        <v>0</v>
      </c>
      <c r="AB133" s="223">
        <f t="shared" si="58"/>
        <v>0</v>
      </c>
      <c r="AC133" s="223">
        <f t="shared" si="58"/>
        <v>0</v>
      </c>
      <c r="AD133" s="223">
        <f t="shared" si="58"/>
        <v>0</v>
      </c>
      <c r="AE133" s="223">
        <f t="shared" si="58"/>
        <v>0</v>
      </c>
      <c r="AF133" s="223">
        <f t="shared" si="58"/>
        <v>0</v>
      </c>
      <c r="AG133" s="223">
        <f t="shared" si="58"/>
        <v>0</v>
      </c>
      <c r="AH133" s="223">
        <f t="shared" si="58"/>
        <v>9.2592592592592601E-2</v>
      </c>
      <c r="AI133" s="223">
        <f t="shared" si="58"/>
        <v>0.16666666666666666</v>
      </c>
      <c r="AJ133" s="223">
        <f t="shared" si="58"/>
        <v>0.56862745098039225</v>
      </c>
      <c r="AK133" s="223">
        <f t="shared" ref="AK133:AT134" si="59">AK134</f>
        <v>0.84313725490196079</v>
      </c>
      <c r="AL133" s="223">
        <f t="shared" si="59"/>
        <v>1</v>
      </c>
      <c r="AM133" s="223">
        <f t="shared" si="59"/>
        <v>1</v>
      </c>
      <c r="AN133" s="223">
        <f t="shared" si="59"/>
        <v>1</v>
      </c>
      <c r="AO133" s="223">
        <f t="shared" si="59"/>
        <v>1</v>
      </c>
      <c r="AP133" s="223">
        <f t="shared" si="59"/>
        <v>1</v>
      </c>
      <c r="AQ133" s="223">
        <f t="shared" si="59"/>
        <v>1</v>
      </c>
      <c r="AR133" s="223">
        <f t="shared" si="59"/>
        <v>1</v>
      </c>
      <c r="AS133" s="223">
        <f t="shared" si="59"/>
        <v>1</v>
      </c>
      <c r="AT133" s="223">
        <f t="shared" si="59"/>
        <v>1</v>
      </c>
      <c r="AU133" s="223">
        <f t="shared" ref="AU133:BD134" si="60">AU134</f>
        <v>1</v>
      </c>
      <c r="AV133" s="223">
        <f t="shared" si="60"/>
        <v>1</v>
      </c>
      <c r="AW133" s="223">
        <f t="shared" si="60"/>
        <v>1</v>
      </c>
      <c r="AX133" s="223">
        <f t="shared" si="60"/>
        <v>1</v>
      </c>
      <c r="AY133" s="223">
        <f t="shared" si="60"/>
        <v>1</v>
      </c>
      <c r="AZ133" s="223">
        <f t="shared" si="60"/>
        <v>1</v>
      </c>
      <c r="BA133" s="223">
        <f t="shared" si="60"/>
        <v>1</v>
      </c>
      <c r="BB133" s="223">
        <f t="shared" si="60"/>
        <v>1</v>
      </c>
      <c r="BC133" s="223">
        <f t="shared" si="60"/>
        <v>1</v>
      </c>
      <c r="BD133" s="223">
        <f t="shared" si="60"/>
        <v>1</v>
      </c>
      <c r="BE133" s="223">
        <f t="shared" ref="BE133:BG134" si="61">BE134</f>
        <v>1</v>
      </c>
      <c r="BF133" s="223">
        <f t="shared" si="61"/>
        <v>1</v>
      </c>
      <c r="BG133" s="223">
        <f t="shared" si="61"/>
        <v>1</v>
      </c>
      <c r="BH133">
        <f>Tab.plano6[[#This Row],[Data Término
Prevista]]-Tab.plano6[[#This Row],[Data Início
Previsto]]</f>
        <v>30</v>
      </c>
    </row>
    <row r="134" spans="1:60" customFormat="1" ht="18" hidden="1" customHeight="1" x14ac:dyDescent="0.3">
      <c r="A134" s="216"/>
      <c r="B134" s="216" t="s">
        <v>12</v>
      </c>
      <c r="C134" s="216" t="s">
        <v>582</v>
      </c>
      <c r="D134" s="249" t="s">
        <v>399</v>
      </c>
      <c r="E134" s="249" t="s">
        <v>581</v>
      </c>
      <c r="F134" s="249" t="s">
        <v>74</v>
      </c>
      <c r="G134" s="249" t="s">
        <v>74</v>
      </c>
      <c r="H134" s="252" t="s">
        <v>794</v>
      </c>
      <c r="I134" s="257">
        <f>I135</f>
        <v>46204</v>
      </c>
      <c r="J134" s="257">
        <f>J135</f>
        <v>46234</v>
      </c>
      <c r="K134" s="257">
        <f>K135</f>
        <v>46204</v>
      </c>
      <c r="L134" s="257">
        <f>L135</f>
        <v>46234</v>
      </c>
      <c r="M134" s="229" t="s">
        <v>400</v>
      </c>
      <c r="N134" s="227" t="str" cm="1">
        <f t="array" ref="N134">_xlfn.IFS(L134&lt;$M$3,"Concluído",AND(K134&lt;=$M$3,L134&gt;=$M$3,L134&lt;=J134),"Em andamento",AND(K134&lt;=$M$3,L134&gt;=$M$3,L134&gt;J134),"Atrasado",AND(K134&gt;$M$3,I134&gt;$M$3),"Não iniciado",AND(K134&gt;$M$3,I134&lt;=$M$3),"Atrasado",TRUE,"Não iniciado")</f>
        <v>Não iniciado</v>
      </c>
      <c r="O134" s="229" cm="1">
        <f t="array" ref="O134">_xlfn.IFS(N134="Não iniciado",0,N134="Em andamento",1,N134="Concluído",2,N134="Atrasado",3)</f>
        <v>0</v>
      </c>
      <c r="P134" s="216"/>
      <c r="Q134" s="224">
        <f t="shared" si="57"/>
        <v>0</v>
      </c>
      <c r="R134" s="224">
        <f t="shared" si="57"/>
        <v>0</v>
      </c>
      <c r="S134" s="224">
        <f t="shared" si="57"/>
        <v>0</v>
      </c>
      <c r="T134" s="224">
        <f t="shared" si="57"/>
        <v>0</v>
      </c>
      <c r="U134" s="224">
        <f t="shared" si="57"/>
        <v>0</v>
      </c>
      <c r="V134" s="224">
        <f t="shared" si="57"/>
        <v>0</v>
      </c>
      <c r="W134" s="224">
        <f t="shared" si="57"/>
        <v>0</v>
      </c>
      <c r="X134" s="224">
        <f t="shared" si="57"/>
        <v>0</v>
      </c>
      <c r="Y134" s="224">
        <f t="shared" si="57"/>
        <v>0</v>
      </c>
      <c r="Z134" s="224">
        <f t="shared" si="57"/>
        <v>0</v>
      </c>
      <c r="AA134" s="224">
        <f t="shared" si="58"/>
        <v>0</v>
      </c>
      <c r="AB134" s="224">
        <f t="shared" si="58"/>
        <v>0</v>
      </c>
      <c r="AC134" s="224">
        <f t="shared" si="58"/>
        <v>0</v>
      </c>
      <c r="AD134" s="224">
        <f t="shared" si="58"/>
        <v>0</v>
      </c>
      <c r="AE134" s="224">
        <f t="shared" si="58"/>
        <v>0</v>
      </c>
      <c r="AF134" s="224">
        <f t="shared" si="58"/>
        <v>0</v>
      </c>
      <c r="AG134" s="224">
        <f t="shared" si="58"/>
        <v>0</v>
      </c>
      <c r="AH134" s="224">
        <f t="shared" si="58"/>
        <v>9.2592592592592601E-2</v>
      </c>
      <c r="AI134" s="224">
        <f t="shared" si="58"/>
        <v>0.16666666666666666</v>
      </c>
      <c r="AJ134" s="224">
        <f t="shared" si="58"/>
        <v>0.56862745098039225</v>
      </c>
      <c r="AK134" s="224">
        <f t="shared" si="59"/>
        <v>0.84313725490196079</v>
      </c>
      <c r="AL134" s="224">
        <f t="shared" si="59"/>
        <v>1</v>
      </c>
      <c r="AM134" s="224">
        <f t="shared" si="59"/>
        <v>1</v>
      </c>
      <c r="AN134" s="224">
        <f t="shared" si="59"/>
        <v>1</v>
      </c>
      <c r="AO134" s="224">
        <f t="shared" si="59"/>
        <v>1</v>
      </c>
      <c r="AP134" s="224">
        <f t="shared" si="59"/>
        <v>1</v>
      </c>
      <c r="AQ134" s="224">
        <f t="shared" si="59"/>
        <v>1</v>
      </c>
      <c r="AR134" s="224">
        <f t="shared" si="59"/>
        <v>1</v>
      </c>
      <c r="AS134" s="224">
        <f t="shared" si="59"/>
        <v>1</v>
      </c>
      <c r="AT134" s="224">
        <f t="shared" si="59"/>
        <v>1</v>
      </c>
      <c r="AU134" s="224">
        <f t="shared" si="60"/>
        <v>1</v>
      </c>
      <c r="AV134" s="224">
        <f t="shared" si="60"/>
        <v>1</v>
      </c>
      <c r="AW134" s="224">
        <f t="shared" si="60"/>
        <v>1</v>
      </c>
      <c r="AX134" s="224">
        <f t="shared" si="60"/>
        <v>1</v>
      </c>
      <c r="AY134" s="224">
        <f t="shared" si="60"/>
        <v>1</v>
      </c>
      <c r="AZ134" s="224">
        <f t="shared" si="60"/>
        <v>1</v>
      </c>
      <c r="BA134" s="224">
        <f t="shared" si="60"/>
        <v>1</v>
      </c>
      <c r="BB134" s="224">
        <f t="shared" si="60"/>
        <v>1</v>
      </c>
      <c r="BC134" s="224">
        <f t="shared" si="60"/>
        <v>1</v>
      </c>
      <c r="BD134" s="224">
        <f t="shared" si="60"/>
        <v>1</v>
      </c>
      <c r="BE134" s="224">
        <f t="shared" si="61"/>
        <v>1</v>
      </c>
      <c r="BF134" s="224">
        <f t="shared" si="61"/>
        <v>1</v>
      </c>
      <c r="BG134" s="224">
        <f t="shared" si="61"/>
        <v>1</v>
      </c>
      <c r="BH134">
        <f>Tab.plano6[[#This Row],[Data Término
Prevista]]-Tab.plano6[[#This Row],[Data Início
Previsto]]</f>
        <v>30</v>
      </c>
    </row>
    <row r="135" spans="1:60" customFormat="1" ht="18" hidden="1" customHeight="1" x14ac:dyDescent="0.3">
      <c r="A135" s="218"/>
      <c r="B135" s="218" t="s">
        <v>13</v>
      </c>
      <c r="C135" s="218" t="s">
        <v>583</v>
      </c>
      <c r="D135" s="250" t="s">
        <v>399</v>
      </c>
      <c r="E135" s="250" t="s">
        <v>581</v>
      </c>
      <c r="F135" s="250" t="s">
        <v>794</v>
      </c>
      <c r="G135" s="250" t="s">
        <v>74</v>
      </c>
      <c r="H135" s="253" t="s">
        <v>794</v>
      </c>
      <c r="I135" s="258">
        <f>MIN(I136:I141)</f>
        <v>46204</v>
      </c>
      <c r="J135" s="258">
        <f>MAX(J136:J141)</f>
        <v>46234</v>
      </c>
      <c r="K135" s="258">
        <f>MIN(K136:K141)</f>
        <v>46204</v>
      </c>
      <c r="L135" s="258">
        <f>MAX(L136:L141)</f>
        <v>46234</v>
      </c>
      <c r="M135" s="230" t="s">
        <v>400</v>
      </c>
      <c r="N135" s="227" t="str" cm="1">
        <f t="array" ref="N135">_xlfn.IFS(L135&lt;$M$3,"Concluído",AND(K135&lt;=$M$3,L135&gt;=$M$3,L135&lt;=J135),"Em andamento",AND(K135&lt;=$M$3,L135&gt;=$M$3,L135&gt;J135),"Atrasado",AND(K135&gt;$M$3,I135&gt;$M$3),"Não iniciado",AND(K135&gt;$M$3,I135&lt;=$M$3),"Atrasado",TRUE,"Não iniciado")</f>
        <v>Não iniciado</v>
      </c>
      <c r="O135" s="230" cm="1">
        <f t="array" ref="O135">_xlfn.IFS(N135="Não iniciado",0,N135="Em andamento",1,N135="Concluído",2,N135="Atrasado",3)</f>
        <v>0</v>
      </c>
      <c r="P135" s="218"/>
      <c r="Q135" s="225">
        <f t="shared" ref="Q135:BG135" si="62">AVERAGE(Q136:Q141)</f>
        <v>0</v>
      </c>
      <c r="R135" s="225">
        <f t="shared" si="62"/>
        <v>0</v>
      </c>
      <c r="S135" s="225">
        <f t="shared" si="62"/>
        <v>0</v>
      </c>
      <c r="T135" s="225">
        <f t="shared" si="62"/>
        <v>0</v>
      </c>
      <c r="U135" s="225">
        <f t="shared" si="62"/>
        <v>0</v>
      </c>
      <c r="V135" s="225">
        <f t="shared" si="62"/>
        <v>0</v>
      </c>
      <c r="W135" s="225">
        <f t="shared" si="62"/>
        <v>0</v>
      </c>
      <c r="X135" s="225">
        <f t="shared" si="62"/>
        <v>0</v>
      </c>
      <c r="Y135" s="225">
        <f t="shared" si="62"/>
        <v>0</v>
      </c>
      <c r="Z135" s="225">
        <f t="shared" si="62"/>
        <v>0</v>
      </c>
      <c r="AA135" s="225">
        <f t="shared" si="62"/>
        <v>0</v>
      </c>
      <c r="AB135" s="225">
        <f t="shared" si="62"/>
        <v>0</v>
      </c>
      <c r="AC135" s="225">
        <f t="shared" si="62"/>
        <v>0</v>
      </c>
      <c r="AD135" s="225">
        <f t="shared" si="62"/>
        <v>0</v>
      </c>
      <c r="AE135" s="225">
        <f t="shared" si="62"/>
        <v>0</v>
      </c>
      <c r="AF135" s="225">
        <f t="shared" si="62"/>
        <v>0</v>
      </c>
      <c r="AG135" s="225">
        <f t="shared" si="62"/>
        <v>0</v>
      </c>
      <c r="AH135" s="225">
        <f t="shared" si="62"/>
        <v>9.2592592592592601E-2</v>
      </c>
      <c r="AI135" s="225">
        <f t="shared" si="62"/>
        <v>0.16666666666666666</v>
      </c>
      <c r="AJ135" s="225">
        <f t="shared" si="62"/>
        <v>0.56862745098039225</v>
      </c>
      <c r="AK135" s="225">
        <f t="shared" si="62"/>
        <v>0.84313725490196079</v>
      </c>
      <c r="AL135" s="225">
        <f t="shared" si="62"/>
        <v>1</v>
      </c>
      <c r="AM135" s="225">
        <f t="shared" si="62"/>
        <v>1</v>
      </c>
      <c r="AN135" s="225">
        <f t="shared" si="62"/>
        <v>1</v>
      </c>
      <c r="AO135" s="225">
        <f t="shared" si="62"/>
        <v>1</v>
      </c>
      <c r="AP135" s="225">
        <f t="shared" si="62"/>
        <v>1</v>
      </c>
      <c r="AQ135" s="225">
        <f t="shared" si="62"/>
        <v>1</v>
      </c>
      <c r="AR135" s="225">
        <f t="shared" si="62"/>
        <v>1</v>
      </c>
      <c r="AS135" s="225">
        <f t="shared" si="62"/>
        <v>1</v>
      </c>
      <c r="AT135" s="225">
        <f t="shared" si="62"/>
        <v>1</v>
      </c>
      <c r="AU135" s="225">
        <f t="shared" si="62"/>
        <v>1</v>
      </c>
      <c r="AV135" s="225">
        <f t="shared" si="62"/>
        <v>1</v>
      </c>
      <c r="AW135" s="225">
        <f t="shared" si="62"/>
        <v>1</v>
      </c>
      <c r="AX135" s="225">
        <f t="shared" si="62"/>
        <v>1</v>
      </c>
      <c r="AY135" s="225">
        <f t="shared" si="62"/>
        <v>1</v>
      </c>
      <c r="AZ135" s="225">
        <f t="shared" si="62"/>
        <v>1</v>
      </c>
      <c r="BA135" s="225">
        <f t="shared" si="62"/>
        <v>1</v>
      </c>
      <c r="BB135" s="225">
        <f t="shared" si="62"/>
        <v>1</v>
      </c>
      <c r="BC135" s="225">
        <f t="shared" si="62"/>
        <v>1</v>
      </c>
      <c r="BD135" s="225">
        <f t="shared" si="62"/>
        <v>1</v>
      </c>
      <c r="BE135" s="225">
        <f t="shared" si="62"/>
        <v>1</v>
      </c>
      <c r="BF135" s="225">
        <f t="shared" si="62"/>
        <v>1</v>
      </c>
      <c r="BG135" s="225">
        <f t="shared" si="62"/>
        <v>1</v>
      </c>
      <c r="BH135">
        <f>Tab.plano6[[#This Row],[Data Término
Prevista]]-Tab.plano6[[#This Row],[Data Início
Previsto]]</f>
        <v>30</v>
      </c>
    </row>
    <row r="136" spans="1:60" customFormat="1" ht="18" hidden="1" customHeight="1" x14ac:dyDescent="0.3">
      <c r="A136" s="220"/>
      <c r="B136" s="220" t="s">
        <v>161</v>
      </c>
      <c r="C136" s="220" t="s">
        <v>584</v>
      </c>
      <c r="D136" s="251" t="s">
        <v>399</v>
      </c>
      <c r="E136" s="251" t="s">
        <v>581</v>
      </c>
      <c r="F136" s="251" t="s">
        <v>794</v>
      </c>
      <c r="G136" s="251" t="s">
        <v>794</v>
      </c>
      <c r="H136" s="246" t="s">
        <v>814</v>
      </c>
      <c r="I136" s="260">
        <v>46204</v>
      </c>
      <c r="J136" s="260">
        <v>46213</v>
      </c>
      <c r="K136" s="260">
        <v>46204</v>
      </c>
      <c r="L136" s="260">
        <v>46213</v>
      </c>
      <c r="M136" s="231" t="s">
        <v>400</v>
      </c>
      <c r="N136" s="227" t="str" cm="1">
        <f t="array" ref="N136">_xlfn.IFS(L136&lt;$M$3,"Concluído",AND(K136&lt;=$M$3,L136&gt;=$M$3,L136&lt;=J136),"Em andamento",AND(K136&lt;=$M$3,L136&gt;=$M$3,L136&gt;J136),"Atrasado",AND(K136&gt;$M$3,I136&gt;$M$3),"Não iniciado",AND(K136&gt;$M$3,I136&lt;=$M$3),"Atrasado",TRUE,"Não iniciado")</f>
        <v>Não iniciado</v>
      </c>
      <c r="O136" s="231" cm="1">
        <f t="array" ref="O136">_xlfn.IFS(N136="Não iniciado",0,N136="Em andamento",1,N136="Concluído",2,N136="Atrasado",3)</f>
        <v>0</v>
      </c>
      <c r="P136" s="220"/>
      <c r="Q136" s="226" cm="1">
        <f t="array" ref="Q136">_xlfn.IFS(AND($I136&lt;$M$3,$J136&lt;$M$3),1,AND($I136&lt;=$M$3,$J136&gt;=$M$3),0.5,AND($I136&gt;=$M$3,$J136&gt;=$M$3),0)</f>
        <v>0</v>
      </c>
      <c r="R136" s="226" cm="1">
        <f t="array" ref="R136">_xlfn.IFS(AND($K136&lt;$M$3,$L136&lt;$M$3),1,AND($K136&lt;=$M$3,$L136&gt;=$M$3),0.5,AND($K136&gt;=$M$3,$L136&gt;=$M$3),0)</f>
        <v>0</v>
      </c>
      <c r="S136" s="226" cm="1">
        <f t="array" ref="S136">_xlfn.IFS(AND($K136&gt;R$7,$L136&gt;R$7),0,AND($K136&lt;=R$7,$L136&lt;=R$7),1,AND($K136&lt;=R$7,$L136&gt;R$7),((R$7-$K136)/($L136-$K136)))</f>
        <v>0</v>
      </c>
      <c r="T136" s="226" cm="1">
        <f t="array" ref="T136">_xlfn.IFS(AND($K136&gt;S$7,$L136&gt;S$7),0,AND($K136&lt;=S$7,$L136&lt;=S$7),1,AND($K136&lt;=S$7,$L136&gt;S$7),((S$7-$K136)/($L136-$K136)))</f>
        <v>0</v>
      </c>
      <c r="U136" s="226" cm="1">
        <f t="array" ref="U136">_xlfn.IFS(AND($K136&gt;T$7,$L136&gt;T$7),0,AND($K136&lt;=T$7,$L136&lt;=T$7),1,AND($K136&lt;=T$7,$L136&gt;T$7),((T$7-$K136)/($L136-$K136)))</f>
        <v>0</v>
      </c>
      <c r="V136" s="226" cm="1">
        <f t="array" ref="V136">_xlfn.IFS(AND($K136&gt;U$7,$L136&gt;U$7),0,AND($K136&lt;=U$7,$L136&lt;=U$7),1,AND($K136&lt;=U$7,$L136&gt;U$7),((U$7-$K136)/($L136-$K136)))</f>
        <v>0</v>
      </c>
      <c r="W136" s="226" cm="1">
        <f t="array" ref="W136">_xlfn.IFS(AND($K136&gt;V$7,$L136&gt;V$7),0,AND($K136&lt;=V$7,$L136&lt;=V$7),1,AND($K136&lt;=V$7,$L136&gt;V$7),((V$7-$K136)/($L136-$K136)))</f>
        <v>0</v>
      </c>
      <c r="X136" s="226" cm="1">
        <f t="array" ref="X136">_xlfn.IFS(AND($K136&gt;W$7,$L136&gt;W$7),0,AND($K136&lt;=W$7,$L136&lt;=W$7),1,AND($K136&lt;=W$7,$L136&gt;W$7),((W$7-$K136)/($L136-$K136)))</f>
        <v>0</v>
      </c>
      <c r="Y136" s="226" cm="1">
        <f t="array" ref="Y136">_xlfn.IFS(AND($K136&gt;X$7,$L136&gt;X$7),0,AND($K136&lt;=X$7,$L136&lt;=X$7),1,AND($K136&lt;=X$7,$L136&gt;X$7),((X$7-$K136)/($L136-$K136)))</f>
        <v>0</v>
      </c>
      <c r="Z136" s="226" cm="1">
        <f t="array" ref="Z136">_xlfn.IFS(AND($K136&gt;Y$7,$L136&gt;Y$7),0,AND($K136&lt;=Y$7,$L136&lt;=Y$7),1,AND($K136&lt;=Y$7,$L136&gt;Y$7),((Y$7-$K136)/($L136-$K136)))</f>
        <v>0</v>
      </c>
      <c r="AA136" s="226" cm="1">
        <f t="array" ref="AA136">_xlfn.IFS(AND($K136&gt;Z$7,$L136&gt;Z$7),0,AND($K136&lt;=Z$7,$L136&lt;=Z$7),1,AND($K136&lt;=Z$7,$L136&gt;Z$7),((Z$7-$K136)/($L136-$K136)))</f>
        <v>0</v>
      </c>
      <c r="AB136" s="226" cm="1">
        <f t="array" ref="AB136">_xlfn.IFS(AND($K136&gt;AA$7,$L136&gt;AA$7),0,AND($K136&lt;=AA$7,$L136&lt;=AA$7),1,AND($K136&lt;=AA$7,$L136&gt;AA$7),((AA$7-$K136)/($L136-$K136)))</f>
        <v>0</v>
      </c>
      <c r="AC136" s="226" cm="1">
        <f t="array" ref="AC136">_xlfn.IFS(AND($K136&gt;AB$7,$L136&gt;AB$7),0,AND($K136&lt;=AB$7,$L136&lt;=AB$7),1,AND($K136&lt;=AB$7,$L136&gt;AB$7),((AB$7-$K136)/($L136-$K136)))</f>
        <v>0</v>
      </c>
      <c r="AD136" s="226" cm="1">
        <f t="array" ref="AD136">_xlfn.IFS(AND($K136&gt;AC$7,$L136&gt;AC$7),0,AND($K136&lt;=AC$7,$L136&lt;=AC$7),1,AND($K136&lt;=AC$7,$L136&gt;AC$7),((AC$7-$K136)/($L136-$K136)))</f>
        <v>0</v>
      </c>
      <c r="AE136" s="226" cm="1">
        <f t="array" ref="AE136">_xlfn.IFS(AND($K136&gt;AD$7,$L136&gt;AD$7),0,AND($K136&lt;=AD$7,$L136&lt;=AD$7),1,AND($K136&lt;=AD$7,$L136&gt;AD$7),((AD$7-$K136)/($L136-$K136)))</f>
        <v>0</v>
      </c>
      <c r="AF136" s="226" cm="1">
        <f t="array" ref="AF136">_xlfn.IFS(AND($K136&gt;AE$7,$L136&gt;AE$7),0,AND($K136&lt;=AE$7,$L136&lt;=AE$7),1,AND($K136&lt;=AE$7,$L136&gt;AE$7),((AE$7-$K136)/($L136-$K136)))</f>
        <v>0</v>
      </c>
      <c r="AG136" s="226" cm="1">
        <f t="array" ref="AG136">_xlfn.IFS(AND($K136&gt;AF$7,$L136&gt;AF$7),0,AND($K136&lt;=AF$7,$L136&lt;=AF$7),1,AND($K136&lt;=AF$7,$L136&gt;AF$7),((AF$7-$K136)/($L136-$K136)))</f>
        <v>0</v>
      </c>
      <c r="AH136" s="226" cm="1">
        <f t="array" ref="AH136">_xlfn.IFS(AND($K136&gt;AG$7,$L136&gt;AG$7),0,AND($K136&lt;=AG$7,$L136&lt;=AG$7),1,AND($K136&lt;=AG$7,$L136&gt;AG$7),((AG$7-$K136)/($L136-$K136)))</f>
        <v>0.55555555555555558</v>
      </c>
      <c r="AI136" s="226" cm="1">
        <f t="array" ref="AI136">_xlfn.IFS(AND($K136&gt;AH$7,$L136&gt;AH$7),0,AND($K136&lt;=AH$7,$L136&lt;=AH$7),1,AND($K136&lt;=AH$7,$L136&gt;AH$7),((AH$7-$K136)/($L136-$K136)))</f>
        <v>1</v>
      </c>
      <c r="AJ136" s="226" cm="1">
        <f t="array" ref="AJ136">_xlfn.IFS(AND($K136&gt;AI$7,$L136&gt;AI$7),0,AND($K136&lt;=AI$7,$L136&lt;=AI$7),1,AND($K136&lt;=AI$7,$L136&gt;AI$7),((AI$7-$K136)/($L136-$K136)))</f>
        <v>1</v>
      </c>
      <c r="AK136" s="226" cm="1">
        <f t="array" ref="AK136">_xlfn.IFS(AND($K136&gt;AJ$7,$L136&gt;AJ$7),0,AND($K136&lt;=AJ$7,$L136&lt;=AJ$7),1,AND($K136&lt;=AJ$7,$L136&gt;AJ$7),((AJ$7-$K136)/($L136-$K136)))</f>
        <v>1</v>
      </c>
      <c r="AL136" s="226" cm="1">
        <f t="array" ref="AL136">_xlfn.IFS(AND($K136&gt;AK$7,$L136&gt;AK$7),0,AND($K136&lt;=AK$7,$L136&lt;=AK$7),1,AND($K136&lt;=AK$7,$L136&gt;AK$7),((AK$7-$K136)/($L136-$K136)))</f>
        <v>1</v>
      </c>
      <c r="AM136" s="226" cm="1">
        <f t="array" ref="AM136">_xlfn.IFS(AND($K136&gt;AL$7,$L136&gt;AL$7),0,AND($K136&lt;=AL$7,$L136&lt;=AL$7),1,AND($K136&lt;=AL$7,$L136&gt;AL$7),((AL$7-$K136)/($L136-$K136)))</f>
        <v>1</v>
      </c>
      <c r="AN136" s="226" cm="1">
        <f t="array" ref="AN136">_xlfn.IFS(AND($K136&gt;AM$7,$L136&gt;AM$7),0,AND($K136&lt;=AM$7,$L136&lt;=AM$7),1,AND($K136&lt;=AM$7,$L136&gt;AM$7),((AM$7-$K136)/($L136-$K136)))</f>
        <v>1</v>
      </c>
      <c r="AO136" s="226" cm="1">
        <f t="array" ref="AO136">_xlfn.IFS(AND($K136&gt;AN$7,$L136&gt;AN$7),0,AND($K136&lt;=AN$7,$L136&lt;=AN$7),1,AND($K136&lt;=AN$7,$L136&gt;AN$7),((AN$7-$K136)/($L136-$K136)))</f>
        <v>1</v>
      </c>
      <c r="AP136" s="226" cm="1">
        <f t="array" ref="AP136">_xlfn.IFS(AND($K136&gt;AO$7,$L136&gt;AO$7),0,AND($K136&lt;=AO$7,$L136&lt;=AO$7),1,AND($K136&lt;=AO$7,$L136&gt;AO$7),((AO$7-$K136)/($L136-$K136)))</f>
        <v>1</v>
      </c>
      <c r="AQ136" s="226" cm="1">
        <f t="array" ref="AQ136">_xlfn.IFS(AND($K136&gt;AP$7,$L136&gt;AP$7),0,AND($K136&lt;=AP$7,$L136&lt;=AP$7),1,AND($K136&lt;=AP$7,$L136&gt;AP$7),((AP$7-$K136)/($L136-$K136)))</f>
        <v>1</v>
      </c>
      <c r="AR136" s="226" cm="1">
        <f t="array" ref="AR136">_xlfn.IFS(AND($K136&gt;AQ$7,$L136&gt;AQ$7),0,AND($K136&lt;=AQ$7,$L136&lt;=AQ$7),1,AND($K136&lt;=AQ$7,$L136&gt;AQ$7),((AQ$7-$K136)/($L136-$K136)))</f>
        <v>1</v>
      </c>
      <c r="AS136" s="226" cm="1">
        <f t="array" ref="AS136">_xlfn.IFS(AND($K136&gt;AR$7,$L136&gt;AR$7),0,AND($K136&lt;=AR$7,$L136&lt;=AR$7),1,AND($K136&lt;=AR$7,$L136&gt;AR$7),((AR$7-$K136)/($L136-$K136)))</f>
        <v>1</v>
      </c>
      <c r="AT136" s="226" cm="1">
        <f t="array" ref="AT136">_xlfn.IFS(AND($K136&gt;AS$7,$L136&gt;AS$7),0,AND($K136&lt;=AS$7,$L136&lt;=AS$7),1,AND($K136&lt;=AS$7,$L136&gt;AS$7),((AS$7-$K136)/($L136-$K136)))</f>
        <v>1</v>
      </c>
      <c r="AU136" s="226" cm="1">
        <f t="array" ref="AU136">_xlfn.IFS(AND($K136&gt;AT$7,$L136&gt;AT$7),0,AND($K136&lt;=AT$7,$L136&lt;=AT$7),1,AND($K136&lt;=AT$7,$L136&gt;AT$7),((AT$7-$K136)/($L136-$K136)))</f>
        <v>1</v>
      </c>
      <c r="AV136" s="226" cm="1">
        <f t="array" ref="AV136">_xlfn.IFS(AND($K136&gt;AU$7,$L136&gt;AU$7),0,AND($K136&lt;=AU$7,$L136&lt;=AU$7),1,AND($K136&lt;=AU$7,$L136&gt;AU$7),((AU$7-$K136)/($L136-$K136)))</f>
        <v>1</v>
      </c>
      <c r="AW136" s="226" cm="1">
        <f t="array" ref="AW136">_xlfn.IFS(AND($K136&gt;AV$7,$L136&gt;AV$7),0,AND($K136&lt;=AV$7,$L136&lt;=AV$7),1,AND($K136&lt;=AV$7,$L136&gt;AV$7),((AV$7-$K136)/($L136-$K136)))</f>
        <v>1</v>
      </c>
      <c r="AX136" s="226" cm="1">
        <f t="array" ref="AX136">_xlfn.IFS(AND($K136&gt;AW$7,$L136&gt;AW$7),0,AND($K136&lt;=AW$7,$L136&lt;=AW$7),1,AND($K136&lt;=AW$7,$L136&gt;AW$7),((AW$7-$K136)/($L136-$K136)))</f>
        <v>1</v>
      </c>
      <c r="AY136" s="226" cm="1">
        <f t="array" ref="AY136">_xlfn.IFS(AND($K136&gt;AX$7,$L136&gt;AX$7),0,AND($K136&lt;=AX$7,$L136&lt;=AX$7),1,AND($K136&lt;=AX$7,$L136&gt;AX$7),((AX$7-$K136)/($L136-$K136)))</f>
        <v>1</v>
      </c>
      <c r="AZ136" s="226" cm="1">
        <f t="array" ref="AZ136">_xlfn.IFS(AND($K136&gt;AY$7,$L136&gt;AY$7),0,AND($K136&lt;=AY$7,$L136&lt;=AY$7),1,AND($K136&lt;=AY$7,$L136&gt;AY$7),((AY$7-$K136)/($L136-$K136)))</f>
        <v>1</v>
      </c>
      <c r="BA136" s="226" cm="1">
        <f t="array" ref="BA136">_xlfn.IFS(AND($K136&gt;AZ$7,$L136&gt;AZ$7),0,AND($K136&lt;=AZ$7,$L136&lt;=AZ$7),1,AND($K136&lt;=AZ$7,$L136&gt;AZ$7),((AZ$7-$K136)/($L136-$K136)))</f>
        <v>1</v>
      </c>
      <c r="BB136" s="226" cm="1">
        <f t="array" ref="BB136">_xlfn.IFS(AND($K136&gt;BA$7,$L136&gt;BA$7),0,AND($K136&lt;=BA$7,$L136&lt;=BA$7),1,AND($K136&lt;=BA$7,$L136&gt;BA$7),((BA$7-$K136)/($L136-$K136)))</f>
        <v>1</v>
      </c>
      <c r="BC136" s="226" cm="1">
        <f t="array" ref="BC136">_xlfn.IFS(AND($K136&gt;BB$7,$L136&gt;BB$7),0,AND($K136&lt;=BB$7,$L136&lt;=BB$7),1,AND($K136&lt;=BB$7,$L136&gt;BB$7),((BB$7-$K136)/($L136-$K136)))</f>
        <v>1</v>
      </c>
      <c r="BD136" s="226" cm="1">
        <f t="array" ref="BD136">_xlfn.IFS(AND($K136&gt;BC$7,$L136&gt;BC$7),0,AND($K136&lt;=BC$7,$L136&lt;=BC$7),1,AND($K136&lt;=BC$7,$L136&gt;BC$7),((BC$7-$K136)/($L136-$K136)))</f>
        <v>1</v>
      </c>
      <c r="BE136" s="226" cm="1">
        <f t="array" ref="BE136">_xlfn.IFS(AND($K136&gt;BD$7,$L136&gt;BD$7),0,AND($K136&lt;=BD$7,$L136&lt;=BD$7),1,AND($K136&lt;=BD$7,$L136&gt;BD$7),((BD$7-$K136)/($L136-$K136)))</f>
        <v>1</v>
      </c>
      <c r="BF136" s="226" cm="1">
        <f t="array" ref="BF136">_xlfn.IFS(AND($K136&gt;BE$7,$L136&gt;BE$7),0,AND($K136&lt;=BE$7,$L136&lt;=BE$7),1,AND($K136&lt;=BE$7,$L136&gt;BE$7),((BE$7-$K136)/($L136-$K136)))</f>
        <v>1</v>
      </c>
      <c r="BG136" s="226" cm="1">
        <f t="array" ref="BG136">_xlfn.IFS(AND($K136&gt;BF$7,$L136&gt;BF$7),0,AND($K136&lt;=BF$7,$L136&lt;=BF$7),1,AND($K136&lt;=BF$7,$L136&gt;BF$7),((BF$7-$K136)/($L136-$K136)))</f>
        <v>1</v>
      </c>
      <c r="BH136">
        <f>Tab.plano6[[#This Row],[Data Término
Prevista]]-Tab.plano6[[#This Row],[Data Início
Previsto]]</f>
        <v>9</v>
      </c>
    </row>
    <row r="137" spans="1:60" customFormat="1" ht="18" hidden="1" customHeight="1" x14ac:dyDescent="0.3">
      <c r="A137" s="220"/>
      <c r="B137" s="220" t="s">
        <v>161</v>
      </c>
      <c r="C137" s="220" t="s">
        <v>585</v>
      </c>
      <c r="D137" s="251" t="s">
        <v>399</v>
      </c>
      <c r="E137" s="251" t="s">
        <v>581</v>
      </c>
      <c r="F137" s="251" t="s">
        <v>794</v>
      </c>
      <c r="G137" s="251" t="s">
        <v>794</v>
      </c>
      <c r="H137" s="246" t="s">
        <v>793</v>
      </c>
      <c r="I137" s="260">
        <v>46216</v>
      </c>
      <c r="J137" s="260">
        <v>46217</v>
      </c>
      <c r="K137" s="260">
        <v>46216</v>
      </c>
      <c r="L137" s="260">
        <v>46217</v>
      </c>
      <c r="M137" s="231" t="s">
        <v>400</v>
      </c>
      <c r="N137" s="227" t="str" cm="1">
        <f t="array" ref="N137">_xlfn.IFS(L137&lt;$M$3,"Concluído",AND(K137&lt;=$M$3,L137&gt;=$M$3,L137&lt;=J137),"Em andamento",AND(K137&lt;=$M$3,L137&gt;=$M$3,L137&gt;J137),"Atrasado",AND(K137&gt;$M$3,I137&gt;$M$3),"Não iniciado",AND(K137&gt;$M$3,I137&lt;=$M$3),"Atrasado",TRUE,"Não iniciado")</f>
        <v>Não iniciado</v>
      </c>
      <c r="O137" s="231" cm="1">
        <f t="array" ref="O137">_xlfn.IFS(N137="Não iniciado",0,N137="Em andamento",1,N137="Concluído",2,N137="Atrasado",3)</f>
        <v>0</v>
      </c>
      <c r="P137" s="220"/>
      <c r="Q137" s="226" cm="1">
        <f t="array" ref="Q137">_xlfn.IFS(AND($I137&lt;$M$3,$J137&lt;$M$3),1,AND($I137&lt;=$M$3,$J137&gt;=$M$3),0.5,AND($I137&gt;=$M$3,$J137&gt;=$M$3),0)</f>
        <v>0</v>
      </c>
      <c r="R137" s="226" cm="1">
        <f t="array" ref="R137">_xlfn.IFS(AND($K137&lt;$M$3,$L137&lt;$M$3),1,AND($K137&lt;=$M$3,$L137&gt;=$M$3),0.5,AND($K137&gt;=$M$3,$L137&gt;=$M$3),0)</f>
        <v>0</v>
      </c>
      <c r="S137" s="226" cm="1">
        <f t="array" ref="S137">_xlfn.IFS(AND($K137&gt;R$7,$L137&gt;R$7),0,AND($K137&lt;=R$7,$L137&lt;=R$7),1,AND($K137&lt;=R$7,$L137&gt;R$7),((R$7-$K137)/($L137-$K137)))</f>
        <v>0</v>
      </c>
      <c r="T137" s="226" cm="1">
        <f t="array" ref="T137">_xlfn.IFS(AND($K137&gt;S$7,$L137&gt;S$7),0,AND($K137&lt;=S$7,$L137&lt;=S$7),1,AND($K137&lt;=S$7,$L137&gt;S$7),((S$7-$K137)/($L137-$K137)))</f>
        <v>0</v>
      </c>
      <c r="U137" s="226" cm="1">
        <f t="array" ref="U137">_xlfn.IFS(AND($K137&gt;T$7,$L137&gt;T$7),0,AND($K137&lt;=T$7,$L137&lt;=T$7),1,AND($K137&lt;=T$7,$L137&gt;T$7),((T$7-$K137)/($L137-$K137)))</f>
        <v>0</v>
      </c>
      <c r="V137" s="226" cm="1">
        <f t="array" ref="V137">_xlfn.IFS(AND($K137&gt;U$7,$L137&gt;U$7),0,AND($K137&lt;=U$7,$L137&lt;=U$7),1,AND($K137&lt;=U$7,$L137&gt;U$7),((U$7-$K137)/($L137-$K137)))</f>
        <v>0</v>
      </c>
      <c r="W137" s="226" cm="1">
        <f t="array" ref="W137">_xlfn.IFS(AND($K137&gt;V$7,$L137&gt;V$7),0,AND($K137&lt;=V$7,$L137&lt;=V$7),1,AND($K137&lt;=V$7,$L137&gt;V$7),((V$7-$K137)/($L137-$K137)))</f>
        <v>0</v>
      </c>
      <c r="X137" s="226" cm="1">
        <f t="array" ref="X137">_xlfn.IFS(AND($K137&gt;W$7,$L137&gt;W$7),0,AND($K137&lt;=W$7,$L137&lt;=W$7),1,AND($K137&lt;=W$7,$L137&gt;W$7),((W$7-$K137)/($L137-$K137)))</f>
        <v>0</v>
      </c>
      <c r="Y137" s="226" cm="1">
        <f t="array" ref="Y137">_xlfn.IFS(AND($K137&gt;X$7,$L137&gt;X$7),0,AND($K137&lt;=X$7,$L137&lt;=X$7),1,AND($K137&lt;=X$7,$L137&gt;X$7),((X$7-$K137)/($L137-$K137)))</f>
        <v>0</v>
      </c>
      <c r="Z137" s="226" cm="1">
        <f t="array" ref="Z137">_xlfn.IFS(AND($K137&gt;Y$7,$L137&gt;Y$7),0,AND($K137&lt;=Y$7,$L137&lt;=Y$7),1,AND($K137&lt;=Y$7,$L137&gt;Y$7),((Y$7-$K137)/($L137-$K137)))</f>
        <v>0</v>
      </c>
      <c r="AA137" s="226" cm="1">
        <f t="array" ref="AA137">_xlfn.IFS(AND($K137&gt;Z$7,$L137&gt;Z$7),0,AND($K137&lt;=Z$7,$L137&lt;=Z$7),1,AND($K137&lt;=Z$7,$L137&gt;Z$7),((Z$7-$K137)/($L137-$K137)))</f>
        <v>0</v>
      </c>
      <c r="AB137" s="226" cm="1">
        <f t="array" ref="AB137">_xlfn.IFS(AND($K137&gt;AA$7,$L137&gt;AA$7),0,AND($K137&lt;=AA$7,$L137&lt;=AA$7),1,AND($K137&lt;=AA$7,$L137&gt;AA$7),((AA$7-$K137)/($L137-$K137)))</f>
        <v>0</v>
      </c>
      <c r="AC137" s="226" cm="1">
        <f t="array" ref="AC137">_xlfn.IFS(AND($K137&gt;AB$7,$L137&gt;AB$7),0,AND($K137&lt;=AB$7,$L137&lt;=AB$7),1,AND($K137&lt;=AB$7,$L137&gt;AB$7),((AB$7-$K137)/($L137-$K137)))</f>
        <v>0</v>
      </c>
      <c r="AD137" s="226" cm="1">
        <f t="array" ref="AD137">_xlfn.IFS(AND($K137&gt;AC$7,$L137&gt;AC$7),0,AND($K137&lt;=AC$7,$L137&lt;=AC$7),1,AND($K137&lt;=AC$7,$L137&gt;AC$7),((AC$7-$K137)/($L137-$K137)))</f>
        <v>0</v>
      </c>
      <c r="AE137" s="226" cm="1">
        <f t="array" ref="AE137">_xlfn.IFS(AND($K137&gt;AD$7,$L137&gt;AD$7),0,AND($K137&lt;=AD$7,$L137&lt;=AD$7),1,AND($K137&lt;=AD$7,$L137&gt;AD$7),((AD$7-$K137)/($L137-$K137)))</f>
        <v>0</v>
      </c>
      <c r="AF137" s="226" cm="1">
        <f t="array" ref="AF137">_xlfn.IFS(AND($K137&gt;AE$7,$L137&gt;AE$7),0,AND($K137&lt;=AE$7,$L137&lt;=AE$7),1,AND($K137&lt;=AE$7,$L137&gt;AE$7),((AE$7-$K137)/($L137-$K137)))</f>
        <v>0</v>
      </c>
      <c r="AG137" s="226" cm="1">
        <f t="array" ref="AG137">_xlfn.IFS(AND($K137&gt;AF$7,$L137&gt;AF$7),0,AND($K137&lt;=AF$7,$L137&lt;=AF$7),1,AND($K137&lt;=AF$7,$L137&gt;AF$7),((AF$7-$K137)/($L137-$K137)))</f>
        <v>0</v>
      </c>
      <c r="AH137" s="226" cm="1">
        <f t="array" ref="AH137">_xlfn.IFS(AND($K137&gt;AG$7,$L137&gt;AG$7),0,AND($K137&lt;=AG$7,$L137&lt;=AG$7),1,AND($K137&lt;=AG$7,$L137&gt;AG$7),((AG$7-$K137)/($L137-$K137)))</f>
        <v>0</v>
      </c>
      <c r="AI137" s="226" cm="1">
        <f t="array" ref="AI137">_xlfn.IFS(AND($K137&gt;AH$7,$L137&gt;AH$7),0,AND($K137&lt;=AH$7,$L137&lt;=AH$7),1,AND($K137&lt;=AH$7,$L137&gt;AH$7),((AH$7-$K137)/($L137-$K137)))</f>
        <v>0</v>
      </c>
      <c r="AJ137" s="226" cm="1">
        <f t="array" ref="AJ137">_xlfn.IFS(AND($K137&gt;AI$7,$L137&gt;AI$7),0,AND($K137&lt;=AI$7,$L137&lt;=AI$7),1,AND($K137&lt;=AI$7,$L137&gt;AI$7),((AI$7-$K137)/($L137-$K137)))</f>
        <v>1</v>
      </c>
      <c r="AK137" s="226" cm="1">
        <f t="array" ref="AK137">_xlfn.IFS(AND($K137&gt;AJ$7,$L137&gt;AJ$7),0,AND($K137&lt;=AJ$7,$L137&lt;=AJ$7),1,AND($K137&lt;=AJ$7,$L137&gt;AJ$7),((AJ$7-$K137)/($L137-$K137)))</f>
        <v>1</v>
      </c>
      <c r="AL137" s="226" cm="1">
        <f t="array" ref="AL137">_xlfn.IFS(AND($K137&gt;AK$7,$L137&gt;AK$7),0,AND($K137&lt;=AK$7,$L137&lt;=AK$7),1,AND($K137&lt;=AK$7,$L137&gt;AK$7),((AK$7-$K137)/($L137-$K137)))</f>
        <v>1</v>
      </c>
      <c r="AM137" s="226" cm="1">
        <f t="array" ref="AM137">_xlfn.IFS(AND($K137&gt;AL$7,$L137&gt;AL$7),0,AND($K137&lt;=AL$7,$L137&lt;=AL$7),1,AND($K137&lt;=AL$7,$L137&gt;AL$7),((AL$7-$K137)/($L137-$K137)))</f>
        <v>1</v>
      </c>
      <c r="AN137" s="226" cm="1">
        <f t="array" ref="AN137">_xlfn.IFS(AND($K137&gt;AM$7,$L137&gt;AM$7),0,AND($K137&lt;=AM$7,$L137&lt;=AM$7),1,AND($K137&lt;=AM$7,$L137&gt;AM$7),((AM$7-$K137)/($L137-$K137)))</f>
        <v>1</v>
      </c>
      <c r="AO137" s="226" cm="1">
        <f t="array" ref="AO137">_xlfn.IFS(AND($K137&gt;AN$7,$L137&gt;AN$7),0,AND($K137&lt;=AN$7,$L137&lt;=AN$7),1,AND($K137&lt;=AN$7,$L137&gt;AN$7),((AN$7-$K137)/($L137-$K137)))</f>
        <v>1</v>
      </c>
      <c r="AP137" s="226" cm="1">
        <f t="array" ref="AP137">_xlfn.IFS(AND($K137&gt;AO$7,$L137&gt;AO$7),0,AND($K137&lt;=AO$7,$L137&lt;=AO$7),1,AND($K137&lt;=AO$7,$L137&gt;AO$7),((AO$7-$K137)/($L137-$K137)))</f>
        <v>1</v>
      </c>
      <c r="AQ137" s="226" cm="1">
        <f t="array" ref="AQ137">_xlfn.IFS(AND($K137&gt;AP$7,$L137&gt;AP$7),0,AND($K137&lt;=AP$7,$L137&lt;=AP$7),1,AND($K137&lt;=AP$7,$L137&gt;AP$7),((AP$7-$K137)/($L137-$K137)))</f>
        <v>1</v>
      </c>
      <c r="AR137" s="226" cm="1">
        <f t="array" ref="AR137">_xlfn.IFS(AND($K137&gt;AQ$7,$L137&gt;AQ$7),0,AND($K137&lt;=AQ$7,$L137&lt;=AQ$7),1,AND($K137&lt;=AQ$7,$L137&gt;AQ$7),((AQ$7-$K137)/($L137-$K137)))</f>
        <v>1</v>
      </c>
      <c r="AS137" s="226" cm="1">
        <f t="array" ref="AS137">_xlfn.IFS(AND($K137&gt;AR$7,$L137&gt;AR$7),0,AND($K137&lt;=AR$7,$L137&lt;=AR$7),1,AND($K137&lt;=AR$7,$L137&gt;AR$7),((AR$7-$K137)/($L137-$K137)))</f>
        <v>1</v>
      </c>
      <c r="AT137" s="226" cm="1">
        <f t="array" ref="AT137">_xlfn.IFS(AND($K137&gt;AS$7,$L137&gt;AS$7),0,AND($K137&lt;=AS$7,$L137&lt;=AS$7),1,AND($K137&lt;=AS$7,$L137&gt;AS$7),((AS$7-$K137)/($L137-$K137)))</f>
        <v>1</v>
      </c>
      <c r="AU137" s="226" cm="1">
        <f t="array" ref="AU137">_xlfn.IFS(AND($K137&gt;AT$7,$L137&gt;AT$7),0,AND($K137&lt;=AT$7,$L137&lt;=AT$7),1,AND($K137&lt;=AT$7,$L137&gt;AT$7),((AT$7-$K137)/($L137-$K137)))</f>
        <v>1</v>
      </c>
      <c r="AV137" s="226" cm="1">
        <f t="array" ref="AV137">_xlfn.IFS(AND($K137&gt;AU$7,$L137&gt;AU$7),0,AND($K137&lt;=AU$7,$L137&lt;=AU$7),1,AND($K137&lt;=AU$7,$L137&gt;AU$7),((AU$7-$K137)/($L137-$K137)))</f>
        <v>1</v>
      </c>
      <c r="AW137" s="226" cm="1">
        <f t="array" ref="AW137">_xlfn.IFS(AND($K137&gt;AV$7,$L137&gt;AV$7),0,AND($K137&lt;=AV$7,$L137&lt;=AV$7),1,AND($K137&lt;=AV$7,$L137&gt;AV$7),((AV$7-$K137)/($L137-$K137)))</f>
        <v>1</v>
      </c>
      <c r="AX137" s="226" cm="1">
        <f t="array" ref="AX137">_xlfn.IFS(AND($K137&gt;AW$7,$L137&gt;AW$7),0,AND($K137&lt;=AW$7,$L137&lt;=AW$7),1,AND($K137&lt;=AW$7,$L137&gt;AW$7),((AW$7-$K137)/($L137-$K137)))</f>
        <v>1</v>
      </c>
      <c r="AY137" s="226" cm="1">
        <f t="array" ref="AY137">_xlfn.IFS(AND($K137&gt;AX$7,$L137&gt;AX$7),0,AND($K137&lt;=AX$7,$L137&lt;=AX$7),1,AND($K137&lt;=AX$7,$L137&gt;AX$7),((AX$7-$K137)/($L137-$K137)))</f>
        <v>1</v>
      </c>
      <c r="AZ137" s="226" cm="1">
        <f t="array" ref="AZ137">_xlfn.IFS(AND($K137&gt;AY$7,$L137&gt;AY$7),0,AND($K137&lt;=AY$7,$L137&lt;=AY$7),1,AND($K137&lt;=AY$7,$L137&gt;AY$7),((AY$7-$K137)/($L137-$K137)))</f>
        <v>1</v>
      </c>
      <c r="BA137" s="226" cm="1">
        <f t="array" ref="BA137">_xlfn.IFS(AND($K137&gt;AZ$7,$L137&gt;AZ$7),0,AND($K137&lt;=AZ$7,$L137&lt;=AZ$7),1,AND($K137&lt;=AZ$7,$L137&gt;AZ$7),((AZ$7-$K137)/($L137-$K137)))</f>
        <v>1</v>
      </c>
      <c r="BB137" s="226" cm="1">
        <f t="array" ref="BB137">_xlfn.IFS(AND($K137&gt;BA$7,$L137&gt;BA$7),0,AND($K137&lt;=BA$7,$L137&lt;=BA$7),1,AND($K137&lt;=BA$7,$L137&gt;BA$7),((BA$7-$K137)/($L137-$K137)))</f>
        <v>1</v>
      </c>
      <c r="BC137" s="226" cm="1">
        <f t="array" ref="BC137">_xlfn.IFS(AND($K137&gt;BB$7,$L137&gt;BB$7),0,AND($K137&lt;=BB$7,$L137&lt;=BB$7),1,AND($K137&lt;=BB$7,$L137&gt;BB$7),((BB$7-$K137)/($L137-$K137)))</f>
        <v>1</v>
      </c>
      <c r="BD137" s="226" cm="1">
        <f t="array" ref="BD137">_xlfn.IFS(AND($K137&gt;BC$7,$L137&gt;BC$7),0,AND($K137&lt;=BC$7,$L137&lt;=BC$7),1,AND($K137&lt;=BC$7,$L137&gt;BC$7),((BC$7-$K137)/($L137-$K137)))</f>
        <v>1</v>
      </c>
      <c r="BE137" s="226" cm="1">
        <f t="array" ref="BE137">_xlfn.IFS(AND($K137&gt;BD$7,$L137&gt;BD$7),0,AND($K137&lt;=BD$7,$L137&lt;=BD$7),1,AND($K137&lt;=BD$7,$L137&gt;BD$7),((BD$7-$K137)/($L137-$K137)))</f>
        <v>1</v>
      </c>
      <c r="BF137" s="226" cm="1">
        <f t="array" ref="BF137">_xlfn.IFS(AND($K137&gt;BE$7,$L137&gt;BE$7),0,AND($K137&lt;=BE$7,$L137&lt;=BE$7),1,AND($K137&lt;=BE$7,$L137&gt;BE$7),((BE$7-$K137)/($L137-$K137)))</f>
        <v>1</v>
      </c>
      <c r="BG137" s="226" cm="1">
        <f t="array" ref="BG137">_xlfn.IFS(AND($K137&gt;BF$7,$L137&gt;BF$7),0,AND($K137&lt;=BF$7,$L137&lt;=BF$7),1,AND($K137&lt;=BF$7,$L137&gt;BF$7),((BF$7-$K137)/($L137-$K137)))</f>
        <v>1</v>
      </c>
      <c r="BH137">
        <f>Tab.plano6[[#This Row],[Data Término
Prevista]]-Tab.plano6[[#This Row],[Data Início
Previsto]]</f>
        <v>1</v>
      </c>
    </row>
    <row r="138" spans="1:60" customFormat="1" ht="18" hidden="1" customHeight="1" x14ac:dyDescent="0.3">
      <c r="A138" s="220"/>
      <c r="B138" s="220" t="s">
        <v>161</v>
      </c>
      <c r="C138" s="220" t="s">
        <v>586</v>
      </c>
      <c r="D138" s="251" t="s">
        <v>399</v>
      </c>
      <c r="E138" s="251" t="s">
        <v>581</v>
      </c>
      <c r="F138" s="251" t="s">
        <v>794</v>
      </c>
      <c r="G138" s="251" t="s">
        <v>794</v>
      </c>
      <c r="H138" s="246" t="s">
        <v>792</v>
      </c>
      <c r="I138" s="260">
        <v>46217</v>
      </c>
      <c r="J138" s="260">
        <v>46234</v>
      </c>
      <c r="K138" s="260">
        <v>46217</v>
      </c>
      <c r="L138" s="260">
        <v>46234</v>
      </c>
      <c r="M138" s="231" t="s">
        <v>587</v>
      </c>
      <c r="N138" s="227" t="str" cm="1">
        <f t="array" ref="N138">_xlfn.IFS(L138&lt;$M$3,"Concluído",AND(K138&lt;=$M$3,L138&gt;=$M$3,L138&lt;=J138),"Em andamento",AND(K138&lt;=$M$3,L138&gt;=$M$3,L138&gt;J138),"Atrasado",AND(K138&gt;$M$3,I138&gt;$M$3),"Não iniciado",AND(K138&gt;$M$3,I138&lt;=$M$3),"Atrasado",TRUE,"Não iniciado")</f>
        <v>Não iniciado</v>
      </c>
      <c r="O138" s="231" cm="1">
        <f t="array" ref="O138">_xlfn.IFS(N138="Não iniciado",0,N138="Em andamento",1,N138="Concluído",2,N138="Atrasado",3)</f>
        <v>0</v>
      </c>
      <c r="P138" s="220"/>
      <c r="Q138" s="226" cm="1">
        <f t="array" ref="Q138">_xlfn.IFS(AND($I138&lt;$M$3,$J138&lt;$M$3),1,AND($I138&lt;=$M$3,$J138&gt;=$M$3),0.5,AND($I138&gt;=$M$3,$J138&gt;=$M$3),0)</f>
        <v>0</v>
      </c>
      <c r="R138" s="226" cm="1">
        <f t="array" ref="R138">_xlfn.IFS(AND($K138&lt;$M$3,$L138&lt;$M$3),1,AND($K138&lt;=$M$3,$L138&gt;=$M$3),0.5,AND($K138&gt;=$M$3,$L138&gt;=$M$3),0)</f>
        <v>0</v>
      </c>
      <c r="S138" s="226" cm="1">
        <f t="array" ref="S138">_xlfn.IFS(AND($K138&gt;R$7,$L138&gt;R$7),0,AND($K138&lt;=R$7,$L138&lt;=R$7),1,AND($K138&lt;=R$7,$L138&gt;R$7),((R$7-$K138)/($L138-$K138)))</f>
        <v>0</v>
      </c>
      <c r="T138" s="226" cm="1">
        <f t="array" ref="T138">_xlfn.IFS(AND($K138&gt;S$7,$L138&gt;S$7),0,AND($K138&lt;=S$7,$L138&lt;=S$7),1,AND($K138&lt;=S$7,$L138&gt;S$7),((S$7-$K138)/($L138-$K138)))</f>
        <v>0</v>
      </c>
      <c r="U138" s="226" cm="1">
        <f t="array" ref="U138">_xlfn.IFS(AND($K138&gt;T$7,$L138&gt;T$7),0,AND($K138&lt;=T$7,$L138&lt;=T$7),1,AND($K138&lt;=T$7,$L138&gt;T$7),((T$7-$K138)/($L138-$K138)))</f>
        <v>0</v>
      </c>
      <c r="V138" s="226" cm="1">
        <f t="array" ref="V138">_xlfn.IFS(AND($K138&gt;U$7,$L138&gt;U$7),0,AND($K138&lt;=U$7,$L138&lt;=U$7),1,AND($K138&lt;=U$7,$L138&gt;U$7),((U$7-$K138)/($L138-$K138)))</f>
        <v>0</v>
      </c>
      <c r="W138" s="226" cm="1">
        <f t="array" ref="W138">_xlfn.IFS(AND($K138&gt;V$7,$L138&gt;V$7),0,AND($K138&lt;=V$7,$L138&lt;=V$7),1,AND($K138&lt;=V$7,$L138&gt;V$7),((V$7-$K138)/($L138-$K138)))</f>
        <v>0</v>
      </c>
      <c r="X138" s="226" cm="1">
        <f t="array" ref="X138">_xlfn.IFS(AND($K138&gt;W$7,$L138&gt;W$7),0,AND($K138&lt;=W$7,$L138&lt;=W$7),1,AND($K138&lt;=W$7,$L138&gt;W$7),((W$7-$K138)/($L138-$K138)))</f>
        <v>0</v>
      </c>
      <c r="Y138" s="226" cm="1">
        <f t="array" ref="Y138">_xlfn.IFS(AND($K138&gt;X$7,$L138&gt;X$7),0,AND($K138&lt;=X$7,$L138&lt;=X$7),1,AND($K138&lt;=X$7,$L138&gt;X$7),((X$7-$K138)/($L138-$K138)))</f>
        <v>0</v>
      </c>
      <c r="Z138" s="226" cm="1">
        <f t="array" ref="Z138">_xlfn.IFS(AND($K138&gt;Y$7,$L138&gt;Y$7),0,AND($K138&lt;=Y$7,$L138&lt;=Y$7),1,AND($K138&lt;=Y$7,$L138&gt;Y$7),((Y$7-$K138)/($L138-$K138)))</f>
        <v>0</v>
      </c>
      <c r="AA138" s="226" cm="1">
        <f t="array" ref="AA138">_xlfn.IFS(AND($K138&gt;Z$7,$L138&gt;Z$7),0,AND($K138&lt;=Z$7,$L138&lt;=Z$7),1,AND($K138&lt;=Z$7,$L138&gt;Z$7),((Z$7-$K138)/($L138-$K138)))</f>
        <v>0</v>
      </c>
      <c r="AB138" s="226" cm="1">
        <f t="array" ref="AB138">_xlfn.IFS(AND($K138&gt;AA$7,$L138&gt;AA$7),0,AND($K138&lt;=AA$7,$L138&lt;=AA$7),1,AND($K138&lt;=AA$7,$L138&gt;AA$7),((AA$7-$K138)/($L138-$K138)))</f>
        <v>0</v>
      </c>
      <c r="AC138" s="226" cm="1">
        <f t="array" ref="AC138">_xlfn.IFS(AND($K138&gt;AB$7,$L138&gt;AB$7),0,AND($K138&lt;=AB$7,$L138&lt;=AB$7),1,AND($K138&lt;=AB$7,$L138&gt;AB$7),((AB$7-$K138)/($L138-$K138)))</f>
        <v>0</v>
      </c>
      <c r="AD138" s="226" cm="1">
        <f t="array" ref="AD138">_xlfn.IFS(AND($K138&gt;AC$7,$L138&gt;AC$7),0,AND($K138&lt;=AC$7,$L138&lt;=AC$7),1,AND($K138&lt;=AC$7,$L138&gt;AC$7),((AC$7-$K138)/($L138-$K138)))</f>
        <v>0</v>
      </c>
      <c r="AE138" s="226" cm="1">
        <f t="array" ref="AE138">_xlfn.IFS(AND($K138&gt;AD$7,$L138&gt;AD$7),0,AND($K138&lt;=AD$7,$L138&lt;=AD$7),1,AND($K138&lt;=AD$7,$L138&gt;AD$7),((AD$7-$K138)/($L138-$K138)))</f>
        <v>0</v>
      </c>
      <c r="AF138" s="226" cm="1">
        <f t="array" ref="AF138">_xlfn.IFS(AND($K138&gt;AE$7,$L138&gt;AE$7),0,AND($K138&lt;=AE$7,$L138&lt;=AE$7),1,AND($K138&lt;=AE$7,$L138&gt;AE$7),((AE$7-$K138)/($L138-$K138)))</f>
        <v>0</v>
      </c>
      <c r="AG138" s="226" cm="1">
        <f t="array" ref="AG138">_xlfn.IFS(AND($K138&gt;AF$7,$L138&gt;AF$7),0,AND($K138&lt;=AF$7,$L138&lt;=AF$7),1,AND($K138&lt;=AF$7,$L138&gt;AF$7),((AF$7-$K138)/($L138-$K138)))</f>
        <v>0</v>
      </c>
      <c r="AH138" s="226" cm="1">
        <f t="array" ref="AH138">_xlfn.IFS(AND($K138&gt;AG$7,$L138&gt;AG$7),0,AND($K138&lt;=AG$7,$L138&lt;=AG$7),1,AND($K138&lt;=AG$7,$L138&gt;AG$7),((AG$7-$K138)/($L138-$K138)))</f>
        <v>0</v>
      </c>
      <c r="AI138" s="226" cm="1">
        <f t="array" ref="AI138">_xlfn.IFS(AND($K138&gt;AH$7,$L138&gt;AH$7),0,AND($K138&lt;=AH$7,$L138&lt;=AH$7),1,AND($K138&lt;=AH$7,$L138&gt;AH$7),((AH$7-$K138)/($L138-$K138)))</f>
        <v>0</v>
      </c>
      <c r="AJ138" s="226" cm="1">
        <f t="array" ref="AJ138">_xlfn.IFS(AND($K138&gt;AI$7,$L138&gt;AI$7),0,AND($K138&lt;=AI$7,$L138&lt;=AI$7),1,AND($K138&lt;=AI$7,$L138&gt;AI$7),((AI$7-$K138)/($L138-$K138)))</f>
        <v>0.35294117647058826</v>
      </c>
      <c r="AK138" s="226" cm="1">
        <f t="array" ref="AK138">_xlfn.IFS(AND($K138&gt;AJ$7,$L138&gt;AJ$7),0,AND($K138&lt;=AJ$7,$L138&lt;=AJ$7),1,AND($K138&lt;=AJ$7,$L138&gt;AJ$7),((AJ$7-$K138)/($L138-$K138)))</f>
        <v>0.76470588235294112</v>
      </c>
      <c r="AL138" s="226" cm="1">
        <f t="array" ref="AL138">_xlfn.IFS(AND($K138&gt;AK$7,$L138&gt;AK$7),0,AND($K138&lt;=AK$7,$L138&lt;=AK$7),1,AND($K138&lt;=AK$7,$L138&gt;AK$7),((AK$7-$K138)/($L138-$K138)))</f>
        <v>1</v>
      </c>
      <c r="AM138" s="226" cm="1">
        <f t="array" ref="AM138">_xlfn.IFS(AND($K138&gt;AL$7,$L138&gt;AL$7),0,AND($K138&lt;=AL$7,$L138&lt;=AL$7),1,AND($K138&lt;=AL$7,$L138&gt;AL$7),((AL$7-$K138)/($L138-$K138)))</f>
        <v>1</v>
      </c>
      <c r="AN138" s="226" cm="1">
        <f t="array" ref="AN138">_xlfn.IFS(AND($K138&gt;AM$7,$L138&gt;AM$7),0,AND($K138&lt;=AM$7,$L138&lt;=AM$7),1,AND($K138&lt;=AM$7,$L138&gt;AM$7),((AM$7-$K138)/($L138-$K138)))</f>
        <v>1</v>
      </c>
      <c r="AO138" s="226" cm="1">
        <f t="array" ref="AO138">_xlfn.IFS(AND($K138&gt;AN$7,$L138&gt;AN$7),0,AND($K138&lt;=AN$7,$L138&lt;=AN$7),1,AND($K138&lt;=AN$7,$L138&gt;AN$7),((AN$7-$K138)/($L138-$K138)))</f>
        <v>1</v>
      </c>
      <c r="AP138" s="226" cm="1">
        <f t="array" ref="AP138">_xlfn.IFS(AND($K138&gt;AO$7,$L138&gt;AO$7),0,AND($K138&lt;=AO$7,$L138&lt;=AO$7),1,AND($K138&lt;=AO$7,$L138&gt;AO$7),((AO$7-$K138)/($L138-$K138)))</f>
        <v>1</v>
      </c>
      <c r="AQ138" s="226" cm="1">
        <f t="array" ref="AQ138">_xlfn.IFS(AND($K138&gt;AP$7,$L138&gt;AP$7),0,AND($K138&lt;=AP$7,$L138&lt;=AP$7),1,AND($K138&lt;=AP$7,$L138&gt;AP$7),((AP$7-$K138)/($L138-$K138)))</f>
        <v>1</v>
      </c>
      <c r="AR138" s="226" cm="1">
        <f t="array" ref="AR138">_xlfn.IFS(AND($K138&gt;AQ$7,$L138&gt;AQ$7),0,AND($K138&lt;=AQ$7,$L138&lt;=AQ$7),1,AND($K138&lt;=AQ$7,$L138&gt;AQ$7),((AQ$7-$K138)/($L138-$K138)))</f>
        <v>1</v>
      </c>
      <c r="AS138" s="226" cm="1">
        <f t="array" ref="AS138">_xlfn.IFS(AND($K138&gt;AR$7,$L138&gt;AR$7),0,AND($K138&lt;=AR$7,$L138&lt;=AR$7),1,AND($K138&lt;=AR$7,$L138&gt;AR$7),((AR$7-$K138)/($L138-$K138)))</f>
        <v>1</v>
      </c>
      <c r="AT138" s="226" cm="1">
        <f t="array" ref="AT138">_xlfn.IFS(AND($K138&gt;AS$7,$L138&gt;AS$7),0,AND($K138&lt;=AS$7,$L138&lt;=AS$7),1,AND($K138&lt;=AS$7,$L138&gt;AS$7),((AS$7-$K138)/($L138-$K138)))</f>
        <v>1</v>
      </c>
      <c r="AU138" s="226" cm="1">
        <f t="array" ref="AU138">_xlfn.IFS(AND($K138&gt;AT$7,$L138&gt;AT$7),0,AND($K138&lt;=AT$7,$L138&lt;=AT$7),1,AND($K138&lt;=AT$7,$L138&gt;AT$7),((AT$7-$K138)/($L138-$K138)))</f>
        <v>1</v>
      </c>
      <c r="AV138" s="226" cm="1">
        <f t="array" ref="AV138">_xlfn.IFS(AND($K138&gt;AU$7,$L138&gt;AU$7),0,AND($K138&lt;=AU$7,$L138&lt;=AU$7),1,AND($K138&lt;=AU$7,$L138&gt;AU$7),((AU$7-$K138)/($L138-$K138)))</f>
        <v>1</v>
      </c>
      <c r="AW138" s="226" cm="1">
        <f t="array" ref="AW138">_xlfn.IFS(AND($K138&gt;AV$7,$L138&gt;AV$7),0,AND($K138&lt;=AV$7,$L138&lt;=AV$7),1,AND($K138&lt;=AV$7,$L138&gt;AV$7),((AV$7-$K138)/($L138-$K138)))</f>
        <v>1</v>
      </c>
      <c r="AX138" s="226" cm="1">
        <f t="array" ref="AX138">_xlfn.IFS(AND($K138&gt;AW$7,$L138&gt;AW$7),0,AND($K138&lt;=AW$7,$L138&lt;=AW$7),1,AND($K138&lt;=AW$7,$L138&gt;AW$7),((AW$7-$K138)/($L138-$K138)))</f>
        <v>1</v>
      </c>
      <c r="AY138" s="226" cm="1">
        <f t="array" ref="AY138">_xlfn.IFS(AND($K138&gt;AX$7,$L138&gt;AX$7),0,AND($K138&lt;=AX$7,$L138&lt;=AX$7),1,AND($K138&lt;=AX$7,$L138&gt;AX$7),((AX$7-$K138)/($L138-$K138)))</f>
        <v>1</v>
      </c>
      <c r="AZ138" s="226" cm="1">
        <f t="array" ref="AZ138">_xlfn.IFS(AND($K138&gt;AY$7,$L138&gt;AY$7),0,AND($K138&lt;=AY$7,$L138&lt;=AY$7),1,AND($K138&lt;=AY$7,$L138&gt;AY$7),((AY$7-$K138)/($L138-$K138)))</f>
        <v>1</v>
      </c>
      <c r="BA138" s="226" cm="1">
        <f t="array" ref="BA138">_xlfn.IFS(AND($K138&gt;AZ$7,$L138&gt;AZ$7),0,AND($K138&lt;=AZ$7,$L138&lt;=AZ$7),1,AND($K138&lt;=AZ$7,$L138&gt;AZ$7),((AZ$7-$K138)/($L138-$K138)))</f>
        <v>1</v>
      </c>
      <c r="BB138" s="226" cm="1">
        <f t="array" ref="BB138">_xlfn.IFS(AND($K138&gt;BA$7,$L138&gt;BA$7),0,AND($K138&lt;=BA$7,$L138&lt;=BA$7),1,AND($K138&lt;=BA$7,$L138&gt;BA$7),((BA$7-$K138)/($L138-$K138)))</f>
        <v>1</v>
      </c>
      <c r="BC138" s="226" cm="1">
        <f t="array" ref="BC138">_xlfn.IFS(AND($K138&gt;BB$7,$L138&gt;BB$7),0,AND($K138&lt;=BB$7,$L138&lt;=BB$7),1,AND($K138&lt;=BB$7,$L138&gt;BB$7),((BB$7-$K138)/($L138-$K138)))</f>
        <v>1</v>
      </c>
      <c r="BD138" s="226" cm="1">
        <f t="array" ref="BD138">_xlfn.IFS(AND($K138&gt;BC$7,$L138&gt;BC$7),0,AND($K138&lt;=BC$7,$L138&lt;=BC$7),1,AND($K138&lt;=BC$7,$L138&gt;BC$7),((BC$7-$K138)/($L138-$K138)))</f>
        <v>1</v>
      </c>
      <c r="BE138" s="226" cm="1">
        <f t="array" ref="BE138">_xlfn.IFS(AND($K138&gt;BD$7,$L138&gt;BD$7),0,AND($K138&lt;=BD$7,$L138&lt;=BD$7),1,AND($K138&lt;=BD$7,$L138&gt;BD$7),((BD$7-$K138)/($L138-$K138)))</f>
        <v>1</v>
      </c>
      <c r="BF138" s="226" cm="1">
        <f t="array" ref="BF138">_xlfn.IFS(AND($K138&gt;BE$7,$L138&gt;BE$7),0,AND($K138&lt;=BE$7,$L138&lt;=BE$7),1,AND($K138&lt;=BE$7,$L138&gt;BE$7),((BE$7-$K138)/($L138-$K138)))</f>
        <v>1</v>
      </c>
      <c r="BG138" s="226" cm="1">
        <f t="array" ref="BG138">_xlfn.IFS(AND($K138&gt;BF$7,$L138&gt;BF$7),0,AND($K138&lt;=BF$7,$L138&lt;=BF$7),1,AND($K138&lt;=BF$7,$L138&gt;BF$7),((BF$7-$K138)/($L138-$K138)))</f>
        <v>1</v>
      </c>
      <c r="BH138">
        <f>Tab.plano6[[#This Row],[Data Término
Prevista]]-Tab.plano6[[#This Row],[Data Início
Previsto]]</f>
        <v>17</v>
      </c>
    </row>
    <row r="139" spans="1:60" customFormat="1" ht="18" hidden="1" customHeight="1" x14ac:dyDescent="0.3">
      <c r="A139" s="220"/>
      <c r="B139" s="220" t="s">
        <v>161</v>
      </c>
      <c r="C139" s="220" t="s">
        <v>838</v>
      </c>
      <c r="D139" s="251" t="s">
        <v>399</v>
      </c>
      <c r="E139" s="251" t="s">
        <v>581</v>
      </c>
      <c r="F139" s="251" t="s">
        <v>794</v>
      </c>
      <c r="G139" s="251" t="s">
        <v>794</v>
      </c>
      <c r="H139" s="246" t="s">
        <v>791</v>
      </c>
      <c r="I139" s="260">
        <v>46217</v>
      </c>
      <c r="J139" s="260">
        <v>46234</v>
      </c>
      <c r="K139" s="260">
        <v>46217</v>
      </c>
      <c r="L139" s="260">
        <v>46234</v>
      </c>
      <c r="M139" s="231" t="s">
        <v>588</v>
      </c>
      <c r="N139" s="227" t="str" cm="1">
        <f t="array" ref="N139">_xlfn.IFS(L139&lt;$M$3,"Concluído",AND(K139&lt;=$M$3,L139&gt;=$M$3,L139&lt;=J139),"Em andamento",AND(K139&lt;=$M$3,L139&gt;=$M$3,L139&gt;J139),"Atrasado",AND(K139&gt;$M$3,I139&gt;$M$3),"Não iniciado",AND(K139&gt;$M$3,I139&lt;=$M$3),"Atrasado",TRUE,"Não iniciado")</f>
        <v>Não iniciado</v>
      </c>
      <c r="O139" s="231" cm="1">
        <f t="array" ref="O139">_xlfn.IFS(N139="Não iniciado",0,N139="Em andamento",1,N139="Concluído",2,N139="Atrasado",3)</f>
        <v>0</v>
      </c>
      <c r="P139" s="220"/>
      <c r="Q139" s="226" cm="1">
        <f t="array" ref="Q139">_xlfn.IFS(AND($I139&lt;$M$3,$J139&lt;$M$3),1,AND($I139&lt;=$M$3,$J139&gt;=$M$3),0.5,AND($I139&gt;=$M$3,$J139&gt;=$M$3),0)</f>
        <v>0</v>
      </c>
      <c r="R139" s="226" cm="1">
        <f t="array" ref="R139">_xlfn.IFS(AND($K139&lt;$M$3,$L139&lt;$M$3),1,AND($K139&lt;=$M$3,$L139&gt;=$M$3),0.5,AND($K139&gt;=$M$3,$L139&gt;=$M$3),0)</f>
        <v>0</v>
      </c>
      <c r="S139" s="226" cm="1">
        <f t="array" ref="S139">_xlfn.IFS(AND($K139&gt;R$7,$L139&gt;R$7),0,AND($K139&lt;=R$7,$L139&lt;=R$7),1,AND($K139&lt;=R$7,$L139&gt;R$7),((R$7-$K139)/($L139-$K139)))</f>
        <v>0</v>
      </c>
      <c r="T139" s="226" cm="1">
        <f t="array" ref="T139">_xlfn.IFS(AND($K139&gt;S$7,$L139&gt;S$7),0,AND($K139&lt;=S$7,$L139&lt;=S$7),1,AND($K139&lt;=S$7,$L139&gt;S$7),((S$7-$K139)/($L139-$K139)))</f>
        <v>0</v>
      </c>
      <c r="U139" s="226" cm="1">
        <f t="array" ref="U139">_xlfn.IFS(AND($K139&gt;T$7,$L139&gt;T$7),0,AND($K139&lt;=T$7,$L139&lt;=T$7),1,AND($K139&lt;=T$7,$L139&gt;T$7),((T$7-$K139)/($L139-$K139)))</f>
        <v>0</v>
      </c>
      <c r="V139" s="226" cm="1">
        <f t="array" ref="V139">_xlfn.IFS(AND($K139&gt;U$7,$L139&gt;U$7),0,AND($K139&lt;=U$7,$L139&lt;=U$7),1,AND($K139&lt;=U$7,$L139&gt;U$7),((U$7-$K139)/($L139-$K139)))</f>
        <v>0</v>
      </c>
      <c r="W139" s="226" cm="1">
        <f t="array" ref="W139">_xlfn.IFS(AND($K139&gt;V$7,$L139&gt;V$7),0,AND($K139&lt;=V$7,$L139&lt;=V$7),1,AND($K139&lt;=V$7,$L139&gt;V$7),((V$7-$K139)/($L139-$K139)))</f>
        <v>0</v>
      </c>
      <c r="X139" s="226" cm="1">
        <f t="array" ref="X139">_xlfn.IFS(AND($K139&gt;W$7,$L139&gt;W$7),0,AND($K139&lt;=W$7,$L139&lt;=W$7),1,AND($K139&lt;=W$7,$L139&gt;W$7),((W$7-$K139)/($L139-$K139)))</f>
        <v>0</v>
      </c>
      <c r="Y139" s="226" cm="1">
        <f t="array" ref="Y139">_xlfn.IFS(AND($K139&gt;X$7,$L139&gt;X$7),0,AND($K139&lt;=X$7,$L139&lt;=X$7),1,AND($K139&lt;=X$7,$L139&gt;X$7),((X$7-$K139)/($L139-$K139)))</f>
        <v>0</v>
      </c>
      <c r="Z139" s="226" cm="1">
        <f t="array" ref="Z139">_xlfn.IFS(AND($K139&gt;Y$7,$L139&gt;Y$7),0,AND($K139&lt;=Y$7,$L139&lt;=Y$7),1,AND($K139&lt;=Y$7,$L139&gt;Y$7),((Y$7-$K139)/($L139-$K139)))</f>
        <v>0</v>
      </c>
      <c r="AA139" s="226" cm="1">
        <f t="array" ref="AA139">_xlfn.IFS(AND($K139&gt;Z$7,$L139&gt;Z$7),0,AND($K139&lt;=Z$7,$L139&lt;=Z$7),1,AND($K139&lt;=Z$7,$L139&gt;Z$7),((Z$7-$K139)/($L139-$K139)))</f>
        <v>0</v>
      </c>
      <c r="AB139" s="226" cm="1">
        <f t="array" ref="AB139">_xlfn.IFS(AND($K139&gt;AA$7,$L139&gt;AA$7),0,AND($K139&lt;=AA$7,$L139&lt;=AA$7),1,AND($K139&lt;=AA$7,$L139&gt;AA$7),((AA$7-$K139)/($L139-$K139)))</f>
        <v>0</v>
      </c>
      <c r="AC139" s="226" cm="1">
        <f t="array" ref="AC139">_xlfn.IFS(AND($K139&gt;AB$7,$L139&gt;AB$7),0,AND($K139&lt;=AB$7,$L139&lt;=AB$7),1,AND($K139&lt;=AB$7,$L139&gt;AB$7),((AB$7-$K139)/($L139-$K139)))</f>
        <v>0</v>
      </c>
      <c r="AD139" s="226" cm="1">
        <f t="array" ref="AD139">_xlfn.IFS(AND($K139&gt;AC$7,$L139&gt;AC$7),0,AND($K139&lt;=AC$7,$L139&lt;=AC$7),1,AND($K139&lt;=AC$7,$L139&gt;AC$7),((AC$7-$K139)/($L139-$K139)))</f>
        <v>0</v>
      </c>
      <c r="AE139" s="226" cm="1">
        <f t="array" ref="AE139">_xlfn.IFS(AND($K139&gt;AD$7,$L139&gt;AD$7),0,AND($K139&lt;=AD$7,$L139&lt;=AD$7),1,AND($K139&lt;=AD$7,$L139&gt;AD$7),((AD$7-$K139)/($L139-$K139)))</f>
        <v>0</v>
      </c>
      <c r="AF139" s="226" cm="1">
        <f t="array" ref="AF139">_xlfn.IFS(AND($K139&gt;AE$7,$L139&gt;AE$7),0,AND($K139&lt;=AE$7,$L139&lt;=AE$7),1,AND($K139&lt;=AE$7,$L139&gt;AE$7),((AE$7-$K139)/($L139-$K139)))</f>
        <v>0</v>
      </c>
      <c r="AG139" s="226" cm="1">
        <f t="array" ref="AG139">_xlfn.IFS(AND($K139&gt;AF$7,$L139&gt;AF$7),0,AND($K139&lt;=AF$7,$L139&lt;=AF$7),1,AND($K139&lt;=AF$7,$L139&gt;AF$7),((AF$7-$K139)/($L139-$K139)))</f>
        <v>0</v>
      </c>
      <c r="AH139" s="226" cm="1">
        <f t="array" ref="AH139">_xlfn.IFS(AND($K139&gt;AG$7,$L139&gt;AG$7),0,AND($K139&lt;=AG$7,$L139&lt;=AG$7),1,AND($K139&lt;=AG$7,$L139&gt;AG$7),((AG$7-$K139)/($L139-$K139)))</f>
        <v>0</v>
      </c>
      <c r="AI139" s="226" cm="1">
        <f t="array" ref="AI139">_xlfn.IFS(AND($K139&gt;AH$7,$L139&gt;AH$7),0,AND($K139&lt;=AH$7,$L139&lt;=AH$7),1,AND($K139&lt;=AH$7,$L139&gt;AH$7),((AH$7-$K139)/($L139-$K139)))</f>
        <v>0</v>
      </c>
      <c r="AJ139" s="226" cm="1">
        <f t="array" ref="AJ139">_xlfn.IFS(AND($K139&gt;AI$7,$L139&gt;AI$7),0,AND($K139&lt;=AI$7,$L139&lt;=AI$7),1,AND($K139&lt;=AI$7,$L139&gt;AI$7),((AI$7-$K139)/($L139-$K139)))</f>
        <v>0.35294117647058826</v>
      </c>
      <c r="AK139" s="226" cm="1">
        <f t="array" ref="AK139">_xlfn.IFS(AND($K139&gt;AJ$7,$L139&gt;AJ$7),0,AND($K139&lt;=AJ$7,$L139&lt;=AJ$7),1,AND($K139&lt;=AJ$7,$L139&gt;AJ$7),((AJ$7-$K139)/($L139-$K139)))</f>
        <v>0.76470588235294112</v>
      </c>
      <c r="AL139" s="226" cm="1">
        <f t="array" ref="AL139">_xlfn.IFS(AND($K139&gt;AK$7,$L139&gt;AK$7),0,AND($K139&lt;=AK$7,$L139&lt;=AK$7),1,AND($K139&lt;=AK$7,$L139&gt;AK$7),((AK$7-$K139)/($L139-$K139)))</f>
        <v>1</v>
      </c>
      <c r="AM139" s="226" cm="1">
        <f t="array" ref="AM139">_xlfn.IFS(AND($K139&gt;AL$7,$L139&gt;AL$7),0,AND($K139&lt;=AL$7,$L139&lt;=AL$7),1,AND($K139&lt;=AL$7,$L139&gt;AL$7),((AL$7-$K139)/($L139-$K139)))</f>
        <v>1</v>
      </c>
      <c r="AN139" s="226" cm="1">
        <f t="array" ref="AN139">_xlfn.IFS(AND($K139&gt;AM$7,$L139&gt;AM$7),0,AND($K139&lt;=AM$7,$L139&lt;=AM$7),1,AND($K139&lt;=AM$7,$L139&gt;AM$7),((AM$7-$K139)/($L139-$K139)))</f>
        <v>1</v>
      </c>
      <c r="AO139" s="226" cm="1">
        <f t="array" ref="AO139">_xlfn.IFS(AND($K139&gt;AN$7,$L139&gt;AN$7),0,AND($K139&lt;=AN$7,$L139&lt;=AN$7),1,AND($K139&lt;=AN$7,$L139&gt;AN$7),((AN$7-$K139)/($L139-$K139)))</f>
        <v>1</v>
      </c>
      <c r="AP139" s="226" cm="1">
        <f t="array" ref="AP139">_xlfn.IFS(AND($K139&gt;AO$7,$L139&gt;AO$7),0,AND($K139&lt;=AO$7,$L139&lt;=AO$7),1,AND($K139&lt;=AO$7,$L139&gt;AO$7),((AO$7-$K139)/($L139-$K139)))</f>
        <v>1</v>
      </c>
      <c r="AQ139" s="226" cm="1">
        <f t="array" ref="AQ139">_xlfn.IFS(AND($K139&gt;AP$7,$L139&gt;AP$7),0,AND($K139&lt;=AP$7,$L139&lt;=AP$7),1,AND($K139&lt;=AP$7,$L139&gt;AP$7),((AP$7-$K139)/($L139-$K139)))</f>
        <v>1</v>
      </c>
      <c r="AR139" s="226" cm="1">
        <f t="array" ref="AR139">_xlfn.IFS(AND($K139&gt;AQ$7,$L139&gt;AQ$7),0,AND($K139&lt;=AQ$7,$L139&lt;=AQ$7),1,AND($K139&lt;=AQ$7,$L139&gt;AQ$7),((AQ$7-$K139)/($L139-$K139)))</f>
        <v>1</v>
      </c>
      <c r="AS139" s="226" cm="1">
        <f t="array" ref="AS139">_xlfn.IFS(AND($K139&gt;AR$7,$L139&gt;AR$7),0,AND($K139&lt;=AR$7,$L139&lt;=AR$7),1,AND($K139&lt;=AR$7,$L139&gt;AR$7),((AR$7-$K139)/($L139-$K139)))</f>
        <v>1</v>
      </c>
      <c r="AT139" s="226" cm="1">
        <f t="array" ref="AT139">_xlfn.IFS(AND($K139&gt;AS$7,$L139&gt;AS$7),0,AND($K139&lt;=AS$7,$L139&lt;=AS$7),1,AND($K139&lt;=AS$7,$L139&gt;AS$7),((AS$7-$K139)/($L139-$K139)))</f>
        <v>1</v>
      </c>
      <c r="AU139" s="226" cm="1">
        <f t="array" ref="AU139">_xlfn.IFS(AND($K139&gt;AT$7,$L139&gt;AT$7),0,AND($K139&lt;=AT$7,$L139&lt;=AT$7),1,AND($K139&lt;=AT$7,$L139&gt;AT$7),((AT$7-$K139)/($L139-$K139)))</f>
        <v>1</v>
      </c>
      <c r="AV139" s="226" cm="1">
        <f t="array" ref="AV139">_xlfn.IFS(AND($K139&gt;AU$7,$L139&gt;AU$7),0,AND($K139&lt;=AU$7,$L139&lt;=AU$7),1,AND($K139&lt;=AU$7,$L139&gt;AU$7),((AU$7-$K139)/($L139-$K139)))</f>
        <v>1</v>
      </c>
      <c r="AW139" s="226" cm="1">
        <f t="array" ref="AW139">_xlfn.IFS(AND($K139&gt;AV$7,$L139&gt;AV$7),0,AND($K139&lt;=AV$7,$L139&lt;=AV$7),1,AND($K139&lt;=AV$7,$L139&gt;AV$7),((AV$7-$K139)/($L139-$K139)))</f>
        <v>1</v>
      </c>
      <c r="AX139" s="226" cm="1">
        <f t="array" ref="AX139">_xlfn.IFS(AND($K139&gt;AW$7,$L139&gt;AW$7),0,AND($K139&lt;=AW$7,$L139&lt;=AW$7),1,AND($K139&lt;=AW$7,$L139&gt;AW$7),((AW$7-$K139)/($L139-$K139)))</f>
        <v>1</v>
      </c>
      <c r="AY139" s="226" cm="1">
        <f t="array" ref="AY139">_xlfn.IFS(AND($K139&gt;AX$7,$L139&gt;AX$7),0,AND($K139&lt;=AX$7,$L139&lt;=AX$7),1,AND($K139&lt;=AX$7,$L139&gt;AX$7),((AX$7-$K139)/($L139-$K139)))</f>
        <v>1</v>
      </c>
      <c r="AZ139" s="226" cm="1">
        <f t="array" ref="AZ139">_xlfn.IFS(AND($K139&gt;AY$7,$L139&gt;AY$7),0,AND($K139&lt;=AY$7,$L139&lt;=AY$7),1,AND($K139&lt;=AY$7,$L139&gt;AY$7),((AY$7-$K139)/($L139-$K139)))</f>
        <v>1</v>
      </c>
      <c r="BA139" s="226" cm="1">
        <f t="array" ref="BA139">_xlfn.IFS(AND($K139&gt;AZ$7,$L139&gt;AZ$7),0,AND($K139&lt;=AZ$7,$L139&lt;=AZ$7),1,AND($K139&lt;=AZ$7,$L139&gt;AZ$7),((AZ$7-$K139)/($L139-$K139)))</f>
        <v>1</v>
      </c>
      <c r="BB139" s="226" cm="1">
        <f t="array" ref="BB139">_xlfn.IFS(AND($K139&gt;BA$7,$L139&gt;BA$7),0,AND($K139&lt;=BA$7,$L139&lt;=BA$7),1,AND($K139&lt;=BA$7,$L139&gt;BA$7),((BA$7-$K139)/($L139-$K139)))</f>
        <v>1</v>
      </c>
      <c r="BC139" s="226" cm="1">
        <f t="array" ref="BC139">_xlfn.IFS(AND($K139&gt;BB$7,$L139&gt;BB$7),0,AND($K139&lt;=BB$7,$L139&lt;=BB$7),1,AND($K139&lt;=BB$7,$L139&gt;BB$7),((BB$7-$K139)/($L139-$K139)))</f>
        <v>1</v>
      </c>
      <c r="BD139" s="226" cm="1">
        <f t="array" ref="BD139">_xlfn.IFS(AND($K139&gt;BC$7,$L139&gt;BC$7),0,AND($K139&lt;=BC$7,$L139&lt;=BC$7),1,AND($K139&lt;=BC$7,$L139&gt;BC$7),((BC$7-$K139)/($L139-$K139)))</f>
        <v>1</v>
      </c>
      <c r="BE139" s="226" cm="1">
        <f t="array" ref="BE139">_xlfn.IFS(AND($K139&gt;BD$7,$L139&gt;BD$7),0,AND($K139&lt;=BD$7,$L139&lt;=BD$7),1,AND($K139&lt;=BD$7,$L139&gt;BD$7),((BD$7-$K139)/($L139-$K139)))</f>
        <v>1</v>
      </c>
      <c r="BF139" s="226" cm="1">
        <f t="array" ref="BF139">_xlfn.IFS(AND($K139&gt;BE$7,$L139&gt;BE$7),0,AND($K139&lt;=BE$7,$L139&lt;=BE$7),1,AND($K139&lt;=BE$7,$L139&gt;BE$7),((BE$7-$K139)/($L139-$K139)))</f>
        <v>1</v>
      </c>
      <c r="BG139" s="226" cm="1">
        <f t="array" ref="BG139">_xlfn.IFS(AND($K139&gt;BF$7,$L139&gt;BF$7),0,AND($K139&lt;=BF$7,$L139&lt;=BF$7),1,AND($K139&lt;=BF$7,$L139&gt;BF$7),((BF$7-$K139)/($L139-$K139)))</f>
        <v>1</v>
      </c>
      <c r="BH139">
        <f>Tab.plano6[[#This Row],[Data Término
Prevista]]-Tab.plano6[[#This Row],[Data Início
Previsto]]</f>
        <v>17</v>
      </c>
    </row>
    <row r="140" spans="1:60" customFormat="1" ht="18" hidden="1" customHeight="1" x14ac:dyDescent="0.3">
      <c r="A140" s="220"/>
      <c r="B140" s="220" t="s">
        <v>161</v>
      </c>
      <c r="C140" s="220" t="s">
        <v>837</v>
      </c>
      <c r="D140" s="251" t="s">
        <v>399</v>
      </c>
      <c r="E140" s="251" t="s">
        <v>581</v>
      </c>
      <c r="F140" s="251" t="s">
        <v>794</v>
      </c>
      <c r="G140" s="251" t="s">
        <v>794</v>
      </c>
      <c r="H140" s="246" t="s">
        <v>789</v>
      </c>
      <c r="I140" s="260">
        <v>46217</v>
      </c>
      <c r="J140" s="260">
        <v>46234</v>
      </c>
      <c r="K140" s="260">
        <v>46217</v>
      </c>
      <c r="L140" s="260">
        <v>46234</v>
      </c>
      <c r="M140" s="231" t="s">
        <v>589</v>
      </c>
      <c r="N140" s="227" t="str" cm="1">
        <f t="array" ref="N140">_xlfn.IFS(L140&lt;$M$3,"Concluído",AND(K140&lt;=$M$3,L140&gt;=$M$3,L140&lt;=J140),"Em andamento",AND(K140&lt;=$M$3,L140&gt;=$M$3,L140&gt;J140),"Atrasado",AND(K140&gt;$M$3,I140&gt;$M$3),"Não iniciado",AND(K140&gt;$M$3,I140&lt;=$M$3),"Atrasado",TRUE,"Não iniciado")</f>
        <v>Não iniciado</v>
      </c>
      <c r="O140" s="231" cm="1">
        <f t="array" ref="O140">_xlfn.IFS(N140="Não iniciado",0,N140="Em andamento",1,N140="Concluído",2,N140="Atrasado",3)</f>
        <v>0</v>
      </c>
      <c r="P140" s="220"/>
      <c r="Q140" s="226" cm="1">
        <f t="array" ref="Q140">_xlfn.IFS(AND($I140&lt;$M$3,$J140&lt;$M$3),1,AND($I140&lt;=$M$3,$J140&gt;=$M$3),0.5,AND($I140&gt;=$M$3,$J140&gt;=$M$3),0)</f>
        <v>0</v>
      </c>
      <c r="R140" s="226" cm="1">
        <f t="array" ref="R140">_xlfn.IFS(AND($K140&lt;$M$3,$L140&lt;$M$3),1,AND($K140&lt;=$M$3,$L140&gt;=$M$3),0.5,AND($K140&gt;=$M$3,$L140&gt;=$M$3),0)</f>
        <v>0</v>
      </c>
      <c r="S140" s="226" cm="1">
        <f t="array" ref="S140">_xlfn.IFS(AND($K140&gt;R$7,$L140&gt;R$7),0,AND($K140&lt;=R$7,$L140&lt;=R$7),1,AND($K140&lt;=R$7,$L140&gt;R$7),((R$7-$K140)/($L140-$K140)))</f>
        <v>0</v>
      </c>
      <c r="T140" s="226" cm="1">
        <f t="array" ref="T140">_xlfn.IFS(AND($K140&gt;S$7,$L140&gt;S$7),0,AND($K140&lt;=S$7,$L140&lt;=S$7),1,AND($K140&lt;=S$7,$L140&gt;S$7),((S$7-$K140)/($L140-$K140)))</f>
        <v>0</v>
      </c>
      <c r="U140" s="226" cm="1">
        <f t="array" ref="U140">_xlfn.IFS(AND($K140&gt;T$7,$L140&gt;T$7),0,AND($K140&lt;=T$7,$L140&lt;=T$7),1,AND($K140&lt;=T$7,$L140&gt;T$7),((T$7-$K140)/($L140-$K140)))</f>
        <v>0</v>
      </c>
      <c r="V140" s="226" cm="1">
        <f t="array" ref="V140">_xlfn.IFS(AND($K140&gt;U$7,$L140&gt;U$7),0,AND($K140&lt;=U$7,$L140&lt;=U$7),1,AND($K140&lt;=U$7,$L140&gt;U$7),((U$7-$K140)/($L140-$K140)))</f>
        <v>0</v>
      </c>
      <c r="W140" s="226" cm="1">
        <f t="array" ref="W140">_xlfn.IFS(AND($K140&gt;V$7,$L140&gt;V$7),0,AND($K140&lt;=V$7,$L140&lt;=V$7),1,AND($K140&lt;=V$7,$L140&gt;V$7),((V$7-$K140)/($L140-$K140)))</f>
        <v>0</v>
      </c>
      <c r="X140" s="226" cm="1">
        <f t="array" ref="X140">_xlfn.IFS(AND($K140&gt;W$7,$L140&gt;W$7),0,AND($K140&lt;=W$7,$L140&lt;=W$7),1,AND($K140&lt;=W$7,$L140&gt;W$7),((W$7-$K140)/($L140-$K140)))</f>
        <v>0</v>
      </c>
      <c r="Y140" s="226" cm="1">
        <f t="array" ref="Y140">_xlfn.IFS(AND($K140&gt;X$7,$L140&gt;X$7),0,AND($K140&lt;=X$7,$L140&lt;=X$7),1,AND($K140&lt;=X$7,$L140&gt;X$7),((X$7-$K140)/($L140-$K140)))</f>
        <v>0</v>
      </c>
      <c r="Z140" s="226" cm="1">
        <f t="array" ref="Z140">_xlfn.IFS(AND($K140&gt;Y$7,$L140&gt;Y$7),0,AND($K140&lt;=Y$7,$L140&lt;=Y$7),1,AND($K140&lt;=Y$7,$L140&gt;Y$7),((Y$7-$K140)/($L140-$K140)))</f>
        <v>0</v>
      </c>
      <c r="AA140" s="226" cm="1">
        <f t="array" ref="AA140">_xlfn.IFS(AND($K140&gt;Z$7,$L140&gt;Z$7),0,AND($K140&lt;=Z$7,$L140&lt;=Z$7),1,AND($K140&lt;=Z$7,$L140&gt;Z$7),((Z$7-$K140)/($L140-$K140)))</f>
        <v>0</v>
      </c>
      <c r="AB140" s="226" cm="1">
        <f t="array" ref="AB140">_xlfn.IFS(AND($K140&gt;AA$7,$L140&gt;AA$7),0,AND($K140&lt;=AA$7,$L140&lt;=AA$7),1,AND($K140&lt;=AA$7,$L140&gt;AA$7),((AA$7-$K140)/($L140-$K140)))</f>
        <v>0</v>
      </c>
      <c r="AC140" s="226" cm="1">
        <f t="array" ref="AC140">_xlfn.IFS(AND($K140&gt;AB$7,$L140&gt;AB$7),0,AND($K140&lt;=AB$7,$L140&lt;=AB$7),1,AND($K140&lt;=AB$7,$L140&gt;AB$7),((AB$7-$K140)/($L140-$K140)))</f>
        <v>0</v>
      </c>
      <c r="AD140" s="226" cm="1">
        <f t="array" ref="AD140">_xlfn.IFS(AND($K140&gt;AC$7,$L140&gt;AC$7),0,AND($K140&lt;=AC$7,$L140&lt;=AC$7),1,AND($K140&lt;=AC$7,$L140&gt;AC$7),((AC$7-$K140)/($L140-$K140)))</f>
        <v>0</v>
      </c>
      <c r="AE140" s="226" cm="1">
        <f t="array" ref="AE140">_xlfn.IFS(AND($K140&gt;AD$7,$L140&gt;AD$7),0,AND($K140&lt;=AD$7,$L140&lt;=AD$7),1,AND($K140&lt;=AD$7,$L140&gt;AD$7),((AD$7-$K140)/($L140-$K140)))</f>
        <v>0</v>
      </c>
      <c r="AF140" s="226" cm="1">
        <f t="array" ref="AF140">_xlfn.IFS(AND($K140&gt;AE$7,$L140&gt;AE$7),0,AND($K140&lt;=AE$7,$L140&lt;=AE$7),1,AND($K140&lt;=AE$7,$L140&gt;AE$7),((AE$7-$K140)/($L140-$K140)))</f>
        <v>0</v>
      </c>
      <c r="AG140" s="226" cm="1">
        <f t="array" ref="AG140">_xlfn.IFS(AND($K140&gt;AF$7,$L140&gt;AF$7),0,AND($K140&lt;=AF$7,$L140&lt;=AF$7),1,AND($K140&lt;=AF$7,$L140&gt;AF$7),((AF$7-$K140)/($L140-$K140)))</f>
        <v>0</v>
      </c>
      <c r="AH140" s="226" cm="1">
        <f t="array" ref="AH140">_xlfn.IFS(AND($K140&gt;AG$7,$L140&gt;AG$7),0,AND($K140&lt;=AG$7,$L140&lt;=AG$7),1,AND($K140&lt;=AG$7,$L140&gt;AG$7),((AG$7-$K140)/($L140-$K140)))</f>
        <v>0</v>
      </c>
      <c r="AI140" s="226" cm="1">
        <f t="array" ref="AI140">_xlfn.IFS(AND($K140&gt;AH$7,$L140&gt;AH$7),0,AND($K140&lt;=AH$7,$L140&lt;=AH$7),1,AND($K140&lt;=AH$7,$L140&gt;AH$7),((AH$7-$K140)/($L140-$K140)))</f>
        <v>0</v>
      </c>
      <c r="AJ140" s="226" cm="1">
        <f t="array" ref="AJ140">_xlfn.IFS(AND($K140&gt;AI$7,$L140&gt;AI$7),0,AND($K140&lt;=AI$7,$L140&lt;=AI$7),1,AND($K140&lt;=AI$7,$L140&gt;AI$7),((AI$7-$K140)/($L140-$K140)))</f>
        <v>0.35294117647058826</v>
      </c>
      <c r="AK140" s="226" cm="1">
        <f t="array" ref="AK140">_xlfn.IFS(AND($K140&gt;AJ$7,$L140&gt;AJ$7),0,AND($K140&lt;=AJ$7,$L140&lt;=AJ$7),1,AND($K140&lt;=AJ$7,$L140&gt;AJ$7),((AJ$7-$K140)/($L140-$K140)))</f>
        <v>0.76470588235294112</v>
      </c>
      <c r="AL140" s="226" cm="1">
        <f t="array" ref="AL140">_xlfn.IFS(AND($K140&gt;AK$7,$L140&gt;AK$7),0,AND($K140&lt;=AK$7,$L140&lt;=AK$7),1,AND($K140&lt;=AK$7,$L140&gt;AK$7),((AK$7-$K140)/($L140-$K140)))</f>
        <v>1</v>
      </c>
      <c r="AM140" s="226" cm="1">
        <f t="array" ref="AM140">_xlfn.IFS(AND($K140&gt;AL$7,$L140&gt;AL$7),0,AND($K140&lt;=AL$7,$L140&lt;=AL$7),1,AND($K140&lt;=AL$7,$L140&gt;AL$7),((AL$7-$K140)/($L140-$K140)))</f>
        <v>1</v>
      </c>
      <c r="AN140" s="226" cm="1">
        <f t="array" ref="AN140">_xlfn.IFS(AND($K140&gt;AM$7,$L140&gt;AM$7),0,AND($K140&lt;=AM$7,$L140&lt;=AM$7),1,AND($K140&lt;=AM$7,$L140&gt;AM$7),((AM$7-$K140)/($L140-$K140)))</f>
        <v>1</v>
      </c>
      <c r="AO140" s="226" cm="1">
        <f t="array" ref="AO140">_xlfn.IFS(AND($K140&gt;AN$7,$L140&gt;AN$7),0,AND($K140&lt;=AN$7,$L140&lt;=AN$7),1,AND($K140&lt;=AN$7,$L140&gt;AN$7),((AN$7-$K140)/($L140-$K140)))</f>
        <v>1</v>
      </c>
      <c r="AP140" s="226" cm="1">
        <f t="array" ref="AP140">_xlfn.IFS(AND($K140&gt;AO$7,$L140&gt;AO$7),0,AND($K140&lt;=AO$7,$L140&lt;=AO$7),1,AND($K140&lt;=AO$7,$L140&gt;AO$7),((AO$7-$K140)/($L140-$K140)))</f>
        <v>1</v>
      </c>
      <c r="AQ140" s="226" cm="1">
        <f t="array" ref="AQ140">_xlfn.IFS(AND($K140&gt;AP$7,$L140&gt;AP$7),0,AND($K140&lt;=AP$7,$L140&lt;=AP$7),1,AND($K140&lt;=AP$7,$L140&gt;AP$7),((AP$7-$K140)/($L140-$K140)))</f>
        <v>1</v>
      </c>
      <c r="AR140" s="226" cm="1">
        <f t="array" ref="AR140">_xlfn.IFS(AND($K140&gt;AQ$7,$L140&gt;AQ$7),0,AND($K140&lt;=AQ$7,$L140&lt;=AQ$7),1,AND($K140&lt;=AQ$7,$L140&gt;AQ$7),((AQ$7-$K140)/($L140-$K140)))</f>
        <v>1</v>
      </c>
      <c r="AS140" s="226" cm="1">
        <f t="array" ref="AS140">_xlfn.IFS(AND($K140&gt;AR$7,$L140&gt;AR$7),0,AND($K140&lt;=AR$7,$L140&lt;=AR$7),1,AND($K140&lt;=AR$7,$L140&gt;AR$7),((AR$7-$K140)/($L140-$K140)))</f>
        <v>1</v>
      </c>
      <c r="AT140" s="226" cm="1">
        <f t="array" ref="AT140">_xlfn.IFS(AND($K140&gt;AS$7,$L140&gt;AS$7),0,AND($K140&lt;=AS$7,$L140&lt;=AS$7),1,AND($K140&lt;=AS$7,$L140&gt;AS$7),((AS$7-$K140)/($L140-$K140)))</f>
        <v>1</v>
      </c>
      <c r="AU140" s="226" cm="1">
        <f t="array" ref="AU140">_xlfn.IFS(AND($K140&gt;AT$7,$L140&gt;AT$7),0,AND($K140&lt;=AT$7,$L140&lt;=AT$7),1,AND($K140&lt;=AT$7,$L140&gt;AT$7),((AT$7-$K140)/($L140-$K140)))</f>
        <v>1</v>
      </c>
      <c r="AV140" s="226" cm="1">
        <f t="array" ref="AV140">_xlfn.IFS(AND($K140&gt;AU$7,$L140&gt;AU$7),0,AND($K140&lt;=AU$7,$L140&lt;=AU$7),1,AND($K140&lt;=AU$7,$L140&gt;AU$7),((AU$7-$K140)/($L140-$K140)))</f>
        <v>1</v>
      </c>
      <c r="AW140" s="226" cm="1">
        <f t="array" ref="AW140">_xlfn.IFS(AND($K140&gt;AV$7,$L140&gt;AV$7),0,AND($K140&lt;=AV$7,$L140&lt;=AV$7),1,AND($K140&lt;=AV$7,$L140&gt;AV$7),((AV$7-$K140)/($L140-$K140)))</f>
        <v>1</v>
      </c>
      <c r="AX140" s="226" cm="1">
        <f t="array" ref="AX140">_xlfn.IFS(AND($K140&gt;AW$7,$L140&gt;AW$7),0,AND($K140&lt;=AW$7,$L140&lt;=AW$7),1,AND($K140&lt;=AW$7,$L140&gt;AW$7),((AW$7-$K140)/($L140-$K140)))</f>
        <v>1</v>
      </c>
      <c r="AY140" s="226" cm="1">
        <f t="array" ref="AY140">_xlfn.IFS(AND($K140&gt;AX$7,$L140&gt;AX$7),0,AND($K140&lt;=AX$7,$L140&lt;=AX$7),1,AND($K140&lt;=AX$7,$L140&gt;AX$7),((AX$7-$K140)/($L140-$K140)))</f>
        <v>1</v>
      </c>
      <c r="AZ140" s="226" cm="1">
        <f t="array" ref="AZ140">_xlfn.IFS(AND($K140&gt;AY$7,$L140&gt;AY$7),0,AND($K140&lt;=AY$7,$L140&lt;=AY$7),1,AND($K140&lt;=AY$7,$L140&gt;AY$7),((AY$7-$K140)/($L140-$K140)))</f>
        <v>1</v>
      </c>
      <c r="BA140" s="226" cm="1">
        <f t="array" ref="BA140">_xlfn.IFS(AND($K140&gt;AZ$7,$L140&gt;AZ$7),0,AND($K140&lt;=AZ$7,$L140&lt;=AZ$7),1,AND($K140&lt;=AZ$7,$L140&gt;AZ$7),((AZ$7-$K140)/($L140-$K140)))</f>
        <v>1</v>
      </c>
      <c r="BB140" s="226" cm="1">
        <f t="array" ref="BB140">_xlfn.IFS(AND($K140&gt;BA$7,$L140&gt;BA$7),0,AND($K140&lt;=BA$7,$L140&lt;=BA$7),1,AND($K140&lt;=BA$7,$L140&gt;BA$7),((BA$7-$K140)/($L140-$K140)))</f>
        <v>1</v>
      </c>
      <c r="BC140" s="226" cm="1">
        <f t="array" ref="BC140">_xlfn.IFS(AND($K140&gt;BB$7,$L140&gt;BB$7),0,AND($K140&lt;=BB$7,$L140&lt;=BB$7),1,AND($K140&lt;=BB$7,$L140&gt;BB$7),((BB$7-$K140)/($L140-$K140)))</f>
        <v>1</v>
      </c>
      <c r="BD140" s="226" cm="1">
        <f t="array" ref="BD140">_xlfn.IFS(AND($K140&gt;BC$7,$L140&gt;BC$7),0,AND($K140&lt;=BC$7,$L140&lt;=BC$7),1,AND($K140&lt;=BC$7,$L140&gt;BC$7),((BC$7-$K140)/($L140-$K140)))</f>
        <v>1</v>
      </c>
      <c r="BE140" s="226" cm="1">
        <f t="array" ref="BE140">_xlfn.IFS(AND($K140&gt;BD$7,$L140&gt;BD$7),0,AND($K140&lt;=BD$7,$L140&lt;=BD$7),1,AND($K140&lt;=BD$7,$L140&gt;BD$7),((BD$7-$K140)/($L140-$K140)))</f>
        <v>1</v>
      </c>
      <c r="BF140" s="226" cm="1">
        <f t="array" ref="BF140">_xlfn.IFS(AND($K140&gt;BE$7,$L140&gt;BE$7),0,AND($K140&lt;=BE$7,$L140&lt;=BE$7),1,AND($K140&lt;=BE$7,$L140&gt;BE$7),((BE$7-$K140)/($L140-$K140)))</f>
        <v>1</v>
      </c>
      <c r="BG140" s="226" cm="1">
        <f t="array" ref="BG140">_xlfn.IFS(AND($K140&gt;BF$7,$L140&gt;BF$7),0,AND($K140&lt;=BF$7,$L140&lt;=BF$7),1,AND($K140&lt;=BF$7,$L140&gt;BF$7),((BF$7-$K140)/($L140-$K140)))</f>
        <v>1</v>
      </c>
      <c r="BH140">
        <f>Tab.plano6[[#This Row],[Data Término
Prevista]]-Tab.plano6[[#This Row],[Data Início
Previsto]]</f>
        <v>17</v>
      </c>
    </row>
    <row r="141" spans="1:60" customFormat="1" ht="18" hidden="1" customHeight="1" x14ac:dyDescent="0.3">
      <c r="A141" s="220"/>
      <c r="B141" s="220" t="s">
        <v>161</v>
      </c>
      <c r="C141" s="220" t="s">
        <v>839</v>
      </c>
      <c r="D141" s="251" t="s">
        <v>399</v>
      </c>
      <c r="E141" s="251" t="s">
        <v>581</v>
      </c>
      <c r="F141" s="251" t="s">
        <v>794</v>
      </c>
      <c r="G141" s="251" t="s">
        <v>794</v>
      </c>
      <c r="H141" s="246" t="s">
        <v>790</v>
      </c>
      <c r="I141" s="260">
        <v>46217</v>
      </c>
      <c r="J141" s="260">
        <v>46234</v>
      </c>
      <c r="K141" s="260">
        <v>46217</v>
      </c>
      <c r="L141" s="260">
        <v>46234</v>
      </c>
      <c r="M141" s="231" t="s">
        <v>590</v>
      </c>
      <c r="N141" s="227" t="str" cm="1">
        <f t="array" ref="N141">_xlfn.IFS(L141&lt;$M$3,"Concluído",AND(K141&lt;=$M$3,L141&gt;=$M$3,L141&lt;=J141),"Em andamento",AND(K141&lt;=$M$3,L141&gt;=$M$3,L141&gt;J141),"Atrasado",AND(K141&gt;$M$3,I141&gt;$M$3),"Não iniciado",AND(K141&gt;$M$3,I141&lt;=$M$3),"Atrasado",TRUE,"Não iniciado")</f>
        <v>Não iniciado</v>
      </c>
      <c r="O141" s="231" cm="1">
        <f t="array" ref="O141">_xlfn.IFS(N141="Não iniciado",0,N141="Em andamento",1,N141="Concluído",2,N141="Atrasado",3)</f>
        <v>0</v>
      </c>
      <c r="P141" s="220"/>
      <c r="Q141" s="226" cm="1">
        <f t="array" ref="Q141">_xlfn.IFS(AND($I141&lt;$M$3,$J141&lt;$M$3),1,AND($I141&lt;=$M$3,$J141&gt;=$M$3),0.5,AND($I141&gt;=$M$3,$J141&gt;=$M$3),0)</f>
        <v>0</v>
      </c>
      <c r="R141" s="226" cm="1">
        <f t="array" ref="R141">_xlfn.IFS(AND($K141&lt;$M$3,$L141&lt;$M$3),1,AND($K141&lt;=$M$3,$L141&gt;=$M$3),0.5,AND($K141&gt;=$M$3,$L141&gt;=$M$3),0)</f>
        <v>0</v>
      </c>
      <c r="S141" s="226" cm="1">
        <f t="array" ref="S141">_xlfn.IFS(AND($K141&gt;R$7,$L141&gt;R$7),0,AND($K141&lt;=R$7,$L141&lt;=R$7),1,AND($K141&lt;=R$7,$L141&gt;R$7),((R$7-$K141)/($L141-$K141)))</f>
        <v>0</v>
      </c>
      <c r="T141" s="226" cm="1">
        <f t="array" ref="T141">_xlfn.IFS(AND($K141&gt;S$7,$L141&gt;S$7),0,AND($K141&lt;=S$7,$L141&lt;=S$7),1,AND($K141&lt;=S$7,$L141&gt;S$7),((S$7-$K141)/($L141-$K141)))</f>
        <v>0</v>
      </c>
      <c r="U141" s="226" cm="1">
        <f t="array" ref="U141">_xlfn.IFS(AND($K141&gt;T$7,$L141&gt;T$7),0,AND($K141&lt;=T$7,$L141&lt;=T$7),1,AND($K141&lt;=T$7,$L141&gt;T$7),((T$7-$K141)/($L141-$K141)))</f>
        <v>0</v>
      </c>
      <c r="V141" s="226" cm="1">
        <f t="array" ref="V141">_xlfn.IFS(AND($K141&gt;U$7,$L141&gt;U$7),0,AND($K141&lt;=U$7,$L141&lt;=U$7),1,AND($K141&lt;=U$7,$L141&gt;U$7),((U$7-$K141)/($L141-$K141)))</f>
        <v>0</v>
      </c>
      <c r="W141" s="226" cm="1">
        <f t="array" ref="W141">_xlfn.IFS(AND($K141&gt;V$7,$L141&gt;V$7),0,AND($K141&lt;=V$7,$L141&lt;=V$7),1,AND($K141&lt;=V$7,$L141&gt;V$7),((V$7-$K141)/($L141-$K141)))</f>
        <v>0</v>
      </c>
      <c r="X141" s="226" cm="1">
        <f t="array" ref="X141">_xlfn.IFS(AND($K141&gt;W$7,$L141&gt;W$7),0,AND($K141&lt;=W$7,$L141&lt;=W$7),1,AND($K141&lt;=W$7,$L141&gt;W$7),((W$7-$K141)/($L141-$K141)))</f>
        <v>0</v>
      </c>
      <c r="Y141" s="226" cm="1">
        <f t="array" ref="Y141">_xlfn.IFS(AND($K141&gt;X$7,$L141&gt;X$7),0,AND($K141&lt;=X$7,$L141&lt;=X$7),1,AND($K141&lt;=X$7,$L141&gt;X$7),((X$7-$K141)/($L141-$K141)))</f>
        <v>0</v>
      </c>
      <c r="Z141" s="226" cm="1">
        <f t="array" ref="Z141">_xlfn.IFS(AND($K141&gt;Y$7,$L141&gt;Y$7),0,AND($K141&lt;=Y$7,$L141&lt;=Y$7),1,AND($K141&lt;=Y$7,$L141&gt;Y$7),((Y$7-$K141)/($L141-$K141)))</f>
        <v>0</v>
      </c>
      <c r="AA141" s="226" cm="1">
        <f t="array" ref="AA141">_xlfn.IFS(AND($K141&gt;Z$7,$L141&gt;Z$7),0,AND($K141&lt;=Z$7,$L141&lt;=Z$7),1,AND($K141&lt;=Z$7,$L141&gt;Z$7),((Z$7-$K141)/($L141-$K141)))</f>
        <v>0</v>
      </c>
      <c r="AB141" s="226" cm="1">
        <f t="array" ref="AB141">_xlfn.IFS(AND($K141&gt;AA$7,$L141&gt;AA$7),0,AND($K141&lt;=AA$7,$L141&lt;=AA$7),1,AND($K141&lt;=AA$7,$L141&gt;AA$7),((AA$7-$K141)/($L141-$K141)))</f>
        <v>0</v>
      </c>
      <c r="AC141" s="226" cm="1">
        <f t="array" ref="AC141">_xlfn.IFS(AND($K141&gt;AB$7,$L141&gt;AB$7),0,AND($K141&lt;=AB$7,$L141&lt;=AB$7),1,AND($K141&lt;=AB$7,$L141&gt;AB$7),((AB$7-$K141)/($L141-$K141)))</f>
        <v>0</v>
      </c>
      <c r="AD141" s="226" cm="1">
        <f t="array" ref="AD141">_xlfn.IFS(AND($K141&gt;AC$7,$L141&gt;AC$7),0,AND($K141&lt;=AC$7,$L141&lt;=AC$7),1,AND($K141&lt;=AC$7,$L141&gt;AC$7),((AC$7-$K141)/($L141-$K141)))</f>
        <v>0</v>
      </c>
      <c r="AE141" s="226" cm="1">
        <f t="array" ref="AE141">_xlfn.IFS(AND($K141&gt;AD$7,$L141&gt;AD$7),0,AND($K141&lt;=AD$7,$L141&lt;=AD$7),1,AND($K141&lt;=AD$7,$L141&gt;AD$7),((AD$7-$K141)/($L141-$K141)))</f>
        <v>0</v>
      </c>
      <c r="AF141" s="226" cm="1">
        <f t="array" ref="AF141">_xlfn.IFS(AND($K141&gt;AE$7,$L141&gt;AE$7),0,AND($K141&lt;=AE$7,$L141&lt;=AE$7),1,AND($K141&lt;=AE$7,$L141&gt;AE$7),((AE$7-$K141)/($L141-$K141)))</f>
        <v>0</v>
      </c>
      <c r="AG141" s="226" cm="1">
        <f t="array" ref="AG141">_xlfn.IFS(AND($K141&gt;AF$7,$L141&gt;AF$7),0,AND($K141&lt;=AF$7,$L141&lt;=AF$7),1,AND($K141&lt;=AF$7,$L141&gt;AF$7),((AF$7-$K141)/($L141-$K141)))</f>
        <v>0</v>
      </c>
      <c r="AH141" s="226" cm="1">
        <f t="array" ref="AH141">_xlfn.IFS(AND($K141&gt;AG$7,$L141&gt;AG$7),0,AND($K141&lt;=AG$7,$L141&lt;=AG$7),1,AND($K141&lt;=AG$7,$L141&gt;AG$7),((AG$7-$K141)/($L141-$K141)))</f>
        <v>0</v>
      </c>
      <c r="AI141" s="226" cm="1">
        <f t="array" ref="AI141">_xlfn.IFS(AND($K141&gt;AH$7,$L141&gt;AH$7),0,AND($K141&lt;=AH$7,$L141&lt;=AH$7),1,AND($K141&lt;=AH$7,$L141&gt;AH$7),((AH$7-$K141)/($L141-$K141)))</f>
        <v>0</v>
      </c>
      <c r="AJ141" s="226" cm="1">
        <f t="array" ref="AJ141">_xlfn.IFS(AND($K141&gt;AI$7,$L141&gt;AI$7),0,AND($K141&lt;=AI$7,$L141&lt;=AI$7),1,AND($K141&lt;=AI$7,$L141&gt;AI$7),((AI$7-$K141)/($L141-$K141)))</f>
        <v>0.35294117647058826</v>
      </c>
      <c r="AK141" s="226" cm="1">
        <f t="array" ref="AK141">_xlfn.IFS(AND($K141&gt;AJ$7,$L141&gt;AJ$7),0,AND($K141&lt;=AJ$7,$L141&lt;=AJ$7),1,AND($K141&lt;=AJ$7,$L141&gt;AJ$7),((AJ$7-$K141)/($L141-$K141)))</f>
        <v>0.76470588235294112</v>
      </c>
      <c r="AL141" s="226" cm="1">
        <f t="array" ref="AL141">_xlfn.IFS(AND($K141&gt;AK$7,$L141&gt;AK$7),0,AND($K141&lt;=AK$7,$L141&lt;=AK$7),1,AND($K141&lt;=AK$7,$L141&gt;AK$7),((AK$7-$K141)/($L141-$K141)))</f>
        <v>1</v>
      </c>
      <c r="AM141" s="226" cm="1">
        <f t="array" ref="AM141">_xlfn.IFS(AND($K141&gt;AL$7,$L141&gt;AL$7),0,AND($K141&lt;=AL$7,$L141&lt;=AL$7),1,AND($K141&lt;=AL$7,$L141&gt;AL$7),((AL$7-$K141)/($L141-$K141)))</f>
        <v>1</v>
      </c>
      <c r="AN141" s="226" cm="1">
        <f t="array" ref="AN141">_xlfn.IFS(AND($K141&gt;AM$7,$L141&gt;AM$7),0,AND($K141&lt;=AM$7,$L141&lt;=AM$7),1,AND($K141&lt;=AM$7,$L141&gt;AM$7),((AM$7-$K141)/($L141-$K141)))</f>
        <v>1</v>
      </c>
      <c r="AO141" s="226" cm="1">
        <f t="array" ref="AO141">_xlfn.IFS(AND($K141&gt;AN$7,$L141&gt;AN$7),0,AND($K141&lt;=AN$7,$L141&lt;=AN$7),1,AND($K141&lt;=AN$7,$L141&gt;AN$7),((AN$7-$K141)/($L141-$K141)))</f>
        <v>1</v>
      </c>
      <c r="AP141" s="226" cm="1">
        <f t="array" ref="AP141">_xlfn.IFS(AND($K141&gt;AO$7,$L141&gt;AO$7),0,AND($K141&lt;=AO$7,$L141&lt;=AO$7),1,AND($K141&lt;=AO$7,$L141&gt;AO$7),((AO$7-$K141)/($L141-$K141)))</f>
        <v>1</v>
      </c>
      <c r="AQ141" s="226" cm="1">
        <f t="array" ref="AQ141">_xlfn.IFS(AND($K141&gt;AP$7,$L141&gt;AP$7),0,AND($K141&lt;=AP$7,$L141&lt;=AP$7),1,AND($K141&lt;=AP$7,$L141&gt;AP$7),((AP$7-$K141)/($L141-$K141)))</f>
        <v>1</v>
      </c>
      <c r="AR141" s="226" cm="1">
        <f t="array" ref="AR141">_xlfn.IFS(AND($K141&gt;AQ$7,$L141&gt;AQ$7),0,AND($K141&lt;=AQ$7,$L141&lt;=AQ$7),1,AND($K141&lt;=AQ$7,$L141&gt;AQ$7),((AQ$7-$K141)/($L141-$K141)))</f>
        <v>1</v>
      </c>
      <c r="AS141" s="226" cm="1">
        <f t="array" ref="AS141">_xlfn.IFS(AND($K141&gt;AR$7,$L141&gt;AR$7),0,AND($K141&lt;=AR$7,$L141&lt;=AR$7),1,AND($K141&lt;=AR$7,$L141&gt;AR$7),((AR$7-$K141)/($L141-$K141)))</f>
        <v>1</v>
      </c>
      <c r="AT141" s="226" cm="1">
        <f t="array" ref="AT141">_xlfn.IFS(AND($K141&gt;AS$7,$L141&gt;AS$7),0,AND($K141&lt;=AS$7,$L141&lt;=AS$7),1,AND($K141&lt;=AS$7,$L141&gt;AS$7),((AS$7-$K141)/($L141-$K141)))</f>
        <v>1</v>
      </c>
      <c r="AU141" s="226" cm="1">
        <f t="array" ref="AU141">_xlfn.IFS(AND($K141&gt;AT$7,$L141&gt;AT$7),0,AND($K141&lt;=AT$7,$L141&lt;=AT$7),1,AND($K141&lt;=AT$7,$L141&gt;AT$7),((AT$7-$K141)/($L141-$K141)))</f>
        <v>1</v>
      </c>
      <c r="AV141" s="226" cm="1">
        <f t="array" ref="AV141">_xlfn.IFS(AND($K141&gt;AU$7,$L141&gt;AU$7),0,AND($K141&lt;=AU$7,$L141&lt;=AU$7),1,AND($K141&lt;=AU$7,$L141&gt;AU$7),((AU$7-$K141)/($L141-$K141)))</f>
        <v>1</v>
      </c>
      <c r="AW141" s="226" cm="1">
        <f t="array" ref="AW141">_xlfn.IFS(AND($K141&gt;AV$7,$L141&gt;AV$7),0,AND($K141&lt;=AV$7,$L141&lt;=AV$7),1,AND($K141&lt;=AV$7,$L141&gt;AV$7),((AV$7-$K141)/($L141-$K141)))</f>
        <v>1</v>
      </c>
      <c r="AX141" s="226" cm="1">
        <f t="array" ref="AX141">_xlfn.IFS(AND($K141&gt;AW$7,$L141&gt;AW$7),0,AND($K141&lt;=AW$7,$L141&lt;=AW$7),1,AND($K141&lt;=AW$7,$L141&gt;AW$7),((AW$7-$K141)/($L141-$K141)))</f>
        <v>1</v>
      </c>
      <c r="AY141" s="226" cm="1">
        <f t="array" ref="AY141">_xlfn.IFS(AND($K141&gt;AX$7,$L141&gt;AX$7),0,AND($K141&lt;=AX$7,$L141&lt;=AX$7),1,AND($K141&lt;=AX$7,$L141&gt;AX$7),((AX$7-$K141)/($L141-$K141)))</f>
        <v>1</v>
      </c>
      <c r="AZ141" s="226" cm="1">
        <f t="array" ref="AZ141">_xlfn.IFS(AND($K141&gt;AY$7,$L141&gt;AY$7),0,AND($K141&lt;=AY$7,$L141&lt;=AY$7),1,AND($K141&lt;=AY$7,$L141&gt;AY$7),((AY$7-$K141)/($L141-$K141)))</f>
        <v>1</v>
      </c>
      <c r="BA141" s="226" cm="1">
        <f t="array" ref="BA141">_xlfn.IFS(AND($K141&gt;AZ$7,$L141&gt;AZ$7),0,AND($K141&lt;=AZ$7,$L141&lt;=AZ$7),1,AND($K141&lt;=AZ$7,$L141&gt;AZ$7),((AZ$7-$K141)/($L141-$K141)))</f>
        <v>1</v>
      </c>
      <c r="BB141" s="226" cm="1">
        <f t="array" ref="BB141">_xlfn.IFS(AND($K141&gt;BA$7,$L141&gt;BA$7),0,AND($K141&lt;=BA$7,$L141&lt;=BA$7),1,AND($K141&lt;=BA$7,$L141&gt;BA$7),((BA$7-$K141)/($L141-$K141)))</f>
        <v>1</v>
      </c>
      <c r="BC141" s="226" cm="1">
        <f t="array" ref="BC141">_xlfn.IFS(AND($K141&gt;BB$7,$L141&gt;BB$7),0,AND($K141&lt;=BB$7,$L141&lt;=BB$7),1,AND($K141&lt;=BB$7,$L141&gt;BB$7),((BB$7-$K141)/($L141-$K141)))</f>
        <v>1</v>
      </c>
      <c r="BD141" s="226" cm="1">
        <f t="array" ref="BD141">_xlfn.IFS(AND($K141&gt;BC$7,$L141&gt;BC$7),0,AND($K141&lt;=BC$7,$L141&lt;=BC$7),1,AND($K141&lt;=BC$7,$L141&gt;BC$7),((BC$7-$K141)/($L141-$K141)))</f>
        <v>1</v>
      </c>
      <c r="BE141" s="226" cm="1">
        <f t="array" ref="BE141">_xlfn.IFS(AND($K141&gt;BD$7,$L141&gt;BD$7),0,AND($K141&lt;=BD$7,$L141&lt;=BD$7),1,AND($K141&lt;=BD$7,$L141&gt;BD$7),((BD$7-$K141)/($L141-$K141)))</f>
        <v>1</v>
      </c>
      <c r="BF141" s="226" cm="1">
        <f t="array" ref="BF141">_xlfn.IFS(AND($K141&gt;BE$7,$L141&gt;BE$7),0,AND($K141&lt;=BE$7,$L141&lt;=BE$7),1,AND($K141&lt;=BE$7,$L141&gt;BE$7),((BE$7-$K141)/($L141-$K141)))</f>
        <v>1</v>
      </c>
      <c r="BG141" s="226" cm="1">
        <f t="array" ref="BG141">_xlfn.IFS(AND($K141&gt;BF$7,$L141&gt;BF$7),0,AND($K141&lt;=BF$7,$L141&lt;=BF$7),1,AND($K141&lt;=BF$7,$L141&gt;BF$7),((BF$7-$K141)/($L141-$K141)))</f>
        <v>1</v>
      </c>
      <c r="BH141">
        <f>Tab.plano6[[#This Row],[Data Término
Prevista]]-Tab.plano6[[#This Row],[Data Início
Previsto]]</f>
        <v>17</v>
      </c>
    </row>
    <row r="142" spans="1:60" x14ac:dyDescent="0.3">
      <c r="B142" s="220"/>
      <c r="C142" s="220"/>
      <c r="D142" s="251"/>
      <c r="E142" s="251"/>
      <c r="F142" s="251"/>
      <c r="G142" s="251"/>
      <c r="H142" s="246"/>
      <c r="I142" s="260"/>
      <c r="J142" s="260"/>
      <c r="K142" s="260"/>
      <c r="L142" s="260"/>
      <c r="M142" s="231"/>
      <c r="N142" s="271"/>
      <c r="O142" s="231"/>
      <c r="P142" s="220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  <c r="AA142" s="226"/>
      <c r="AB142" s="226"/>
      <c r="AC142" s="226"/>
      <c r="AD142" s="226"/>
      <c r="AE142" s="226"/>
      <c r="AF142" s="226"/>
      <c r="AG142" s="226"/>
      <c r="AH142" s="226"/>
      <c r="AI142" s="226"/>
      <c r="AJ142" s="226"/>
      <c r="AK142" s="226"/>
      <c r="AL142" s="226"/>
      <c r="AM142" s="226"/>
      <c r="AN142" s="226"/>
      <c r="AO142" s="226"/>
      <c r="AP142" s="226"/>
      <c r="AQ142" s="226"/>
      <c r="AR142" s="226"/>
      <c r="AS142" s="226"/>
      <c r="AT142" s="226"/>
      <c r="AU142" s="226"/>
      <c r="AV142" s="226"/>
      <c r="AW142" s="226"/>
      <c r="AX142" s="226"/>
      <c r="AY142" s="226"/>
      <c r="AZ142" s="226"/>
      <c r="BA142" s="226"/>
      <c r="BB142" s="226"/>
      <c r="BC142" s="226"/>
      <c r="BD142" s="226"/>
      <c r="BE142" s="226"/>
      <c r="BF142" s="226"/>
      <c r="BG142" s="226"/>
      <c r="BH142"/>
    </row>
    <row r="143" spans="1:60" x14ac:dyDescent="0.3">
      <c r="B143" s="220"/>
      <c r="C143" s="220"/>
      <c r="D143" s="251"/>
      <c r="E143" s="251"/>
      <c r="F143" s="251"/>
      <c r="G143" s="251"/>
      <c r="H143" s="246"/>
      <c r="I143" s="260"/>
      <c r="J143" s="260"/>
      <c r="K143" s="260"/>
      <c r="L143" s="260"/>
      <c r="M143" s="231"/>
      <c r="N143" s="271"/>
      <c r="O143" s="231"/>
      <c r="P143" s="220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  <c r="AA143" s="226"/>
      <c r="AB143" s="226"/>
      <c r="AC143" s="226"/>
      <c r="AD143" s="226"/>
      <c r="AE143" s="226"/>
      <c r="AF143" s="226"/>
      <c r="AG143" s="226"/>
      <c r="AH143" s="226"/>
      <c r="AI143" s="226"/>
      <c r="AJ143" s="226"/>
      <c r="AK143" s="226"/>
      <c r="AL143" s="226"/>
      <c r="AM143" s="226"/>
      <c r="AN143" s="226"/>
      <c r="AO143" s="226"/>
      <c r="AP143" s="226"/>
      <c r="AQ143" s="226"/>
      <c r="AR143" s="226"/>
      <c r="AS143" s="226"/>
      <c r="AT143" s="226"/>
      <c r="AU143" s="226"/>
      <c r="AV143" s="226"/>
      <c r="AW143" s="226"/>
      <c r="AX143" s="226"/>
      <c r="AY143" s="226"/>
      <c r="AZ143" s="226"/>
      <c r="BA143" s="226"/>
      <c r="BB143" s="226"/>
      <c r="BC143" s="226"/>
      <c r="BD143" s="226"/>
      <c r="BE143" s="226"/>
      <c r="BF143" s="226"/>
      <c r="BG143" s="226"/>
      <c r="BH143"/>
    </row>
    <row r="144" spans="1:60" x14ac:dyDescent="0.3">
      <c r="B144" s="220"/>
      <c r="C144" s="220"/>
      <c r="D144" s="251"/>
      <c r="E144" s="251"/>
      <c r="F144" s="251"/>
      <c r="G144" s="251"/>
      <c r="H144" s="246"/>
      <c r="I144" s="270"/>
      <c r="J144" s="260"/>
      <c r="K144" s="260"/>
      <c r="L144" s="260"/>
      <c r="M144" s="231"/>
      <c r="N144" s="271"/>
      <c r="O144" s="231"/>
      <c r="P144" s="220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  <c r="AA144" s="226"/>
      <c r="AB144" s="226"/>
      <c r="AC144" s="226"/>
      <c r="AD144" s="226"/>
      <c r="AE144" s="226"/>
      <c r="AF144" s="226"/>
      <c r="AG144" s="226"/>
      <c r="AH144" s="226"/>
      <c r="AI144" s="226"/>
      <c r="AJ144" s="226"/>
      <c r="AK144" s="226"/>
      <c r="AL144" s="226"/>
      <c r="AM144" s="226"/>
      <c r="AN144" s="226"/>
      <c r="AO144" s="226"/>
      <c r="AP144" s="226"/>
      <c r="AQ144" s="226"/>
      <c r="AR144" s="226"/>
      <c r="AS144" s="226"/>
      <c r="AT144" s="226"/>
      <c r="AU144" s="226"/>
      <c r="AV144" s="226"/>
      <c r="AW144" s="226"/>
      <c r="AX144" s="226"/>
      <c r="AY144" s="226"/>
      <c r="AZ144" s="226"/>
      <c r="BA144" s="226"/>
      <c r="BB144" s="226"/>
      <c r="BC144" s="226"/>
      <c r="BD144" s="226"/>
      <c r="BE144" s="226"/>
      <c r="BF144" s="226"/>
      <c r="BG144" s="226"/>
      <c r="BH144"/>
    </row>
    <row r="145" spans="2:60" x14ac:dyDescent="0.3">
      <c r="B145" s="220"/>
      <c r="C145" s="220"/>
      <c r="D145" s="251"/>
      <c r="E145" s="251"/>
      <c r="F145" s="251"/>
      <c r="G145" s="251"/>
      <c r="H145" s="246"/>
      <c r="I145" s="260"/>
      <c r="J145" s="260"/>
      <c r="K145" s="260"/>
      <c r="L145" s="260"/>
      <c r="M145" s="231"/>
      <c r="N145" s="271"/>
      <c r="O145" s="231"/>
      <c r="P145" s="220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  <c r="AA145" s="226"/>
      <c r="AB145" s="226"/>
      <c r="AC145" s="226"/>
      <c r="AD145" s="226"/>
      <c r="AE145" s="226"/>
      <c r="AF145" s="226"/>
      <c r="AG145" s="226"/>
      <c r="AH145" s="226"/>
      <c r="AI145" s="226"/>
      <c r="AJ145" s="226"/>
      <c r="AK145" s="226"/>
      <c r="AL145" s="226"/>
      <c r="AM145" s="226"/>
      <c r="AN145" s="226"/>
      <c r="AO145" s="226"/>
      <c r="AP145" s="226"/>
      <c r="AQ145" s="226"/>
      <c r="AR145" s="226"/>
      <c r="AS145" s="226"/>
      <c r="AT145" s="226"/>
      <c r="AU145" s="226"/>
      <c r="AV145" s="226"/>
      <c r="AW145" s="226"/>
      <c r="AX145" s="226"/>
      <c r="AY145" s="226"/>
      <c r="AZ145" s="226"/>
      <c r="BA145" s="226"/>
      <c r="BB145" s="226"/>
      <c r="BC145" s="226"/>
      <c r="BD145" s="226"/>
      <c r="BE145" s="226"/>
      <c r="BF145" s="226"/>
      <c r="BG145" s="226"/>
      <c r="BH145"/>
    </row>
    <row r="146" spans="2:60" s="244" customFormat="1" x14ac:dyDescent="0.3">
      <c r="B146" s="220"/>
      <c r="C146" s="220"/>
      <c r="D146" s="251"/>
      <c r="E146" s="251"/>
      <c r="F146" s="251"/>
      <c r="G146" s="251"/>
      <c r="H146" s="246"/>
      <c r="I146" s="260"/>
      <c r="J146" s="260"/>
      <c r="K146" s="260"/>
      <c r="L146" s="260"/>
      <c r="M146" s="231"/>
      <c r="N146" s="271"/>
      <c r="O146" s="231"/>
      <c r="P146" s="220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  <c r="AA146" s="226"/>
      <c r="AB146" s="226"/>
      <c r="AC146" s="226"/>
      <c r="AD146" s="226"/>
      <c r="AE146" s="226"/>
      <c r="AF146" s="226"/>
      <c r="AG146" s="226"/>
      <c r="AH146" s="226"/>
      <c r="AI146" s="226"/>
      <c r="AJ146" s="226"/>
      <c r="AK146" s="226"/>
      <c r="AL146" s="226"/>
      <c r="AM146" s="226"/>
      <c r="AN146" s="226"/>
      <c r="AO146" s="226"/>
      <c r="AP146" s="226"/>
      <c r="AQ146" s="226"/>
      <c r="AR146" s="226"/>
      <c r="AS146" s="226"/>
      <c r="AT146" s="226"/>
      <c r="AU146" s="226"/>
      <c r="AV146" s="226"/>
      <c r="AW146" s="226"/>
      <c r="AX146" s="226"/>
      <c r="AY146" s="226"/>
      <c r="AZ146" s="226"/>
      <c r="BA146" s="226"/>
      <c r="BB146" s="226"/>
      <c r="BC146" s="226"/>
      <c r="BD146" s="226"/>
      <c r="BE146" s="226"/>
      <c r="BF146" s="226"/>
      <c r="BG146" s="226"/>
      <c r="BH146"/>
    </row>
    <row r="147" spans="2:60" ht="15" customHeight="1" x14ac:dyDescent="0.3">
      <c r="B147" s="220"/>
      <c r="C147" s="220"/>
      <c r="D147" s="251"/>
      <c r="E147" s="251"/>
      <c r="F147" s="251"/>
      <c r="G147" s="251"/>
      <c r="H147" s="246"/>
      <c r="I147" s="260"/>
      <c r="J147" s="260"/>
      <c r="K147" s="260"/>
      <c r="L147" s="260"/>
      <c r="M147" s="231"/>
      <c r="N147" s="271"/>
      <c r="O147" s="231"/>
      <c r="P147" s="220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  <c r="AA147" s="226"/>
      <c r="AB147" s="226"/>
      <c r="AC147" s="226"/>
      <c r="AD147" s="226"/>
      <c r="AE147" s="226"/>
      <c r="AF147" s="226"/>
      <c r="AG147" s="226"/>
      <c r="AH147" s="226"/>
      <c r="AI147" s="226"/>
      <c r="AJ147" s="226"/>
      <c r="AK147" s="226"/>
      <c r="AL147" s="226"/>
      <c r="AM147" s="226"/>
      <c r="AN147" s="226"/>
      <c r="AO147" s="226"/>
      <c r="AP147" s="226"/>
      <c r="AQ147" s="226"/>
      <c r="AR147" s="226"/>
      <c r="AS147" s="226"/>
      <c r="AT147" s="226"/>
      <c r="AU147" s="226"/>
      <c r="AV147" s="226"/>
      <c r="AW147" s="226"/>
      <c r="AX147" s="226"/>
      <c r="AY147" s="226"/>
      <c r="AZ147" s="226"/>
      <c r="BA147" s="226"/>
      <c r="BB147" s="226"/>
      <c r="BC147" s="226"/>
      <c r="BD147" s="226"/>
      <c r="BE147" s="226"/>
      <c r="BF147" s="226"/>
      <c r="BG147" s="226"/>
      <c r="BH147"/>
    </row>
    <row r="148" spans="2:60" ht="15" customHeight="1" x14ac:dyDescent="0.3">
      <c r="B148" s="220"/>
      <c r="C148" s="220"/>
      <c r="D148" s="251"/>
      <c r="E148" s="251"/>
      <c r="F148" s="251"/>
      <c r="G148" s="251"/>
      <c r="H148" s="246"/>
      <c r="I148" s="260"/>
      <c r="J148" s="260"/>
      <c r="K148" s="260"/>
      <c r="L148" s="260"/>
      <c r="M148" s="231"/>
      <c r="N148" s="271"/>
      <c r="O148" s="231"/>
      <c r="P148" s="220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  <c r="AA148" s="226"/>
      <c r="AB148" s="226"/>
      <c r="AC148" s="226"/>
      <c r="AD148" s="226"/>
      <c r="AE148" s="226"/>
      <c r="AF148" s="226"/>
      <c r="AG148" s="226"/>
      <c r="AH148" s="226"/>
      <c r="AI148" s="226"/>
      <c r="AJ148" s="226"/>
      <c r="AK148" s="226"/>
      <c r="AL148" s="226"/>
      <c r="AM148" s="226"/>
      <c r="AN148" s="226"/>
      <c r="AO148" s="226"/>
      <c r="AP148" s="226"/>
      <c r="AQ148" s="226"/>
      <c r="AR148" s="226"/>
      <c r="AS148" s="226"/>
      <c r="AT148" s="226"/>
      <c r="AU148" s="226"/>
      <c r="AV148" s="226"/>
      <c r="AW148" s="226"/>
      <c r="AX148" s="226"/>
      <c r="AY148" s="226"/>
      <c r="AZ148" s="226"/>
      <c r="BA148" s="226"/>
      <c r="BB148" s="226"/>
      <c r="BC148" s="226"/>
      <c r="BD148" s="226"/>
      <c r="BE148" s="226"/>
      <c r="BF148" s="226"/>
      <c r="BG148" s="226"/>
      <c r="BH148"/>
    </row>
    <row r="149" spans="2:60" s="244" customFormat="1" ht="15" customHeight="1" x14ac:dyDescent="0.3">
      <c r="B149" s="220"/>
      <c r="C149" s="220"/>
      <c r="D149" s="251"/>
      <c r="E149" s="251"/>
      <c r="F149" s="251"/>
      <c r="G149" s="251"/>
      <c r="H149" s="246"/>
      <c r="I149" s="260"/>
      <c r="J149" s="260"/>
      <c r="K149" s="260"/>
      <c r="L149" s="260"/>
      <c r="M149" s="260"/>
      <c r="N149" s="271"/>
      <c r="O149" s="231"/>
      <c r="P149" s="220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226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226"/>
      <c r="AP149" s="226"/>
      <c r="AQ149" s="226"/>
      <c r="AR149" s="226"/>
      <c r="AS149" s="226"/>
      <c r="AT149" s="226"/>
      <c r="AU149" s="226"/>
      <c r="AV149" s="226"/>
      <c r="AW149" s="226"/>
      <c r="AX149" s="226"/>
      <c r="AY149" s="226"/>
      <c r="AZ149" s="226"/>
      <c r="BA149" s="226"/>
      <c r="BB149" s="226"/>
      <c r="BC149" s="226"/>
      <c r="BD149" s="226"/>
      <c r="BE149" s="226"/>
      <c r="BF149" s="226"/>
      <c r="BG149" s="226"/>
      <c r="BH149"/>
    </row>
    <row r="150" spans="2:60" s="244" customFormat="1" ht="15" customHeight="1" x14ac:dyDescent="0.3">
      <c r="B150" s="220"/>
      <c r="C150" s="220"/>
      <c r="D150" s="251"/>
      <c r="E150" s="251"/>
      <c r="F150" s="251"/>
      <c r="G150" s="251"/>
      <c r="H150" s="246"/>
      <c r="I150" s="260"/>
      <c r="J150" s="260"/>
      <c r="K150" s="260"/>
      <c r="L150" s="260"/>
      <c r="M150" s="260"/>
      <c r="N150" s="271"/>
      <c r="O150" s="231"/>
      <c r="P150" s="220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  <c r="AA150" s="226"/>
      <c r="AB150" s="226"/>
      <c r="AC150" s="226"/>
      <c r="AD150" s="226"/>
      <c r="AE150" s="226"/>
      <c r="AF150" s="226"/>
      <c r="AG150" s="226"/>
      <c r="AH150" s="226"/>
      <c r="AI150" s="226"/>
      <c r="AJ150" s="226"/>
      <c r="AK150" s="226"/>
      <c r="AL150" s="226"/>
      <c r="AM150" s="226"/>
      <c r="AN150" s="226"/>
      <c r="AO150" s="226"/>
      <c r="AP150" s="226"/>
      <c r="AQ150" s="226"/>
      <c r="AR150" s="226"/>
      <c r="AS150" s="226"/>
      <c r="AT150" s="226"/>
      <c r="AU150" s="226"/>
      <c r="AV150" s="226"/>
      <c r="AW150" s="226"/>
      <c r="AX150" s="226"/>
      <c r="AY150" s="226"/>
      <c r="AZ150" s="226"/>
      <c r="BA150" s="226"/>
      <c r="BB150" s="226"/>
      <c r="BC150" s="226"/>
      <c r="BD150" s="226"/>
      <c r="BE150" s="226"/>
      <c r="BF150" s="226"/>
      <c r="BG150" s="226"/>
      <c r="BH150"/>
    </row>
    <row r="151" spans="2:60" s="244" customFormat="1" ht="15" customHeight="1" x14ac:dyDescent="0.3">
      <c r="B151" s="220"/>
      <c r="C151" s="220"/>
      <c r="D151" s="251"/>
      <c r="E151" s="251"/>
      <c r="F151" s="251"/>
      <c r="G151" s="251"/>
      <c r="H151" s="246"/>
      <c r="I151" s="260"/>
      <c r="J151" s="260"/>
      <c r="K151" s="260"/>
      <c r="L151" s="260"/>
      <c r="M151" s="260"/>
      <c r="N151" s="271"/>
      <c r="O151" s="231"/>
      <c r="P151" s="220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  <c r="AA151" s="226"/>
      <c r="AB151" s="226"/>
      <c r="AC151" s="226"/>
      <c r="AD151" s="226"/>
      <c r="AE151" s="226"/>
      <c r="AF151" s="226"/>
      <c r="AG151" s="226"/>
      <c r="AH151" s="226"/>
      <c r="AI151" s="226"/>
      <c r="AJ151" s="226"/>
      <c r="AK151" s="226"/>
      <c r="AL151" s="226"/>
      <c r="AM151" s="226"/>
      <c r="AN151" s="226"/>
      <c r="AO151" s="226"/>
      <c r="AP151" s="226"/>
      <c r="AQ151" s="226"/>
      <c r="AR151" s="226"/>
      <c r="AS151" s="226"/>
      <c r="AT151" s="226"/>
      <c r="AU151" s="226"/>
      <c r="AV151" s="226"/>
      <c r="AW151" s="226"/>
      <c r="AX151" s="226"/>
      <c r="AY151" s="226"/>
      <c r="AZ151" s="226"/>
      <c r="BA151" s="226"/>
      <c r="BB151" s="226"/>
      <c r="BC151" s="226"/>
      <c r="BD151" s="226"/>
      <c r="BE151" s="226"/>
      <c r="BF151" s="226"/>
      <c r="BG151" s="226"/>
      <c r="BH151"/>
    </row>
    <row r="152" spans="2:60" s="244" customFormat="1" ht="15" customHeight="1" x14ac:dyDescent="0.3">
      <c r="B152" s="220"/>
      <c r="C152" s="220"/>
      <c r="D152" s="251"/>
      <c r="E152" s="251"/>
      <c r="F152" s="251"/>
      <c r="G152" s="251"/>
      <c r="H152" s="246"/>
      <c r="I152" s="260"/>
      <c r="J152" s="260"/>
      <c r="K152" s="260"/>
      <c r="L152" s="260"/>
      <c r="M152" s="231"/>
      <c r="N152" s="271"/>
      <c r="O152" s="231"/>
      <c r="P152" s="220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  <c r="AA152" s="226"/>
      <c r="AB152" s="226"/>
      <c r="AC152" s="226"/>
      <c r="AD152" s="226"/>
      <c r="AE152" s="226"/>
      <c r="AF152" s="226"/>
      <c r="AG152" s="226"/>
      <c r="AH152" s="226"/>
      <c r="AI152" s="226"/>
      <c r="AJ152" s="226"/>
      <c r="AK152" s="226"/>
      <c r="AL152" s="226"/>
      <c r="AM152" s="226"/>
      <c r="AN152" s="226"/>
      <c r="AO152" s="226"/>
      <c r="AP152" s="226"/>
      <c r="AQ152" s="226"/>
      <c r="AR152" s="226"/>
      <c r="AS152" s="226"/>
      <c r="AT152" s="226"/>
      <c r="AU152" s="226"/>
      <c r="AV152" s="226"/>
      <c r="AW152" s="226"/>
      <c r="AX152" s="226"/>
      <c r="AY152" s="226"/>
      <c r="AZ152" s="226"/>
      <c r="BA152" s="226"/>
      <c r="BB152" s="226"/>
      <c r="BC152" s="226"/>
      <c r="BD152" s="226"/>
      <c r="BE152" s="226"/>
      <c r="BF152" s="226"/>
      <c r="BG152" s="226"/>
      <c r="BH152"/>
    </row>
    <row r="153" spans="2:60" s="244" customFormat="1" ht="15" customHeight="1" x14ac:dyDescent="0.3">
      <c r="B153" s="220"/>
      <c r="C153" s="220"/>
      <c r="D153" s="251"/>
      <c r="E153" s="251"/>
      <c r="F153" s="251"/>
      <c r="G153" s="251"/>
      <c r="H153" s="246"/>
      <c r="I153" s="260"/>
      <c r="J153" s="260"/>
      <c r="K153" s="260"/>
      <c r="L153" s="260"/>
      <c r="M153" s="231"/>
      <c r="N153" s="271"/>
      <c r="O153" s="231"/>
      <c r="P153" s="220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  <c r="AA153" s="226"/>
      <c r="AB153" s="226"/>
      <c r="AC153" s="226"/>
      <c r="AD153" s="226"/>
      <c r="AE153" s="226"/>
      <c r="AF153" s="226"/>
      <c r="AG153" s="226"/>
      <c r="AH153" s="226"/>
      <c r="AI153" s="226"/>
      <c r="AJ153" s="226"/>
      <c r="AK153" s="226"/>
      <c r="AL153" s="226"/>
      <c r="AM153" s="226"/>
      <c r="AN153" s="226"/>
      <c r="AO153" s="226"/>
      <c r="AP153" s="226"/>
      <c r="AQ153" s="226"/>
      <c r="AR153" s="226"/>
      <c r="AS153" s="226"/>
      <c r="AT153" s="226"/>
      <c r="AU153" s="226"/>
      <c r="AV153" s="226"/>
      <c r="AW153" s="226"/>
      <c r="AX153" s="226"/>
      <c r="AY153" s="226"/>
      <c r="AZ153" s="226"/>
      <c r="BA153" s="226"/>
      <c r="BB153" s="226"/>
      <c r="BC153" s="226"/>
      <c r="BD153" s="226"/>
      <c r="BE153" s="226"/>
      <c r="BF153" s="226"/>
      <c r="BG153" s="226"/>
      <c r="BH153"/>
    </row>
    <row r="154" spans="2:60" s="244" customFormat="1" ht="15" customHeight="1" x14ac:dyDescent="0.3">
      <c r="B154" s="220"/>
      <c r="C154" s="220"/>
      <c r="D154" s="251"/>
      <c r="E154" s="251"/>
      <c r="F154" s="251"/>
      <c r="G154" s="251"/>
      <c r="H154" s="246"/>
      <c r="I154" s="260"/>
      <c r="J154" s="260"/>
      <c r="K154" s="260"/>
      <c r="L154" s="260"/>
      <c r="M154" s="231"/>
      <c r="N154" s="271"/>
      <c r="O154" s="231"/>
      <c r="P154" s="220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  <c r="AA154" s="226"/>
      <c r="AB154" s="226"/>
      <c r="AC154" s="226"/>
      <c r="AD154" s="226"/>
      <c r="AE154" s="226"/>
      <c r="AF154" s="226"/>
      <c r="AG154" s="226"/>
      <c r="AH154" s="226"/>
      <c r="AI154" s="226"/>
      <c r="AJ154" s="226"/>
      <c r="AK154" s="226"/>
      <c r="AL154" s="226"/>
      <c r="AM154" s="226"/>
      <c r="AN154" s="226"/>
      <c r="AO154" s="226"/>
      <c r="AP154" s="226"/>
      <c r="AQ154" s="226"/>
      <c r="AR154" s="226"/>
      <c r="AS154" s="226"/>
      <c r="AT154" s="226"/>
      <c r="AU154" s="226"/>
      <c r="AV154" s="226"/>
      <c r="AW154" s="226"/>
      <c r="AX154" s="226"/>
      <c r="AY154" s="226"/>
      <c r="AZ154" s="226"/>
      <c r="BA154" s="226"/>
      <c r="BB154" s="226"/>
      <c r="BC154" s="226"/>
      <c r="BD154" s="226"/>
      <c r="BE154" s="226"/>
      <c r="BF154" s="226"/>
      <c r="BG154" s="226"/>
      <c r="BH154"/>
    </row>
    <row r="155" spans="2:60" s="244" customFormat="1" ht="25.8" customHeight="1" x14ac:dyDescent="0.3">
      <c r="B155" s="220"/>
      <c r="C155" s="220"/>
      <c r="D155" s="251"/>
      <c r="E155" s="251"/>
      <c r="F155" s="251"/>
      <c r="G155" s="251"/>
      <c r="H155" s="246"/>
      <c r="I155" s="260"/>
      <c r="J155" s="260"/>
      <c r="K155" s="260"/>
      <c r="L155" s="260"/>
      <c r="M155" s="231"/>
      <c r="N155" s="271"/>
      <c r="O155" s="231"/>
      <c r="P155" s="220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  <c r="AA155" s="226"/>
      <c r="AB155" s="226"/>
      <c r="AC155" s="226"/>
      <c r="AD155" s="226"/>
      <c r="AE155" s="226"/>
      <c r="AF155" s="226"/>
      <c r="AG155" s="226"/>
      <c r="AH155" s="226"/>
      <c r="AI155" s="226"/>
      <c r="AJ155" s="226"/>
      <c r="AK155" s="226"/>
      <c r="AL155" s="226"/>
      <c r="AM155" s="226"/>
      <c r="AN155" s="226"/>
      <c r="AO155" s="226"/>
      <c r="AP155" s="226"/>
      <c r="AQ155" s="226"/>
      <c r="AR155" s="226"/>
      <c r="AS155" s="226"/>
      <c r="AT155" s="226"/>
      <c r="AU155" s="226"/>
      <c r="AV155" s="226"/>
      <c r="AW155" s="226"/>
      <c r="AX155" s="226"/>
      <c r="AY155" s="226"/>
      <c r="AZ155" s="226"/>
      <c r="BA155" s="226"/>
      <c r="BB155" s="226"/>
      <c r="BC155" s="226"/>
      <c r="BD155" s="226"/>
      <c r="BE155" s="226"/>
      <c r="BF155" s="226"/>
      <c r="BG155" s="226"/>
      <c r="BH155"/>
    </row>
    <row r="156" spans="2:60" x14ac:dyDescent="0.3">
      <c r="B156" s="220"/>
      <c r="C156" s="220"/>
      <c r="D156" s="251"/>
      <c r="E156" s="251"/>
      <c r="F156" s="251"/>
      <c r="G156" s="251"/>
      <c r="H156" s="246"/>
      <c r="I156" s="260"/>
      <c r="J156" s="260"/>
      <c r="K156" s="260"/>
      <c r="L156" s="260"/>
      <c r="M156" s="231"/>
      <c r="N156" s="271"/>
      <c r="O156" s="231"/>
      <c r="P156" s="220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  <c r="AA156" s="226"/>
      <c r="AB156" s="226"/>
      <c r="AC156" s="226"/>
      <c r="AD156" s="226"/>
      <c r="AE156" s="226"/>
      <c r="AF156" s="226"/>
      <c r="AG156" s="226"/>
      <c r="AH156" s="226"/>
      <c r="AI156" s="226"/>
      <c r="AJ156" s="226"/>
      <c r="AK156" s="226"/>
      <c r="AL156" s="226"/>
      <c r="AM156" s="226"/>
      <c r="AN156" s="226"/>
      <c r="AO156" s="226"/>
      <c r="AP156" s="226"/>
      <c r="AQ156" s="226"/>
      <c r="AR156" s="226"/>
      <c r="AS156" s="226"/>
      <c r="AT156" s="226"/>
      <c r="AU156" s="226"/>
      <c r="AV156" s="226"/>
      <c r="AW156" s="226"/>
      <c r="AX156" s="226"/>
      <c r="AY156" s="226"/>
      <c r="AZ156" s="226"/>
      <c r="BA156" s="226"/>
      <c r="BB156" s="226"/>
      <c r="BC156" s="226"/>
      <c r="BD156" s="226"/>
      <c r="BE156" s="226"/>
      <c r="BF156" s="226"/>
      <c r="BG156" s="226"/>
      <c r="BH156"/>
    </row>
    <row r="157" spans="2:60" x14ac:dyDescent="0.3">
      <c r="B157" s="220"/>
      <c r="C157" s="220"/>
      <c r="D157" s="251"/>
      <c r="E157" s="251"/>
      <c r="F157" s="251"/>
      <c r="G157" s="251"/>
      <c r="H157" s="246"/>
      <c r="I157" s="260"/>
      <c r="J157" s="260"/>
      <c r="K157" s="260"/>
      <c r="L157" s="260"/>
      <c r="M157" s="231"/>
      <c r="N157" s="271"/>
      <c r="O157" s="231"/>
      <c r="P157" s="220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  <c r="AA157" s="226"/>
      <c r="AB157" s="226"/>
      <c r="AC157" s="226"/>
      <c r="AD157" s="226"/>
      <c r="AE157" s="226"/>
      <c r="AF157" s="226"/>
      <c r="AG157" s="226"/>
      <c r="AH157" s="226"/>
      <c r="AI157" s="226"/>
      <c r="AJ157" s="226"/>
      <c r="AK157" s="226"/>
      <c r="AL157" s="226"/>
      <c r="AM157" s="226"/>
      <c r="AN157" s="226"/>
      <c r="AO157" s="226"/>
      <c r="AP157" s="226"/>
      <c r="AQ157" s="226"/>
      <c r="AR157" s="226"/>
      <c r="AS157" s="226"/>
      <c r="AT157" s="226"/>
      <c r="AU157" s="226"/>
      <c r="AV157" s="226"/>
      <c r="AW157" s="226"/>
      <c r="AX157" s="226"/>
      <c r="AY157" s="226"/>
      <c r="AZ157" s="226"/>
      <c r="BA157" s="226"/>
      <c r="BB157" s="226"/>
      <c r="BC157" s="226"/>
      <c r="BD157" s="226"/>
      <c r="BE157" s="226"/>
      <c r="BF157" s="226"/>
      <c r="BG157" s="226"/>
      <c r="BH157"/>
    </row>
    <row r="158" spans="2:60" x14ac:dyDescent="0.3">
      <c r="B158" s="220"/>
      <c r="C158" s="220"/>
      <c r="D158" s="251"/>
      <c r="E158" s="251"/>
      <c r="F158" s="251"/>
      <c r="G158" s="251"/>
      <c r="H158" s="246"/>
      <c r="I158" s="260"/>
      <c r="J158" s="260"/>
      <c r="K158" s="260"/>
      <c r="L158" s="260"/>
      <c r="M158" s="231"/>
      <c r="N158" s="271"/>
      <c r="O158" s="231"/>
      <c r="P158" s="220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  <c r="AA158" s="226"/>
      <c r="AB158" s="226"/>
      <c r="AC158" s="226"/>
      <c r="AD158" s="226"/>
      <c r="AE158" s="226"/>
      <c r="AF158" s="226"/>
      <c r="AG158" s="226"/>
      <c r="AH158" s="226"/>
      <c r="AI158" s="226"/>
      <c r="AJ158" s="226"/>
      <c r="AK158" s="226"/>
      <c r="AL158" s="226"/>
      <c r="AM158" s="226"/>
      <c r="AN158" s="226"/>
      <c r="AO158" s="226"/>
      <c r="AP158" s="226"/>
      <c r="AQ158" s="226"/>
      <c r="AR158" s="226"/>
      <c r="AS158" s="226"/>
      <c r="AT158" s="226"/>
      <c r="AU158" s="226"/>
      <c r="AV158" s="226"/>
      <c r="AW158" s="226"/>
      <c r="AX158" s="226"/>
      <c r="AY158" s="226"/>
      <c r="AZ158" s="226"/>
      <c r="BA158" s="226"/>
      <c r="BB158" s="226"/>
      <c r="BC158" s="226"/>
      <c r="BD158" s="226"/>
      <c r="BE158" s="226"/>
      <c r="BF158" s="226"/>
      <c r="BG158" s="226"/>
      <c r="BH158"/>
    </row>
    <row r="159" spans="2:60" x14ac:dyDescent="0.3">
      <c r="B159" s="220"/>
      <c r="C159" s="220"/>
      <c r="D159" s="251"/>
      <c r="E159" s="251"/>
      <c r="F159" s="251"/>
      <c r="G159" s="251"/>
      <c r="H159" s="246"/>
      <c r="I159" s="260"/>
      <c r="J159" s="260"/>
      <c r="K159" s="260"/>
      <c r="L159" s="260"/>
      <c r="M159" s="231"/>
      <c r="N159" s="271"/>
      <c r="O159" s="231"/>
      <c r="P159" s="220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  <c r="AA159" s="226"/>
      <c r="AB159" s="226"/>
      <c r="AC159" s="226"/>
      <c r="AD159" s="226"/>
      <c r="AE159" s="226"/>
      <c r="AF159" s="226"/>
      <c r="AG159" s="226"/>
      <c r="AH159" s="226"/>
      <c r="AI159" s="226"/>
      <c r="AJ159" s="226"/>
      <c r="AK159" s="226"/>
      <c r="AL159" s="226"/>
      <c r="AM159" s="226"/>
      <c r="AN159" s="226"/>
      <c r="AO159" s="226"/>
      <c r="AP159" s="226"/>
      <c r="AQ159" s="226"/>
      <c r="AR159" s="226"/>
      <c r="AS159" s="226"/>
      <c r="AT159" s="226"/>
      <c r="AU159" s="226"/>
      <c r="AV159" s="226"/>
      <c r="AW159" s="226"/>
      <c r="AX159" s="226"/>
      <c r="AY159" s="226"/>
      <c r="AZ159" s="226"/>
      <c r="BA159" s="226"/>
      <c r="BB159" s="226"/>
      <c r="BC159" s="226"/>
      <c r="BD159" s="226"/>
      <c r="BE159" s="226"/>
      <c r="BF159" s="226"/>
      <c r="BG159" s="226"/>
      <c r="BH159"/>
    </row>
    <row r="160" spans="2:60" x14ac:dyDescent="0.3">
      <c r="B160" s="220"/>
      <c r="C160" s="220"/>
      <c r="D160" s="251"/>
      <c r="E160" s="251"/>
      <c r="F160" s="251"/>
      <c r="G160" s="251"/>
      <c r="H160" s="246"/>
      <c r="I160" s="260"/>
      <c r="J160" s="260"/>
      <c r="K160" s="260"/>
      <c r="L160" s="260"/>
      <c r="M160" s="231"/>
      <c r="N160" s="271"/>
      <c r="O160" s="231"/>
      <c r="P160" s="220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6"/>
      <c r="AG160" s="226"/>
      <c r="AH160" s="226"/>
      <c r="AI160" s="226"/>
      <c r="AJ160" s="226"/>
      <c r="AK160" s="226"/>
      <c r="AL160" s="226"/>
      <c r="AM160" s="226"/>
      <c r="AN160" s="226"/>
      <c r="AO160" s="226"/>
      <c r="AP160" s="226"/>
      <c r="AQ160" s="226"/>
      <c r="AR160" s="226"/>
      <c r="AS160" s="226"/>
      <c r="AT160" s="226"/>
      <c r="AU160" s="226"/>
      <c r="AV160" s="226"/>
      <c r="AW160" s="226"/>
      <c r="AX160" s="226"/>
      <c r="AY160" s="226"/>
      <c r="AZ160" s="226"/>
      <c r="BA160" s="226"/>
      <c r="BB160" s="226"/>
      <c r="BC160" s="226"/>
      <c r="BD160" s="226"/>
      <c r="BE160" s="226"/>
      <c r="BF160" s="226"/>
      <c r="BG160" s="226"/>
      <c r="BH160"/>
    </row>
    <row r="161" spans="2:60" x14ac:dyDescent="0.3">
      <c r="B161" s="220"/>
      <c r="C161" s="220"/>
      <c r="D161" s="251"/>
      <c r="E161" s="251"/>
      <c r="F161" s="251"/>
      <c r="G161" s="251"/>
      <c r="H161" s="246"/>
      <c r="I161" s="260"/>
      <c r="J161" s="260"/>
      <c r="K161" s="260"/>
      <c r="L161" s="260"/>
      <c r="M161" s="231"/>
      <c r="N161" s="271"/>
      <c r="O161" s="231"/>
      <c r="P161" s="220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  <c r="AA161" s="226"/>
      <c r="AB161" s="226"/>
      <c r="AC161" s="226"/>
      <c r="AD161" s="226"/>
      <c r="AE161" s="226"/>
      <c r="AF161" s="226"/>
      <c r="AG161" s="226"/>
      <c r="AH161" s="226"/>
      <c r="AI161" s="226"/>
      <c r="AJ161" s="226"/>
      <c r="AK161" s="226"/>
      <c r="AL161" s="226"/>
      <c r="AM161" s="226"/>
      <c r="AN161" s="226"/>
      <c r="AO161" s="226"/>
      <c r="AP161" s="226"/>
      <c r="AQ161" s="226"/>
      <c r="AR161" s="226"/>
      <c r="AS161" s="226"/>
      <c r="AT161" s="226"/>
      <c r="AU161" s="226"/>
      <c r="AV161" s="226"/>
      <c r="AW161" s="226"/>
      <c r="AX161" s="226"/>
      <c r="AY161" s="226"/>
      <c r="AZ161" s="226"/>
      <c r="BA161" s="226"/>
      <c r="BB161" s="226"/>
      <c r="BC161" s="226"/>
      <c r="BD161" s="226"/>
      <c r="BE161" s="226"/>
      <c r="BF161" s="226"/>
      <c r="BG161" s="226"/>
      <c r="BH161"/>
    </row>
    <row r="162" spans="2:60" x14ac:dyDescent="0.3">
      <c r="B162" s="220"/>
      <c r="C162" s="220"/>
      <c r="D162" s="251"/>
      <c r="E162" s="251"/>
      <c r="F162" s="251"/>
      <c r="G162" s="251"/>
      <c r="H162" s="246"/>
      <c r="I162" s="260"/>
      <c r="J162" s="260"/>
      <c r="K162" s="260"/>
      <c r="L162" s="260"/>
      <c r="M162" s="231"/>
      <c r="N162" s="271"/>
      <c r="O162" s="231"/>
      <c r="P162" s="220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  <c r="AA162" s="226"/>
      <c r="AB162" s="226"/>
      <c r="AC162" s="226"/>
      <c r="AD162" s="226"/>
      <c r="AE162" s="226"/>
      <c r="AF162" s="226"/>
      <c r="AG162" s="226"/>
      <c r="AH162" s="226"/>
      <c r="AI162" s="226"/>
      <c r="AJ162" s="226"/>
      <c r="AK162" s="226"/>
      <c r="AL162" s="226"/>
      <c r="AM162" s="226"/>
      <c r="AN162" s="226"/>
      <c r="AO162" s="226"/>
      <c r="AP162" s="226"/>
      <c r="AQ162" s="226"/>
      <c r="AR162" s="226"/>
      <c r="AS162" s="226"/>
      <c r="AT162" s="226"/>
      <c r="AU162" s="226"/>
      <c r="AV162" s="226"/>
      <c r="AW162" s="226"/>
      <c r="AX162" s="226"/>
      <c r="AY162" s="226"/>
      <c r="AZ162" s="226"/>
      <c r="BA162" s="226"/>
      <c r="BB162" s="226"/>
      <c r="BC162" s="226"/>
      <c r="BD162" s="226"/>
      <c r="BE162" s="226"/>
      <c r="BF162" s="226"/>
      <c r="BG162" s="226"/>
      <c r="BH162"/>
    </row>
    <row r="163" spans="2:60" x14ac:dyDescent="0.3">
      <c r="B163" s="220"/>
      <c r="C163" s="220"/>
      <c r="D163" s="251"/>
      <c r="E163" s="251"/>
      <c r="F163" s="251"/>
      <c r="G163" s="251"/>
      <c r="H163" s="246"/>
      <c r="I163" s="260"/>
      <c r="J163" s="260"/>
      <c r="K163" s="260"/>
      <c r="L163" s="260"/>
      <c r="M163" s="231"/>
      <c r="N163" s="271"/>
      <c r="O163" s="231"/>
      <c r="P163" s="220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  <c r="AA163" s="226"/>
      <c r="AB163" s="226"/>
      <c r="AC163" s="226"/>
      <c r="AD163" s="226"/>
      <c r="AE163" s="226"/>
      <c r="AF163" s="226"/>
      <c r="AG163" s="226"/>
      <c r="AH163" s="226"/>
      <c r="AI163" s="226"/>
      <c r="AJ163" s="226"/>
      <c r="AK163" s="226"/>
      <c r="AL163" s="226"/>
      <c r="AM163" s="226"/>
      <c r="AN163" s="226"/>
      <c r="AO163" s="226"/>
      <c r="AP163" s="226"/>
      <c r="AQ163" s="226"/>
      <c r="AR163" s="226"/>
      <c r="AS163" s="226"/>
      <c r="AT163" s="226"/>
      <c r="AU163" s="226"/>
      <c r="AV163" s="226"/>
      <c r="AW163" s="226"/>
      <c r="AX163" s="226"/>
      <c r="AY163" s="226"/>
      <c r="AZ163" s="226"/>
      <c r="BA163" s="226"/>
      <c r="BB163" s="226"/>
      <c r="BC163" s="226"/>
      <c r="BD163" s="226"/>
      <c r="BE163" s="226"/>
      <c r="BF163" s="226"/>
      <c r="BG163" s="226"/>
      <c r="BH163"/>
    </row>
    <row r="164" spans="2:60" ht="21.6" customHeight="1" x14ac:dyDescent="0.3">
      <c r="B164" s="220"/>
      <c r="C164" s="220"/>
      <c r="D164" s="251"/>
      <c r="E164" s="251"/>
      <c r="F164" s="251"/>
      <c r="G164" s="251"/>
      <c r="H164" s="246"/>
      <c r="I164" s="260"/>
      <c r="J164" s="260"/>
      <c r="K164" s="260"/>
      <c r="L164" s="260"/>
      <c r="M164" s="231"/>
      <c r="N164" s="271"/>
      <c r="O164" s="231"/>
      <c r="P164" s="220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  <c r="AA164" s="226"/>
      <c r="AB164" s="226"/>
      <c r="AC164" s="226"/>
      <c r="AD164" s="226"/>
      <c r="AE164" s="226"/>
      <c r="AF164" s="226"/>
      <c r="AG164" s="226"/>
      <c r="AH164" s="226"/>
      <c r="AI164" s="226"/>
      <c r="AJ164" s="226"/>
      <c r="AK164" s="226"/>
      <c r="AL164" s="226"/>
      <c r="AM164" s="226"/>
      <c r="AN164" s="226"/>
      <c r="AO164" s="226"/>
      <c r="AP164" s="226"/>
      <c r="AQ164" s="226"/>
      <c r="AR164" s="226"/>
      <c r="AS164" s="226"/>
      <c r="AT164" s="226"/>
      <c r="AU164" s="226"/>
      <c r="AV164" s="226"/>
      <c r="AW164" s="226"/>
      <c r="AX164" s="226"/>
      <c r="AY164" s="226"/>
      <c r="AZ164" s="226"/>
      <c r="BA164" s="226"/>
      <c r="BB164" s="226"/>
      <c r="BC164" s="226"/>
      <c r="BD164" s="226"/>
      <c r="BE164" s="226"/>
      <c r="BF164" s="226"/>
      <c r="BG164" s="226"/>
      <c r="BH164"/>
    </row>
    <row r="165" spans="2:60" x14ac:dyDescent="0.3">
      <c r="B165" s="220"/>
      <c r="C165" s="220"/>
      <c r="D165" s="251"/>
      <c r="E165" s="251"/>
      <c r="F165" s="251"/>
      <c r="G165" s="251"/>
      <c r="H165" s="246"/>
      <c r="I165" s="260"/>
      <c r="J165" s="260"/>
      <c r="K165" s="260"/>
      <c r="L165" s="260"/>
      <c r="M165" s="231"/>
      <c r="N165" s="271"/>
      <c r="O165" s="231"/>
      <c r="P165" s="220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  <c r="AA165" s="226"/>
      <c r="AB165" s="226"/>
      <c r="AC165" s="226"/>
      <c r="AD165" s="226"/>
      <c r="AE165" s="226"/>
      <c r="AF165" s="226"/>
      <c r="AG165" s="226"/>
      <c r="AH165" s="226"/>
      <c r="AI165" s="226"/>
      <c r="AJ165" s="226"/>
      <c r="AK165" s="226"/>
      <c r="AL165" s="226"/>
      <c r="AM165" s="226"/>
      <c r="AN165" s="226"/>
      <c r="AO165" s="226"/>
      <c r="AP165" s="226"/>
      <c r="AQ165" s="226"/>
      <c r="AR165" s="226"/>
      <c r="AS165" s="226"/>
      <c r="AT165" s="226"/>
      <c r="AU165" s="226"/>
      <c r="AV165" s="226"/>
      <c r="AW165" s="226"/>
      <c r="AX165" s="226"/>
      <c r="AY165" s="226"/>
      <c r="AZ165" s="226"/>
      <c r="BA165" s="226"/>
      <c r="BB165" s="226"/>
      <c r="BC165" s="226"/>
      <c r="BD165" s="226"/>
      <c r="BE165" s="226"/>
      <c r="BF165" s="226"/>
      <c r="BG165" s="226"/>
      <c r="BH165"/>
    </row>
    <row r="166" spans="2:60" ht="15" customHeight="1" x14ac:dyDescent="0.3">
      <c r="B166" s="220"/>
      <c r="C166" s="220"/>
      <c r="D166" s="251"/>
      <c r="E166" s="251"/>
      <c r="F166" s="251"/>
      <c r="G166" s="251"/>
      <c r="H166" s="246"/>
      <c r="I166" s="260"/>
      <c r="J166" s="260"/>
      <c r="K166" s="260"/>
      <c r="L166" s="260"/>
      <c r="M166" s="231"/>
      <c r="N166" s="271"/>
      <c r="O166" s="231"/>
      <c r="P166" s="220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  <c r="AA166" s="226"/>
      <c r="AB166" s="226"/>
      <c r="AC166" s="226"/>
      <c r="AD166" s="226"/>
      <c r="AE166" s="226"/>
      <c r="AF166" s="226"/>
      <c r="AG166" s="226"/>
      <c r="AH166" s="226"/>
      <c r="AI166" s="226"/>
      <c r="AJ166" s="226"/>
      <c r="AK166" s="226"/>
      <c r="AL166" s="226"/>
      <c r="AM166" s="226"/>
      <c r="AN166" s="226"/>
      <c r="AO166" s="226"/>
      <c r="AP166" s="226"/>
      <c r="AQ166" s="226"/>
      <c r="AR166" s="226"/>
      <c r="AS166" s="226"/>
      <c r="AT166" s="226"/>
      <c r="AU166" s="226"/>
      <c r="AV166" s="226"/>
      <c r="AW166" s="226"/>
      <c r="AX166" s="226"/>
      <c r="AY166" s="226"/>
      <c r="AZ166" s="226"/>
      <c r="BA166" s="226"/>
      <c r="BB166" s="226"/>
      <c r="BC166" s="226"/>
      <c r="BD166" s="226"/>
      <c r="BE166" s="226"/>
      <c r="BF166" s="226"/>
      <c r="BG166" s="226"/>
      <c r="BH166"/>
    </row>
    <row r="167" spans="2:60" ht="15" customHeight="1" x14ac:dyDescent="0.3">
      <c r="B167" s="220"/>
      <c r="C167" s="220"/>
      <c r="D167" s="251"/>
      <c r="E167" s="251"/>
      <c r="F167" s="251"/>
      <c r="G167" s="251"/>
      <c r="H167" s="246"/>
      <c r="I167" s="260"/>
      <c r="J167" s="260"/>
      <c r="K167" s="260"/>
      <c r="L167" s="260"/>
      <c r="M167" s="231"/>
      <c r="N167" s="271"/>
      <c r="O167" s="231"/>
      <c r="P167" s="220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  <c r="AA167" s="226"/>
      <c r="AB167" s="226"/>
      <c r="AC167" s="226"/>
      <c r="AD167" s="226"/>
      <c r="AE167" s="226"/>
      <c r="AF167" s="226"/>
      <c r="AG167" s="226"/>
      <c r="AH167" s="226"/>
      <c r="AI167" s="226"/>
      <c r="AJ167" s="226"/>
      <c r="AK167" s="226"/>
      <c r="AL167" s="226"/>
      <c r="AM167" s="226"/>
      <c r="AN167" s="226"/>
      <c r="AO167" s="226"/>
      <c r="AP167" s="226"/>
      <c r="AQ167" s="226"/>
      <c r="AR167" s="226"/>
      <c r="AS167" s="226"/>
      <c r="AT167" s="226"/>
      <c r="AU167" s="226"/>
      <c r="AV167" s="226"/>
      <c r="AW167" s="226"/>
      <c r="AX167" s="226"/>
      <c r="AY167" s="226"/>
      <c r="AZ167" s="226"/>
      <c r="BA167" s="226"/>
      <c r="BB167" s="226"/>
      <c r="BC167" s="226"/>
      <c r="BD167" s="226"/>
      <c r="BE167" s="226"/>
      <c r="BF167" s="226"/>
      <c r="BG167" s="226"/>
      <c r="BH167"/>
    </row>
    <row r="168" spans="2:60" ht="28.8" customHeight="1" x14ac:dyDescent="0.3">
      <c r="B168" s="220"/>
      <c r="C168" s="220"/>
      <c r="D168" s="251"/>
      <c r="E168" s="251"/>
      <c r="F168" s="251"/>
      <c r="G168" s="251"/>
      <c r="H168" s="246"/>
      <c r="I168" s="260"/>
      <c r="J168" s="260"/>
      <c r="K168" s="260"/>
      <c r="L168" s="260"/>
      <c r="M168" s="231"/>
      <c r="N168" s="271"/>
      <c r="O168" s="231"/>
      <c r="P168" s="220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  <c r="AA168" s="226"/>
      <c r="AB168" s="226"/>
      <c r="AC168" s="226"/>
      <c r="AD168" s="226"/>
      <c r="AE168" s="226"/>
      <c r="AF168" s="226"/>
      <c r="AG168" s="226"/>
      <c r="AH168" s="226"/>
      <c r="AI168" s="226"/>
      <c r="AJ168" s="226"/>
      <c r="AK168" s="226"/>
      <c r="AL168" s="226"/>
      <c r="AM168" s="226"/>
      <c r="AN168" s="226"/>
      <c r="AO168" s="226"/>
      <c r="AP168" s="226"/>
      <c r="AQ168" s="226"/>
      <c r="AR168" s="226"/>
      <c r="AS168" s="226"/>
      <c r="AT168" s="226"/>
      <c r="AU168" s="226"/>
      <c r="AV168" s="226"/>
      <c r="AW168" s="226"/>
      <c r="AX168" s="226"/>
      <c r="AY168" s="226"/>
      <c r="AZ168" s="226"/>
      <c r="BA168" s="226"/>
      <c r="BB168" s="226"/>
      <c r="BC168" s="226"/>
      <c r="BD168" s="226"/>
      <c r="BE168" s="226"/>
      <c r="BF168" s="226"/>
      <c r="BG168" s="226"/>
      <c r="BH168"/>
    </row>
    <row r="169" spans="2:60" x14ac:dyDescent="0.3">
      <c r="B169" s="220"/>
      <c r="C169" s="220"/>
      <c r="D169" s="251"/>
      <c r="E169" s="251"/>
      <c r="F169" s="251"/>
      <c r="G169" s="251"/>
      <c r="H169" s="246"/>
      <c r="I169" s="260"/>
      <c r="J169" s="260"/>
      <c r="K169" s="260"/>
      <c r="L169" s="260"/>
      <c r="M169" s="231"/>
      <c r="N169" s="271"/>
      <c r="O169" s="231"/>
      <c r="P169" s="220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6"/>
      <c r="AH169" s="226"/>
      <c r="AI169" s="226"/>
      <c r="AJ169" s="226"/>
      <c r="AK169" s="226"/>
      <c r="AL169" s="226"/>
      <c r="AM169" s="226"/>
      <c r="AN169" s="226"/>
      <c r="AO169" s="226"/>
      <c r="AP169" s="226"/>
      <c r="AQ169" s="226"/>
      <c r="AR169" s="226"/>
      <c r="AS169" s="226"/>
      <c r="AT169" s="226"/>
      <c r="AU169" s="226"/>
      <c r="AV169" s="226"/>
      <c r="AW169" s="226"/>
      <c r="AX169" s="226"/>
      <c r="AY169" s="226"/>
      <c r="AZ169" s="226"/>
      <c r="BA169" s="226"/>
      <c r="BB169" s="226"/>
      <c r="BC169" s="226"/>
      <c r="BD169" s="226"/>
      <c r="BE169" s="226"/>
      <c r="BF169" s="226"/>
      <c r="BG169" s="226"/>
      <c r="BH169"/>
    </row>
    <row r="170" spans="2:60" ht="15" customHeight="1" x14ac:dyDescent="0.3">
      <c r="B170" s="220"/>
      <c r="C170" s="220"/>
      <c r="D170" s="251"/>
      <c r="E170" s="251"/>
      <c r="F170" s="251"/>
      <c r="G170" s="251"/>
      <c r="H170" s="246"/>
      <c r="I170" s="260"/>
      <c r="J170" s="260"/>
      <c r="K170" s="260"/>
      <c r="L170" s="260"/>
      <c r="M170" s="231"/>
      <c r="N170" s="271"/>
      <c r="O170" s="231"/>
      <c r="P170" s="220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  <c r="AA170" s="226"/>
      <c r="AB170" s="226"/>
      <c r="AC170" s="226"/>
      <c r="AD170" s="226"/>
      <c r="AE170" s="226"/>
      <c r="AF170" s="226"/>
      <c r="AG170" s="226"/>
      <c r="AH170" s="226"/>
      <c r="AI170" s="226"/>
      <c r="AJ170" s="226"/>
      <c r="AK170" s="226"/>
      <c r="AL170" s="226"/>
      <c r="AM170" s="226"/>
      <c r="AN170" s="226"/>
      <c r="AO170" s="226"/>
      <c r="AP170" s="226"/>
      <c r="AQ170" s="226"/>
      <c r="AR170" s="226"/>
      <c r="AS170" s="226"/>
      <c r="AT170" s="226"/>
      <c r="AU170" s="226"/>
      <c r="AV170" s="226"/>
      <c r="AW170" s="226"/>
      <c r="AX170" s="226"/>
      <c r="AY170" s="226"/>
      <c r="AZ170" s="226"/>
      <c r="BA170" s="226"/>
      <c r="BB170" s="226"/>
      <c r="BC170" s="226"/>
      <c r="BD170" s="226"/>
      <c r="BE170" s="226"/>
      <c r="BF170" s="226"/>
      <c r="BG170" s="226"/>
      <c r="BH170"/>
    </row>
    <row r="171" spans="2:60" ht="15" customHeight="1" x14ac:dyDescent="0.3">
      <c r="B171" s="220"/>
      <c r="C171" s="220"/>
      <c r="D171" s="251"/>
      <c r="E171" s="251"/>
      <c r="F171" s="251"/>
      <c r="G171" s="251"/>
      <c r="H171" s="246"/>
      <c r="I171" s="260"/>
      <c r="J171" s="260"/>
      <c r="K171" s="260"/>
      <c r="L171" s="260"/>
      <c r="M171" s="231"/>
      <c r="N171" s="271"/>
      <c r="O171" s="231"/>
      <c r="P171" s="220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  <c r="AA171" s="226"/>
      <c r="AB171" s="226"/>
      <c r="AC171" s="226"/>
      <c r="AD171" s="226"/>
      <c r="AE171" s="226"/>
      <c r="AF171" s="226"/>
      <c r="AG171" s="226"/>
      <c r="AH171" s="226"/>
      <c r="AI171" s="226"/>
      <c r="AJ171" s="226"/>
      <c r="AK171" s="226"/>
      <c r="AL171" s="226"/>
      <c r="AM171" s="226"/>
      <c r="AN171" s="226"/>
      <c r="AO171" s="226"/>
      <c r="AP171" s="226"/>
      <c r="AQ171" s="226"/>
      <c r="AR171" s="226"/>
      <c r="AS171" s="226"/>
      <c r="AT171" s="226"/>
      <c r="AU171" s="226"/>
      <c r="AV171" s="226"/>
      <c r="AW171" s="226"/>
      <c r="AX171" s="226"/>
      <c r="AY171" s="226"/>
      <c r="AZ171" s="226"/>
      <c r="BA171" s="226"/>
      <c r="BB171" s="226"/>
      <c r="BC171" s="226"/>
      <c r="BD171" s="226"/>
      <c r="BE171" s="226"/>
      <c r="BF171" s="226"/>
      <c r="BG171" s="226"/>
      <c r="BH171"/>
    </row>
    <row r="172" spans="2:60" ht="24" customHeight="1" x14ac:dyDescent="0.3">
      <c r="B172" s="220"/>
      <c r="C172" s="220"/>
      <c r="D172" s="251"/>
      <c r="E172" s="251"/>
      <c r="F172" s="251"/>
      <c r="G172" s="251"/>
      <c r="H172" s="246"/>
      <c r="I172" s="260"/>
      <c r="J172" s="260"/>
      <c r="K172" s="260"/>
      <c r="L172" s="260"/>
      <c r="M172" s="231"/>
      <c r="N172" s="271"/>
      <c r="O172" s="231"/>
      <c r="P172" s="220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  <c r="AA172" s="226"/>
      <c r="AB172" s="226"/>
      <c r="AC172" s="226"/>
      <c r="AD172" s="226"/>
      <c r="AE172" s="226"/>
      <c r="AF172" s="226"/>
      <c r="AG172" s="226"/>
      <c r="AH172" s="226"/>
      <c r="AI172" s="226"/>
      <c r="AJ172" s="226"/>
      <c r="AK172" s="226"/>
      <c r="AL172" s="226"/>
      <c r="AM172" s="226"/>
      <c r="AN172" s="226"/>
      <c r="AO172" s="226"/>
      <c r="AP172" s="226"/>
      <c r="AQ172" s="226"/>
      <c r="AR172" s="226"/>
      <c r="AS172" s="226"/>
      <c r="AT172" s="226"/>
      <c r="AU172" s="226"/>
      <c r="AV172" s="226"/>
      <c r="AW172" s="226"/>
      <c r="AX172" s="226"/>
      <c r="AY172" s="226"/>
      <c r="AZ172" s="226"/>
      <c r="BA172" s="226"/>
      <c r="BB172" s="226"/>
      <c r="BC172" s="226"/>
      <c r="BD172" s="226"/>
      <c r="BE172" s="226"/>
      <c r="BF172" s="226"/>
      <c r="BG172" s="226"/>
      <c r="BH172"/>
    </row>
    <row r="173" spans="2:60" s="244" customFormat="1" ht="15" customHeight="1" x14ac:dyDescent="0.3">
      <c r="B173" s="220"/>
      <c r="C173" s="220"/>
      <c r="D173" s="251"/>
      <c r="E173" s="251"/>
      <c r="F173" s="251"/>
      <c r="G173" s="251"/>
      <c r="H173" s="246"/>
      <c r="I173" s="260"/>
      <c r="J173" s="260"/>
      <c r="K173" s="260"/>
      <c r="L173" s="260"/>
      <c r="M173" s="231"/>
      <c r="N173" s="271"/>
      <c r="O173" s="231"/>
      <c r="P173" s="220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  <c r="AA173" s="226"/>
      <c r="AB173" s="226"/>
      <c r="AC173" s="226"/>
      <c r="AD173" s="226"/>
      <c r="AE173" s="226"/>
      <c r="AF173" s="226"/>
      <c r="AG173" s="226"/>
      <c r="AH173" s="226"/>
      <c r="AI173" s="226"/>
      <c r="AJ173" s="226"/>
      <c r="AK173" s="226"/>
      <c r="AL173" s="226"/>
      <c r="AM173" s="226"/>
      <c r="AN173" s="226"/>
      <c r="AO173" s="226"/>
      <c r="AP173" s="226"/>
      <c r="AQ173" s="226"/>
      <c r="AR173" s="226"/>
      <c r="AS173" s="226"/>
      <c r="AT173" s="226"/>
      <c r="AU173" s="226"/>
      <c r="AV173" s="226"/>
      <c r="AW173" s="226"/>
      <c r="AX173" s="226"/>
      <c r="AY173" s="226"/>
      <c r="AZ173" s="226"/>
      <c r="BA173" s="226"/>
      <c r="BB173" s="226"/>
      <c r="BC173" s="226"/>
      <c r="BD173" s="226"/>
      <c r="BE173" s="226"/>
      <c r="BF173" s="226"/>
      <c r="BG173" s="226"/>
      <c r="BH173"/>
    </row>
    <row r="174" spans="2:60" s="244" customFormat="1" ht="15" customHeight="1" x14ac:dyDescent="0.3">
      <c r="B174" s="220"/>
      <c r="C174" s="220"/>
      <c r="D174" s="251"/>
      <c r="E174" s="251"/>
      <c r="F174" s="251"/>
      <c r="G174" s="251"/>
      <c r="H174" s="246"/>
      <c r="I174" s="260"/>
      <c r="J174" s="260"/>
      <c r="K174" s="260"/>
      <c r="L174" s="260"/>
      <c r="M174" s="231"/>
      <c r="N174" s="271"/>
      <c r="O174" s="231"/>
      <c r="P174" s="220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  <c r="AA174" s="226"/>
      <c r="AB174" s="226"/>
      <c r="AC174" s="226"/>
      <c r="AD174" s="226"/>
      <c r="AE174" s="226"/>
      <c r="AF174" s="226"/>
      <c r="AG174" s="226"/>
      <c r="AH174" s="226"/>
      <c r="AI174" s="226"/>
      <c r="AJ174" s="226"/>
      <c r="AK174" s="226"/>
      <c r="AL174" s="226"/>
      <c r="AM174" s="226"/>
      <c r="AN174" s="226"/>
      <c r="AO174" s="226"/>
      <c r="AP174" s="226"/>
      <c r="AQ174" s="226"/>
      <c r="AR174" s="226"/>
      <c r="AS174" s="226"/>
      <c r="AT174" s="226"/>
      <c r="AU174" s="226"/>
      <c r="AV174" s="226"/>
      <c r="AW174" s="226"/>
      <c r="AX174" s="226"/>
      <c r="AY174" s="226"/>
      <c r="AZ174" s="226"/>
      <c r="BA174" s="226"/>
      <c r="BB174" s="226"/>
      <c r="BC174" s="226"/>
      <c r="BD174" s="226"/>
      <c r="BE174" s="226"/>
      <c r="BF174" s="226"/>
      <c r="BG174" s="226"/>
      <c r="BH174"/>
    </row>
    <row r="175" spans="2:60" s="244" customFormat="1" ht="15" customHeight="1" x14ac:dyDescent="0.3">
      <c r="B175" s="220"/>
      <c r="C175" s="220"/>
      <c r="D175" s="251"/>
      <c r="E175" s="251"/>
      <c r="F175" s="251"/>
      <c r="G175" s="251"/>
      <c r="H175" s="246"/>
      <c r="I175" s="260"/>
      <c r="J175" s="260"/>
      <c r="K175" s="260"/>
      <c r="L175" s="260"/>
      <c r="M175" s="231"/>
      <c r="N175" s="271"/>
      <c r="O175" s="231"/>
      <c r="P175" s="220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  <c r="AA175" s="226"/>
      <c r="AB175" s="226"/>
      <c r="AC175" s="226"/>
      <c r="AD175" s="226"/>
      <c r="AE175" s="226"/>
      <c r="AF175" s="226"/>
      <c r="AG175" s="226"/>
      <c r="AH175" s="226"/>
      <c r="AI175" s="226"/>
      <c r="AJ175" s="226"/>
      <c r="AK175" s="226"/>
      <c r="AL175" s="226"/>
      <c r="AM175" s="226"/>
      <c r="AN175" s="226"/>
      <c r="AO175" s="226"/>
      <c r="AP175" s="226"/>
      <c r="AQ175" s="226"/>
      <c r="AR175" s="226"/>
      <c r="AS175" s="226"/>
      <c r="AT175" s="226"/>
      <c r="AU175" s="226"/>
      <c r="AV175" s="226"/>
      <c r="AW175" s="226"/>
      <c r="AX175" s="226"/>
      <c r="AY175" s="226"/>
      <c r="AZ175" s="226"/>
      <c r="BA175" s="226"/>
      <c r="BB175" s="226"/>
      <c r="BC175" s="226"/>
      <c r="BD175" s="226"/>
      <c r="BE175" s="226"/>
      <c r="BF175" s="226"/>
      <c r="BG175" s="226"/>
      <c r="BH175"/>
    </row>
    <row r="176" spans="2:60" s="244" customFormat="1" ht="15" customHeight="1" x14ac:dyDescent="0.3">
      <c r="B176" s="220"/>
      <c r="C176" s="220"/>
      <c r="D176" s="251"/>
      <c r="E176" s="251"/>
      <c r="F176" s="251"/>
      <c r="G176" s="251"/>
      <c r="H176" s="246"/>
      <c r="I176" s="260"/>
      <c r="J176" s="260"/>
      <c r="K176" s="260"/>
      <c r="L176" s="260"/>
      <c r="M176" s="231"/>
      <c r="N176" s="271"/>
      <c r="O176" s="231"/>
      <c r="P176" s="220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  <c r="AA176" s="226"/>
      <c r="AB176" s="226"/>
      <c r="AC176" s="226"/>
      <c r="AD176" s="226"/>
      <c r="AE176" s="226"/>
      <c r="AF176" s="226"/>
      <c r="AG176" s="226"/>
      <c r="AH176" s="226"/>
      <c r="AI176" s="226"/>
      <c r="AJ176" s="226"/>
      <c r="AK176" s="226"/>
      <c r="AL176" s="226"/>
      <c r="AM176" s="226"/>
      <c r="AN176" s="226"/>
      <c r="AO176" s="226"/>
      <c r="AP176" s="226"/>
      <c r="AQ176" s="226"/>
      <c r="AR176" s="226"/>
      <c r="AS176" s="226"/>
      <c r="AT176" s="226"/>
      <c r="AU176" s="226"/>
      <c r="AV176" s="226"/>
      <c r="AW176" s="226"/>
      <c r="AX176" s="226"/>
      <c r="AY176" s="226"/>
      <c r="AZ176" s="226"/>
      <c r="BA176" s="226"/>
      <c r="BB176" s="226"/>
      <c r="BC176" s="226"/>
      <c r="BD176" s="226"/>
      <c r="BE176" s="226"/>
      <c r="BF176" s="226"/>
      <c r="BG176" s="226"/>
      <c r="BH176"/>
    </row>
    <row r="177" spans="2:60" x14ac:dyDescent="0.3">
      <c r="B177" s="220"/>
      <c r="C177" s="220"/>
      <c r="D177" s="251"/>
      <c r="E177" s="251"/>
      <c r="F177" s="251"/>
      <c r="G177" s="251"/>
      <c r="H177" s="246"/>
      <c r="I177" s="260"/>
      <c r="J177" s="260"/>
      <c r="K177" s="260"/>
      <c r="L177" s="260"/>
      <c r="M177" s="231"/>
      <c r="N177" s="271"/>
      <c r="O177" s="231"/>
      <c r="P177" s="220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  <c r="AA177" s="226"/>
      <c r="AB177" s="226"/>
      <c r="AC177" s="226"/>
      <c r="AD177" s="226"/>
      <c r="AE177" s="226"/>
      <c r="AF177" s="226"/>
      <c r="AG177" s="226"/>
      <c r="AH177" s="226"/>
      <c r="AI177" s="226"/>
      <c r="AJ177" s="226"/>
      <c r="AK177" s="226"/>
      <c r="AL177" s="226"/>
      <c r="AM177" s="226"/>
      <c r="AN177" s="226"/>
      <c r="AO177" s="226"/>
      <c r="AP177" s="226"/>
      <c r="AQ177" s="226"/>
      <c r="AR177" s="226"/>
      <c r="AS177" s="226"/>
      <c r="AT177" s="226"/>
      <c r="AU177" s="226"/>
      <c r="AV177" s="226"/>
      <c r="AW177" s="226"/>
      <c r="AX177" s="226"/>
      <c r="AY177" s="226"/>
      <c r="AZ177" s="226"/>
      <c r="BA177" s="226"/>
      <c r="BB177" s="226"/>
      <c r="BC177" s="226"/>
      <c r="BD177" s="226"/>
      <c r="BE177" s="226"/>
      <c r="BF177" s="226"/>
      <c r="BG177" s="226"/>
      <c r="BH177"/>
    </row>
    <row r="178" spans="2:60" x14ac:dyDescent="0.3">
      <c r="B178" s="220"/>
      <c r="C178" s="220"/>
      <c r="D178" s="251"/>
      <c r="E178" s="251"/>
      <c r="F178" s="251"/>
      <c r="G178" s="251"/>
      <c r="H178" s="246"/>
      <c r="I178" s="260"/>
      <c r="J178" s="260"/>
      <c r="K178" s="260"/>
      <c r="L178" s="260"/>
      <c r="M178" s="231"/>
      <c r="N178" s="271"/>
      <c r="O178" s="231"/>
      <c r="P178" s="220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  <c r="AA178" s="226"/>
      <c r="AB178" s="226"/>
      <c r="AC178" s="226"/>
      <c r="AD178" s="226"/>
      <c r="AE178" s="226"/>
      <c r="AF178" s="226"/>
      <c r="AG178" s="226"/>
      <c r="AH178" s="226"/>
      <c r="AI178" s="226"/>
      <c r="AJ178" s="226"/>
      <c r="AK178" s="226"/>
      <c r="AL178" s="226"/>
      <c r="AM178" s="226"/>
      <c r="AN178" s="226"/>
      <c r="AO178" s="226"/>
      <c r="AP178" s="226"/>
      <c r="AQ178" s="226"/>
      <c r="AR178" s="226"/>
      <c r="AS178" s="226"/>
      <c r="AT178" s="226"/>
      <c r="AU178" s="226"/>
      <c r="AV178" s="226"/>
      <c r="AW178" s="226"/>
      <c r="AX178" s="226"/>
      <c r="AY178" s="226"/>
      <c r="AZ178" s="226"/>
      <c r="BA178" s="226"/>
      <c r="BB178" s="226"/>
      <c r="BC178" s="226"/>
      <c r="BD178" s="226"/>
      <c r="BE178" s="226"/>
      <c r="BF178" s="226"/>
      <c r="BG178" s="226"/>
      <c r="BH178"/>
    </row>
    <row r="179" spans="2:60" x14ac:dyDescent="0.3">
      <c r="B179" s="220"/>
      <c r="C179" s="220"/>
      <c r="D179" s="251"/>
      <c r="E179" s="251"/>
      <c r="F179" s="251"/>
      <c r="G179" s="251"/>
      <c r="H179" s="246"/>
      <c r="I179" s="260"/>
      <c r="J179" s="260"/>
      <c r="K179" s="260"/>
      <c r="L179" s="260"/>
      <c r="M179" s="231"/>
      <c r="N179" s="271"/>
      <c r="O179" s="231"/>
      <c r="P179" s="220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  <c r="AA179" s="226"/>
      <c r="AB179" s="226"/>
      <c r="AC179" s="226"/>
      <c r="AD179" s="226"/>
      <c r="AE179" s="226"/>
      <c r="AF179" s="226"/>
      <c r="AG179" s="226"/>
      <c r="AH179" s="226"/>
      <c r="AI179" s="226"/>
      <c r="AJ179" s="226"/>
      <c r="AK179" s="226"/>
      <c r="AL179" s="226"/>
      <c r="AM179" s="226"/>
      <c r="AN179" s="226"/>
      <c r="AO179" s="226"/>
      <c r="AP179" s="226"/>
      <c r="AQ179" s="226"/>
      <c r="AR179" s="226"/>
      <c r="AS179" s="226"/>
      <c r="AT179" s="226"/>
      <c r="AU179" s="226"/>
      <c r="AV179" s="226"/>
      <c r="AW179" s="226"/>
      <c r="AX179" s="226"/>
      <c r="AY179" s="226"/>
      <c r="AZ179" s="226"/>
      <c r="BA179" s="226"/>
      <c r="BB179" s="226"/>
      <c r="BC179" s="226"/>
      <c r="BD179" s="226"/>
      <c r="BE179" s="226"/>
      <c r="BF179" s="226"/>
      <c r="BG179" s="226"/>
      <c r="BH179"/>
    </row>
    <row r="180" spans="2:60" x14ac:dyDescent="0.3">
      <c r="B180" s="220"/>
      <c r="C180" s="220"/>
      <c r="D180" s="251"/>
      <c r="E180" s="251"/>
      <c r="F180" s="251"/>
      <c r="G180" s="251"/>
      <c r="H180" s="246"/>
      <c r="I180" s="260"/>
      <c r="J180" s="260"/>
      <c r="K180" s="260"/>
      <c r="L180" s="260"/>
      <c r="M180" s="231"/>
      <c r="N180" s="271"/>
      <c r="O180" s="231"/>
      <c r="P180" s="220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  <c r="AA180" s="226"/>
      <c r="AB180" s="226"/>
      <c r="AC180" s="226"/>
      <c r="AD180" s="226"/>
      <c r="AE180" s="226"/>
      <c r="AF180" s="226"/>
      <c r="AG180" s="226"/>
      <c r="AH180" s="226"/>
      <c r="AI180" s="226"/>
      <c r="AJ180" s="226"/>
      <c r="AK180" s="226"/>
      <c r="AL180" s="226"/>
      <c r="AM180" s="226"/>
      <c r="AN180" s="226"/>
      <c r="AO180" s="226"/>
      <c r="AP180" s="226"/>
      <c r="AQ180" s="226"/>
      <c r="AR180" s="226"/>
      <c r="AS180" s="226"/>
      <c r="AT180" s="226"/>
      <c r="AU180" s="226"/>
      <c r="AV180" s="226"/>
      <c r="AW180" s="226"/>
      <c r="AX180" s="226"/>
      <c r="AY180" s="226"/>
      <c r="AZ180" s="226"/>
      <c r="BA180" s="226"/>
      <c r="BB180" s="226"/>
      <c r="BC180" s="226"/>
      <c r="BD180" s="226"/>
      <c r="BE180" s="226"/>
      <c r="BF180" s="226"/>
      <c r="BG180" s="226"/>
      <c r="BH180"/>
    </row>
    <row r="181" spans="2:60" x14ac:dyDescent="0.3">
      <c r="B181" s="220"/>
      <c r="C181" s="220"/>
      <c r="D181" s="251"/>
      <c r="E181" s="251"/>
      <c r="F181" s="251"/>
      <c r="G181" s="251"/>
      <c r="H181" s="246"/>
      <c r="I181" s="260"/>
      <c r="J181" s="260"/>
      <c r="K181" s="260"/>
      <c r="L181" s="260"/>
      <c r="M181" s="231"/>
      <c r="N181" s="271"/>
      <c r="O181" s="231"/>
      <c r="P181" s="220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  <c r="AA181" s="226"/>
      <c r="AB181" s="226"/>
      <c r="AC181" s="226"/>
      <c r="AD181" s="226"/>
      <c r="AE181" s="226"/>
      <c r="AF181" s="226"/>
      <c r="AG181" s="226"/>
      <c r="AH181" s="226"/>
      <c r="AI181" s="226"/>
      <c r="AJ181" s="226"/>
      <c r="AK181" s="226"/>
      <c r="AL181" s="226"/>
      <c r="AM181" s="226"/>
      <c r="AN181" s="226"/>
      <c r="AO181" s="226"/>
      <c r="AP181" s="226"/>
      <c r="AQ181" s="226"/>
      <c r="AR181" s="226"/>
      <c r="AS181" s="226"/>
      <c r="AT181" s="226"/>
      <c r="AU181" s="226"/>
      <c r="AV181" s="226"/>
      <c r="AW181" s="226"/>
      <c r="AX181" s="226"/>
      <c r="AY181" s="226"/>
      <c r="AZ181" s="226"/>
      <c r="BA181" s="226"/>
      <c r="BB181" s="226"/>
      <c r="BC181" s="226"/>
      <c r="BD181" s="226"/>
      <c r="BE181" s="226"/>
      <c r="BF181" s="226"/>
      <c r="BG181" s="226"/>
      <c r="BH181"/>
    </row>
    <row r="182" spans="2:60" x14ac:dyDescent="0.3">
      <c r="B182" s="220"/>
      <c r="C182" s="220"/>
      <c r="D182" s="251"/>
      <c r="E182" s="251"/>
      <c r="F182" s="251"/>
      <c r="G182" s="251"/>
      <c r="H182" s="246"/>
      <c r="I182" s="260"/>
      <c r="J182" s="260"/>
      <c r="K182" s="260"/>
      <c r="L182" s="260"/>
      <c r="M182" s="231"/>
      <c r="N182" s="271"/>
      <c r="O182" s="231"/>
      <c r="P182" s="220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  <c r="AA182" s="226"/>
      <c r="AB182" s="226"/>
      <c r="AC182" s="226"/>
      <c r="AD182" s="226"/>
      <c r="AE182" s="226"/>
      <c r="AF182" s="226"/>
      <c r="AG182" s="226"/>
      <c r="AH182" s="226"/>
      <c r="AI182" s="226"/>
      <c r="AJ182" s="226"/>
      <c r="AK182" s="226"/>
      <c r="AL182" s="226"/>
      <c r="AM182" s="226"/>
      <c r="AN182" s="226"/>
      <c r="AO182" s="226"/>
      <c r="AP182" s="226"/>
      <c r="AQ182" s="226"/>
      <c r="AR182" s="226"/>
      <c r="AS182" s="226"/>
      <c r="AT182" s="226"/>
      <c r="AU182" s="226"/>
      <c r="AV182" s="226"/>
      <c r="AW182" s="226"/>
      <c r="AX182" s="226"/>
      <c r="AY182" s="226"/>
      <c r="AZ182" s="226"/>
      <c r="BA182" s="226"/>
      <c r="BB182" s="226"/>
      <c r="BC182" s="226"/>
      <c r="BD182" s="226"/>
      <c r="BE182" s="226"/>
      <c r="BF182" s="226"/>
      <c r="BG182" s="226"/>
      <c r="BH182"/>
    </row>
    <row r="183" spans="2:60" x14ac:dyDescent="0.3">
      <c r="B183" s="220"/>
      <c r="C183" s="220"/>
      <c r="D183" s="251"/>
      <c r="E183" s="251"/>
      <c r="F183" s="251"/>
      <c r="G183" s="251"/>
      <c r="H183" s="246"/>
      <c r="I183" s="260"/>
      <c r="J183" s="260"/>
      <c r="K183" s="260"/>
      <c r="L183" s="260"/>
      <c r="M183" s="231"/>
      <c r="N183" s="271"/>
      <c r="O183" s="231"/>
      <c r="P183" s="220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  <c r="AA183" s="226"/>
      <c r="AB183" s="226"/>
      <c r="AC183" s="226"/>
      <c r="AD183" s="226"/>
      <c r="AE183" s="226"/>
      <c r="AF183" s="226"/>
      <c r="AG183" s="226"/>
      <c r="AH183" s="226"/>
      <c r="AI183" s="226"/>
      <c r="AJ183" s="226"/>
      <c r="AK183" s="226"/>
      <c r="AL183" s="226"/>
      <c r="AM183" s="226"/>
      <c r="AN183" s="226"/>
      <c r="AO183" s="226"/>
      <c r="AP183" s="226"/>
      <c r="AQ183" s="226"/>
      <c r="AR183" s="226"/>
      <c r="AS183" s="226"/>
      <c r="AT183" s="226"/>
      <c r="AU183" s="226"/>
      <c r="AV183" s="226"/>
      <c r="AW183" s="226"/>
      <c r="AX183" s="226"/>
      <c r="AY183" s="226"/>
      <c r="AZ183" s="226"/>
      <c r="BA183" s="226"/>
      <c r="BB183" s="226"/>
      <c r="BC183" s="226"/>
      <c r="BD183" s="226"/>
      <c r="BE183" s="226"/>
      <c r="BF183" s="226"/>
      <c r="BG183" s="226"/>
      <c r="BH183"/>
    </row>
    <row r="184" spans="2:60" x14ac:dyDescent="0.3">
      <c r="B184" s="220"/>
      <c r="C184" s="220"/>
      <c r="D184" s="251"/>
      <c r="E184" s="251"/>
      <c r="F184" s="251"/>
      <c r="G184" s="251"/>
      <c r="H184" s="246"/>
      <c r="I184" s="260"/>
      <c r="J184" s="260"/>
      <c r="K184" s="260"/>
      <c r="L184" s="260"/>
      <c r="M184" s="231"/>
      <c r="N184" s="271"/>
      <c r="O184" s="231"/>
      <c r="P184" s="220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  <c r="AA184" s="226"/>
      <c r="AB184" s="226"/>
      <c r="AC184" s="226"/>
      <c r="AD184" s="226"/>
      <c r="AE184" s="226"/>
      <c r="AF184" s="226"/>
      <c r="AG184" s="226"/>
      <c r="AH184" s="226"/>
      <c r="AI184" s="226"/>
      <c r="AJ184" s="226"/>
      <c r="AK184" s="226"/>
      <c r="AL184" s="226"/>
      <c r="AM184" s="226"/>
      <c r="AN184" s="226"/>
      <c r="AO184" s="226"/>
      <c r="AP184" s="226"/>
      <c r="AQ184" s="226"/>
      <c r="AR184" s="226"/>
      <c r="AS184" s="226"/>
      <c r="AT184" s="226"/>
      <c r="AU184" s="226"/>
      <c r="AV184" s="226"/>
      <c r="AW184" s="226"/>
      <c r="AX184" s="226"/>
      <c r="AY184" s="226"/>
      <c r="AZ184" s="226"/>
      <c r="BA184" s="226"/>
      <c r="BB184" s="226"/>
      <c r="BC184" s="226"/>
      <c r="BD184" s="226"/>
      <c r="BE184" s="226"/>
      <c r="BF184" s="226"/>
      <c r="BG184" s="226"/>
      <c r="BH184"/>
    </row>
    <row r="185" spans="2:60" x14ac:dyDescent="0.3">
      <c r="B185" s="220"/>
      <c r="C185" s="220"/>
      <c r="D185" s="251"/>
      <c r="E185" s="251"/>
      <c r="F185" s="251"/>
      <c r="G185" s="251"/>
      <c r="H185" s="246"/>
      <c r="I185" s="260"/>
      <c r="J185" s="260"/>
      <c r="K185" s="260"/>
      <c r="L185" s="260"/>
      <c r="M185" s="231"/>
      <c r="N185" s="271"/>
      <c r="O185" s="231"/>
      <c r="P185" s="220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  <c r="AA185" s="226"/>
      <c r="AB185" s="226"/>
      <c r="AC185" s="226"/>
      <c r="AD185" s="226"/>
      <c r="AE185" s="226"/>
      <c r="AF185" s="226"/>
      <c r="AG185" s="226"/>
      <c r="AH185" s="226"/>
      <c r="AI185" s="226"/>
      <c r="AJ185" s="226"/>
      <c r="AK185" s="226"/>
      <c r="AL185" s="226"/>
      <c r="AM185" s="226"/>
      <c r="AN185" s="226"/>
      <c r="AO185" s="226"/>
      <c r="AP185" s="226"/>
      <c r="AQ185" s="226"/>
      <c r="AR185" s="226"/>
      <c r="AS185" s="226"/>
      <c r="AT185" s="226"/>
      <c r="AU185" s="226"/>
      <c r="AV185" s="226"/>
      <c r="AW185" s="226"/>
      <c r="AX185" s="226"/>
      <c r="AY185" s="226"/>
      <c r="AZ185" s="226"/>
      <c r="BA185" s="226"/>
      <c r="BB185" s="226"/>
      <c r="BC185" s="226"/>
      <c r="BD185" s="226"/>
      <c r="BE185" s="226"/>
      <c r="BF185" s="226"/>
      <c r="BG185" s="226"/>
      <c r="BH185"/>
    </row>
    <row r="186" spans="2:60" x14ac:dyDescent="0.3">
      <c r="B186" s="220"/>
      <c r="C186" s="220"/>
      <c r="D186" s="251"/>
      <c r="E186" s="251"/>
      <c r="F186" s="251"/>
      <c r="G186" s="251"/>
      <c r="H186" s="246"/>
      <c r="I186" s="260"/>
      <c r="J186" s="260"/>
      <c r="K186" s="260"/>
      <c r="L186" s="260"/>
      <c r="M186" s="231"/>
      <c r="N186" s="271"/>
      <c r="O186" s="231"/>
      <c r="P186" s="220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  <c r="AA186" s="226"/>
      <c r="AB186" s="226"/>
      <c r="AC186" s="226"/>
      <c r="AD186" s="226"/>
      <c r="AE186" s="226"/>
      <c r="AF186" s="226"/>
      <c r="AG186" s="226"/>
      <c r="AH186" s="226"/>
      <c r="AI186" s="226"/>
      <c r="AJ186" s="226"/>
      <c r="AK186" s="226"/>
      <c r="AL186" s="226"/>
      <c r="AM186" s="226"/>
      <c r="AN186" s="226"/>
      <c r="AO186" s="226"/>
      <c r="AP186" s="226"/>
      <c r="AQ186" s="226"/>
      <c r="AR186" s="226"/>
      <c r="AS186" s="226"/>
      <c r="AT186" s="226"/>
      <c r="AU186" s="226"/>
      <c r="AV186" s="226"/>
      <c r="AW186" s="226"/>
      <c r="AX186" s="226"/>
      <c r="AY186" s="226"/>
      <c r="AZ186" s="226"/>
      <c r="BA186" s="226"/>
      <c r="BB186" s="226"/>
      <c r="BC186" s="226"/>
      <c r="BD186" s="226"/>
      <c r="BE186" s="226"/>
      <c r="BF186" s="226"/>
      <c r="BG186" s="226"/>
      <c r="BH186"/>
    </row>
    <row r="187" spans="2:60" x14ac:dyDescent="0.3">
      <c r="B187" s="220"/>
      <c r="C187" s="220"/>
      <c r="D187" s="251"/>
      <c r="E187" s="251"/>
      <c r="F187" s="251"/>
      <c r="G187" s="251"/>
      <c r="H187" s="246"/>
      <c r="I187" s="260"/>
      <c r="J187" s="260"/>
      <c r="K187" s="260"/>
      <c r="L187" s="260"/>
      <c r="M187" s="231"/>
      <c r="N187" s="271"/>
      <c r="O187" s="231"/>
      <c r="P187" s="220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  <c r="AA187" s="226"/>
      <c r="AB187" s="226"/>
      <c r="AC187" s="226"/>
      <c r="AD187" s="226"/>
      <c r="AE187" s="226"/>
      <c r="AF187" s="226"/>
      <c r="AG187" s="226"/>
      <c r="AH187" s="226"/>
      <c r="AI187" s="226"/>
      <c r="AJ187" s="226"/>
      <c r="AK187" s="226"/>
      <c r="AL187" s="226"/>
      <c r="AM187" s="226"/>
      <c r="AN187" s="226"/>
      <c r="AO187" s="226"/>
      <c r="AP187" s="226"/>
      <c r="AQ187" s="226"/>
      <c r="AR187" s="226"/>
      <c r="AS187" s="226"/>
      <c r="AT187" s="226"/>
      <c r="AU187" s="226"/>
      <c r="AV187" s="226"/>
      <c r="AW187" s="226"/>
      <c r="AX187" s="226"/>
      <c r="AY187" s="226"/>
      <c r="AZ187" s="226"/>
      <c r="BA187" s="226"/>
      <c r="BB187" s="226"/>
      <c r="BC187" s="226"/>
      <c r="BD187" s="226"/>
      <c r="BE187" s="226"/>
      <c r="BF187" s="226"/>
      <c r="BG187" s="226"/>
      <c r="BH187"/>
    </row>
    <row r="188" spans="2:60" x14ac:dyDescent="0.3">
      <c r="B188" s="220"/>
      <c r="C188" s="220"/>
      <c r="D188" s="251"/>
      <c r="E188" s="251"/>
      <c r="F188" s="251"/>
      <c r="G188" s="251"/>
      <c r="H188" s="246"/>
      <c r="I188" s="260"/>
      <c r="J188" s="260"/>
      <c r="K188" s="260"/>
      <c r="L188" s="260"/>
      <c r="M188" s="231"/>
      <c r="N188" s="271"/>
      <c r="O188" s="231"/>
      <c r="P188" s="220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  <c r="AA188" s="226"/>
      <c r="AB188" s="226"/>
      <c r="AC188" s="226"/>
      <c r="AD188" s="226"/>
      <c r="AE188" s="226"/>
      <c r="AF188" s="226"/>
      <c r="AG188" s="226"/>
      <c r="AH188" s="226"/>
      <c r="AI188" s="226"/>
      <c r="AJ188" s="226"/>
      <c r="AK188" s="226"/>
      <c r="AL188" s="226"/>
      <c r="AM188" s="226"/>
      <c r="AN188" s="226"/>
      <c r="AO188" s="226"/>
      <c r="AP188" s="226"/>
      <c r="AQ188" s="226"/>
      <c r="AR188" s="226"/>
      <c r="AS188" s="226"/>
      <c r="AT188" s="226"/>
      <c r="AU188" s="226"/>
      <c r="AV188" s="226"/>
      <c r="AW188" s="226"/>
      <c r="AX188" s="226"/>
      <c r="AY188" s="226"/>
      <c r="AZ188" s="226"/>
      <c r="BA188" s="226"/>
      <c r="BB188" s="226"/>
      <c r="BC188" s="226"/>
      <c r="BD188" s="226"/>
      <c r="BE188" s="226"/>
      <c r="BF188" s="226"/>
      <c r="BG188" s="226"/>
      <c r="BH188"/>
    </row>
    <row r="189" spans="2:60" x14ac:dyDescent="0.3">
      <c r="B189" s="220"/>
      <c r="C189" s="220"/>
      <c r="D189" s="251"/>
      <c r="E189" s="251"/>
      <c r="F189" s="251"/>
      <c r="G189" s="251"/>
      <c r="H189" s="246"/>
      <c r="I189" s="260"/>
      <c r="J189" s="260"/>
      <c r="K189" s="260"/>
      <c r="L189" s="260"/>
      <c r="M189" s="231"/>
      <c r="N189" s="271"/>
      <c r="O189" s="231"/>
      <c r="P189" s="220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  <c r="AA189" s="226"/>
      <c r="AB189" s="226"/>
      <c r="AC189" s="226"/>
      <c r="AD189" s="226"/>
      <c r="AE189" s="226"/>
      <c r="AF189" s="226"/>
      <c r="AG189" s="226"/>
      <c r="AH189" s="226"/>
      <c r="AI189" s="226"/>
      <c r="AJ189" s="226"/>
      <c r="AK189" s="226"/>
      <c r="AL189" s="226"/>
      <c r="AM189" s="226"/>
      <c r="AN189" s="226"/>
      <c r="AO189" s="226"/>
      <c r="AP189" s="226"/>
      <c r="AQ189" s="226"/>
      <c r="AR189" s="226"/>
      <c r="AS189" s="226"/>
      <c r="AT189" s="226"/>
      <c r="AU189" s="226"/>
      <c r="AV189" s="226"/>
      <c r="AW189" s="226"/>
      <c r="AX189" s="226"/>
      <c r="AY189" s="226"/>
      <c r="AZ189" s="226"/>
      <c r="BA189" s="226"/>
      <c r="BB189" s="226"/>
      <c r="BC189" s="226"/>
      <c r="BD189" s="226"/>
      <c r="BE189" s="226"/>
      <c r="BF189" s="226"/>
      <c r="BG189" s="226"/>
      <c r="BH189"/>
    </row>
    <row r="190" spans="2:60" x14ac:dyDescent="0.3">
      <c r="B190" s="220"/>
      <c r="C190" s="220"/>
      <c r="D190" s="251"/>
      <c r="E190" s="251"/>
      <c r="F190" s="251"/>
      <c r="G190" s="251"/>
      <c r="H190" s="246"/>
      <c r="I190" s="260"/>
      <c r="J190" s="260"/>
      <c r="K190" s="260"/>
      <c r="L190" s="260"/>
      <c r="M190" s="231"/>
      <c r="N190" s="271"/>
      <c r="O190" s="231"/>
      <c r="P190" s="220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  <c r="AA190" s="226"/>
      <c r="AB190" s="226"/>
      <c r="AC190" s="226"/>
      <c r="AD190" s="226"/>
      <c r="AE190" s="226"/>
      <c r="AF190" s="226"/>
      <c r="AG190" s="226"/>
      <c r="AH190" s="226"/>
      <c r="AI190" s="226"/>
      <c r="AJ190" s="226"/>
      <c r="AK190" s="226"/>
      <c r="AL190" s="226"/>
      <c r="AM190" s="226"/>
      <c r="AN190" s="226"/>
      <c r="AO190" s="226"/>
      <c r="AP190" s="226"/>
      <c r="AQ190" s="226"/>
      <c r="AR190" s="226"/>
      <c r="AS190" s="226"/>
      <c r="AT190" s="226"/>
      <c r="AU190" s="226"/>
      <c r="AV190" s="226"/>
      <c r="AW190" s="226"/>
      <c r="AX190" s="226"/>
      <c r="AY190" s="226"/>
      <c r="AZ190" s="226"/>
      <c r="BA190" s="226"/>
      <c r="BB190" s="226"/>
      <c r="BC190" s="226"/>
      <c r="BD190" s="226"/>
      <c r="BE190" s="226"/>
      <c r="BF190" s="226"/>
      <c r="BG190" s="226"/>
      <c r="BH190"/>
    </row>
    <row r="191" spans="2:60" x14ac:dyDescent="0.3">
      <c r="B191" s="220"/>
      <c r="C191" s="220"/>
      <c r="D191" s="251"/>
      <c r="E191" s="251"/>
      <c r="F191" s="251"/>
      <c r="G191" s="251"/>
      <c r="H191" s="246"/>
      <c r="I191" s="260"/>
      <c r="J191" s="260"/>
      <c r="K191" s="260"/>
      <c r="L191" s="260"/>
      <c r="M191" s="231"/>
      <c r="N191" s="271"/>
      <c r="O191" s="231"/>
      <c r="P191" s="220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  <c r="AA191" s="226"/>
      <c r="AB191" s="226"/>
      <c r="AC191" s="226"/>
      <c r="AD191" s="226"/>
      <c r="AE191" s="226"/>
      <c r="AF191" s="226"/>
      <c r="AG191" s="226"/>
      <c r="AH191" s="226"/>
      <c r="AI191" s="226"/>
      <c r="AJ191" s="226"/>
      <c r="AK191" s="226"/>
      <c r="AL191" s="226"/>
      <c r="AM191" s="226"/>
      <c r="AN191" s="226"/>
      <c r="AO191" s="226"/>
      <c r="AP191" s="226"/>
      <c r="AQ191" s="226"/>
      <c r="AR191" s="226"/>
      <c r="AS191" s="226"/>
      <c r="AT191" s="226"/>
      <c r="AU191" s="226"/>
      <c r="AV191" s="226"/>
      <c r="AW191" s="226"/>
      <c r="AX191" s="226"/>
      <c r="AY191" s="226"/>
      <c r="AZ191" s="226"/>
      <c r="BA191" s="226"/>
      <c r="BB191" s="226"/>
      <c r="BC191" s="226"/>
      <c r="BD191" s="226"/>
      <c r="BE191" s="226"/>
      <c r="BF191" s="226"/>
      <c r="BG191" s="226"/>
      <c r="BH191"/>
    </row>
    <row r="192" spans="2:60" x14ac:dyDescent="0.3">
      <c r="B192" s="220"/>
      <c r="C192" s="220"/>
      <c r="D192" s="251"/>
      <c r="E192" s="251"/>
      <c r="F192" s="251"/>
      <c r="G192" s="251"/>
      <c r="H192" s="246"/>
      <c r="I192" s="260"/>
      <c r="J192" s="260"/>
      <c r="K192" s="260"/>
      <c r="L192" s="260"/>
      <c r="M192" s="231"/>
      <c r="N192" s="271"/>
      <c r="O192" s="231"/>
      <c r="P192" s="220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  <c r="AA192" s="226"/>
      <c r="AB192" s="226"/>
      <c r="AC192" s="226"/>
      <c r="AD192" s="226"/>
      <c r="AE192" s="226"/>
      <c r="AF192" s="226"/>
      <c r="AG192" s="226"/>
      <c r="AH192" s="226"/>
      <c r="AI192" s="226"/>
      <c r="AJ192" s="226"/>
      <c r="AK192" s="226"/>
      <c r="AL192" s="226"/>
      <c r="AM192" s="226"/>
      <c r="AN192" s="226"/>
      <c r="AO192" s="226"/>
      <c r="AP192" s="226"/>
      <c r="AQ192" s="226"/>
      <c r="AR192" s="226"/>
      <c r="AS192" s="226"/>
      <c r="AT192" s="226"/>
      <c r="AU192" s="226"/>
      <c r="AV192" s="226"/>
      <c r="AW192" s="226"/>
      <c r="AX192" s="226"/>
      <c r="AY192" s="226"/>
      <c r="AZ192" s="226"/>
      <c r="BA192" s="226"/>
      <c r="BB192" s="226"/>
      <c r="BC192" s="226"/>
      <c r="BD192" s="226"/>
      <c r="BE192" s="226"/>
      <c r="BF192" s="226"/>
      <c r="BG192" s="226"/>
      <c r="BH192"/>
    </row>
    <row r="193" spans="2:60" x14ac:dyDescent="0.3">
      <c r="B193" s="220"/>
      <c r="C193" s="220"/>
      <c r="D193" s="251"/>
      <c r="E193" s="251"/>
      <c r="F193" s="251"/>
      <c r="G193" s="251"/>
      <c r="H193" s="246"/>
      <c r="I193" s="260"/>
      <c r="J193" s="260"/>
      <c r="K193" s="260"/>
      <c r="L193" s="260"/>
      <c r="M193" s="231"/>
      <c r="N193" s="271"/>
      <c r="O193" s="231"/>
      <c r="P193" s="220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  <c r="AA193" s="226"/>
      <c r="AB193" s="226"/>
      <c r="AC193" s="226"/>
      <c r="AD193" s="226"/>
      <c r="AE193" s="226"/>
      <c r="AF193" s="226"/>
      <c r="AG193" s="226"/>
      <c r="AH193" s="226"/>
      <c r="AI193" s="226"/>
      <c r="AJ193" s="226"/>
      <c r="AK193" s="226"/>
      <c r="AL193" s="226"/>
      <c r="AM193" s="226"/>
      <c r="AN193" s="226"/>
      <c r="AO193" s="226"/>
      <c r="AP193" s="226"/>
      <c r="AQ193" s="226"/>
      <c r="AR193" s="226"/>
      <c r="AS193" s="226"/>
      <c r="AT193" s="226"/>
      <c r="AU193" s="226"/>
      <c r="AV193" s="226"/>
      <c r="AW193" s="226"/>
      <c r="AX193" s="226"/>
      <c r="AY193" s="226"/>
      <c r="AZ193" s="226"/>
      <c r="BA193" s="226"/>
      <c r="BB193" s="226"/>
      <c r="BC193" s="226"/>
      <c r="BD193" s="226"/>
      <c r="BE193" s="226"/>
      <c r="BF193" s="226"/>
      <c r="BG193" s="226"/>
      <c r="BH193"/>
    </row>
    <row r="194" spans="2:60" x14ac:dyDescent="0.3">
      <c r="B194" s="220"/>
      <c r="C194" s="220"/>
      <c r="D194" s="251"/>
      <c r="E194" s="251"/>
      <c r="F194" s="251"/>
      <c r="G194" s="251"/>
      <c r="H194" s="246"/>
      <c r="I194" s="260"/>
      <c r="J194" s="260"/>
      <c r="K194" s="260"/>
      <c r="L194" s="260"/>
      <c r="M194" s="231"/>
      <c r="N194" s="271"/>
      <c r="O194" s="231"/>
      <c r="P194" s="220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  <c r="AA194" s="226"/>
      <c r="AB194" s="226"/>
      <c r="AC194" s="226"/>
      <c r="AD194" s="226"/>
      <c r="AE194" s="226"/>
      <c r="AF194" s="226"/>
      <c r="AG194" s="226"/>
      <c r="AH194" s="226"/>
      <c r="AI194" s="226"/>
      <c r="AJ194" s="226"/>
      <c r="AK194" s="226"/>
      <c r="AL194" s="226"/>
      <c r="AM194" s="226"/>
      <c r="AN194" s="226"/>
      <c r="AO194" s="226"/>
      <c r="AP194" s="226"/>
      <c r="AQ194" s="226"/>
      <c r="AR194" s="226"/>
      <c r="AS194" s="226"/>
      <c r="AT194" s="226"/>
      <c r="AU194" s="226"/>
      <c r="AV194" s="226"/>
      <c r="AW194" s="226"/>
      <c r="AX194" s="226"/>
      <c r="AY194" s="226"/>
      <c r="AZ194" s="226"/>
      <c r="BA194" s="226"/>
      <c r="BB194" s="226"/>
      <c r="BC194" s="226"/>
      <c r="BD194" s="226"/>
      <c r="BE194" s="226"/>
      <c r="BF194" s="226"/>
      <c r="BG194" s="226"/>
      <c r="BH194"/>
    </row>
    <row r="195" spans="2:60" x14ac:dyDescent="0.3">
      <c r="B195" s="220"/>
      <c r="C195" s="220"/>
      <c r="D195" s="251"/>
      <c r="E195" s="251"/>
      <c r="F195" s="251"/>
      <c r="G195" s="251"/>
      <c r="H195" s="246"/>
      <c r="I195" s="260"/>
      <c r="J195" s="260"/>
      <c r="K195" s="260"/>
      <c r="L195" s="260"/>
      <c r="M195" s="231"/>
      <c r="N195" s="271"/>
      <c r="O195" s="231"/>
      <c r="P195" s="220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  <c r="AA195" s="226"/>
      <c r="AB195" s="226"/>
      <c r="AC195" s="226"/>
      <c r="AD195" s="226"/>
      <c r="AE195" s="226"/>
      <c r="AF195" s="226"/>
      <c r="AG195" s="226"/>
      <c r="AH195" s="226"/>
      <c r="AI195" s="226"/>
      <c r="AJ195" s="226"/>
      <c r="AK195" s="226"/>
      <c r="AL195" s="226"/>
      <c r="AM195" s="226"/>
      <c r="AN195" s="226"/>
      <c r="AO195" s="226"/>
      <c r="AP195" s="226"/>
      <c r="AQ195" s="226"/>
      <c r="AR195" s="226"/>
      <c r="AS195" s="226"/>
      <c r="AT195" s="226"/>
      <c r="AU195" s="226"/>
      <c r="AV195" s="226"/>
      <c r="AW195" s="226"/>
      <c r="AX195" s="226"/>
      <c r="AY195" s="226"/>
      <c r="AZ195" s="226"/>
      <c r="BA195" s="226"/>
      <c r="BB195" s="226"/>
      <c r="BC195" s="226"/>
      <c r="BD195" s="226"/>
      <c r="BE195" s="226"/>
      <c r="BF195" s="226"/>
      <c r="BG195" s="226"/>
      <c r="BH195"/>
    </row>
    <row r="196" spans="2:60" x14ac:dyDescent="0.3">
      <c r="B196" s="220"/>
      <c r="C196" s="220"/>
      <c r="D196" s="251"/>
      <c r="E196" s="251"/>
      <c r="F196" s="251"/>
      <c r="G196" s="251"/>
      <c r="H196" s="246"/>
      <c r="I196" s="260"/>
      <c r="J196" s="260"/>
      <c r="K196" s="260"/>
      <c r="L196" s="260"/>
      <c r="M196" s="231"/>
      <c r="N196" s="271"/>
      <c r="O196" s="231"/>
      <c r="P196" s="220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  <c r="AA196" s="226"/>
      <c r="AB196" s="226"/>
      <c r="AC196" s="226"/>
      <c r="AD196" s="226"/>
      <c r="AE196" s="226"/>
      <c r="AF196" s="226"/>
      <c r="AG196" s="226"/>
      <c r="AH196" s="226"/>
      <c r="AI196" s="226"/>
      <c r="AJ196" s="226"/>
      <c r="AK196" s="226"/>
      <c r="AL196" s="226"/>
      <c r="AM196" s="226"/>
      <c r="AN196" s="226"/>
      <c r="AO196" s="226"/>
      <c r="AP196" s="226"/>
      <c r="AQ196" s="226"/>
      <c r="AR196" s="226"/>
      <c r="AS196" s="226"/>
      <c r="AT196" s="226"/>
      <c r="AU196" s="226"/>
      <c r="AV196" s="226"/>
      <c r="AW196" s="226"/>
      <c r="AX196" s="226"/>
      <c r="AY196" s="226"/>
      <c r="AZ196" s="226"/>
      <c r="BA196" s="226"/>
      <c r="BB196" s="226"/>
      <c r="BC196" s="226"/>
      <c r="BD196" s="226"/>
      <c r="BE196" s="226"/>
      <c r="BF196" s="226"/>
      <c r="BG196" s="226"/>
      <c r="BH196"/>
    </row>
    <row r="197" spans="2:60" x14ac:dyDescent="0.3">
      <c r="B197" s="220"/>
      <c r="C197" s="220"/>
      <c r="D197" s="251"/>
      <c r="E197" s="251"/>
      <c r="F197" s="251"/>
      <c r="G197" s="251"/>
      <c r="H197" s="246"/>
      <c r="I197" s="260"/>
      <c r="J197" s="260"/>
      <c r="K197" s="260"/>
      <c r="L197" s="260"/>
      <c r="M197" s="231"/>
      <c r="N197" s="271"/>
      <c r="O197" s="231"/>
      <c r="P197" s="220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  <c r="AA197" s="226"/>
      <c r="AB197" s="226"/>
      <c r="AC197" s="226"/>
      <c r="AD197" s="226"/>
      <c r="AE197" s="226"/>
      <c r="AF197" s="226"/>
      <c r="AG197" s="226"/>
      <c r="AH197" s="226"/>
      <c r="AI197" s="226"/>
      <c r="AJ197" s="226"/>
      <c r="AK197" s="226"/>
      <c r="AL197" s="226"/>
      <c r="AM197" s="226"/>
      <c r="AN197" s="226"/>
      <c r="AO197" s="226"/>
      <c r="AP197" s="226"/>
      <c r="AQ197" s="226"/>
      <c r="AR197" s="226"/>
      <c r="AS197" s="226"/>
      <c r="AT197" s="226"/>
      <c r="AU197" s="226"/>
      <c r="AV197" s="226"/>
      <c r="AW197" s="226"/>
      <c r="AX197" s="226"/>
      <c r="AY197" s="226"/>
      <c r="AZ197" s="226"/>
      <c r="BA197" s="226"/>
      <c r="BB197" s="226"/>
      <c r="BC197" s="226"/>
      <c r="BD197" s="226"/>
      <c r="BE197" s="226"/>
      <c r="BF197" s="226"/>
      <c r="BG197" s="226"/>
      <c r="BH197"/>
    </row>
    <row r="198" spans="2:60" x14ac:dyDescent="0.3">
      <c r="B198" s="220"/>
      <c r="C198" s="220"/>
      <c r="D198" s="251"/>
      <c r="E198" s="251"/>
      <c r="F198" s="251"/>
      <c r="G198" s="251"/>
      <c r="H198" s="246"/>
      <c r="I198" s="260"/>
      <c r="J198" s="260"/>
      <c r="K198" s="260"/>
      <c r="L198" s="260"/>
      <c r="M198" s="231"/>
      <c r="N198" s="271"/>
      <c r="O198" s="231"/>
      <c r="P198" s="220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  <c r="AA198" s="226"/>
      <c r="AB198" s="226"/>
      <c r="AC198" s="226"/>
      <c r="AD198" s="226"/>
      <c r="AE198" s="226"/>
      <c r="AF198" s="226"/>
      <c r="AG198" s="226"/>
      <c r="AH198" s="226"/>
      <c r="AI198" s="226"/>
      <c r="AJ198" s="226"/>
      <c r="AK198" s="226"/>
      <c r="AL198" s="226"/>
      <c r="AM198" s="226"/>
      <c r="AN198" s="226"/>
      <c r="AO198" s="226"/>
      <c r="AP198" s="226"/>
      <c r="AQ198" s="226"/>
      <c r="AR198" s="226"/>
      <c r="AS198" s="226"/>
      <c r="AT198" s="226"/>
      <c r="AU198" s="226"/>
      <c r="AV198" s="226"/>
      <c r="AW198" s="226"/>
      <c r="AX198" s="226"/>
      <c r="AY198" s="226"/>
      <c r="AZ198" s="226"/>
      <c r="BA198" s="226"/>
      <c r="BB198" s="226"/>
      <c r="BC198" s="226"/>
      <c r="BD198" s="226"/>
      <c r="BE198" s="226"/>
      <c r="BF198" s="226"/>
      <c r="BG198" s="226"/>
      <c r="BH198"/>
    </row>
    <row r="199" spans="2:60" x14ac:dyDescent="0.3">
      <c r="B199" s="220"/>
      <c r="C199" s="220"/>
      <c r="D199" s="251"/>
      <c r="E199" s="251"/>
      <c r="F199" s="251"/>
      <c r="G199" s="251"/>
      <c r="H199" s="246"/>
      <c r="I199" s="260"/>
      <c r="J199" s="260"/>
      <c r="K199" s="260"/>
      <c r="L199" s="260"/>
      <c r="M199" s="231"/>
      <c r="N199" s="271"/>
      <c r="O199" s="231"/>
      <c r="P199" s="220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  <c r="AA199" s="226"/>
      <c r="AB199" s="226"/>
      <c r="AC199" s="226"/>
      <c r="AD199" s="226"/>
      <c r="AE199" s="226"/>
      <c r="AF199" s="226"/>
      <c r="AG199" s="226"/>
      <c r="AH199" s="226"/>
      <c r="AI199" s="226"/>
      <c r="AJ199" s="226"/>
      <c r="AK199" s="226"/>
      <c r="AL199" s="226"/>
      <c r="AM199" s="226"/>
      <c r="AN199" s="226"/>
      <c r="AO199" s="226"/>
      <c r="AP199" s="226"/>
      <c r="AQ199" s="226"/>
      <c r="AR199" s="226"/>
      <c r="AS199" s="226"/>
      <c r="AT199" s="226"/>
      <c r="AU199" s="226"/>
      <c r="AV199" s="226"/>
      <c r="AW199" s="226"/>
      <c r="AX199" s="226"/>
      <c r="AY199" s="226"/>
      <c r="AZ199" s="226"/>
      <c r="BA199" s="226"/>
      <c r="BB199" s="226"/>
      <c r="BC199" s="226"/>
      <c r="BD199" s="226"/>
      <c r="BE199" s="226"/>
      <c r="BF199" s="226"/>
      <c r="BG199" s="226"/>
      <c r="BH199"/>
    </row>
    <row r="200" spans="2:60" x14ac:dyDescent="0.3">
      <c r="B200" s="220"/>
      <c r="C200" s="220"/>
      <c r="D200" s="251"/>
      <c r="E200" s="251"/>
      <c r="F200" s="251"/>
      <c r="G200" s="251"/>
      <c r="H200" s="246"/>
      <c r="I200" s="260"/>
      <c r="J200" s="260"/>
      <c r="K200" s="260"/>
      <c r="L200" s="260"/>
      <c r="M200" s="231"/>
      <c r="N200" s="271"/>
      <c r="O200" s="231"/>
      <c r="P200" s="220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  <c r="AA200" s="226"/>
      <c r="AB200" s="226"/>
      <c r="AC200" s="226"/>
      <c r="AD200" s="226"/>
      <c r="AE200" s="226"/>
      <c r="AF200" s="226"/>
      <c r="AG200" s="226"/>
      <c r="AH200" s="226"/>
      <c r="AI200" s="226"/>
      <c r="AJ200" s="226"/>
      <c r="AK200" s="226"/>
      <c r="AL200" s="226"/>
      <c r="AM200" s="226"/>
      <c r="AN200" s="226"/>
      <c r="AO200" s="226"/>
      <c r="AP200" s="226"/>
      <c r="AQ200" s="226"/>
      <c r="AR200" s="226"/>
      <c r="AS200" s="226"/>
      <c r="AT200" s="226"/>
      <c r="AU200" s="226"/>
      <c r="AV200" s="226"/>
      <c r="AW200" s="226"/>
      <c r="AX200" s="226"/>
      <c r="AY200" s="226"/>
      <c r="AZ200" s="226"/>
      <c r="BA200" s="226"/>
      <c r="BB200" s="226"/>
      <c r="BC200" s="226"/>
      <c r="BD200" s="226"/>
      <c r="BE200" s="226"/>
      <c r="BF200" s="226"/>
      <c r="BG200" s="226"/>
      <c r="BH200"/>
    </row>
    <row r="201" spans="2:60" x14ac:dyDescent="0.3">
      <c r="B201" s="220"/>
      <c r="C201" s="220"/>
      <c r="D201" s="251"/>
      <c r="E201" s="251"/>
      <c r="F201" s="251"/>
      <c r="G201" s="251"/>
      <c r="H201" s="246"/>
      <c r="I201" s="260"/>
      <c r="J201" s="260"/>
      <c r="K201" s="260"/>
      <c r="L201" s="260"/>
      <c r="M201" s="231"/>
      <c r="N201" s="271"/>
      <c r="O201" s="231"/>
      <c r="P201" s="220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  <c r="AA201" s="226"/>
      <c r="AB201" s="226"/>
      <c r="AC201" s="226"/>
      <c r="AD201" s="226"/>
      <c r="AE201" s="226"/>
      <c r="AF201" s="226"/>
      <c r="AG201" s="226"/>
      <c r="AH201" s="226"/>
      <c r="AI201" s="226"/>
      <c r="AJ201" s="226"/>
      <c r="AK201" s="226"/>
      <c r="AL201" s="226"/>
      <c r="AM201" s="226"/>
      <c r="AN201" s="226"/>
      <c r="AO201" s="226"/>
      <c r="AP201" s="226"/>
      <c r="AQ201" s="226"/>
      <c r="AR201" s="226"/>
      <c r="AS201" s="226"/>
      <c r="AT201" s="226"/>
      <c r="AU201" s="226"/>
      <c r="AV201" s="226"/>
      <c r="AW201" s="226"/>
      <c r="AX201" s="226"/>
      <c r="AY201" s="226"/>
      <c r="AZ201" s="226"/>
      <c r="BA201" s="226"/>
      <c r="BB201" s="226"/>
      <c r="BC201" s="226"/>
      <c r="BD201" s="226"/>
      <c r="BE201" s="226"/>
      <c r="BF201" s="226"/>
      <c r="BG201" s="226"/>
      <c r="BH201"/>
    </row>
    <row r="202" spans="2:60" x14ac:dyDescent="0.3">
      <c r="B202" s="220"/>
      <c r="C202" s="220"/>
      <c r="D202" s="251"/>
      <c r="E202" s="251"/>
      <c r="F202" s="251"/>
      <c r="G202" s="251"/>
      <c r="H202" s="246"/>
      <c r="I202" s="260"/>
      <c r="J202" s="260"/>
      <c r="K202" s="260"/>
      <c r="L202" s="260"/>
      <c r="M202" s="231"/>
      <c r="N202" s="271"/>
      <c r="O202" s="231"/>
      <c r="P202" s="220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  <c r="AA202" s="226"/>
      <c r="AB202" s="226"/>
      <c r="AC202" s="226"/>
      <c r="AD202" s="226"/>
      <c r="AE202" s="226"/>
      <c r="AF202" s="226"/>
      <c r="AG202" s="226"/>
      <c r="AH202" s="226"/>
      <c r="AI202" s="226"/>
      <c r="AJ202" s="226"/>
      <c r="AK202" s="226"/>
      <c r="AL202" s="226"/>
      <c r="AM202" s="226"/>
      <c r="AN202" s="226"/>
      <c r="AO202" s="226"/>
      <c r="AP202" s="226"/>
      <c r="AQ202" s="226"/>
      <c r="AR202" s="226"/>
      <c r="AS202" s="226"/>
      <c r="AT202" s="226"/>
      <c r="AU202" s="226"/>
      <c r="AV202" s="226"/>
      <c r="AW202" s="226"/>
      <c r="AX202" s="226"/>
      <c r="AY202" s="226"/>
      <c r="AZ202" s="226"/>
      <c r="BA202" s="226"/>
      <c r="BB202" s="226"/>
      <c r="BC202" s="226"/>
      <c r="BD202" s="226"/>
      <c r="BE202" s="226"/>
      <c r="BF202" s="226"/>
      <c r="BG202" s="226"/>
      <c r="BH202"/>
    </row>
    <row r="203" spans="2:60" x14ac:dyDescent="0.3">
      <c r="B203" s="220"/>
      <c r="C203" s="220"/>
      <c r="D203" s="251"/>
      <c r="E203" s="251"/>
      <c r="F203" s="251"/>
      <c r="G203" s="251"/>
      <c r="H203" s="246"/>
      <c r="I203" s="260"/>
      <c r="J203" s="260"/>
      <c r="K203" s="260"/>
      <c r="L203" s="260"/>
      <c r="M203" s="231"/>
      <c r="N203" s="271"/>
      <c r="O203" s="231"/>
      <c r="P203" s="220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  <c r="AA203" s="226"/>
      <c r="AB203" s="226"/>
      <c r="AC203" s="226"/>
      <c r="AD203" s="226"/>
      <c r="AE203" s="226"/>
      <c r="AF203" s="226"/>
      <c r="AG203" s="226"/>
      <c r="AH203" s="226"/>
      <c r="AI203" s="226"/>
      <c r="AJ203" s="226"/>
      <c r="AK203" s="226"/>
      <c r="AL203" s="226"/>
      <c r="AM203" s="226"/>
      <c r="AN203" s="226"/>
      <c r="AO203" s="226"/>
      <c r="AP203" s="226"/>
      <c r="AQ203" s="226"/>
      <c r="AR203" s="226"/>
      <c r="AS203" s="226"/>
      <c r="AT203" s="226"/>
      <c r="AU203" s="226"/>
      <c r="AV203" s="226"/>
      <c r="AW203" s="226"/>
      <c r="AX203" s="226"/>
      <c r="AY203" s="226"/>
      <c r="AZ203" s="226"/>
      <c r="BA203" s="226"/>
      <c r="BB203" s="226"/>
      <c r="BC203" s="226"/>
      <c r="BD203" s="226"/>
      <c r="BE203" s="226"/>
      <c r="BF203" s="226"/>
      <c r="BG203" s="226"/>
      <c r="BH203"/>
    </row>
    <row r="204" spans="2:60" x14ac:dyDescent="0.3">
      <c r="B204" s="220"/>
      <c r="C204" s="220"/>
      <c r="D204" s="251"/>
      <c r="E204" s="251"/>
      <c r="F204" s="251"/>
      <c r="G204" s="251"/>
      <c r="H204" s="246"/>
      <c r="I204" s="260"/>
      <c r="J204" s="260"/>
      <c r="K204" s="260"/>
      <c r="L204" s="260"/>
      <c r="M204" s="231"/>
      <c r="N204" s="271"/>
      <c r="O204" s="231"/>
      <c r="P204" s="220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  <c r="AA204" s="226"/>
      <c r="AB204" s="226"/>
      <c r="AC204" s="226"/>
      <c r="AD204" s="226"/>
      <c r="AE204" s="226"/>
      <c r="AF204" s="226"/>
      <c r="AG204" s="226"/>
      <c r="AH204" s="226"/>
      <c r="AI204" s="226"/>
      <c r="AJ204" s="226"/>
      <c r="AK204" s="226"/>
      <c r="AL204" s="226"/>
      <c r="AM204" s="226"/>
      <c r="AN204" s="226"/>
      <c r="AO204" s="226"/>
      <c r="AP204" s="226"/>
      <c r="AQ204" s="226"/>
      <c r="AR204" s="226"/>
      <c r="AS204" s="226"/>
      <c r="AT204" s="226"/>
      <c r="AU204" s="226"/>
      <c r="AV204" s="226"/>
      <c r="AW204" s="226"/>
      <c r="AX204" s="226"/>
      <c r="AY204" s="226"/>
      <c r="AZ204" s="226"/>
      <c r="BA204" s="226"/>
      <c r="BB204" s="226"/>
      <c r="BC204" s="226"/>
      <c r="BD204" s="226"/>
      <c r="BE204" s="226"/>
      <c r="BF204" s="226"/>
      <c r="BG204" s="226"/>
      <c r="BH204"/>
    </row>
    <row r="205" spans="2:60" x14ac:dyDescent="0.3">
      <c r="B205" s="220"/>
      <c r="C205" s="220"/>
      <c r="D205" s="251"/>
      <c r="E205" s="251"/>
      <c r="F205" s="251"/>
      <c r="G205" s="251"/>
      <c r="H205" s="246"/>
      <c r="I205" s="260"/>
      <c r="J205" s="260"/>
      <c r="K205" s="260"/>
      <c r="L205" s="260"/>
      <c r="M205" s="231"/>
      <c r="N205" s="271"/>
      <c r="O205" s="231"/>
      <c r="P205" s="220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  <c r="AA205" s="226"/>
      <c r="AB205" s="226"/>
      <c r="AC205" s="226"/>
      <c r="AD205" s="226"/>
      <c r="AE205" s="226"/>
      <c r="AF205" s="226"/>
      <c r="AG205" s="226"/>
      <c r="AH205" s="226"/>
      <c r="AI205" s="226"/>
      <c r="AJ205" s="226"/>
      <c r="AK205" s="226"/>
      <c r="AL205" s="226"/>
      <c r="AM205" s="226"/>
      <c r="AN205" s="226"/>
      <c r="AO205" s="226"/>
      <c r="AP205" s="226"/>
      <c r="AQ205" s="226"/>
      <c r="AR205" s="226"/>
      <c r="AS205" s="226"/>
      <c r="AT205" s="226"/>
      <c r="AU205" s="226"/>
      <c r="AV205" s="226"/>
      <c r="AW205" s="226"/>
      <c r="AX205" s="226"/>
      <c r="AY205" s="226"/>
      <c r="AZ205" s="226"/>
      <c r="BA205" s="226"/>
      <c r="BB205" s="226"/>
      <c r="BC205" s="226"/>
      <c r="BD205" s="226"/>
      <c r="BE205" s="226"/>
      <c r="BF205" s="226"/>
      <c r="BG205" s="226"/>
      <c r="BH205"/>
    </row>
    <row r="206" spans="2:60" x14ac:dyDescent="0.3">
      <c r="B206" s="220"/>
      <c r="C206" s="220"/>
      <c r="D206" s="251"/>
      <c r="E206" s="251"/>
      <c r="F206" s="251"/>
      <c r="G206" s="251"/>
      <c r="H206" s="246"/>
      <c r="I206" s="260"/>
      <c r="J206" s="260"/>
      <c r="K206" s="260"/>
      <c r="L206" s="260"/>
      <c r="M206" s="231"/>
      <c r="N206" s="271"/>
      <c r="O206" s="231"/>
      <c r="P206" s="220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  <c r="AA206" s="226"/>
      <c r="AB206" s="226"/>
      <c r="AC206" s="226"/>
      <c r="AD206" s="226"/>
      <c r="AE206" s="226"/>
      <c r="AF206" s="226"/>
      <c r="AG206" s="226"/>
      <c r="AH206" s="226"/>
      <c r="AI206" s="226"/>
      <c r="AJ206" s="226"/>
      <c r="AK206" s="226"/>
      <c r="AL206" s="226"/>
      <c r="AM206" s="226"/>
      <c r="AN206" s="226"/>
      <c r="AO206" s="226"/>
      <c r="AP206" s="226"/>
      <c r="AQ206" s="226"/>
      <c r="AR206" s="226"/>
      <c r="AS206" s="226"/>
      <c r="AT206" s="226"/>
      <c r="AU206" s="226"/>
      <c r="AV206" s="226"/>
      <c r="AW206" s="226"/>
      <c r="AX206" s="226"/>
      <c r="AY206" s="226"/>
      <c r="AZ206" s="226"/>
      <c r="BA206" s="226"/>
      <c r="BB206" s="226"/>
      <c r="BC206" s="226"/>
      <c r="BD206" s="226"/>
      <c r="BE206" s="226"/>
      <c r="BF206" s="226"/>
      <c r="BG206" s="226"/>
      <c r="BH206"/>
    </row>
    <row r="207" spans="2:60" x14ac:dyDescent="0.3">
      <c r="B207" s="220"/>
      <c r="C207" s="220"/>
      <c r="D207" s="251"/>
      <c r="E207" s="251"/>
      <c r="F207" s="251"/>
      <c r="G207" s="251"/>
      <c r="H207" s="246"/>
      <c r="I207" s="260"/>
      <c r="J207" s="260"/>
      <c r="K207" s="260"/>
      <c r="L207" s="260"/>
      <c r="M207" s="231"/>
      <c r="N207" s="271"/>
      <c r="O207" s="231"/>
      <c r="P207" s="220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  <c r="AA207" s="226"/>
      <c r="AB207" s="226"/>
      <c r="AC207" s="226"/>
      <c r="AD207" s="226"/>
      <c r="AE207" s="226"/>
      <c r="AF207" s="226"/>
      <c r="AG207" s="226"/>
      <c r="AH207" s="226"/>
      <c r="AI207" s="226"/>
      <c r="AJ207" s="226"/>
      <c r="AK207" s="226"/>
      <c r="AL207" s="226"/>
      <c r="AM207" s="226"/>
      <c r="AN207" s="226"/>
      <c r="AO207" s="226"/>
      <c r="AP207" s="226"/>
      <c r="AQ207" s="226"/>
      <c r="AR207" s="226"/>
      <c r="AS207" s="226"/>
      <c r="AT207" s="226"/>
      <c r="AU207" s="226"/>
      <c r="AV207" s="226"/>
      <c r="AW207" s="226"/>
      <c r="AX207" s="226"/>
      <c r="AY207" s="226"/>
      <c r="AZ207" s="226"/>
      <c r="BA207" s="226"/>
      <c r="BB207" s="226"/>
      <c r="BC207" s="226"/>
      <c r="BD207" s="226"/>
      <c r="BE207" s="226"/>
      <c r="BF207" s="226"/>
      <c r="BG207" s="226"/>
      <c r="BH207"/>
    </row>
    <row r="208" spans="2:60" x14ac:dyDescent="0.3">
      <c r="B208" s="220"/>
      <c r="C208" s="220"/>
      <c r="D208" s="251"/>
      <c r="E208" s="251"/>
      <c r="F208" s="251"/>
      <c r="G208" s="251"/>
      <c r="H208" s="246"/>
      <c r="I208" s="260"/>
      <c r="J208" s="260"/>
      <c r="K208" s="260"/>
      <c r="L208" s="260"/>
      <c r="M208" s="231"/>
      <c r="N208" s="271"/>
      <c r="O208" s="231"/>
      <c r="P208" s="220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  <c r="AA208" s="226"/>
      <c r="AB208" s="226"/>
      <c r="AC208" s="226"/>
      <c r="AD208" s="226"/>
      <c r="AE208" s="226"/>
      <c r="AF208" s="226"/>
      <c r="AG208" s="226"/>
      <c r="AH208" s="226"/>
      <c r="AI208" s="226"/>
      <c r="AJ208" s="226"/>
      <c r="AK208" s="226"/>
      <c r="AL208" s="226"/>
      <c r="AM208" s="226"/>
      <c r="AN208" s="226"/>
      <c r="AO208" s="226"/>
      <c r="AP208" s="226"/>
      <c r="AQ208" s="226"/>
      <c r="AR208" s="226"/>
      <c r="AS208" s="226"/>
      <c r="AT208" s="226"/>
      <c r="AU208" s="226"/>
      <c r="AV208" s="226"/>
      <c r="AW208" s="226"/>
      <c r="AX208" s="226"/>
      <c r="AY208" s="226"/>
      <c r="AZ208" s="226"/>
      <c r="BA208" s="226"/>
      <c r="BB208" s="226"/>
      <c r="BC208" s="226"/>
      <c r="BD208" s="226"/>
      <c r="BE208" s="226"/>
      <c r="BF208" s="226"/>
      <c r="BG208" s="226"/>
      <c r="BH208"/>
    </row>
    <row r="209" spans="2:60" x14ac:dyDescent="0.3">
      <c r="B209" s="220"/>
      <c r="C209" s="220"/>
      <c r="D209" s="251"/>
      <c r="E209" s="251"/>
      <c r="F209" s="251"/>
      <c r="G209" s="251"/>
      <c r="H209" s="246"/>
      <c r="I209" s="260"/>
      <c r="J209" s="260"/>
      <c r="K209" s="260"/>
      <c r="L209" s="260"/>
      <c r="M209" s="231"/>
      <c r="N209" s="271"/>
      <c r="O209" s="231"/>
      <c r="P209" s="220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  <c r="AA209" s="226"/>
      <c r="AB209" s="226"/>
      <c r="AC209" s="226"/>
      <c r="AD209" s="226"/>
      <c r="AE209" s="226"/>
      <c r="AF209" s="226"/>
      <c r="AG209" s="226"/>
      <c r="AH209" s="226"/>
      <c r="AI209" s="226"/>
      <c r="AJ209" s="226"/>
      <c r="AK209" s="226"/>
      <c r="AL209" s="226"/>
      <c r="AM209" s="226"/>
      <c r="AN209" s="226"/>
      <c r="AO209" s="226"/>
      <c r="AP209" s="226"/>
      <c r="AQ209" s="226"/>
      <c r="AR209" s="226"/>
      <c r="AS209" s="226"/>
      <c r="AT209" s="226"/>
      <c r="AU209" s="226"/>
      <c r="AV209" s="226"/>
      <c r="AW209" s="226"/>
      <c r="AX209" s="226"/>
      <c r="AY209" s="226"/>
      <c r="AZ209" s="226"/>
      <c r="BA209" s="226"/>
      <c r="BB209" s="226"/>
      <c r="BC209" s="226"/>
      <c r="BD209" s="226"/>
      <c r="BE209" s="226"/>
      <c r="BF209" s="226"/>
      <c r="BG209" s="226"/>
      <c r="BH209"/>
    </row>
    <row r="210" spans="2:60" x14ac:dyDescent="0.3">
      <c r="B210" s="220"/>
      <c r="C210" s="220"/>
      <c r="D210" s="251"/>
      <c r="E210" s="251"/>
      <c r="F210" s="251"/>
      <c r="G210" s="251"/>
      <c r="H210" s="246"/>
      <c r="I210" s="260"/>
      <c r="J210" s="260"/>
      <c r="K210" s="260"/>
      <c r="L210" s="260"/>
      <c r="M210" s="231"/>
      <c r="N210" s="271"/>
      <c r="O210" s="231"/>
      <c r="P210" s="220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  <c r="AA210" s="226"/>
      <c r="AB210" s="226"/>
      <c r="AC210" s="226"/>
      <c r="AD210" s="226"/>
      <c r="AE210" s="226"/>
      <c r="AF210" s="226"/>
      <c r="AG210" s="226"/>
      <c r="AH210" s="226"/>
      <c r="AI210" s="226"/>
      <c r="AJ210" s="226"/>
      <c r="AK210" s="226"/>
      <c r="AL210" s="226"/>
      <c r="AM210" s="226"/>
      <c r="AN210" s="226"/>
      <c r="AO210" s="226"/>
      <c r="AP210" s="226"/>
      <c r="AQ210" s="226"/>
      <c r="AR210" s="226"/>
      <c r="AS210" s="226"/>
      <c r="AT210" s="226"/>
      <c r="AU210" s="226"/>
      <c r="AV210" s="226"/>
      <c r="AW210" s="226"/>
      <c r="AX210" s="226"/>
      <c r="AY210" s="226"/>
      <c r="AZ210" s="226"/>
      <c r="BA210" s="226"/>
      <c r="BB210" s="226"/>
      <c r="BC210" s="226"/>
      <c r="BD210" s="226"/>
      <c r="BE210" s="226"/>
      <c r="BF210" s="226"/>
      <c r="BG210" s="226"/>
      <c r="BH210"/>
    </row>
    <row r="211" spans="2:60" x14ac:dyDescent="0.3">
      <c r="B211" s="220"/>
      <c r="C211" s="220"/>
      <c r="D211" s="251"/>
      <c r="E211" s="251"/>
      <c r="F211" s="251"/>
      <c r="G211" s="251"/>
      <c r="H211" s="246"/>
      <c r="I211" s="260"/>
      <c r="J211" s="260"/>
      <c r="K211" s="260"/>
      <c r="L211" s="260"/>
      <c r="M211" s="231"/>
      <c r="N211" s="271"/>
      <c r="O211" s="231"/>
      <c r="P211" s="220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  <c r="AA211" s="226"/>
      <c r="AB211" s="226"/>
      <c r="AC211" s="226"/>
      <c r="AD211" s="226"/>
      <c r="AE211" s="226"/>
      <c r="AF211" s="226"/>
      <c r="AG211" s="226"/>
      <c r="AH211" s="226"/>
      <c r="AI211" s="226"/>
      <c r="AJ211" s="226"/>
      <c r="AK211" s="226"/>
      <c r="AL211" s="226"/>
      <c r="AM211" s="226"/>
      <c r="AN211" s="226"/>
      <c r="AO211" s="226"/>
      <c r="AP211" s="226"/>
      <c r="AQ211" s="226"/>
      <c r="AR211" s="226"/>
      <c r="AS211" s="226"/>
      <c r="AT211" s="226"/>
      <c r="AU211" s="226"/>
      <c r="AV211" s="226"/>
      <c r="AW211" s="226"/>
      <c r="AX211" s="226"/>
      <c r="AY211" s="226"/>
      <c r="AZ211" s="226"/>
      <c r="BA211" s="226"/>
      <c r="BB211" s="226"/>
      <c r="BC211" s="226"/>
      <c r="BD211" s="226"/>
      <c r="BE211" s="226"/>
      <c r="BF211" s="226"/>
      <c r="BG211" s="226"/>
      <c r="BH211"/>
    </row>
    <row r="212" spans="2:60" x14ac:dyDescent="0.3">
      <c r="B212" s="220"/>
      <c r="C212" s="220"/>
      <c r="D212" s="251"/>
      <c r="E212" s="251"/>
      <c r="F212" s="251"/>
      <c r="G212" s="251"/>
      <c r="H212" s="246"/>
      <c r="I212" s="260"/>
      <c r="J212" s="260"/>
      <c r="K212" s="260"/>
      <c r="L212" s="260"/>
      <c r="M212" s="231"/>
      <c r="N212" s="271"/>
      <c r="O212" s="231"/>
      <c r="P212" s="220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6"/>
      <c r="AG212" s="226"/>
      <c r="AH212" s="226"/>
      <c r="AI212" s="226"/>
      <c r="AJ212" s="226"/>
      <c r="AK212" s="226"/>
      <c r="AL212" s="226"/>
      <c r="AM212" s="226"/>
      <c r="AN212" s="226"/>
      <c r="AO212" s="226"/>
      <c r="AP212" s="226"/>
      <c r="AQ212" s="226"/>
      <c r="AR212" s="226"/>
      <c r="AS212" s="226"/>
      <c r="AT212" s="226"/>
      <c r="AU212" s="226"/>
      <c r="AV212" s="226"/>
      <c r="AW212" s="226"/>
      <c r="AX212" s="226"/>
      <c r="AY212" s="226"/>
      <c r="AZ212" s="226"/>
      <c r="BA212" s="226"/>
      <c r="BB212" s="226"/>
      <c r="BC212" s="226"/>
      <c r="BD212" s="226"/>
      <c r="BE212" s="226"/>
      <c r="BF212" s="226"/>
      <c r="BG212" s="226"/>
      <c r="BH212"/>
    </row>
    <row r="213" spans="2:60" x14ac:dyDescent="0.3">
      <c r="B213" s="220"/>
      <c r="C213" s="220"/>
      <c r="D213" s="251"/>
      <c r="E213" s="251"/>
      <c r="F213" s="251"/>
      <c r="G213" s="251"/>
      <c r="H213" s="246"/>
      <c r="I213" s="260"/>
      <c r="J213" s="260"/>
      <c r="K213" s="260"/>
      <c r="L213" s="260"/>
      <c r="M213" s="231"/>
      <c r="N213" s="271"/>
      <c r="O213" s="231"/>
      <c r="P213" s="220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  <c r="AA213" s="226"/>
      <c r="AB213" s="226"/>
      <c r="AC213" s="226"/>
      <c r="AD213" s="226"/>
      <c r="AE213" s="226"/>
      <c r="AF213" s="226"/>
      <c r="AG213" s="226"/>
      <c r="AH213" s="226"/>
      <c r="AI213" s="226"/>
      <c r="AJ213" s="226"/>
      <c r="AK213" s="226"/>
      <c r="AL213" s="226"/>
      <c r="AM213" s="226"/>
      <c r="AN213" s="226"/>
      <c r="AO213" s="226"/>
      <c r="AP213" s="226"/>
      <c r="AQ213" s="226"/>
      <c r="AR213" s="226"/>
      <c r="AS213" s="226"/>
      <c r="AT213" s="226"/>
      <c r="AU213" s="226"/>
      <c r="AV213" s="226"/>
      <c r="AW213" s="226"/>
      <c r="AX213" s="226"/>
      <c r="AY213" s="226"/>
      <c r="AZ213" s="226"/>
      <c r="BA213" s="226"/>
      <c r="BB213" s="226"/>
      <c r="BC213" s="226"/>
      <c r="BD213" s="226"/>
      <c r="BE213" s="226"/>
      <c r="BF213" s="226"/>
      <c r="BG213" s="226"/>
      <c r="BH213"/>
    </row>
    <row r="214" spans="2:60" x14ac:dyDescent="0.3">
      <c r="B214" s="220"/>
      <c r="C214" s="220"/>
      <c r="D214" s="251"/>
      <c r="E214" s="251"/>
      <c r="F214" s="251"/>
      <c r="G214" s="251"/>
      <c r="H214" s="246"/>
      <c r="I214" s="260"/>
      <c r="J214" s="260"/>
      <c r="K214" s="260"/>
      <c r="L214" s="260"/>
      <c r="M214" s="231"/>
      <c r="N214" s="271"/>
      <c r="O214" s="231"/>
      <c r="P214" s="220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  <c r="AA214" s="226"/>
      <c r="AB214" s="226"/>
      <c r="AC214" s="226"/>
      <c r="AD214" s="226"/>
      <c r="AE214" s="226"/>
      <c r="AF214" s="226"/>
      <c r="AG214" s="226"/>
      <c r="AH214" s="226"/>
      <c r="AI214" s="226"/>
      <c r="AJ214" s="226"/>
      <c r="AK214" s="226"/>
      <c r="AL214" s="226"/>
      <c r="AM214" s="226"/>
      <c r="AN214" s="226"/>
      <c r="AO214" s="226"/>
      <c r="AP214" s="226"/>
      <c r="AQ214" s="226"/>
      <c r="AR214" s="226"/>
      <c r="AS214" s="226"/>
      <c r="AT214" s="226"/>
      <c r="AU214" s="226"/>
      <c r="AV214" s="226"/>
      <c r="AW214" s="226"/>
      <c r="AX214" s="226"/>
      <c r="AY214" s="226"/>
      <c r="AZ214" s="226"/>
      <c r="BA214" s="226"/>
      <c r="BB214" s="226"/>
      <c r="BC214" s="226"/>
      <c r="BD214" s="226"/>
      <c r="BE214" s="226"/>
      <c r="BF214" s="226"/>
      <c r="BG214" s="226"/>
      <c r="BH214"/>
    </row>
    <row r="215" spans="2:60" x14ac:dyDescent="0.3">
      <c r="B215" s="220"/>
      <c r="C215" s="220"/>
      <c r="D215" s="251"/>
      <c r="E215" s="251"/>
      <c r="F215" s="251"/>
      <c r="G215" s="251"/>
      <c r="H215" s="246"/>
      <c r="I215" s="260"/>
      <c r="J215" s="260"/>
      <c r="K215" s="260"/>
      <c r="L215" s="260"/>
      <c r="M215" s="231"/>
      <c r="N215" s="271"/>
      <c r="O215" s="231"/>
      <c r="P215" s="220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  <c r="AA215" s="226"/>
      <c r="AB215" s="226"/>
      <c r="AC215" s="226"/>
      <c r="AD215" s="226"/>
      <c r="AE215" s="226"/>
      <c r="AF215" s="226"/>
      <c r="AG215" s="226"/>
      <c r="AH215" s="226"/>
      <c r="AI215" s="226"/>
      <c r="AJ215" s="226"/>
      <c r="AK215" s="226"/>
      <c r="AL215" s="226"/>
      <c r="AM215" s="226"/>
      <c r="AN215" s="226"/>
      <c r="AO215" s="226"/>
      <c r="AP215" s="226"/>
      <c r="AQ215" s="226"/>
      <c r="AR215" s="226"/>
      <c r="AS215" s="226"/>
      <c r="AT215" s="226"/>
      <c r="AU215" s="226"/>
      <c r="AV215" s="226"/>
      <c r="AW215" s="226"/>
      <c r="AX215" s="226"/>
      <c r="AY215" s="226"/>
      <c r="AZ215" s="226"/>
      <c r="BA215" s="226"/>
      <c r="BB215" s="226"/>
      <c r="BC215" s="226"/>
      <c r="BD215" s="226"/>
      <c r="BE215" s="226"/>
      <c r="BF215" s="226"/>
      <c r="BG215" s="226"/>
      <c r="BH215"/>
    </row>
    <row r="216" spans="2:60" x14ac:dyDescent="0.3">
      <c r="B216" s="220"/>
      <c r="C216" s="220"/>
      <c r="D216" s="251"/>
      <c r="E216" s="251"/>
      <c r="F216" s="251"/>
      <c r="G216" s="251"/>
      <c r="H216" s="246"/>
      <c r="I216" s="260"/>
      <c r="J216" s="260"/>
      <c r="K216" s="260"/>
      <c r="L216" s="260"/>
      <c r="M216" s="231"/>
      <c r="N216" s="271"/>
      <c r="O216" s="231"/>
      <c r="P216" s="220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  <c r="AA216" s="226"/>
      <c r="AB216" s="226"/>
      <c r="AC216" s="226"/>
      <c r="AD216" s="226"/>
      <c r="AE216" s="226"/>
      <c r="AF216" s="226"/>
      <c r="AG216" s="226"/>
      <c r="AH216" s="226"/>
      <c r="AI216" s="226"/>
      <c r="AJ216" s="226"/>
      <c r="AK216" s="226"/>
      <c r="AL216" s="226"/>
      <c r="AM216" s="226"/>
      <c r="AN216" s="226"/>
      <c r="AO216" s="226"/>
      <c r="AP216" s="226"/>
      <c r="AQ216" s="226"/>
      <c r="AR216" s="226"/>
      <c r="AS216" s="226"/>
      <c r="AT216" s="226"/>
      <c r="AU216" s="226"/>
      <c r="AV216" s="226"/>
      <c r="AW216" s="226"/>
      <c r="AX216" s="226"/>
      <c r="AY216" s="226"/>
      <c r="AZ216" s="226"/>
      <c r="BA216" s="226"/>
      <c r="BB216" s="226"/>
      <c r="BC216" s="226"/>
      <c r="BD216" s="226"/>
      <c r="BE216" s="226"/>
      <c r="BF216" s="226"/>
      <c r="BG216" s="226"/>
      <c r="BH216"/>
    </row>
    <row r="217" spans="2:60" x14ac:dyDescent="0.3">
      <c r="B217" s="220"/>
      <c r="C217" s="220"/>
      <c r="D217" s="251"/>
      <c r="E217" s="251"/>
      <c r="F217" s="251"/>
      <c r="G217" s="251"/>
      <c r="H217" s="246"/>
      <c r="I217" s="260"/>
      <c r="J217" s="260"/>
      <c r="K217" s="260"/>
      <c r="L217" s="260"/>
      <c r="M217" s="231"/>
      <c r="N217" s="271"/>
      <c r="O217" s="231"/>
      <c r="P217" s="220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  <c r="AA217" s="226"/>
      <c r="AB217" s="226"/>
      <c r="AC217" s="226"/>
      <c r="AD217" s="226"/>
      <c r="AE217" s="226"/>
      <c r="AF217" s="226"/>
      <c r="AG217" s="226"/>
      <c r="AH217" s="226"/>
      <c r="AI217" s="226"/>
      <c r="AJ217" s="226"/>
      <c r="AK217" s="226"/>
      <c r="AL217" s="226"/>
      <c r="AM217" s="226"/>
      <c r="AN217" s="226"/>
      <c r="AO217" s="226"/>
      <c r="AP217" s="226"/>
      <c r="AQ217" s="226"/>
      <c r="AR217" s="226"/>
      <c r="AS217" s="226"/>
      <c r="AT217" s="226"/>
      <c r="AU217" s="226"/>
      <c r="AV217" s="226"/>
      <c r="AW217" s="226"/>
      <c r="AX217" s="226"/>
      <c r="AY217" s="226"/>
      <c r="AZ217" s="226"/>
      <c r="BA217" s="226"/>
      <c r="BB217" s="226"/>
      <c r="BC217" s="226"/>
      <c r="BD217" s="226"/>
      <c r="BE217" s="226"/>
      <c r="BF217" s="226"/>
      <c r="BG217" s="226"/>
      <c r="BH217"/>
    </row>
    <row r="218" spans="2:60" x14ac:dyDescent="0.3">
      <c r="B218" s="220"/>
      <c r="C218" s="220"/>
      <c r="D218" s="251"/>
      <c r="E218" s="251"/>
      <c r="F218" s="251"/>
      <c r="G218" s="251"/>
      <c r="H218" s="246"/>
      <c r="I218" s="260"/>
      <c r="J218" s="260"/>
      <c r="K218" s="260"/>
      <c r="L218" s="260"/>
      <c r="M218" s="231"/>
      <c r="N218" s="271"/>
      <c r="O218" s="231"/>
      <c r="P218" s="220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  <c r="AA218" s="226"/>
      <c r="AB218" s="226"/>
      <c r="AC218" s="226"/>
      <c r="AD218" s="226"/>
      <c r="AE218" s="226"/>
      <c r="AF218" s="226"/>
      <c r="AG218" s="226"/>
      <c r="AH218" s="226"/>
      <c r="AI218" s="226"/>
      <c r="AJ218" s="226"/>
      <c r="AK218" s="226"/>
      <c r="AL218" s="226"/>
      <c r="AM218" s="226"/>
      <c r="AN218" s="226"/>
      <c r="AO218" s="226"/>
      <c r="AP218" s="226"/>
      <c r="AQ218" s="226"/>
      <c r="AR218" s="226"/>
      <c r="AS218" s="226"/>
      <c r="AT218" s="226"/>
      <c r="AU218" s="226"/>
      <c r="AV218" s="226"/>
      <c r="AW218" s="226"/>
      <c r="AX218" s="226"/>
      <c r="AY218" s="226"/>
      <c r="AZ218" s="226"/>
      <c r="BA218" s="226"/>
      <c r="BB218" s="226"/>
      <c r="BC218" s="226"/>
      <c r="BD218" s="226"/>
      <c r="BE218" s="226"/>
      <c r="BF218" s="226"/>
      <c r="BG218" s="226"/>
      <c r="BH218"/>
    </row>
    <row r="219" spans="2:60" x14ac:dyDescent="0.3">
      <c r="B219" s="220"/>
      <c r="C219" s="220"/>
      <c r="D219" s="251"/>
      <c r="E219" s="251"/>
      <c r="F219" s="251"/>
      <c r="G219" s="251"/>
      <c r="H219" s="246"/>
      <c r="I219" s="260"/>
      <c r="J219" s="260"/>
      <c r="K219" s="260"/>
      <c r="L219" s="260"/>
      <c r="M219" s="231"/>
      <c r="N219" s="271"/>
      <c r="O219" s="231"/>
      <c r="P219" s="220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  <c r="AA219" s="226"/>
      <c r="AB219" s="226"/>
      <c r="AC219" s="226"/>
      <c r="AD219" s="226"/>
      <c r="AE219" s="226"/>
      <c r="AF219" s="226"/>
      <c r="AG219" s="226"/>
      <c r="AH219" s="226"/>
      <c r="AI219" s="226"/>
      <c r="AJ219" s="226"/>
      <c r="AK219" s="226"/>
      <c r="AL219" s="226"/>
      <c r="AM219" s="226"/>
      <c r="AN219" s="226"/>
      <c r="AO219" s="226"/>
      <c r="AP219" s="226"/>
      <c r="AQ219" s="226"/>
      <c r="AR219" s="226"/>
      <c r="AS219" s="226"/>
      <c r="AT219" s="226"/>
      <c r="AU219" s="226"/>
      <c r="AV219" s="226"/>
      <c r="AW219" s="226"/>
      <c r="AX219" s="226"/>
      <c r="AY219" s="226"/>
      <c r="AZ219" s="226"/>
      <c r="BA219" s="226"/>
      <c r="BB219" s="226"/>
      <c r="BC219" s="226"/>
      <c r="BD219" s="226"/>
      <c r="BE219" s="226"/>
      <c r="BF219" s="226"/>
      <c r="BG219" s="226"/>
      <c r="BH219"/>
    </row>
    <row r="220" spans="2:60" x14ac:dyDescent="0.3">
      <c r="B220" s="220"/>
      <c r="C220" s="220"/>
      <c r="D220" s="251"/>
      <c r="E220" s="251"/>
      <c r="F220" s="251"/>
      <c r="G220" s="251"/>
      <c r="H220" s="246"/>
      <c r="I220" s="260"/>
      <c r="J220" s="260"/>
      <c r="K220" s="260"/>
      <c r="L220" s="260"/>
      <c r="M220" s="231"/>
      <c r="N220" s="271"/>
      <c r="O220" s="231"/>
      <c r="P220" s="220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  <c r="AA220" s="226"/>
      <c r="AB220" s="226"/>
      <c r="AC220" s="226"/>
      <c r="AD220" s="226"/>
      <c r="AE220" s="226"/>
      <c r="AF220" s="226"/>
      <c r="AG220" s="226"/>
      <c r="AH220" s="226"/>
      <c r="AI220" s="226"/>
      <c r="AJ220" s="226"/>
      <c r="AK220" s="226"/>
      <c r="AL220" s="226"/>
      <c r="AM220" s="226"/>
      <c r="AN220" s="226"/>
      <c r="AO220" s="226"/>
      <c r="AP220" s="226"/>
      <c r="AQ220" s="226"/>
      <c r="AR220" s="226"/>
      <c r="AS220" s="226"/>
      <c r="AT220" s="226"/>
      <c r="AU220" s="226"/>
      <c r="AV220" s="226"/>
      <c r="AW220" s="226"/>
      <c r="AX220" s="226"/>
      <c r="AY220" s="226"/>
      <c r="AZ220" s="226"/>
      <c r="BA220" s="226"/>
      <c r="BB220" s="226"/>
      <c r="BC220" s="226"/>
      <c r="BD220" s="226"/>
      <c r="BE220" s="226"/>
      <c r="BF220" s="226"/>
      <c r="BG220" s="226"/>
      <c r="BH220"/>
    </row>
    <row r="221" spans="2:60" x14ac:dyDescent="0.3">
      <c r="B221" s="220"/>
      <c r="C221" s="220"/>
      <c r="D221" s="251"/>
      <c r="E221" s="251"/>
      <c r="F221" s="251"/>
      <c r="G221" s="251"/>
      <c r="H221" s="246"/>
      <c r="I221" s="260"/>
      <c r="J221" s="260"/>
      <c r="K221" s="260"/>
      <c r="L221" s="260"/>
      <c r="M221" s="231"/>
      <c r="N221" s="271"/>
      <c r="O221" s="231"/>
      <c r="P221" s="220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6"/>
      <c r="AH221" s="226"/>
      <c r="AI221" s="226"/>
      <c r="AJ221" s="226"/>
      <c r="AK221" s="226"/>
      <c r="AL221" s="226"/>
      <c r="AM221" s="226"/>
      <c r="AN221" s="226"/>
      <c r="AO221" s="226"/>
      <c r="AP221" s="226"/>
      <c r="AQ221" s="226"/>
      <c r="AR221" s="226"/>
      <c r="AS221" s="226"/>
      <c r="AT221" s="226"/>
      <c r="AU221" s="226"/>
      <c r="AV221" s="226"/>
      <c r="AW221" s="226"/>
      <c r="AX221" s="226"/>
      <c r="AY221" s="226"/>
      <c r="AZ221" s="226"/>
      <c r="BA221" s="226"/>
      <c r="BB221" s="226"/>
      <c r="BC221" s="226"/>
      <c r="BD221" s="226"/>
      <c r="BE221" s="226"/>
      <c r="BF221" s="226"/>
      <c r="BG221" s="226"/>
      <c r="BH221"/>
    </row>
    <row r="222" spans="2:60" x14ac:dyDescent="0.3">
      <c r="B222" s="220"/>
      <c r="C222" s="220"/>
      <c r="D222" s="251"/>
      <c r="E222" s="251"/>
      <c r="F222" s="251"/>
      <c r="G222" s="251"/>
      <c r="H222" s="246"/>
      <c r="I222" s="260"/>
      <c r="J222" s="260"/>
      <c r="K222" s="260"/>
      <c r="L222" s="260"/>
      <c r="M222" s="231"/>
      <c r="N222" s="271"/>
      <c r="O222" s="231"/>
      <c r="P222" s="220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  <c r="AA222" s="226"/>
      <c r="AB222" s="226"/>
      <c r="AC222" s="226"/>
      <c r="AD222" s="226"/>
      <c r="AE222" s="226"/>
      <c r="AF222" s="226"/>
      <c r="AG222" s="226"/>
      <c r="AH222" s="226"/>
      <c r="AI222" s="226"/>
      <c r="AJ222" s="226"/>
      <c r="AK222" s="226"/>
      <c r="AL222" s="226"/>
      <c r="AM222" s="226"/>
      <c r="AN222" s="226"/>
      <c r="AO222" s="226"/>
      <c r="AP222" s="226"/>
      <c r="AQ222" s="226"/>
      <c r="AR222" s="226"/>
      <c r="AS222" s="226"/>
      <c r="AT222" s="226"/>
      <c r="AU222" s="226"/>
      <c r="AV222" s="226"/>
      <c r="AW222" s="226"/>
      <c r="AX222" s="226"/>
      <c r="AY222" s="226"/>
      <c r="AZ222" s="226"/>
      <c r="BA222" s="226"/>
      <c r="BB222" s="226"/>
      <c r="BC222" s="226"/>
      <c r="BD222" s="226"/>
      <c r="BE222" s="226"/>
      <c r="BF222" s="226"/>
      <c r="BG222" s="226"/>
      <c r="BH222"/>
    </row>
    <row r="223" spans="2:60" x14ac:dyDescent="0.3">
      <c r="B223" s="220"/>
      <c r="C223" s="220"/>
      <c r="D223" s="251"/>
      <c r="E223" s="251"/>
      <c r="F223" s="251"/>
      <c r="G223" s="251"/>
      <c r="H223" s="246"/>
      <c r="I223" s="260"/>
      <c r="J223" s="260"/>
      <c r="K223" s="260"/>
      <c r="L223" s="260"/>
      <c r="M223" s="231"/>
      <c r="N223" s="271"/>
      <c r="O223" s="231"/>
      <c r="P223" s="220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  <c r="AA223" s="226"/>
      <c r="AB223" s="226"/>
      <c r="AC223" s="226"/>
      <c r="AD223" s="226"/>
      <c r="AE223" s="226"/>
      <c r="AF223" s="226"/>
      <c r="AG223" s="226"/>
      <c r="AH223" s="226"/>
      <c r="AI223" s="226"/>
      <c r="AJ223" s="226"/>
      <c r="AK223" s="226"/>
      <c r="AL223" s="226"/>
      <c r="AM223" s="226"/>
      <c r="AN223" s="226"/>
      <c r="AO223" s="226"/>
      <c r="AP223" s="226"/>
      <c r="AQ223" s="226"/>
      <c r="AR223" s="226"/>
      <c r="AS223" s="226"/>
      <c r="AT223" s="226"/>
      <c r="AU223" s="226"/>
      <c r="AV223" s="226"/>
      <c r="AW223" s="226"/>
      <c r="AX223" s="226"/>
      <c r="AY223" s="226"/>
      <c r="AZ223" s="226"/>
      <c r="BA223" s="226"/>
      <c r="BB223" s="226"/>
      <c r="BC223" s="226"/>
      <c r="BD223" s="226"/>
      <c r="BE223" s="226"/>
      <c r="BF223" s="226"/>
      <c r="BG223" s="226"/>
      <c r="BH223"/>
    </row>
    <row r="224" spans="2:60" x14ac:dyDescent="0.3">
      <c r="B224" s="220"/>
      <c r="C224" s="220"/>
      <c r="D224" s="251"/>
      <c r="E224" s="251"/>
      <c r="F224" s="251"/>
      <c r="G224" s="251"/>
      <c r="H224" s="246"/>
      <c r="I224" s="260"/>
      <c r="J224" s="260"/>
      <c r="K224" s="260"/>
      <c r="L224" s="260"/>
      <c r="M224" s="231"/>
      <c r="N224" s="271"/>
      <c r="O224" s="231"/>
      <c r="P224" s="220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  <c r="AA224" s="226"/>
      <c r="AB224" s="226"/>
      <c r="AC224" s="226"/>
      <c r="AD224" s="226"/>
      <c r="AE224" s="226"/>
      <c r="AF224" s="226"/>
      <c r="AG224" s="226"/>
      <c r="AH224" s="226"/>
      <c r="AI224" s="226"/>
      <c r="AJ224" s="226"/>
      <c r="AK224" s="226"/>
      <c r="AL224" s="226"/>
      <c r="AM224" s="226"/>
      <c r="AN224" s="226"/>
      <c r="AO224" s="226"/>
      <c r="AP224" s="226"/>
      <c r="AQ224" s="226"/>
      <c r="AR224" s="226"/>
      <c r="AS224" s="226"/>
      <c r="AT224" s="226"/>
      <c r="AU224" s="226"/>
      <c r="AV224" s="226"/>
      <c r="AW224" s="226"/>
      <c r="AX224" s="226"/>
      <c r="AY224" s="226"/>
      <c r="AZ224" s="226"/>
      <c r="BA224" s="226"/>
      <c r="BB224" s="226"/>
      <c r="BC224" s="226"/>
      <c r="BD224" s="226"/>
      <c r="BE224" s="226"/>
      <c r="BF224" s="226"/>
      <c r="BG224" s="226"/>
      <c r="BH224"/>
    </row>
    <row r="225" spans="2:60" x14ac:dyDescent="0.3">
      <c r="B225" s="220"/>
      <c r="C225" s="220"/>
      <c r="D225" s="251"/>
      <c r="E225" s="251"/>
      <c r="F225" s="251"/>
      <c r="G225" s="251"/>
      <c r="H225" s="246"/>
      <c r="I225" s="260"/>
      <c r="J225" s="260"/>
      <c r="K225" s="260"/>
      <c r="L225" s="260"/>
      <c r="M225" s="231"/>
      <c r="N225" s="271"/>
      <c r="O225" s="231"/>
      <c r="P225" s="220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  <c r="AA225" s="226"/>
      <c r="AB225" s="226"/>
      <c r="AC225" s="226"/>
      <c r="AD225" s="226"/>
      <c r="AE225" s="226"/>
      <c r="AF225" s="226"/>
      <c r="AG225" s="226"/>
      <c r="AH225" s="226"/>
      <c r="AI225" s="226"/>
      <c r="AJ225" s="226"/>
      <c r="AK225" s="226"/>
      <c r="AL225" s="226"/>
      <c r="AM225" s="226"/>
      <c r="AN225" s="226"/>
      <c r="AO225" s="226"/>
      <c r="AP225" s="226"/>
      <c r="AQ225" s="226"/>
      <c r="AR225" s="226"/>
      <c r="AS225" s="226"/>
      <c r="AT225" s="226"/>
      <c r="AU225" s="226"/>
      <c r="AV225" s="226"/>
      <c r="AW225" s="226"/>
      <c r="AX225" s="226"/>
      <c r="AY225" s="226"/>
      <c r="AZ225" s="226"/>
      <c r="BA225" s="226"/>
      <c r="BB225" s="226"/>
      <c r="BC225" s="226"/>
      <c r="BD225" s="226"/>
      <c r="BE225" s="226"/>
      <c r="BF225" s="226"/>
      <c r="BG225" s="226"/>
      <c r="BH225"/>
    </row>
    <row r="226" spans="2:60" x14ac:dyDescent="0.3">
      <c r="B226" s="220"/>
      <c r="C226" s="220"/>
      <c r="D226" s="251"/>
      <c r="E226" s="251"/>
      <c r="F226" s="251"/>
      <c r="G226" s="251"/>
      <c r="H226" s="246"/>
      <c r="I226" s="260"/>
      <c r="J226" s="260"/>
      <c r="K226" s="260"/>
      <c r="L226" s="260"/>
      <c r="M226" s="231"/>
      <c r="N226" s="271"/>
      <c r="O226" s="231"/>
      <c r="P226" s="220"/>
      <c r="Q226" s="226"/>
      <c r="R226" s="226"/>
      <c r="S226" s="226"/>
      <c r="T226" s="226"/>
      <c r="U226" s="226"/>
      <c r="V226" s="226"/>
      <c r="W226" s="226"/>
      <c r="X226" s="226"/>
      <c r="Y226" s="226"/>
      <c r="Z226" s="226"/>
      <c r="AA226" s="226"/>
      <c r="AB226" s="226"/>
      <c r="AC226" s="226"/>
      <c r="AD226" s="226"/>
      <c r="AE226" s="226"/>
      <c r="AF226" s="226"/>
      <c r="AG226" s="226"/>
      <c r="AH226" s="226"/>
      <c r="AI226" s="226"/>
      <c r="AJ226" s="226"/>
      <c r="AK226" s="226"/>
      <c r="AL226" s="226"/>
      <c r="AM226" s="226"/>
      <c r="AN226" s="226"/>
      <c r="AO226" s="226"/>
      <c r="AP226" s="226"/>
      <c r="AQ226" s="226"/>
      <c r="AR226" s="226"/>
      <c r="AS226" s="226"/>
      <c r="AT226" s="226"/>
      <c r="AU226" s="226"/>
      <c r="AV226" s="226"/>
      <c r="AW226" s="226"/>
      <c r="AX226" s="226"/>
      <c r="AY226" s="226"/>
      <c r="AZ226" s="226"/>
      <c r="BA226" s="226"/>
      <c r="BB226" s="226"/>
      <c r="BC226" s="226"/>
      <c r="BD226" s="226"/>
      <c r="BE226" s="226"/>
      <c r="BF226" s="226"/>
      <c r="BG226" s="226"/>
      <c r="BH226"/>
    </row>
    <row r="227" spans="2:60" x14ac:dyDescent="0.3">
      <c r="B227" s="220"/>
      <c r="C227" s="220"/>
      <c r="D227" s="251"/>
      <c r="E227" s="251"/>
      <c r="F227" s="251"/>
      <c r="G227" s="251"/>
      <c r="H227" s="246"/>
      <c r="I227" s="260"/>
      <c r="J227" s="260"/>
      <c r="K227" s="260"/>
      <c r="L227" s="260"/>
      <c r="M227" s="231"/>
      <c r="N227" s="271"/>
      <c r="O227" s="231"/>
      <c r="P227" s="220"/>
      <c r="Q227" s="226"/>
      <c r="R227" s="226"/>
      <c r="S227" s="226"/>
      <c r="T227" s="226"/>
      <c r="U227" s="226"/>
      <c r="V227" s="226"/>
      <c r="W227" s="226"/>
      <c r="X227" s="226"/>
      <c r="Y227" s="226"/>
      <c r="Z227" s="226"/>
      <c r="AA227" s="226"/>
      <c r="AB227" s="226"/>
      <c r="AC227" s="226"/>
      <c r="AD227" s="226"/>
      <c r="AE227" s="226"/>
      <c r="AF227" s="226"/>
      <c r="AG227" s="226"/>
      <c r="AH227" s="226"/>
      <c r="AI227" s="226"/>
      <c r="AJ227" s="226"/>
      <c r="AK227" s="226"/>
      <c r="AL227" s="226"/>
      <c r="AM227" s="226"/>
      <c r="AN227" s="226"/>
      <c r="AO227" s="226"/>
      <c r="AP227" s="226"/>
      <c r="AQ227" s="226"/>
      <c r="AR227" s="226"/>
      <c r="AS227" s="226"/>
      <c r="AT227" s="226"/>
      <c r="AU227" s="226"/>
      <c r="AV227" s="226"/>
      <c r="AW227" s="226"/>
      <c r="AX227" s="226"/>
      <c r="AY227" s="226"/>
      <c r="AZ227" s="226"/>
      <c r="BA227" s="226"/>
      <c r="BB227" s="226"/>
      <c r="BC227" s="226"/>
      <c r="BD227" s="226"/>
      <c r="BE227" s="226"/>
      <c r="BF227" s="226"/>
      <c r="BG227" s="226"/>
      <c r="BH227"/>
    </row>
    <row r="228" spans="2:60" x14ac:dyDescent="0.3">
      <c r="B228" s="220"/>
      <c r="C228" s="220"/>
      <c r="D228" s="251"/>
      <c r="E228" s="251"/>
      <c r="F228" s="251"/>
      <c r="G228" s="251"/>
      <c r="H228" s="246"/>
      <c r="I228" s="260"/>
      <c r="J228" s="260"/>
      <c r="K228" s="260"/>
      <c r="L228" s="260"/>
      <c r="M228" s="231"/>
      <c r="N228" s="271"/>
      <c r="O228" s="231"/>
      <c r="P228" s="220"/>
      <c r="Q228" s="226"/>
      <c r="R228" s="226"/>
      <c r="S228" s="226"/>
      <c r="T228" s="226"/>
      <c r="U228" s="226"/>
      <c r="V228" s="226"/>
      <c r="W228" s="226"/>
      <c r="X228" s="226"/>
      <c r="Y228" s="226"/>
      <c r="Z228" s="226"/>
      <c r="AA228" s="226"/>
      <c r="AB228" s="226"/>
      <c r="AC228" s="226"/>
      <c r="AD228" s="226"/>
      <c r="AE228" s="226"/>
      <c r="AF228" s="226"/>
      <c r="AG228" s="226"/>
      <c r="AH228" s="226"/>
      <c r="AI228" s="226"/>
      <c r="AJ228" s="226"/>
      <c r="AK228" s="226"/>
      <c r="AL228" s="226"/>
      <c r="AM228" s="226"/>
      <c r="AN228" s="226"/>
      <c r="AO228" s="226"/>
      <c r="AP228" s="226"/>
      <c r="AQ228" s="226"/>
      <c r="AR228" s="226"/>
      <c r="AS228" s="226"/>
      <c r="AT228" s="226"/>
      <c r="AU228" s="226"/>
      <c r="AV228" s="226"/>
      <c r="AW228" s="226"/>
      <c r="AX228" s="226"/>
      <c r="AY228" s="226"/>
      <c r="AZ228" s="226"/>
      <c r="BA228" s="226"/>
      <c r="BB228" s="226"/>
      <c r="BC228" s="226"/>
      <c r="BD228" s="226"/>
      <c r="BE228" s="226"/>
      <c r="BF228" s="226"/>
      <c r="BG228" s="226"/>
      <c r="BH228"/>
    </row>
    <row r="229" spans="2:60" x14ac:dyDescent="0.3">
      <c r="B229" s="220"/>
      <c r="C229" s="220"/>
      <c r="D229" s="251"/>
      <c r="E229" s="251"/>
      <c r="F229" s="251"/>
      <c r="G229" s="251"/>
      <c r="H229" s="246"/>
      <c r="I229" s="260"/>
      <c r="J229" s="260"/>
      <c r="K229" s="260"/>
      <c r="L229" s="260"/>
      <c r="M229" s="231"/>
      <c r="N229" s="271"/>
      <c r="O229" s="231"/>
      <c r="P229" s="220"/>
      <c r="Q229" s="226"/>
      <c r="R229" s="226"/>
      <c r="S229" s="226"/>
      <c r="T229" s="226"/>
      <c r="U229" s="226"/>
      <c r="V229" s="226"/>
      <c r="W229" s="226"/>
      <c r="X229" s="226"/>
      <c r="Y229" s="226"/>
      <c r="Z229" s="226"/>
      <c r="AA229" s="226"/>
      <c r="AB229" s="226"/>
      <c r="AC229" s="226"/>
      <c r="AD229" s="226"/>
      <c r="AE229" s="226"/>
      <c r="AF229" s="226"/>
      <c r="AG229" s="226"/>
      <c r="AH229" s="226"/>
      <c r="AI229" s="226"/>
      <c r="AJ229" s="226"/>
      <c r="AK229" s="226"/>
      <c r="AL229" s="226"/>
      <c r="AM229" s="226"/>
      <c r="AN229" s="226"/>
      <c r="AO229" s="226"/>
      <c r="AP229" s="226"/>
      <c r="AQ229" s="226"/>
      <c r="AR229" s="226"/>
      <c r="AS229" s="226"/>
      <c r="AT229" s="226"/>
      <c r="AU229" s="226"/>
      <c r="AV229" s="226"/>
      <c r="AW229" s="226"/>
      <c r="AX229" s="226"/>
      <c r="AY229" s="226"/>
      <c r="AZ229" s="226"/>
      <c r="BA229" s="226"/>
      <c r="BB229" s="226"/>
      <c r="BC229" s="226"/>
      <c r="BD229" s="226"/>
      <c r="BE229" s="226"/>
      <c r="BF229" s="226"/>
      <c r="BG229" s="226"/>
      <c r="BH229"/>
    </row>
    <row r="230" spans="2:60" x14ac:dyDescent="0.3">
      <c r="B230" s="220"/>
      <c r="C230" s="220"/>
      <c r="D230" s="251"/>
      <c r="E230" s="251"/>
      <c r="F230" s="251"/>
      <c r="G230" s="251"/>
      <c r="H230" s="246"/>
      <c r="I230" s="260"/>
      <c r="J230" s="260"/>
      <c r="K230" s="260"/>
      <c r="L230" s="260"/>
      <c r="M230" s="231"/>
      <c r="N230" s="271"/>
      <c r="O230" s="231"/>
      <c r="P230" s="220"/>
      <c r="Q230" s="226"/>
      <c r="R230" s="226"/>
      <c r="S230" s="226"/>
      <c r="T230" s="226"/>
      <c r="U230" s="226"/>
      <c r="V230" s="226"/>
      <c r="W230" s="226"/>
      <c r="X230" s="226"/>
      <c r="Y230" s="226"/>
      <c r="Z230" s="226"/>
      <c r="AA230" s="226"/>
      <c r="AB230" s="226"/>
      <c r="AC230" s="226"/>
      <c r="AD230" s="226"/>
      <c r="AE230" s="226"/>
      <c r="AF230" s="226"/>
      <c r="AG230" s="226"/>
      <c r="AH230" s="226"/>
      <c r="AI230" s="226"/>
      <c r="AJ230" s="226"/>
      <c r="AK230" s="226"/>
      <c r="AL230" s="226"/>
      <c r="AM230" s="226"/>
      <c r="AN230" s="226"/>
      <c r="AO230" s="226"/>
      <c r="AP230" s="226"/>
      <c r="AQ230" s="226"/>
      <c r="AR230" s="226"/>
      <c r="AS230" s="226"/>
      <c r="AT230" s="226"/>
      <c r="AU230" s="226"/>
      <c r="AV230" s="226"/>
      <c r="AW230" s="226"/>
      <c r="AX230" s="226"/>
      <c r="AY230" s="226"/>
      <c r="AZ230" s="226"/>
      <c r="BA230" s="226"/>
      <c r="BB230" s="226"/>
      <c r="BC230" s="226"/>
      <c r="BD230" s="226"/>
      <c r="BE230" s="226"/>
      <c r="BF230" s="226"/>
      <c r="BG230" s="226"/>
      <c r="BH230"/>
    </row>
    <row r="231" spans="2:60" x14ac:dyDescent="0.3">
      <c r="B231" s="220"/>
      <c r="C231" s="220"/>
      <c r="D231" s="251"/>
      <c r="E231" s="251"/>
      <c r="F231" s="251"/>
      <c r="G231" s="251"/>
      <c r="H231" s="246"/>
      <c r="I231" s="260"/>
      <c r="J231" s="260"/>
      <c r="K231" s="260"/>
      <c r="L231" s="260"/>
      <c r="M231" s="231"/>
      <c r="N231" s="271"/>
      <c r="O231" s="231"/>
      <c r="P231" s="220"/>
      <c r="Q231" s="226"/>
      <c r="R231" s="226"/>
      <c r="S231" s="226"/>
      <c r="T231" s="226"/>
      <c r="U231" s="226"/>
      <c r="V231" s="226"/>
      <c r="W231" s="226"/>
      <c r="X231" s="226"/>
      <c r="Y231" s="226"/>
      <c r="Z231" s="226"/>
      <c r="AA231" s="226"/>
      <c r="AB231" s="226"/>
      <c r="AC231" s="226"/>
      <c r="AD231" s="226"/>
      <c r="AE231" s="226"/>
      <c r="AF231" s="226"/>
      <c r="AG231" s="226"/>
      <c r="AH231" s="226"/>
      <c r="AI231" s="226"/>
      <c r="AJ231" s="226"/>
      <c r="AK231" s="226"/>
      <c r="AL231" s="226"/>
      <c r="AM231" s="226"/>
      <c r="AN231" s="226"/>
      <c r="AO231" s="226"/>
      <c r="AP231" s="226"/>
      <c r="AQ231" s="226"/>
      <c r="AR231" s="226"/>
      <c r="AS231" s="226"/>
      <c r="AT231" s="226"/>
      <c r="AU231" s="226"/>
      <c r="AV231" s="226"/>
      <c r="AW231" s="226"/>
      <c r="AX231" s="226"/>
      <c r="AY231" s="226"/>
      <c r="AZ231" s="226"/>
      <c r="BA231" s="226"/>
      <c r="BB231" s="226"/>
      <c r="BC231" s="226"/>
      <c r="BD231" s="226"/>
      <c r="BE231" s="226"/>
      <c r="BF231" s="226"/>
      <c r="BG231" s="226"/>
      <c r="BH231"/>
    </row>
    <row r="232" spans="2:60" x14ac:dyDescent="0.3">
      <c r="B232" s="220"/>
      <c r="C232" s="220"/>
      <c r="D232" s="251"/>
      <c r="E232" s="251"/>
      <c r="F232" s="251"/>
      <c r="G232" s="251"/>
      <c r="H232" s="246"/>
      <c r="I232" s="260"/>
      <c r="J232" s="260"/>
      <c r="K232" s="260"/>
      <c r="L232" s="260"/>
      <c r="M232" s="231"/>
      <c r="N232" s="271"/>
      <c r="O232" s="231"/>
      <c r="P232" s="220"/>
      <c r="Q232" s="226"/>
      <c r="R232" s="226"/>
      <c r="S232" s="226"/>
      <c r="T232" s="226"/>
      <c r="U232" s="226"/>
      <c r="V232" s="226"/>
      <c r="W232" s="226"/>
      <c r="X232" s="226"/>
      <c r="Y232" s="226"/>
      <c r="Z232" s="226"/>
      <c r="AA232" s="226"/>
      <c r="AB232" s="226"/>
      <c r="AC232" s="226"/>
      <c r="AD232" s="226"/>
      <c r="AE232" s="226"/>
      <c r="AF232" s="226"/>
      <c r="AG232" s="226"/>
      <c r="AH232" s="226"/>
      <c r="AI232" s="226"/>
      <c r="AJ232" s="226"/>
      <c r="AK232" s="226"/>
      <c r="AL232" s="226"/>
      <c r="AM232" s="226"/>
      <c r="AN232" s="226"/>
      <c r="AO232" s="226"/>
      <c r="AP232" s="226"/>
      <c r="AQ232" s="226"/>
      <c r="AR232" s="226"/>
      <c r="AS232" s="226"/>
      <c r="AT232" s="226"/>
      <c r="AU232" s="226"/>
      <c r="AV232" s="226"/>
      <c r="AW232" s="226"/>
      <c r="AX232" s="226"/>
      <c r="AY232" s="226"/>
      <c r="AZ232" s="226"/>
      <c r="BA232" s="226"/>
      <c r="BB232" s="226"/>
      <c r="BC232" s="226"/>
      <c r="BD232" s="226"/>
      <c r="BE232" s="226"/>
      <c r="BF232" s="226"/>
      <c r="BG232" s="226"/>
      <c r="BH232"/>
    </row>
    <row r="233" spans="2:60" x14ac:dyDescent="0.3">
      <c r="B233" s="220"/>
      <c r="C233" s="220"/>
      <c r="D233" s="251"/>
      <c r="E233" s="251"/>
      <c r="F233" s="251"/>
      <c r="G233" s="251"/>
      <c r="H233" s="246"/>
      <c r="I233" s="260"/>
      <c r="J233" s="260"/>
      <c r="K233" s="260"/>
      <c r="L233" s="260"/>
      <c r="M233" s="231"/>
      <c r="N233" s="271"/>
      <c r="O233" s="231"/>
      <c r="P233" s="220"/>
      <c r="Q233" s="226"/>
      <c r="R233" s="226"/>
      <c r="S233" s="226"/>
      <c r="T233" s="226"/>
      <c r="U233" s="226"/>
      <c r="V233" s="226"/>
      <c r="W233" s="226"/>
      <c r="X233" s="226"/>
      <c r="Y233" s="226"/>
      <c r="Z233" s="226"/>
      <c r="AA233" s="226"/>
      <c r="AB233" s="226"/>
      <c r="AC233" s="226"/>
      <c r="AD233" s="226"/>
      <c r="AE233" s="226"/>
      <c r="AF233" s="226"/>
      <c r="AG233" s="226"/>
      <c r="AH233" s="226"/>
      <c r="AI233" s="226"/>
      <c r="AJ233" s="226"/>
      <c r="AK233" s="226"/>
      <c r="AL233" s="226"/>
      <c r="AM233" s="226"/>
      <c r="AN233" s="226"/>
      <c r="AO233" s="226"/>
      <c r="AP233" s="226"/>
      <c r="AQ233" s="226"/>
      <c r="AR233" s="226"/>
      <c r="AS233" s="226"/>
      <c r="AT233" s="226"/>
      <c r="AU233" s="226"/>
      <c r="AV233" s="226"/>
      <c r="AW233" s="226"/>
      <c r="AX233" s="226"/>
      <c r="AY233" s="226"/>
      <c r="AZ233" s="226"/>
      <c r="BA233" s="226"/>
      <c r="BB233" s="226"/>
      <c r="BC233" s="226"/>
      <c r="BD233" s="226"/>
      <c r="BE233" s="226"/>
      <c r="BF233" s="226"/>
      <c r="BG233" s="226"/>
      <c r="BH233"/>
    </row>
    <row r="234" spans="2:60" x14ac:dyDescent="0.3">
      <c r="B234" s="220"/>
      <c r="C234" s="220"/>
      <c r="D234" s="251"/>
      <c r="E234" s="251"/>
      <c r="F234" s="251"/>
      <c r="G234" s="251"/>
      <c r="H234" s="246"/>
      <c r="I234" s="260"/>
      <c r="J234" s="260"/>
      <c r="K234" s="260"/>
      <c r="L234" s="260"/>
      <c r="M234" s="231"/>
      <c r="N234" s="271"/>
      <c r="O234" s="231"/>
      <c r="P234" s="220"/>
      <c r="Q234" s="226"/>
      <c r="R234" s="226"/>
      <c r="S234" s="226"/>
      <c r="T234" s="226"/>
      <c r="U234" s="226"/>
      <c r="V234" s="226"/>
      <c r="W234" s="226"/>
      <c r="X234" s="226"/>
      <c r="Y234" s="226"/>
      <c r="Z234" s="226"/>
      <c r="AA234" s="226"/>
      <c r="AB234" s="226"/>
      <c r="AC234" s="226"/>
      <c r="AD234" s="226"/>
      <c r="AE234" s="226"/>
      <c r="AF234" s="226"/>
      <c r="AG234" s="226"/>
      <c r="AH234" s="226"/>
      <c r="AI234" s="226"/>
      <c r="AJ234" s="226"/>
      <c r="AK234" s="226"/>
      <c r="AL234" s="226"/>
      <c r="AM234" s="226"/>
      <c r="AN234" s="226"/>
      <c r="AO234" s="226"/>
      <c r="AP234" s="226"/>
      <c r="AQ234" s="226"/>
      <c r="AR234" s="226"/>
      <c r="AS234" s="226"/>
      <c r="AT234" s="226"/>
      <c r="AU234" s="226"/>
      <c r="AV234" s="226"/>
      <c r="AW234" s="226"/>
      <c r="AX234" s="226"/>
      <c r="AY234" s="226"/>
      <c r="AZ234" s="226"/>
      <c r="BA234" s="226"/>
      <c r="BB234" s="226"/>
      <c r="BC234" s="226"/>
      <c r="BD234" s="226"/>
      <c r="BE234" s="226"/>
      <c r="BF234" s="226"/>
      <c r="BG234" s="226"/>
      <c r="BH234"/>
    </row>
    <row r="235" spans="2:60" x14ac:dyDescent="0.3">
      <c r="B235" s="220"/>
      <c r="C235" s="220"/>
      <c r="D235" s="251"/>
      <c r="E235" s="251"/>
      <c r="F235" s="251"/>
      <c r="G235" s="251"/>
      <c r="H235" s="246"/>
      <c r="I235" s="260"/>
      <c r="J235" s="260"/>
      <c r="K235" s="260"/>
      <c r="L235" s="260"/>
      <c r="M235" s="231"/>
      <c r="N235" s="271"/>
      <c r="O235" s="231"/>
      <c r="P235" s="220"/>
      <c r="Q235" s="226"/>
      <c r="R235" s="226"/>
      <c r="S235" s="226"/>
      <c r="T235" s="226"/>
      <c r="U235" s="226"/>
      <c r="V235" s="226"/>
      <c r="W235" s="226"/>
      <c r="X235" s="226"/>
      <c r="Y235" s="226"/>
      <c r="Z235" s="226"/>
      <c r="AA235" s="226"/>
      <c r="AB235" s="226"/>
      <c r="AC235" s="226"/>
      <c r="AD235" s="226"/>
      <c r="AE235" s="226"/>
      <c r="AF235" s="226"/>
      <c r="AG235" s="226"/>
      <c r="AH235" s="226"/>
      <c r="AI235" s="226"/>
      <c r="AJ235" s="226"/>
      <c r="AK235" s="226"/>
      <c r="AL235" s="226"/>
      <c r="AM235" s="226"/>
      <c r="AN235" s="226"/>
      <c r="AO235" s="226"/>
      <c r="AP235" s="226"/>
      <c r="AQ235" s="226"/>
      <c r="AR235" s="226"/>
      <c r="AS235" s="226"/>
      <c r="AT235" s="226"/>
      <c r="AU235" s="226"/>
      <c r="AV235" s="226"/>
      <c r="AW235" s="226"/>
      <c r="AX235" s="226"/>
      <c r="AY235" s="226"/>
      <c r="AZ235" s="226"/>
      <c r="BA235" s="226"/>
      <c r="BB235" s="226"/>
      <c r="BC235" s="226"/>
      <c r="BD235" s="226"/>
      <c r="BE235" s="226"/>
      <c r="BF235" s="226"/>
      <c r="BG235" s="226"/>
      <c r="BH235"/>
    </row>
    <row r="236" spans="2:60" x14ac:dyDescent="0.3">
      <c r="B236" s="220"/>
      <c r="C236" s="220"/>
      <c r="D236" s="251"/>
      <c r="E236" s="251"/>
      <c r="F236" s="251"/>
      <c r="G236" s="251"/>
      <c r="H236" s="246"/>
      <c r="I236" s="260"/>
      <c r="J236" s="260"/>
      <c r="K236" s="260"/>
      <c r="L236" s="260"/>
      <c r="M236" s="231"/>
      <c r="N236" s="271"/>
      <c r="O236" s="231"/>
      <c r="P236" s="220"/>
      <c r="Q236" s="226"/>
      <c r="R236" s="226"/>
      <c r="S236" s="226"/>
      <c r="T236" s="226"/>
      <c r="U236" s="226"/>
      <c r="V236" s="226"/>
      <c r="W236" s="226"/>
      <c r="X236" s="226"/>
      <c r="Y236" s="226"/>
      <c r="Z236" s="226"/>
      <c r="AA236" s="226"/>
      <c r="AB236" s="226"/>
      <c r="AC236" s="226"/>
      <c r="AD236" s="226"/>
      <c r="AE236" s="226"/>
      <c r="AF236" s="226"/>
      <c r="AG236" s="226"/>
      <c r="AH236" s="226"/>
      <c r="AI236" s="226"/>
      <c r="AJ236" s="226"/>
      <c r="AK236" s="226"/>
      <c r="AL236" s="226"/>
      <c r="AM236" s="226"/>
      <c r="AN236" s="226"/>
      <c r="AO236" s="226"/>
      <c r="AP236" s="226"/>
      <c r="AQ236" s="226"/>
      <c r="AR236" s="226"/>
      <c r="AS236" s="226"/>
      <c r="AT236" s="226"/>
      <c r="AU236" s="226"/>
      <c r="AV236" s="226"/>
      <c r="AW236" s="226"/>
      <c r="AX236" s="226"/>
      <c r="AY236" s="226"/>
      <c r="AZ236" s="226"/>
      <c r="BA236" s="226"/>
      <c r="BB236" s="226"/>
      <c r="BC236" s="226"/>
      <c r="BD236" s="226"/>
      <c r="BE236" s="226"/>
      <c r="BF236" s="226"/>
      <c r="BG236" s="226"/>
      <c r="BH236"/>
    </row>
    <row r="237" spans="2:60" x14ac:dyDescent="0.3">
      <c r="B237" s="220"/>
      <c r="C237" s="220"/>
      <c r="D237" s="251"/>
      <c r="E237" s="251"/>
      <c r="F237" s="251"/>
      <c r="G237" s="251"/>
      <c r="H237" s="246"/>
      <c r="I237" s="260"/>
      <c r="J237" s="260"/>
      <c r="K237" s="260"/>
      <c r="L237" s="260"/>
      <c r="M237" s="231"/>
      <c r="N237" s="271"/>
      <c r="O237" s="231"/>
      <c r="P237" s="220"/>
      <c r="Q237" s="226"/>
      <c r="R237" s="226"/>
      <c r="S237" s="226"/>
      <c r="T237" s="226"/>
      <c r="U237" s="226"/>
      <c r="V237" s="226"/>
      <c r="W237" s="226"/>
      <c r="X237" s="226"/>
      <c r="Y237" s="226"/>
      <c r="Z237" s="226"/>
      <c r="AA237" s="226"/>
      <c r="AB237" s="226"/>
      <c r="AC237" s="226"/>
      <c r="AD237" s="226"/>
      <c r="AE237" s="226"/>
      <c r="AF237" s="226"/>
      <c r="AG237" s="226"/>
      <c r="AH237" s="226"/>
      <c r="AI237" s="226"/>
      <c r="AJ237" s="226"/>
      <c r="AK237" s="226"/>
      <c r="AL237" s="226"/>
      <c r="AM237" s="226"/>
      <c r="AN237" s="226"/>
      <c r="AO237" s="226"/>
      <c r="AP237" s="226"/>
      <c r="AQ237" s="226"/>
      <c r="AR237" s="226"/>
      <c r="AS237" s="226"/>
      <c r="AT237" s="226"/>
      <c r="AU237" s="226"/>
      <c r="AV237" s="226"/>
      <c r="AW237" s="226"/>
      <c r="AX237" s="226"/>
      <c r="AY237" s="226"/>
      <c r="AZ237" s="226"/>
      <c r="BA237" s="226"/>
      <c r="BB237" s="226"/>
      <c r="BC237" s="226"/>
      <c r="BD237" s="226"/>
      <c r="BE237" s="226"/>
      <c r="BF237" s="226"/>
      <c r="BG237" s="226"/>
      <c r="BH237"/>
    </row>
    <row r="238" spans="2:60" x14ac:dyDescent="0.3">
      <c r="B238" s="220"/>
      <c r="C238" s="220"/>
      <c r="D238" s="251"/>
      <c r="E238" s="251"/>
      <c r="F238" s="251"/>
      <c r="G238" s="251"/>
      <c r="H238" s="246"/>
      <c r="I238" s="260"/>
      <c r="J238" s="260"/>
      <c r="K238" s="260"/>
      <c r="L238" s="260"/>
      <c r="M238" s="231"/>
      <c r="N238" s="271"/>
      <c r="O238" s="231"/>
      <c r="P238" s="220"/>
      <c r="Q238" s="226"/>
      <c r="R238" s="226"/>
      <c r="S238" s="226"/>
      <c r="T238" s="226"/>
      <c r="U238" s="226"/>
      <c r="V238" s="226"/>
      <c r="W238" s="226"/>
      <c r="X238" s="226"/>
      <c r="Y238" s="226"/>
      <c r="Z238" s="226"/>
      <c r="AA238" s="226"/>
      <c r="AB238" s="226"/>
      <c r="AC238" s="226"/>
      <c r="AD238" s="226"/>
      <c r="AE238" s="226"/>
      <c r="AF238" s="226"/>
      <c r="AG238" s="226"/>
      <c r="AH238" s="226"/>
      <c r="AI238" s="226"/>
      <c r="AJ238" s="226"/>
      <c r="AK238" s="226"/>
      <c r="AL238" s="226"/>
      <c r="AM238" s="226"/>
      <c r="AN238" s="226"/>
      <c r="AO238" s="226"/>
      <c r="AP238" s="226"/>
      <c r="AQ238" s="226"/>
      <c r="AR238" s="226"/>
      <c r="AS238" s="226"/>
      <c r="AT238" s="226"/>
      <c r="AU238" s="226"/>
      <c r="AV238" s="226"/>
      <c r="AW238" s="226"/>
      <c r="AX238" s="226"/>
      <c r="AY238" s="226"/>
      <c r="AZ238" s="226"/>
      <c r="BA238" s="226"/>
      <c r="BB238" s="226"/>
      <c r="BC238" s="226"/>
      <c r="BD238" s="226"/>
      <c r="BE238" s="226"/>
      <c r="BF238" s="226"/>
      <c r="BG238" s="226"/>
      <c r="BH238"/>
    </row>
    <row r="239" spans="2:60" x14ac:dyDescent="0.3">
      <c r="B239" s="220"/>
      <c r="C239" s="220"/>
      <c r="D239" s="251"/>
      <c r="E239" s="251"/>
      <c r="F239" s="251"/>
      <c r="G239" s="251"/>
      <c r="H239" s="246"/>
      <c r="I239" s="260"/>
      <c r="J239" s="260"/>
      <c r="K239" s="260"/>
      <c r="L239" s="260"/>
      <c r="M239" s="231"/>
      <c r="N239" s="271"/>
      <c r="O239" s="231"/>
      <c r="P239" s="220"/>
      <c r="Q239" s="226"/>
      <c r="R239" s="226"/>
      <c r="S239" s="226"/>
      <c r="T239" s="226"/>
      <c r="U239" s="226"/>
      <c r="V239" s="226"/>
      <c r="W239" s="226"/>
      <c r="X239" s="226"/>
      <c r="Y239" s="226"/>
      <c r="Z239" s="226"/>
      <c r="AA239" s="226"/>
      <c r="AB239" s="226"/>
      <c r="AC239" s="226"/>
      <c r="AD239" s="226"/>
      <c r="AE239" s="226"/>
      <c r="AF239" s="226"/>
      <c r="AG239" s="226"/>
      <c r="AH239" s="226"/>
      <c r="AI239" s="226"/>
      <c r="AJ239" s="226"/>
      <c r="AK239" s="226"/>
      <c r="AL239" s="226"/>
      <c r="AM239" s="226"/>
      <c r="AN239" s="226"/>
      <c r="AO239" s="226"/>
      <c r="AP239" s="226"/>
      <c r="AQ239" s="226"/>
      <c r="AR239" s="226"/>
      <c r="AS239" s="226"/>
      <c r="AT239" s="226"/>
      <c r="AU239" s="226"/>
      <c r="AV239" s="226"/>
      <c r="AW239" s="226"/>
      <c r="AX239" s="226"/>
      <c r="AY239" s="226"/>
      <c r="AZ239" s="226"/>
      <c r="BA239" s="226"/>
      <c r="BB239" s="226"/>
      <c r="BC239" s="226"/>
      <c r="BD239" s="226"/>
      <c r="BE239" s="226"/>
      <c r="BF239" s="226"/>
      <c r="BG239" s="226"/>
      <c r="BH239"/>
    </row>
    <row r="240" spans="2:60" x14ac:dyDescent="0.3">
      <c r="B240" s="220"/>
      <c r="C240" s="220"/>
      <c r="D240" s="251"/>
      <c r="E240" s="251"/>
      <c r="F240" s="251"/>
      <c r="G240" s="251"/>
      <c r="H240" s="246"/>
      <c r="I240" s="260"/>
      <c r="J240" s="260"/>
      <c r="K240" s="260"/>
      <c r="L240" s="260"/>
      <c r="M240" s="231"/>
      <c r="N240" s="271"/>
      <c r="O240" s="231"/>
      <c r="P240" s="220"/>
      <c r="Q240" s="226"/>
      <c r="R240" s="226"/>
      <c r="S240" s="226"/>
      <c r="T240" s="226"/>
      <c r="U240" s="226"/>
      <c r="V240" s="226"/>
      <c r="W240" s="226"/>
      <c r="X240" s="226"/>
      <c r="Y240" s="226"/>
      <c r="Z240" s="226"/>
      <c r="AA240" s="226"/>
      <c r="AB240" s="226"/>
      <c r="AC240" s="226"/>
      <c r="AD240" s="226"/>
      <c r="AE240" s="226"/>
      <c r="AF240" s="226"/>
      <c r="AG240" s="226"/>
      <c r="AH240" s="226"/>
      <c r="AI240" s="226"/>
      <c r="AJ240" s="226"/>
      <c r="AK240" s="226"/>
      <c r="AL240" s="226"/>
      <c r="AM240" s="226"/>
      <c r="AN240" s="226"/>
      <c r="AO240" s="226"/>
      <c r="AP240" s="226"/>
      <c r="AQ240" s="226"/>
      <c r="AR240" s="226"/>
      <c r="AS240" s="226"/>
      <c r="AT240" s="226"/>
      <c r="AU240" s="226"/>
      <c r="AV240" s="226"/>
      <c r="AW240" s="226"/>
      <c r="AX240" s="226"/>
      <c r="AY240" s="226"/>
      <c r="AZ240" s="226"/>
      <c r="BA240" s="226"/>
      <c r="BB240" s="226"/>
      <c r="BC240" s="226"/>
      <c r="BD240" s="226"/>
      <c r="BE240" s="226"/>
      <c r="BF240" s="226"/>
      <c r="BG240" s="226"/>
      <c r="BH240"/>
    </row>
    <row r="241" spans="2:60" x14ac:dyDescent="0.3">
      <c r="B241" s="220"/>
      <c r="C241" s="220"/>
      <c r="D241" s="251"/>
      <c r="E241" s="251"/>
      <c r="F241" s="251"/>
      <c r="G241" s="251"/>
      <c r="H241" s="246"/>
      <c r="I241" s="260"/>
      <c r="J241" s="260"/>
      <c r="K241" s="260"/>
      <c r="L241" s="260"/>
      <c r="M241" s="231"/>
      <c r="N241" s="271"/>
      <c r="O241" s="231"/>
      <c r="P241" s="220"/>
      <c r="Q241" s="226"/>
      <c r="R241" s="226"/>
      <c r="S241" s="226"/>
      <c r="T241" s="226"/>
      <c r="U241" s="226"/>
      <c r="V241" s="226"/>
      <c r="W241" s="226"/>
      <c r="X241" s="226"/>
      <c r="Y241" s="226"/>
      <c r="Z241" s="226"/>
      <c r="AA241" s="226"/>
      <c r="AB241" s="226"/>
      <c r="AC241" s="226"/>
      <c r="AD241" s="226"/>
      <c r="AE241" s="226"/>
      <c r="AF241" s="226"/>
      <c r="AG241" s="226"/>
      <c r="AH241" s="226"/>
      <c r="AI241" s="226"/>
      <c r="AJ241" s="226"/>
      <c r="AK241" s="226"/>
      <c r="AL241" s="226"/>
      <c r="AM241" s="226"/>
      <c r="AN241" s="226"/>
      <c r="AO241" s="226"/>
      <c r="AP241" s="226"/>
      <c r="AQ241" s="226"/>
      <c r="AR241" s="226"/>
      <c r="AS241" s="226"/>
      <c r="AT241" s="226"/>
      <c r="AU241" s="226"/>
      <c r="AV241" s="226"/>
      <c r="AW241" s="226"/>
      <c r="AX241" s="226"/>
      <c r="AY241" s="226"/>
      <c r="AZ241" s="226"/>
      <c r="BA241" s="226"/>
      <c r="BB241" s="226"/>
      <c r="BC241" s="226"/>
      <c r="BD241" s="226"/>
      <c r="BE241" s="226"/>
      <c r="BF241" s="226"/>
      <c r="BG241" s="226"/>
      <c r="BH241"/>
    </row>
    <row r="242" spans="2:60" x14ac:dyDescent="0.3">
      <c r="B242" s="220"/>
      <c r="C242" s="220"/>
      <c r="D242" s="251"/>
      <c r="E242" s="251"/>
      <c r="F242" s="251"/>
      <c r="G242" s="251"/>
      <c r="H242" s="246"/>
      <c r="I242" s="260"/>
      <c r="J242" s="260"/>
      <c r="K242" s="260"/>
      <c r="L242" s="260"/>
      <c r="M242" s="231"/>
      <c r="N242" s="271"/>
      <c r="O242" s="231"/>
      <c r="P242" s="220"/>
      <c r="Q242" s="226"/>
      <c r="R242" s="226"/>
      <c r="S242" s="226"/>
      <c r="T242" s="226"/>
      <c r="U242" s="226"/>
      <c r="V242" s="226"/>
      <c r="W242" s="226"/>
      <c r="X242" s="226"/>
      <c r="Y242" s="226"/>
      <c r="Z242" s="226"/>
      <c r="AA242" s="226"/>
      <c r="AB242" s="226"/>
      <c r="AC242" s="226"/>
      <c r="AD242" s="226"/>
      <c r="AE242" s="226"/>
      <c r="AF242" s="226"/>
      <c r="AG242" s="226"/>
      <c r="AH242" s="226"/>
      <c r="AI242" s="226"/>
      <c r="AJ242" s="226"/>
      <c r="AK242" s="226"/>
      <c r="AL242" s="226"/>
      <c r="AM242" s="226"/>
      <c r="AN242" s="226"/>
      <c r="AO242" s="226"/>
      <c r="AP242" s="226"/>
      <c r="AQ242" s="226"/>
      <c r="AR242" s="226"/>
      <c r="AS242" s="226"/>
      <c r="AT242" s="226"/>
      <c r="AU242" s="226"/>
      <c r="AV242" s="226"/>
      <c r="AW242" s="226"/>
      <c r="AX242" s="226"/>
      <c r="AY242" s="226"/>
      <c r="AZ242" s="226"/>
      <c r="BA242" s="226"/>
      <c r="BB242" s="226"/>
      <c r="BC242" s="226"/>
      <c r="BD242" s="226"/>
      <c r="BE242" s="226"/>
      <c r="BF242" s="226"/>
      <c r="BG242" s="226"/>
      <c r="BH242"/>
    </row>
    <row r="243" spans="2:60" x14ac:dyDescent="0.3">
      <c r="B243" s="220"/>
      <c r="C243" s="220"/>
      <c r="D243" s="251"/>
      <c r="E243" s="251"/>
      <c r="F243" s="251"/>
      <c r="G243" s="251"/>
      <c r="H243" s="246"/>
      <c r="I243" s="260"/>
      <c r="J243" s="260"/>
      <c r="K243" s="260"/>
      <c r="L243" s="260"/>
      <c r="M243" s="231"/>
      <c r="N243" s="271"/>
      <c r="O243" s="231"/>
      <c r="P243" s="220"/>
      <c r="Q243" s="226"/>
      <c r="R243" s="226"/>
      <c r="S243" s="226"/>
      <c r="T243" s="226"/>
      <c r="U243" s="226"/>
      <c r="V243" s="226"/>
      <c r="W243" s="226"/>
      <c r="X243" s="226"/>
      <c r="Y243" s="226"/>
      <c r="Z243" s="226"/>
      <c r="AA243" s="226"/>
      <c r="AB243" s="226"/>
      <c r="AC243" s="226"/>
      <c r="AD243" s="226"/>
      <c r="AE243" s="226"/>
      <c r="AF243" s="226"/>
      <c r="AG243" s="226"/>
      <c r="AH243" s="226"/>
      <c r="AI243" s="226"/>
      <c r="AJ243" s="226"/>
      <c r="AK243" s="226"/>
      <c r="AL243" s="226"/>
      <c r="AM243" s="226"/>
      <c r="AN243" s="226"/>
      <c r="AO243" s="226"/>
      <c r="AP243" s="226"/>
      <c r="AQ243" s="226"/>
      <c r="AR243" s="226"/>
      <c r="AS243" s="226"/>
      <c r="AT243" s="226"/>
      <c r="AU243" s="226"/>
      <c r="AV243" s="226"/>
      <c r="AW243" s="226"/>
      <c r="AX243" s="226"/>
      <c r="AY243" s="226"/>
      <c r="AZ243" s="226"/>
      <c r="BA243" s="226"/>
      <c r="BB243" s="226"/>
      <c r="BC243" s="226"/>
      <c r="BD243" s="226"/>
      <c r="BE243" s="226"/>
      <c r="BF243" s="226"/>
      <c r="BG243" s="226"/>
      <c r="BH243"/>
    </row>
    <row r="244" spans="2:60" x14ac:dyDescent="0.3">
      <c r="B244" s="220"/>
      <c r="C244" s="220"/>
      <c r="D244" s="251"/>
      <c r="E244" s="251"/>
      <c r="F244" s="251"/>
      <c r="G244" s="251"/>
      <c r="H244" s="246"/>
      <c r="I244" s="260"/>
      <c r="J244" s="260"/>
      <c r="K244" s="260"/>
      <c r="L244" s="260"/>
      <c r="M244" s="231"/>
      <c r="N244" s="271"/>
      <c r="O244" s="231"/>
      <c r="P244" s="220"/>
      <c r="Q244" s="226"/>
      <c r="R244" s="226"/>
      <c r="S244" s="226"/>
      <c r="T244" s="226"/>
      <c r="U244" s="226"/>
      <c r="V244" s="226"/>
      <c r="W244" s="226"/>
      <c r="X244" s="226"/>
      <c r="Y244" s="226"/>
      <c r="Z244" s="226"/>
      <c r="AA244" s="226"/>
      <c r="AB244" s="226"/>
      <c r="AC244" s="226"/>
      <c r="AD244" s="226"/>
      <c r="AE244" s="226"/>
      <c r="AF244" s="226"/>
      <c r="AG244" s="226"/>
      <c r="AH244" s="226"/>
      <c r="AI244" s="226"/>
      <c r="AJ244" s="226"/>
      <c r="AK244" s="226"/>
      <c r="AL244" s="226"/>
      <c r="AM244" s="226"/>
      <c r="AN244" s="226"/>
      <c r="AO244" s="226"/>
      <c r="AP244" s="226"/>
      <c r="AQ244" s="226"/>
      <c r="AR244" s="226"/>
      <c r="AS244" s="226"/>
      <c r="AT244" s="226"/>
      <c r="AU244" s="226"/>
      <c r="AV244" s="226"/>
      <c r="AW244" s="226"/>
      <c r="AX244" s="226"/>
      <c r="AY244" s="226"/>
      <c r="AZ244" s="226"/>
      <c r="BA244" s="226"/>
      <c r="BB244" s="226"/>
      <c r="BC244" s="226"/>
      <c r="BD244" s="226"/>
      <c r="BE244" s="226"/>
      <c r="BF244" s="226"/>
      <c r="BG244" s="226"/>
      <c r="BH244"/>
    </row>
    <row r="245" spans="2:60" x14ac:dyDescent="0.3">
      <c r="B245" s="220"/>
      <c r="C245" s="220"/>
      <c r="D245" s="251"/>
      <c r="E245" s="251"/>
      <c r="F245" s="251"/>
      <c r="G245" s="251"/>
      <c r="H245" s="246"/>
      <c r="I245" s="260"/>
      <c r="J245" s="260"/>
      <c r="K245" s="260"/>
      <c r="L245" s="260"/>
      <c r="M245" s="231"/>
      <c r="N245" s="271"/>
      <c r="O245" s="231"/>
      <c r="P245" s="220"/>
      <c r="Q245" s="226"/>
      <c r="R245" s="226"/>
      <c r="S245" s="226"/>
      <c r="T245" s="226"/>
      <c r="U245" s="226"/>
      <c r="V245" s="226"/>
      <c r="W245" s="226"/>
      <c r="X245" s="226"/>
      <c r="Y245" s="226"/>
      <c r="Z245" s="226"/>
      <c r="AA245" s="226"/>
      <c r="AB245" s="226"/>
      <c r="AC245" s="226"/>
      <c r="AD245" s="226"/>
      <c r="AE245" s="226"/>
      <c r="AF245" s="226"/>
      <c r="AG245" s="226"/>
      <c r="AH245" s="226"/>
      <c r="AI245" s="226"/>
      <c r="AJ245" s="226"/>
      <c r="AK245" s="226"/>
      <c r="AL245" s="226"/>
      <c r="AM245" s="226"/>
      <c r="AN245" s="226"/>
      <c r="AO245" s="226"/>
      <c r="AP245" s="226"/>
      <c r="AQ245" s="226"/>
      <c r="AR245" s="226"/>
      <c r="AS245" s="226"/>
      <c r="AT245" s="226"/>
      <c r="AU245" s="226"/>
      <c r="AV245" s="226"/>
      <c r="AW245" s="226"/>
      <c r="AX245" s="226"/>
      <c r="AY245" s="226"/>
      <c r="AZ245" s="226"/>
      <c r="BA245" s="226"/>
      <c r="BB245" s="226"/>
      <c r="BC245" s="226"/>
      <c r="BD245" s="226"/>
      <c r="BE245" s="226"/>
      <c r="BF245" s="226"/>
      <c r="BG245" s="226"/>
      <c r="BH245"/>
    </row>
    <row r="246" spans="2:60" x14ac:dyDescent="0.3">
      <c r="D246" s="234"/>
      <c r="E246" s="234"/>
      <c r="F246" s="234"/>
      <c r="G246" s="234"/>
      <c r="O246" s="239"/>
      <c r="BH246" s="232" t="e">
        <f>Tab.plano6[[#This Row],[Data Término
Prevista]]-Tab.plano6[[#This Row],[Data Início
Previsto]]</f>
        <v>#VALUE!</v>
      </c>
    </row>
    <row r="247" spans="2:60" x14ac:dyDescent="0.3">
      <c r="D247" s="254"/>
      <c r="E247" s="254"/>
      <c r="F247" s="254"/>
      <c r="G247" s="254"/>
      <c r="H247" s="236"/>
      <c r="O247" s="239"/>
      <c r="BH247" s="232" t="e">
        <f>Tab.plano6[[#This Row],[Data Término
Prevista]]-Tab.plano6[[#This Row],[Data Início
Previsto]]</f>
        <v>#VALUE!</v>
      </c>
    </row>
    <row r="248" spans="2:60" x14ac:dyDescent="0.3">
      <c r="D248" s="254"/>
      <c r="E248" s="254"/>
      <c r="F248" s="254"/>
      <c r="G248" s="254"/>
      <c r="H248" s="267"/>
      <c r="I248" s="267"/>
      <c r="O248" s="239"/>
      <c r="BH248" s="232" t="e">
        <f>Tab.plano6[[#This Row],[Data Término
Prevista]]-Tab.plano6[[#This Row],[Data Início
Previsto]]</f>
        <v>#VALUE!</v>
      </c>
    </row>
    <row r="249" spans="2:60" x14ac:dyDescent="0.3">
      <c r="D249" s="254"/>
      <c r="E249" s="254"/>
      <c r="F249" s="254"/>
      <c r="G249" s="254"/>
      <c r="H249" s="267"/>
      <c r="O249" s="239"/>
      <c r="BH249" s="232" t="e">
        <f>Tab.plano6[[#This Row],[Data Término
Prevista]]-Tab.plano6[[#This Row],[Data Início
Previsto]]</f>
        <v>#VALUE!</v>
      </c>
    </row>
    <row r="250" spans="2:60" x14ac:dyDescent="0.3">
      <c r="B250" s="244"/>
      <c r="C250" s="244"/>
      <c r="D250" s="254"/>
      <c r="E250" s="254"/>
      <c r="F250" s="254"/>
      <c r="G250" s="254"/>
      <c r="H250" s="267"/>
      <c r="M250" s="244"/>
      <c r="N250" s="244"/>
      <c r="O250" s="245"/>
      <c r="P250" s="244"/>
      <c r="Q250" s="244"/>
      <c r="R250" s="244"/>
      <c r="S250" s="244"/>
      <c r="T250" s="244"/>
      <c r="U250" s="244"/>
      <c r="V250" s="244"/>
      <c r="W250" s="244"/>
      <c r="X250" s="244"/>
      <c r="Y250" s="244"/>
      <c r="Z250" s="244"/>
      <c r="AA250" s="244"/>
      <c r="AB250" s="244"/>
      <c r="AC250" s="244"/>
      <c r="AD250" s="244"/>
      <c r="AE250" s="244"/>
      <c r="AF250" s="244"/>
      <c r="AG250" s="244"/>
      <c r="AH250" s="244"/>
      <c r="AI250" s="244"/>
      <c r="AJ250" s="244"/>
      <c r="AK250" s="244"/>
      <c r="AL250" s="244"/>
      <c r="AM250" s="244"/>
      <c r="AN250" s="244"/>
      <c r="AO250" s="244"/>
      <c r="AP250" s="244"/>
      <c r="AQ250" s="244"/>
      <c r="AR250" s="244"/>
      <c r="AS250" s="244"/>
      <c r="AT250" s="244"/>
      <c r="AU250" s="244"/>
      <c r="AV250" s="244"/>
      <c r="AW250" s="244"/>
      <c r="AX250" s="244"/>
      <c r="AY250" s="244"/>
      <c r="AZ250" s="244"/>
      <c r="BA250" s="244"/>
      <c r="BB250" s="244"/>
      <c r="BC250" s="244"/>
      <c r="BD250" s="244"/>
      <c r="BE250" s="244"/>
      <c r="BF250" s="244"/>
      <c r="BG250" s="244"/>
      <c r="BH250" s="244" t="e">
        <f>Tab.plano6[[#This Row],[Data Término
Prevista]]-Tab.plano6[[#This Row],[Data Início
Previsto]]</f>
        <v>#VALUE!</v>
      </c>
    </row>
    <row r="251" spans="2:60" x14ac:dyDescent="0.3">
      <c r="D251" s="254"/>
      <c r="E251" s="254"/>
      <c r="F251" s="254"/>
      <c r="G251" s="254"/>
      <c r="H251" s="267"/>
      <c r="N251" s="261"/>
      <c r="O251" s="239"/>
      <c r="BH251" s="232" t="e">
        <f>Tab.plano6[[#This Row],[Data Término
Prevista]]-Tab.plano6[[#This Row],[Data Início
Previsto]]</f>
        <v>#VALUE!</v>
      </c>
    </row>
    <row r="252" spans="2:60" x14ac:dyDescent="0.3">
      <c r="D252" s="254"/>
      <c r="E252" s="254"/>
      <c r="F252" s="254"/>
      <c r="G252" s="254"/>
      <c r="H252" s="267"/>
      <c r="N252" s="264"/>
      <c r="O252" s="239"/>
      <c r="BH252" s="232" t="e">
        <f>Tab.plano6[[#This Row],[Data Término
Prevista]]-Tab.plano6[[#This Row],[Data Início
Previsto]]</f>
        <v>#VALUE!</v>
      </c>
    </row>
    <row r="253" spans="2:60" x14ac:dyDescent="0.3">
      <c r="B253" s="244"/>
      <c r="C253" s="244"/>
      <c r="D253" s="254"/>
      <c r="E253" s="254"/>
      <c r="F253" s="254"/>
      <c r="G253" s="254"/>
      <c r="H253" s="244"/>
      <c r="N253" s="244"/>
      <c r="O253" s="245"/>
      <c r="P253" s="244"/>
      <c r="Q253" s="244"/>
      <c r="R253" s="244"/>
      <c r="S253" s="244"/>
      <c r="T253" s="244"/>
      <c r="U253" s="244"/>
      <c r="V253" s="244"/>
      <c r="W253" s="244"/>
      <c r="X253" s="244"/>
      <c r="Y253" s="244"/>
      <c r="Z253" s="244"/>
      <c r="AA253" s="244"/>
      <c r="AB253" s="244"/>
      <c r="AC253" s="244"/>
      <c r="AD253" s="244"/>
      <c r="AE253" s="244"/>
      <c r="AF253" s="244"/>
      <c r="AG253" s="244"/>
      <c r="AH253" s="244"/>
      <c r="AI253" s="244"/>
      <c r="AJ253" s="244"/>
      <c r="AK253" s="244"/>
      <c r="AL253" s="244"/>
      <c r="AM253" s="244"/>
      <c r="AN253" s="244"/>
      <c r="AO253" s="244"/>
      <c r="AP253" s="244"/>
      <c r="AQ253" s="244"/>
      <c r="AR253" s="244"/>
      <c r="AS253" s="244"/>
      <c r="AT253" s="244"/>
      <c r="AU253" s="244"/>
      <c r="AV253" s="244"/>
      <c r="AW253" s="244"/>
      <c r="AX253" s="244"/>
      <c r="AY253" s="244"/>
      <c r="AZ253" s="244"/>
      <c r="BA253" s="244"/>
      <c r="BB253" s="244"/>
      <c r="BC253" s="244"/>
      <c r="BD253" s="244"/>
      <c r="BE253" s="244"/>
      <c r="BF253" s="244"/>
      <c r="BG253" s="244"/>
      <c r="BH253" s="244" t="e">
        <f>Tab.plano6[[#This Row],[Data Término
Prevista]]-Tab.plano6[[#This Row],[Data Início
Previsto]]</f>
        <v>#VALUE!</v>
      </c>
    </row>
    <row r="254" spans="2:60" x14ac:dyDescent="0.3">
      <c r="B254" s="244"/>
      <c r="C254" s="244"/>
      <c r="D254" s="254"/>
      <c r="E254" s="254"/>
      <c r="F254" s="254"/>
      <c r="G254" s="254"/>
      <c r="H254" s="244"/>
      <c r="N254" s="244"/>
      <c r="O254" s="245"/>
      <c r="P254" s="244"/>
      <c r="Q254" s="244"/>
      <c r="R254" s="244"/>
      <c r="S254" s="244"/>
      <c r="T254" s="244"/>
      <c r="U254" s="244"/>
      <c r="V254" s="244"/>
      <c r="W254" s="244"/>
      <c r="X254" s="244"/>
      <c r="Y254" s="244"/>
      <c r="Z254" s="244"/>
      <c r="AA254" s="244"/>
      <c r="AB254" s="244"/>
      <c r="AC254" s="244"/>
      <c r="AD254" s="244"/>
      <c r="AE254" s="244"/>
      <c r="AF254" s="244"/>
      <c r="AG254" s="244"/>
      <c r="AH254" s="244"/>
      <c r="AI254" s="244"/>
      <c r="AJ254" s="244"/>
      <c r="AK254" s="244"/>
      <c r="AL254" s="244"/>
      <c r="AM254" s="244"/>
      <c r="AN254" s="244"/>
      <c r="AO254" s="244"/>
      <c r="AP254" s="244"/>
      <c r="AQ254" s="244"/>
      <c r="AR254" s="244"/>
      <c r="AS254" s="244"/>
      <c r="AT254" s="244"/>
      <c r="AU254" s="244"/>
      <c r="AV254" s="244"/>
      <c r="AW254" s="244"/>
      <c r="AX254" s="244"/>
      <c r="AY254" s="244"/>
      <c r="AZ254" s="244"/>
      <c r="BA254" s="244"/>
      <c r="BB254" s="244"/>
      <c r="BC254" s="244"/>
      <c r="BD254" s="244"/>
      <c r="BE254" s="244"/>
      <c r="BF254" s="244"/>
      <c r="BG254" s="244"/>
      <c r="BH254" s="244" t="e">
        <f>Tab.plano6[[#This Row],[Data Término
Prevista]]-Tab.plano6[[#This Row],[Data Início
Previsto]]</f>
        <v>#VALUE!</v>
      </c>
    </row>
    <row r="255" spans="2:60" x14ac:dyDescent="0.3">
      <c r="B255" s="244"/>
      <c r="C255" s="244"/>
      <c r="D255" s="254"/>
      <c r="E255" s="254"/>
      <c r="F255" s="254"/>
      <c r="G255" s="254"/>
      <c r="H255" s="244"/>
      <c r="N255" s="263"/>
      <c r="O255" s="245"/>
      <c r="P255" s="244"/>
      <c r="Q255" s="244"/>
      <c r="R255" s="244"/>
      <c r="S255" s="244"/>
      <c r="T255" s="244"/>
      <c r="U255" s="244"/>
      <c r="V255" s="244"/>
      <c r="W255" s="244"/>
      <c r="X255" s="244"/>
      <c r="Y255" s="244"/>
      <c r="Z255" s="244"/>
      <c r="AA255" s="244"/>
      <c r="AB255" s="244"/>
      <c r="AC255" s="244"/>
      <c r="AD255" s="244"/>
      <c r="AE255" s="244"/>
      <c r="AF255" s="244"/>
      <c r="AG255" s="244"/>
      <c r="AH255" s="244"/>
      <c r="AI255" s="244"/>
      <c r="AJ255" s="244"/>
      <c r="AK255" s="244"/>
      <c r="AL255" s="244"/>
      <c r="AM255" s="244"/>
      <c r="AN255" s="244"/>
      <c r="AO255" s="244"/>
      <c r="AP255" s="244"/>
      <c r="AQ255" s="244"/>
      <c r="AR255" s="244"/>
      <c r="AS255" s="244"/>
      <c r="AT255" s="244"/>
      <c r="AU255" s="244"/>
      <c r="AV255" s="244"/>
      <c r="AW255" s="244"/>
      <c r="AX255" s="244"/>
      <c r="AY255" s="244"/>
      <c r="AZ255" s="244"/>
      <c r="BA255" s="244"/>
      <c r="BB255" s="244"/>
      <c r="BC255" s="244"/>
      <c r="BD255" s="244"/>
      <c r="BE255" s="244"/>
      <c r="BF255" s="244"/>
      <c r="BG255" s="244"/>
      <c r="BH255" s="244" t="e">
        <f>Tab.plano6[[#This Row],[Data Término
Prevista]]-Tab.plano6[[#This Row],[Data Início
Previsto]]</f>
        <v>#VALUE!</v>
      </c>
    </row>
    <row r="256" spans="2:60" x14ac:dyDescent="0.3">
      <c r="B256" s="244"/>
      <c r="C256" s="244"/>
      <c r="D256" s="254"/>
      <c r="E256" s="254"/>
      <c r="F256" s="254"/>
      <c r="G256" s="254"/>
      <c r="H256" s="244"/>
      <c r="N256" s="244"/>
      <c r="O256" s="245"/>
      <c r="P256" s="244"/>
      <c r="Q256" s="244"/>
      <c r="R256" s="244"/>
      <c r="S256" s="244"/>
      <c r="T256" s="244"/>
      <c r="U256" s="244"/>
      <c r="V256" s="244"/>
      <c r="W256" s="244"/>
      <c r="X256" s="244"/>
      <c r="Y256" s="244"/>
      <c r="Z256" s="244"/>
      <c r="AA256" s="244"/>
      <c r="AB256" s="244"/>
      <c r="AC256" s="244"/>
      <c r="AD256" s="244"/>
      <c r="AE256" s="244"/>
      <c r="AF256" s="244"/>
      <c r="AG256" s="244"/>
      <c r="AH256" s="244"/>
      <c r="AI256" s="244"/>
      <c r="AJ256" s="244"/>
      <c r="AK256" s="244"/>
      <c r="AL256" s="244"/>
      <c r="AM256" s="244"/>
      <c r="AN256" s="244"/>
      <c r="AO256" s="244"/>
      <c r="AP256" s="244"/>
      <c r="AQ256" s="244"/>
      <c r="AR256" s="244"/>
      <c r="AS256" s="244"/>
      <c r="AT256" s="244"/>
      <c r="AU256" s="244"/>
      <c r="AV256" s="244"/>
      <c r="AW256" s="244"/>
      <c r="AX256" s="244"/>
      <c r="AY256" s="244"/>
      <c r="AZ256" s="244"/>
      <c r="BA256" s="244"/>
      <c r="BB256" s="244"/>
      <c r="BC256" s="244"/>
      <c r="BD256" s="244"/>
      <c r="BE256" s="244"/>
      <c r="BF256" s="244"/>
      <c r="BG256" s="244"/>
      <c r="BH256" s="244" t="e">
        <f>Tab.plano6[[#This Row],[Data Término
Prevista]]-Tab.plano6[[#This Row],[Data Início
Previsto]]</f>
        <v>#VALUE!</v>
      </c>
    </row>
    <row r="257" spans="2:60" x14ac:dyDescent="0.3">
      <c r="B257" s="244"/>
      <c r="C257" s="244"/>
      <c r="D257" s="254"/>
      <c r="E257" s="254"/>
      <c r="F257" s="254"/>
      <c r="G257" s="254"/>
      <c r="H257" s="244"/>
      <c r="M257" s="244"/>
      <c r="O257" s="245"/>
      <c r="P257" s="244"/>
      <c r="Q257" s="244"/>
      <c r="R257" s="244"/>
      <c r="S257" s="244"/>
      <c r="T257" s="244"/>
      <c r="U257" s="244"/>
      <c r="V257" s="244"/>
      <c r="W257" s="244"/>
      <c r="X257" s="244"/>
      <c r="Y257" s="244"/>
      <c r="Z257" s="244"/>
      <c r="AA257" s="244"/>
      <c r="AB257" s="244"/>
      <c r="AC257" s="244"/>
      <c r="AD257" s="244"/>
      <c r="AE257" s="244"/>
      <c r="AF257" s="244"/>
      <c r="AG257" s="244"/>
      <c r="AH257" s="244"/>
      <c r="AI257" s="244"/>
      <c r="AJ257" s="244"/>
      <c r="AK257" s="244"/>
      <c r="AL257" s="244"/>
      <c r="AM257" s="244"/>
      <c r="AN257" s="244"/>
      <c r="AO257" s="244"/>
      <c r="AP257" s="244"/>
      <c r="AQ257" s="244"/>
      <c r="AR257" s="244"/>
      <c r="AS257" s="244"/>
      <c r="AT257" s="244"/>
      <c r="AU257" s="244"/>
      <c r="AV257" s="244"/>
      <c r="AW257" s="244"/>
      <c r="AX257" s="244"/>
      <c r="AY257" s="244"/>
      <c r="AZ257" s="244"/>
      <c r="BA257" s="244"/>
      <c r="BB257" s="244"/>
      <c r="BC257" s="244"/>
      <c r="BD257" s="244"/>
      <c r="BE257" s="244"/>
      <c r="BF257" s="244"/>
      <c r="BG257" s="244"/>
      <c r="BH257" s="244" t="e">
        <f>Tab.plano6[[#This Row],[Data Término
Prevista]]-Tab.plano6[[#This Row],[Data Início
Previsto]]</f>
        <v>#VALUE!</v>
      </c>
    </row>
    <row r="258" spans="2:60" x14ac:dyDescent="0.3">
      <c r="B258" s="244"/>
      <c r="C258" s="244"/>
      <c r="D258" s="234"/>
      <c r="E258" s="234"/>
      <c r="F258" s="234"/>
      <c r="G258" s="234"/>
      <c r="H258" s="244"/>
      <c r="N258" s="244"/>
      <c r="O258" s="245"/>
      <c r="P258" s="244"/>
      <c r="Q258" s="244"/>
      <c r="R258" s="244"/>
      <c r="S258" s="244"/>
      <c r="T258" s="244"/>
      <c r="U258" s="244"/>
      <c r="V258" s="244"/>
      <c r="W258" s="244"/>
      <c r="X258" s="244"/>
      <c r="Y258" s="244"/>
      <c r="Z258" s="244"/>
      <c r="AA258" s="244"/>
      <c r="AB258" s="244"/>
      <c r="AC258" s="244"/>
      <c r="AD258" s="244"/>
      <c r="AE258" s="244"/>
      <c r="AF258" s="244"/>
      <c r="AG258" s="244"/>
      <c r="AH258" s="244"/>
      <c r="AI258" s="244"/>
      <c r="AJ258" s="244"/>
      <c r="AK258" s="244"/>
      <c r="AL258" s="244"/>
      <c r="AM258" s="244"/>
      <c r="AN258" s="244"/>
      <c r="AO258" s="244"/>
      <c r="AP258" s="244"/>
      <c r="AQ258" s="244"/>
      <c r="AR258" s="244"/>
      <c r="AS258" s="244"/>
      <c r="AT258" s="244"/>
      <c r="AU258" s="244"/>
      <c r="AV258" s="244"/>
      <c r="AW258" s="244"/>
      <c r="AX258" s="244"/>
      <c r="AY258" s="244"/>
      <c r="AZ258" s="244"/>
      <c r="BA258" s="244"/>
      <c r="BB258" s="244"/>
      <c r="BC258" s="244"/>
      <c r="BD258" s="244"/>
      <c r="BE258" s="244"/>
      <c r="BF258" s="244"/>
      <c r="BG258" s="244"/>
      <c r="BH258" s="244" t="e">
        <f>Tab.plano6[[#This Row],[Data Término
Prevista]]-Tab.plano6[[#This Row],[Data Início
Previsto]]</f>
        <v>#VALUE!</v>
      </c>
    </row>
    <row r="259" spans="2:60" x14ac:dyDescent="0.3">
      <c r="B259" s="244"/>
      <c r="C259" s="244"/>
      <c r="D259" s="234"/>
      <c r="E259" s="234"/>
      <c r="F259" s="234"/>
      <c r="G259" s="234"/>
      <c r="H259" s="244"/>
      <c r="N259" s="244"/>
      <c r="O259" s="245"/>
      <c r="P259" s="244"/>
      <c r="Q259" s="244"/>
      <c r="R259" s="244"/>
      <c r="S259" s="244"/>
      <c r="T259" s="244"/>
      <c r="U259" s="244"/>
      <c r="V259" s="244"/>
      <c r="W259" s="244"/>
      <c r="X259" s="244"/>
      <c r="Y259" s="244"/>
      <c r="Z259" s="244"/>
      <c r="AA259" s="244"/>
      <c r="AB259" s="244"/>
      <c r="AC259" s="244"/>
      <c r="AD259" s="244"/>
      <c r="AE259" s="244"/>
      <c r="AF259" s="244"/>
      <c r="AG259" s="244"/>
      <c r="AH259" s="244"/>
      <c r="AI259" s="244"/>
      <c r="AJ259" s="244"/>
      <c r="AK259" s="244"/>
      <c r="AL259" s="244"/>
      <c r="AM259" s="244"/>
      <c r="AN259" s="244"/>
      <c r="AO259" s="244"/>
      <c r="AP259" s="244"/>
      <c r="AQ259" s="244"/>
      <c r="AR259" s="244"/>
      <c r="AS259" s="244"/>
      <c r="AT259" s="244"/>
      <c r="AU259" s="244"/>
      <c r="AV259" s="244"/>
      <c r="AW259" s="244"/>
      <c r="AX259" s="244"/>
      <c r="AY259" s="244"/>
      <c r="AZ259" s="244"/>
      <c r="BA259" s="244"/>
      <c r="BB259" s="244"/>
      <c r="BC259" s="244"/>
      <c r="BD259" s="244"/>
      <c r="BE259" s="244"/>
      <c r="BF259" s="244"/>
      <c r="BG259" s="244"/>
      <c r="BH259" s="244" t="e">
        <f>Tab.plano6[[#This Row],[Data Término
Prevista]]-Tab.plano6[[#This Row],[Data Início
Previsto]]</f>
        <v>#VALUE!</v>
      </c>
    </row>
    <row r="260" spans="2:60" x14ac:dyDescent="0.3">
      <c r="D260" s="234"/>
      <c r="E260" s="234"/>
      <c r="F260" s="234"/>
      <c r="G260" s="234"/>
      <c r="O260" s="239"/>
      <c r="BH260" s="232" t="e">
        <f>Tab.plano6[[#This Row],[Data Término
Prevista]]-Tab.plano6[[#This Row],[Data Início
Previsto]]</f>
        <v>#VALUE!</v>
      </c>
    </row>
    <row r="261" spans="2:60" x14ac:dyDescent="0.3">
      <c r="D261" s="234"/>
      <c r="E261" s="234"/>
      <c r="F261" s="234"/>
      <c r="G261" s="234"/>
      <c r="O261" s="239"/>
      <c r="BH261" s="232" t="e">
        <f>Tab.plano6[[#This Row],[Data Término
Prevista]]-Tab.plano6[[#This Row],[Data Início
Previsto]]</f>
        <v>#VALUE!</v>
      </c>
    </row>
    <row r="262" spans="2:60" x14ac:dyDescent="0.3">
      <c r="D262" s="244"/>
      <c r="E262" s="244"/>
      <c r="F262" s="244"/>
      <c r="G262" s="244"/>
      <c r="O262" s="239"/>
      <c r="BH262" s="232" t="e">
        <f>Tab.plano6[[#This Row],[Data Término
Prevista]]-Tab.plano6[[#This Row],[Data Início
Previsto]]</f>
        <v>#VALUE!</v>
      </c>
    </row>
    <row r="263" spans="2:60" x14ac:dyDescent="0.3">
      <c r="D263" s="234"/>
      <c r="E263" s="234"/>
      <c r="F263" s="234"/>
      <c r="G263" s="234"/>
      <c r="H263" s="238"/>
      <c r="O263" s="239"/>
      <c r="BH263" s="232" t="e">
        <f>Tab.plano6[[#This Row],[Data Término
Prevista]]-Tab.plano6[[#This Row],[Data Início
Previsto]]</f>
        <v>#VALUE!</v>
      </c>
    </row>
    <row r="264" spans="2:60" x14ac:dyDescent="0.3">
      <c r="D264" s="234"/>
      <c r="E264" s="234"/>
      <c r="F264" s="234"/>
      <c r="G264" s="234"/>
      <c r="O264" s="239"/>
      <c r="BH264" s="232" t="e">
        <f>Tab.plano6[[#This Row],[Data Término
Prevista]]-Tab.plano6[[#This Row],[Data Início
Previsto]]</f>
        <v>#VALUE!</v>
      </c>
    </row>
    <row r="265" spans="2:60" x14ac:dyDescent="0.3">
      <c r="D265" s="244"/>
      <c r="E265" s="244"/>
      <c r="F265" s="244"/>
      <c r="G265" s="244"/>
      <c r="O265" s="239"/>
      <c r="BH265" s="232" t="e">
        <f>Tab.plano6[[#This Row],[Data Término
Prevista]]-Tab.plano6[[#This Row],[Data Início
Previsto]]</f>
        <v>#VALUE!</v>
      </c>
    </row>
    <row r="266" spans="2:60" x14ac:dyDescent="0.3">
      <c r="D266" s="244"/>
      <c r="E266" s="244"/>
      <c r="F266" s="244"/>
      <c r="G266" s="244"/>
      <c r="O266" s="239"/>
      <c r="BH266" s="232" t="e">
        <f>Tab.plano6[[#This Row],[Data Término
Prevista]]-Tab.plano6[[#This Row],[Data Início
Previsto]]</f>
        <v>#VALUE!</v>
      </c>
    </row>
    <row r="267" spans="2:60" x14ac:dyDescent="0.3">
      <c r="D267" s="244"/>
      <c r="E267" s="244"/>
      <c r="F267" s="244"/>
      <c r="G267" s="244"/>
      <c r="O267" s="239"/>
      <c r="BH267" s="232" t="e">
        <f>Tab.plano6[[#This Row],[Data Término
Prevista]]-Tab.plano6[[#This Row],[Data Início
Previsto]]</f>
        <v>#VALUE!</v>
      </c>
    </row>
    <row r="268" spans="2:60" x14ac:dyDescent="0.3">
      <c r="D268" s="244"/>
      <c r="E268" s="244"/>
      <c r="F268" s="244"/>
      <c r="G268" s="244"/>
      <c r="I268" s="265"/>
      <c r="O268" s="239"/>
      <c r="BH268" s="232" t="e">
        <f>Tab.plano6[[#This Row],[Data Término
Prevista]]-Tab.plano6[[#This Row],[Data Início
Previsto]]</f>
        <v>#VALUE!</v>
      </c>
    </row>
    <row r="269" spans="2:60" x14ac:dyDescent="0.3">
      <c r="D269" s="244"/>
      <c r="E269" s="244"/>
      <c r="F269" s="244"/>
      <c r="G269" s="244"/>
      <c r="O269" s="239"/>
      <c r="BH269" s="232" t="e">
        <f>Tab.plano6[[#This Row],[Data Término
Prevista]]-Tab.plano6[[#This Row],[Data Início
Previsto]]</f>
        <v>#VALUE!</v>
      </c>
    </row>
    <row r="270" spans="2:60" x14ac:dyDescent="0.3">
      <c r="D270" s="244"/>
      <c r="E270" s="244"/>
      <c r="F270" s="244"/>
      <c r="G270" s="244"/>
      <c r="O270" s="239"/>
      <c r="BH270" s="232" t="e">
        <f>Tab.plano6[[#This Row],[Data Término
Prevista]]-Tab.plano6[[#This Row],[Data Início
Previsto]]</f>
        <v>#VALUE!</v>
      </c>
    </row>
    <row r="271" spans="2:60" x14ac:dyDescent="0.3">
      <c r="D271" s="244"/>
      <c r="E271" s="244"/>
      <c r="F271" s="244"/>
      <c r="G271" s="244"/>
      <c r="O271" s="239"/>
      <c r="BH271" s="232" t="e">
        <f>Tab.plano6[[#This Row],[Data Término
Prevista]]-Tab.plano6[[#This Row],[Data Início
Previsto]]</f>
        <v>#VALUE!</v>
      </c>
    </row>
    <row r="272" spans="2:60" x14ac:dyDescent="0.3">
      <c r="D272" s="234"/>
      <c r="E272" s="234"/>
      <c r="F272" s="234"/>
      <c r="G272" s="234"/>
      <c r="O272" s="239"/>
      <c r="BH272" s="232" t="e">
        <f>Tab.plano6[[#This Row],[Data Término
Prevista]]-Tab.plano6[[#This Row],[Data Início
Previsto]]</f>
        <v>#VALUE!</v>
      </c>
    </row>
    <row r="273" spans="2:60" x14ac:dyDescent="0.3">
      <c r="D273" s="234"/>
      <c r="E273" s="234"/>
      <c r="F273" s="234"/>
      <c r="G273" s="234"/>
      <c r="O273" s="239"/>
      <c r="BH273" s="232" t="e">
        <f>Tab.plano6[[#This Row],[Data Término
Prevista]]-Tab.plano6[[#This Row],[Data Início
Previsto]]</f>
        <v>#VALUE!</v>
      </c>
    </row>
    <row r="274" spans="2:60" x14ac:dyDescent="0.3">
      <c r="D274" s="234"/>
      <c r="E274" s="234"/>
      <c r="F274" s="234"/>
      <c r="G274" s="234"/>
      <c r="O274" s="239"/>
      <c r="BH274" s="232" t="e">
        <f>Tab.plano6[[#This Row],[Data Término
Prevista]]-Tab.plano6[[#This Row],[Data Início
Previsto]]</f>
        <v>#VALUE!</v>
      </c>
    </row>
    <row r="275" spans="2:60" x14ac:dyDescent="0.3">
      <c r="D275" s="234"/>
      <c r="E275" s="234"/>
      <c r="F275" s="234"/>
      <c r="G275" s="234"/>
      <c r="O275" s="239"/>
      <c r="BH275" s="232" t="e">
        <f>Tab.plano6[[#This Row],[Data Término
Prevista]]-Tab.plano6[[#This Row],[Data Início
Previsto]]</f>
        <v>#VALUE!</v>
      </c>
    </row>
    <row r="276" spans="2:60" x14ac:dyDescent="0.3">
      <c r="D276" s="234"/>
      <c r="E276" s="234"/>
      <c r="F276" s="234"/>
      <c r="G276" s="234"/>
      <c r="O276" s="239"/>
      <c r="BH276" s="232" t="e">
        <f>Tab.plano6[[#This Row],[Data Término
Prevista]]-Tab.plano6[[#This Row],[Data Início
Previsto]]</f>
        <v>#VALUE!</v>
      </c>
    </row>
    <row r="277" spans="2:60" x14ac:dyDescent="0.3">
      <c r="B277" s="244"/>
      <c r="C277" s="244"/>
      <c r="D277" s="234"/>
      <c r="E277" s="234"/>
      <c r="F277" s="234"/>
      <c r="G277" s="234"/>
      <c r="H277" s="244"/>
      <c r="I277" s="244"/>
      <c r="J277" s="244"/>
      <c r="K277" s="244"/>
      <c r="L277" s="244"/>
      <c r="M277" s="244"/>
      <c r="N277" s="244"/>
      <c r="O277" s="245"/>
      <c r="P277" s="244"/>
      <c r="Q277" s="244"/>
      <c r="R277" s="244"/>
      <c r="S277" s="244"/>
      <c r="T277" s="244"/>
      <c r="U277" s="244"/>
      <c r="V277" s="244"/>
      <c r="W277" s="244"/>
      <c r="X277" s="244"/>
      <c r="Y277" s="244"/>
      <c r="Z277" s="244"/>
      <c r="AA277" s="244"/>
      <c r="AB277" s="244"/>
      <c r="AC277" s="244"/>
      <c r="AD277" s="244"/>
      <c r="AE277" s="244"/>
      <c r="AF277" s="244"/>
      <c r="AG277" s="244"/>
      <c r="AH277" s="244"/>
      <c r="AI277" s="244"/>
      <c r="AJ277" s="244"/>
      <c r="AK277" s="244"/>
      <c r="AL277" s="244"/>
      <c r="AM277" s="244"/>
      <c r="AN277" s="244"/>
      <c r="AO277" s="244"/>
      <c r="AP277" s="244"/>
      <c r="AQ277" s="244"/>
      <c r="AR277" s="244"/>
      <c r="AS277" s="244"/>
      <c r="AT277" s="244"/>
      <c r="AU277" s="244"/>
      <c r="AV277" s="244"/>
      <c r="AW277" s="244"/>
      <c r="AX277" s="244"/>
      <c r="AY277" s="244"/>
      <c r="AZ277" s="244"/>
      <c r="BA277" s="244"/>
      <c r="BB277" s="244"/>
      <c r="BC277" s="244"/>
      <c r="BD277" s="244"/>
      <c r="BE277" s="244"/>
      <c r="BF277" s="244"/>
      <c r="BG277" s="244"/>
      <c r="BH277" s="244" t="e">
        <f>Tab.plano6[[#This Row],[Data Término
Prevista]]-Tab.plano6[[#This Row],[Data Início
Previsto]]</f>
        <v>#VALUE!</v>
      </c>
    </row>
    <row r="278" spans="2:60" x14ac:dyDescent="0.3">
      <c r="B278" s="244"/>
      <c r="C278" s="244"/>
      <c r="D278" s="234"/>
      <c r="E278" s="234"/>
      <c r="F278" s="234"/>
      <c r="G278" s="234"/>
      <c r="H278" s="244"/>
      <c r="I278" s="244"/>
      <c r="J278" s="244"/>
      <c r="K278" s="244"/>
      <c r="L278" s="244"/>
      <c r="M278" s="244"/>
      <c r="N278" s="244"/>
      <c r="O278" s="245"/>
      <c r="P278" s="244"/>
      <c r="Q278" s="244"/>
      <c r="R278" s="244"/>
      <c r="S278" s="244"/>
      <c r="T278" s="244"/>
      <c r="U278" s="244"/>
      <c r="V278" s="244"/>
      <c r="W278" s="244"/>
      <c r="X278" s="244"/>
      <c r="Y278" s="244"/>
      <c r="Z278" s="244"/>
      <c r="AA278" s="244"/>
      <c r="AB278" s="244"/>
      <c r="AC278" s="244"/>
      <c r="AD278" s="244"/>
      <c r="AE278" s="244"/>
      <c r="AF278" s="244"/>
      <c r="AG278" s="244"/>
      <c r="AH278" s="244"/>
      <c r="AI278" s="244"/>
      <c r="AJ278" s="244"/>
      <c r="AK278" s="244"/>
      <c r="AL278" s="244"/>
      <c r="AM278" s="244"/>
      <c r="AN278" s="244"/>
      <c r="AO278" s="244"/>
      <c r="AP278" s="244"/>
      <c r="AQ278" s="244"/>
      <c r="AR278" s="244"/>
      <c r="AS278" s="244"/>
      <c r="AT278" s="244"/>
      <c r="AU278" s="244"/>
      <c r="AV278" s="244"/>
      <c r="AW278" s="244"/>
      <c r="AX278" s="244"/>
      <c r="AY278" s="244"/>
      <c r="AZ278" s="244"/>
      <c r="BA278" s="244"/>
      <c r="BB278" s="244"/>
      <c r="BC278" s="244"/>
      <c r="BD278" s="244"/>
      <c r="BE278" s="244"/>
      <c r="BF278" s="244"/>
      <c r="BG278" s="244"/>
      <c r="BH278" s="244" t="e">
        <f>Tab.plano6[[#This Row],[Data Término
Prevista]]-Tab.plano6[[#This Row],[Data Início
Previsto]]</f>
        <v>#VALUE!</v>
      </c>
    </row>
    <row r="279" spans="2:60" x14ac:dyDescent="0.3">
      <c r="B279" s="244"/>
      <c r="C279" s="244"/>
      <c r="D279" s="234"/>
      <c r="E279" s="234"/>
      <c r="F279" s="234"/>
      <c r="G279" s="234"/>
      <c r="H279" s="244"/>
      <c r="I279" s="244"/>
      <c r="J279" s="244"/>
      <c r="K279" s="244"/>
      <c r="L279" s="244"/>
      <c r="M279" s="244"/>
      <c r="N279" s="244"/>
      <c r="O279" s="245"/>
      <c r="P279" s="244"/>
      <c r="Q279" s="244"/>
      <c r="R279" s="244"/>
      <c r="S279" s="244"/>
      <c r="T279" s="244"/>
      <c r="U279" s="244"/>
      <c r="V279" s="244"/>
      <c r="W279" s="244"/>
      <c r="X279" s="244"/>
      <c r="Y279" s="244"/>
      <c r="Z279" s="244"/>
      <c r="AA279" s="244"/>
      <c r="AB279" s="244"/>
      <c r="AC279" s="244"/>
      <c r="AD279" s="244"/>
      <c r="AE279" s="244"/>
      <c r="AF279" s="244"/>
      <c r="AG279" s="244"/>
      <c r="AH279" s="244"/>
      <c r="AI279" s="244"/>
      <c r="AJ279" s="244"/>
      <c r="AK279" s="244"/>
      <c r="AL279" s="244"/>
      <c r="AM279" s="244"/>
      <c r="AN279" s="244"/>
      <c r="AO279" s="244"/>
      <c r="AP279" s="244"/>
      <c r="AQ279" s="244"/>
      <c r="AR279" s="244"/>
      <c r="AS279" s="244"/>
      <c r="AT279" s="244"/>
      <c r="AU279" s="244"/>
      <c r="AV279" s="244"/>
      <c r="AW279" s="244"/>
      <c r="AX279" s="244"/>
      <c r="AY279" s="244"/>
      <c r="AZ279" s="244"/>
      <c r="BA279" s="244"/>
      <c r="BB279" s="244"/>
      <c r="BC279" s="244"/>
      <c r="BD279" s="244"/>
      <c r="BE279" s="244"/>
      <c r="BF279" s="244"/>
      <c r="BG279" s="244"/>
      <c r="BH279" s="244" t="e">
        <f>Tab.plano6[[#This Row],[Data Término
Prevista]]-Tab.plano6[[#This Row],[Data Início
Previsto]]</f>
        <v>#VALUE!</v>
      </c>
    </row>
    <row r="280" spans="2:60" x14ac:dyDescent="0.3">
      <c r="B280" s="244"/>
      <c r="C280" s="244"/>
      <c r="D280" s="234"/>
      <c r="E280" s="234"/>
      <c r="F280" s="234"/>
      <c r="G280" s="234"/>
      <c r="H280" s="244"/>
      <c r="I280" s="244"/>
      <c r="J280" s="244"/>
      <c r="K280" s="244"/>
      <c r="L280" s="244"/>
      <c r="M280" s="244"/>
      <c r="N280" s="244"/>
      <c r="O280" s="245"/>
      <c r="P280" s="244"/>
      <c r="Q280" s="244"/>
      <c r="R280" s="244"/>
      <c r="S280" s="244"/>
      <c r="T280" s="244"/>
      <c r="U280" s="244"/>
      <c r="V280" s="244"/>
      <c r="W280" s="244"/>
      <c r="X280" s="244"/>
      <c r="Y280" s="244"/>
      <c r="Z280" s="244"/>
      <c r="AA280" s="244"/>
      <c r="AB280" s="244"/>
      <c r="AC280" s="244"/>
      <c r="AD280" s="244"/>
      <c r="AE280" s="244"/>
      <c r="AF280" s="244"/>
      <c r="AG280" s="244"/>
      <c r="AH280" s="244"/>
      <c r="AI280" s="244"/>
      <c r="AJ280" s="244"/>
      <c r="AK280" s="244"/>
      <c r="AL280" s="244"/>
      <c r="AM280" s="244"/>
      <c r="AN280" s="244"/>
      <c r="AO280" s="244"/>
      <c r="AP280" s="244"/>
      <c r="AQ280" s="244"/>
      <c r="AR280" s="244"/>
      <c r="AS280" s="244"/>
      <c r="AT280" s="244"/>
      <c r="AU280" s="244"/>
      <c r="AV280" s="244"/>
      <c r="AW280" s="244"/>
      <c r="AX280" s="244"/>
      <c r="AY280" s="244"/>
      <c r="AZ280" s="244"/>
      <c r="BA280" s="244"/>
      <c r="BB280" s="244"/>
      <c r="BC280" s="244"/>
      <c r="BD280" s="244"/>
      <c r="BE280" s="244"/>
      <c r="BF280" s="244"/>
      <c r="BG280" s="244"/>
      <c r="BH280" s="244" t="e">
        <f>Tab.plano6[[#This Row],[Data Término
Prevista]]-Tab.plano6[[#This Row],[Data Início
Previsto]]</f>
        <v>#VALUE!</v>
      </c>
    </row>
    <row r="288" spans="2:60" x14ac:dyDescent="0.3">
      <c r="I288" s="260">
        <v>46126</v>
      </c>
      <c r="J288" s="260">
        <v>46128</v>
      </c>
      <c r="K288" s="260">
        <v>46126</v>
      </c>
      <c r="L288" s="260">
        <v>46128</v>
      </c>
    </row>
    <row r="289" spans="4:12" x14ac:dyDescent="0.3">
      <c r="D289" s="163"/>
      <c r="E289" s="163"/>
      <c r="F289" s="163"/>
      <c r="G289" s="163"/>
      <c r="I289" s="260">
        <v>46129</v>
      </c>
      <c r="J289" s="260">
        <v>46137</v>
      </c>
      <c r="K289" s="260">
        <v>46129</v>
      </c>
      <c r="L289" s="260">
        <v>46137</v>
      </c>
    </row>
    <row r="290" spans="4:12" x14ac:dyDescent="0.3">
      <c r="D290" s="163"/>
      <c r="E290" s="163"/>
      <c r="F290" s="163"/>
      <c r="G290" s="163"/>
      <c r="I290" s="260">
        <v>46140</v>
      </c>
      <c r="J290" s="260">
        <v>46142</v>
      </c>
      <c r="K290" s="260">
        <v>46140</v>
      </c>
      <c r="L290" s="260">
        <v>46142</v>
      </c>
    </row>
    <row r="291" spans="4:12" x14ac:dyDescent="0.3">
      <c r="D291" s="163"/>
      <c r="E291" s="163"/>
      <c r="F291" s="163"/>
      <c r="G291" s="163"/>
    </row>
    <row r="292" spans="4:12" x14ac:dyDescent="0.3">
      <c r="D292" s="163"/>
      <c r="E292" s="163"/>
      <c r="F292" s="163"/>
      <c r="G292" s="163"/>
    </row>
    <row r="295" spans="4:12" x14ac:dyDescent="0.3">
      <c r="I295" s="260">
        <v>46142</v>
      </c>
      <c r="J295" s="260">
        <v>46146</v>
      </c>
      <c r="K295" s="260">
        <v>46142</v>
      </c>
      <c r="L295" s="260">
        <v>46146</v>
      </c>
    </row>
    <row r="296" spans="4:12" x14ac:dyDescent="0.3">
      <c r="I296" s="260">
        <v>46147</v>
      </c>
      <c r="J296" s="260">
        <v>46155</v>
      </c>
      <c r="K296" s="260">
        <v>46147</v>
      </c>
      <c r="L296" s="260">
        <v>46155</v>
      </c>
    </row>
    <row r="297" spans="4:12" x14ac:dyDescent="0.3">
      <c r="I297" s="260">
        <v>46156</v>
      </c>
      <c r="J297" s="260">
        <v>46158</v>
      </c>
      <c r="K297" s="260">
        <v>46156</v>
      </c>
      <c r="L297" s="260">
        <v>46158</v>
      </c>
    </row>
  </sheetData>
  <pageMargins left="0.511811024" right="0.511811024" top="0.78740157499999996" bottom="0.78740157499999996" header="0.31496062000000002" footer="0.31496062000000002"/>
  <pageSetup scale="44" orientation="portrait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4" id="{9A790D56-13FC-4023-BA5F-48AFFE881DD9}">
            <x14:iconSet iconSet="4TrafficLight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4TrafficLights" iconId="0"/>
              <x14:cfIcon iconSet="3TrafficLights1" iconId="1"/>
              <x14:cfIcon iconSet="3Symbols" iconId="2"/>
              <x14:cfIcon iconSet="3TrafficLights1" iconId="0"/>
            </x14:iconSet>
          </x14:cfRule>
          <xm:sqref>O11:O245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1"/>
  <sheetViews>
    <sheetView workbookViewId="0">
      <selection activeCell="G3" sqref="G3"/>
    </sheetView>
  </sheetViews>
  <sheetFormatPr defaultRowHeight="14.4" x14ac:dyDescent="0.3"/>
  <cols>
    <col min="1" max="2" width="10.44140625" bestFit="1" customWidth="1"/>
    <col min="3" max="4" width="10.5546875" bestFit="1" customWidth="1"/>
    <col min="45" max="46" width="10.44140625" bestFit="1" customWidth="1"/>
    <col min="48" max="48" width="10.44140625" bestFit="1" customWidth="1"/>
  </cols>
  <sheetData>
    <row r="1" spans="1:59" x14ac:dyDescent="0.3">
      <c r="A1" s="208">
        <v>45689</v>
      </c>
      <c r="B1" s="208">
        <f t="shared" ref="B1:AG1" si="0">A1+7</f>
        <v>45696</v>
      </c>
      <c r="C1" s="208">
        <f t="shared" si="0"/>
        <v>45703</v>
      </c>
      <c r="D1" s="208">
        <f t="shared" si="0"/>
        <v>45710</v>
      </c>
      <c r="E1" s="208">
        <f t="shared" si="0"/>
        <v>45717</v>
      </c>
      <c r="F1" s="208">
        <f t="shared" si="0"/>
        <v>45724</v>
      </c>
      <c r="G1" s="208">
        <f t="shared" si="0"/>
        <v>45731</v>
      </c>
      <c r="H1" s="208">
        <f t="shared" si="0"/>
        <v>45738</v>
      </c>
      <c r="I1" s="208">
        <f t="shared" si="0"/>
        <v>45745</v>
      </c>
      <c r="J1" s="208">
        <f t="shared" si="0"/>
        <v>45752</v>
      </c>
      <c r="K1" s="208">
        <f t="shared" si="0"/>
        <v>45759</v>
      </c>
      <c r="L1" s="208">
        <f t="shared" si="0"/>
        <v>45766</v>
      </c>
      <c r="M1" s="208">
        <f t="shared" si="0"/>
        <v>45773</v>
      </c>
      <c r="N1" s="208">
        <f t="shared" si="0"/>
        <v>45780</v>
      </c>
      <c r="O1" s="208">
        <f t="shared" si="0"/>
        <v>45787</v>
      </c>
      <c r="P1" s="208">
        <f t="shared" si="0"/>
        <v>45794</v>
      </c>
      <c r="Q1" s="208">
        <f t="shared" si="0"/>
        <v>45801</v>
      </c>
      <c r="R1" s="208">
        <f t="shared" si="0"/>
        <v>45808</v>
      </c>
      <c r="S1" s="208">
        <f t="shared" si="0"/>
        <v>45815</v>
      </c>
      <c r="T1" s="208">
        <f t="shared" si="0"/>
        <v>45822</v>
      </c>
      <c r="U1" s="208">
        <f t="shared" si="0"/>
        <v>45829</v>
      </c>
      <c r="V1" s="208">
        <f t="shared" si="0"/>
        <v>45836</v>
      </c>
      <c r="W1" s="208">
        <f t="shared" si="0"/>
        <v>45843</v>
      </c>
      <c r="X1" s="208">
        <f t="shared" si="0"/>
        <v>45850</v>
      </c>
      <c r="Y1" s="208">
        <f t="shared" si="0"/>
        <v>45857</v>
      </c>
      <c r="Z1" s="208">
        <f t="shared" si="0"/>
        <v>45864</v>
      </c>
      <c r="AA1" s="208">
        <f t="shared" si="0"/>
        <v>45871</v>
      </c>
      <c r="AB1" s="208">
        <f t="shared" si="0"/>
        <v>45878</v>
      </c>
      <c r="AC1" s="208">
        <f t="shared" si="0"/>
        <v>45885</v>
      </c>
      <c r="AD1" s="208">
        <f t="shared" si="0"/>
        <v>45892</v>
      </c>
      <c r="AE1" s="208">
        <f t="shared" si="0"/>
        <v>45899</v>
      </c>
      <c r="AF1" s="208">
        <f t="shared" si="0"/>
        <v>45906</v>
      </c>
      <c r="AG1" s="208">
        <f t="shared" si="0"/>
        <v>45913</v>
      </c>
      <c r="AH1" s="208">
        <f t="shared" ref="AH1:BG1" si="1">AG1+7</f>
        <v>45920</v>
      </c>
      <c r="AI1" s="208">
        <f t="shared" si="1"/>
        <v>45927</v>
      </c>
      <c r="AJ1" s="208">
        <f t="shared" si="1"/>
        <v>45934</v>
      </c>
      <c r="AK1" s="208">
        <f t="shared" si="1"/>
        <v>45941</v>
      </c>
      <c r="AL1" s="208">
        <f t="shared" si="1"/>
        <v>45948</v>
      </c>
      <c r="AM1" s="208">
        <f t="shared" si="1"/>
        <v>45955</v>
      </c>
      <c r="AN1" s="208">
        <f t="shared" si="1"/>
        <v>45962</v>
      </c>
      <c r="AO1" s="208">
        <f t="shared" si="1"/>
        <v>45969</v>
      </c>
      <c r="AP1" s="208">
        <f t="shared" si="1"/>
        <v>45976</v>
      </c>
      <c r="AQ1" s="208">
        <f t="shared" si="1"/>
        <v>45983</v>
      </c>
      <c r="AR1" s="208">
        <f t="shared" si="1"/>
        <v>45990</v>
      </c>
      <c r="AS1" s="208">
        <f t="shared" si="1"/>
        <v>45997</v>
      </c>
      <c r="AT1" s="208">
        <f t="shared" si="1"/>
        <v>46004</v>
      </c>
      <c r="AU1" s="208">
        <f t="shared" si="1"/>
        <v>46011</v>
      </c>
      <c r="AV1" s="208">
        <f t="shared" si="1"/>
        <v>46018</v>
      </c>
      <c r="AW1" s="208">
        <f t="shared" si="1"/>
        <v>46025</v>
      </c>
      <c r="AX1" s="208">
        <f t="shared" si="1"/>
        <v>46032</v>
      </c>
      <c r="AY1" s="208">
        <f t="shared" si="1"/>
        <v>46039</v>
      </c>
      <c r="AZ1" s="208">
        <f t="shared" si="1"/>
        <v>46046</v>
      </c>
      <c r="BA1" s="208">
        <f t="shared" si="1"/>
        <v>46053</v>
      </c>
      <c r="BB1" s="208">
        <f t="shared" si="1"/>
        <v>46060</v>
      </c>
      <c r="BC1" s="208">
        <f t="shared" si="1"/>
        <v>46067</v>
      </c>
      <c r="BD1" s="208">
        <f t="shared" si="1"/>
        <v>46074</v>
      </c>
      <c r="BE1" s="208">
        <f t="shared" si="1"/>
        <v>46081</v>
      </c>
      <c r="BF1" s="208">
        <f t="shared" si="1"/>
        <v>46088</v>
      </c>
      <c r="BG1" s="208">
        <f t="shared" si="1"/>
        <v>46095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B3" sqref="B3:B4"/>
    </sheetView>
  </sheetViews>
  <sheetFormatPr defaultRowHeight="14.4" x14ac:dyDescent="0.3"/>
  <cols>
    <col min="1" max="1" width="17.21875" bestFit="1" customWidth="1"/>
    <col min="2" max="2" width="14.77734375" customWidth="1"/>
    <col min="3" max="3" width="18.44140625" customWidth="1"/>
    <col min="4" max="4" width="12.77734375" customWidth="1"/>
  </cols>
  <sheetData>
    <row r="1" spans="1:5" x14ac:dyDescent="0.3">
      <c r="B1" t="s">
        <v>413</v>
      </c>
      <c r="C1" t="s">
        <v>401</v>
      </c>
      <c r="D1" t="s">
        <v>405</v>
      </c>
      <c r="E1" t="s">
        <v>591</v>
      </c>
    </row>
    <row r="2" spans="1:5" x14ac:dyDescent="0.3">
      <c r="A2" t="s">
        <v>592</v>
      </c>
      <c r="B2" t="e">
        <f>COUNTIF(#REF!,'Fases Processos'!B1)</f>
        <v>#REF!</v>
      </c>
      <c r="C2" t="e">
        <f>COUNTIF(#REF!,'Fases Processos'!C1)</f>
        <v>#REF!</v>
      </c>
      <c r="D2" t="e">
        <f>COUNTIF(#REF!,'Fases Processos'!D1)</f>
        <v>#REF!</v>
      </c>
      <c r="E2" t="e">
        <f>COUNTIF(#REF!,'Fases Processos'!E1)</f>
        <v>#REF!</v>
      </c>
    </row>
    <row r="3" spans="1:5" x14ac:dyDescent="0.3">
      <c r="A3" t="s">
        <v>593</v>
      </c>
      <c r="B3" t="e">
        <f>COUNTIF(#REF!,'Fases Processos'!B1)</f>
        <v>#REF!</v>
      </c>
      <c r="C3" t="e">
        <f>COUNTIF(#REF!,'Fases Processos'!C1)</f>
        <v>#REF!</v>
      </c>
      <c r="D3" t="e">
        <f>COUNTIF(#REF!,'Fases Processos'!D1)</f>
        <v>#REF!</v>
      </c>
      <c r="E3" t="e">
        <f>COUNTIF(#REF!,'Fases Processos'!E1)</f>
        <v>#REF!</v>
      </c>
    </row>
    <row r="4" spans="1:5" x14ac:dyDescent="0.3">
      <c r="A4" t="s">
        <v>594</v>
      </c>
      <c r="B4" t="e">
        <f>COUNTIF(#REF!,'Fases Processos'!B1)</f>
        <v>#REF!</v>
      </c>
      <c r="C4" t="e">
        <f>COUNTIF(#REF!,'Fases Processos'!C1)</f>
        <v>#REF!</v>
      </c>
      <c r="D4" t="e">
        <f>COUNTIF(#REF!,'Fases Processos'!D1)</f>
        <v>#REF!</v>
      </c>
      <c r="E4" t="e">
        <f>COUNTIF(#REF!,'Fases Processos'!E1)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25"/>
  <sheetViews>
    <sheetView topLeftCell="A4" workbookViewId="0">
      <selection activeCell="H22" sqref="H22"/>
    </sheetView>
  </sheetViews>
  <sheetFormatPr defaultRowHeight="14.4" x14ac:dyDescent="0.3"/>
  <cols>
    <col min="2" max="2" width="11.77734375" customWidth="1"/>
  </cols>
  <sheetData>
    <row r="1" spans="2:2" x14ac:dyDescent="0.3">
      <c r="B1" t="s">
        <v>595</v>
      </c>
    </row>
    <row r="2" spans="2:2" x14ac:dyDescent="0.3">
      <c r="B2" s="206" t="s">
        <v>596</v>
      </c>
    </row>
    <row r="3" spans="2:2" x14ac:dyDescent="0.3">
      <c r="B3" s="206" t="s">
        <v>597</v>
      </c>
    </row>
    <row r="4" spans="2:2" x14ac:dyDescent="0.3">
      <c r="B4" s="206" t="s">
        <v>598</v>
      </c>
    </row>
    <row r="5" spans="2:2" x14ac:dyDescent="0.3">
      <c r="B5" s="206" t="s">
        <v>599</v>
      </c>
    </row>
    <row r="6" spans="2:2" x14ac:dyDescent="0.3">
      <c r="B6" s="206" t="s">
        <v>600</v>
      </c>
    </row>
    <row r="7" spans="2:2" x14ac:dyDescent="0.3">
      <c r="B7" s="206" t="s">
        <v>601</v>
      </c>
    </row>
    <row r="8" spans="2:2" x14ac:dyDescent="0.3">
      <c r="B8" s="206" t="s">
        <v>602</v>
      </c>
    </row>
    <row r="9" spans="2:2" x14ac:dyDescent="0.3">
      <c r="B9" s="206" t="s">
        <v>603</v>
      </c>
    </row>
    <row r="10" spans="2:2" x14ac:dyDescent="0.3">
      <c r="B10" s="206" t="s">
        <v>604</v>
      </c>
    </row>
    <row r="11" spans="2:2" x14ac:dyDescent="0.3">
      <c r="B11" s="206" t="s">
        <v>605</v>
      </c>
    </row>
    <row r="12" spans="2:2" x14ac:dyDescent="0.3">
      <c r="B12" s="206" t="s">
        <v>606</v>
      </c>
    </row>
    <row r="13" spans="2:2" x14ac:dyDescent="0.3">
      <c r="B13" s="206" t="s">
        <v>607</v>
      </c>
    </row>
    <row r="14" spans="2:2" x14ac:dyDescent="0.3">
      <c r="B14" s="206" t="s">
        <v>608</v>
      </c>
    </row>
    <row r="15" spans="2:2" x14ac:dyDescent="0.3">
      <c r="B15" s="206" t="s">
        <v>609</v>
      </c>
    </row>
    <row r="16" spans="2:2" x14ac:dyDescent="0.3">
      <c r="B16" s="206" t="s">
        <v>610</v>
      </c>
    </row>
    <row r="17" spans="2:2" x14ac:dyDescent="0.3">
      <c r="B17" s="206" t="s">
        <v>611</v>
      </c>
    </row>
    <row r="18" spans="2:2" x14ac:dyDescent="0.3">
      <c r="B18" s="206" t="s">
        <v>612</v>
      </c>
    </row>
    <row r="19" spans="2:2" x14ac:dyDescent="0.3">
      <c r="B19" s="206" t="s">
        <v>613</v>
      </c>
    </row>
    <row r="20" spans="2:2" x14ac:dyDescent="0.3">
      <c r="B20" s="206" t="s">
        <v>614</v>
      </c>
    </row>
    <row r="21" spans="2:2" x14ac:dyDescent="0.3">
      <c r="B21" s="206" t="s">
        <v>615</v>
      </c>
    </row>
    <row r="22" spans="2:2" x14ac:dyDescent="0.3">
      <c r="B22" s="206" t="s">
        <v>616</v>
      </c>
    </row>
    <row r="23" spans="2:2" x14ac:dyDescent="0.3">
      <c r="B23" s="206" t="s">
        <v>617</v>
      </c>
    </row>
    <row r="24" spans="2:2" x14ac:dyDescent="0.3">
      <c r="B24" s="206" t="s">
        <v>618</v>
      </c>
    </row>
    <row r="25" spans="2:2" x14ac:dyDescent="0.3">
      <c r="B25" s="206" t="s">
        <v>619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44A"/>
    <pageSetUpPr fitToPage="1"/>
  </sheetPr>
  <dimension ref="B1:BN418"/>
  <sheetViews>
    <sheetView showGridLines="0" topLeftCell="K11" zoomScale="85" zoomScaleNormal="85" workbookViewId="0">
      <selection activeCell="Q11" sqref="Q11"/>
    </sheetView>
  </sheetViews>
  <sheetFormatPr defaultRowHeight="14.4" outlineLevelCol="1" x14ac:dyDescent="0.3"/>
  <cols>
    <col min="1" max="1" width="3.44140625" customWidth="1"/>
    <col min="2" max="2" width="9.77734375" style="53" customWidth="1" outlineLevel="1"/>
    <col min="3" max="3" width="7.44140625" style="181" customWidth="1" outlineLevel="1"/>
    <col min="4" max="4" width="17.5546875" style="181" customWidth="1" outlineLevel="1"/>
    <col min="5" max="5" width="18.5546875" style="181" customWidth="1" outlineLevel="1"/>
    <col min="6" max="6" width="11.77734375" style="181" customWidth="1" outlineLevel="1"/>
    <col min="7" max="7" width="17.109375" style="181" customWidth="1" outlineLevel="1"/>
    <col min="8" max="8" width="69.5546875" style="183" customWidth="1"/>
    <col min="9" max="10" width="13.5546875" style="106" customWidth="1" outlineLevel="1"/>
    <col min="11" max="11" width="13.5546875" style="106" customWidth="1"/>
    <col min="12" max="12" width="18.44140625" style="4" customWidth="1"/>
    <col min="13" max="13" width="12.77734375" style="158" customWidth="1"/>
    <col min="14" max="14" width="12.5546875" style="158" customWidth="1"/>
    <col min="15" max="15" width="11.44140625" style="8" customWidth="1" outlineLevel="1"/>
    <col min="16" max="16" width="11.44140625" style="8" customWidth="1"/>
    <col min="17" max="17" width="8.44140625" style="147" customWidth="1"/>
    <col min="18" max="20" width="11.44140625" style="201" customWidth="1" outlineLevel="1"/>
    <col min="21" max="21" width="10.5546875" style="201" customWidth="1" outlineLevel="1"/>
    <col min="22" max="34" width="8.77734375" style="201" customWidth="1" outlineLevel="1"/>
    <col min="35" max="36" width="14.21875" style="201" bestFit="1" customWidth="1" outlineLevel="1"/>
    <col min="37" max="37" width="10" style="201" customWidth="1" outlineLevel="1"/>
    <col min="38" max="40" width="14.21875" style="201" bestFit="1" customWidth="1" outlineLevel="1"/>
    <col min="41" max="41" width="13" style="201" bestFit="1" customWidth="1" outlineLevel="1"/>
    <col min="42" max="42" width="9" style="146" customWidth="1"/>
    <col min="43" max="43" width="14.44140625" bestFit="1" customWidth="1"/>
    <col min="44" max="44" width="12" bestFit="1" customWidth="1"/>
  </cols>
  <sheetData>
    <row r="1" spans="2:66" ht="4.5" customHeight="1" x14ac:dyDescent="0.3"/>
    <row r="2" spans="2:66" x14ac:dyDescent="0.3">
      <c r="H2" s="184" t="s">
        <v>0</v>
      </c>
      <c r="L2" s="12"/>
      <c r="M2" s="159"/>
      <c r="N2" s="159"/>
      <c r="O2" s="13"/>
      <c r="P2" s="13"/>
      <c r="Q2" s="148"/>
    </row>
    <row r="3" spans="2:66" ht="15" customHeight="1" thickBot="1" x14ac:dyDescent="0.35">
      <c r="H3" s="185" t="s">
        <v>1</v>
      </c>
      <c r="L3" s="21" t="s">
        <v>2</v>
      </c>
      <c r="M3" s="160">
        <v>45870</v>
      </c>
      <c r="N3" s="160"/>
      <c r="O3" s="16"/>
      <c r="P3" s="16"/>
      <c r="Q3" s="149"/>
    </row>
    <row r="4" spans="2:66" ht="5.25" customHeight="1" x14ac:dyDescent="0.3">
      <c r="H4" s="186"/>
      <c r="I4" s="107"/>
      <c r="J4" s="107"/>
      <c r="K4" s="107"/>
      <c r="L4" s="18"/>
      <c r="M4" s="161"/>
      <c r="N4" s="161"/>
      <c r="O4" s="20"/>
      <c r="P4" s="20"/>
      <c r="Q4" s="150"/>
    </row>
    <row r="5" spans="2:66" ht="14.55" customHeight="1" x14ac:dyDescent="0.3">
      <c r="H5" s="187" t="s">
        <v>3</v>
      </c>
      <c r="L5" s="15"/>
      <c r="M5" s="131"/>
      <c r="N5" s="131"/>
      <c r="O5" s="16"/>
      <c r="P5" s="16"/>
      <c r="Q5" s="149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02"/>
      <c r="AP5" s="200"/>
      <c r="AQ5" s="200"/>
    </row>
    <row r="6" spans="2:66" ht="28.8" customHeight="1" x14ac:dyDescent="0.3">
      <c r="H6" s="188" t="s">
        <v>620</v>
      </c>
      <c r="I6" s="132"/>
      <c r="J6" s="108"/>
      <c r="K6" s="108"/>
      <c r="L6" s="15"/>
      <c r="M6" s="103"/>
      <c r="N6" s="103"/>
      <c r="O6" s="38" t="s">
        <v>621</v>
      </c>
      <c r="P6" s="38"/>
      <c r="Q6" s="149"/>
    </row>
    <row r="7" spans="2:66" x14ac:dyDescent="0.3">
      <c r="H7" s="189" t="s">
        <v>6</v>
      </c>
      <c r="J7" s="108"/>
      <c r="K7" s="108"/>
      <c r="L7" s="15"/>
      <c r="M7" s="131"/>
      <c r="N7" s="131"/>
      <c r="O7" s="23" t="s">
        <v>7</v>
      </c>
      <c r="P7" s="23"/>
      <c r="Q7" s="149"/>
      <c r="R7" s="209">
        <f>DATEVALUE(Tab.plano5[[#Headers],[01/02/2025]])</f>
        <v>45689</v>
      </c>
      <c r="S7" s="209">
        <f>DATEVALUE(Tab.plano5[[#Headers],[08/02/2025]])</f>
        <v>45696</v>
      </c>
      <c r="T7" s="209">
        <f>DATEVALUE(Tab.plano5[[#Headers],[15/02/2025]])</f>
        <v>45703</v>
      </c>
      <c r="U7" s="209">
        <f>DATEVALUE(Tab.plano5[[#Headers],[22/02/2025]])</f>
        <v>45710</v>
      </c>
      <c r="V7" s="209">
        <f>DATEVALUE(Tab.plano5[[#Headers],[01/03/2025]])</f>
        <v>45717</v>
      </c>
      <c r="W7" s="209">
        <f>DATEVALUE(Tab.plano5[[#Headers],[08/03/2025]])</f>
        <v>45724</v>
      </c>
      <c r="X7" s="209">
        <f>DATEVALUE(Tab.plano5[[#Headers],[15/03/2025]])</f>
        <v>45731</v>
      </c>
      <c r="Y7" s="209">
        <f>DATEVALUE(Tab.plano5[[#Headers],[22/03/2025]])</f>
        <v>45738</v>
      </c>
      <c r="Z7" s="209">
        <f>DATEVALUE(Tab.plano5[[#Headers],[29/03/2025]])</f>
        <v>45745</v>
      </c>
      <c r="AA7" s="209">
        <f>DATEVALUE(Tab.plano5[[#Headers],[05/04/2025]])</f>
        <v>45752</v>
      </c>
      <c r="AB7" s="209">
        <f>DATEVALUE(Tab.plano5[[#Headers],[12/04/2025]])</f>
        <v>45759</v>
      </c>
      <c r="AC7" s="209">
        <f>DATEVALUE(Tab.plano5[[#Headers],[19/04/2025]])</f>
        <v>45766</v>
      </c>
      <c r="AD7" s="209">
        <f>DATEVALUE(Tab.plano5[[#Headers],[26/04/2025]])</f>
        <v>45773</v>
      </c>
      <c r="AE7" s="209">
        <f>DATEVALUE(Tab.plano5[[#Headers],[03/05/2025]])</f>
        <v>45780</v>
      </c>
      <c r="AF7" s="209">
        <f>DATEVALUE(Tab.plano5[[#Headers],[10/05/2025]])</f>
        <v>45787</v>
      </c>
      <c r="AG7" s="209">
        <f>DATEVALUE(Tab.plano5[[#Headers],[17/05/2025]])</f>
        <v>45794</v>
      </c>
      <c r="AH7" s="209">
        <f>DATEVALUE(Tab.plano5[[#Headers],[24/05/2025]])</f>
        <v>45801</v>
      </c>
      <c r="AI7" s="209">
        <f>DATEVALUE(Tab.plano5[[#Headers],[31/05/2025]])</f>
        <v>45808</v>
      </c>
      <c r="AJ7" s="209">
        <f>DATEVALUE(Tab.plano5[[#Headers],[07/06/2025]])</f>
        <v>45815</v>
      </c>
      <c r="AK7" s="209">
        <f>DATEVALUE(Tab.plano5[[#Headers],[14/06/2025]])</f>
        <v>45822</v>
      </c>
      <c r="AL7" s="209">
        <f>DATEVALUE(Tab.plano5[[#Headers],[21/06/2025]])</f>
        <v>45829</v>
      </c>
      <c r="AM7" s="209">
        <f>DATEVALUE(Tab.plano5[[#Headers],[28/06/2025]])</f>
        <v>45836</v>
      </c>
      <c r="AN7" s="209">
        <f>DATEVALUE(Tab.plano5[[#Headers],[05/07/2025]])</f>
        <v>45843</v>
      </c>
      <c r="AO7" s="209">
        <f>DATEVALUE(Tab.plano5[[#Headers],[12/07/2025]])</f>
        <v>45850</v>
      </c>
      <c r="AP7" s="209">
        <f>DATEVALUE(Tab.plano5[[#Headers],[19/07/2025]])</f>
        <v>45857</v>
      </c>
      <c r="AQ7" s="209">
        <f>DATEVALUE(Tab.plano5[[#Headers],[26/07/2025]])</f>
        <v>45864</v>
      </c>
      <c r="AR7" s="209">
        <f>DATEVALUE(Tab.plano5[[#Headers],[02/08/2025]])</f>
        <v>45871</v>
      </c>
      <c r="AS7" s="209">
        <f>DATEVALUE(Tab.plano5[[#Headers],[09/08/2025]])</f>
        <v>45878</v>
      </c>
      <c r="AT7" s="209">
        <f>DATEVALUE(Tab.plano5[[#Headers],[16/08/2025]])</f>
        <v>45885</v>
      </c>
      <c r="AU7" s="209">
        <f>DATEVALUE(Tab.plano5[[#Headers],[23/08/2025]])</f>
        <v>45892</v>
      </c>
      <c r="AV7" s="209">
        <f>DATEVALUE(Tab.plano5[[#Headers],[30/08/2025]])</f>
        <v>45899</v>
      </c>
      <c r="AW7" s="209">
        <f>DATEVALUE(Tab.plano5[[#Headers],[06/09/2025]])</f>
        <v>45906</v>
      </c>
      <c r="AX7" s="209">
        <f>DATEVALUE(Tab.plano5[[#Headers],[13/09/2025]])</f>
        <v>45913</v>
      </c>
      <c r="AY7" s="209">
        <f>DATEVALUE(Tab.plano5[[#Headers],[20/09/2025]])</f>
        <v>45920</v>
      </c>
      <c r="AZ7" s="209">
        <f>DATEVALUE(Tab.plano5[[#Headers],[27/09/2025]])</f>
        <v>45927</v>
      </c>
      <c r="BA7" s="209">
        <f>DATEVALUE(Tab.plano5[[#Headers],[04/10/2025]])</f>
        <v>45934</v>
      </c>
      <c r="BB7" s="209">
        <f>DATEVALUE(Tab.plano5[[#Headers],[11/10/2025]])</f>
        <v>45941</v>
      </c>
      <c r="BC7" s="209">
        <f>DATEVALUE(Tab.plano5[[#Headers],[18/10/2025]])</f>
        <v>45948</v>
      </c>
      <c r="BD7" s="209">
        <f>DATEVALUE(Tab.plano5[[#Headers],[25/10/2025]])</f>
        <v>45955</v>
      </c>
      <c r="BE7" s="209">
        <f>DATEVALUE(Tab.plano5[[#Headers],[01/11/2025]])</f>
        <v>45962</v>
      </c>
      <c r="BF7" s="209">
        <f>DATEVALUE(Tab.plano5[[#Headers],[08/11/2025]])</f>
        <v>45969</v>
      </c>
      <c r="BG7" s="209">
        <f>DATEVALUE(Tab.plano5[[#Headers],[15/11/2025]])</f>
        <v>45976</v>
      </c>
      <c r="BH7" s="209">
        <f>DATEVALUE(Tab.plano5[[#Headers],[22/11/2025]])</f>
        <v>45983</v>
      </c>
      <c r="BI7" s="209">
        <f>DATEVALUE(Tab.plano5[[#Headers],[29/11/2025]])</f>
        <v>45990</v>
      </c>
      <c r="BJ7" s="209">
        <f>DATEVALUE(Tab.plano5[[#Headers],[06/12/2025]])</f>
        <v>45997</v>
      </c>
      <c r="BK7" s="209">
        <f>DATEVALUE(Tab.plano5[[#Headers],[13/12/2025]])</f>
        <v>46004</v>
      </c>
      <c r="BL7" s="209">
        <f>DATEVALUE(Tab.plano5[[#Headers],[20/12/2025]])</f>
        <v>46011</v>
      </c>
      <c r="BM7" s="209">
        <f>DATEVALUE(Tab.plano5[[#Headers],[27/12/2025]])</f>
        <v>46018</v>
      </c>
      <c r="BN7" s="207"/>
    </row>
    <row r="8" spans="2:66" x14ac:dyDescent="0.3">
      <c r="H8" s="190"/>
      <c r="J8" s="108"/>
      <c r="K8" s="108"/>
      <c r="L8" s="15"/>
      <c r="M8" s="131"/>
      <c r="N8" s="131"/>
      <c r="O8" s="16"/>
      <c r="P8" s="16"/>
      <c r="Q8" s="149"/>
    </row>
    <row r="9" spans="2:66" ht="4.5" customHeight="1" x14ac:dyDescent="0.3"/>
    <row r="10" spans="2:66" ht="30" customHeight="1" x14ac:dyDescent="0.3">
      <c r="B10" s="164" t="s">
        <v>8</v>
      </c>
      <c r="C10" s="182" t="s">
        <v>9</v>
      </c>
      <c r="D10" s="182" t="s">
        <v>10</v>
      </c>
      <c r="E10" s="182" t="s">
        <v>11</v>
      </c>
      <c r="F10" s="182" t="s">
        <v>12</v>
      </c>
      <c r="G10" s="182" t="s">
        <v>13</v>
      </c>
      <c r="H10" s="191" t="s">
        <v>14</v>
      </c>
      <c r="I10" s="157" t="s">
        <v>15</v>
      </c>
      <c r="J10" s="157" t="s">
        <v>16</v>
      </c>
      <c r="K10" s="122" t="s">
        <v>17</v>
      </c>
      <c r="L10" s="122" t="s">
        <v>18</v>
      </c>
      <c r="M10" s="122" t="s">
        <v>19</v>
      </c>
      <c r="N10" s="123" t="s">
        <v>20</v>
      </c>
      <c r="O10" s="162" t="s">
        <v>21</v>
      </c>
      <c r="P10" s="122" t="s">
        <v>22</v>
      </c>
      <c r="Q10" s="151" t="s">
        <v>23</v>
      </c>
      <c r="R10" s="151" t="s">
        <v>24</v>
      </c>
      <c r="S10" s="208" t="s">
        <v>25</v>
      </c>
      <c r="T10" s="208" t="s">
        <v>26</v>
      </c>
      <c r="U10" s="208" t="s">
        <v>27</v>
      </c>
      <c r="V10" s="208" t="s">
        <v>28</v>
      </c>
      <c r="W10" s="208" t="s">
        <v>29</v>
      </c>
      <c r="X10" s="208" t="s">
        <v>30</v>
      </c>
      <c r="Y10" s="208" t="s">
        <v>31</v>
      </c>
      <c r="Z10" s="208" t="s">
        <v>32</v>
      </c>
      <c r="AA10" s="208" t="s">
        <v>33</v>
      </c>
      <c r="AB10" s="208" t="s">
        <v>34</v>
      </c>
      <c r="AC10" s="208" t="s">
        <v>35</v>
      </c>
      <c r="AD10" s="208" t="s">
        <v>36</v>
      </c>
      <c r="AE10" s="208" t="s">
        <v>37</v>
      </c>
      <c r="AF10" s="208" t="s">
        <v>38</v>
      </c>
      <c r="AG10" s="208" t="s">
        <v>39</v>
      </c>
      <c r="AH10" s="208" t="s">
        <v>40</v>
      </c>
      <c r="AI10" s="208" t="s">
        <v>41</v>
      </c>
      <c r="AJ10" s="208" t="s">
        <v>42</v>
      </c>
      <c r="AK10" s="208" t="s">
        <v>43</v>
      </c>
      <c r="AL10" s="208" t="s">
        <v>44</v>
      </c>
      <c r="AM10" s="208" t="s">
        <v>45</v>
      </c>
      <c r="AN10" s="208" t="s">
        <v>46</v>
      </c>
      <c r="AO10" s="208" t="s">
        <v>47</v>
      </c>
      <c r="AP10" s="208" t="s">
        <v>48</v>
      </c>
      <c r="AQ10" s="208" t="s">
        <v>49</v>
      </c>
      <c r="AR10" s="208" t="s">
        <v>50</v>
      </c>
      <c r="AS10" s="208" t="s">
        <v>51</v>
      </c>
      <c r="AT10" s="208" t="s">
        <v>52</v>
      </c>
      <c r="AU10" s="208" t="s">
        <v>53</v>
      </c>
      <c r="AV10" s="208" t="s">
        <v>54</v>
      </c>
      <c r="AW10" s="208" t="s">
        <v>55</v>
      </c>
      <c r="AX10" s="208" t="s">
        <v>56</v>
      </c>
      <c r="AY10" s="208" t="s">
        <v>57</v>
      </c>
      <c r="AZ10" s="208" t="s">
        <v>58</v>
      </c>
      <c r="BA10" s="208" t="s">
        <v>59</v>
      </c>
      <c r="BB10" s="208" t="s">
        <v>60</v>
      </c>
      <c r="BC10" s="208" t="s">
        <v>61</v>
      </c>
      <c r="BD10" s="208" t="s">
        <v>62</v>
      </c>
      <c r="BE10" s="208" t="s">
        <v>63</v>
      </c>
      <c r="BF10" s="208" t="s">
        <v>64</v>
      </c>
      <c r="BG10" s="208" t="s">
        <v>65</v>
      </c>
      <c r="BH10" s="208" t="s">
        <v>66</v>
      </c>
      <c r="BI10" s="208" t="s">
        <v>67</v>
      </c>
      <c r="BJ10" s="208" t="s">
        <v>68</v>
      </c>
      <c r="BK10" s="208" t="s">
        <v>69</v>
      </c>
      <c r="BL10" s="208" t="s">
        <v>70</v>
      </c>
      <c r="BM10" s="208" t="s">
        <v>71</v>
      </c>
      <c r="BN10" s="208" t="s">
        <v>72</v>
      </c>
    </row>
    <row r="11" spans="2:66" ht="21.6" customHeight="1" x14ac:dyDescent="0.3">
      <c r="B11" s="165" t="str">
        <f t="array" ref="B11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1</v>
      </c>
      <c r="C11" s="165" t="s">
        <v>73</v>
      </c>
      <c r="D11" s="165" t="s">
        <v>74</v>
      </c>
      <c r="E11" s="165" t="s">
        <v>74</v>
      </c>
      <c r="F11" s="165" t="s">
        <v>74</v>
      </c>
      <c r="G11" s="165" t="s">
        <v>74</v>
      </c>
      <c r="H11" s="192" t="s">
        <v>75</v>
      </c>
      <c r="I11" s="165">
        <f>MIN(I12,I18,I140,I45)</f>
        <v>45689</v>
      </c>
      <c r="J11" s="165">
        <f>MAX(J12,J18,J140,J45)</f>
        <v>46014</v>
      </c>
      <c r="K11" s="165">
        <f>MIN(K12,K18,K140,K45)</f>
        <v>45689</v>
      </c>
      <c r="L11" s="165">
        <f>MAX(L12,L18,L140,L45)</f>
        <v>46014</v>
      </c>
      <c r="M11" s="154"/>
      <c r="N11" s="154" t="str">
        <f t="array" ref="N11">_xlfn.IFS(L11&lt;$M$3,"Concluído",AND(K11&gt;=$M$3,I11&lt;$M$3,L11&gt;$M$3),"Em andamento",AND(L11&gt;=$M$3,J11&lt;$M$3),"Atrasado",AND(L11&gt;=$M$3,J11&gt;=$M$3,I11&gt;$M$3,K11&lt;=$M$3),"Em andamento",AND(L11&gt;=$M$3,J11&gt;=$M$3,I11&lt;=$M$3,K11&lt;=$M$3),"Em andamento",AND(K11&gt;$M$3,I11&gt;$M$3),"Não iniciado",AND(L11&gt;=$M$3,J11&gt;=$M$3,K11&gt;=$M$3,I11&lt;$M$3),"Atrasado",AND(L11&gt;=$M$3,J11&gt;=$M$3,K11&gt;=$M$3,I11&gt;$M$3),"Não iniciado",AND($I11&lt;=$M$3,$K11&gt;$M$3),"Atrasado")</f>
        <v>Em andamento</v>
      </c>
      <c r="O11" s="154">
        <f t="array" ref="O11">_xlfn.IFS(N11="Não iniciado",0,N11="Em andamento",1,N11="Concluído",2,N11="Atrasado",3)</f>
        <v>1</v>
      </c>
      <c r="P11" s="154"/>
      <c r="Q11" s="155">
        <f t="shared" ref="Q11:AV11" si="0">0.1*Q18+0.75*Q45+0.15*Q140</f>
        <v>0.48482142857142857</v>
      </c>
      <c r="R11" s="155">
        <f t="shared" si="0"/>
        <v>0.48482142857142857</v>
      </c>
      <c r="S11" s="155">
        <f t="shared" si="0"/>
        <v>0</v>
      </c>
      <c r="T11" s="155">
        <f t="shared" si="0"/>
        <v>0</v>
      </c>
      <c r="U11" s="155">
        <f t="shared" si="0"/>
        <v>0</v>
      </c>
      <c r="V11" s="155">
        <f t="shared" si="0"/>
        <v>4.1258169934640529E-2</v>
      </c>
      <c r="W11" s="155">
        <f t="shared" si="0"/>
        <v>6.9852941176470604E-2</v>
      </c>
      <c r="X11" s="155">
        <f t="shared" si="0"/>
        <v>8.8888888888888892E-2</v>
      </c>
      <c r="Y11" s="155">
        <f t="shared" si="0"/>
        <v>0.10892857142857143</v>
      </c>
      <c r="Z11" s="155">
        <f t="shared" si="0"/>
        <v>0.13095238095238096</v>
      </c>
      <c r="AA11" s="155">
        <f t="shared" si="0"/>
        <v>0.1517857142857143</v>
      </c>
      <c r="AB11" s="155">
        <f t="shared" si="0"/>
        <v>0.16314935064935066</v>
      </c>
      <c r="AC11" s="155">
        <f t="shared" si="0"/>
        <v>0.1767857142857143</v>
      </c>
      <c r="AD11" s="155">
        <f t="shared" si="0"/>
        <v>0.21316079295154183</v>
      </c>
      <c r="AE11" s="155">
        <f t="shared" si="0"/>
        <v>0.22189293819249767</v>
      </c>
      <c r="AF11" s="155">
        <f t="shared" si="0"/>
        <v>0.24914703766969343</v>
      </c>
      <c r="AG11" s="155">
        <f t="shared" si="0"/>
        <v>0.27279019782166419</v>
      </c>
      <c r="AH11" s="155">
        <f t="shared" si="0"/>
        <v>0.28237611891639586</v>
      </c>
      <c r="AI11" s="155">
        <f t="shared" si="0"/>
        <v>0.29293005347914092</v>
      </c>
      <c r="AJ11" s="155">
        <f t="shared" si="0"/>
        <v>0.29937770784864942</v>
      </c>
      <c r="AK11" s="155">
        <f t="shared" si="0"/>
        <v>0.31010495943253763</v>
      </c>
      <c r="AL11" s="155">
        <f t="shared" si="0"/>
        <v>0.370940436124651</v>
      </c>
      <c r="AM11" s="155">
        <f t="shared" si="0"/>
        <v>0.38229844066848473</v>
      </c>
      <c r="AN11" s="155">
        <f t="shared" si="0"/>
        <v>0.39317705055590518</v>
      </c>
      <c r="AO11" s="155">
        <f t="shared" si="0"/>
        <v>0.429452485840151</v>
      </c>
      <c r="AP11" s="155">
        <f t="shared" si="0"/>
        <v>0.45560887350534929</v>
      </c>
      <c r="AQ11" s="155">
        <f t="shared" si="0"/>
        <v>0.46411820234701817</v>
      </c>
      <c r="AR11" s="155">
        <f t="shared" si="0"/>
        <v>0.47556870765927517</v>
      </c>
      <c r="AS11" s="155">
        <f t="shared" si="0"/>
        <v>0.484078036500944</v>
      </c>
      <c r="AT11" s="155">
        <f t="shared" si="0"/>
        <v>0.51202013845185657</v>
      </c>
      <c r="AU11" s="155">
        <f t="shared" si="0"/>
        <v>0.53817652611705469</v>
      </c>
      <c r="AV11" s="155">
        <f t="shared" si="0"/>
        <v>0.55069655014588925</v>
      </c>
      <c r="AW11" s="155">
        <f t="shared" ref="AW11:BN11" si="1">0.1*AW18+0.75*AW45+0.15*AW140</f>
        <v>0.56548930144745113</v>
      </c>
      <c r="AX11" s="155">
        <f t="shared" si="1"/>
        <v>0.59343140339836375</v>
      </c>
      <c r="AY11" s="155">
        <f t="shared" si="1"/>
        <v>0.61958779106356199</v>
      </c>
      <c r="AZ11" s="155">
        <f t="shared" si="1"/>
        <v>0.63210781509239644</v>
      </c>
      <c r="BA11" s="155">
        <f t="shared" si="1"/>
        <v>0.64690056639395832</v>
      </c>
      <c r="BB11" s="155">
        <f t="shared" si="1"/>
        <v>0.67484266834487106</v>
      </c>
      <c r="BC11" s="155">
        <f t="shared" si="1"/>
        <v>0.70099905601006918</v>
      </c>
      <c r="BD11" s="155">
        <f t="shared" si="1"/>
        <v>0.71351908003890385</v>
      </c>
      <c r="BE11" s="155">
        <f t="shared" si="1"/>
        <v>0.72831183134046573</v>
      </c>
      <c r="BF11" s="155">
        <f t="shared" si="1"/>
        <v>0.75625393329137824</v>
      </c>
      <c r="BG11" s="155">
        <f t="shared" si="1"/>
        <v>0.78889180243805801</v>
      </c>
      <c r="BH11" s="155">
        <f t="shared" si="1"/>
        <v>0.807893307948374</v>
      </c>
      <c r="BI11" s="155">
        <f t="shared" si="1"/>
        <v>0.82916754073141741</v>
      </c>
      <c r="BJ11" s="155">
        <f t="shared" si="1"/>
        <v>0.87499999999999989</v>
      </c>
      <c r="BK11" s="155">
        <f t="shared" si="1"/>
        <v>0.9170454545454545</v>
      </c>
      <c r="BL11" s="155">
        <f t="shared" si="1"/>
        <v>0.94886363636363624</v>
      </c>
      <c r="BM11" s="155">
        <f t="shared" si="1"/>
        <v>0.98124999999999996</v>
      </c>
      <c r="BN11" s="155">
        <f t="shared" si="1"/>
        <v>1</v>
      </c>
    </row>
    <row r="12" spans="2:66" x14ac:dyDescent="0.3">
      <c r="B12" s="177" t="str">
        <f t="array" ref="B12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2</v>
      </c>
      <c r="C12" s="177" t="s">
        <v>76</v>
      </c>
      <c r="D12" s="177" t="str">
        <f t="shared" ref="D12:D34" si="2">$H$11</f>
        <v>Arquitetura de projetos GERDAU</v>
      </c>
      <c r="E12" s="177" t="s">
        <v>74</v>
      </c>
      <c r="F12" s="177" t="s">
        <v>74</v>
      </c>
      <c r="G12" s="177" t="s">
        <v>74</v>
      </c>
      <c r="H12" s="193" t="s">
        <v>77</v>
      </c>
      <c r="I12" s="177">
        <f>MIN(I13)</f>
        <v>45689</v>
      </c>
      <c r="J12" s="177">
        <f>MAX(J13)</f>
        <v>45694</v>
      </c>
      <c r="K12" s="177">
        <f>MIN(K13)</f>
        <v>45689</v>
      </c>
      <c r="L12" s="177">
        <f>MAX(L13)</f>
        <v>45694</v>
      </c>
      <c r="M12" s="178"/>
      <c r="N12" s="178" t="str">
        <f t="array" ref="N12">_xlfn.IFS(L12&lt;$M$3,"Concluído",AND(K12&gt;=$M$3,I12&lt;$M$3,L12&gt;$M$3),"Em andamento",AND(L12&gt;=$M$3,J12&lt;$M$3),"Atrasado",AND(L12&gt;=$M$3,J12&gt;=$M$3,I12&gt;$M$3,K12&lt;=$M$3),"Em andamento",AND(L12&gt;=$M$3,J12&gt;=$M$3,I12&lt;=$M$3,K12&lt;=$M$3),"Em andamento",AND(K12&gt;$M$3,I12&gt;$M$3),"Não iniciado",AND(L12&gt;=$M$3,J12&gt;=$M$3,K12&gt;=$M$3,I12&lt;$M$3),"Atrasado",AND(L12&gt;=$M$3,J12&gt;=$M$3,K12&gt;=$M$3,I12&gt;$M$3),"Não iniciado",AND($I12&lt;=$M$3,$K12&gt;$M$3),"Atrasado")</f>
        <v>Concluído</v>
      </c>
      <c r="O12" s="178">
        <f t="array" ref="O12">_xlfn.IFS(N12="Não iniciado",0,N12="Em andamento",1,N12="Concluído",2,N12="Atrasado",3)</f>
        <v>2</v>
      </c>
      <c r="P12" s="179"/>
      <c r="Q12" s="180">
        <f t="shared" ref="Q12:Z13" si="3">Q13</f>
        <v>1</v>
      </c>
      <c r="R12" s="180">
        <f t="shared" si="3"/>
        <v>1</v>
      </c>
      <c r="S12" s="203">
        <f t="shared" si="3"/>
        <v>0</v>
      </c>
      <c r="T12" s="203">
        <f t="shared" si="3"/>
        <v>0.66666666666666663</v>
      </c>
      <c r="U12" s="203">
        <f t="shared" si="3"/>
        <v>1</v>
      </c>
      <c r="V12" s="203">
        <f t="shared" si="3"/>
        <v>1</v>
      </c>
      <c r="W12" s="203">
        <f t="shared" si="3"/>
        <v>1</v>
      </c>
      <c r="X12" s="203">
        <f t="shared" si="3"/>
        <v>1</v>
      </c>
      <c r="Y12" s="203">
        <f t="shared" si="3"/>
        <v>1</v>
      </c>
      <c r="Z12" s="203">
        <f t="shared" si="3"/>
        <v>1</v>
      </c>
      <c r="AA12" s="203">
        <f t="shared" ref="AA12:AJ13" si="4">AA13</f>
        <v>1</v>
      </c>
      <c r="AB12" s="203">
        <f t="shared" si="4"/>
        <v>1</v>
      </c>
      <c r="AC12" s="203">
        <f t="shared" si="4"/>
        <v>1</v>
      </c>
      <c r="AD12" s="203">
        <f t="shared" si="4"/>
        <v>1</v>
      </c>
      <c r="AE12" s="203">
        <f t="shared" si="4"/>
        <v>1</v>
      </c>
      <c r="AF12" s="203">
        <f t="shared" si="4"/>
        <v>1</v>
      </c>
      <c r="AG12" s="203">
        <f t="shared" si="4"/>
        <v>1</v>
      </c>
      <c r="AH12" s="203">
        <f t="shared" si="4"/>
        <v>1</v>
      </c>
      <c r="AI12" s="203">
        <f t="shared" si="4"/>
        <v>1</v>
      </c>
      <c r="AJ12" s="203">
        <f t="shared" si="4"/>
        <v>1</v>
      </c>
      <c r="AK12" s="203">
        <f t="shared" ref="AK12:AT13" si="5">AK13</f>
        <v>1</v>
      </c>
      <c r="AL12" s="203">
        <f t="shared" si="5"/>
        <v>1</v>
      </c>
      <c r="AM12" s="203">
        <f t="shared" si="5"/>
        <v>1</v>
      </c>
      <c r="AN12" s="203">
        <f t="shared" si="5"/>
        <v>1</v>
      </c>
      <c r="AO12" s="203">
        <f t="shared" si="5"/>
        <v>1</v>
      </c>
      <c r="AP12" s="203">
        <f t="shared" si="5"/>
        <v>1</v>
      </c>
      <c r="AQ12" s="203">
        <f t="shared" si="5"/>
        <v>1</v>
      </c>
      <c r="AR12" s="203">
        <f t="shared" si="5"/>
        <v>1</v>
      </c>
      <c r="AS12" s="203">
        <f t="shared" si="5"/>
        <v>1</v>
      </c>
      <c r="AT12" s="203">
        <f t="shared" si="5"/>
        <v>1</v>
      </c>
      <c r="AU12" s="203">
        <f t="shared" ref="AU12:BD13" si="6">AU13</f>
        <v>1</v>
      </c>
      <c r="AV12" s="203">
        <f t="shared" si="6"/>
        <v>1</v>
      </c>
      <c r="AW12" s="203">
        <f t="shared" si="6"/>
        <v>1</v>
      </c>
      <c r="AX12" s="203">
        <f t="shared" si="6"/>
        <v>1</v>
      </c>
      <c r="AY12" s="203">
        <f t="shared" si="6"/>
        <v>1</v>
      </c>
      <c r="AZ12" s="203">
        <f t="shared" si="6"/>
        <v>1</v>
      </c>
      <c r="BA12" s="203">
        <f t="shared" si="6"/>
        <v>1</v>
      </c>
      <c r="BB12" s="203">
        <f t="shared" si="6"/>
        <v>1</v>
      </c>
      <c r="BC12" s="203">
        <f t="shared" si="6"/>
        <v>1</v>
      </c>
      <c r="BD12" s="203">
        <f t="shared" si="6"/>
        <v>1</v>
      </c>
      <c r="BE12" s="203">
        <f t="shared" ref="BE12:BN13" si="7">BE13</f>
        <v>1</v>
      </c>
      <c r="BF12" s="203">
        <f t="shared" si="7"/>
        <v>1</v>
      </c>
      <c r="BG12" s="203">
        <f t="shared" si="7"/>
        <v>1</v>
      </c>
      <c r="BH12" s="203">
        <f t="shared" si="7"/>
        <v>1</v>
      </c>
      <c r="BI12" s="203">
        <f t="shared" si="7"/>
        <v>1</v>
      </c>
      <c r="BJ12" s="203">
        <f t="shared" si="7"/>
        <v>1</v>
      </c>
      <c r="BK12" s="203">
        <f t="shared" si="7"/>
        <v>1</v>
      </c>
      <c r="BL12" s="203">
        <f t="shared" si="7"/>
        <v>1</v>
      </c>
      <c r="BM12" s="203">
        <f t="shared" si="7"/>
        <v>1</v>
      </c>
      <c r="BN12" s="203">
        <f t="shared" si="7"/>
        <v>1</v>
      </c>
    </row>
    <row r="13" spans="2:66" ht="15" customHeight="1" x14ac:dyDescent="0.3">
      <c r="B13" s="170" t="str">
        <f t="array" ref="B13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3</v>
      </c>
      <c r="C13" s="170" t="s">
        <v>78</v>
      </c>
      <c r="D13" s="177" t="str">
        <f t="shared" si="2"/>
        <v>Arquitetura de projetos GERDAU</v>
      </c>
      <c r="E13" s="170" t="s">
        <v>77</v>
      </c>
      <c r="F13" s="170" t="s">
        <v>74</v>
      </c>
      <c r="G13" s="170" t="s">
        <v>74</v>
      </c>
      <c r="H13" s="194" t="s">
        <v>77</v>
      </c>
      <c r="I13" s="170">
        <f>MIN(I14)</f>
        <v>45689</v>
      </c>
      <c r="J13" s="170">
        <f>MAX(J14)</f>
        <v>45694</v>
      </c>
      <c r="K13" s="170">
        <f>MIN(K14)</f>
        <v>45689</v>
      </c>
      <c r="L13" s="170">
        <f>MAX(L14)</f>
        <v>45694</v>
      </c>
      <c r="M13" s="171"/>
      <c r="N13" s="171" t="str">
        <f t="array" ref="N13">_xlfn.IFS(L13&lt;$M$3,"Concluído",AND(K13&gt;=$M$3,I13&lt;$M$3,L13&gt;$M$3),"Em andamento",AND(L13&gt;=$M$3,J13&lt;$M$3),"Atrasado",AND(L13&gt;=$M$3,J13&gt;=$M$3,I13&gt;$M$3,K13&lt;=$M$3),"Em andamento",AND(L13&gt;=$M$3,J13&gt;=$M$3,I13&lt;=$M$3,K13&lt;=$M$3),"Em andamento",AND(K13&gt;$M$3,I13&gt;$M$3),"Não iniciado",AND(L13&gt;=$M$3,J13&gt;=$M$3,K13&gt;=$M$3,I13&lt;$M$3),"Atrasado",AND(L13&gt;=$M$3,J13&gt;=$M$3,K13&gt;=$M$3,I13&gt;$M$3),"Não iniciado",AND($I13&lt;=$M$3,$K13&gt;$M$3),"Atrasado")</f>
        <v>Concluído</v>
      </c>
      <c r="O13" s="171">
        <f t="array" ref="O13">_xlfn.IFS(N13="Não iniciado",0,N13="Em andamento",1,N13="Concluído",2,N13="Atrasado",3)</f>
        <v>2</v>
      </c>
      <c r="P13" s="172"/>
      <c r="Q13" s="173">
        <f t="shared" si="3"/>
        <v>1</v>
      </c>
      <c r="R13" s="173">
        <f t="shared" si="3"/>
        <v>1</v>
      </c>
      <c r="S13" s="204">
        <f t="shared" si="3"/>
        <v>0</v>
      </c>
      <c r="T13" s="204">
        <f t="shared" si="3"/>
        <v>0.66666666666666663</v>
      </c>
      <c r="U13" s="204">
        <f t="shared" si="3"/>
        <v>1</v>
      </c>
      <c r="V13" s="204">
        <f t="shared" si="3"/>
        <v>1</v>
      </c>
      <c r="W13" s="204">
        <f t="shared" si="3"/>
        <v>1</v>
      </c>
      <c r="X13" s="204">
        <f t="shared" si="3"/>
        <v>1</v>
      </c>
      <c r="Y13" s="204">
        <f t="shared" si="3"/>
        <v>1</v>
      </c>
      <c r="Z13" s="204">
        <f t="shared" si="3"/>
        <v>1</v>
      </c>
      <c r="AA13" s="204">
        <f t="shared" si="4"/>
        <v>1</v>
      </c>
      <c r="AB13" s="204">
        <f t="shared" si="4"/>
        <v>1</v>
      </c>
      <c r="AC13" s="204">
        <f t="shared" si="4"/>
        <v>1</v>
      </c>
      <c r="AD13" s="204">
        <f t="shared" si="4"/>
        <v>1</v>
      </c>
      <c r="AE13" s="204">
        <f t="shared" si="4"/>
        <v>1</v>
      </c>
      <c r="AF13" s="204">
        <f t="shared" si="4"/>
        <v>1</v>
      </c>
      <c r="AG13" s="204">
        <f t="shared" si="4"/>
        <v>1</v>
      </c>
      <c r="AH13" s="204">
        <f t="shared" si="4"/>
        <v>1</v>
      </c>
      <c r="AI13" s="204">
        <f t="shared" si="4"/>
        <v>1</v>
      </c>
      <c r="AJ13" s="204">
        <f t="shared" si="4"/>
        <v>1</v>
      </c>
      <c r="AK13" s="204">
        <f t="shared" si="5"/>
        <v>1</v>
      </c>
      <c r="AL13" s="204">
        <f t="shared" si="5"/>
        <v>1</v>
      </c>
      <c r="AM13" s="204">
        <f t="shared" si="5"/>
        <v>1</v>
      </c>
      <c r="AN13" s="204">
        <f t="shared" si="5"/>
        <v>1</v>
      </c>
      <c r="AO13" s="204">
        <f t="shared" si="5"/>
        <v>1</v>
      </c>
      <c r="AP13" s="204">
        <f t="shared" si="5"/>
        <v>1</v>
      </c>
      <c r="AQ13" s="204">
        <f t="shared" si="5"/>
        <v>1</v>
      </c>
      <c r="AR13" s="204">
        <f t="shared" si="5"/>
        <v>1</v>
      </c>
      <c r="AS13" s="204">
        <f t="shared" si="5"/>
        <v>1</v>
      </c>
      <c r="AT13" s="204">
        <f t="shared" si="5"/>
        <v>1</v>
      </c>
      <c r="AU13" s="204">
        <f t="shared" si="6"/>
        <v>1</v>
      </c>
      <c r="AV13" s="204">
        <f t="shared" si="6"/>
        <v>1</v>
      </c>
      <c r="AW13" s="204">
        <f t="shared" si="6"/>
        <v>1</v>
      </c>
      <c r="AX13" s="204">
        <f t="shared" si="6"/>
        <v>1</v>
      </c>
      <c r="AY13" s="204">
        <f t="shared" si="6"/>
        <v>1</v>
      </c>
      <c r="AZ13" s="204">
        <f t="shared" si="6"/>
        <v>1</v>
      </c>
      <c r="BA13" s="204">
        <f t="shared" si="6"/>
        <v>1</v>
      </c>
      <c r="BB13" s="204">
        <f t="shared" si="6"/>
        <v>1</v>
      </c>
      <c r="BC13" s="204">
        <f t="shared" si="6"/>
        <v>1</v>
      </c>
      <c r="BD13" s="204">
        <f t="shared" si="6"/>
        <v>1</v>
      </c>
      <c r="BE13" s="204">
        <f t="shared" si="7"/>
        <v>1</v>
      </c>
      <c r="BF13" s="204">
        <f t="shared" si="7"/>
        <v>1</v>
      </c>
      <c r="BG13" s="204">
        <f t="shared" si="7"/>
        <v>1</v>
      </c>
      <c r="BH13" s="204">
        <f t="shared" si="7"/>
        <v>1</v>
      </c>
      <c r="BI13" s="204">
        <f t="shared" si="7"/>
        <v>1</v>
      </c>
      <c r="BJ13" s="204">
        <f t="shared" si="7"/>
        <v>1</v>
      </c>
      <c r="BK13" s="204">
        <f t="shared" si="7"/>
        <v>1</v>
      </c>
      <c r="BL13" s="204">
        <f t="shared" si="7"/>
        <v>1</v>
      </c>
      <c r="BM13" s="204">
        <f t="shared" si="7"/>
        <v>1</v>
      </c>
      <c r="BN13" s="204">
        <f t="shared" si="7"/>
        <v>1</v>
      </c>
    </row>
    <row r="14" spans="2:66" ht="15" customHeight="1" x14ac:dyDescent="0.3">
      <c r="B14" s="174" t="str">
        <f t="array" ref="B14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14" s="174" t="s">
        <v>79</v>
      </c>
      <c r="D14" s="177" t="str">
        <f t="shared" si="2"/>
        <v>Arquitetura de projetos GERDAU</v>
      </c>
      <c r="E14" s="174" t="s">
        <v>77</v>
      </c>
      <c r="F14" s="174" t="s">
        <v>77</v>
      </c>
      <c r="G14" s="174" t="s">
        <v>74</v>
      </c>
      <c r="H14" s="195" t="s">
        <v>77</v>
      </c>
      <c r="I14" s="174">
        <f>MIN(I15:I16)</f>
        <v>45689</v>
      </c>
      <c r="J14" s="174">
        <f>MAX(J15:J16)</f>
        <v>45694</v>
      </c>
      <c r="K14" s="174">
        <f>MIN(K15:K16)</f>
        <v>45689</v>
      </c>
      <c r="L14" s="174">
        <f>MAX(L15:L16)</f>
        <v>45694</v>
      </c>
      <c r="M14" s="175"/>
      <c r="N14" s="175" t="str">
        <f t="array" ref="N14">_xlfn.IFS(L14&lt;$M$3,"Concluído",AND(K14&gt;=$M$3,I14&lt;$M$3,L14&gt;$M$3),"Em andamento",AND(L14&gt;=$M$3,J14&lt;$M$3),"Atrasado",AND(L14&gt;=$M$3,J14&gt;=$M$3,I14&gt;$M$3,K14&lt;=$M$3),"Em andamento",AND(L14&gt;=$M$3,J14&gt;=$M$3,I14&lt;=$M$3,K14&lt;=$M$3),"Em andamento",AND(K14&gt;$M$3,I14&gt;$M$3),"Não iniciado",AND(L14&gt;=$M$3,J14&gt;=$M$3,K14&gt;=$M$3,I14&lt;$M$3),"Atrasado",AND(L14&gt;=$M$3,J14&gt;=$M$3,K14&gt;=$M$3,I14&gt;$M$3),"Não iniciado",AND($I14&lt;=$M$3,$K14&gt;$M$3),"Atrasado")</f>
        <v>Concluído</v>
      </c>
      <c r="O14" s="175">
        <f t="array" ref="O14">_xlfn.IFS(N14="Não iniciado",0,N14="Em andamento",1,N14="Concluído",2,N14="Atrasado",3)</f>
        <v>2</v>
      </c>
      <c r="P14" s="176"/>
      <c r="Q14" s="156">
        <f>AVERAGE(Q15:Q16)</f>
        <v>1</v>
      </c>
      <c r="R14" s="156">
        <f t="shared" ref="R14:AW14" si="8">AVERAGE(R15:R17)</f>
        <v>1</v>
      </c>
      <c r="S14" s="205">
        <f t="shared" si="8"/>
        <v>0</v>
      </c>
      <c r="T14" s="205">
        <f t="shared" si="8"/>
        <v>0.66666666666666663</v>
      </c>
      <c r="U14" s="205">
        <f t="shared" si="8"/>
        <v>1</v>
      </c>
      <c r="V14" s="205">
        <f t="shared" si="8"/>
        <v>1</v>
      </c>
      <c r="W14" s="205">
        <f t="shared" si="8"/>
        <v>1</v>
      </c>
      <c r="X14" s="205">
        <f t="shared" si="8"/>
        <v>1</v>
      </c>
      <c r="Y14" s="205">
        <f t="shared" si="8"/>
        <v>1</v>
      </c>
      <c r="Z14" s="205">
        <f t="shared" si="8"/>
        <v>1</v>
      </c>
      <c r="AA14" s="205">
        <f t="shared" si="8"/>
        <v>1</v>
      </c>
      <c r="AB14" s="205">
        <f t="shared" si="8"/>
        <v>1</v>
      </c>
      <c r="AC14" s="205">
        <f t="shared" si="8"/>
        <v>1</v>
      </c>
      <c r="AD14" s="205">
        <f t="shared" si="8"/>
        <v>1</v>
      </c>
      <c r="AE14" s="205">
        <f t="shared" si="8"/>
        <v>1</v>
      </c>
      <c r="AF14" s="205">
        <f t="shared" si="8"/>
        <v>1</v>
      </c>
      <c r="AG14" s="205">
        <f t="shared" si="8"/>
        <v>1</v>
      </c>
      <c r="AH14" s="205">
        <f t="shared" si="8"/>
        <v>1</v>
      </c>
      <c r="AI14" s="205">
        <f t="shared" si="8"/>
        <v>1</v>
      </c>
      <c r="AJ14" s="205">
        <f t="shared" si="8"/>
        <v>1</v>
      </c>
      <c r="AK14" s="205">
        <f t="shared" si="8"/>
        <v>1</v>
      </c>
      <c r="AL14" s="205">
        <f t="shared" si="8"/>
        <v>1</v>
      </c>
      <c r="AM14" s="205">
        <f t="shared" si="8"/>
        <v>1</v>
      </c>
      <c r="AN14" s="205">
        <f t="shared" si="8"/>
        <v>1</v>
      </c>
      <c r="AO14" s="205">
        <f t="shared" si="8"/>
        <v>1</v>
      </c>
      <c r="AP14" s="205">
        <f t="shared" si="8"/>
        <v>1</v>
      </c>
      <c r="AQ14" s="205">
        <f t="shared" si="8"/>
        <v>1</v>
      </c>
      <c r="AR14" s="205">
        <f t="shared" si="8"/>
        <v>1</v>
      </c>
      <c r="AS14" s="205">
        <f t="shared" si="8"/>
        <v>1</v>
      </c>
      <c r="AT14" s="205">
        <f t="shared" si="8"/>
        <v>1</v>
      </c>
      <c r="AU14" s="205">
        <f t="shared" si="8"/>
        <v>1</v>
      </c>
      <c r="AV14" s="205">
        <f t="shared" si="8"/>
        <v>1</v>
      </c>
      <c r="AW14" s="205">
        <f t="shared" si="8"/>
        <v>1</v>
      </c>
      <c r="AX14" s="205">
        <f t="shared" ref="AX14:BN14" si="9">AVERAGE(AX15:AX17)</f>
        <v>1</v>
      </c>
      <c r="AY14" s="205">
        <f t="shared" si="9"/>
        <v>1</v>
      </c>
      <c r="AZ14" s="205">
        <f t="shared" si="9"/>
        <v>1</v>
      </c>
      <c r="BA14" s="205">
        <f t="shared" si="9"/>
        <v>1</v>
      </c>
      <c r="BB14" s="205">
        <f t="shared" si="9"/>
        <v>1</v>
      </c>
      <c r="BC14" s="205">
        <f t="shared" si="9"/>
        <v>1</v>
      </c>
      <c r="BD14" s="205">
        <f t="shared" si="9"/>
        <v>1</v>
      </c>
      <c r="BE14" s="205">
        <f t="shared" si="9"/>
        <v>1</v>
      </c>
      <c r="BF14" s="205">
        <f t="shared" si="9"/>
        <v>1</v>
      </c>
      <c r="BG14" s="205">
        <f t="shared" si="9"/>
        <v>1</v>
      </c>
      <c r="BH14" s="205">
        <f t="shared" si="9"/>
        <v>1</v>
      </c>
      <c r="BI14" s="205">
        <f t="shared" si="9"/>
        <v>1</v>
      </c>
      <c r="BJ14" s="205">
        <f t="shared" si="9"/>
        <v>1</v>
      </c>
      <c r="BK14" s="205">
        <f t="shared" si="9"/>
        <v>1</v>
      </c>
      <c r="BL14" s="205">
        <f t="shared" si="9"/>
        <v>1</v>
      </c>
      <c r="BM14" s="205">
        <f t="shared" si="9"/>
        <v>1</v>
      </c>
      <c r="BN14" s="205">
        <f t="shared" si="9"/>
        <v>1</v>
      </c>
    </row>
    <row r="15" spans="2:66" ht="15" customHeight="1" x14ac:dyDescent="0.3">
      <c r="B15" s="166" t="str">
        <f t="array" ref="B15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5" s="166" t="s">
        <v>80</v>
      </c>
      <c r="D15" s="177" t="str">
        <f t="shared" si="2"/>
        <v>Arquitetura de projetos GERDAU</v>
      </c>
      <c r="E15" s="166" t="s">
        <v>77</v>
      </c>
      <c r="F15" s="166" t="s">
        <v>77</v>
      </c>
      <c r="G15" s="166" t="s">
        <v>77</v>
      </c>
      <c r="H15" s="196" t="s">
        <v>81</v>
      </c>
      <c r="I15" s="166">
        <v>45689</v>
      </c>
      <c r="J15" s="166">
        <v>45694</v>
      </c>
      <c r="K15" s="166">
        <v>45689</v>
      </c>
      <c r="L15" s="166">
        <v>45694</v>
      </c>
      <c r="M15" s="167"/>
      <c r="N15" s="167" t="str">
        <f t="array" ref="N15">_xlfn.IFS(L15&lt;$M$3,"Concluído",AND(K15&gt;=$M$3,I15&lt;$M$3,L15&gt;$M$3),"Em andamento",AND(L15&gt;=$M$3,J15&lt;$M$3),"Atrasado",AND(L15&gt;=$M$3,J15&gt;=$M$3,I15&gt;$M$3,K15&lt;=$M$3),"Em andamento",AND(L15&gt;=$M$3,J15&gt;=$M$3,I15&lt;=$M$3,K15&lt;=$M$3),"Em andamento",AND(K15&gt;$M$3,I15&gt;$M$3),"Não iniciado",AND(L15&gt;=$M$3,J15&gt;=$M$3,K15&gt;=$M$3,I15&lt;$M$3),"Atrasado",AND(L15&gt;=$M$3,J15&gt;=$M$3,K15&gt;=$M$3,I15&gt;$M$3),"Não iniciado",AND($I15&lt;=$M$3,$K15&gt;$M$3),"Atrasado")</f>
        <v>Concluído</v>
      </c>
      <c r="O15" s="167">
        <f t="array" ref="O15">_xlfn.IFS(N15="Não iniciado",0,N15="Em andamento",1,N15="Concluído",2,N15="Atrasado",3)</f>
        <v>2</v>
      </c>
      <c r="P15" s="168"/>
      <c r="Q15" s="152">
        <f t="array" ref="Q15">_xlfn.IFS(AND($I15&lt;$M$3,$J15&lt;$M$3),1,AND($I15&lt;=$M$3,$J15&gt;=$M$3),0.5,AND($I15&gt;=$M$3,$J15&gt;=$M$3),0)</f>
        <v>1</v>
      </c>
      <c r="R15" s="152">
        <f t="array" ref="R15">_xlfn.IFS(AND($K15&lt;$M$3,$L15&lt;$M$3),1,AND($K15&lt;=$M$3,$L15&gt;=$M$3),0.5,AND($K15&gt;=$M$3,$L15&gt;=$M$3),0)</f>
        <v>1</v>
      </c>
      <c r="S15" s="201">
        <f t="array" ref="S15">_xlfn.IFS(AND($K15&gt;R$7,$L15&gt;R$7),0,AND($K15&lt;=R$7,$L15&lt;=R$7),1,AND($K15&lt;=R$7,$L15&gt;R$7),((R$7-$K15)/($L15-$K15)))</f>
        <v>0</v>
      </c>
      <c r="T15" s="201">
        <f t="array" ref="T15">_xlfn.IFS(AND($K15&gt;S$7,$L15&gt;S$7),0,AND($K15&lt;=S$7,$L15&lt;=S$7),1,AND($K15&lt;=S$7,$L15&gt;S$7),((S$7-$K15)/($L15-$K15)))</f>
        <v>1</v>
      </c>
      <c r="U15" s="201">
        <f t="array" ref="U15">_xlfn.IFS(AND($K15&gt;T$7,$L15&gt;T$7),0,AND($K15&lt;=T$7,$L15&lt;=T$7),1,AND($K15&lt;=T$7,$L15&gt;T$7),((T$7-$K15)/($L15-$K15)))</f>
        <v>1</v>
      </c>
      <c r="V15" s="201">
        <f t="array" ref="V15">_xlfn.IFS(AND($K15&gt;U$7,$L15&gt;U$7),0,AND($K15&lt;=U$7,$L15&lt;=U$7),1,AND($K15&lt;=U$7,$L15&gt;U$7),((U$7-$K15)/($L15-$K15)))</f>
        <v>1</v>
      </c>
      <c r="W15" s="201">
        <f t="array" ref="W15">_xlfn.IFS(AND($K15&gt;V$7,$L15&gt;V$7),0,AND($K15&lt;=V$7,$L15&lt;=V$7),1,AND($K15&lt;=V$7,$L15&gt;V$7),((V$7-$K15)/($L15-$K15)))</f>
        <v>1</v>
      </c>
      <c r="X15" s="201">
        <f t="array" ref="X15">_xlfn.IFS(AND($K15&gt;W$7,$L15&gt;W$7),0,AND($K15&lt;=W$7,$L15&lt;=W$7),1,AND($K15&lt;=W$7,$L15&gt;W$7),((W$7-$K15)/($L15-$K15)))</f>
        <v>1</v>
      </c>
      <c r="Y15" s="201">
        <f t="array" ref="Y15">_xlfn.IFS(AND($K15&gt;X$7,$L15&gt;X$7),0,AND($K15&lt;=X$7,$L15&lt;=X$7),1,AND($K15&lt;=X$7,$L15&gt;X$7),((X$7-$K15)/($L15-$K15)))</f>
        <v>1</v>
      </c>
      <c r="Z15" s="201">
        <f t="array" ref="Z15">_xlfn.IFS(AND($K15&gt;Y$7,$L15&gt;Y$7),0,AND($K15&lt;=Y$7,$L15&lt;=Y$7),1,AND($K15&lt;=Y$7,$L15&gt;Y$7),((Y$7-$K15)/($L15-$K15)))</f>
        <v>1</v>
      </c>
      <c r="AA15" s="201">
        <f t="array" ref="AA15">_xlfn.IFS(AND($K15&gt;Z$7,$L15&gt;Z$7),0,AND($K15&lt;=Z$7,$L15&lt;=Z$7),1,AND($K15&lt;=Z$7,$L15&gt;Z$7),((Z$7-$K15)/($L15-$K15)))</f>
        <v>1</v>
      </c>
      <c r="AB15" s="201">
        <f t="array" ref="AB15">_xlfn.IFS(AND($K15&gt;AA$7,$L15&gt;AA$7),0,AND($K15&lt;=AA$7,$L15&lt;=AA$7),1,AND($K15&lt;=AA$7,$L15&gt;AA$7),((AA$7-$K15)/($L15-$K15)))</f>
        <v>1</v>
      </c>
      <c r="AC15" s="201">
        <f t="array" ref="AC15">_xlfn.IFS(AND($K15&gt;AB$7,$L15&gt;AB$7),0,AND($K15&lt;=AB$7,$L15&lt;=AB$7),1,AND($K15&lt;=AB$7,$L15&gt;AB$7),((AB$7-$K15)/($L15-$K15)))</f>
        <v>1</v>
      </c>
      <c r="AD15" s="201">
        <f t="array" ref="AD15">_xlfn.IFS(AND($K15&gt;AC$7,$L15&gt;AC$7),0,AND($K15&lt;=AC$7,$L15&lt;=AC$7),1,AND($K15&lt;=AC$7,$L15&gt;AC$7),((AC$7-$K15)/($L15-$K15)))</f>
        <v>1</v>
      </c>
      <c r="AE15" s="201">
        <f t="array" ref="AE15">_xlfn.IFS(AND($K15&gt;AD$7,$L15&gt;AD$7),0,AND($K15&lt;=AD$7,$L15&lt;=AD$7),1,AND($K15&lt;=AD$7,$L15&gt;AD$7),((AD$7-$K15)/($L15-$K15)))</f>
        <v>1</v>
      </c>
      <c r="AF15" s="201">
        <f t="array" ref="AF15">_xlfn.IFS(AND($K15&gt;AE$7,$L15&gt;AE$7),0,AND($K15&lt;=AE$7,$L15&lt;=AE$7),1,AND($K15&lt;=AE$7,$L15&gt;AE$7),((AE$7-$K15)/($L15-$K15)))</f>
        <v>1</v>
      </c>
      <c r="AG15" s="201">
        <f t="array" ref="AG15">_xlfn.IFS(AND($K15&gt;AF$7,$L15&gt;AF$7),0,AND($K15&lt;=AF$7,$L15&lt;=AF$7),1,AND($K15&lt;=AF$7,$L15&gt;AF$7),((AF$7-$K15)/($L15-$K15)))</f>
        <v>1</v>
      </c>
      <c r="AH15" s="201">
        <f t="array" ref="AH15">_xlfn.IFS(AND($K15&gt;AG$7,$L15&gt;AG$7),0,AND($K15&lt;=AG$7,$L15&lt;=AG$7),1,AND($K15&lt;=AG$7,$L15&gt;AG$7),((AG$7-$K15)/($L15-$K15)))</f>
        <v>1</v>
      </c>
      <c r="AI15" s="201">
        <f t="array" ref="AI15">_xlfn.IFS(AND($K15&gt;AH$7,$L15&gt;AH$7),0,AND($K15&lt;=AH$7,$L15&lt;=AH$7),1,AND($K15&lt;=AH$7,$L15&gt;AH$7),((AH$7-$K15)/($L15-$K15)))</f>
        <v>1</v>
      </c>
      <c r="AJ15" s="201">
        <f t="array" ref="AJ15">_xlfn.IFS(AND($K15&gt;AI$7,$L15&gt;AI$7),0,AND($K15&lt;=AI$7,$L15&lt;=AI$7),1,AND($K15&lt;=AI$7,$L15&gt;AI$7),((AI$7-$K15)/($L15-$K15)))</f>
        <v>1</v>
      </c>
      <c r="AK15" s="201">
        <f t="array" ref="AK15">_xlfn.IFS(AND($K15&gt;AJ$7,$L15&gt;AJ$7),0,AND($K15&lt;=AJ$7,$L15&lt;=AJ$7),1,AND($K15&lt;=AJ$7,$L15&gt;AJ$7),((AJ$7-$K15)/($L15-$K15)))</f>
        <v>1</v>
      </c>
      <c r="AL15" s="201">
        <f t="array" ref="AL15">_xlfn.IFS(AND($K15&gt;AK$7,$L15&gt;AK$7),0,AND($K15&lt;=AK$7,$L15&lt;=AK$7),1,AND($K15&lt;=AK$7,$L15&gt;AK$7),((AK$7-$K15)/($L15-$K15)))</f>
        <v>1</v>
      </c>
      <c r="AM15" s="201">
        <f t="array" ref="AM15">_xlfn.IFS(AND($K15&gt;AL$7,$L15&gt;AL$7),0,AND($K15&lt;=AL$7,$L15&lt;=AL$7),1,AND($K15&lt;=AL$7,$L15&gt;AL$7),((AL$7-$K15)/($L15-$K15)))</f>
        <v>1</v>
      </c>
      <c r="AN15" s="201">
        <f t="array" ref="AN15">_xlfn.IFS(AND($K15&gt;AM$7,$L15&gt;AM$7),0,AND($K15&lt;=AM$7,$L15&lt;=AM$7),1,AND($K15&lt;=AM$7,$L15&gt;AM$7),((AM$7-$K15)/($L15-$K15)))</f>
        <v>1</v>
      </c>
      <c r="AO15" s="201">
        <f t="array" ref="AO15">_xlfn.IFS(AND($K15&gt;AN$7,$L15&gt;AN$7),0,AND($K15&lt;=AN$7,$L15&lt;=AN$7),1,AND($K15&lt;=AN$7,$L15&gt;AN$7),((AN$7-$K15)/($L15-$K15)))</f>
        <v>1</v>
      </c>
      <c r="AP15" s="201">
        <f t="array" ref="AP15">_xlfn.IFS(AND($K15&gt;AO$7,$L15&gt;AO$7),0,AND($K15&lt;=AO$7,$L15&lt;=AO$7),1,AND($K15&lt;=AO$7,$L15&gt;AO$7),((AO$7-$K15)/($L15-$K15)))</f>
        <v>1</v>
      </c>
      <c r="AQ15" s="201">
        <f t="array" ref="AQ15">_xlfn.IFS(AND($K15&gt;AP$7,$L15&gt;AP$7),0,AND($K15&lt;=AP$7,$L15&lt;=AP$7),1,AND($K15&lt;=AP$7,$L15&gt;AP$7),((AP$7-$K15)/($L15-$K15)))</f>
        <v>1</v>
      </c>
      <c r="AR15" s="201">
        <f t="array" ref="AR15">_xlfn.IFS(AND($K15&gt;AQ$7,$L15&gt;AQ$7),0,AND($K15&lt;=AQ$7,$L15&lt;=AQ$7),1,AND($K15&lt;=AQ$7,$L15&gt;AQ$7),((AQ$7-$K15)/($L15-$K15)))</f>
        <v>1</v>
      </c>
      <c r="AS15" s="201">
        <f t="array" ref="AS15">_xlfn.IFS(AND($K15&gt;AR$7,$L15&gt;AR$7),0,AND($K15&lt;=AR$7,$L15&lt;=AR$7),1,AND($K15&lt;=AR$7,$L15&gt;AR$7),((AR$7-$K15)/($L15-$K15)))</f>
        <v>1</v>
      </c>
      <c r="AT15" s="201">
        <f t="array" ref="AT15">_xlfn.IFS(AND($K15&gt;AS$7,$L15&gt;AS$7),0,AND($K15&lt;=AS$7,$L15&lt;=AS$7),1,AND($K15&lt;=AS$7,$L15&gt;AS$7),((AS$7-$K15)/($L15-$K15)))</f>
        <v>1</v>
      </c>
      <c r="AU15" s="201">
        <f t="array" ref="AU15">_xlfn.IFS(AND($K15&gt;AT$7,$L15&gt;AT$7),0,AND($K15&lt;=AT$7,$L15&lt;=AT$7),1,AND($K15&lt;=AT$7,$L15&gt;AT$7),((AT$7-$K15)/($L15-$K15)))</f>
        <v>1</v>
      </c>
      <c r="AV15" s="201">
        <f t="array" ref="AV15">_xlfn.IFS(AND($K15&gt;AU$7,$L15&gt;AU$7),0,AND($K15&lt;=AU$7,$L15&lt;=AU$7),1,AND($K15&lt;=AU$7,$L15&gt;AU$7),((AU$7-$K15)/($L15-$K15)))</f>
        <v>1</v>
      </c>
      <c r="AW15" s="201">
        <f t="array" ref="AW15">_xlfn.IFS(AND($K15&gt;AV$7,$L15&gt;AV$7),0,AND($K15&lt;=AV$7,$L15&lt;=AV$7),1,AND($K15&lt;=AV$7,$L15&gt;AV$7),((AV$7-$K15)/($L15-$K15)))</f>
        <v>1</v>
      </c>
      <c r="AX15" s="201">
        <f t="array" ref="AX15">_xlfn.IFS(AND($K15&gt;AW$7,$L15&gt;AW$7),0,AND($K15&lt;=AW$7,$L15&lt;=AW$7),1,AND($K15&lt;=AW$7,$L15&gt;AW$7),((AW$7-$K15)/($L15-$K15)))</f>
        <v>1</v>
      </c>
      <c r="AY15" s="201">
        <f t="array" ref="AY15">_xlfn.IFS(AND($K15&gt;AX$7,$L15&gt;AX$7),0,AND($K15&lt;=AX$7,$L15&lt;=AX$7),1,AND($K15&lt;=AX$7,$L15&gt;AX$7),((AX$7-$K15)/($L15-$K15)))</f>
        <v>1</v>
      </c>
      <c r="AZ15" s="201">
        <f t="array" ref="AZ15">_xlfn.IFS(AND($K15&gt;AY$7,$L15&gt;AY$7),0,AND($K15&lt;=AY$7,$L15&lt;=AY$7),1,AND($K15&lt;=AY$7,$L15&gt;AY$7),((AY$7-$K15)/($L15-$K15)))</f>
        <v>1</v>
      </c>
      <c r="BA15" s="201">
        <f t="array" ref="BA15">_xlfn.IFS(AND($K15&gt;AZ$7,$L15&gt;AZ$7),0,AND($K15&lt;=AZ$7,$L15&lt;=AZ$7),1,AND($K15&lt;=AZ$7,$L15&gt;AZ$7),((AZ$7-$K15)/($L15-$K15)))</f>
        <v>1</v>
      </c>
      <c r="BB15" s="201">
        <f t="array" ref="BB15">_xlfn.IFS(AND($K15&gt;BA$7,$L15&gt;BA$7),0,AND($K15&lt;=BA$7,$L15&lt;=BA$7),1,AND($K15&lt;=BA$7,$L15&gt;BA$7),((BA$7-$K15)/($L15-$K15)))</f>
        <v>1</v>
      </c>
      <c r="BC15" s="201">
        <f t="array" ref="BC15">_xlfn.IFS(AND($K15&gt;BB$7,$L15&gt;BB$7),0,AND($K15&lt;=BB$7,$L15&lt;=BB$7),1,AND($K15&lt;=BB$7,$L15&gt;BB$7),((BB$7-$K15)/($L15-$K15)))</f>
        <v>1</v>
      </c>
      <c r="BD15" s="201">
        <f t="array" ref="BD15">_xlfn.IFS(AND($K15&gt;BC$7,$L15&gt;BC$7),0,AND($K15&lt;=BC$7,$L15&lt;=BC$7),1,AND($K15&lt;=BC$7,$L15&gt;BC$7),((BC$7-$K15)/($L15-$K15)))</f>
        <v>1</v>
      </c>
      <c r="BE15" s="201">
        <f t="array" ref="BE15">_xlfn.IFS(AND($K15&gt;BD$7,$L15&gt;BD$7),0,AND($K15&lt;=BD$7,$L15&lt;=BD$7),1,AND($K15&lt;=BD$7,$L15&gt;BD$7),((BD$7-$K15)/($L15-$K15)))</f>
        <v>1</v>
      </c>
      <c r="BF15" s="201">
        <f t="array" ref="BF15">_xlfn.IFS(AND($K15&gt;BE$7,$L15&gt;BE$7),0,AND($K15&lt;=BE$7,$L15&lt;=BE$7),1,AND($K15&lt;=BE$7,$L15&gt;BE$7),((BE$7-$K15)/($L15-$K15)))</f>
        <v>1</v>
      </c>
      <c r="BG15" s="201">
        <f t="array" ref="BG15">_xlfn.IFS(AND($K15&gt;BF$7,$L15&gt;BF$7),0,AND($K15&lt;=BF$7,$L15&lt;=BF$7),1,AND($K15&lt;=BF$7,$L15&gt;BF$7),((BF$7-$K15)/($L15-$K15)))</f>
        <v>1</v>
      </c>
      <c r="BH15" s="201">
        <f t="array" ref="BH15">_xlfn.IFS(AND($K15&gt;BG$7,$L15&gt;BG$7),0,AND($K15&lt;=BG$7,$L15&lt;=BG$7),1,AND($K15&lt;=BG$7,$L15&gt;BG$7),((BG$7-$K15)/($L15-$K15)))</f>
        <v>1</v>
      </c>
      <c r="BI15" s="201">
        <f t="array" ref="BI15">_xlfn.IFS(AND($K15&gt;BH$7,$L15&gt;BH$7),0,AND($K15&lt;=BH$7,$L15&lt;=BH$7),1,AND($K15&lt;=BH$7,$L15&gt;BH$7),((BH$7-$K15)/($L15-$K15)))</f>
        <v>1</v>
      </c>
      <c r="BJ15" s="201">
        <f t="array" ref="BJ15">_xlfn.IFS(AND($K15&gt;BI$7,$L15&gt;BI$7),0,AND($K15&lt;=BI$7,$L15&lt;=BI$7),1,AND($K15&lt;=BI$7,$L15&gt;BI$7),((BI$7-$K15)/($L15-$K15)))</f>
        <v>1</v>
      </c>
      <c r="BK15" s="201">
        <f t="array" ref="BK15">_xlfn.IFS(AND($K15&gt;BJ$7,$L15&gt;BJ$7),0,AND($K15&lt;=BJ$7,$L15&lt;=BJ$7),1,AND($K15&lt;=BJ$7,$L15&gt;BJ$7),((BJ$7-$K15)/($L15-$K15)))</f>
        <v>1</v>
      </c>
      <c r="BL15" s="201">
        <f t="array" ref="BL15">_xlfn.IFS(AND($K15&gt;BK$7,$L15&gt;BK$7),0,AND($K15&lt;=BK$7,$L15&lt;=BK$7),1,AND($K15&lt;=BK$7,$L15&gt;BK$7),((BK$7-$K15)/($L15-$K15)))</f>
        <v>1</v>
      </c>
      <c r="BM15" s="201">
        <f t="array" ref="BM15">_xlfn.IFS(AND($K15&gt;BL$7,$L15&gt;BL$7),0,AND($K15&lt;=BL$7,$L15&lt;=BL$7),1,AND($K15&lt;=BL$7,$L15&gt;BL$7),((BL$7-$K15)/($L15-$K15)))</f>
        <v>1</v>
      </c>
      <c r="BN15" s="201">
        <f t="array" ref="BN15">_xlfn.IFS(AND($K15&gt;BM$7,$L15&gt;BM$7),0,AND($K15&lt;=BM$7,$L15&lt;=BM$7),1,AND($K15&lt;=BM$7,$L15&gt;BM$7),((BM$7-$K15)/($L15-$K15)))</f>
        <v>1</v>
      </c>
    </row>
    <row r="16" spans="2:66" ht="15" customHeight="1" x14ac:dyDescent="0.3">
      <c r="B16" s="166" t="str">
        <f t="array" ref="B16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6" s="166" t="s">
        <v>82</v>
      </c>
      <c r="D16" s="177" t="str">
        <f t="shared" si="2"/>
        <v>Arquitetura de projetos GERDAU</v>
      </c>
      <c r="E16" s="166" t="s">
        <v>77</v>
      </c>
      <c r="F16" s="166" t="s">
        <v>77</v>
      </c>
      <c r="G16" s="166" t="s">
        <v>77</v>
      </c>
      <c r="H16" s="196" t="s">
        <v>83</v>
      </c>
      <c r="I16" s="166">
        <v>45694</v>
      </c>
      <c r="J16" s="166">
        <v>45694</v>
      </c>
      <c r="K16" s="166">
        <v>45694</v>
      </c>
      <c r="L16" s="166">
        <v>45694</v>
      </c>
      <c r="M16" s="167"/>
      <c r="N16" s="167" t="str">
        <f t="array" ref="N16">_xlfn.IFS(L16&lt;$M$3,"Concluído",AND(K16&gt;=$M$3,I16&lt;$M$3,L16&gt;$M$3),"Em andamento",AND(L16&gt;=$M$3,J16&lt;$M$3),"Atrasado",AND(L16&gt;=$M$3,J16&gt;=$M$3,I16&gt;$M$3,K16&lt;=$M$3),"Em andamento",AND(L16&gt;=$M$3,J16&gt;=$M$3,I16&lt;=$M$3,K16&lt;=$M$3),"Em andamento",AND(K16&gt;$M$3,I16&gt;$M$3),"Não iniciado",AND(L16&gt;=$M$3,J16&gt;=$M$3,K16&gt;=$M$3,I16&lt;$M$3),"Atrasado",AND(L16&gt;=$M$3,J16&gt;=$M$3,K16&gt;=$M$3,I16&gt;$M$3),"Não iniciado",AND($I16&lt;=$M$3,$K16&gt;$M$3),"Atrasado")</f>
        <v>Concluído</v>
      </c>
      <c r="O16" s="167">
        <f t="array" ref="O16">_xlfn.IFS(N16="Não iniciado",0,N16="Em andamento",1,N16="Concluído",2,N16="Atrasado",3)</f>
        <v>2</v>
      </c>
      <c r="P16" s="168"/>
      <c r="Q16" s="152">
        <f t="array" ref="Q16">_xlfn.IFS(AND($I16&lt;$M$3,$J16&lt;$M$3),1,AND($I16&lt;=$M$3,$J16&gt;=$M$3),0.5,AND($I16&gt;=$M$3,$J16&gt;=$M$3),0)</f>
        <v>1</v>
      </c>
      <c r="R16" s="152">
        <f t="array" ref="R16">_xlfn.IFS(AND($K16&lt;$M$3,$L16&lt;$M$3),1,AND($K16&lt;=$M$3,$L16&gt;=$M$3),0.5,AND($K16&gt;=$M$3,$L16&gt;=$M$3),0)</f>
        <v>1</v>
      </c>
      <c r="S16" s="201">
        <f t="array" ref="S16">_xlfn.IFS(AND($K16&gt;R$7,$L16&gt;R$7),0,AND($K16&lt;=R$7,$L16&lt;=R$7),1,AND($K16&lt;=R$7,$L16&gt;R$7),((R$7-$K16)/($L16-$K16)))</f>
        <v>0</v>
      </c>
      <c r="T16" s="201">
        <f t="array" ref="T16">_xlfn.IFS(AND($K16&gt;S$7,$L16&gt;S$7),0,AND($K16&lt;=S$7,$L16&lt;=S$7),1,AND($K16&lt;=S$7,$L16&gt;S$7),((S$7-$K16)/($L16-$K16)))</f>
        <v>1</v>
      </c>
      <c r="U16" s="201">
        <f t="array" ref="U16">_xlfn.IFS(AND($K16&gt;T$7,$L16&gt;T$7),0,AND($K16&lt;=T$7,$L16&lt;=T$7),1,AND($K16&lt;=T$7,$L16&gt;T$7),((T$7-$K16)/($L16-$K16)))</f>
        <v>1</v>
      </c>
      <c r="V16" s="201">
        <f t="array" ref="V16">_xlfn.IFS(AND($K16&gt;U$7,$L16&gt;U$7),0,AND($K16&lt;=U$7,$L16&lt;=U$7),1,AND($K16&lt;=U$7,$L16&gt;U$7),((U$7-$K16)/($L16-$K16)))</f>
        <v>1</v>
      </c>
      <c r="W16" s="201">
        <f t="array" ref="W16">_xlfn.IFS(AND($K16&gt;V$7,$L16&gt;V$7),0,AND($K16&lt;=V$7,$L16&lt;=V$7),1,AND($K16&lt;=V$7,$L16&gt;V$7),((V$7-$K16)/($L16-$K16)))</f>
        <v>1</v>
      </c>
      <c r="X16" s="201">
        <f t="array" ref="X16">_xlfn.IFS(AND($K16&gt;W$7,$L16&gt;W$7),0,AND($K16&lt;=W$7,$L16&lt;=W$7),1,AND($K16&lt;=W$7,$L16&gt;W$7),((W$7-$K16)/($L16-$K16)))</f>
        <v>1</v>
      </c>
      <c r="Y16" s="201">
        <f t="array" ref="Y16">_xlfn.IFS(AND($K16&gt;X$7,$L16&gt;X$7),0,AND($K16&lt;=X$7,$L16&lt;=X$7),1,AND($K16&lt;=X$7,$L16&gt;X$7),((X$7-$K16)/($L16-$K16)))</f>
        <v>1</v>
      </c>
      <c r="Z16" s="201">
        <f t="array" ref="Z16">_xlfn.IFS(AND($K16&gt;Y$7,$L16&gt;Y$7),0,AND($K16&lt;=Y$7,$L16&lt;=Y$7),1,AND($K16&lt;=Y$7,$L16&gt;Y$7),((Y$7-$K16)/($L16-$K16)))</f>
        <v>1</v>
      </c>
      <c r="AA16" s="201">
        <f t="array" ref="AA16">_xlfn.IFS(AND($K16&gt;Z$7,$L16&gt;Z$7),0,AND($K16&lt;=Z$7,$L16&lt;=Z$7),1,AND($K16&lt;=Z$7,$L16&gt;Z$7),((Z$7-$K16)/($L16-$K16)))</f>
        <v>1</v>
      </c>
      <c r="AB16" s="201">
        <f t="array" ref="AB16">_xlfn.IFS(AND($K16&gt;AA$7,$L16&gt;AA$7),0,AND($K16&lt;=AA$7,$L16&lt;=AA$7),1,AND($K16&lt;=AA$7,$L16&gt;AA$7),((AA$7-$K16)/($L16-$K16)))</f>
        <v>1</v>
      </c>
      <c r="AC16" s="201">
        <f t="array" ref="AC16">_xlfn.IFS(AND($K16&gt;AB$7,$L16&gt;AB$7),0,AND($K16&lt;=AB$7,$L16&lt;=AB$7),1,AND($K16&lt;=AB$7,$L16&gt;AB$7),((AB$7-$K16)/($L16-$K16)))</f>
        <v>1</v>
      </c>
      <c r="AD16" s="201">
        <f t="array" ref="AD16">_xlfn.IFS(AND($K16&gt;AC$7,$L16&gt;AC$7),0,AND($K16&lt;=AC$7,$L16&lt;=AC$7),1,AND($K16&lt;=AC$7,$L16&gt;AC$7),((AC$7-$K16)/($L16-$K16)))</f>
        <v>1</v>
      </c>
      <c r="AE16" s="201">
        <f t="array" ref="AE16">_xlfn.IFS(AND($K16&gt;AD$7,$L16&gt;AD$7),0,AND($K16&lt;=AD$7,$L16&lt;=AD$7),1,AND($K16&lt;=AD$7,$L16&gt;AD$7),((AD$7-$K16)/($L16-$K16)))</f>
        <v>1</v>
      </c>
      <c r="AF16" s="201">
        <f t="array" ref="AF16">_xlfn.IFS(AND($K16&gt;AE$7,$L16&gt;AE$7),0,AND($K16&lt;=AE$7,$L16&lt;=AE$7),1,AND($K16&lt;=AE$7,$L16&gt;AE$7),((AE$7-$K16)/($L16-$K16)))</f>
        <v>1</v>
      </c>
      <c r="AG16" s="201">
        <f t="array" ref="AG16">_xlfn.IFS(AND($K16&gt;AF$7,$L16&gt;AF$7),0,AND($K16&lt;=AF$7,$L16&lt;=AF$7),1,AND($K16&lt;=AF$7,$L16&gt;AF$7),((AF$7-$K16)/($L16-$K16)))</f>
        <v>1</v>
      </c>
      <c r="AH16" s="201">
        <f t="array" ref="AH16">_xlfn.IFS(AND($K16&gt;AG$7,$L16&gt;AG$7),0,AND($K16&lt;=AG$7,$L16&lt;=AG$7),1,AND($K16&lt;=AG$7,$L16&gt;AG$7),((AG$7-$K16)/($L16-$K16)))</f>
        <v>1</v>
      </c>
      <c r="AI16" s="201">
        <f t="array" ref="AI16">_xlfn.IFS(AND($K16&gt;AH$7,$L16&gt;AH$7),0,AND($K16&lt;=AH$7,$L16&lt;=AH$7),1,AND($K16&lt;=AH$7,$L16&gt;AH$7),((AH$7-$K16)/($L16-$K16)))</f>
        <v>1</v>
      </c>
      <c r="AJ16" s="201">
        <f t="array" ref="AJ16">_xlfn.IFS(AND($K16&gt;AI$7,$L16&gt;AI$7),0,AND($K16&lt;=AI$7,$L16&lt;=AI$7),1,AND($K16&lt;=AI$7,$L16&gt;AI$7),((AI$7-$K16)/($L16-$K16)))</f>
        <v>1</v>
      </c>
      <c r="AK16" s="201">
        <f t="array" ref="AK16">_xlfn.IFS(AND($K16&gt;AJ$7,$L16&gt;AJ$7),0,AND($K16&lt;=AJ$7,$L16&lt;=AJ$7),1,AND($K16&lt;=AJ$7,$L16&gt;AJ$7),((AJ$7-$K16)/($L16-$K16)))</f>
        <v>1</v>
      </c>
      <c r="AL16" s="201">
        <f t="array" ref="AL16">_xlfn.IFS(AND($K16&gt;AK$7,$L16&gt;AK$7),0,AND($K16&lt;=AK$7,$L16&lt;=AK$7),1,AND($K16&lt;=AK$7,$L16&gt;AK$7),((AK$7-$K16)/($L16-$K16)))</f>
        <v>1</v>
      </c>
      <c r="AM16" s="201">
        <f t="array" ref="AM16">_xlfn.IFS(AND($K16&gt;AL$7,$L16&gt;AL$7),0,AND($K16&lt;=AL$7,$L16&lt;=AL$7),1,AND($K16&lt;=AL$7,$L16&gt;AL$7),((AL$7-$K16)/($L16-$K16)))</f>
        <v>1</v>
      </c>
      <c r="AN16" s="201">
        <f t="array" ref="AN16">_xlfn.IFS(AND($K16&gt;AM$7,$L16&gt;AM$7),0,AND($K16&lt;=AM$7,$L16&lt;=AM$7),1,AND($K16&lt;=AM$7,$L16&gt;AM$7),((AM$7-$K16)/($L16-$K16)))</f>
        <v>1</v>
      </c>
      <c r="AO16" s="201">
        <f t="array" ref="AO16">_xlfn.IFS(AND($K16&gt;AN$7,$L16&gt;AN$7),0,AND($K16&lt;=AN$7,$L16&lt;=AN$7),1,AND($K16&lt;=AN$7,$L16&gt;AN$7),((AN$7-$K16)/($L16-$K16)))</f>
        <v>1</v>
      </c>
      <c r="AP16" s="201">
        <f t="array" ref="AP16">_xlfn.IFS(AND($K16&gt;AO$7,$L16&gt;AO$7),0,AND($K16&lt;=AO$7,$L16&lt;=AO$7),1,AND($K16&lt;=AO$7,$L16&gt;AO$7),((AO$7-$K16)/($L16-$K16)))</f>
        <v>1</v>
      </c>
      <c r="AQ16" s="201">
        <f t="array" ref="AQ16">_xlfn.IFS(AND($K16&gt;AP$7,$L16&gt;AP$7),0,AND($K16&lt;=AP$7,$L16&lt;=AP$7),1,AND($K16&lt;=AP$7,$L16&gt;AP$7),((AP$7-$K16)/($L16-$K16)))</f>
        <v>1</v>
      </c>
      <c r="AR16" s="201">
        <f t="array" ref="AR16">_xlfn.IFS(AND($K16&gt;AQ$7,$L16&gt;AQ$7),0,AND($K16&lt;=AQ$7,$L16&lt;=AQ$7),1,AND($K16&lt;=AQ$7,$L16&gt;AQ$7),((AQ$7-$K16)/($L16-$K16)))</f>
        <v>1</v>
      </c>
      <c r="AS16" s="201">
        <f t="array" ref="AS16">_xlfn.IFS(AND($K16&gt;AR$7,$L16&gt;AR$7),0,AND($K16&lt;=AR$7,$L16&lt;=AR$7),1,AND($K16&lt;=AR$7,$L16&gt;AR$7),((AR$7-$K16)/($L16-$K16)))</f>
        <v>1</v>
      </c>
      <c r="AT16" s="201">
        <f t="array" ref="AT16">_xlfn.IFS(AND($K16&gt;AS$7,$L16&gt;AS$7),0,AND($K16&lt;=AS$7,$L16&lt;=AS$7),1,AND($K16&lt;=AS$7,$L16&gt;AS$7),((AS$7-$K16)/($L16-$K16)))</f>
        <v>1</v>
      </c>
      <c r="AU16" s="201">
        <f t="array" ref="AU16">_xlfn.IFS(AND($K16&gt;AT$7,$L16&gt;AT$7),0,AND($K16&lt;=AT$7,$L16&lt;=AT$7),1,AND($K16&lt;=AT$7,$L16&gt;AT$7),((AT$7-$K16)/($L16-$K16)))</f>
        <v>1</v>
      </c>
      <c r="AV16" s="201">
        <f t="array" ref="AV16">_xlfn.IFS(AND($K16&gt;AU$7,$L16&gt;AU$7),0,AND($K16&lt;=AU$7,$L16&lt;=AU$7),1,AND($K16&lt;=AU$7,$L16&gt;AU$7),((AU$7-$K16)/($L16-$K16)))</f>
        <v>1</v>
      </c>
      <c r="AW16" s="201">
        <f t="array" ref="AW16">_xlfn.IFS(AND($K16&gt;AV$7,$L16&gt;AV$7),0,AND($K16&lt;=AV$7,$L16&lt;=AV$7),1,AND($K16&lt;=AV$7,$L16&gt;AV$7),((AV$7-$K16)/($L16-$K16)))</f>
        <v>1</v>
      </c>
      <c r="AX16" s="201">
        <f t="array" ref="AX16">_xlfn.IFS(AND($K16&gt;AW$7,$L16&gt;AW$7),0,AND($K16&lt;=AW$7,$L16&lt;=AW$7),1,AND($K16&lt;=AW$7,$L16&gt;AW$7),((AW$7-$K16)/($L16-$K16)))</f>
        <v>1</v>
      </c>
      <c r="AY16" s="201">
        <f t="array" ref="AY16">_xlfn.IFS(AND($K16&gt;AX$7,$L16&gt;AX$7),0,AND($K16&lt;=AX$7,$L16&lt;=AX$7),1,AND($K16&lt;=AX$7,$L16&gt;AX$7),((AX$7-$K16)/($L16-$K16)))</f>
        <v>1</v>
      </c>
      <c r="AZ16" s="201">
        <f t="array" ref="AZ16">_xlfn.IFS(AND($K16&gt;AY$7,$L16&gt;AY$7),0,AND($K16&lt;=AY$7,$L16&lt;=AY$7),1,AND($K16&lt;=AY$7,$L16&gt;AY$7),((AY$7-$K16)/($L16-$K16)))</f>
        <v>1</v>
      </c>
      <c r="BA16" s="201">
        <f t="array" ref="BA16">_xlfn.IFS(AND($K16&gt;AZ$7,$L16&gt;AZ$7),0,AND($K16&lt;=AZ$7,$L16&lt;=AZ$7),1,AND($K16&lt;=AZ$7,$L16&gt;AZ$7),((AZ$7-$K16)/($L16-$K16)))</f>
        <v>1</v>
      </c>
      <c r="BB16" s="201">
        <f t="array" ref="BB16">_xlfn.IFS(AND($K16&gt;BA$7,$L16&gt;BA$7),0,AND($K16&lt;=BA$7,$L16&lt;=BA$7),1,AND($K16&lt;=BA$7,$L16&gt;BA$7),((BA$7-$K16)/($L16-$K16)))</f>
        <v>1</v>
      </c>
      <c r="BC16" s="201">
        <f t="array" ref="BC16">_xlfn.IFS(AND($K16&gt;BB$7,$L16&gt;BB$7),0,AND($K16&lt;=BB$7,$L16&lt;=BB$7),1,AND($K16&lt;=BB$7,$L16&gt;BB$7),((BB$7-$K16)/($L16-$K16)))</f>
        <v>1</v>
      </c>
      <c r="BD16" s="201">
        <f t="array" ref="BD16">_xlfn.IFS(AND($K16&gt;BC$7,$L16&gt;BC$7),0,AND($K16&lt;=BC$7,$L16&lt;=BC$7),1,AND($K16&lt;=BC$7,$L16&gt;BC$7),((BC$7-$K16)/($L16-$K16)))</f>
        <v>1</v>
      </c>
      <c r="BE16" s="201">
        <f t="array" ref="BE16">_xlfn.IFS(AND($K16&gt;BD$7,$L16&gt;BD$7),0,AND($K16&lt;=BD$7,$L16&lt;=BD$7),1,AND($K16&lt;=BD$7,$L16&gt;BD$7),((BD$7-$K16)/($L16-$K16)))</f>
        <v>1</v>
      </c>
      <c r="BF16" s="201">
        <f t="array" ref="BF16">_xlfn.IFS(AND($K16&gt;BE$7,$L16&gt;BE$7),0,AND($K16&lt;=BE$7,$L16&lt;=BE$7),1,AND($K16&lt;=BE$7,$L16&gt;BE$7),((BE$7-$K16)/($L16-$K16)))</f>
        <v>1</v>
      </c>
      <c r="BG16" s="201">
        <f t="array" ref="BG16">_xlfn.IFS(AND($K16&gt;BF$7,$L16&gt;BF$7),0,AND($K16&lt;=BF$7,$L16&lt;=BF$7),1,AND($K16&lt;=BF$7,$L16&gt;BF$7),((BF$7-$K16)/($L16-$K16)))</f>
        <v>1</v>
      </c>
      <c r="BH16" s="201">
        <f t="array" ref="BH16">_xlfn.IFS(AND($K16&gt;BG$7,$L16&gt;BG$7),0,AND($K16&lt;=BG$7,$L16&lt;=BG$7),1,AND($K16&lt;=BG$7,$L16&gt;BG$7),((BG$7-$K16)/($L16-$K16)))</f>
        <v>1</v>
      </c>
      <c r="BI16" s="201">
        <f t="array" ref="BI16">_xlfn.IFS(AND($K16&gt;BH$7,$L16&gt;BH$7),0,AND($K16&lt;=BH$7,$L16&lt;=BH$7),1,AND($K16&lt;=BH$7,$L16&gt;BH$7),((BH$7-$K16)/($L16-$K16)))</f>
        <v>1</v>
      </c>
      <c r="BJ16" s="201">
        <f t="array" ref="BJ16">_xlfn.IFS(AND($K16&gt;BI$7,$L16&gt;BI$7),0,AND($K16&lt;=BI$7,$L16&lt;=BI$7),1,AND($K16&lt;=BI$7,$L16&gt;BI$7),((BI$7-$K16)/($L16-$K16)))</f>
        <v>1</v>
      </c>
      <c r="BK16" s="201">
        <f t="array" ref="BK16">_xlfn.IFS(AND($K16&gt;BJ$7,$L16&gt;BJ$7),0,AND($K16&lt;=BJ$7,$L16&lt;=BJ$7),1,AND($K16&lt;=BJ$7,$L16&gt;BJ$7),((BJ$7-$K16)/($L16-$K16)))</f>
        <v>1</v>
      </c>
      <c r="BL16" s="201">
        <f t="array" ref="BL16">_xlfn.IFS(AND($K16&gt;BK$7,$L16&gt;BK$7),0,AND($K16&lt;=BK$7,$L16&lt;=BK$7),1,AND($K16&lt;=BK$7,$L16&gt;BK$7),((BK$7-$K16)/($L16-$K16)))</f>
        <v>1</v>
      </c>
      <c r="BM16" s="201">
        <f t="array" ref="BM16">_xlfn.IFS(AND($K16&gt;BL$7,$L16&gt;BL$7),0,AND($K16&lt;=BL$7,$L16&lt;=BL$7),1,AND($K16&lt;=BL$7,$L16&gt;BL$7),((BL$7-$K16)/($L16-$K16)))</f>
        <v>1</v>
      </c>
      <c r="BN16" s="201">
        <f t="array" ref="BN16">_xlfn.IFS(AND($K16&gt;BM$7,$L16&gt;BM$7),0,AND($K16&lt;=BM$7,$L16&lt;=BM$7),1,AND($K16&lt;=BM$7,$L16&gt;BM$7),((BM$7-$K16)/($L16-$K16)))</f>
        <v>1</v>
      </c>
    </row>
    <row r="17" spans="2:66" ht="15" customHeight="1" x14ac:dyDescent="0.3">
      <c r="B17" s="166" t="str">
        <f t="array" ref="B17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7" s="166" t="s">
        <v>84</v>
      </c>
      <c r="D17" s="177" t="str">
        <f t="shared" si="2"/>
        <v>Arquitetura de projetos GERDAU</v>
      </c>
      <c r="E17" s="166" t="s">
        <v>77</v>
      </c>
      <c r="F17" s="166" t="s">
        <v>77</v>
      </c>
      <c r="G17" s="166" t="s">
        <v>77</v>
      </c>
      <c r="H17" s="196" t="s">
        <v>85</v>
      </c>
      <c r="I17" s="166">
        <v>45700</v>
      </c>
      <c r="J17" s="166">
        <v>45702</v>
      </c>
      <c r="K17" s="166">
        <v>45700</v>
      </c>
      <c r="L17" s="166">
        <v>45702</v>
      </c>
      <c r="M17" s="167"/>
      <c r="N17" s="167" t="str">
        <f t="array" ref="N17">_xlfn.IFS(L17&lt;$M$3,"Concluído",AND(K17&gt;=$M$3,I17&lt;$M$3,L17&gt;$M$3),"Em andamento",AND(L17&gt;=$M$3,J17&lt;$M$3),"Atrasado",AND(L17&gt;=$M$3,J17&gt;=$M$3,I17&gt;$M$3,K17&lt;=$M$3),"Em andamento",AND(L17&gt;=$M$3,J17&gt;=$M$3,I17&lt;=$M$3,K17&lt;=$M$3),"Em andamento",AND(K17&gt;$M$3,I17&gt;$M$3),"Não iniciado",AND(L17&gt;=$M$3,J17&gt;=$M$3,K17&gt;=$M$3,I17&lt;$M$3),"Atrasado",AND(L17&gt;=$M$3,J17&gt;=$M$3,K17&gt;=$M$3,I17&gt;$M$3),"Não iniciado",AND($I17&lt;=$M$3,$K17&gt;$M$3),"Atrasado")</f>
        <v>Concluído</v>
      </c>
      <c r="O17" s="167">
        <f t="array" ref="O17">_xlfn.IFS(N17="Não iniciado",0,N17="Em andamento",1,N17="Concluído",2,N17="Atrasado",3)</f>
        <v>2</v>
      </c>
      <c r="P17" s="168"/>
      <c r="Q17" s="152">
        <f t="array" ref="Q17">_xlfn.IFS(AND($I17&lt;$M$3,$J17&lt;$M$3),1,AND($I17&lt;$M$3,$J17&gt;=$M$3),0.5,AND($I17&gt;=$M$3,$J17&gt;=$M$3),0)</f>
        <v>1</v>
      </c>
      <c r="R17" s="152">
        <f t="array" ref="R17">_xlfn.IFS(AND($K17&lt;$M$3,$L17&lt;$M$3),1,AND($K17&lt;=$M$3,$L17&gt;=$M$3),0.5,AND($K17&gt;=$M$3,$L17&gt;=$M$3),0)</f>
        <v>1</v>
      </c>
      <c r="S17" s="201">
        <f t="array" ref="S17">_xlfn.IFS(AND($K17&gt;R$7,$L17&gt;R$7),0,AND($K17&lt;=R$7,$L17&lt;=R$7),1,AND($K17&lt;=R$7,$L17&gt;R$7),((R$7-$K17)/($L17-$K17)))</f>
        <v>0</v>
      </c>
      <c r="T17" s="201">
        <f t="array" ref="T17">_xlfn.IFS(AND($K17&gt;S$7,$L17&gt;S$7),0,AND($K17&lt;=S$7,$L17&lt;=S$7),1,AND($K17&lt;=S$7,$L17&gt;S$7),((S$7-$K17)/($L17-$K17)))</f>
        <v>0</v>
      </c>
      <c r="U17" s="201">
        <f t="array" ref="U17">_xlfn.IFS(AND($K17&gt;T$7,$L17&gt;T$7),0,AND($K17&lt;=T$7,$L17&lt;=T$7),1,AND($K17&lt;=T$7,$L17&gt;T$7),((T$7-$K17)/($L17-$K17)))</f>
        <v>1</v>
      </c>
      <c r="V17" s="201">
        <f t="array" ref="V17">_xlfn.IFS(AND($K17&gt;U$7,$L17&gt;U$7),0,AND($K17&lt;=U$7,$L17&lt;=U$7),1,AND($K17&lt;=U$7,$L17&gt;U$7),((U$7-$K17)/($L17-$K17)))</f>
        <v>1</v>
      </c>
      <c r="W17" s="201">
        <f t="array" ref="W17">_xlfn.IFS(AND($K17&gt;V$7,$L17&gt;V$7),0,AND($K17&lt;=V$7,$L17&lt;=V$7),1,AND($K17&lt;=V$7,$L17&gt;V$7),((V$7-$K17)/($L17-$K17)))</f>
        <v>1</v>
      </c>
      <c r="X17" s="201">
        <f t="array" ref="X17">_xlfn.IFS(AND($K17&gt;W$7,$L17&gt;W$7),0,AND($K17&lt;=W$7,$L17&lt;=W$7),1,AND($K17&lt;=W$7,$L17&gt;W$7),((W$7-$K17)/($L17-$K17)))</f>
        <v>1</v>
      </c>
      <c r="Y17" s="201">
        <f t="array" ref="Y17">_xlfn.IFS(AND($K17&gt;X$7,$L17&gt;X$7),0,AND($K17&lt;=X$7,$L17&lt;=X$7),1,AND($K17&lt;=X$7,$L17&gt;X$7),((X$7-$K17)/($L17-$K17)))</f>
        <v>1</v>
      </c>
      <c r="Z17" s="201">
        <f t="array" ref="Z17">_xlfn.IFS(AND($K17&gt;Y$7,$L17&gt;Y$7),0,AND($K17&lt;=Y$7,$L17&lt;=Y$7),1,AND($K17&lt;=Y$7,$L17&gt;Y$7),((Y$7-$K17)/($L17-$K17)))</f>
        <v>1</v>
      </c>
      <c r="AA17" s="201">
        <f t="array" ref="AA17">_xlfn.IFS(AND($K17&gt;Z$7,$L17&gt;Z$7),0,AND($K17&lt;=Z$7,$L17&lt;=Z$7),1,AND($K17&lt;=Z$7,$L17&gt;Z$7),((Z$7-$K17)/($L17-$K17)))</f>
        <v>1</v>
      </c>
      <c r="AB17" s="201">
        <f t="array" ref="AB17">_xlfn.IFS(AND($K17&gt;AA$7,$L17&gt;AA$7),0,AND($K17&lt;=AA$7,$L17&lt;=AA$7),1,AND($K17&lt;=AA$7,$L17&gt;AA$7),((AA$7-$K17)/($L17-$K17)))</f>
        <v>1</v>
      </c>
      <c r="AC17" s="201">
        <f t="array" ref="AC17">_xlfn.IFS(AND($K17&gt;AB$7,$L17&gt;AB$7),0,AND($K17&lt;=AB$7,$L17&lt;=AB$7),1,AND($K17&lt;=AB$7,$L17&gt;AB$7),((AB$7-$K17)/($L17-$K17)))</f>
        <v>1</v>
      </c>
      <c r="AD17" s="201">
        <f t="array" ref="AD17">_xlfn.IFS(AND($K17&gt;AC$7,$L17&gt;AC$7),0,AND($K17&lt;=AC$7,$L17&lt;=AC$7),1,AND($K17&lt;=AC$7,$L17&gt;AC$7),((AC$7-$K17)/($L17-$K17)))</f>
        <v>1</v>
      </c>
      <c r="AE17" s="201">
        <f t="array" ref="AE17">_xlfn.IFS(AND($K17&gt;AD$7,$L17&gt;AD$7),0,AND($K17&lt;=AD$7,$L17&lt;=AD$7),1,AND($K17&lt;=AD$7,$L17&gt;AD$7),((AD$7-$K17)/($L17-$K17)))</f>
        <v>1</v>
      </c>
      <c r="AF17" s="201">
        <f t="array" ref="AF17">_xlfn.IFS(AND($K17&gt;AE$7,$L17&gt;AE$7),0,AND($K17&lt;=AE$7,$L17&lt;=AE$7),1,AND($K17&lt;=AE$7,$L17&gt;AE$7),((AE$7-$K17)/($L17-$K17)))</f>
        <v>1</v>
      </c>
      <c r="AG17" s="201">
        <f t="array" ref="AG17">_xlfn.IFS(AND($K17&gt;AF$7,$L17&gt;AF$7),0,AND($K17&lt;=AF$7,$L17&lt;=AF$7),1,AND($K17&lt;=AF$7,$L17&gt;AF$7),((AF$7-$K17)/($L17-$K17)))</f>
        <v>1</v>
      </c>
      <c r="AH17" s="201">
        <f t="array" ref="AH17">_xlfn.IFS(AND($K17&gt;AG$7,$L17&gt;AG$7),0,AND($K17&lt;=AG$7,$L17&lt;=AG$7),1,AND($K17&lt;=AG$7,$L17&gt;AG$7),((AG$7-$K17)/($L17-$K17)))</f>
        <v>1</v>
      </c>
      <c r="AI17" s="201">
        <f t="array" ref="AI17">_xlfn.IFS(AND($K17&gt;AH$7,$L17&gt;AH$7),0,AND($K17&lt;=AH$7,$L17&lt;=AH$7),1,AND($K17&lt;=AH$7,$L17&gt;AH$7),((AH$7-$K17)/($L17-$K17)))</f>
        <v>1</v>
      </c>
      <c r="AJ17" s="201">
        <f t="array" ref="AJ17">_xlfn.IFS(AND($K17&gt;AI$7,$L17&gt;AI$7),0,AND($K17&lt;=AI$7,$L17&lt;=AI$7),1,AND($K17&lt;=AI$7,$L17&gt;AI$7),((AI$7-$K17)/($L17-$K17)))</f>
        <v>1</v>
      </c>
      <c r="AK17" s="201">
        <f t="array" ref="AK17">_xlfn.IFS(AND($K17&gt;AJ$7,$L17&gt;AJ$7),0,AND($K17&lt;=AJ$7,$L17&lt;=AJ$7),1,AND($K17&lt;=AJ$7,$L17&gt;AJ$7),((AJ$7-$K17)/($L17-$K17)))</f>
        <v>1</v>
      </c>
      <c r="AL17" s="201">
        <f t="array" ref="AL17">_xlfn.IFS(AND($K17&gt;AK$7,$L17&gt;AK$7),0,AND($K17&lt;=AK$7,$L17&lt;=AK$7),1,AND($K17&lt;=AK$7,$L17&gt;AK$7),((AK$7-$K17)/($L17-$K17)))</f>
        <v>1</v>
      </c>
      <c r="AM17" s="201">
        <f t="array" ref="AM17">_xlfn.IFS(AND($K17&gt;AL$7,$L17&gt;AL$7),0,AND($K17&lt;=AL$7,$L17&lt;=AL$7),1,AND($K17&lt;=AL$7,$L17&gt;AL$7),((AL$7-$K17)/($L17-$K17)))</f>
        <v>1</v>
      </c>
      <c r="AN17" s="201">
        <f t="array" ref="AN17">_xlfn.IFS(AND($K17&gt;AM$7,$L17&gt;AM$7),0,AND($K17&lt;=AM$7,$L17&lt;=AM$7),1,AND($K17&lt;=AM$7,$L17&gt;AM$7),((AM$7-$K17)/($L17-$K17)))</f>
        <v>1</v>
      </c>
      <c r="AO17" s="201">
        <f t="array" ref="AO17">_xlfn.IFS(AND($K17&gt;AN$7,$L17&gt;AN$7),0,AND($K17&lt;=AN$7,$L17&lt;=AN$7),1,AND($K17&lt;=AN$7,$L17&gt;AN$7),((AN$7-$K17)/($L17-$K17)))</f>
        <v>1</v>
      </c>
      <c r="AP17" s="201">
        <f t="array" ref="AP17">_xlfn.IFS(AND($K17&gt;AO$7,$L17&gt;AO$7),0,AND($K17&lt;=AO$7,$L17&lt;=AO$7),1,AND($K17&lt;=AO$7,$L17&gt;AO$7),((AO$7-$K17)/($L17-$K17)))</f>
        <v>1</v>
      </c>
      <c r="AQ17" s="201">
        <f t="array" ref="AQ17">_xlfn.IFS(AND($K17&gt;AP$7,$L17&gt;AP$7),0,AND($K17&lt;=AP$7,$L17&lt;=AP$7),1,AND($K17&lt;=AP$7,$L17&gt;AP$7),((AP$7-$K17)/($L17-$K17)))</f>
        <v>1</v>
      </c>
      <c r="AR17" s="201">
        <f t="array" ref="AR17">_xlfn.IFS(AND($K17&gt;AQ$7,$L17&gt;AQ$7),0,AND($K17&lt;=AQ$7,$L17&lt;=AQ$7),1,AND($K17&lt;=AQ$7,$L17&gt;AQ$7),((AQ$7-$K17)/($L17-$K17)))</f>
        <v>1</v>
      </c>
      <c r="AS17" s="201">
        <f t="array" ref="AS17">_xlfn.IFS(AND($K17&gt;AR$7,$L17&gt;AR$7),0,AND($K17&lt;=AR$7,$L17&lt;=AR$7),1,AND($K17&lt;=AR$7,$L17&gt;AR$7),((AR$7-$K17)/($L17-$K17)))</f>
        <v>1</v>
      </c>
      <c r="AT17" s="201">
        <f t="array" ref="AT17">_xlfn.IFS(AND($K17&gt;AS$7,$L17&gt;AS$7),0,AND($K17&lt;=AS$7,$L17&lt;=AS$7),1,AND($K17&lt;=AS$7,$L17&gt;AS$7),((AS$7-$K17)/($L17-$K17)))</f>
        <v>1</v>
      </c>
      <c r="AU17" s="201">
        <f t="array" ref="AU17">_xlfn.IFS(AND($K17&gt;AT$7,$L17&gt;AT$7),0,AND($K17&lt;=AT$7,$L17&lt;=AT$7),1,AND($K17&lt;=AT$7,$L17&gt;AT$7),((AT$7-$K17)/($L17-$K17)))</f>
        <v>1</v>
      </c>
      <c r="AV17" s="201">
        <f t="array" ref="AV17">_xlfn.IFS(AND($K17&gt;AU$7,$L17&gt;AU$7),0,AND($K17&lt;=AU$7,$L17&lt;=AU$7),1,AND($K17&lt;=AU$7,$L17&gt;AU$7),((AU$7-$K17)/($L17-$K17)))</f>
        <v>1</v>
      </c>
      <c r="AW17" s="201">
        <f t="array" ref="AW17">_xlfn.IFS(AND($K17&gt;AV$7,$L17&gt;AV$7),0,AND($K17&lt;=AV$7,$L17&lt;=AV$7),1,AND($K17&lt;=AV$7,$L17&gt;AV$7),((AV$7-$K17)/($L17-$K17)))</f>
        <v>1</v>
      </c>
      <c r="AX17" s="201">
        <f t="array" ref="AX17">_xlfn.IFS(AND($K17&gt;AW$7,$L17&gt;AW$7),0,AND($K17&lt;=AW$7,$L17&lt;=AW$7),1,AND($K17&lt;=AW$7,$L17&gt;AW$7),((AW$7-$K17)/($L17-$K17)))</f>
        <v>1</v>
      </c>
      <c r="AY17" s="201">
        <f t="array" ref="AY17">_xlfn.IFS(AND($K17&gt;AX$7,$L17&gt;AX$7),0,AND($K17&lt;=AX$7,$L17&lt;=AX$7),1,AND($K17&lt;=AX$7,$L17&gt;AX$7),((AX$7-$K17)/($L17-$K17)))</f>
        <v>1</v>
      </c>
      <c r="AZ17" s="201">
        <f t="array" ref="AZ17">_xlfn.IFS(AND($K17&gt;AY$7,$L17&gt;AY$7),0,AND($K17&lt;=AY$7,$L17&lt;=AY$7),1,AND($K17&lt;=AY$7,$L17&gt;AY$7),((AY$7-$K17)/($L17-$K17)))</f>
        <v>1</v>
      </c>
      <c r="BA17" s="201">
        <f t="array" ref="BA17">_xlfn.IFS(AND($K17&gt;AZ$7,$L17&gt;AZ$7),0,AND($K17&lt;=AZ$7,$L17&lt;=AZ$7),1,AND($K17&lt;=AZ$7,$L17&gt;AZ$7),((AZ$7-$K17)/($L17-$K17)))</f>
        <v>1</v>
      </c>
      <c r="BB17" s="201">
        <f t="array" ref="BB17">_xlfn.IFS(AND($K17&gt;BA$7,$L17&gt;BA$7),0,AND($K17&lt;=BA$7,$L17&lt;=BA$7),1,AND($K17&lt;=BA$7,$L17&gt;BA$7),((BA$7-$K17)/($L17-$K17)))</f>
        <v>1</v>
      </c>
      <c r="BC17" s="201">
        <f t="array" ref="BC17">_xlfn.IFS(AND($K17&gt;BB$7,$L17&gt;BB$7),0,AND($K17&lt;=BB$7,$L17&lt;=BB$7),1,AND($K17&lt;=BB$7,$L17&gt;BB$7),((BB$7-$K17)/($L17-$K17)))</f>
        <v>1</v>
      </c>
      <c r="BD17" s="201">
        <f t="array" ref="BD17">_xlfn.IFS(AND($K17&gt;BC$7,$L17&gt;BC$7),0,AND($K17&lt;=BC$7,$L17&lt;=BC$7),1,AND($K17&lt;=BC$7,$L17&gt;BC$7),((BC$7-$K17)/($L17-$K17)))</f>
        <v>1</v>
      </c>
      <c r="BE17" s="201">
        <f t="array" ref="BE17">_xlfn.IFS(AND($K17&gt;BD$7,$L17&gt;BD$7),0,AND($K17&lt;=BD$7,$L17&lt;=BD$7),1,AND($K17&lt;=BD$7,$L17&gt;BD$7),((BD$7-$K17)/($L17-$K17)))</f>
        <v>1</v>
      </c>
      <c r="BF17" s="201">
        <f t="array" ref="BF17">_xlfn.IFS(AND($K17&gt;BE$7,$L17&gt;BE$7),0,AND($K17&lt;=BE$7,$L17&lt;=BE$7),1,AND($K17&lt;=BE$7,$L17&gt;BE$7),((BE$7-$K17)/($L17-$K17)))</f>
        <v>1</v>
      </c>
      <c r="BG17" s="201">
        <f t="array" ref="BG17">_xlfn.IFS(AND($K17&gt;BF$7,$L17&gt;BF$7),0,AND($K17&lt;=BF$7,$L17&lt;=BF$7),1,AND($K17&lt;=BF$7,$L17&gt;BF$7),((BF$7-$K17)/($L17-$K17)))</f>
        <v>1</v>
      </c>
      <c r="BH17" s="201">
        <f t="array" ref="BH17">_xlfn.IFS(AND($K17&gt;BG$7,$L17&gt;BG$7),0,AND($K17&lt;=BG$7,$L17&lt;=BG$7),1,AND($K17&lt;=BG$7,$L17&gt;BG$7),((BG$7-$K17)/($L17-$K17)))</f>
        <v>1</v>
      </c>
      <c r="BI17" s="201">
        <f t="array" ref="BI17">_xlfn.IFS(AND($K17&gt;BH$7,$L17&gt;BH$7),0,AND($K17&lt;=BH$7,$L17&lt;=BH$7),1,AND($K17&lt;=BH$7,$L17&gt;BH$7),((BH$7-$K17)/($L17-$K17)))</f>
        <v>1</v>
      </c>
      <c r="BJ17" s="201">
        <f t="array" ref="BJ17">_xlfn.IFS(AND($K17&gt;BI$7,$L17&gt;BI$7),0,AND($K17&lt;=BI$7,$L17&lt;=BI$7),1,AND($K17&lt;=BI$7,$L17&gt;BI$7),((BI$7-$K17)/($L17-$K17)))</f>
        <v>1</v>
      </c>
      <c r="BK17" s="201">
        <f t="array" ref="BK17">_xlfn.IFS(AND($K17&gt;BJ$7,$L17&gt;BJ$7),0,AND($K17&lt;=BJ$7,$L17&lt;=BJ$7),1,AND($K17&lt;=BJ$7,$L17&gt;BJ$7),((BJ$7-$K17)/($L17-$K17)))</f>
        <v>1</v>
      </c>
      <c r="BL17" s="201">
        <f t="array" ref="BL17">_xlfn.IFS(AND($K17&gt;BK$7,$L17&gt;BK$7),0,AND($K17&lt;=BK$7,$L17&lt;=BK$7),1,AND($K17&lt;=BK$7,$L17&gt;BK$7),((BK$7-$K17)/($L17-$K17)))</f>
        <v>1</v>
      </c>
      <c r="BM17" s="201">
        <f t="array" ref="BM17">_xlfn.IFS(AND($K17&gt;BL$7,$L17&gt;BL$7),0,AND($K17&lt;=BL$7,$L17&lt;=BL$7),1,AND($K17&lt;=BL$7,$L17&gt;BL$7),((BL$7-$K17)/($L17-$K17)))</f>
        <v>1</v>
      </c>
      <c r="BN17" s="201">
        <f t="array" ref="BN17">_xlfn.IFS(AND($K17&gt;BM$7,$L17&gt;BM$7),0,AND($K17&lt;=BM$7,$L17&lt;=BM$7),1,AND($K17&lt;=BM$7,$L17&gt;BM$7),((BM$7-$K17)/($L17-$K17)))</f>
        <v>1</v>
      </c>
    </row>
    <row r="18" spans="2:66" ht="15" customHeight="1" x14ac:dyDescent="0.3">
      <c r="B18" s="177" t="str">
        <f t="array" ref="B18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2</v>
      </c>
      <c r="C18" s="177" t="s">
        <v>86</v>
      </c>
      <c r="D18" s="177" t="str">
        <f t="shared" si="2"/>
        <v>Arquitetura de projetos GERDAU</v>
      </c>
      <c r="E18" s="177" t="s">
        <v>74</v>
      </c>
      <c r="F18" s="177" t="s">
        <v>74</v>
      </c>
      <c r="G18" s="177" t="s">
        <v>74</v>
      </c>
      <c r="H18" s="193" t="s">
        <v>87</v>
      </c>
      <c r="I18" s="177">
        <f>MIN(I19,I26,I40)</f>
        <v>45705</v>
      </c>
      <c r="J18" s="177">
        <f>MIN(J19,J26,J40)</f>
        <v>45715</v>
      </c>
      <c r="K18" s="177">
        <f>MIN(K19,K26,K40)</f>
        <v>45705</v>
      </c>
      <c r="L18" s="177">
        <f>MIN(L19,L26,L40)</f>
        <v>45715</v>
      </c>
      <c r="M18" s="178"/>
      <c r="N18" s="178" t="str">
        <f t="array" ref="N18">_xlfn.IFS(L18&lt;$M$3,"Concluído",AND(K18&gt;=$M$3,I18&lt;$M$3,L18&gt;$M$3),"Em andamento",AND(L18&gt;=$M$3,J18&lt;$M$3),"Atrasado",AND(L18&gt;=$M$3,J18&gt;=$M$3,I18&gt;$M$3,K18&lt;=$M$3),"Em andamento",AND(L18&gt;=$M$3,J18&gt;=$M$3,I18&lt;=$M$3,K18&lt;=$M$3),"Em andamento",AND(K18&gt;$M$3,I18&gt;$M$3),"Não iniciado",AND(L18&gt;=$M$3,J18&gt;=$M$3,K18&gt;=$M$3,I18&lt;$M$3),"Atrasado",AND(L18&gt;=$M$3,J18&gt;=$M$3,K18&gt;=$M$3,I18&gt;$M$3),"Não iniciado",AND($I18&lt;=$M$3,$K18&gt;$M$3),"Atrasado")</f>
        <v>Concluído</v>
      </c>
      <c r="O18" s="178">
        <f t="array" ref="O18">_xlfn.IFS(N18="Não iniciado",0,N18="Em andamento",1,N18="Concluído",2,N18="Atrasado",3)</f>
        <v>2</v>
      </c>
      <c r="P18" s="179"/>
      <c r="Q18" s="180">
        <f t="shared" ref="Q18:AV18" si="10">AVERAGE(Q19,Q26,Q40)</f>
        <v>1</v>
      </c>
      <c r="R18" s="180">
        <f t="shared" si="10"/>
        <v>1</v>
      </c>
      <c r="S18" s="180">
        <f t="shared" si="10"/>
        <v>0</v>
      </c>
      <c r="T18" s="180">
        <f t="shared" si="10"/>
        <v>0</v>
      </c>
      <c r="U18" s="180">
        <f t="shared" si="10"/>
        <v>0</v>
      </c>
      <c r="V18" s="180">
        <f t="shared" si="10"/>
        <v>0.41258169934640526</v>
      </c>
      <c r="W18" s="180">
        <f t="shared" si="10"/>
        <v>0.69852941176470595</v>
      </c>
      <c r="X18" s="180">
        <f t="shared" si="10"/>
        <v>0.88888888888888884</v>
      </c>
      <c r="Y18" s="180">
        <f t="shared" si="10"/>
        <v>1</v>
      </c>
      <c r="Z18" s="180">
        <f t="shared" si="10"/>
        <v>1</v>
      </c>
      <c r="AA18" s="180">
        <f t="shared" si="10"/>
        <v>1</v>
      </c>
      <c r="AB18" s="180">
        <f t="shared" si="10"/>
        <v>1</v>
      </c>
      <c r="AC18" s="180">
        <f t="shared" si="10"/>
        <v>1</v>
      </c>
      <c r="AD18" s="180">
        <f t="shared" si="10"/>
        <v>1</v>
      </c>
      <c r="AE18" s="180">
        <f t="shared" si="10"/>
        <v>1</v>
      </c>
      <c r="AF18" s="180">
        <f t="shared" si="10"/>
        <v>1</v>
      </c>
      <c r="AG18" s="180">
        <f t="shared" si="10"/>
        <v>1</v>
      </c>
      <c r="AH18" s="180">
        <f t="shared" si="10"/>
        <v>1</v>
      </c>
      <c r="AI18" s="180">
        <f t="shared" si="10"/>
        <v>1</v>
      </c>
      <c r="AJ18" s="180">
        <f t="shared" si="10"/>
        <v>1</v>
      </c>
      <c r="AK18" s="180">
        <f t="shared" si="10"/>
        <v>1</v>
      </c>
      <c r="AL18" s="180">
        <f t="shared" si="10"/>
        <v>1</v>
      </c>
      <c r="AM18" s="180">
        <f t="shared" si="10"/>
        <v>1</v>
      </c>
      <c r="AN18" s="180">
        <f t="shared" si="10"/>
        <v>1</v>
      </c>
      <c r="AO18" s="180">
        <f t="shared" si="10"/>
        <v>1</v>
      </c>
      <c r="AP18" s="180">
        <f t="shared" si="10"/>
        <v>1</v>
      </c>
      <c r="AQ18" s="180">
        <f t="shared" si="10"/>
        <v>1</v>
      </c>
      <c r="AR18" s="180">
        <f t="shared" si="10"/>
        <v>1</v>
      </c>
      <c r="AS18" s="180">
        <f t="shared" si="10"/>
        <v>1</v>
      </c>
      <c r="AT18" s="180">
        <f t="shared" si="10"/>
        <v>1</v>
      </c>
      <c r="AU18" s="180">
        <f t="shared" si="10"/>
        <v>1</v>
      </c>
      <c r="AV18" s="180">
        <f t="shared" si="10"/>
        <v>1</v>
      </c>
      <c r="AW18" s="180">
        <f t="shared" ref="AW18:BN18" si="11">AVERAGE(AW19,AW26,AW40)</f>
        <v>1</v>
      </c>
      <c r="AX18" s="180">
        <f t="shared" si="11"/>
        <v>1</v>
      </c>
      <c r="AY18" s="180">
        <f t="shared" si="11"/>
        <v>1</v>
      </c>
      <c r="AZ18" s="180">
        <f t="shared" si="11"/>
        <v>1</v>
      </c>
      <c r="BA18" s="180">
        <f t="shared" si="11"/>
        <v>1</v>
      </c>
      <c r="BB18" s="180">
        <f t="shared" si="11"/>
        <v>1</v>
      </c>
      <c r="BC18" s="180">
        <f t="shared" si="11"/>
        <v>1</v>
      </c>
      <c r="BD18" s="180">
        <f t="shared" si="11"/>
        <v>1</v>
      </c>
      <c r="BE18" s="180">
        <f t="shared" si="11"/>
        <v>1</v>
      </c>
      <c r="BF18" s="180">
        <f t="shared" si="11"/>
        <v>1</v>
      </c>
      <c r="BG18" s="180">
        <f t="shared" si="11"/>
        <v>1</v>
      </c>
      <c r="BH18" s="180">
        <f t="shared" si="11"/>
        <v>1</v>
      </c>
      <c r="BI18" s="180">
        <f t="shared" si="11"/>
        <v>1</v>
      </c>
      <c r="BJ18" s="180">
        <f t="shared" si="11"/>
        <v>1</v>
      </c>
      <c r="BK18" s="180">
        <f t="shared" si="11"/>
        <v>1</v>
      </c>
      <c r="BL18" s="180">
        <f t="shared" si="11"/>
        <v>1</v>
      </c>
      <c r="BM18" s="180">
        <f t="shared" si="11"/>
        <v>1</v>
      </c>
      <c r="BN18" s="180">
        <f t="shared" si="11"/>
        <v>1</v>
      </c>
    </row>
    <row r="19" spans="2:66" ht="15" customHeight="1" x14ac:dyDescent="0.3">
      <c r="B19" s="170" t="str">
        <f t="array" ref="B19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3</v>
      </c>
      <c r="C19" s="170" t="s">
        <v>88</v>
      </c>
      <c r="D19" s="177" t="str">
        <f t="shared" si="2"/>
        <v>Arquitetura de projetos GERDAU</v>
      </c>
      <c r="E19" s="170" t="str">
        <f t="shared" ref="E19:E44" si="12">$H$18</f>
        <v>Definição da Estratégia para Transformação dos Processos</v>
      </c>
      <c r="F19" s="170" t="s">
        <v>74</v>
      </c>
      <c r="G19" s="170" t="s">
        <v>74</v>
      </c>
      <c r="H19" s="194" t="s">
        <v>89</v>
      </c>
      <c r="I19" s="170">
        <f>MIN(I21:I21)</f>
        <v>45705</v>
      </c>
      <c r="J19" s="170">
        <f>MAX(J21:J21)</f>
        <v>45715</v>
      </c>
      <c r="K19" s="170">
        <f>MIN(K21:K21)</f>
        <v>45705</v>
      </c>
      <c r="L19" s="170">
        <f>MAX(L21:L21)</f>
        <v>45715</v>
      </c>
      <c r="M19" s="171"/>
      <c r="N19" s="171" t="str">
        <f t="array" ref="N19">_xlfn.IFS(L19&lt;$M$3,"Concluído",AND(K19&gt;=$M$3,I19&lt;$M$3,L19&gt;$M$3),"Em andamento",AND(L19&gt;=$M$3,J19&lt;$M$3),"Atrasado",AND(L19&gt;=$M$3,J19&gt;=$M$3,I19&gt;$M$3,K19&lt;=$M$3),"Em andamento",AND(L19&gt;=$M$3,J19&gt;=$M$3,I19&lt;=$M$3,K19&lt;=$M$3),"Em andamento",AND(K19&gt;$M$3,I19&gt;$M$3),"Não iniciado",AND(L19&gt;=$M$3,J19&gt;=$M$3,K19&gt;=$M$3,I19&lt;$M$3),"Atrasado",AND(L19&gt;=$M$3,J19&gt;=$M$3,K19&gt;=$M$3,I19&gt;$M$3),"Não iniciado",AND($I19&lt;=$M$3,$K19&gt;$M$3),"Atrasado")</f>
        <v>Concluído</v>
      </c>
      <c r="O19" s="171">
        <f t="array" ref="O19">_xlfn.IFS(N19="Não iniciado",0,N19="Em andamento",1,N19="Concluído",2,N19="Atrasado",3)</f>
        <v>2</v>
      </c>
      <c r="P19" s="172"/>
      <c r="Q19" s="173">
        <f t="shared" ref="Q19:AV19" si="13">AVERAGE(Q20,Q22,Q24)</f>
        <v>1</v>
      </c>
      <c r="R19" s="173">
        <f t="shared" si="13"/>
        <v>1</v>
      </c>
      <c r="S19" s="204">
        <f t="shared" si="13"/>
        <v>0</v>
      </c>
      <c r="T19" s="204">
        <f t="shared" si="13"/>
        <v>0</v>
      </c>
      <c r="U19" s="204">
        <f t="shared" si="13"/>
        <v>0</v>
      </c>
      <c r="V19" s="204">
        <f t="shared" si="13"/>
        <v>0.66666666666666663</v>
      </c>
      <c r="W19" s="204">
        <f t="shared" si="13"/>
        <v>1</v>
      </c>
      <c r="X19" s="204">
        <f t="shared" si="13"/>
        <v>1</v>
      </c>
      <c r="Y19" s="204">
        <f t="shared" si="13"/>
        <v>1</v>
      </c>
      <c r="Z19" s="204">
        <f t="shared" si="13"/>
        <v>1</v>
      </c>
      <c r="AA19" s="204">
        <f t="shared" si="13"/>
        <v>1</v>
      </c>
      <c r="AB19" s="204">
        <f t="shared" si="13"/>
        <v>1</v>
      </c>
      <c r="AC19" s="204">
        <f t="shared" si="13"/>
        <v>1</v>
      </c>
      <c r="AD19" s="204">
        <f t="shared" si="13"/>
        <v>1</v>
      </c>
      <c r="AE19" s="204">
        <f t="shared" si="13"/>
        <v>1</v>
      </c>
      <c r="AF19" s="204">
        <f t="shared" si="13"/>
        <v>1</v>
      </c>
      <c r="AG19" s="204">
        <f t="shared" si="13"/>
        <v>1</v>
      </c>
      <c r="AH19" s="204">
        <f t="shared" si="13"/>
        <v>1</v>
      </c>
      <c r="AI19" s="204">
        <f t="shared" si="13"/>
        <v>1</v>
      </c>
      <c r="AJ19" s="204">
        <f t="shared" si="13"/>
        <v>1</v>
      </c>
      <c r="AK19" s="204">
        <f t="shared" si="13"/>
        <v>1</v>
      </c>
      <c r="AL19" s="204">
        <f t="shared" si="13"/>
        <v>1</v>
      </c>
      <c r="AM19" s="204">
        <f t="shared" si="13"/>
        <v>1</v>
      </c>
      <c r="AN19" s="204">
        <f t="shared" si="13"/>
        <v>1</v>
      </c>
      <c r="AO19" s="204">
        <f t="shared" si="13"/>
        <v>1</v>
      </c>
      <c r="AP19" s="204">
        <f t="shared" si="13"/>
        <v>1</v>
      </c>
      <c r="AQ19" s="204">
        <f t="shared" si="13"/>
        <v>1</v>
      </c>
      <c r="AR19" s="204">
        <f t="shared" si="13"/>
        <v>1</v>
      </c>
      <c r="AS19" s="204">
        <f t="shared" si="13"/>
        <v>1</v>
      </c>
      <c r="AT19" s="204">
        <f t="shared" si="13"/>
        <v>1</v>
      </c>
      <c r="AU19" s="204">
        <f t="shared" si="13"/>
        <v>1</v>
      </c>
      <c r="AV19" s="204">
        <f t="shared" si="13"/>
        <v>1</v>
      </c>
      <c r="AW19" s="204">
        <f t="shared" ref="AW19:BN19" si="14">AVERAGE(AW20,AW22,AW24)</f>
        <v>1</v>
      </c>
      <c r="AX19" s="204">
        <f t="shared" si="14"/>
        <v>1</v>
      </c>
      <c r="AY19" s="204">
        <f t="shared" si="14"/>
        <v>1</v>
      </c>
      <c r="AZ19" s="204">
        <f t="shared" si="14"/>
        <v>1</v>
      </c>
      <c r="BA19" s="204">
        <f t="shared" si="14"/>
        <v>1</v>
      </c>
      <c r="BB19" s="204">
        <f t="shared" si="14"/>
        <v>1</v>
      </c>
      <c r="BC19" s="204">
        <f t="shared" si="14"/>
        <v>1</v>
      </c>
      <c r="BD19" s="204">
        <f t="shared" si="14"/>
        <v>1</v>
      </c>
      <c r="BE19" s="204">
        <f t="shared" si="14"/>
        <v>1</v>
      </c>
      <c r="BF19" s="204">
        <f t="shared" si="14"/>
        <v>1</v>
      </c>
      <c r="BG19" s="204">
        <f t="shared" si="14"/>
        <v>1</v>
      </c>
      <c r="BH19" s="204">
        <f t="shared" si="14"/>
        <v>1</v>
      </c>
      <c r="BI19" s="204">
        <f t="shared" si="14"/>
        <v>1</v>
      </c>
      <c r="BJ19" s="204">
        <f t="shared" si="14"/>
        <v>1</v>
      </c>
      <c r="BK19" s="204">
        <f t="shared" si="14"/>
        <v>1</v>
      </c>
      <c r="BL19" s="204">
        <f t="shared" si="14"/>
        <v>1</v>
      </c>
      <c r="BM19" s="204">
        <f t="shared" si="14"/>
        <v>1</v>
      </c>
      <c r="BN19" s="204">
        <f t="shared" si="14"/>
        <v>1</v>
      </c>
    </row>
    <row r="20" spans="2:66" ht="15" customHeight="1" x14ac:dyDescent="0.3">
      <c r="B20" s="174" t="str">
        <f t="array" ref="B20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20" s="174" t="s">
        <v>90</v>
      </c>
      <c r="D20" s="177" t="str">
        <f t="shared" si="2"/>
        <v>Arquitetura de projetos GERDAU</v>
      </c>
      <c r="E20" s="170" t="str">
        <f t="shared" si="12"/>
        <v>Definição da Estratégia para Transformação dos Processos</v>
      </c>
      <c r="F20" s="174" t="str">
        <f t="shared" ref="F20:F25" si="15">$H$19</f>
        <v>Revisão dos Objetivos Estratégicos e Cadeia de Valor</v>
      </c>
      <c r="G20" s="174" t="s">
        <v>74</v>
      </c>
      <c r="H20" s="195" t="s">
        <v>91</v>
      </c>
      <c r="I20" s="174">
        <f>MIN(I21:I21)</f>
        <v>45705</v>
      </c>
      <c r="J20" s="174">
        <f>MAX(J21:J21)</f>
        <v>45715</v>
      </c>
      <c r="K20" s="174">
        <f>MIN(K21:K21)</f>
        <v>45705</v>
      </c>
      <c r="L20" s="174">
        <f>MAX(L21:L21)</f>
        <v>45715</v>
      </c>
      <c r="M20" s="175"/>
      <c r="N20" s="175" t="str">
        <f t="array" ref="N20">_xlfn.IFS(L20&lt;$M$3,"Concluído",AND(K20&gt;=$M$3,I20&lt;$M$3,L20&gt;$M$3),"Em andamento",AND(L20&gt;=$M$3,J20&lt;$M$3),"Atrasado",AND(L20&gt;=$M$3,J20&gt;=$M$3,I20&gt;$M$3,K20&lt;=$M$3),"Em andamento",AND(L20&gt;=$M$3,J20&gt;=$M$3,I20&lt;=$M$3,K20&lt;=$M$3),"Em andamento",AND(K20&gt;$M$3,I20&gt;$M$3),"Não iniciado",AND(L20&gt;=$M$3,J20&gt;=$M$3,K20&gt;=$M$3,I20&lt;$M$3),"Atrasado",AND(L20&gt;=$M$3,J20&gt;=$M$3,K20&gt;=$M$3,I20&gt;$M$3),"Não iniciado",AND($I20&lt;=$M$3,$K20&gt;$M$3),"Atrasado")</f>
        <v>Concluído</v>
      </c>
      <c r="O20" s="175">
        <f t="array" ref="O20">_xlfn.IFS(N20="Não iniciado",0,N20="Em andamento",1,N20="Concluído",2,N20="Atrasado",3)</f>
        <v>2</v>
      </c>
      <c r="P20" s="176"/>
      <c r="Q20" s="156">
        <f>AVERAGE(Q21:Q21)</f>
        <v>1</v>
      </c>
      <c r="R20" s="156">
        <f>AVERAGE(R21:R21)</f>
        <v>1</v>
      </c>
      <c r="S20" s="205">
        <f t="shared" ref="S20:BN20" si="16">S21</f>
        <v>0</v>
      </c>
      <c r="T20" s="205">
        <f t="shared" si="16"/>
        <v>0</v>
      </c>
      <c r="U20" s="205">
        <f t="shared" si="16"/>
        <v>0</v>
      </c>
      <c r="V20" s="205">
        <f t="shared" si="16"/>
        <v>0.5</v>
      </c>
      <c r="W20" s="205">
        <f t="shared" si="16"/>
        <v>1</v>
      </c>
      <c r="X20" s="205">
        <f t="shared" si="16"/>
        <v>1</v>
      </c>
      <c r="Y20" s="205">
        <f t="shared" si="16"/>
        <v>1</v>
      </c>
      <c r="Z20" s="205">
        <f t="shared" si="16"/>
        <v>1</v>
      </c>
      <c r="AA20" s="205">
        <f t="shared" si="16"/>
        <v>1</v>
      </c>
      <c r="AB20" s="205">
        <f t="shared" si="16"/>
        <v>1</v>
      </c>
      <c r="AC20" s="205">
        <f t="shared" si="16"/>
        <v>1</v>
      </c>
      <c r="AD20" s="205">
        <f t="shared" si="16"/>
        <v>1</v>
      </c>
      <c r="AE20" s="205">
        <f t="shared" si="16"/>
        <v>1</v>
      </c>
      <c r="AF20" s="205">
        <f t="shared" si="16"/>
        <v>1</v>
      </c>
      <c r="AG20" s="205">
        <f t="shared" si="16"/>
        <v>1</v>
      </c>
      <c r="AH20" s="205">
        <f t="shared" si="16"/>
        <v>1</v>
      </c>
      <c r="AI20" s="205">
        <f t="shared" si="16"/>
        <v>1</v>
      </c>
      <c r="AJ20" s="205">
        <f t="shared" si="16"/>
        <v>1</v>
      </c>
      <c r="AK20" s="205">
        <f t="shared" si="16"/>
        <v>1</v>
      </c>
      <c r="AL20" s="205">
        <f t="shared" si="16"/>
        <v>1</v>
      </c>
      <c r="AM20" s="205">
        <f t="shared" si="16"/>
        <v>1</v>
      </c>
      <c r="AN20" s="205">
        <f t="shared" si="16"/>
        <v>1</v>
      </c>
      <c r="AO20" s="205">
        <f t="shared" si="16"/>
        <v>1</v>
      </c>
      <c r="AP20" s="205">
        <f t="shared" si="16"/>
        <v>1</v>
      </c>
      <c r="AQ20" s="205">
        <f t="shared" si="16"/>
        <v>1</v>
      </c>
      <c r="AR20" s="205">
        <f t="shared" si="16"/>
        <v>1</v>
      </c>
      <c r="AS20" s="205">
        <f t="shared" si="16"/>
        <v>1</v>
      </c>
      <c r="AT20" s="205">
        <f t="shared" si="16"/>
        <v>1</v>
      </c>
      <c r="AU20" s="205">
        <f t="shared" si="16"/>
        <v>1</v>
      </c>
      <c r="AV20" s="205">
        <f t="shared" si="16"/>
        <v>1</v>
      </c>
      <c r="AW20" s="205">
        <f t="shared" si="16"/>
        <v>1</v>
      </c>
      <c r="AX20" s="205">
        <f t="shared" si="16"/>
        <v>1</v>
      </c>
      <c r="AY20" s="205">
        <f t="shared" si="16"/>
        <v>1</v>
      </c>
      <c r="AZ20" s="205">
        <f t="shared" si="16"/>
        <v>1</v>
      </c>
      <c r="BA20" s="205">
        <f t="shared" si="16"/>
        <v>1</v>
      </c>
      <c r="BB20" s="205">
        <f t="shared" si="16"/>
        <v>1</v>
      </c>
      <c r="BC20" s="205">
        <f t="shared" si="16"/>
        <v>1</v>
      </c>
      <c r="BD20" s="205">
        <f t="shared" si="16"/>
        <v>1</v>
      </c>
      <c r="BE20" s="205">
        <f t="shared" si="16"/>
        <v>1</v>
      </c>
      <c r="BF20" s="205">
        <f t="shared" si="16"/>
        <v>1</v>
      </c>
      <c r="BG20" s="205">
        <f t="shared" si="16"/>
        <v>1</v>
      </c>
      <c r="BH20" s="205">
        <f t="shared" si="16"/>
        <v>1</v>
      </c>
      <c r="BI20" s="205">
        <f t="shared" si="16"/>
        <v>1</v>
      </c>
      <c r="BJ20" s="205">
        <f t="shared" si="16"/>
        <v>1</v>
      </c>
      <c r="BK20" s="205">
        <f t="shared" si="16"/>
        <v>1</v>
      </c>
      <c r="BL20" s="205">
        <f t="shared" si="16"/>
        <v>1</v>
      </c>
      <c r="BM20" s="205">
        <f t="shared" si="16"/>
        <v>1</v>
      </c>
      <c r="BN20" s="205">
        <f t="shared" si="16"/>
        <v>1</v>
      </c>
    </row>
    <row r="21" spans="2:66" x14ac:dyDescent="0.3">
      <c r="B21" s="166" t="str">
        <f t="array" ref="B21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21" s="166" t="s">
        <v>92</v>
      </c>
      <c r="D21" s="177" t="str">
        <f t="shared" si="2"/>
        <v>Arquitetura de projetos GERDAU</v>
      </c>
      <c r="E21" s="170" t="str">
        <f t="shared" si="12"/>
        <v>Definição da Estratégia para Transformação dos Processos</v>
      </c>
      <c r="F21" s="174" t="str">
        <f t="shared" si="15"/>
        <v>Revisão dos Objetivos Estratégicos e Cadeia de Valor</v>
      </c>
      <c r="G21" s="166" t="str">
        <f>H20</f>
        <v>Revisão dos objetivos estratégicos da Gerência</v>
      </c>
      <c r="H21" s="197" t="s">
        <v>91</v>
      </c>
      <c r="I21" s="166">
        <v>45705</v>
      </c>
      <c r="J21" s="40">
        <v>45715</v>
      </c>
      <c r="K21" s="166">
        <v>45705</v>
      </c>
      <c r="L21" s="40">
        <v>45715</v>
      </c>
      <c r="M21" s="167"/>
      <c r="N21" s="167" t="str">
        <f t="array" ref="N21">_xlfn.IFS(L21&lt;$M$3,"Concluído",AND(K21&gt;=$M$3,I21&lt;$M$3,L21&gt;$M$3),"Em andamento",AND(L21&gt;=$M$3,J21&lt;$M$3),"Atrasado",AND(L21&gt;=$M$3,J21&gt;=$M$3,I21&gt;$M$3,K21&lt;=$M$3),"Em andamento",AND(L21&gt;=$M$3,J21&gt;=$M$3,I21&lt;=$M$3,K21&lt;=$M$3),"Em andamento",AND(K21&gt;$M$3,I21&gt;$M$3),"Não iniciado",AND(L21&gt;=$M$3,J21&gt;=$M$3,K21&gt;=$M$3,I21&lt;$M$3),"Atrasado",AND(L21&gt;=$M$3,J21&gt;=$M$3,K21&gt;=$M$3,I21&gt;$M$3),"Não iniciado",AND($I21&lt;=$M$3,$K21&gt;$M$3),"Atrasado")</f>
        <v>Concluído</v>
      </c>
      <c r="O21" s="167">
        <f t="array" ref="O21">_xlfn.IFS(N21="Não iniciado",0,N21="Em andamento",1,N21="Concluído",2,N21="Atrasado",3)</f>
        <v>2</v>
      </c>
      <c r="P21" s="168"/>
      <c r="Q21" s="152">
        <f t="array" ref="Q21">_xlfn.IFS(AND($I21&lt;$M$3,$J21&lt;$M$3),1,AND($I21&lt;=$M$3,$J21&gt;=$M$3),0.5,AND($I21&gt;=$M$3,$J21&gt;=$M$3),0)</f>
        <v>1</v>
      </c>
      <c r="R21" s="152">
        <f t="array" ref="R21">_xlfn.IFS(AND($K21&lt;$M$3,$L21&lt;$M$3),1,AND($K21&lt;=$M$3,$L21&gt;=$M$3),0.5,AND($K21&gt;=$M$3,$L21&gt;=$M$3),0)</f>
        <v>1</v>
      </c>
      <c r="S21" s="201">
        <f t="array" ref="S21">_xlfn.IFS(AND($K21&gt;R$7,$L21&gt;R$7),0,AND($K21&lt;=R$7,$L21&lt;=R$7),1,AND($K21&lt;=R$7,$L21&gt;R$7),((R$7-$K21)/($L21-$K21)))</f>
        <v>0</v>
      </c>
      <c r="T21" s="201">
        <f t="array" ref="T21">_xlfn.IFS(AND($K21&gt;S$7,$L21&gt;S$7),0,AND($K21&lt;=S$7,$L21&lt;=S$7),1,AND($K21&lt;=S$7,$L21&gt;S$7),((S$7-$K21)/($L21-$K21)))</f>
        <v>0</v>
      </c>
      <c r="U21" s="201">
        <f t="array" ref="U21">_xlfn.IFS(AND($K21&gt;T$7,$L21&gt;T$7),0,AND($K21&lt;=T$7,$L21&lt;=T$7),1,AND($K21&lt;=T$7,$L21&gt;T$7),((T$7-$K21)/($L21-$K21)))</f>
        <v>0</v>
      </c>
      <c r="V21" s="201">
        <f t="array" ref="V21">_xlfn.IFS(AND($K21&gt;U$7,$L21&gt;U$7),0,AND($K21&lt;=U$7,$L21&lt;=U$7),1,AND($K21&lt;=U$7,$L21&gt;U$7),((U$7-$K21)/($L21-$K21)))</f>
        <v>0.5</v>
      </c>
      <c r="W21" s="201">
        <f t="array" ref="W21">_xlfn.IFS(AND($K21&gt;V$7,$L21&gt;V$7),0,AND($K21&lt;=V$7,$L21&lt;=V$7),1,AND($K21&lt;=V$7,$L21&gt;V$7),((V$7-$K21)/($L21-$K21)))</f>
        <v>1</v>
      </c>
      <c r="X21" s="201">
        <f t="array" ref="X21">_xlfn.IFS(AND($K21&gt;W$7,$L21&gt;W$7),0,AND($K21&lt;=W$7,$L21&lt;=W$7),1,AND($K21&lt;=W$7,$L21&gt;W$7),((W$7-$K21)/($L21-$K21)))</f>
        <v>1</v>
      </c>
      <c r="Y21" s="201">
        <f t="array" ref="Y21">_xlfn.IFS(AND($K21&gt;X$7,$L21&gt;X$7),0,AND($K21&lt;=X$7,$L21&lt;=X$7),1,AND($K21&lt;=X$7,$L21&gt;X$7),((X$7-$K21)/($L21-$K21)))</f>
        <v>1</v>
      </c>
      <c r="Z21" s="201">
        <f t="array" ref="Z21">_xlfn.IFS(AND($K21&gt;Y$7,$L21&gt;Y$7),0,AND($K21&lt;=Y$7,$L21&lt;=Y$7),1,AND($K21&lt;=Y$7,$L21&gt;Y$7),((Y$7-$K21)/($L21-$K21)))</f>
        <v>1</v>
      </c>
      <c r="AA21" s="201">
        <f t="array" ref="AA21">_xlfn.IFS(AND($K21&gt;Z$7,$L21&gt;Z$7),0,AND($K21&lt;=Z$7,$L21&lt;=Z$7),1,AND($K21&lt;=Z$7,$L21&gt;Z$7),((Z$7-$K21)/($L21-$K21)))</f>
        <v>1</v>
      </c>
      <c r="AB21" s="201">
        <f t="array" ref="AB21">_xlfn.IFS(AND($K21&gt;AA$7,$L21&gt;AA$7),0,AND($K21&lt;=AA$7,$L21&lt;=AA$7),1,AND($K21&lt;=AA$7,$L21&gt;AA$7),((AA$7-$K21)/($L21-$K21)))</f>
        <v>1</v>
      </c>
      <c r="AC21" s="201">
        <f t="array" ref="AC21">_xlfn.IFS(AND($K21&gt;AB$7,$L21&gt;AB$7),0,AND($K21&lt;=AB$7,$L21&lt;=AB$7),1,AND($K21&lt;=AB$7,$L21&gt;AB$7),((AB$7-$K21)/($L21-$K21)))</f>
        <v>1</v>
      </c>
      <c r="AD21" s="201">
        <f t="array" ref="AD21">_xlfn.IFS(AND($K21&gt;AC$7,$L21&gt;AC$7),0,AND($K21&lt;=AC$7,$L21&lt;=AC$7),1,AND($K21&lt;=AC$7,$L21&gt;AC$7),((AC$7-$K21)/($L21-$K21)))</f>
        <v>1</v>
      </c>
      <c r="AE21" s="201">
        <f t="array" ref="AE21">_xlfn.IFS(AND($K21&gt;AD$7,$L21&gt;AD$7),0,AND($K21&lt;=AD$7,$L21&lt;=AD$7),1,AND($K21&lt;=AD$7,$L21&gt;AD$7),((AD$7-$K21)/($L21-$K21)))</f>
        <v>1</v>
      </c>
      <c r="AF21" s="201">
        <f t="array" ref="AF21">_xlfn.IFS(AND($K21&gt;AE$7,$L21&gt;AE$7),0,AND($K21&lt;=AE$7,$L21&lt;=AE$7),1,AND($K21&lt;=AE$7,$L21&gt;AE$7),((AE$7-$K21)/($L21-$K21)))</f>
        <v>1</v>
      </c>
      <c r="AG21" s="201">
        <f t="array" ref="AG21">_xlfn.IFS(AND($K21&gt;AF$7,$L21&gt;AF$7),0,AND($K21&lt;=AF$7,$L21&lt;=AF$7),1,AND($K21&lt;=AF$7,$L21&gt;AF$7),((AF$7-$K21)/($L21-$K21)))</f>
        <v>1</v>
      </c>
      <c r="AH21" s="201">
        <f t="array" ref="AH21">_xlfn.IFS(AND($K21&gt;AG$7,$L21&gt;AG$7),0,AND($K21&lt;=AG$7,$L21&lt;=AG$7),1,AND($K21&lt;=AG$7,$L21&gt;AG$7),((AG$7-$K21)/($L21-$K21)))</f>
        <v>1</v>
      </c>
      <c r="AI21" s="201">
        <f t="array" ref="AI21">_xlfn.IFS(AND($K21&gt;AH$7,$L21&gt;AH$7),0,AND($K21&lt;=AH$7,$L21&lt;=AH$7),1,AND($K21&lt;=AH$7,$L21&gt;AH$7),((AH$7-$K21)/($L21-$K21)))</f>
        <v>1</v>
      </c>
      <c r="AJ21" s="201">
        <f t="array" ref="AJ21">_xlfn.IFS(AND($K21&gt;AI$7,$L21&gt;AI$7),0,AND($K21&lt;=AI$7,$L21&lt;=AI$7),1,AND($K21&lt;=AI$7,$L21&gt;AI$7),((AI$7-$K21)/($L21-$K21)))</f>
        <v>1</v>
      </c>
      <c r="AK21" s="201">
        <f t="array" ref="AK21">_xlfn.IFS(AND($K21&gt;AJ$7,$L21&gt;AJ$7),0,AND($K21&lt;=AJ$7,$L21&lt;=AJ$7),1,AND($K21&lt;=AJ$7,$L21&gt;AJ$7),((AJ$7-$K21)/($L21-$K21)))</f>
        <v>1</v>
      </c>
      <c r="AL21" s="201">
        <f t="array" ref="AL21">_xlfn.IFS(AND($K21&gt;AK$7,$L21&gt;AK$7),0,AND($K21&lt;=AK$7,$L21&lt;=AK$7),1,AND($K21&lt;=AK$7,$L21&gt;AK$7),((AK$7-$K21)/($L21-$K21)))</f>
        <v>1</v>
      </c>
      <c r="AM21" s="201">
        <f t="array" ref="AM21">_xlfn.IFS(AND($K21&gt;AL$7,$L21&gt;AL$7),0,AND($K21&lt;=AL$7,$L21&lt;=AL$7),1,AND($K21&lt;=AL$7,$L21&gt;AL$7),((AL$7-$K21)/($L21-$K21)))</f>
        <v>1</v>
      </c>
      <c r="AN21" s="201">
        <f t="array" ref="AN21">_xlfn.IFS(AND($K21&gt;AM$7,$L21&gt;AM$7),0,AND($K21&lt;=AM$7,$L21&lt;=AM$7),1,AND($K21&lt;=AM$7,$L21&gt;AM$7),((AM$7-$K21)/($L21-$K21)))</f>
        <v>1</v>
      </c>
      <c r="AO21" s="201">
        <f t="array" ref="AO21">_xlfn.IFS(AND($K21&gt;AN$7,$L21&gt;AN$7),0,AND($K21&lt;=AN$7,$L21&lt;=AN$7),1,AND($K21&lt;=AN$7,$L21&gt;AN$7),((AN$7-$K21)/($L21-$K21)))</f>
        <v>1</v>
      </c>
      <c r="AP21" s="201">
        <f t="array" ref="AP21">_xlfn.IFS(AND($K21&gt;AO$7,$L21&gt;AO$7),0,AND($K21&lt;=AO$7,$L21&lt;=AO$7),1,AND($K21&lt;=AO$7,$L21&gt;AO$7),((AO$7-$K21)/($L21-$K21)))</f>
        <v>1</v>
      </c>
      <c r="AQ21" s="201">
        <f t="array" ref="AQ21">_xlfn.IFS(AND($K21&gt;AP$7,$L21&gt;AP$7),0,AND($K21&lt;=AP$7,$L21&lt;=AP$7),1,AND($K21&lt;=AP$7,$L21&gt;AP$7),((AP$7-$K21)/($L21-$K21)))</f>
        <v>1</v>
      </c>
      <c r="AR21" s="201">
        <f t="array" ref="AR21">_xlfn.IFS(AND($K21&gt;AQ$7,$L21&gt;AQ$7),0,AND($K21&lt;=AQ$7,$L21&lt;=AQ$7),1,AND($K21&lt;=AQ$7,$L21&gt;AQ$7),((AQ$7-$K21)/($L21-$K21)))</f>
        <v>1</v>
      </c>
      <c r="AS21" s="201">
        <f t="array" ref="AS21">_xlfn.IFS(AND($K21&gt;AR$7,$L21&gt;AR$7),0,AND($K21&lt;=AR$7,$L21&lt;=AR$7),1,AND($K21&lt;=AR$7,$L21&gt;AR$7),((AR$7-$K21)/($L21-$K21)))</f>
        <v>1</v>
      </c>
      <c r="AT21" s="201">
        <f t="array" ref="AT21">_xlfn.IFS(AND($K21&gt;AS$7,$L21&gt;AS$7),0,AND($K21&lt;=AS$7,$L21&lt;=AS$7),1,AND($K21&lt;=AS$7,$L21&gt;AS$7),((AS$7-$K21)/($L21-$K21)))</f>
        <v>1</v>
      </c>
      <c r="AU21" s="201">
        <f t="array" ref="AU21">_xlfn.IFS(AND($K21&gt;AT$7,$L21&gt;AT$7),0,AND($K21&lt;=AT$7,$L21&lt;=AT$7),1,AND($K21&lt;=AT$7,$L21&gt;AT$7),((AT$7-$K21)/($L21-$K21)))</f>
        <v>1</v>
      </c>
      <c r="AV21" s="201">
        <f t="array" ref="AV21">_xlfn.IFS(AND($K21&gt;AU$7,$L21&gt;AU$7),0,AND($K21&lt;=AU$7,$L21&lt;=AU$7),1,AND($K21&lt;=AU$7,$L21&gt;AU$7),((AU$7-$K21)/($L21-$K21)))</f>
        <v>1</v>
      </c>
      <c r="AW21" s="201">
        <f t="array" ref="AW21">_xlfn.IFS(AND($K21&gt;AV$7,$L21&gt;AV$7),0,AND($K21&lt;=AV$7,$L21&lt;=AV$7),1,AND($K21&lt;=AV$7,$L21&gt;AV$7),((AV$7-$K21)/($L21-$K21)))</f>
        <v>1</v>
      </c>
      <c r="AX21" s="201">
        <f t="array" ref="AX21">_xlfn.IFS(AND($K21&gt;AW$7,$L21&gt;AW$7),0,AND($K21&lt;=AW$7,$L21&lt;=AW$7),1,AND($K21&lt;=AW$7,$L21&gt;AW$7),((AW$7-$K21)/($L21-$K21)))</f>
        <v>1</v>
      </c>
      <c r="AY21" s="201">
        <f t="array" ref="AY21">_xlfn.IFS(AND($K21&gt;AX$7,$L21&gt;AX$7),0,AND($K21&lt;=AX$7,$L21&lt;=AX$7),1,AND($K21&lt;=AX$7,$L21&gt;AX$7),((AX$7-$K21)/($L21-$K21)))</f>
        <v>1</v>
      </c>
      <c r="AZ21" s="201">
        <f t="array" ref="AZ21">_xlfn.IFS(AND($K21&gt;AY$7,$L21&gt;AY$7),0,AND($K21&lt;=AY$7,$L21&lt;=AY$7),1,AND($K21&lt;=AY$7,$L21&gt;AY$7),((AY$7-$K21)/($L21-$K21)))</f>
        <v>1</v>
      </c>
      <c r="BA21" s="201">
        <f t="array" ref="BA21">_xlfn.IFS(AND($K21&gt;AZ$7,$L21&gt;AZ$7),0,AND($K21&lt;=AZ$7,$L21&lt;=AZ$7),1,AND($K21&lt;=AZ$7,$L21&gt;AZ$7),((AZ$7-$K21)/($L21-$K21)))</f>
        <v>1</v>
      </c>
      <c r="BB21" s="201">
        <f t="array" ref="BB21">_xlfn.IFS(AND($K21&gt;BA$7,$L21&gt;BA$7),0,AND($K21&lt;=BA$7,$L21&lt;=BA$7),1,AND($K21&lt;=BA$7,$L21&gt;BA$7),((BA$7-$K21)/($L21-$K21)))</f>
        <v>1</v>
      </c>
      <c r="BC21" s="201">
        <f t="array" ref="BC21">_xlfn.IFS(AND($K21&gt;BB$7,$L21&gt;BB$7),0,AND($K21&lt;=BB$7,$L21&lt;=BB$7),1,AND($K21&lt;=BB$7,$L21&gt;BB$7),((BB$7-$K21)/($L21-$K21)))</f>
        <v>1</v>
      </c>
      <c r="BD21" s="201">
        <f t="array" ref="BD21">_xlfn.IFS(AND($K21&gt;BC$7,$L21&gt;BC$7),0,AND($K21&lt;=BC$7,$L21&lt;=BC$7),1,AND($K21&lt;=BC$7,$L21&gt;BC$7),((BC$7-$K21)/($L21-$K21)))</f>
        <v>1</v>
      </c>
      <c r="BE21" s="201">
        <f t="array" ref="BE21">_xlfn.IFS(AND($K21&gt;BD$7,$L21&gt;BD$7),0,AND($K21&lt;=BD$7,$L21&lt;=BD$7),1,AND($K21&lt;=BD$7,$L21&gt;BD$7),((BD$7-$K21)/($L21-$K21)))</f>
        <v>1</v>
      </c>
      <c r="BF21" s="201">
        <f t="array" ref="BF21">_xlfn.IFS(AND($K21&gt;BE$7,$L21&gt;BE$7),0,AND($K21&lt;=BE$7,$L21&lt;=BE$7),1,AND($K21&lt;=BE$7,$L21&gt;BE$7),((BE$7-$K21)/($L21-$K21)))</f>
        <v>1</v>
      </c>
      <c r="BG21" s="201">
        <f t="array" ref="BG21">_xlfn.IFS(AND($K21&gt;BF$7,$L21&gt;BF$7),0,AND($K21&lt;=BF$7,$L21&lt;=BF$7),1,AND($K21&lt;=BF$7,$L21&gt;BF$7),((BF$7-$K21)/($L21-$K21)))</f>
        <v>1</v>
      </c>
      <c r="BH21" s="201">
        <f t="array" ref="BH21">_xlfn.IFS(AND($K21&gt;BG$7,$L21&gt;BG$7),0,AND($K21&lt;=BG$7,$L21&lt;=BG$7),1,AND($K21&lt;=BG$7,$L21&gt;BG$7),((BG$7-$K21)/($L21-$K21)))</f>
        <v>1</v>
      </c>
      <c r="BI21" s="201">
        <f t="array" ref="BI21">_xlfn.IFS(AND($K21&gt;BH$7,$L21&gt;BH$7),0,AND($K21&lt;=BH$7,$L21&lt;=BH$7),1,AND($K21&lt;=BH$7,$L21&gt;BH$7),((BH$7-$K21)/($L21-$K21)))</f>
        <v>1</v>
      </c>
      <c r="BJ21" s="201">
        <f t="array" ref="BJ21">_xlfn.IFS(AND($K21&gt;BI$7,$L21&gt;BI$7),0,AND($K21&lt;=BI$7,$L21&lt;=BI$7),1,AND($K21&lt;=BI$7,$L21&gt;BI$7),((BI$7-$K21)/($L21-$K21)))</f>
        <v>1</v>
      </c>
      <c r="BK21" s="201">
        <f t="array" ref="BK21">_xlfn.IFS(AND($K21&gt;BJ$7,$L21&gt;BJ$7),0,AND($K21&lt;=BJ$7,$L21&lt;=BJ$7),1,AND($K21&lt;=BJ$7,$L21&gt;BJ$7),((BJ$7-$K21)/($L21-$K21)))</f>
        <v>1</v>
      </c>
      <c r="BL21" s="201">
        <f t="array" ref="BL21">_xlfn.IFS(AND($K21&gt;BK$7,$L21&gt;BK$7),0,AND($K21&lt;=BK$7,$L21&lt;=BK$7),1,AND($K21&lt;=BK$7,$L21&gt;BK$7),((BK$7-$K21)/($L21-$K21)))</f>
        <v>1</v>
      </c>
      <c r="BM21" s="201">
        <f t="array" ref="BM21">_xlfn.IFS(AND($K21&gt;BL$7,$L21&gt;BL$7),0,AND($K21&lt;=BL$7,$L21&lt;=BL$7),1,AND($K21&lt;=BL$7,$L21&gt;BL$7),((BL$7-$K21)/($L21-$K21)))</f>
        <v>1</v>
      </c>
      <c r="BN21" s="201">
        <f t="array" ref="BN21">_xlfn.IFS(AND($K21&gt;BM$7,$L21&gt;BM$7),0,AND($K21&lt;=BM$7,$L21&lt;=BM$7),1,AND($K21&lt;=BM$7,$L21&gt;BM$7),((BM$7-$K21)/($L21-$K21)))</f>
        <v>1</v>
      </c>
    </row>
    <row r="22" spans="2:66" ht="15" customHeight="1" x14ac:dyDescent="0.3">
      <c r="B22" s="174" t="str">
        <f t="array" ref="B22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22" s="174" t="s">
        <v>93</v>
      </c>
      <c r="D22" s="177" t="str">
        <f t="shared" si="2"/>
        <v>Arquitetura de projetos GERDAU</v>
      </c>
      <c r="E22" s="170" t="str">
        <f t="shared" si="12"/>
        <v>Definição da Estratégia para Transformação dos Processos</v>
      </c>
      <c r="F22" s="174" t="str">
        <f t="shared" si="15"/>
        <v>Revisão dos Objetivos Estratégicos e Cadeia de Valor</v>
      </c>
      <c r="G22" s="174" t="s">
        <v>94</v>
      </c>
      <c r="H22" s="195" t="s">
        <v>95</v>
      </c>
      <c r="I22" s="174">
        <f>MIN(I23:I23)</f>
        <v>45705</v>
      </c>
      <c r="J22" s="174">
        <f>MAX(J23:J23)</f>
        <v>45715</v>
      </c>
      <c r="K22" s="174">
        <f>MIN(K23:K23)</f>
        <v>45705</v>
      </c>
      <c r="L22" s="174">
        <f>MAX(L23:L23)</f>
        <v>45715</v>
      </c>
      <c r="M22" s="175"/>
      <c r="N22" s="175" t="str">
        <f t="array" ref="N22">_xlfn.IFS(L22&lt;$M$3,"Concluído",AND(K22&gt;=$M$3,I22&lt;$M$3,L22&gt;$M$3),"Em andamento",AND(L22&gt;=$M$3,J22&lt;$M$3),"Atrasado",AND(L22&gt;=$M$3,J22&gt;=$M$3,I22&gt;$M$3,K22&lt;=$M$3),"Em andamento",AND(L22&gt;=$M$3,J22&gt;=$M$3,I22&lt;=$M$3,K22&lt;=$M$3),"Em andamento",AND(K22&gt;$M$3,I22&gt;$M$3),"Não iniciado",AND(L22&gt;=$M$3,J22&gt;=$M$3,K22&gt;=$M$3,I22&lt;$M$3),"Atrasado",AND(L22&gt;=$M$3,J22&gt;=$M$3,K22&gt;=$M$3,I22&gt;$M$3),"Não iniciado",AND($I22&lt;=$M$3,$K22&gt;$M$3),"Atrasado")</f>
        <v>Concluído</v>
      </c>
      <c r="O22" s="175">
        <f t="array" ref="O22">_xlfn.IFS(N22="Não iniciado",0,N22="Em andamento",1,N22="Concluído",2,N22="Atrasado",3)</f>
        <v>2</v>
      </c>
      <c r="P22" s="176"/>
      <c r="Q22" s="156">
        <f t="array" ref="Q22">_xlfn.IFS(AND($I22&lt;$M$3,$J22&lt;$M$3),1,AND($I22&lt;$M$3,$J22&gt;=$M$3),0.5,AND($I22&gt;=$M$3,$J22&gt;=$M$3),0)</f>
        <v>1</v>
      </c>
      <c r="R22" s="156">
        <f t="array" ref="R22">_xlfn.IFS(AND($I22&lt;$M$3,$J22&lt;$M$3),1,AND($I22&lt;$M$3,$J22&gt;=$M$3),0.5,AND($I22&gt;=$M$3,$J22&gt;=$M$3),0)</f>
        <v>1</v>
      </c>
      <c r="S22" s="205">
        <f t="shared" ref="S22:BN22" si="17">S23</f>
        <v>0</v>
      </c>
      <c r="T22" s="205">
        <f t="shared" si="17"/>
        <v>0</v>
      </c>
      <c r="U22" s="205">
        <f t="shared" si="17"/>
        <v>0</v>
      </c>
      <c r="V22" s="205">
        <f t="shared" si="17"/>
        <v>0.5</v>
      </c>
      <c r="W22" s="205">
        <f t="shared" si="17"/>
        <v>1</v>
      </c>
      <c r="X22" s="205">
        <f t="shared" si="17"/>
        <v>1</v>
      </c>
      <c r="Y22" s="205">
        <f t="shared" si="17"/>
        <v>1</v>
      </c>
      <c r="Z22" s="205">
        <f t="shared" si="17"/>
        <v>1</v>
      </c>
      <c r="AA22" s="205">
        <f t="shared" si="17"/>
        <v>1</v>
      </c>
      <c r="AB22" s="205">
        <f t="shared" si="17"/>
        <v>1</v>
      </c>
      <c r="AC22" s="205">
        <f t="shared" si="17"/>
        <v>1</v>
      </c>
      <c r="AD22" s="205">
        <f t="shared" si="17"/>
        <v>1</v>
      </c>
      <c r="AE22" s="205">
        <f t="shared" si="17"/>
        <v>1</v>
      </c>
      <c r="AF22" s="205">
        <f t="shared" si="17"/>
        <v>1</v>
      </c>
      <c r="AG22" s="205">
        <f t="shared" si="17"/>
        <v>1</v>
      </c>
      <c r="AH22" s="205">
        <f t="shared" si="17"/>
        <v>1</v>
      </c>
      <c r="AI22" s="205">
        <f t="shared" si="17"/>
        <v>1</v>
      </c>
      <c r="AJ22" s="205">
        <f t="shared" si="17"/>
        <v>1</v>
      </c>
      <c r="AK22" s="205">
        <f t="shared" si="17"/>
        <v>1</v>
      </c>
      <c r="AL22" s="205">
        <f t="shared" si="17"/>
        <v>1</v>
      </c>
      <c r="AM22" s="205">
        <f t="shared" si="17"/>
        <v>1</v>
      </c>
      <c r="AN22" s="205">
        <f t="shared" si="17"/>
        <v>1</v>
      </c>
      <c r="AO22" s="205">
        <f t="shared" si="17"/>
        <v>1</v>
      </c>
      <c r="AP22" s="205">
        <f t="shared" si="17"/>
        <v>1</v>
      </c>
      <c r="AQ22" s="205">
        <f t="shared" si="17"/>
        <v>1</v>
      </c>
      <c r="AR22" s="205">
        <f t="shared" si="17"/>
        <v>1</v>
      </c>
      <c r="AS22" s="205">
        <f t="shared" si="17"/>
        <v>1</v>
      </c>
      <c r="AT22" s="205">
        <f t="shared" si="17"/>
        <v>1</v>
      </c>
      <c r="AU22" s="205">
        <f t="shared" si="17"/>
        <v>1</v>
      </c>
      <c r="AV22" s="205">
        <f t="shared" si="17"/>
        <v>1</v>
      </c>
      <c r="AW22" s="205">
        <f t="shared" si="17"/>
        <v>1</v>
      </c>
      <c r="AX22" s="205">
        <f t="shared" si="17"/>
        <v>1</v>
      </c>
      <c r="AY22" s="205">
        <f t="shared" si="17"/>
        <v>1</v>
      </c>
      <c r="AZ22" s="205">
        <f t="shared" si="17"/>
        <v>1</v>
      </c>
      <c r="BA22" s="205">
        <f t="shared" si="17"/>
        <v>1</v>
      </c>
      <c r="BB22" s="205">
        <f t="shared" si="17"/>
        <v>1</v>
      </c>
      <c r="BC22" s="205">
        <f t="shared" si="17"/>
        <v>1</v>
      </c>
      <c r="BD22" s="205">
        <f t="shared" si="17"/>
        <v>1</v>
      </c>
      <c r="BE22" s="205">
        <f t="shared" si="17"/>
        <v>1</v>
      </c>
      <c r="BF22" s="205">
        <f t="shared" si="17"/>
        <v>1</v>
      </c>
      <c r="BG22" s="205">
        <f t="shared" si="17"/>
        <v>1</v>
      </c>
      <c r="BH22" s="205">
        <f t="shared" si="17"/>
        <v>1</v>
      </c>
      <c r="BI22" s="205">
        <f t="shared" si="17"/>
        <v>1</v>
      </c>
      <c r="BJ22" s="205">
        <f t="shared" si="17"/>
        <v>1</v>
      </c>
      <c r="BK22" s="205">
        <f t="shared" si="17"/>
        <v>1</v>
      </c>
      <c r="BL22" s="205">
        <f t="shared" si="17"/>
        <v>1</v>
      </c>
      <c r="BM22" s="205">
        <f t="shared" si="17"/>
        <v>1</v>
      </c>
      <c r="BN22" s="205">
        <f t="shared" si="17"/>
        <v>1</v>
      </c>
    </row>
    <row r="23" spans="2:66" x14ac:dyDescent="0.3">
      <c r="B23" s="166" t="str">
        <f t="array" ref="B23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23" s="166" t="s">
        <v>96</v>
      </c>
      <c r="D23" s="177" t="str">
        <f t="shared" si="2"/>
        <v>Arquitetura de projetos GERDAU</v>
      </c>
      <c r="E23" s="170" t="str">
        <f t="shared" si="12"/>
        <v>Definição da Estratégia para Transformação dos Processos</v>
      </c>
      <c r="F23" s="174" t="str">
        <f t="shared" si="15"/>
        <v>Revisão dos Objetivos Estratégicos e Cadeia de Valor</v>
      </c>
      <c r="G23" s="166" t="str">
        <f>H22</f>
        <v>Revisão da cadeia de valor dos processos</v>
      </c>
      <c r="H23" s="197" t="s">
        <v>95</v>
      </c>
      <c r="I23" s="166">
        <v>45705</v>
      </c>
      <c r="J23" s="40">
        <v>45715</v>
      </c>
      <c r="K23" s="166">
        <v>45705</v>
      </c>
      <c r="L23" s="40">
        <v>45715</v>
      </c>
      <c r="M23" s="167"/>
      <c r="N23" s="167" t="str">
        <f t="array" ref="N23">_xlfn.IFS(L23&lt;$M$3,"Concluído",AND(K23&gt;=$M$3,I23&lt;$M$3,L23&gt;$M$3),"Em andamento",AND(L23&gt;=$M$3,J23&lt;$M$3),"Atrasado",AND(L23&gt;=$M$3,J23&gt;=$M$3,I23&gt;$M$3,K23&lt;=$M$3),"Em andamento",AND(L23&gt;=$M$3,J23&gt;=$M$3,I23&lt;=$M$3,K23&lt;=$M$3),"Em andamento",AND(K23&gt;$M$3,I23&gt;$M$3),"Não iniciado",AND(L23&gt;=$M$3,J23&gt;=$M$3,K23&gt;=$M$3,I23&lt;$M$3),"Atrasado",AND(L23&gt;=$M$3,J23&gt;=$M$3,K23&gt;=$M$3,I23&gt;$M$3),"Não iniciado",AND($I23&lt;=$M$3,$K23&gt;$M$3),"Atrasado")</f>
        <v>Concluído</v>
      </c>
      <c r="O23" s="167">
        <f t="array" ref="O23">_xlfn.IFS(N23="Não iniciado",0,N23="Em andamento",1,N23="Concluído",2,N23="Atrasado",3)</f>
        <v>2</v>
      </c>
      <c r="P23" s="168"/>
      <c r="Q23" s="152">
        <f t="array" ref="Q23">_xlfn.IFS(AND($I23&lt;$M$3,$J23&lt;$M$3),1,AND($I23&lt;$M$3,$J23&gt;=$M$3),0.5,AND($I23&gt;=$M$3,$J23&gt;=$M$3),0)</f>
        <v>1</v>
      </c>
      <c r="R23" s="152">
        <f t="array" ref="R23">_xlfn.IFS(AND($K23&lt;$M$3,$L23&lt;$M$3),1,AND($K23&lt;=$M$3,$L23&gt;=$M$3),0.5,AND($K23&gt;=$M$3,$L23&gt;=$M$3),0)</f>
        <v>1</v>
      </c>
      <c r="S23" s="201">
        <f t="array" ref="S23">_xlfn.IFS(AND($K23&gt;R$7,$L23&gt;R$7),0,AND($K23&lt;=R$7,$L23&lt;=R$7),1,AND($K23&lt;=R$7,$L23&gt;R$7),((R$7-$K23)/($L23-$K23)))</f>
        <v>0</v>
      </c>
      <c r="T23" s="201">
        <f t="array" ref="T23">_xlfn.IFS(AND($K23&gt;S$7,$L23&gt;S$7),0,AND($K23&lt;=S$7,$L23&lt;=S$7),1,AND($K23&lt;=S$7,$L23&gt;S$7),((S$7-$K23)/($L23-$K23)))</f>
        <v>0</v>
      </c>
      <c r="U23" s="201">
        <f t="array" ref="U23">_xlfn.IFS(AND($K23&gt;T$7,$L23&gt;T$7),0,AND($K23&lt;=T$7,$L23&lt;=T$7),1,AND($K23&lt;=T$7,$L23&gt;T$7),((T$7-$K23)/($L23-$K23)))</f>
        <v>0</v>
      </c>
      <c r="V23" s="201">
        <f t="array" ref="V23">_xlfn.IFS(AND($K23&gt;U$7,$L23&gt;U$7),0,AND($K23&lt;=U$7,$L23&lt;=U$7),1,AND($K23&lt;=U$7,$L23&gt;U$7),((U$7-$K23)/($L23-$K23)))</f>
        <v>0.5</v>
      </c>
      <c r="W23" s="201">
        <f t="array" ref="W23">_xlfn.IFS(AND($K23&gt;V$7,$L23&gt;V$7),0,AND($K23&lt;=V$7,$L23&lt;=V$7),1,AND($K23&lt;=V$7,$L23&gt;V$7),((V$7-$K23)/($L23-$K23)))</f>
        <v>1</v>
      </c>
      <c r="X23" s="201">
        <f t="array" ref="X23">_xlfn.IFS(AND($K23&gt;W$7,$L23&gt;W$7),0,AND($K23&lt;=W$7,$L23&lt;=W$7),1,AND($K23&lt;=W$7,$L23&gt;W$7),((W$7-$K23)/($L23-$K23)))</f>
        <v>1</v>
      </c>
      <c r="Y23" s="201">
        <f t="array" ref="Y23">_xlfn.IFS(AND($K23&gt;X$7,$L23&gt;X$7),0,AND($K23&lt;=X$7,$L23&lt;=X$7),1,AND($K23&lt;=X$7,$L23&gt;X$7),((X$7-$K23)/($L23-$K23)))</f>
        <v>1</v>
      </c>
      <c r="Z23" s="201">
        <f t="array" ref="Z23">_xlfn.IFS(AND($K23&gt;Y$7,$L23&gt;Y$7),0,AND($K23&lt;=Y$7,$L23&lt;=Y$7),1,AND($K23&lt;=Y$7,$L23&gt;Y$7),((Y$7-$K23)/($L23-$K23)))</f>
        <v>1</v>
      </c>
      <c r="AA23" s="201">
        <f t="array" ref="AA23">_xlfn.IFS(AND($K23&gt;Z$7,$L23&gt;Z$7),0,AND($K23&lt;=Z$7,$L23&lt;=Z$7),1,AND($K23&lt;=Z$7,$L23&gt;Z$7),((Z$7-$K23)/($L23-$K23)))</f>
        <v>1</v>
      </c>
      <c r="AB23" s="201">
        <f t="array" ref="AB23">_xlfn.IFS(AND($K23&gt;AA$7,$L23&gt;AA$7),0,AND($K23&lt;=AA$7,$L23&lt;=AA$7),1,AND($K23&lt;=AA$7,$L23&gt;AA$7),((AA$7-$K23)/($L23-$K23)))</f>
        <v>1</v>
      </c>
      <c r="AC23" s="201">
        <f t="array" ref="AC23">_xlfn.IFS(AND($K23&gt;AB$7,$L23&gt;AB$7),0,AND($K23&lt;=AB$7,$L23&lt;=AB$7),1,AND($K23&lt;=AB$7,$L23&gt;AB$7),((AB$7-$K23)/($L23-$K23)))</f>
        <v>1</v>
      </c>
      <c r="AD23" s="201">
        <f t="array" ref="AD23">_xlfn.IFS(AND($K23&gt;AC$7,$L23&gt;AC$7),0,AND($K23&lt;=AC$7,$L23&lt;=AC$7),1,AND($K23&lt;=AC$7,$L23&gt;AC$7),((AC$7-$K23)/($L23-$K23)))</f>
        <v>1</v>
      </c>
      <c r="AE23" s="201">
        <f t="array" ref="AE23">_xlfn.IFS(AND($K23&gt;AD$7,$L23&gt;AD$7),0,AND($K23&lt;=AD$7,$L23&lt;=AD$7),1,AND($K23&lt;=AD$7,$L23&gt;AD$7),((AD$7-$K23)/($L23-$K23)))</f>
        <v>1</v>
      </c>
      <c r="AF23" s="201">
        <f t="array" ref="AF23">_xlfn.IFS(AND($K23&gt;AE$7,$L23&gt;AE$7),0,AND($K23&lt;=AE$7,$L23&lt;=AE$7),1,AND($K23&lt;=AE$7,$L23&gt;AE$7),((AE$7-$K23)/($L23-$K23)))</f>
        <v>1</v>
      </c>
      <c r="AG23" s="201">
        <f t="array" ref="AG23">_xlfn.IFS(AND($K23&gt;AF$7,$L23&gt;AF$7),0,AND($K23&lt;=AF$7,$L23&lt;=AF$7),1,AND($K23&lt;=AF$7,$L23&gt;AF$7),((AF$7-$K23)/($L23-$K23)))</f>
        <v>1</v>
      </c>
      <c r="AH23" s="201">
        <f t="array" ref="AH23">_xlfn.IFS(AND($K23&gt;AG$7,$L23&gt;AG$7),0,AND($K23&lt;=AG$7,$L23&lt;=AG$7),1,AND($K23&lt;=AG$7,$L23&gt;AG$7),((AG$7-$K23)/($L23-$K23)))</f>
        <v>1</v>
      </c>
      <c r="AI23" s="201">
        <f t="array" ref="AI23">_xlfn.IFS(AND($K23&gt;AH$7,$L23&gt;AH$7),0,AND($K23&lt;=AH$7,$L23&lt;=AH$7),1,AND($K23&lt;=AH$7,$L23&gt;AH$7),((AH$7-$K23)/($L23-$K23)))</f>
        <v>1</v>
      </c>
      <c r="AJ23" s="201">
        <f t="array" ref="AJ23">_xlfn.IFS(AND($K23&gt;AI$7,$L23&gt;AI$7),0,AND($K23&lt;=AI$7,$L23&lt;=AI$7),1,AND($K23&lt;=AI$7,$L23&gt;AI$7),((AI$7-$K23)/($L23-$K23)))</f>
        <v>1</v>
      </c>
      <c r="AK23" s="201">
        <f t="array" ref="AK23">_xlfn.IFS(AND($K23&gt;AJ$7,$L23&gt;AJ$7),0,AND($K23&lt;=AJ$7,$L23&lt;=AJ$7),1,AND($K23&lt;=AJ$7,$L23&gt;AJ$7),((AJ$7-$K23)/($L23-$K23)))</f>
        <v>1</v>
      </c>
      <c r="AL23" s="201">
        <f t="array" ref="AL23">_xlfn.IFS(AND($K23&gt;AK$7,$L23&gt;AK$7),0,AND($K23&lt;=AK$7,$L23&lt;=AK$7),1,AND($K23&lt;=AK$7,$L23&gt;AK$7),((AK$7-$K23)/($L23-$K23)))</f>
        <v>1</v>
      </c>
      <c r="AM23" s="201">
        <f t="array" ref="AM23">_xlfn.IFS(AND($K23&gt;AL$7,$L23&gt;AL$7),0,AND($K23&lt;=AL$7,$L23&lt;=AL$7),1,AND($K23&lt;=AL$7,$L23&gt;AL$7),((AL$7-$K23)/($L23-$K23)))</f>
        <v>1</v>
      </c>
      <c r="AN23" s="201">
        <f t="array" ref="AN23">_xlfn.IFS(AND($K23&gt;AM$7,$L23&gt;AM$7),0,AND($K23&lt;=AM$7,$L23&lt;=AM$7),1,AND($K23&lt;=AM$7,$L23&gt;AM$7),((AM$7-$K23)/($L23-$K23)))</f>
        <v>1</v>
      </c>
      <c r="AO23" s="201">
        <f t="array" ref="AO23">_xlfn.IFS(AND($K23&gt;AN$7,$L23&gt;AN$7),0,AND($K23&lt;=AN$7,$L23&lt;=AN$7),1,AND($K23&lt;=AN$7,$L23&gt;AN$7),((AN$7-$K23)/($L23-$K23)))</f>
        <v>1</v>
      </c>
      <c r="AP23" s="201">
        <f t="array" ref="AP23">_xlfn.IFS(AND($K23&gt;AO$7,$L23&gt;AO$7),0,AND($K23&lt;=AO$7,$L23&lt;=AO$7),1,AND($K23&lt;=AO$7,$L23&gt;AO$7),((AO$7-$K23)/($L23-$K23)))</f>
        <v>1</v>
      </c>
      <c r="AQ23" s="201">
        <f t="array" ref="AQ23">_xlfn.IFS(AND($K23&gt;AP$7,$L23&gt;AP$7),0,AND($K23&lt;=AP$7,$L23&lt;=AP$7),1,AND($K23&lt;=AP$7,$L23&gt;AP$7),((AP$7-$K23)/($L23-$K23)))</f>
        <v>1</v>
      </c>
      <c r="AR23" s="201">
        <f t="array" ref="AR23">_xlfn.IFS(AND($K23&gt;AQ$7,$L23&gt;AQ$7),0,AND($K23&lt;=AQ$7,$L23&lt;=AQ$7),1,AND($K23&lt;=AQ$7,$L23&gt;AQ$7),((AQ$7-$K23)/($L23-$K23)))</f>
        <v>1</v>
      </c>
      <c r="AS23" s="201">
        <f t="array" ref="AS23">_xlfn.IFS(AND($K23&gt;AR$7,$L23&gt;AR$7),0,AND($K23&lt;=AR$7,$L23&lt;=AR$7),1,AND($K23&lt;=AR$7,$L23&gt;AR$7),((AR$7-$K23)/($L23-$K23)))</f>
        <v>1</v>
      </c>
      <c r="AT23" s="201">
        <f t="array" ref="AT23">_xlfn.IFS(AND($K23&gt;AS$7,$L23&gt;AS$7),0,AND($K23&lt;=AS$7,$L23&lt;=AS$7),1,AND($K23&lt;=AS$7,$L23&gt;AS$7),((AS$7-$K23)/($L23-$K23)))</f>
        <v>1</v>
      </c>
      <c r="AU23" s="201">
        <f t="array" ref="AU23">_xlfn.IFS(AND($K23&gt;AT$7,$L23&gt;AT$7),0,AND($K23&lt;=AT$7,$L23&lt;=AT$7),1,AND($K23&lt;=AT$7,$L23&gt;AT$7),((AT$7-$K23)/($L23-$K23)))</f>
        <v>1</v>
      </c>
      <c r="AV23" s="201">
        <f t="array" ref="AV23">_xlfn.IFS(AND($K23&gt;AU$7,$L23&gt;AU$7),0,AND($K23&lt;=AU$7,$L23&lt;=AU$7),1,AND($K23&lt;=AU$7,$L23&gt;AU$7),((AU$7-$K23)/($L23-$K23)))</f>
        <v>1</v>
      </c>
      <c r="AW23" s="201">
        <f t="array" ref="AW23">_xlfn.IFS(AND($K23&gt;AV$7,$L23&gt;AV$7),0,AND($K23&lt;=AV$7,$L23&lt;=AV$7),1,AND($K23&lt;=AV$7,$L23&gt;AV$7),((AV$7-$K23)/($L23-$K23)))</f>
        <v>1</v>
      </c>
      <c r="AX23" s="201">
        <f t="array" ref="AX23">_xlfn.IFS(AND($K23&gt;AW$7,$L23&gt;AW$7),0,AND($K23&lt;=AW$7,$L23&lt;=AW$7),1,AND($K23&lt;=AW$7,$L23&gt;AW$7),((AW$7-$K23)/($L23-$K23)))</f>
        <v>1</v>
      </c>
      <c r="AY23" s="201">
        <f t="array" ref="AY23">_xlfn.IFS(AND($K23&gt;AX$7,$L23&gt;AX$7),0,AND($K23&lt;=AX$7,$L23&lt;=AX$7),1,AND($K23&lt;=AX$7,$L23&gt;AX$7),((AX$7-$K23)/($L23-$K23)))</f>
        <v>1</v>
      </c>
      <c r="AZ23" s="201">
        <f t="array" ref="AZ23">_xlfn.IFS(AND($K23&gt;AY$7,$L23&gt;AY$7),0,AND($K23&lt;=AY$7,$L23&lt;=AY$7),1,AND($K23&lt;=AY$7,$L23&gt;AY$7),((AY$7-$K23)/($L23-$K23)))</f>
        <v>1</v>
      </c>
      <c r="BA23" s="201">
        <f t="array" ref="BA23">_xlfn.IFS(AND($K23&gt;AZ$7,$L23&gt;AZ$7),0,AND($K23&lt;=AZ$7,$L23&lt;=AZ$7),1,AND($K23&lt;=AZ$7,$L23&gt;AZ$7),((AZ$7-$K23)/($L23-$K23)))</f>
        <v>1</v>
      </c>
      <c r="BB23" s="201">
        <f t="array" ref="BB23">_xlfn.IFS(AND($K23&gt;BA$7,$L23&gt;BA$7),0,AND($K23&lt;=BA$7,$L23&lt;=BA$7),1,AND($K23&lt;=BA$7,$L23&gt;BA$7),((BA$7-$K23)/($L23-$K23)))</f>
        <v>1</v>
      </c>
      <c r="BC23" s="201">
        <f t="array" ref="BC23">_xlfn.IFS(AND($K23&gt;BB$7,$L23&gt;BB$7),0,AND($K23&lt;=BB$7,$L23&lt;=BB$7),1,AND($K23&lt;=BB$7,$L23&gt;BB$7),((BB$7-$K23)/($L23-$K23)))</f>
        <v>1</v>
      </c>
      <c r="BD23" s="201">
        <f t="array" ref="BD23">_xlfn.IFS(AND($K23&gt;BC$7,$L23&gt;BC$7),0,AND($K23&lt;=BC$7,$L23&lt;=BC$7),1,AND($K23&lt;=BC$7,$L23&gt;BC$7),((BC$7-$K23)/($L23-$K23)))</f>
        <v>1</v>
      </c>
      <c r="BE23" s="201">
        <f t="array" ref="BE23">_xlfn.IFS(AND($K23&gt;BD$7,$L23&gt;BD$7),0,AND($K23&lt;=BD$7,$L23&lt;=BD$7),1,AND($K23&lt;=BD$7,$L23&gt;BD$7),((BD$7-$K23)/($L23-$K23)))</f>
        <v>1</v>
      </c>
      <c r="BF23" s="201">
        <f t="array" ref="BF23">_xlfn.IFS(AND($K23&gt;BE$7,$L23&gt;BE$7),0,AND($K23&lt;=BE$7,$L23&lt;=BE$7),1,AND($K23&lt;=BE$7,$L23&gt;BE$7),((BE$7-$K23)/($L23-$K23)))</f>
        <v>1</v>
      </c>
      <c r="BG23" s="201">
        <f t="array" ref="BG23">_xlfn.IFS(AND($K23&gt;BF$7,$L23&gt;BF$7),0,AND($K23&lt;=BF$7,$L23&lt;=BF$7),1,AND($K23&lt;=BF$7,$L23&gt;BF$7),((BF$7-$K23)/($L23-$K23)))</f>
        <v>1</v>
      </c>
      <c r="BH23" s="201">
        <f t="array" ref="BH23">_xlfn.IFS(AND($K23&gt;BG$7,$L23&gt;BG$7),0,AND($K23&lt;=BG$7,$L23&lt;=BG$7),1,AND($K23&lt;=BG$7,$L23&gt;BG$7),((BG$7-$K23)/($L23-$K23)))</f>
        <v>1</v>
      </c>
      <c r="BI23" s="201">
        <f t="array" ref="BI23">_xlfn.IFS(AND($K23&gt;BH$7,$L23&gt;BH$7),0,AND($K23&lt;=BH$7,$L23&lt;=BH$7),1,AND($K23&lt;=BH$7,$L23&gt;BH$7),((BH$7-$K23)/($L23-$K23)))</f>
        <v>1</v>
      </c>
      <c r="BJ23" s="201">
        <f t="array" ref="BJ23">_xlfn.IFS(AND($K23&gt;BI$7,$L23&gt;BI$7),0,AND($K23&lt;=BI$7,$L23&lt;=BI$7),1,AND($K23&lt;=BI$7,$L23&gt;BI$7),((BI$7-$K23)/($L23-$K23)))</f>
        <v>1</v>
      </c>
      <c r="BK23" s="201">
        <f t="array" ref="BK23">_xlfn.IFS(AND($K23&gt;BJ$7,$L23&gt;BJ$7),0,AND($K23&lt;=BJ$7,$L23&lt;=BJ$7),1,AND($K23&lt;=BJ$7,$L23&gt;BJ$7),((BJ$7-$K23)/($L23-$K23)))</f>
        <v>1</v>
      </c>
      <c r="BL23" s="201">
        <f t="array" ref="BL23">_xlfn.IFS(AND($K23&gt;BK$7,$L23&gt;BK$7),0,AND($K23&lt;=BK$7,$L23&lt;=BK$7),1,AND($K23&lt;=BK$7,$L23&gt;BK$7),((BK$7-$K23)/($L23-$K23)))</f>
        <v>1</v>
      </c>
      <c r="BM23" s="201">
        <f t="array" ref="BM23">_xlfn.IFS(AND($K23&gt;BL$7,$L23&gt;BL$7),0,AND($K23&lt;=BL$7,$L23&lt;=BL$7),1,AND($K23&lt;=BL$7,$L23&gt;BL$7),((BL$7-$K23)/($L23-$K23)))</f>
        <v>1</v>
      </c>
      <c r="BN23" s="201">
        <f t="array" ref="BN23">_xlfn.IFS(AND($K23&gt;BM$7,$L23&gt;BM$7),0,AND($K23&lt;=BM$7,$L23&lt;=BM$7),1,AND($K23&lt;=BM$7,$L23&gt;BM$7),((BM$7-$K23)/($L23-$K23)))</f>
        <v>1</v>
      </c>
    </row>
    <row r="24" spans="2:66" ht="27.6" customHeight="1" x14ac:dyDescent="0.3">
      <c r="B24" s="174" t="str">
        <f t="array" ref="B24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24" s="174" t="s">
        <v>97</v>
      </c>
      <c r="D24" s="177" t="str">
        <f t="shared" si="2"/>
        <v>Arquitetura de projetos GERDAU</v>
      </c>
      <c r="E24" s="170" t="str">
        <f t="shared" si="12"/>
        <v>Definição da Estratégia para Transformação dos Processos</v>
      </c>
      <c r="F24" s="174" t="str">
        <f t="shared" si="15"/>
        <v>Revisão dos Objetivos Estratégicos e Cadeia de Valor</v>
      </c>
      <c r="G24" s="174" t="s">
        <v>94</v>
      </c>
      <c r="H24" s="195" t="s">
        <v>98</v>
      </c>
      <c r="I24" s="174">
        <f>MIN(I25:I25)</f>
        <v>45705</v>
      </c>
      <c r="J24" s="174">
        <f>MAX(J25:J25)</f>
        <v>45708</v>
      </c>
      <c r="K24" s="174">
        <f>MIN(K25:K25)</f>
        <v>45705</v>
      </c>
      <c r="L24" s="174">
        <f>MAX(L25:L25)</f>
        <v>45708</v>
      </c>
      <c r="M24" s="175"/>
      <c r="N24" s="175" t="str">
        <f t="array" ref="N24">_xlfn.IFS(L24&lt;$M$3,"Concluído",AND(K24&gt;=$M$3,I24&lt;$M$3,L24&gt;$M$3),"Em andamento",AND(L24&gt;=$M$3,J24&lt;$M$3),"Atrasado",AND(L24&gt;=$M$3,J24&gt;=$M$3,I24&gt;$M$3,K24&lt;=$M$3),"Em andamento",AND(L24&gt;=$M$3,J24&gt;=$M$3,I24&lt;=$M$3,K24&lt;=$M$3),"Em andamento",AND(K24&gt;$M$3,I24&gt;$M$3),"Não iniciado",AND(L24&gt;=$M$3,J24&gt;=$M$3,K24&gt;=$M$3,I24&lt;$M$3),"Atrasado",AND(L24&gt;=$M$3,J24&gt;=$M$3,K24&gt;=$M$3,I24&gt;$M$3),"Não iniciado",AND($I24&lt;=$M$3,$K24&gt;$M$3),"Atrasado")</f>
        <v>Concluído</v>
      </c>
      <c r="O24" s="175">
        <f t="array" ref="O24">_xlfn.IFS(N24="Não iniciado",0,N24="Em andamento",1,N24="Concluído",2,N24="Atrasado",3)</f>
        <v>2</v>
      </c>
      <c r="P24" s="176"/>
      <c r="Q24" s="156">
        <f t="array" ref="Q24">_xlfn.IFS(AND($I24&lt;$M$3,$J24&lt;$M$3),1,AND($I24&lt;$M$3,$J24&gt;=$M$3),0.5,AND($I24&gt;=$M$3,$J24&gt;=$M$3),0)</f>
        <v>1</v>
      </c>
      <c r="R24" s="156">
        <f t="array" ref="R24">_xlfn.IFS(AND($I24&lt;$M$3,$J24&lt;$M$3),1,AND($I24&lt;$M$3,$J24&gt;=$M$3),0.5,AND($I24&gt;=$M$3,$J24&gt;=$M$3),0)</f>
        <v>1</v>
      </c>
      <c r="S24" s="205">
        <f t="shared" ref="S24:BN24" si="18">S25</f>
        <v>0</v>
      </c>
      <c r="T24" s="205">
        <f t="shared" si="18"/>
        <v>0</v>
      </c>
      <c r="U24" s="205">
        <f t="shared" si="18"/>
        <v>0</v>
      </c>
      <c r="V24" s="205">
        <f t="shared" si="18"/>
        <v>1</v>
      </c>
      <c r="W24" s="205">
        <f t="shared" si="18"/>
        <v>1</v>
      </c>
      <c r="X24" s="205">
        <f t="shared" si="18"/>
        <v>1</v>
      </c>
      <c r="Y24" s="205">
        <f t="shared" si="18"/>
        <v>1</v>
      </c>
      <c r="Z24" s="205">
        <f t="shared" si="18"/>
        <v>1</v>
      </c>
      <c r="AA24" s="205">
        <f t="shared" si="18"/>
        <v>1</v>
      </c>
      <c r="AB24" s="205">
        <f t="shared" si="18"/>
        <v>1</v>
      </c>
      <c r="AC24" s="205">
        <f t="shared" si="18"/>
        <v>1</v>
      </c>
      <c r="AD24" s="205">
        <f t="shared" si="18"/>
        <v>1</v>
      </c>
      <c r="AE24" s="205">
        <f t="shared" si="18"/>
        <v>1</v>
      </c>
      <c r="AF24" s="205">
        <f t="shared" si="18"/>
        <v>1</v>
      </c>
      <c r="AG24" s="205">
        <f t="shared" si="18"/>
        <v>1</v>
      </c>
      <c r="AH24" s="205">
        <f t="shared" si="18"/>
        <v>1</v>
      </c>
      <c r="AI24" s="205">
        <f t="shared" si="18"/>
        <v>1</v>
      </c>
      <c r="AJ24" s="205">
        <f t="shared" si="18"/>
        <v>1</v>
      </c>
      <c r="AK24" s="205">
        <f t="shared" si="18"/>
        <v>1</v>
      </c>
      <c r="AL24" s="205">
        <f t="shared" si="18"/>
        <v>1</v>
      </c>
      <c r="AM24" s="205">
        <f t="shared" si="18"/>
        <v>1</v>
      </c>
      <c r="AN24" s="205">
        <f t="shared" si="18"/>
        <v>1</v>
      </c>
      <c r="AO24" s="205">
        <f t="shared" si="18"/>
        <v>1</v>
      </c>
      <c r="AP24" s="205">
        <f t="shared" si="18"/>
        <v>1</v>
      </c>
      <c r="AQ24" s="205">
        <f t="shared" si="18"/>
        <v>1</v>
      </c>
      <c r="AR24" s="205">
        <f t="shared" si="18"/>
        <v>1</v>
      </c>
      <c r="AS24" s="205">
        <f t="shared" si="18"/>
        <v>1</v>
      </c>
      <c r="AT24" s="205">
        <f t="shared" si="18"/>
        <v>1</v>
      </c>
      <c r="AU24" s="205">
        <f t="shared" si="18"/>
        <v>1</v>
      </c>
      <c r="AV24" s="205">
        <f t="shared" si="18"/>
        <v>1</v>
      </c>
      <c r="AW24" s="205">
        <f t="shared" si="18"/>
        <v>1</v>
      </c>
      <c r="AX24" s="205">
        <f t="shared" si="18"/>
        <v>1</v>
      </c>
      <c r="AY24" s="205">
        <f t="shared" si="18"/>
        <v>1</v>
      </c>
      <c r="AZ24" s="205">
        <f t="shared" si="18"/>
        <v>1</v>
      </c>
      <c r="BA24" s="205">
        <f t="shared" si="18"/>
        <v>1</v>
      </c>
      <c r="BB24" s="205">
        <f t="shared" si="18"/>
        <v>1</v>
      </c>
      <c r="BC24" s="205">
        <f t="shared" si="18"/>
        <v>1</v>
      </c>
      <c r="BD24" s="205">
        <f t="shared" si="18"/>
        <v>1</v>
      </c>
      <c r="BE24" s="205">
        <f t="shared" si="18"/>
        <v>1</v>
      </c>
      <c r="BF24" s="205">
        <f t="shared" si="18"/>
        <v>1</v>
      </c>
      <c r="BG24" s="205">
        <f t="shared" si="18"/>
        <v>1</v>
      </c>
      <c r="BH24" s="205">
        <f t="shared" si="18"/>
        <v>1</v>
      </c>
      <c r="BI24" s="205">
        <f t="shared" si="18"/>
        <v>1</v>
      </c>
      <c r="BJ24" s="205">
        <f t="shared" si="18"/>
        <v>1</v>
      </c>
      <c r="BK24" s="205">
        <f t="shared" si="18"/>
        <v>1</v>
      </c>
      <c r="BL24" s="205">
        <f t="shared" si="18"/>
        <v>1</v>
      </c>
      <c r="BM24" s="205">
        <f t="shared" si="18"/>
        <v>1</v>
      </c>
      <c r="BN24" s="205">
        <f t="shared" si="18"/>
        <v>1</v>
      </c>
    </row>
    <row r="25" spans="2:66" ht="27.6" customHeight="1" x14ac:dyDescent="0.3">
      <c r="B25" s="166" t="str">
        <f t="array" ref="B25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25" s="166" t="s">
        <v>99</v>
      </c>
      <c r="D25" s="177" t="str">
        <f t="shared" si="2"/>
        <v>Arquitetura de projetos GERDAU</v>
      </c>
      <c r="E25" s="170" t="str">
        <f t="shared" si="12"/>
        <v>Definição da Estratégia para Transformação dos Processos</v>
      </c>
      <c r="F25" s="174" t="str">
        <f t="shared" si="15"/>
        <v>Revisão dos Objetivos Estratégicos e Cadeia de Valor</v>
      </c>
      <c r="G25" s="166" t="str">
        <f>H24</f>
        <v>Definição dos principais direcionadores estratégicos para transformação de processos</v>
      </c>
      <c r="H25" s="197" t="s">
        <v>98</v>
      </c>
      <c r="I25" s="166">
        <v>45705</v>
      </c>
      <c r="J25" s="40">
        <v>45708</v>
      </c>
      <c r="K25" s="166">
        <v>45705</v>
      </c>
      <c r="L25" s="40">
        <v>45708</v>
      </c>
      <c r="M25" s="167"/>
      <c r="N25" s="167" t="str">
        <f t="array" ref="N25">_xlfn.IFS(L25&lt;$M$3,"Concluído",AND(K25&gt;=$M$3,I25&lt;$M$3,L25&gt;$M$3),"Em andamento",AND(L25&gt;=$M$3,J25&lt;$M$3),"Atrasado",AND(L25&gt;=$M$3,J25&gt;=$M$3,I25&gt;$M$3,K25&lt;=$M$3),"Em andamento",AND(L25&gt;=$M$3,J25&gt;=$M$3,I25&lt;=$M$3,K25&lt;=$M$3),"Em andamento",AND(K25&gt;$M$3,I25&gt;$M$3),"Não iniciado",AND(L25&gt;=$M$3,J25&gt;=$M$3,K25&gt;=$M$3,I25&lt;$M$3),"Atrasado",AND(L25&gt;=$M$3,J25&gt;=$M$3,K25&gt;=$M$3,I25&gt;$M$3),"Não iniciado",AND($I25&lt;=$M$3,$K25&gt;$M$3),"Atrasado")</f>
        <v>Concluído</v>
      </c>
      <c r="O25" s="167">
        <f t="array" ref="O25">_xlfn.IFS(N25="Não iniciado",0,N25="Em andamento",1,N25="Concluído",2,N25="Atrasado",3)</f>
        <v>2</v>
      </c>
      <c r="P25" s="168"/>
      <c r="Q25" s="152">
        <f t="array" ref="Q25">_xlfn.IFS(AND($I25&lt;$M$3,$J25&lt;$M$3),1,AND($I25&lt;$M$3,$J25&gt;=$M$3),0.5,AND($I25&gt;=$M$3,$J25&gt;=$M$3),0)</f>
        <v>1</v>
      </c>
      <c r="R25" s="152">
        <f t="array" ref="R25">_xlfn.IFS(AND($K25&lt;$M$3,$L25&lt;$M$3),1,AND($K25&lt;=$M$3,$L25&gt;=$M$3),0.5,AND($K25&gt;=$M$3,$L25&gt;=$M$3),0)</f>
        <v>1</v>
      </c>
      <c r="S25" s="201">
        <f t="array" ref="S25">_xlfn.IFS(AND($K25&gt;R$7,$L25&gt;R$7),0,AND($K25&lt;=R$7,$L25&lt;=R$7),1,AND($K25&lt;=R$7,$L25&gt;R$7),((R$7-$K25)/($L25-$K25)))</f>
        <v>0</v>
      </c>
      <c r="T25" s="201">
        <f t="array" ref="T25">_xlfn.IFS(AND($K25&gt;S$7,$L25&gt;S$7),0,AND($K25&lt;=S$7,$L25&lt;=S$7),1,AND($K25&lt;=S$7,$L25&gt;S$7),((S$7-$K25)/($L25-$K25)))</f>
        <v>0</v>
      </c>
      <c r="U25" s="201">
        <f t="array" ref="U25">_xlfn.IFS(AND($K25&gt;T$7,$L25&gt;T$7),0,AND($K25&lt;=T$7,$L25&lt;=T$7),1,AND($K25&lt;=T$7,$L25&gt;T$7),((T$7-$K25)/($L25-$K25)))</f>
        <v>0</v>
      </c>
      <c r="V25" s="201">
        <f t="array" ref="V25">_xlfn.IFS(AND($K25&gt;U$7,$L25&gt;U$7),0,AND($K25&lt;=U$7,$L25&lt;=U$7),1,AND($K25&lt;=U$7,$L25&gt;U$7),((U$7-$K25)/($L25-$K25)))</f>
        <v>1</v>
      </c>
      <c r="W25" s="201">
        <f t="array" ref="W25">_xlfn.IFS(AND($K25&gt;V$7,$L25&gt;V$7),0,AND($K25&lt;=V$7,$L25&lt;=V$7),1,AND($K25&lt;=V$7,$L25&gt;V$7),((V$7-$K25)/($L25-$K25)))</f>
        <v>1</v>
      </c>
      <c r="X25" s="201">
        <f t="array" ref="X25">_xlfn.IFS(AND($K25&gt;W$7,$L25&gt;W$7),0,AND($K25&lt;=W$7,$L25&lt;=W$7),1,AND($K25&lt;=W$7,$L25&gt;W$7),((W$7-$K25)/($L25-$K25)))</f>
        <v>1</v>
      </c>
      <c r="Y25" s="201">
        <f t="array" ref="Y25">_xlfn.IFS(AND($K25&gt;X$7,$L25&gt;X$7),0,AND($K25&lt;=X$7,$L25&lt;=X$7),1,AND($K25&lt;=X$7,$L25&gt;X$7),((X$7-$K25)/($L25-$K25)))</f>
        <v>1</v>
      </c>
      <c r="Z25" s="201">
        <f t="array" ref="Z25">_xlfn.IFS(AND($K25&gt;Y$7,$L25&gt;Y$7),0,AND($K25&lt;=Y$7,$L25&lt;=Y$7),1,AND($K25&lt;=Y$7,$L25&gt;Y$7),((Y$7-$K25)/($L25-$K25)))</f>
        <v>1</v>
      </c>
      <c r="AA25" s="201">
        <f t="array" ref="AA25">_xlfn.IFS(AND($K25&gt;Z$7,$L25&gt;Z$7),0,AND($K25&lt;=Z$7,$L25&lt;=Z$7),1,AND($K25&lt;=Z$7,$L25&gt;Z$7),((Z$7-$K25)/($L25-$K25)))</f>
        <v>1</v>
      </c>
      <c r="AB25" s="201">
        <f t="array" ref="AB25">_xlfn.IFS(AND($K25&gt;AA$7,$L25&gt;AA$7),0,AND($K25&lt;=AA$7,$L25&lt;=AA$7),1,AND($K25&lt;=AA$7,$L25&gt;AA$7),((AA$7-$K25)/($L25-$K25)))</f>
        <v>1</v>
      </c>
      <c r="AC25" s="201">
        <f t="array" ref="AC25">_xlfn.IFS(AND($K25&gt;AB$7,$L25&gt;AB$7),0,AND($K25&lt;=AB$7,$L25&lt;=AB$7),1,AND($K25&lt;=AB$7,$L25&gt;AB$7),((AB$7-$K25)/($L25-$K25)))</f>
        <v>1</v>
      </c>
      <c r="AD25" s="201">
        <f t="array" ref="AD25">_xlfn.IFS(AND($K25&gt;AC$7,$L25&gt;AC$7),0,AND($K25&lt;=AC$7,$L25&lt;=AC$7),1,AND($K25&lt;=AC$7,$L25&gt;AC$7),((AC$7-$K25)/($L25-$K25)))</f>
        <v>1</v>
      </c>
      <c r="AE25" s="201">
        <f t="array" ref="AE25">_xlfn.IFS(AND($K25&gt;AD$7,$L25&gt;AD$7),0,AND($K25&lt;=AD$7,$L25&lt;=AD$7),1,AND($K25&lt;=AD$7,$L25&gt;AD$7),((AD$7-$K25)/($L25-$K25)))</f>
        <v>1</v>
      </c>
      <c r="AF25" s="201">
        <f t="array" ref="AF25">_xlfn.IFS(AND($K25&gt;AE$7,$L25&gt;AE$7),0,AND($K25&lt;=AE$7,$L25&lt;=AE$7),1,AND($K25&lt;=AE$7,$L25&gt;AE$7),((AE$7-$K25)/($L25-$K25)))</f>
        <v>1</v>
      </c>
      <c r="AG25" s="201">
        <f t="array" ref="AG25">_xlfn.IFS(AND($K25&gt;AF$7,$L25&gt;AF$7),0,AND($K25&lt;=AF$7,$L25&lt;=AF$7),1,AND($K25&lt;=AF$7,$L25&gt;AF$7),((AF$7-$K25)/($L25-$K25)))</f>
        <v>1</v>
      </c>
      <c r="AH25" s="201">
        <f t="array" ref="AH25">_xlfn.IFS(AND($K25&gt;AG$7,$L25&gt;AG$7),0,AND($K25&lt;=AG$7,$L25&lt;=AG$7),1,AND($K25&lt;=AG$7,$L25&gt;AG$7),((AG$7-$K25)/($L25-$K25)))</f>
        <v>1</v>
      </c>
      <c r="AI25" s="201">
        <f t="array" ref="AI25">_xlfn.IFS(AND($K25&gt;AH$7,$L25&gt;AH$7),0,AND($K25&lt;=AH$7,$L25&lt;=AH$7),1,AND($K25&lt;=AH$7,$L25&gt;AH$7),((AH$7-$K25)/($L25-$K25)))</f>
        <v>1</v>
      </c>
      <c r="AJ25" s="201">
        <f t="array" ref="AJ25">_xlfn.IFS(AND($K25&gt;AI$7,$L25&gt;AI$7),0,AND($K25&lt;=AI$7,$L25&lt;=AI$7),1,AND($K25&lt;=AI$7,$L25&gt;AI$7),((AI$7-$K25)/($L25-$K25)))</f>
        <v>1</v>
      </c>
      <c r="AK25" s="201">
        <f t="array" ref="AK25">_xlfn.IFS(AND($K25&gt;AJ$7,$L25&gt;AJ$7),0,AND($K25&lt;=AJ$7,$L25&lt;=AJ$7),1,AND($K25&lt;=AJ$7,$L25&gt;AJ$7),((AJ$7-$K25)/($L25-$K25)))</f>
        <v>1</v>
      </c>
      <c r="AL25" s="201">
        <f t="array" ref="AL25">_xlfn.IFS(AND($K25&gt;AK$7,$L25&gt;AK$7),0,AND($K25&lt;=AK$7,$L25&lt;=AK$7),1,AND($K25&lt;=AK$7,$L25&gt;AK$7),((AK$7-$K25)/($L25-$K25)))</f>
        <v>1</v>
      </c>
      <c r="AM25" s="201">
        <f t="array" ref="AM25">_xlfn.IFS(AND($K25&gt;AL$7,$L25&gt;AL$7),0,AND($K25&lt;=AL$7,$L25&lt;=AL$7),1,AND($K25&lt;=AL$7,$L25&gt;AL$7),((AL$7-$K25)/($L25-$K25)))</f>
        <v>1</v>
      </c>
      <c r="AN25" s="201">
        <f t="array" ref="AN25">_xlfn.IFS(AND($K25&gt;AM$7,$L25&gt;AM$7),0,AND($K25&lt;=AM$7,$L25&lt;=AM$7),1,AND($K25&lt;=AM$7,$L25&gt;AM$7),((AM$7-$K25)/($L25-$K25)))</f>
        <v>1</v>
      </c>
      <c r="AO25" s="201">
        <f t="array" ref="AO25">_xlfn.IFS(AND($K25&gt;AN$7,$L25&gt;AN$7),0,AND($K25&lt;=AN$7,$L25&lt;=AN$7),1,AND($K25&lt;=AN$7,$L25&gt;AN$7),((AN$7-$K25)/($L25-$K25)))</f>
        <v>1</v>
      </c>
      <c r="AP25" s="201">
        <f t="array" ref="AP25">_xlfn.IFS(AND($K25&gt;AO$7,$L25&gt;AO$7),0,AND($K25&lt;=AO$7,$L25&lt;=AO$7),1,AND($K25&lt;=AO$7,$L25&gt;AO$7),((AO$7-$K25)/($L25-$K25)))</f>
        <v>1</v>
      </c>
      <c r="AQ25" s="201">
        <f t="array" ref="AQ25">_xlfn.IFS(AND($K25&gt;AP$7,$L25&gt;AP$7),0,AND($K25&lt;=AP$7,$L25&lt;=AP$7),1,AND($K25&lt;=AP$7,$L25&gt;AP$7),((AP$7-$K25)/($L25-$K25)))</f>
        <v>1</v>
      </c>
      <c r="AR25" s="201">
        <f t="array" ref="AR25">_xlfn.IFS(AND($K25&gt;AQ$7,$L25&gt;AQ$7),0,AND($K25&lt;=AQ$7,$L25&lt;=AQ$7),1,AND($K25&lt;=AQ$7,$L25&gt;AQ$7),((AQ$7-$K25)/($L25-$K25)))</f>
        <v>1</v>
      </c>
      <c r="AS25" s="201">
        <f t="array" ref="AS25">_xlfn.IFS(AND($K25&gt;AR$7,$L25&gt;AR$7),0,AND($K25&lt;=AR$7,$L25&lt;=AR$7),1,AND($K25&lt;=AR$7,$L25&gt;AR$7),((AR$7-$K25)/($L25-$K25)))</f>
        <v>1</v>
      </c>
      <c r="AT25" s="201">
        <f t="array" ref="AT25">_xlfn.IFS(AND($K25&gt;AS$7,$L25&gt;AS$7),0,AND($K25&lt;=AS$7,$L25&lt;=AS$7),1,AND($K25&lt;=AS$7,$L25&gt;AS$7),((AS$7-$K25)/($L25-$K25)))</f>
        <v>1</v>
      </c>
      <c r="AU25" s="201">
        <f t="array" ref="AU25">_xlfn.IFS(AND($K25&gt;AT$7,$L25&gt;AT$7),0,AND($K25&lt;=AT$7,$L25&lt;=AT$7),1,AND($K25&lt;=AT$7,$L25&gt;AT$7),((AT$7-$K25)/($L25-$K25)))</f>
        <v>1</v>
      </c>
      <c r="AV25" s="201">
        <f t="array" ref="AV25">_xlfn.IFS(AND($K25&gt;AU$7,$L25&gt;AU$7),0,AND($K25&lt;=AU$7,$L25&lt;=AU$7),1,AND($K25&lt;=AU$7,$L25&gt;AU$7),((AU$7-$K25)/($L25-$K25)))</f>
        <v>1</v>
      </c>
      <c r="AW25" s="201">
        <f t="array" ref="AW25">_xlfn.IFS(AND($K25&gt;AV$7,$L25&gt;AV$7),0,AND($K25&lt;=AV$7,$L25&lt;=AV$7),1,AND($K25&lt;=AV$7,$L25&gt;AV$7),((AV$7-$K25)/($L25-$K25)))</f>
        <v>1</v>
      </c>
      <c r="AX25" s="201">
        <f t="array" ref="AX25">_xlfn.IFS(AND($K25&gt;AW$7,$L25&gt;AW$7),0,AND($K25&lt;=AW$7,$L25&lt;=AW$7),1,AND($K25&lt;=AW$7,$L25&gt;AW$7),((AW$7-$K25)/($L25-$K25)))</f>
        <v>1</v>
      </c>
      <c r="AY25" s="201">
        <f t="array" ref="AY25">_xlfn.IFS(AND($K25&gt;AX$7,$L25&gt;AX$7),0,AND($K25&lt;=AX$7,$L25&lt;=AX$7),1,AND($K25&lt;=AX$7,$L25&gt;AX$7),((AX$7-$K25)/($L25-$K25)))</f>
        <v>1</v>
      </c>
      <c r="AZ25" s="201">
        <f t="array" ref="AZ25">_xlfn.IFS(AND($K25&gt;AY$7,$L25&gt;AY$7),0,AND($K25&lt;=AY$7,$L25&lt;=AY$7),1,AND($K25&lt;=AY$7,$L25&gt;AY$7),((AY$7-$K25)/($L25-$K25)))</f>
        <v>1</v>
      </c>
      <c r="BA25" s="201">
        <f t="array" ref="BA25">_xlfn.IFS(AND($K25&gt;AZ$7,$L25&gt;AZ$7),0,AND($K25&lt;=AZ$7,$L25&lt;=AZ$7),1,AND($K25&lt;=AZ$7,$L25&gt;AZ$7),((AZ$7-$K25)/($L25-$K25)))</f>
        <v>1</v>
      </c>
      <c r="BB25" s="201">
        <f t="array" ref="BB25">_xlfn.IFS(AND($K25&gt;BA$7,$L25&gt;BA$7),0,AND($K25&lt;=BA$7,$L25&lt;=BA$7),1,AND($K25&lt;=BA$7,$L25&gt;BA$7),((BA$7-$K25)/($L25-$K25)))</f>
        <v>1</v>
      </c>
      <c r="BC25" s="201">
        <f t="array" ref="BC25">_xlfn.IFS(AND($K25&gt;BB$7,$L25&gt;BB$7),0,AND($K25&lt;=BB$7,$L25&lt;=BB$7),1,AND($K25&lt;=BB$7,$L25&gt;BB$7),((BB$7-$K25)/($L25-$K25)))</f>
        <v>1</v>
      </c>
      <c r="BD25" s="201">
        <f t="array" ref="BD25">_xlfn.IFS(AND($K25&gt;BC$7,$L25&gt;BC$7),0,AND($K25&lt;=BC$7,$L25&lt;=BC$7),1,AND($K25&lt;=BC$7,$L25&gt;BC$7),((BC$7-$K25)/($L25-$K25)))</f>
        <v>1</v>
      </c>
      <c r="BE25" s="201">
        <f t="array" ref="BE25">_xlfn.IFS(AND($K25&gt;BD$7,$L25&gt;BD$7),0,AND($K25&lt;=BD$7,$L25&lt;=BD$7),1,AND($K25&lt;=BD$7,$L25&gt;BD$7),((BD$7-$K25)/($L25-$K25)))</f>
        <v>1</v>
      </c>
      <c r="BF25" s="201">
        <f t="array" ref="BF25">_xlfn.IFS(AND($K25&gt;BE$7,$L25&gt;BE$7),0,AND($K25&lt;=BE$7,$L25&lt;=BE$7),1,AND($K25&lt;=BE$7,$L25&gt;BE$7),((BE$7-$K25)/($L25-$K25)))</f>
        <v>1</v>
      </c>
      <c r="BG25" s="201">
        <f t="array" ref="BG25">_xlfn.IFS(AND($K25&gt;BF$7,$L25&gt;BF$7),0,AND($K25&lt;=BF$7,$L25&lt;=BF$7),1,AND($K25&lt;=BF$7,$L25&gt;BF$7),((BF$7-$K25)/($L25-$K25)))</f>
        <v>1</v>
      </c>
      <c r="BH25" s="201">
        <f t="array" ref="BH25">_xlfn.IFS(AND($K25&gt;BG$7,$L25&gt;BG$7),0,AND($K25&lt;=BG$7,$L25&lt;=BG$7),1,AND($K25&lt;=BG$7,$L25&gt;BG$7),((BG$7-$K25)/($L25-$K25)))</f>
        <v>1</v>
      </c>
      <c r="BI25" s="201">
        <f t="array" ref="BI25">_xlfn.IFS(AND($K25&gt;BH$7,$L25&gt;BH$7),0,AND($K25&lt;=BH$7,$L25&lt;=BH$7),1,AND($K25&lt;=BH$7,$L25&gt;BH$7),((BH$7-$K25)/($L25-$K25)))</f>
        <v>1</v>
      </c>
      <c r="BJ25" s="201">
        <f t="array" ref="BJ25">_xlfn.IFS(AND($K25&gt;BI$7,$L25&gt;BI$7),0,AND($K25&lt;=BI$7,$L25&lt;=BI$7),1,AND($K25&lt;=BI$7,$L25&gt;BI$7),((BI$7-$K25)/($L25-$K25)))</f>
        <v>1</v>
      </c>
      <c r="BK25" s="201">
        <f t="array" ref="BK25">_xlfn.IFS(AND($K25&gt;BJ$7,$L25&gt;BJ$7),0,AND($K25&lt;=BJ$7,$L25&lt;=BJ$7),1,AND($K25&lt;=BJ$7,$L25&gt;BJ$7),((BJ$7-$K25)/($L25-$K25)))</f>
        <v>1</v>
      </c>
      <c r="BL25" s="201">
        <f t="array" ref="BL25">_xlfn.IFS(AND($K25&gt;BK$7,$L25&gt;BK$7),0,AND($K25&lt;=BK$7,$L25&lt;=BK$7),1,AND($K25&lt;=BK$7,$L25&gt;BK$7),((BK$7-$K25)/($L25-$K25)))</f>
        <v>1</v>
      </c>
      <c r="BM25" s="201">
        <f t="array" ref="BM25">_xlfn.IFS(AND($K25&gt;BL$7,$L25&gt;BL$7),0,AND($K25&lt;=BL$7,$L25&lt;=BL$7),1,AND($K25&lt;=BL$7,$L25&gt;BL$7),((BL$7-$K25)/($L25-$K25)))</f>
        <v>1</v>
      </c>
      <c r="BN25" s="201">
        <f t="array" ref="BN25">_xlfn.IFS(AND($K25&gt;BM$7,$L25&gt;BM$7),0,AND($K25&lt;=BM$7,$L25&lt;=BM$7),1,AND($K25&lt;=BM$7,$L25&gt;BM$7),((BM$7-$K25)/($L25-$K25)))</f>
        <v>1</v>
      </c>
    </row>
    <row r="26" spans="2:66" s="46" customFormat="1" ht="15" customHeight="1" x14ac:dyDescent="0.3">
      <c r="B26" s="170" t="str">
        <f t="array" ref="B26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3</v>
      </c>
      <c r="C26" s="170" t="s">
        <v>100</v>
      </c>
      <c r="D26" s="177" t="str">
        <f t="shared" si="2"/>
        <v>Arquitetura de projetos GERDAU</v>
      </c>
      <c r="E26" s="170" t="str">
        <f t="shared" si="12"/>
        <v>Definição da Estratégia para Transformação dos Processos</v>
      </c>
      <c r="F26" s="170" t="s">
        <v>74</v>
      </c>
      <c r="G26" s="170" t="s">
        <v>74</v>
      </c>
      <c r="H26" s="194" t="s">
        <v>101</v>
      </c>
      <c r="I26" s="170">
        <f>MIN(I27:I39)</f>
        <v>45705</v>
      </c>
      <c r="J26" s="170">
        <f>MAX(J27:J39)</f>
        <v>45715</v>
      </c>
      <c r="K26" s="170">
        <f>MIN(K27:K39)</f>
        <v>45705</v>
      </c>
      <c r="L26" s="170">
        <f>MAX(L27:L39)</f>
        <v>45722</v>
      </c>
      <c r="M26" s="171"/>
      <c r="N26" s="171" t="str">
        <f t="array" ref="N26">_xlfn.IFS(L26&lt;$M$3,"Concluído",AND(K26&gt;=$M$3,I26&lt;$M$3,L26&gt;$M$3),"Em andamento",AND(L26&gt;=$M$3,J26&lt;$M$3),"Atrasado",AND(L26&gt;=$M$3,J26&gt;=$M$3,I26&gt;$M$3,K26&lt;=$M$3),"Em andamento",AND(L26&gt;=$M$3,J26&gt;=$M$3,I26&lt;=$M$3,K26&lt;=$M$3),"Em andamento",AND(K26&gt;$M$3,I26&gt;$M$3),"Não iniciado",AND(L26&gt;=$M$3,J26&gt;=$M$3,K26&gt;=$M$3,I26&lt;$M$3),"Atrasado",AND(L26&gt;=$M$3,J26&gt;=$M$3,K26&gt;=$M$3,I26&gt;$M$3),"Não iniciado",AND($I26&lt;=$M$3,$K26&gt;$M$3),"Atrasado")</f>
        <v>Concluído</v>
      </c>
      <c r="O26" s="171">
        <f t="array" ref="O26">_xlfn.IFS(N26="Não iniciado",0,N26="Em andamento",1,N26="Concluído",2,N26="Atrasado",3)</f>
        <v>2</v>
      </c>
      <c r="P26" s="172"/>
      <c r="Q26" s="173">
        <f t="shared" ref="Q26:AV26" si="19">AVERAGE(Q27,Q36,Q38)</f>
        <v>1</v>
      </c>
      <c r="R26" s="173">
        <f t="shared" si="19"/>
        <v>1</v>
      </c>
      <c r="S26" s="173">
        <f t="shared" si="19"/>
        <v>0</v>
      </c>
      <c r="T26" s="173">
        <f t="shared" si="19"/>
        <v>0</v>
      </c>
      <c r="U26" s="173">
        <f t="shared" si="19"/>
        <v>0</v>
      </c>
      <c r="V26" s="173">
        <f t="shared" si="19"/>
        <v>0.2377450980392157</v>
      </c>
      <c r="W26" s="173">
        <f t="shared" si="19"/>
        <v>0.76225490196078438</v>
      </c>
      <c r="X26" s="173">
        <f t="shared" si="19"/>
        <v>1</v>
      </c>
      <c r="Y26" s="173">
        <f t="shared" si="19"/>
        <v>1</v>
      </c>
      <c r="Z26" s="173">
        <f t="shared" si="19"/>
        <v>1</v>
      </c>
      <c r="AA26" s="173">
        <f t="shared" si="19"/>
        <v>1</v>
      </c>
      <c r="AB26" s="173">
        <f t="shared" si="19"/>
        <v>1</v>
      </c>
      <c r="AC26" s="173">
        <f t="shared" si="19"/>
        <v>1</v>
      </c>
      <c r="AD26" s="173">
        <f t="shared" si="19"/>
        <v>1</v>
      </c>
      <c r="AE26" s="173">
        <f t="shared" si="19"/>
        <v>1</v>
      </c>
      <c r="AF26" s="173">
        <f t="shared" si="19"/>
        <v>1</v>
      </c>
      <c r="AG26" s="173">
        <f t="shared" si="19"/>
        <v>1</v>
      </c>
      <c r="AH26" s="173">
        <f t="shared" si="19"/>
        <v>1</v>
      </c>
      <c r="AI26" s="173">
        <f t="shared" si="19"/>
        <v>1</v>
      </c>
      <c r="AJ26" s="173">
        <f t="shared" si="19"/>
        <v>1</v>
      </c>
      <c r="AK26" s="173">
        <f t="shared" si="19"/>
        <v>1</v>
      </c>
      <c r="AL26" s="173">
        <f t="shared" si="19"/>
        <v>1</v>
      </c>
      <c r="AM26" s="173">
        <f t="shared" si="19"/>
        <v>1</v>
      </c>
      <c r="AN26" s="173">
        <f t="shared" si="19"/>
        <v>1</v>
      </c>
      <c r="AO26" s="173">
        <f t="shared" si="19"/>
        <v>1</v>
      </c>
      <c r="AP26" s="173">
        <f t="shared" si="19"/>
        <v>1</v>
      </c>
      <c r="AQ26" s="173">
        <f t="shared" si="19"/>
        <v>1</v>
      </c>
      <c r="AR26" s="173">
        <f t="shared" si="19"/>
        <v>1</v>
      </c>
      <c r="AS26" s="173">
        <f t="shared" si="19"/>
        <v>1</v>
      </c>
      <c r="AT26" s="173">
        <f t="shared" si="19"/>
        <v>1</v>
      </c>
      <c r="AU26" s="173">
        <f t="shared" si="19"/>
        <v>1</v>
      </c>
      <c r="AV26" s="173">
        <f t="shared" si="19"/>
        <v>1</v>
      </c>
      <c r="AW26" s="173">
        <f t="shared" ref="AW26:BN26" si="20">AVERAGE(AW27,AW36,AW38)</f>
        <v>1</v>
      </c>
      <c r="AX26" s="173">
        <f t="shared" si="20"/>
        <v>1</v>
      </c>
      <c r="AY26" s="173">
        <f t="shared" si="20"/>
        <v>1</v>
      </c>
      <c r="AZ26" s="173">
        <f t="shared" si="20"/>
        <v>1</v>
      </c>
      <c r="BA26" s="173">
        <f t="shared" si="20"/>
        <v>1</v>
      </c>
      <c r="BB26" s="173">
        <f t="shared" si="20"/>
        <v>1</v>
      </c>
      <c r="BC26" s="173">
        <f t="shared" si="20"/>
        <v>1</v>
      </c>
      <c r="BD26" s="173">
        <f t="shared" si="20"/>
        <v>1</v>
      </c>
      <c r="BE26" s="173">
        <f t="shared" si="20"/>
        <v>1</v>
      </c>
      <c r="BF26" s="173">
        <f t="shared" si="20"/>
        <v>1</v>
      </c>
      <c r="BG26" s="173">
        <f t="shared" si="20"/>
        <v>1</v>
      </c>
      <c r="BH26" s="173">
        <f t="shared" si="20"/>
        <v>1</v>
      </c>
      <c r="BI26" s="173">
        <f t="shared" si="20"/>
        <v>1</v>
      </c>
      <c r="BJ26" s="173">
        <f t="shared" si="20"/>
        <v>1</v>
      </c>
      <c r="BK26" s="173">
        <f t="shared" si="20"/>
        <v>1</v>
      </c>
      <c r="BL26" s="173">
        <f t="shared" si="20"/>
        <v>1</v>
      </c>
      <c r="BM26" s="173">
        <f t="shared" si="20"/>
        <v>1</v>
      </c>
      <c r="BN26" s="173">
        <f t="shared" si="20"/>
        <v>1</v>
      </c>
    </row>
    <row r="27" spans="2:66" s="46" customFormat="1" ht="15" customHeight="1" x14ac:dyDescent="0.3">
      <c r="B27" s="174" t="str">
        <f t="array" ref="B27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27" s="174" t="s">
        <v>102</v>
      </c>
      <c r="D27" s="177" t="str">
        <f t="shared" si="2"/>
        <v>Arquitetura de projetos GERDAU</v>
      </c>
      <c r="E27" s="170" t="str">
        <f t="shared" si="12"/>
        <v>Definição da Estratégia para Transformação dos Processos</v>
      </c>
      <c r="F27" s="174" t="str">
        <f t="shared" ref="F27:F39" si="21">$H$26</f>
        <v>Entendimento Inicial dos Processos</v>
      </c>
      <c r="G27" s="174" t="s">
        <v>74</v>
      </c>
      <c r="H27" s="195" t="s">
        <v>103</v>
      </c>
      <c r="I27" s="174">
        <f>MIN(I28)</f>
        <v>45706</v>
      </c>
      <c r="J27" s="174">
        <f>MAX(J28)</f>
        <v>45708</v>
      </c>
      <c r="K27" s="174">
        <f>MIN(K28)</f>
        <v>45706</v>
      </c>
      <c r="L27" s="174">
        <f>MAX(L28)</f>
        <v>45708</v>
      </c>
      <c r="M27" s="175"/>
      <c r="N27" s="175" t="str">
        <f t="array" ref="N27">_xlfn.IFS(L27&lt;$M$3,"Concluído",AND(K27&gt;=$M$3,I27&lt;$M$3,L27&gt;$M$3),"Em andamento",AND(L27&gt;=$M$3,J27&lt;$M$3),"Atrasado",AND(L27&gt;=$M$3,J27&gt;=$M$3,I27&gt;$M$3,K27&lt;=$M$3),"Em andamento",AND(L27&gt;=$M$3,J27&gt;=$M$3,I27&lt;=$M$3,K27&lt;=$M$3),"Em andamento",AND(K27&gt;$M$3,I27&gt;$M$3),"Não iniciado",AND(L27&gt;=$M$3,J27&gt;=$M$3,K27&gt;=$M$3,I27&lt;$M$3),"Atrasado",AND(L27&gt;=$M$3,J27&gt;=$M$3,K27&gt;=$M$3,I27&gt;$M$3),"Não iniciado",AND($I27&lt;=$M$3,$K27&gt;$M$3),"Atrasado")</f>
        <v>Concluído</v>
      </c>
      <c r="O27" s="175">
        <f t="array" ref="O27">_xlfn.IFS(N27="Não iniciado",0,N27="Em andamento",1,N27="Concluído",2,N27="Atrasado",3)</f>
        <v>2</v>
      </c>
      <c r="P27" s="176"/>
      <c r="Q27" s="156">
        <f>AVERAGE(Q28:Q34)</f>
        <v>1</v>
      </c>
      <c r="R27" s="156">
        <f>AVERAGE(R28:R28)</f>
        <v>1</v>
      </c>
      <c r="S27" s="205">
        <f t="shared" ref="S27:BN27" si="22">AVERAGE(S28:S35)</f>
        <v>0</v>
      </c>
      <c r="T27" s="205">
        <f t="shared" si="22"/>
        <v>0</v>
      </c>
      <c r="U27" s="205">
        <f t="shared" si="22"/>
        <v>0</v>
      </c>
      <c r="V27" s="205">
        <f t="shared" si="22"/>
        <v>0.125</v>
      </c>
      <c r="W27" s="205">
        <f t="shared" si="22"/>
        <v>0.875</v>
      </c>
      <c r="X27" s="205">
        <f t="shared" si="22"/>
        <v>1</v>
      </c>
      <c r="Y27" s="205">
        <f t="shared" si="22"/>
        <v>1</v>
      </c>
      <c r="Z27" s="205">
        <f t="shared" si="22"/>
        <v>1</v>
      </c>
      <c r="AA27" s="205">
        <f t="shared" si="22"/>
        <v>1</v>
      </c>
      <c r="AB27" s="205">
        <f t="shared" si="22"/>
        <v>1</v>
      </c>
      <c r="AC27" s="205">
        <f t="shared" si="22"/>
        <v>1</v>
      </c>
      <c r="AD27" s="205">
        <f t="shared" si="22"/>
        <v>1</v>
      </c>
      <c r="AE27" s="205">
        <f t="shared" si="22"/>
        <v>1</v>
      </c>
      <c r="AF27" s="205">
        <f t="shared" si="22"/>
        <v>1</v>
      </c>
      <c r="AG27" s="205">
        <f t="shared" si="22"/>
        <v>1</v>
      </c>
      <c r="AH27" s="205">
        <f t="shared" si="22"/>
        <v>1</v>
      </c>
      <c r="AI27" s="205">
        <f t="shared" si="22"/>
        <v>1</v>
      </c>
      <c r="AJ27" s="205">
        <f t="shared" si="22"/>
        <v>1</v>
      </c>
      <c r="AK27" s="205">
        <f t="shared" si="22"/>
        <v>1</v>
      </c>
      <c r="AL27" s="205">
        <f t="shared" si="22"/>
        <v>1</v>
      </c>
      <c r="AM27" s="205">
        <f t="shared" si="22"/>
        <v>1</v>
      </c>
      <c r="AN27" s="205">
        <f t="shared" si="22"/>
        <v>1</v>
      </c>
      <c r="AO27" s="205">
        <f t="shared" si="22"/>
        <v>1</v>
      </c>
      <c r="AP27" s="205">
        <f t="shared" si="22"/>
        <v>1</v>
      </c>
      <c r="AQ27" s="205">
        <f t="shared" si="22"/>
        <v>1</v>
      </c>
      <c r="AR27" s="205">
        <f t="shared" si="22"/>
        <v>1</v>
      </c>
      <c r="AS27" s="205">
        <f t="shared" si="22"/>
        <v>1</v>
      </c>
      <c r="AT27" s="205">
        <f t="shared" si="22"/>
        <v>1</v>
      </c>
      <c r="AU27" s="205">
        <f t="shared" si="22"/>
        <v>1</v>
      </c>
      <c r="AV27" s="205">
        <f t="shared" si="22"/>
        <v>1</v>
      </c>
      <c r="AW27" s="205">
        <f t="shared" si="22"/>
        <v>1</v>
      </c>
      <c r="AX27" s="205">
        <f t="shared" si="22"/>
        <v>1</v>
      </c>
      <c r="AY27" s="205">
        <f t="shared" si="22"/>
        <v>1</v>
      </c>
      <c r="AZ27" s="205">
        <f t="shared" si="22"/>
        <v>1</v>
      </c>
      <c r="BA27" s="205">
        <f t="shared" si="22"/>
        <v>1</v>
      </c>
      <c r="BB27" s="205">
        <f t="shared" si="22"/>
        <v>1</v>
      </c>
      <c r="BC27" s="205">
        <f t="shared" si="22"/>
        <v>1</v>
      </c>
      <c r="BD27" s="205">
        <f t="shared" si="22"/>
        <v>1</v>
      </c>
      <c r="BE27" s="205">
        <f t="shared" si="22"/>
        <v>1</v>
      </c>
      <c r="BF27" s="205">
        <f t="shared" si="22"/>
        <v>1</v>
      </c>
      <c r="BG27" s="205">
        <f t="shared" si="22"/>
        <v>1</v>
      </c>
      <c r="BH27" s="205">
        <f t="shared" si="22"/>
        <v>1</v>
      </c>
      <c r="BI27" s="205">
        <f t="shared" si="22"/>
        <v>1</v>
      </c>
      <c r="BJ27" s="205">
        <f t="shared" si="22"/>
        <v>1</v>
      </c>
      <c r="BK27" s="205">
        <f t="shared" si="22"/>
        <v>1</v>
      </c>
      <c r="BL27" s="205">
        <f t="shared" si="22"/>
        <v>1</v>
      </c>
      <c r="BM27" s="205">
        <f t="shared" si="22"/>
        <v>1</v>
      </c>
      <c r="BN27" s="205">
        <f t="shared" si="22"/>
        <v>1</v>
      </c>
    </row>
    <row r="28" spans="2:66" s="163" customFormat="1" collapsed="1" x14ac:dyDescent="0.3">
      <c r="B28" s="166" t="str">
        <f t="array" ref="B28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28" s="166" t="s">
        <v>104</v>
      </c>
      <c r="D28" s="177" t="str">
        <f t="shared" si="2"/>
        <v>Arquitetura de projetos GERDAU</v>
      </c>
      <c r="E28" s="170" t="str">
        <f t="shared" si="12"/>
        <v>Definição da Estratégia para Transformação dos Processos</v>
      </c>
      <c r="F28" s="174" t="str">
        <f t="shared" si="21"/>
        <v>Entendimento Inicial dos Processos</v>
      </c>
      <c r="G28" s="166" t="str">
        <f t="shared" ref="G28:G35" si="23">$H$27</f>
        <v>Levantamento e categorização dos processos existentes</v>
      </c>
      <c r="H28" s="197" t="s">
        <v>105</v>
      </c>
      <c r="I28" s="166">
        <v>45706</v>
      </c>
      <c r="J28" s="40">
        <v>45708</v>
      </c>
      <c r="K28" s="166">
        <v>45706</v>
      </c>
      <c r="L28" s="40">
        <v>45708</v>
      </c>
      <c r="M28" s="167"/>
      <c r="N28" s="167" t="str">
        <f t="array" ref="N28">_xlfn.IFS(L28&lt;$M$3,"Concluído",AND(K28&gt;=$M$3,I28&lt;$M$3,L28&gt;$M$3),"Em andamento",AND(L28&gt;=$M$3,J28&lt;$M$3),"Atrasado",AND(L28&gt;=$M$3,J28&gt;=$M$3,I28&gt;$M$3,K28&lt;=$M$3),"Em andamento",AND(L28&gt;=$M$3,J28&gt;=$M$3,I28&lt;=$M$3,K28&lt;=$M$3),"Em andamento",AND(K28&gt;$M$3,I28&gt;$M$3),"Não iniciado",AND(L28&gt;=$M$3,J28&gt;=$M$3,K28&gt;=$M$3,I28&lt;$M$3),"Atrasado",AND(L28&gt;=$M$3,J28&gt;=$M$3,K28&gt;=$M$3,I28&gt;$M$3),"Não iniciado",AND($I28&lt;=$M$3,$K28&gt;$M$3),"Atrasado")</f>
        <v>Concluído</v>
      </c>
      <c r="O28" s="167">
        <f t="array" ref="O28">_xlfn.IFS(N28="Não iniciado",0,N28="Em andamento",1,N28="Concluído",2,N28="Atrasado",3)</f>
        <v>2</v>
      </c>
      <c r="P28" s="169"/>
      <c r="Q28" s="152">
        <f t="array" ref="Q28">_xlfn.IFS(AND($I28&lt;$M$3,$J28&lt;$M$3),1,AND($I28&lt;=$M$3,$J28&gt;=$M$3),0.5,AND($I28&gt;=$M$3,$J28&gt;=$M$3),0)</f>
        <v>1</v>
      </c>
      <c r="R28" s="152">
        <f t="array" ref="R28">_xlfn.IFS(AND($K28&lt;$M$3,$L28&lt;$M$3),1,AND($K28&lt;=$M$3,$L28&gt;=$M$3),0.5,AND($K28&gt;=$M$3,$L28&gt;=$M$3),0)</f>
        <v>1</v>
      </c>
      <c r="S28" s="201">
        <f t="array" ref="S28">_xlfn.IFS(AND($K28&gt;R$7,$L28&gt;R$7),0,AND($K28&lt;=R$7,$L28&lt;=R$7),1,AND($K28&lt;=R$7,$L28&gt;R$7),((R$7-$K28)/($L28-$K28)))</f>
        <v>0</v>
      </c>
      <c r="T28" s="201">
        <f t="array" ref="T28">_xlfn.IFS(AND($K28&gt;S$7,$L28&gt;S$7),0,AND($K28&lt;=S$7,$L28&lt;=S$7),1,AND($K28&lt;=S$7,$L28&gt;S$7),((S$7-$K28)/($L28-$K28)))</f>
        <v>0</v>
      </c>
      <c r="U28" s="201">
        <f t="array" ref="U28">_xlfn.IFS(AND($K28&gt;T$7,$L28&gt;T$7),0,AND($K28&lt;=T$7,$L28&lt;=T$7),1,AND($K28&lt;=T$7,$L28&gt;T$7),((T$7-$K28)/($L28-$K28)))</f>
        <v>0</v>
      </c>
      <c r="V28" s="201">
        <f t="array" ref="V28">_xlfn.IFS(AND($K28&gt;U$7,$L28&gt;U$7),0,AND($K28&lt;=U$7,$L28&lt;=U$7),1,AND($K28&lt;=U$7,$L28&gt;U$7),((U$7-$K28)/($L28-$K28)))</f>
        <v>1</v>
      </c>
      <c r="W28" s="201">
        <f t="array" ref="W28">_xlfn.IFS(AND($K28&gt;V$7,$L28&gt;V$7),0,AND($K28&lt;=V$7,$L28&lt;=V$7),1,AND($K28&lt;=V$7,$L28&gt;V$7),((V$7-$K28)/($L28-$K28)))</f>
        <v>1</v>
      </c>
      <c r="X28" s="201">
        <f t="array" ref="X28">_xlfn.IFS(AND($K28&gt;W$7,$L28&gt;W$7),0,AND($K28&lt;=W$7,$L28&lt;=W$7),1,AND($K28&lt;=W$7,$L28&gt;W$7),((W$7-$K28)/($L28-$K28)))</f>
        <v>1</v>
      </c>
      <c r="Y28" s="201">
        <f t="array" ref="Y28">_xlfn.IFS(AND($K28&gt;X$7,$L28&gt;X$7),0,AND($K28&lt;=X$7,$L28&lt;=X$7),1,AND($K28&lt;=X$7,$L28&gt;X$7),((X$7-$K28)/($L28-$K28)))</f>
        <v>1</v>
      </c>
      <c r="Z28" s="201">
        <f t="array" ref="Z28">_xlfn.IFS(AND($K28&gt;Y$7,$L28&gt;Y$7),0,AND($K28&lt;=Y$7,$L28&lt;=Y$7),1,AND($K28&lt;=Y$7,$L28&gt;Y$7),((Y$7-$K28)/($L28-$K28)))</f>
        <v>1</v>
      </c>
      <c r="AA28" s="201">
        <f t="array" ref="AA28">_xlfn.IFS(AND($K28&gt;Z$7,$L28&gt;Z$7),0,AND($K28&lt;=Z$7,$L28&lt;=Z$7),1,AND($K28&lt;=Z$7,$L28&gt;Z$7),((Z$7-$K28)/($L28-$K28)))</f>
        <v>1</v>
      </c>
      <c r="AB28" s="201">
        <f t="array" ref="AB28">_xlfn.IFS(AND($K28&gt;AA$7,$L28&gt;AA$7),0,AND($K28&lt;=AA$7,$L28&lt;=AA$7),1,AND($K28&lt;=AA$7,$L28&gt;AA$7),((AA$7-$K28)/($L28-$K28)))</f>
        <v>1</v>
      </c>
      <c r="AC28" s="201">
        <f t="array" ref="AC28">_xlfn.IFS(AND($K28&gt;AB$7,$L28&gt;AB$7),0,AND($K28&lt;=AB$7,$L28&lt;=AB$7),1,AND($K28&lt;=AB$7,$L28&gt;AB$7),((AB$7-$K28)/($L28-$K28)))</f>
        <v>1</v>
      </c>
      <c r="AD28" s="201">
        <f t="array" ref="AD28">_xlfn.IFS(AND($K28&gt;AC$7,$L28&gt;AC$7),0,AND($K28&lt;=AC$7,$L28&lt;=AC$7),1,AND($K28&lt;=AC$7,$L28&gt;AC$7),((AC$7-$K28)/($L28-$K28)))</f>
        <v>1</v>
      </c>
      <c r="AE28" s="201">
        <f t="array" ref="AE28">_xlfn.IFS(AND($K28&gt;AD$7,$L28&gt;AD$7),0,AND($K28&lt;=AD$7,$L28&lt;=AD$7),1,AND($K28&lt;=AD$7,$L28&gt;AD$7),((AD$7-$K28)/($L28-$K28)))</f>
        <v>1</v>
      </c>
      <c r="AF28" s="201">
        <f t="array" ref="AF28">_xlfn.IFS(AND($K28&gt;AE$7,$L28&gt;AE$7),0,AND($K28&lt;=AE$7,$L28&lt;=AE$7),1,AND($K28&lt;=AE$7,$L28&gt;AE$7),((AE$7-$K28)/($L28-$K28)))</f>
        <v>1</v>
      </c>
      <c r="AG28" s="201">
        <f t="array" ref="AG28">_xlfn.IFS(AND($K28&gt;AF$7,$L28&gt;AF$7),0,AND($K28&lt;=AF$7,$L28&lt;=AF$7),1,AND($K28&lt;=AF$7,$L28&gt;AF$7),((AF$7-$K28)/($L28-$K28)))</f>
        <v>1</v>
      </c>
      <c r="AH28" s="201">
        <f t="array" ref="AH28">_xlfn.IFS(AND($K28&gt;AG$7,$L28&gt;AG$7),0,AND($K28&lt;=AG$7,$L28&lt;=AG$7),1,AND($K28&lt;=AG$7,$L28&gt;AG$7),((AG$7-$K28)/($L28-$K28)))</f>
        <v>1</v>
      </c>
      <c r="AI28" s="201">
        <f t="array" ref="AI28">_xlfn.IFS(AND($K28&gt;AH$7,$L28&gt;AH$7),0,AND($K28&lt;=AH$7,$L28&lt;=AH$7),1,AND($K28&lt;=AH$7,$L28&gt;AH$7),((AH$7-$K28)/($L28-$K28)))</f>
        <v>1</v>
      </c>
      <c r="AJ28" s="201">
        <f t="array" ref="AJ28">_xlfn.IFS(AND($K28&gt;AI$7,$L28&gt;AI$7),0,AND($K28&lt;=AI$7,$L28&lt;=AI$7),1,AND($K28&lt;=AI$7,$L28&gt;AI$7),((AI$7-$K28)/($L28-$K28)))</f>
        <v>1</v>
      </c>
      <c r="AK28" s="201">
        <f t="array" ref="AK28">_xlfn.IFS(AND($K28&gt;AJ$7,$L28&gt;AJ$7),0,AND($K28&lt;=AJ$7,$L28&lt;=AJ$7),1,AND($K28&lt;=AJ$7,$L28&gt;AJ$7),((AJ$7-$K28)/($L28-$K28)))</f>
        <v>1</v>
      </c>
      <c r="AL28" s="201">
        <f t="array" ref="AL28">_xlfn.IFS(AND($K28&gt;AK$7,$L28&gt;AK$7),0,AND($K28&lt;=AK$7,$L28&lt;=AK$7),1,AND($K28&lt;=AK$7,$L28&gt;AK$7),((AK$7-$K28)/($L28-$K28)))</f>
        <v>1</v>
      </c>
      <c r="AM28" s="201">
        <f t="array" ref="AM28">_xlfn.IFS(AND($K28&gt;AL$7,$L28&gt;AL$7),0,AND($K28&lt;=AL$7,$L28&lt;=AL$7),1,AND($K28&lt;=AL$7,$L28&gt;AL$7),((AL$7-$K28)/($L28-$K28)))</f>
        <v>1</v>
      </c>
      <c r="AN28" s="201">
        <f t="array" ref="AN28">_xlfn.IFS(AND($K28&gt;AM$7,$L28&gt;AM$7),0,AND($K28&lt;=AM$7,$L28&lt;=AM$7),1,AND($K28&lt;=AM$7,$L28&gt;AM$7),((AM$7-$K28)/($L28-$K28)))</f>
        <v>1</v>
      </c>
      <c r="AO28" s="201">
        <f t="array" ref="AO28">_xlfn.IFS(AND($K28&gt;AN$7,$L28&gt;AN$7),0,AND($K28&lt;=AN$7,$L28&lt;=AN$7),1,AND($K28&lt;=AN$7,$L28&gt;AN$7),((AN$7-$K28)/($L28-$K28)))</f>
        <v>1</v>
      </c>
      <c r="AP28" s="201">
        <f t="array" ref="AP28">_xlfn.IFS(AND($K28&gt;AO$7,$L28&gt;AO$7),0,AND($K28&lt;=AO$7,$L28&lt;=AO$7),1,AND($K28&lt;=AO$7,$L28&gt;AO$7),((AO$7-$K28)/($L28-$K28)))</f>
        <v>1</v>
      </c>
      <c r="AQ28" s="201">
        <f t="array" ref="AQ28">_xlfn.IFS(AND($K28&gt;AP$7,$L28&gt;AP$7),0,AND($K28&lt;=AP$7,$L28&lt;=AP$7),1,AND($K28&lt;=AP$7,$L28&gt;AP$7),((AP$7-$K28)/($L28-$K28)))</f>
        <v>1</v>
      </c>
      <c r="AR28" s="201">
        <f t="array" ref="AR28">_xlfn.IFS(AND($K28&gt;AQ$7,$L28&gt;AQ$7),0,AND($K28&lt;=AQ$7,$L28&lt;=AQ$7),1,AND($K28&lt;=AQ$7,$L28&gt;AQ$7),((AQ$7-$K28)/($L28-$K28)))</f>
        <v>1</v>
      </c>
      <c r="AS28" s="201">
        <f t="array" ref="AS28">_xlfn.IFS(AND($K28&gt;AR$7,$L28&gt;AR$7),0,AND($K28&lt;=AR$7,$L28&lt;=AR$7),1,AND($K28&lt;=AR$7,$L28&gt;AR$7),((AR$7-$K28)/($L28-$K28)))</f>
        <v>1</v>
      </c>
      <c r="AT28" s="201">
        <f t="array" ref="AT28">_xlfn.IFS(AND($K28&gt;AS$7,$L28&gt;AS$7),0,AND($K28&lt;=AS$7,$L28&lt;=AS$7),1,AND($K28&lt;=AS$7,$L28&gt;AS$7),((AS$7-$K28)/($L28-$K28)))</f>
        <v>1</v>
      </c>
      <c r="AU28" s="201">
        <f t="array" ref="AU28">_xlfn.IFS(AND($K28&gt;AT$7,$L28&gt;AT$7),0,AND($K28&lt;=AT$7,$L28&lt;=AT$7),1,AND($K28&lt;=AT$7,$L28&gt;AT$7),((AT$7-$K28)/($L28-$K28)))</f>
        <v>1</v>
      </c>
      <c r="AV28" s="201">
        <f t="array" ref="AV28">_xlfn.IFS(AND($K28&gt;AU$7,$L28&gt;AU$7),0,AND($K28&lt;=AU$7,$L28&lt;=AU$7),1,AND($K28&lt;=AU$7,$L28&gt;AU$7),((AU$7-$K28)/($L28-$K28)))</f>
        <v>1</v>
      </c>
      <c r="AW28" s="201">
        <f t="array" ref="AW28">_xlfn.IFS(AND($K28&gt;AV$7,$L28&gt;AV$7),0,AND($K28&lt;=AV$7,$L28&lt;=AV$7),1,AND($K28&lt;=AV$7,$L28&gt;AV$7),((AV$7-$K28)/($L28-$K28)))</f>
        <v>1</v>
      </c>
      <c r="AX28" s="201">
        <f t="array" ref="AX28">_xlfn.IFS(AND($K28&gt;AW$7,$L28&gt;AW$7),0,AND($K28&lt;=AW$7,$L28&lt;=AW$7),1,AND($K28&lt;=AW$7,$L28&gt;AW$7),((AW$7-$K28)/($L28-$K28)))</f>
        <v>1</v>
      </c>
      <c r="AY28" s="201">
        <f t="array" ref="AY28">_xlfn.IFS(AND($K28&gt;AX$7,$L28&gt;AX$7),0,AND($K28&lt;=AX$7,$L28&lt;=AX$7),1,AND($K28&lt;=AX$7,$L28&gt;AX$7),((AX$7-$K28)/($L28-$K28)))</f>
        <v>1</v>
      </c>
      <c r="AZ28" s="201">
        <f t="array" ref="AZ28">_xlfn.IFS(AND($K28&gt;AY$7,$L28&gt;AY$7),0,AND($K28&lt;=AY$7,$L28&lt;=AY$7),1,AND($K28&lt;=AY$7,$L28&gt;AY$7),((AY$7-$K28)/($L28-$K28)))</f>
        <v>1</v>
      </c>
      <c r="BA28" s="201">
        <f t="array" ref="BA28">_xlfn.IFS(AND($K28&gt;AZ$7,$L28&gt;AZ$7),0,AND($K28&lt;=AZ$7,$L28&lt;=AZ$7),1,AND($K28&lt;=AZ$7,$L28&gt;AZ$7),((AZ$7-$K28)/($L28-$K28)))</f>
        <v>1</v>
      </c>
      <c r="BB28" s="201">
        <f t="array" ref="BB28">_xlfn.IFS(AND($K28&gt;BA$7,$L28&gt;BA$7),0,AND($K28&lt;=BA$7,$L28&lt;=BA$7),1,AND($K28&lt;=BA$7,$L28&gt;BA$7),((BA$7-$K28)/($L28-$K28)))</f>
        <v>1</v>
      </c>
      <c r="BC28" s="201">
        <f t="array" ref="BC28">_xlfn.IFS(AND($K28&gt;BB$7,$L28&gt;BB$7),0,AND($K28&lt;=BB$7,$L28&lt;=BB$7),1,AND($K28&lt;=BB$7,$L28&gt;BB$7),((BB$7-$K28)/($L28-$K28)))</f>
        <v>1</v>
      </c>
      <c r="BD28" s="201">
        <f t="array" ref="BD28">_xlfn.IFS(AND($K28&gt;BC$7,$L28&gt;BC$7),0,AND($K28&lt;=BC$7,$L28&lt;=BC$7),1,AND($K28&lt;=BC$7,$L28&gt;BC$7),((BC$7-$K28)/($L28-$K28)))</f>
        <v>1</v>
      </c>
      <c r="BE28" s="201">
        <f t="array" ref="BE28">_xlfn.IFS(AND($K28&gt;BD$7,$L28&gt;BD$7),0,AND($K28&lt;=BD$7,$L28&lt;=BD$7),1,AND($K28&lt;=BD$7,$L28&gt;BD$7),((BD$7-$K28)/($L28-$K28)))</f>
        <v>1</v>
      </c>
      <c r="BF28" s="201">
        <f t="array" ref="BF28">_xlfn.IFS(AND($K28&gt;BE$7,$L28&gt;BE$7),0,AND($K28&lt;=BE$7,$L28&lt;=BE$7),1,AND($K28&lt;=BE$7,$L28&gt;BE$7),((BE$7-$K28)/($L28-$K28)))</f>
        <v>1</v>
      </c>
      <c r="BG28" s="201">
        <f t="array" ref="BG28">_xlfn.IFS(AND($K28&gt;BF$7,$L28&gt;BF$7),0,AND($K28&lt;=BF$7,$L28&lt;=BF$7),1,AND($K28&lt;=BF$7,$L28&gt;BF$7),((BF$7-$K28)/($L28-$K28)))</f>
        <v>1</v>
      </c>
      <c r="BH28" s="201">
        <f t="array" ref="BH28">_xlfn.IFS(AND($K28&gt;BG$7,$L28&gt;BG$7),0,AND($K28&lt;=BG$7,$L28&lt;=BG$7),1,AND($K28&lt;=BG$7,$L28&gt;BG$7),((BG$7-$K28)/($L28-$K28)))</f>
        <v>1</v>
      </c>
      <c r="BI28" s="201">
        <f t="array" ref="BI28">_xlfn.IFS(AND($K28&gt;BH$7,$L28&gt;BH$7),0,AND($K28&lt;=BH$7,$L28&lt;=BH$7),1,AND($K28&lt;=BH$7,$L28&gt;BH$7),((BH$7-$K28)/($L28-$K28)))</f>
        <v>1</v>
      </c>
      <c r="BJ28" s="201">
        <f t="array" ref="BJ28">_xlfn.IFS(AND($K28&gt;BI$7,$L28&gt;BI$7),0,AND($K28&lt;=BI$7,$L28&lt;=BI$7),1,AND($K28&lt;=BI$7,$L28&gt;BI$7),((BI$7-$K28)/($L28-$K28)))</f>
        <v>1</v>
      </c>
      <c r="BK28" s="201">
        <f t="array" ref="BK28">_xlfn.IFS(AND($K28&gt;BJ$7,$L28&gt;BJ$7),0,AND($K28&lt;=BJ$7,$L28&lt;=BJ$7),1,AND($K28&lt;=BJ$7,$L28&gt;BJ$7),((BJ$7-$K28)/($L28-$K28)))</f>
        <v>1</v>
      </c>
      <c r="BL28" s="201">
        <f t="array" ref="BL28">_xlfn.IFS(AND($K28&gt;BK$7,$L28&gt;BK$7),0,AND($K28&lt;=BK$7,$L28&lt;=BK$7),1,AND($K28&lt;=BK$7,$L28&gt;BK$7),((BK$7-$K28)/($L28-$K28)))</f>
        <v>1</v>
      </c>
      <c r="BM28" s="201">
        <f t="array" ref="BM28">_xlfn.IFS(AND($K28&gt;BL$7,$L28&gt;BL$7),0,AND($K28&lt;=BL$7,$L28&lt;=BL$7),1,AND($K28&lt;=BL$7,$L28&gt;BL$7),((BL$7-$K28)/($L28-$K28)))</f>
        <v>1</v>
      </c>
      <c r="BN28" s="201">
        <f t="array" ref="BN28">_xlfn.IFS(AND($K28&gt;BM$7,$L28&gt;BM$7),0,AND($K28&lt;=BM$7,$L28&lt;=BM$7),1,AND($K28&lt;=BM$7,$L28&gt;BM$7),((BM$7-$K28)/($L28-$K28)))</f>
        <v>1</v>
      </c>
    </row>
    <row r="29" spans="2:66" s="163" customFormat="1" x14ac:dyDescent="0.3">
      <c r="B29" s="210" t="str">
        <f t="array" ref="B29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29" s="166" t="s">
        <v>106</v>
      </c>
      <c r="D29" s="177" t="str">
        <f t="shared" si="2"/>
        <v>Arquitetura de projetos GERDAU</v>
      </c>
      <c r="E29" s="170" t="str">
        <f t="shared" si="12"/>
        <v>Definição da Estratégia para Transformação dos Processos</v>
      </c>
      <c r="F29" s="174" t="str">
        <f t="shared" si="21"/>
        <v>Entendimento Inicial dos Processos</v>
      </c>
      <c r="G29" s="166" t="str">
        <f t="shared" si="23"/>
        <v>Levantamento e categorização dos processos existentes</v>
      </c>
      <c r="H29" s="197" t="s">
        <v>107</v>
      </c>
      <c r="I29" s="166">
        <v>45714</v>
      </c>
      <c r="J29" s="40">
        <v>45714</v>
      </c>
      <c r="K29" s="166">
        <v>45714</v>
      </c>
      <c r="L29" s="40">
        <v>45714</v>
      </c>
      <c r="M29" s="167"/>
      <c r="N29" s="167" t="str">
        <f t="array" ref="N29">_xlfn.IFS(L29&lt;$M$3,"Concluído",AND(K29&gt;=$M$3,I29&lt;$M$3,L29&gt;$M$3),"Em andamento",AND(L29&gt;=$M$3,J29&lt;$M$3),"Atrasado",AND(L29&gt;=$M$3,J29&gt;=$M$3,I29&gt;$M$3,K29&lt;=$M$3),"Em andamento",AND(L29&gt;=$M$3,J29&gt;=$M$3,I29&lt;=$M$3,K29&lt;=$M$3),"Em andamento",AND(K29&gt;$M$3,I29&gt;$M$3),"Não iniciado",AND(L29&gt;=$M$3,J29&gt;=$M$3,K29&gt;=$M$3,I29&lt;$M$3),"Atrasado",AND(L29&gt;=$M$3,J29&gt;=$M$3,K29&gt;=$M$3,I29&gt;$M$3),"Não iniciado",AND($I29&lt;=$M$3,$K29&gt;$M$3),"Atrasado")</f>
        <v>Concluído</v>
      </c>
      <c r="O29" s="167">
        <f t="array" ref="O29">_xlfn.IFS(N29="Não iniciado",0,N29="Em andamento",1,N29="Concluído",2,N29="Atrasado",3)</f>
        <v>2</v>
      </c>
      <c r="P29" s="169"/>
      <c r="Q29" s="152">
        <f t="array" ref="Q29">_xlfn.IFS(AND($I29&lt;$M$3,$J29&lt;$M$3),1,AND($I29&lt;=$M$3,$J29&gt;=$M$3),0.5,AND($I29&gt;=$M$3,$J29&gt;=$M$3),0)</f>
        <v>1</v>
      </c>
      <c r="R29" s="152">
        <f t="array" ref="R29">_xlfn.IFS(AND($K29&lt;$M$3,$L29&lt;$M$3),1,AND($K29&lt;=$M$3,$L29&gt;=$M$3),0.5,AND($K29&gt;=$M$3,$L29&gt;=$M$3),0)</f>
        <v>1</v>
      </c>
      <c r="S29" s="201">
        <f t="array" ref="S29">_xlfn.IFS(AND($K29&gt;R$7,$L29&gt;R$7),0,AND($K29&lt;=R$7,$L29&lt;=R$7),1,AND($K29&lt;=R$7,$L29&gt;R$7),((R$7-$K29)/($L29-$K29)))</f>
        <v>0</v>
      </c>
      <c r="T29" s="201">
        <f t="array" ref="T29">_xlfn.IFS(AND($K29&gt;S$7,$L29&gt;S$7),0,AND($K29&lt;=S$7,$L29&lt;=S$7),1,AND($K29&lt;=S$7,$L29&gt;S$7),((S$7-$K29)/($L29-$K29)))</f>
        <v>0</v>
      </c>
      <c r="U29" s="201">
        <f t="array" ref="U29">_xlfn.IFS(AND($K29&gt;T$7,$L29&gt;T$7),0,AND($K29&lt;=T$7,$L29&lt;=T$7),1,AND($K29&lt;=T$7,$L29&gt;T$7),((T$7-$K29)/($L29-$K29)))</f>
        <v>0</v>
      </c>
      <c r="V29" s="201">
        <f t="array" ref="V29">_xlfn.IFS(AND($K29&gt;U$7,$L29&gt;U$7),0,AND($K29&lt;=U$7,$L29&lt;=U$7),1,AND($K29&lt;=U$7,$L29&gt;U$7),((U$7-$K29)/($L29-$K29)))</f>
        <v>0</v>
      </c>
      <c r="W29" s="201">
        <f t="array" ref="W29">_xlfn.IFS(AND($K29&gt;V$7,$L29&gt;V$7),0,AND($K29&lt;=V$7,$L29&lt;=V$7),1,AND($K29&lt;=V$7,$L29&gt;V$7),((V$7-$K29)/($L29-$K29)))</f>
        <v>1</v>
      </c>
      <c r="X29" s="201">
        <f t="array" ref="X29">_xlfn.IFS(AND($K29&gt;W$7,$L29&gt;W$7),0,AND($K29&lt;=W$7,$L29&lt;=W$7),1,AND($K29&lt;=W$7,$L29&gt;W$7),((W$7-$K29)/($L29-$K29)))</f>
        <v>1</v>
      </c>
      <c r="Y29" s="201">
        <f t="array" ref="Y29">_xlfn.IFS(AND($K29&gt;X$7,$L29&gt;X$7),0,AND($K29&lt;=X$7,$L29&lt;=X$7),1,AND($K29&lt;=X$7,$L29&gt;X$7),((X$7-$K29)/($L29-$K29)))</f>
        <v>1</v>
      </c>
      <c r="Z29" s="201">
        <f t="array" ref="Z29">_xlfn.IFS(AND($K29&gt;Y$7,$L29&gt;Y$7),0,AND($K29&lt;=Y$7,$L29&lt;=Y$7),1,AND($K29&lt;=Y$7,$L29&gt;Y$7),((Y$7-$K29)/($L29-$K29)))</f>
        <v>1</v>
      </c>
      <c r="AA29" s="201">
        <f t="array" ref="AA29">_xlfn.IFS(AND($K29&gt;Z$7,$L29&gt;Z$7),0,AND($K29&lt;=Z$7,$L29&lt;=Z$7),1,AND($K29&lt;=Z$7,$L29&gt;Z$7),((Z$7-$K29)/($L29-$K29)))</f>
        <v>1</v>
      </c>
      <c r="AB29" s="201">
        <f t="array" ref="AB29">_xlfn.IFS(AND($K29&gt;AA$7,$L29&gt;AA$7),0,AND($K29&lt;=AA$7,$L29&lt;=AA$7),1,AND($K29&lt;=AA$7,$L29&gt;AA$7),((AA$7-$K29)/($L29-$K29)))</f>
        <v>1</v>
      </c>
      <c r="AC29" s="201">
        <f t="array" ref="AC29">_xlfn.IFS(AND($K29&gt;AB$7,$L29&gt;AB$7),0,AND($K29&lt;=AB$7,$L29&lt;=AB$7),1,AND($K29&lt;=AB$7,$L29&gt;AB$7),((AB$7-$K29)/($L29-$K29)))</f>
        <v>1</v>
      </c>
      <c r="AD29" s="201">
        <f t="array" ref="AD29">_xlfn.IFS(AND($K29&gt;AC$7,$L29&gt;AC$7),0,AND($K29&lt;=AC$7,$L29&lt;=AC$7),1,AND($K29&lt;=AC$7,$L29&gt;AC$7),((AC$7-$K29)/($L29-$K29)))</f>
        <v>1</v>
      </c>
      <c r="AE29" s="201">
        <f t="array" ref="AE29">_xlfn.IFS(AND($K29&gt;AD$7,$L29&gt;AD$7),0,AND($K29&lt;=AD$7,$L29&lt;=AD$7),1,AND($K29&lt;=AD$7,$L29&gt;AD$7),((AD$7-$K29)/($L29-$K29)))</f>
        <v>1</v>
      </c>
      <c r="AF29" s="201">
        <f t="array" ref="AF29">_xlfn.IFS(AND($K29&gt;AE$7,$L29&gt;AE$7),0,AND($K29&lt;=AE$7,$L29&lt;=AE$7),1,AND($K29&lt;=AE$7,$L29&gt;AE$7),((AE$7-$K29)/($L29-$K29)))</f>
        <v>1</v>
      </c>
      <c r="AG29" s="201">
        <f t="array" ref="AG29">_xlfn.IFS(AND($K29&gt;AF$7,$L29&gt;AF$7),0,AND($K29&lt;=AF$7,$L29&lt;=AF$7),1,AND($K29&lt;=AF$7,$L29&gt;AF$7),((AF$7-$K29)/($L29-$K29)))</f>
        <v>1</v>
      </c>
      <c r="AH29" s="201">
        <f t="array" ref="AH29">_xlfn.IFS(AND($K29&gt;AG$7,$L29&gt;AG$7),0,AND($K29&lt;=AG$7,$L29&lt;=AG$7),1,AND($K29&lt;=AG$7,$L29&gt;AG$7),((AG$7-$K29)/($L29-$K29)))</f>
        <v>1</v>
      </c>
      <c r="AI29" s="201">
        <f t="array" ref="AI29">_xlfn.IFS(AND($K29&gt;AH$7,$L29&gt;AH$7),0,AND($K29&lt;=AH$7,$L29&lt;=AH$7),1,AND($K29&lt;=AH$7,$L29&gt;AH$7),((AH$7-$K29)/($L29-$K29)))</f>
        <v>1</v>
      </c>
      <c r="AJ29" s="201">
        <f t="array" ref="AJ29">_xlfn.IFS(AND($K29&gt;AI$7,$L29&gt;AI$7),0,AND($K29&lt;=AI$7,$L29&lt;=AI$7),1,AND($K29&lt;=AI$7,$L29&gt;AI$7),((AI$7-$K29)/($L29-$K29)))</f>
        <v>1</v>
      </c>
      <c r="AK29" s="201">
        <f t="array" ref="AK29">_xlfn.IFS(AND($K29&gt;AJ$7,$L29&gt;AJ$7),0,AND($K29&lt;=AJ$7,$L29&lt;=AJ$7),1,AND($K29&lt;=AJ$7,$L29&gt;AJ$7),((AJ$7-$K29)/($L29-$K29)))</f>
        <v>1</v>
      </c>
      <c r="AL29" s="201">
        <f t="array" ref="AL29">_xlfn.IFS(AND($K29&gt;AK$7,$L29&gt;AK$7),0,AND($K29&lt;=AK$7,$L29&lt;=AK$7),1,AND($K29&lt;=AK$7,$L29&gt;AK$7),((AK$7-$K29)/($L29-$K29)))</f>
        <v>1</v>
      </c>
      <c r="AM29" s="201">
        <f t="array" ref="AM29">_xlfn.IFS(AND($K29&gt;AL$7,$L29&gt;AL$7),0,AND($K29&lt;=AL$7,$L29&lt;=AL$7),1,AND($K29&lt;=AL$7,$L29&gt;AL$7),((AL$7-$K29)/($L29-$K29)))</f>
        <v>1</v>
      </c>
      <c r="AN29" s="201">
        <f t="array" ref="AN29">_xlfn.IFS(AND($K29&gt;AM$7,$L29&gt;AM$7),0,AND($K29&lt;=AM$7,$L29&lt;=AM$7),1,AND($K29&lt;=AM$7,$L29&gt;AM$7),((AM$7-$K29)/($L29-$K29)))</f>
        <v>1</v>
      </c>
      <c r="AO29" s="201">
        <f t="array" ref="AO29">_xlfn.IFS(AND($K29&gt;AN$7,$L29&gt;AN$7),0,AND($K29&lt;=AN$7,$L29&lt;=AN$7),1,AND($K29&lt;=AN$7,$L29&gt;AN$7),((AN$7-$K29)/($L29-$K29)))</f>
        <v>1</v>
      </c>
      <c r="AP29" s="201">
        <f t="array" ref="AP29">_xlfn.IFS(AND($K29&gt;AO$7,$L29&gt;AO$7),0,AND($K29&lt;=AO$7,$L29&lt;=AO$7),1,AND($K29&lt;=AO$7,$L29&gt;AO$7),((AO$7-$K29)/($L29-$K29)))</f>
        <v>1</v>
      </c>
      <c r="AQ29" s="201">
        <f t="array" ref="AQ29">_xlfn.IFS(AND($K29&gt;AP$7,$L29&gt;AP$7),0,AND($K29&lt;=AP$7,$L29&lt;=AP$7),1,AND($K29&lt;=AP$7,$L29&gt;AP$7),((AP$7-$K29)/($L29-$K29)))</f>
        <v>1</v>
      </c>
      <c r="AR29" s="201">
        <f t="array" ref="AR29">_xlfn.IFS(AND($K29&gt;AQ$7,$L29&gt;AQ$7),0,AND($K29&lt;=AQ$7,$L29&lt;=AQ$7),1,AND($K29&lt;=AQ$7,$L29&gt;AQ$7),((AQ$7-$K29)/($L29-$K29)))</f>
        <v>1</v>
      </c>
      <c r="AS29" s="201">
        <f t="array" ref="AS29">_xlfn.IFS(AND($K29&gt;AR$7,$L29&gt;AR$7),0,AND($K29&lt;=AR$7,$L29&lt;=AR$7),1,AND($K29&lt;=AR$7,$L29&gt;AR$7),((AR$7-$K29)/($L29-$K29)))</f>
        <v>1</v>
      </c>
      <c r="AT29" s="201">
        <f t="array" ref="AT29">_xlfn.IFS(AND($K29&gt;AS$7,$L29&gt;AS$7),0,AND($K29&lt;=AS$7,$L29&lt;=AS$7),1,AND($K29&lt;=AS$7,$L29&gt;AS$7),((AS$7-$K29)/($L29-$K29)))</f>
        <v>1</v>
      </c>
      <c r="AU29" s="201">
        <f t="array" ref="AU29">_xlfn.IFS(AND($K29&gt;AT$7,$L29&gt;AT$7),0,AND($K29&lt;=AT$7,$L29&lt;=AT$7),1,AND($K29&lt;=AT$7,$L29&gt;AT$7),((AT$7-$K29)/($L29-$K29)))</f>
        <v>1</v>
      </c>
      <c r="AV29" s="201">
        <f t="array" ref="AV29">_xlfn.IFS(AND($K29&gt;AU$7,$L29&gt;AU$7),0,AND($K29&lt;=AU$7,$L29&lt;=AU$7),1,AND($K29&lt;=AU$7,$L29&gt;AU$7),((AU$7-$K29)/($L29-$K29)))</f>
        <v>1</v>
      </c>
      <c r="AW29" s="201">
        <f t="array" ref="AW29">_xlfn.IFS(AND($K29&gt;AV$7,$L29&gt;AV$7),0,AND($K29&lt;=AV$7,$L29&lt;=AV$7),1,AND($K29&lt;=AV$7,$L29&gt;AV$7),((AV$7-$K29)/($L29-$K29)))</f>
        <v>1</v>
      </c>
      <c r="AX29" s="201">
        <f t="array" ref="AX29">_xlfn.IFS(AND($K29&gt;AW$7,$L29&gt;AW$7),0,AND($K29&lt;=AW$7,$L29&lt;=AW$7),1,AND($K29&lt;=AW$7,$L29&gt;AW$7),((AW$7-$K29)/($L29-$K29)))</f>
        <v>1</v>
      </c>
      <c r="AY29" s="201">
        <f t="array" ref="AY29">_xlfn.IFS(AND($K29&gt;AX$7,$L29&gt;AX$7),0,AND($K29&lt;=AX$7,$L29&lt;=AX$7),1,AND($K29&lt;=AX$7,$L29&gt;AX$7),((AX$7-$K29)/($L29-$K29)))</f>
        <v>1</v>
      </c>
      <c r="AZ29" s="201">
        <f t="array" ref="AZ29">_xlfn.IFS(AND($K29&gt;AY$7,$L29&gt;AY$7),0,AND($K29&lt;=AY$7,$L29&lt;=AY$7),1,AND($K29&lt;=AY$7,$L29&gt;AY$7),((AY$7-$K29)/($L29-$K29)))</f>
        <v>1</v>
      </c>
      <c r="BA29" s="201">
        <f t="array" ref="BA29">_xlfn.IFS(AND($K29&gt;AZ$7,$L29&gt;AZ$7),0,AND($K29&lt;=AZ$7,$L29&lt;=AZ$7),1,AND($K29&lt;=AZ$7,$L29&gt;AZ$7),((AZ$7-$K29)/($L29-$K29)))</f>
        <v>1</v>
      </c>
      <c r="BB29" s="201">
        <f t="array" ref="BB29">_xlfn.IFS(AND($K29&gt;BA$7,$L29&gt;BA$7),0,AND($K29&lt;=BA$7,$L29&lt;=BA$7),1,AND($K29&lt;=BA$7,$L29&gt;BA$7),((BA$7-$K29)/($L29-$K29)))</f>
        <v>1</v>
      </c>
      <c r="BC29" s="201">
        <f t="array" ref="BC29">_xlfn.IFS(AND($K29&gt;BB$7,$L29&gt;BB$7),0,AND($K29&lt;=BB$7,$L29&lt;=BB$7),1,AND($K29&lt;=BB$7,$L29&gt;BB$7),((BB$7-$K29)/($L29-$K29)))</f>
        <v>1</v>
      </c>
      <c r="BD29" s="201">
        <f t="array" ref="BD29">_xlfn.IFS(AND($K29&gt;BC$7,$L29&gt;BC$7),0,AND($K29&lt;=BC$7,$L29&lt;=BC$7),1,AND($K29&lt;=BC$7,$L29&gt;BC$7),((BC$7-$K29)/($L29-$K29)))</f>
        <v>1</v>
      </c>
      <c r="BE29" s="201">
        <f t="array" ref="BE29">_xlfn.IFS(AND($K29&gt;BD$7,$L29&gt;BD$7),0,AND($K29&lt;=BD$7,$L29&lt;=BD$7),1,AND($K29&lt;=BD$7,$L29&gt;BD$7),((BD$7-$K29)/($L29-$K29)))</f>
        <v>1</v>
      </c>
      <c r="BF29" s="201">
        <f t="array" ref="BF29">_xlfn.IFS(AND($K29&gt;BE$7,$L29&gt;BE$7),0,AND($K29&lt;=BE$7,$L29&lt;=BE$7),1,AND($K29&lt;=BE$7,$L29&gt;BE$7),((BE$7-$K29)/($L29-$K29)))</f>
        <v>1</v>
      </c>
      <c r="BG29" s="201">
        <f t="array" ref="BG29">_xlfn.IFS(AND($K29&gt;BF$7,$L29&gt;BF$7),0,AND($K29&lt;=BF$7,$L29&lt;=BF$7),1,AND($K29&lt;=BF$7,$L29&gt;BF$7),((BF$7-$K29)/($L29-$K29)))</f>
        <v>1</v>
      </c>
      <c r="BH29" s="201">
        <f t="array" ref="BH29">_xlfn.IFS(AND($K29&gt;BG$7,$L29&gt;BG$7),0,AND($K29&lt;=BG$7,$L29&lt;=BG$7),1,AND($K29&lt;=BG$7,$L29&gt;BG$7),((BG$7-$K29)/($L29-$K29)))</f>
        <v>1</v>
      </c>
      <c r="BI29" s="201">
        <f t="array" ref="BI29">_xlfn.IFS(AND($K29&gt;BH$7,$L29&gt;BH$7),0,AND($K29&lt;=BH$7,$L29&lt;=BH$7),1,AND($K29&lt;=BH$7,$L29&gt;BH$7),((BH$7-$K29)/($L29-$K29)))</f>
        <v>1</v>
      </c>
      <c r="BJ29" s="201">
        <f t="array" ref="BJ29">_xlfn.IFS(AND($K29&gt;BI$7,$L29&gt;BI$7),0,AND($K29&lt;=BI$7,$L29&lt;=BI$7),1,AND($K29&lt;=BI$7,$L29&gt;BI$7),((BI$7-$K29)/($L29-$K29)))</f>
        <v>1</v>
      </c>
      <c r="BK29" s="201">
        <f t="array" ref="BK29">_xlfn.IFS(AND($K29&gt;BJ$7,$L29&gt;BJ$7),0,AND($K29&lt;=BJ$7,$L29&lt;=BJ$7),1,AND($K29&lt;=BJ$7,$L29&gt;BJ$7),((BJ$7-$K29)/($L29-$K29)))</f>
        <v>1</v>
      </c>
      <c r="BL29" s="201">
        <f t="array" ref="BL29">_xlfn.IFS(AND($K29&gt;BK$7,$L29&gt;BK$7),0,AND($K29&lt;=BK$7,$L29&lt;=BK$7),1,AND($K29&lt;=BK$7,$L29&gt;BK$7),((BK$7-$K29)/($L29-$K29)))</f>
        <v>1</v>
      </c>
      <c r="BM29" s="201">
        <f t="array" ref="BM29">_xlfn.IFS(AND($K29&gt;BL$7,$L29&gt;BL$7),0,AND($K29&lt;=BL$7,$L29&lt;=BL$7),1,AND($K29&lt;=BL$7,$L29&gt;BL$7),((BL$7-$K29)/($L29-$K29)))</f>
        <v>1</v>
      </c>
      <c r="BN29" s="201">
        <f t="array" ref="BN29">_xlfn.IFS(AND($K29&gt;BM$7,$L29&gt;BM$7),0,AND($K29&lt;=BM$7,$L29&lt;=BM$7),1,AND($K29&lt;=BM$7,$L29&gt;BM$7),((BM$7-$K29)/($L29-$K29)))</f>
        <v>1</v>
      </c>
    </row>
    <row r="30" spans="2:66" s="163" customFormat="1" x14ac:dyDescent="0.3">
      <c r="B30" s="210" t="str">
        <f t="array" ref="B30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30" s="166" t="s">
        <v>108</v>
      </c>
      <c r="D30" s="177" t="str">
        <f t="shared" si="2"/>
        <v>Arquitetura de projetos GERDAU</v>
      </c>
      <c r="E30" s="170" t="str">
        <f t="shared" si="12"/>
        <v>Definição da Estratégia para Transformação dos Processos</v>
      </c>
      <c r="F30" s="174" t="str">
        <f t="shared" si="21"/>
        <v>Entendimento Inicial dos Processos</v>
      </c>
      <c r="G30" s="166" t="str">
        <f t="shared" si="23"/>
        <v>Levantamento e categorização dos processos existentes</v>
      </c>
      <c r="H30" s="197" t="s">
        <v>109</v>
      </c>
      <c r="I30" s="166">
        <v>45715</v>
      </c>
      <c r="J30" s="40">
        <v>45715</v>
      </c>
      <c r="K30" s="166">
        <v>45715</v>
      </c>
      <c r="L30" s="40">
        <v>45715</v>
      </c>
      <c r="M30" s="167"/>
      <c r="N30" s="167" t="str">
        <f t="array" ref="N30">_xlfn.IFS(L30&lt;$M$3,"Concluído",AND(K30&gt;=$M$3,I30&lt;$M$3,L30&gt;$M$3),"Em andamento",AND(L30&gt;=$M$3,J30&lt;$M$3),"Atrasado",AND(L30&gt;=$M$3,J30&gt;=$M$3,I30&gt;$M$3,K30&lt;=$M$3),"Em andamento",AND(L30&gt;=$M$3,J30&gt;=$M$3,I30&lt;=$M$3,K30&lt;=$M$3),"Em andamento",AND(K30&gt;$M$3,I30&gt;$M$3),"Não iniciado",AND(L30&gt;=$M$3,J30&gt;=$M$3,K30&gt;=$M$3,I30&lt;$M$3),"Atrasado",AND(L30&gt;=$M$3,J30&gt;=$M$3,K30&gt;=$M$3,I30&gt;$M$3),"Não iniciado",AND($I30&lt;=$M$3,$K30&gt;$M$3),"Atrasado")</f>
        <v>Concluído</v>
      </c>
      <c r="O30" s="167">
        <f t="array" ref="O30">_xlfn.IFS(N30="Não iniciado",0,N30="Em andamento",1,N30="Concluído",2,N30="Atrasado",3)</f>
        <v>2</v>
      </c>
      <c r="P30" s="169"/>
      <c r="Q30" s="152">
        <f t="array" ref="Q30">_xlfn.IFS(AND($I30&lt;$M$3,$J30&lt;$M$3),1,AND($I30&lt;=$M$3,$J30&gt;=$M$3),0.5,AND($I30&gt;=$M$3,$J30&gt;=$M$3),0)</f>
        <v>1</v>
      </c>
      <c r="R30" s="152">
        <f t="array" ref="R30">_xlfn.IFS(AND($K30&lt;$M$3,$L30&lt;$M$3),1,AND($K30&lt;=$M$3,$L30&gt;=$M$3),0.5,AND($K30&gt;=$M$3,$L30&gt;=$M$3),0)</f>
        <v>1</v>
      </c>
      <c r="S30" s="201">
        <f t="array" ref="S30">_xlfn.IFS(AND($K30&gt;R$7,$L30&gt;R$7),0,AND($K30&lt;=R$7,$L30&lt;=R$7),1,AND($K30&lt;=R$7,$L30&gt;R$7),((R$7-$K30)/($L30-$K30)))</f>
        <v>0</v>
      </c>
      <c r="T30" s="201">
        <f t="array" ref="T30">_xlfn.IFS(AND($K30&gt;S$7,$L30&gt;S$7),0,AND($K30&lt;=S$7,$L30&lt;=S$7),1,AND($K30&lt;=S$7,$L30&gt;S$7),((S$7-$K30)/($L30-$K30)))</f>
        <v>0</v>
      </c>
      <c r="U30" s="201">
        <f t="array" ref="U30">_xlfn.IFS(AND($K30&gt;T$7,$L30&gt;T$7),0,AND($K30&lt;=T$7,$L30&lt;=T$7),1,AND($K30&lt;=T$7,$L30&gt;T$7),((T$7-$K30)/($L30-$K30)))</f>
        <v>0</v>
      </c>
      <c r="V30" s="201">
        <f t="array" ref="V30">_xlfn.IFS(AND($K30&gt;U$7,$L30&gt;U$7),0,AND($K30&lt;=U$7,$L30&lt;=U$7),1,AND($K30&lt;=U$7,$L30&gt;U$7),((U$7-$K30)/($L30-$K30)))</f>
        <v>0</v>
      </c>
      <c r="W30" s="201">
        <f t="array" ref="W30">_xlfn.IFS(AND($K30&gt;V$7,$L30&gt;V$7),0,AND($K30&lt;=V$7,$L30&lt;=V$7),1,AND($K30&lt;=V$7,$L30&gt;V$7),((V$7-$K30)/($L30-$K30)))</f>
        <v>1</v>
      </c>
      <c r="X30" s="201">
        <f t="array" ref="X30">_xlfn.IFS(AND($K30&gt;W$7,$L30&gt;W$7),0,AND($K30&lt;=W$7,$L30&lt;=W$7),1,AND($K30&lt;=W$7,$L30&gt;W$7),((W$7-$K30)/($L30-$K30)))</f>
        <v>1</v>
      </c>
      <c r="Y30" s="201">
        <f t="array" ref="Y30">_xlfn.IFS(AND($K30&gt;X$7,$L30&gt;X$7),0,AND($K30&lt;=X$7,$L30&lt;=X$7),1,AND($K30&lt;=X$7,$L30&gt;X$7),((X$7-$K30)/($L30-$K30)))</f>
        <v>1</v>
      </c>
      <c r="Z30" s="201">
        <f t="array" ref="Z30">_xlfn.IFS(AND($K30&gt;Y$7,$L30&gt;Y$7),0,AND($K30&lt;=Y$7,$L30&lt;=Y$7),1,AND($K30&lt;=Y$7,$L30&gt;Y$7),((Y$7-$K30)/($L30-$K30)))</f>
        <v>1</v>
      </c>
      <c r="AA30" s="201">
        <f t="array" ref="AA30">_xlfn.IFS(AND($K30&gt;Z$7,$L30&gt;Z$7),0,AND($K30&lt;=Z$7,$L30&lt;=Z$7),1,AND($K30&lt;=Z$7,$L30&gt;Z$7),((Z$7-$K30)/($L30-$K30)))</f>
        <v>1</v>
      </c>
      <c r="AB30" s="201">
        <f t="array" ref="AB30">_xlfn.IFS(AND($K30&gt;AA$7,$L30&gt;AA$7),0,AND($K30&lt;=AA$7,$L30&lt;=AA$7),1,AND($K30&lt;=AA$7,$L30&gt;AA$7),((AA$7-$K30)/($L30-$K30)))</f>
        <v>1</v>
      </c>
      <c r="AC30" s="201">
        <f t="array" ref="AC30">_xlfn.IFS(AND($K30&gt;AB$7,$L30&gt;AB$7),0,AND($K30&lt;=AB$7,$L30&lt;=AB$7),1,AND($K30&lt;=AB$7,$L30&gt;AB$7),((AB$7-$K30)/($L30-$K30)))</f>
        <v>1</v>
      </c>
      <c r="AD30" s="201">
        <f t="array" ref="AD30">_xlfn.IFS(AND($K30&gt;AC$7,$L30&gt;AC$7),0,AND($K30&lt;=AC$7,$L30&lt;=AC$7),1,AND($K30&lt;=AC$7,$L30&gt;AC$7),((AC$7-$K30)/($L30-$K30)))</f>
        <v>1</v>
      </c>
      <c r="AE30" s="201">
        <f t="array" ref="AE30">_xlfn.IFS(AND($K30&gt;AD$7,$L30&gt;AD$7),0,AND($K30&lt;=AD$7,$L30&lt;=AD$7),1,AND($K30&lt;=AD$7,$L30&gt;AD$7),((AD$7-$K30)/($L30-$K30)))</f>
        <v>1</v>
      </c>
      <c r="AF30" s="201">
        <f t="array" ref="AF30">_xlfn.IFS(AND($K30&gt;AE$7,$L30&gt;AE$7),0,AND($K30&lt;=AE$7,$L30&lt;=AE$7),1,AND($K30&lt;=AE$7,$L30&gt;AE$7),((AE$7-$K30)/($L30-$K30)))</f>
        <v>1</v>
      </c>
      <c r="AG30" s="201">
        <f t="array" ref="AG30">_xlfn.IFS(AND($K30&gt;AF$7,$L30&gt;AF$7),0,AND($K30&lt;=AF$7,$L30&lt;=AF$7),1,AND($K30&lt;=AF$7,$L30&gt;AF$7),((AF$7-$K30)/($L30-$K30)))</f>
        <v>1</v>
      </c>
      <c r="AH30" s="201">
        <f t="array" ref="AH30">_xlfn.IFS(AND($K30&gt;AG$7,$L30&gt;AG$7),0,AND($K30&lt;=AG$7,$L30&lt;=AG$7),1,AND($K30&lt;=AG$7,$L30&gt;AG$7),((AG$7-$K30)/($L30-$K30)))</f>
        <v>1</v>
      </c>
      <c r="AI30" s="201">
        <f t="array" ref="AI30">_xlfn.IFS(AND($K30&gt;AH$7,$L30&gt;AH$7),0,AND($K30&lt;=AH$7,$L30&lt;=AH$7),1,AND($K30&lt;=AH$7,$L30&gt;AH$7),((AH$7-$K30)/($L30-$K30)))</f>
        <v>1</v>
      </c>
      <c r="AJ30" s="201">
        <f t="array" ref="AJ30">_xlfn.IFS(AND($K30&gt;AI$7,$L30&gt;AI$7),0,AND($K30&lt;=AI$7,$L30&lt;=AI$7),1,AND($K30&lt;=AI$7,$L30&gt;AI$7),((AI$7-$K30)/($L30-$K30)))</f>
        <v>1</v>
      </c>
      <c r="AK30" s="201">
        <f t="array" ref="AK30">_xlfn.IFS(AND($K30&gt;AJ$7,$L30&gt;AJ$7),0,AND($K30&lt;=AJ$7,$L30&lt;=AJ$7),1,AND($K30&lt;=AJ$7,$L30&gt;AJ$7),((AJ$7-$K30)/($L30-$K30)))</f>
        <v>1</v>
      </c>
      <c r="AL30" s="201">
        <f t="array" ref="AL30">_xlfn.IFS(AND($K30&gt;AK$7,$L30&gt;AK$7),0,AND($K30&lt;=AK$7,$L30&lt;=AK$7),1,AND($K30&lt;=AK$7,$L30&gt;AK$7),((AK$7-$K30)/($L30-$K30)))</f>
        <v>1</v>
      </c>
      <c r="AM30" s="201">
        <f t="array" ref="AM30">_xlfn.IFS(AND($K30&gt;AL$7,$L30&gt;AL$7),0,AND($K30&lt;=AL$7,$L30&lt;=AL$7),1,AND($K30&lt;=AL$7,$L30&gt;AL$7),((AL$7-$K30)/($L30-$K30)))</f>
        <v>1</v>
      </c>
      <c r="AN30" s="201">
        <f t="array" ref="AN30">_xlfn.IFS(AND($K30&gt;AM$7,$L30&gt;AM$7),0,AND($K30&lt;=AM$7,$L30&lt;=AM$7),1,AND($K30&lt;=AM$7,$L30&gt;AM$7),((AM$7-$K30)/($L30-$K30)))</f>
        <v>1</v>
      </c>
      <c r="AO30" s="201">
        <f t="array" ref="AO30">_xlfn.IFS(AND($K30&gt;AN$7,$L30&gt;AN$7),0,AND($K30&lt;=AN$7,$L30&lt;=AN$7),1,AND($K30&lt;=AN$7,$L30&gt;AN$7),((AN$7-$K30)/($L30-$K30)))</f>
        <v>1</v>
      </c>
      <c r="AP30" s="201">
        <f t="array" ref="AP30">_xlfn.IFS(AND($K30&gt;AO$7,$L30&gt;AO$7),0,AND($K30&lt;=AO$7,$L30&lt;=AO$7),1,AND($K30&lt;=AO$7,$L30&gt;AO$7),((AO$7-$K30)/($L30-$K30)))</f>
        <v>1</v>
      </c>
      <c r="AQ30" s="201">
        <f t="array" ref="AQ30">_xlfn.IFS(AND($K30&gt;AP$7,$L30&gt;AP$7),0,AND($K30&lt;=AP$7,$L30&lt;=AP$7),1,AND($K30&lt;=AP$7,$L30&gt;AP$7),((AP$7-$K30)/($L30-$K30)))</f>
        <v>1</v>
      </c>
      <c r="AR30" s="201">
        <f t="array" ref="AR30">_xlfn.IFS(AND($K30&gt;AQ$7,$L30&gt;AQ$7),0,AND($K30&lt;=AQ$7,$L30&lt;=AQ$7),1,AND($K30&lt;=AQ$7,$L30&gt;AQ$7),((AQ$7-$K30)/($L30-$K30)))</f>
        <v>1</v>
      </c>
      <c r="AS30" s="201">
        <f t="array" ref="AS30">_xlfn.IFS(AND($K30&gt;AR$7,$L30&gt;AR$7),0,AND($K30&lt;=AR$7,$L30&lt;=AR$7),1,AND($K30&lt;=AR$7,$L30&gt;AR$7),((AR$7-$K30)/($L30-$K30)))</f>
        <v>1</v>
      </c>
      <c r="AT30" s="201">
        <f t="array" ref="AT30">_xlfn.IFS(AND($K30&gt;AS$7,$L30&gt;AS$7),0,AND($K30&lt;=AS$7,$L30&lt;=AS$7),1,AND($K30&lt;=AS$7,$L30&gt;AS$7),((AS$7-$K30)/($L30-$K30)))</f>
        <v>1</v>
      </c>
      <c r="AU30" s="201">
        <f t="array" ref="AU30">_xlfn.IFS(AND($K30&gt;AT$7,$L30&gt;AT$7),0,AND($K30&lt;=AT$7,$L30&lt;=AT$7),1,AND($K30&lt;=AT$7,$L30&gt;AT$7),((AT$7-$K30)/($L30-$K30)))</f>
        <v>1</v>
      </c>
      <c r="AV30" s="201">
        <f t="array" ref="AV30">_xlfn.IFS(AND($K30&gt;AU$7,$L30&gt;AU$7),0,AND($K30&lt;=AU$7,$L30&lt;=AU$7),1,AND($K30&lt;=AU$7,$L30&gt;AU$7),((AU$7-$K30)/($L30-$K30)))</f>
        <v>1</v>
      </c>
      <c r="AW30" s="201">
        <f t="array" ref="AW30">_xlfn.IFS(AND($K30&gt;AV$7,$L30&gt;AV$7),0,AND($K30&lt;=AV$7,$L30&lt;=AV$7),1,AND($K30&lt;=AV$7,$L30&gt;AV$7),((AV$7-$K30)/($L30-$K30)))</f>
        <v>1</v>
      </c>
      <c r="AX30" s="201">
        <f t="array" ref="AX30">_xlfn.IFS(AND($K30&gt;AW$7,$L30&gt;AW$7),0,AND($K30&lt;=AW$7,$L30&lt;=AW$7),1,AND($K30&lt;=AW$7,$L30&gt;AW$7),((AW$7-$K30)/($L30-$K30)))</f>
        <v>1</v>
      </c>
      <c r="AY30" s="201">
        <f t="array" ref="AY30">_xlfn.IFS(AND($K30&gt;AX$7,$L30&gt;AX$7),0,AND($K30&lt;=AX$7,$L30&lt;=AX$7),1,AND($K30&lt;=AX$7,$L30&gt;AX$7),((AX$7-$K30)/($L30-$K30)))</f>
        <v>1</v>
      </c>
      <c r="AZ30" s="201">
        <f t="array" ref="AZ30">_xlfn.IFS(AND($K30&gt;AY$7,$L30&gt;AY$7),0,AND($K30&lt;=AY$7,$L30&lt;=AY$7),1,AND($K30&lt;=AY$7,$L30&gt;AY$7),((AY$7-$K30)/($L30-$K30)))</f>
        <v>1</v>
      </c>
      <c r="BA30" s="201">
        <f t="array" ref="BA30">_xlfn.IFS(AND($K30&gt;AZ$7,$L30&gt;AZ$7),0,AND($K30&lt;=AZ$7,$L30&lt;=AZ$7),1,AND($K30&lt;=AZ$7,$L30&gt;AZ$7),((AZ$7-$K30)/($L30-$K30)))</f>
        <v>1</v>
      </c>
      <c r="BB30" s="201">
        <f t="array" ref="BB30">_xlfn.IFS(AND($K30&gt;BA$7,$L30&gt;BA$7),0,AND($K30&lt;=BA$7,$L30&lt;=BA$7),1,AND($K30&lt;=BA$7,$L30&gt;BA$7),((BA$7-$K30)/($L30-$K30)))</f>
        <v>1</v>
      </c>
      <c r="BC30" s="201">
        <f t="array" ref="BC30">_xlfn.IFS(AND($K30&gt;BB$7,$L30&gt;BB$7),0,AND($K30&lt;=BB$7,$L30&lt;=BB$7),1,AND($K30&lt;=BB$7,$L30&gt;BB$7),((BB$7-$K30)/($L30-$K30)))</f>
        <v>1</v>
      </c>
      <c r="BD30" s="201">
        <f t="array" ref="BD30">_xlfn.IFS(AND($K30&gt;BC$7,$L30&gt;BC$7),0,AND($K30&lt;=BC$7,$L30&lt;=BC$7),1,AND($K30&lt;=BC$7,$L30&gt;BC$7),((BC$7-$K30)/($L30-$K30)))</f>
        <v>1</v>
      </c>
      <c r="BE30" s="201">
        <f t="array" ref="BE30">_xlfn.IFS(AND($K30&gt;BD$7,$L30&gt;BD$7),0,AND($K30&lt;=BD$7,$L30&lt;=BD$7),1,AND($K30&lt;=BD$7,$L30&gt;BD$7),((BD$7-$K30)/($L30-$K30)))</f>
        <v>1</v>
      </c>
      <c r="BF30" s="201">
        <f t="array" ref="BF30">_xlfn.IFS(AND($K30&gt;BE$7,$L30&gt;BE$7),0,AND($K30&lt;=BE$7,$L30&lt;=BE$7),1,AND($K30&lt;=BE$7,$L30&gt;BE$7),((BE$7-$K30)/($L30-$K30)))</f>
        <v>1</v>
      </c>
      <c r="BG30" s="201">
        <f t="array" ref="BG30">_xlfn.IFS(AND($K30&gt;BF$7,$L30&gt;BF$7),0,AND($K30&lt;=BF$7,$L30&lt;=BF$7),1,AND($K30&lt;=BF$7,$L30&gt;BF$7),((BF$7-$K30)/($L30-$K30)))</f>
        <v>1</v>
      </c>
      <c r="BH30" s="201">
        <f t="array" ref="BH30">_xlfn.IFS(AND($K30&gt;BG$7,$L30&gt;BG$7),0,AND($K30&lt;=BG$7,$L30&lt;=BG$7),1,AND($K30&lt;=BG$7,$L30&gt;BG$7),((BG$7-$K30)/($L30-$K30)))</f>
        <v>1</v>
      </c>
      <c r="BI30" s="201">
        <f t="array" ref="BI30">_xlfn.IFS(AND($K30&gt;BH$7,$L30&gt;BH$7),0,AND($K30&lt;=BH$7,$L30&lt;=BH$7),1,AND($K30&lt;=BH$7,$L30&gt;BH$7),((BH$7-$K30)/($L30-$K30)))</f>
        <v>1</v>
      </c>
      <c r="BJ30" s="201">
        <f t="array" ref="BJ30">_xlfn.IFS(AND($K30&gt;BI$7,$L30&gt;BI$7),0,AND($K30&lt;=BI$7,$L30&lt;=BI$7),1,AND($K30&lt;=BI$7,$L30&gt;BI$7),((BI$7-$K30)/($L30-$K30)))</f>
        <v>1</v>
      </c>
      <c r="BK30" s="201">
        <f t="array" ref="BK30">_xlfn.IFS(AND($K30&gt;BJ$7,$L30&gt;BJ$7),0,AND($K30&lt;=BJ$7,$L30&lt;=BJ$7),1,AND($K30&lt;=BJ$7,$L30&gt;BJ$7),((BJ$7-$K30)/($L30-$K30)))</f>
        <v>1</v>
      </c>
      <c r="BL30" s="201">
        <f t="array" ref="BL30">_xlfn.IFS(AND($K30&gt;BK$7,$L30&gt;BK$7),0,AND($K30&lt;=BK$7,$L30&lt;=BK$7),1,AND($K30&lt;=BK$7,$L30&gt;BK$7),((BK$7-$K30)/($L30-$K30)))</f>
        <v>1</v>
      </c>
      <c r="BM30" s="201">
        <f t="array" ref="BM30">_xlfn.IFS(AND($K30&gt;BL$7,$L30&gt;BL$7),0,AND($K30&lt;=BL$7,$L30&lt;=BL$7),1,AND($K30&lt;=BL$7,$L30&gt;BL$7),((BL$7-$K30)/($L30-$K30)))</f>
        <v>1</v>
      </c>
      <c r="BN30" s="201">
        <f t="array" ref="BN30">_xlfn.IFS(AND($K30&gt;BM$7,$L30&gt;BM$7),0,AND($K30&lt;=BM$7,$L30&lt;=BM$7),1,AND($K30&lt;=BM$7,$L30&gt;BM$7),((BM$7-$K30)/($L30-$K30)))</f>
        <v>1</v>
      </c>
    </row>
    <row r="31" spans="2:66" s="163" customFormat="1" x14ac:dyDescent="0.3">
      <c r="B31" s="210" t="str">
        <f t="array" ref="B31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31" s="166" t="s">
        <v>110</v>
      </c>
      <c r="D31" s="177" t="str">
        <f t="shared" si="2"/>
        <v>Arquitetura de projetos GERDAU</v>
      </c>
      <c r="E31" s="170" t="str">
        <f t="shared" si="12"/>
        <v>Definição da Estratégia para Transformação dos Processos</v>
      </c>
      <c r="F31" s="174" t="str">
        <f t="shared" si="21"/>
        <v>Entendimento Inicial dos Processos</v>
      </c>
      <c r="G31" s="166" t="str">
        <f t="shared" si="23"/>
        <v>Levantamento e categorização dos processos existentes</v>
      </c>
      <c r="H31" s="197" t="s">
        <v>111</v>
      </c>
      <c r="I31" s="166">
        <v>45713</v>
      </c>
      <c r="J31" s="40">
        <v>45713</v>
      </c>
      <c r="K31" s="166">
        <v>45713</v>
      </c>
      <c r="L31" s="40">
        <v>45713</v>
      </c>
      <c r="M31" s="167"/>
      <c r="N31" s="167" t="str">
        <f t="array" ref="N31">_xlfn.IFS(L31&lt;$M$3,"Concluído",AND(K31&gt;=$M$3,I31&lt;$M$3,L31&gt;$M$3),"Em andamento",AND(L31&gt;=$M$3,J31&lt;$M$3),"Atrasado",AND(L31&gt;=$M$3,J31&gt;=$M$3,I31&gt;$M$3,K31&lt;=$M$3),"Em andamento",AND(L31&gt;=$M$3,J31&gt;=$M$3,I31&lt;=$M$3,K31&lt;=$M$3),"Em andamento",AND(K31&gt;$M$3,I31&gt;$M$3),"Não iniciado",AND(L31&gt;=$M$3,J31&gt;=$M$3,K31&gt;=$M$3,I31&lt;$M$3),"Atrasado",AND(L31&gt;=$M$3,J31&gt;=$M$3,K31&gt;=$M$3,I31&gt;$M$3),"Não iniciado",AND($I31&lt;=$M$3,$K31&gt;$M$3),"Atrasado")</f>
        <v>Concluído</v>
      </c>
      <c r="O31" s="167">
        <f t="array" ref="O31">_xlfn.IFS(N31="Não iniciado",0,N31="Em andamento",1,N31="Concluído",2,N31="Atrasado",3)</f>
        <v>2</v>
      </c>
      <c r="P31" s="169"/>
      <c r="Q31" s="152">
        <f t="array" ref="Q31">_xlfn.IFS(AND($I31&lt;$M$3,$J31&lt;$M$3),1,AND($I31&lt;=$M$3,$J31&gt;=$M$3),0.5,AND($I31&gt;=$M$3,$J31&gt;=$M$3),0)</f>
        <v>1</v>
      </c>
      <c r="R31" s="152">
        <f t="array" ref="R31">_xlfn.IFS(AND($K31&lt;$M$3,$L31&lt;$M$3),1,AND($K31&lt;=$M$3,$L31&gt;=$M$3),0.5,AND($K31&gt;=$M$3,$L31&gt;=$M$3),0)</f>
        <v>1</v>
      </c>
      <c r="S31" s="201">
        <f t="array" ref="S31">_xlfn.IFS(AND($K31&gt;R$7,$L31&gt;R$7),0,AND($K31&lt;=R$7,$L31&lt;=R$7),1,AND($K31&lt;=R$7,$L31&gt;R$7),((R$7-$K31)/($L31-$K31)))</f>
        <v>0</v>
      </c>
      <c r="T31" s="201">
        <f t="array" ref="T31">_xlfn.IFS(AND($K31&gt;S$7,$L31&gt;S$7),0,AND($K31&lt;=S$7,$L31&lt;=S$7),1,AND($K31&lt;=S$7,$L31&gt;S$7),((S$7-$K31)/($L31-$K31)))</f>
        <v>0</v>
      </c>
      <c r="U31" s="201">
        <f t="array" ref="U31">_xlfn.IFS(AND($K31&gt;T$7,$L31&gt;T$7),0,AND($K31&lt;=T$7,$L31&lt;=T$7),1,AND($K31&lt;=T$7,$L31&gt;T$7),((T$7-$K31)/($L31-$K31)))</f>
        <v>0</v>
      </c>
      <c r="V31" s="201">
        <f t="array" ref="V31">_xlfn.IFS(AND($K31&gt;U$7,$L31&gt;U$7),0,AND($K31&lt;=U$7,$L31&lt;=U$7),1,AND($K31&lt;=U$7,$L31&gt;U$7),((U$7-$K31)/($L31-$K31)))</f>
        <v>0</v>
      </c>
      <c r="W31" s="201">
        <f t="array" ref="W31">_xlfn.IFS(AND($K31&gt;V$7,$L31&gt;V$7),0,AND($K31&lt;=V$7,$L31&lt;=V$7),1,AND($K31&lt;=V$7,$L31&gt;V$7),((V$7-$K31)/($L31-$K31)))</f>
        <v>1</v>
      </c>
      <c r="X31" s="201">
        <f t="array" ref="X31">_xlfn.IFS(AND($K31&gt;W$7,$L31&gt;W$7),0,AND($K31&lt;=W$7,$L31&lt;=W$7),1,AND($K31&lt;=W$7,$L31&gt;W$7),((W$7-$K31)/($L31-$K31)))</f>
        <v>1</v>
      </c>
      <c r="Y31" s="201">
        <f t="array" ref="Y31">_xlfn.IFS(AND($K31&gt;X$7,$L31&gt;X$7),0,AND($K31&lt;=X$7,$L31&lt;=X$7),1,AND($K31&lt;=X$7,$L31&gt;X$7),((X$7-$K31)/($L31-$K31)))</f>
        <v>1</v>
      </c>
      <c r="Z31" s="201">
        <f t="array" ref="Z31">_xlfn.IFS(AND($K31&gt;Y$7,$L31&gt;Y$7),0,AND($K31&lt;=Y$7,$L31&lt;=Y$7),1,AND($K31&lt;=Y$7,$L31&gt;Y$7),((Y$7-$K31)/($L31-$K31)))</f>
        <v>1</v>
      </c>
      <c r="AA31" s="201">
        <f t="array" ref="AA31">_xlfn.IFS(AND($K31&gt;Z$7,$L31&gt;Z$7),0,AND($K31&lt;=Z$7,$L31&lt;=Z$7),1,AND($K31&lt;=Z$7,$L31&gt;Z$7),((Z$7-$K31)/($L31-$K31)))</f>
        <v>1</v>
      </c>
      <c r="AB31" s="201">
        <f t="array" ref="AB31">_xlfn.IFS(AND($K31&gt;AA$7,$L31&gt;AA$7),0,AND($K31&lt;=AA$7,$L31&lt;=AA$7),1,AND($K31&lt;=AA$7,$L31&gt;AA$7),((AA$7-$K31)/($L31-$K31)))</f>
        <v>1</v>
      </c>
      <c r="AC31" s="201">
        <f t="array" ref="AC31">_xlfn.IFS(AND($K31&gt;AB$7,$L31&gt;AB$7),0,AND($K31&lt;=AB$7,$L31&lt;=AB$7),1,AND($K31&lt;=AB$7,$L31&gt;AB$7),((AB$7-$K31)/($L31-$K31)))</f>
        <v>1</v>
      </c>
      <c r="AD31" s="201">
        <f t="array" ref="AD31">_xlfn.IFS(AND($K31&gt;AC$7,$L31&gt;AC$7),0,AND($K31&lt;=AC$7,$L31&lt;=AC$7),1,AND($K31&lt;=AC$7,$L31&gt;AC$7),((AC$7-$K31)/($L31-$K31)))</f>
        <v>1</v>
      </c>
      <c r="AE31" s="201">
        <f t="array" ref="AE31">_xlfn.IFS(AND($K31&gt;AD$7,$L31&gt;AD$7),0,AND($K31&lt;=AD$7,$L31&lt;=AD$7),1,AND($K31&lt;=AD$7,$L31&gt;AD$7),((AD$7-$K31)/($L31-$K31)))</f>
        <v>1</v>
      </c>
      <c r="AF31" s="201">
        <f t="array" ref="AF31">_xlfn.IFS(AND($K31&gt;AE$7,$L31&gt;AE$7),0,AND($K31&lt;=AE$7,$L31&lt;=AE$7),1,AND($K31&lt;=AE$7,$L31&gt;AE$7),((AE$7-$K31)/($L31-$K31)))</f>
        <v>1</v>
      </c>
      <c r="AG31" s="201">
        <f t="array" ref="AG31">_xlfn.IFS(AND($K31&gt;AF$7,$L31&gt;AF$7),0,AND($K31&lt;=AF$7,$L31&lt;=AF$7),1,AND($K31&lt;=AF$7,$L31&gt;AF$7),((AF$7-$K31)/($L31-$K31)))</f>
        <v>1</v>
      </c>
      <c r="AH31" s="201">
        <f t="array" ref="AH31">_xlfn.IFS(AND($K31&gt;AG$7,$L31&gt;AG$7),0,AND($K31&lt;=AG$7,$L31&lt;=AG$7),1,AND($K31&lt;=AG$7,$L31&gt;AG$7),((AG$7-$K31)/($L31-$K31)))</f>
        <v>1</v>
      </c>
      <c r="AI31" s="201">
        <f t="array" ref="AI31">_xlfn.IFS(AND($K31&gt;AH$7,$L31&gt;AH$7),0,AND($K31&lt;=AH$7,$L31&lt;=AH$7),1,AND($K31&lt;=AH$7,$L31&gt;AH$7),((AH$7-$K31)/($L31-$K31)))</f>
        <v>1</v>
      </c>
      <c r="AJ31" s="201">
        <f t="array" ref="AJ31">_xlfn.IFS(AND($K31&gt;AI$7,$L31&gt;AI$7),0,AND($K31&lt;=AI$7,$L31&lt;=AI$7),1,AND($K31&lt;=AI$7,$L31&gt;AI$7),((AI$7-$K31)/($L31-$K31)))</f>
        <v>1</v>
      </c>
      <c r="AK31" s="201">
        <f t="array" ref="AK31">_xlfn.IFS(AND($K31&gt;AJ$7,$L31&gt;AJ$7),0,AND($K31&lt;=AJ$7,$L31&lt;=AJ$7),1,AND($K31&lt;=AJ$7,$L31&gt;AJ$7),((AJ$7-$K31)/($L31-$K31)))</f>
        <v>1</v>
      </c>
      <c r="AL31" s="201">
        <f t="array" ref="AL31">_xlfn.IFS(AND($K31&gt;AK$7,$L31&gt;AK$7),0,AND($K31&lt;=AK$7,$L31&lt;=AK$7),1,AND($K31&lt;=AK$7,$L31&gt;AK$7),((AK$7-$K31)/($L31-$K31)))</f>
        <v>1</v>
      </c>
      <c r="AM31" s="201">
        <f t="array" ref="AM31">_xlfn.IFS(AND($K31&gt;AL$7,$L31&gt;AL$7),0,AND($K31&lt;=AL$7,$L31&lt;=AL$7),1,AND($K31&lt;=AL$7,$L31&gt;AL$7),((AL$7-$K31)/($L31-$K31)))</f>
        <v>1</v>
      </c>
      <c r="AN31" s="201">
        <f t="array" ref="AN31">_xlfn.IFS(AND($K31&gt;AM$7,$L31&gt;AM$7),0,AND($K31&lt;=AM$7,$L31&lt;=AM$7),1,AND($K31&lt;=AM$7,$L31&gt;AM$7),((AM$7-$K31)/($L31-$K31)))</f>
        <v>1</v>
      </c>
      <c r="AO31" s="201">
        <f t="array" ref="AO31">_xlfn.IFS(AND($K31&gt;AN$7,$L31&gt;AN$7),0,AND($K31&lt;=AN$7,$L31&lt;=AN$7),1,AND($K31&lt;=AN$7,$L31&gt;AN$7),((AN$7-$K31)/($L31-$K31)))</f>
        <v>1</v>
      </c>
      <c r="AP31" s="201">
        <f t="array" ref="AP31">_xlfn.IFS(AND($K31&gt;AO$7,$L31&gt;AO$7),0,AND($K31&lt;=AO$7,$L31&lt;=AO$7),1,AND($K31&lt;=AO$7,$L31&gt;AO$7),((AO$7-$K31)/($L31-$K31)))</f>
        <v>1</v>
      </c>
      <c r="AQ31" s="201">
        <f t="array" ref="AQ31">_xlfn.IFS(AND($K31&gt;AP$7,$L31&gt;AP$7),0,AND($K31&lt;=AP$7,$L31&lt;=AP$7),1,AND($K31&lt;=AP$7,$L31&gt;AP$7),((AP$7-$K31)/($L31-$K31)))</f>
        <v>1</v>
      </c>
      <c r="AR31" s="201">
        <f t="array" ref="AR31">_xlfn.IFS(AND($K31&gt;AQ$7,$L31&gt;AQ$7),0,AND($K31&lt;=AQ$7,$L31&lt;=AQ$7),1,AND($K31&lt;=AQ$7,$L31&gt;AQ$7),((AQ$7-$K31)/($L31-$K31)))</f>
        <v>1</v>
      </c>
      <c r="AS31" s="201">
        <f t="array" ref="AS31">_xlfn.IFS(AND($K31&gt;AR$7,$L31&gt;AR$7),0,AND($K31&lt;=AR$7,$L31&lt;=AR$7),1,AND($K31&lt;=AR$7,$L31&gt;AR$7),((AR$7-$K31)/($L31-$K31)))</f>
        <v>1</v>
      </c>
      <c r="AT31" s="201">
        <f t="array" ref="AT31">_xlfn.IFS(AND($K31&gt;AS$7,$L31&gt;AS$7),0,AND($K31&lt;=AS$7,$L31&lt;=AS$7),1,AND($K31&lt;=AS$7,$L31&gt;AS$7),((AS$7-$K31)/($L31-$K31)))</f>
        <v>1</v>
      </c>
      <c r="AU31" s="201">
        <f t="array" ref="AU31">_xlfn.IFS(AND($K31&gt;AT$7,$L31&gt;AT$7),0,AND($K31&lt;=AT$7,$L31&lt;=AT$7),1,AND($K31&lt;=AT$7,$L31&gt;AT$7),((AT$7-$K31)/($L31-$K31)))</f>
        <v>1</v>
      </c>
      <c r="AV31" s="201">
        <f t="array" ref="AV31">_xlfn.IFS(AND($K31&gt;AU$7,$L31&gt;AU$7),0,AND($K31&lt;=AU$7,$L31&lt;=AU$7),1,AND($K31&lt;=AU$7,$L31&gt;AU$7),((AU$7-$K31)/($L31-$K31)))</f>
        <v>1</v>
      </c>
      <c r="AW31" s="201">
        <f t="array" ref="AW31">_xlfn.IFS(AND($K31&gt;AV$7,$L31&gt;AV$7),0,AND($K31&lt;=AV$7,$L31&lt;=AV$7),1,AND($K31&lt;=AV$7,$L31&gt;AV$7),((AV$7-$K31)/($L31-$K31)))</f>
        <v>1</v>
      </c>
      <c r="AX31" s="201">
        <f t="array" ref="AX31">_xlfn.IFS(AND($K31&gt;AW$7,$L31&gt;AW$7),0,AND($K31&lt;=AW$7,$L31&lt;=AW$7),1,AND($K31&lt;=AW$7,$L31&gt;AW$7),((AW$7-$K31)/($L31-$K31)))</f>
        <v>1</v>
      </c>
      <c r="AY31" s="201">
        <f t="array" ref="AY31">_xlfn.IFS(AND($K31&gt;AX$7,$L31&gt;AX$7),0,AND($K31&lt;=AX$7,$L31&lt;=AX$7),1,AND($K31&lt;=AX$7,$L31&gt;AX$7),((AX$7-$K31)/($L31-$K31)))</f>
        <v>1</v>
      </c>
      <c r="AZ31" s="201">
        <f t="array" ref="AZ31">_xlfn.IFS(AND($K31&gt;AY$7,$L31&gt;AY$7),0,AND($K31&lt;=AY$7,$L31&lt;=AY$7),1,AND($K31&lt;=AY$7,$L31&gt;AY$7),((AY$7-$K31)/($L31-$K31)))</f>
        <v>1</v>
      </c>
      <c r="BA31" s="201">
        <f t="array" ref="BA31">_xlfn.IFS(AND($K31&gt;AZ$7,$L31&gt;AZ$7),0,AND($K31&lt;=AZ$7,$L31&lt;=AZ$7),1,AND($K31&lt;=AZ$7,$L31&gt;AZ$7),((AZ$7-$K31)/($L31-$K31)))</f>
        <v>1</v>
      </c>
      <c r="BB31" s="201">
        <f t="array" ref="BB31">_xlfn.IFS(AND($K31&gt;BA$7,$L31&gt;BA$7),0,AND($K31&lt;=BA$7,$L31&lt;=BA$7),1,AND($K31&lt;=BA$7,$L31&gt;BA$7),((BA$7-$K31)/($L31-$K31)))</f>
        <v>1</v>
      </c>
      <c r="BC31" s="201">
        <f t="array" ref="BC31">_xlfn.IFS(AND($K31&gt;BB$7,$L31&gt;BB$7),0,AND($K31&lt;=BB$7,$L31&lt;=BB$7),1,AND($K31&lt;=BB$7,$L31&gt;BB$7),((BB$7-$K31)/($L31-$K31)))</f>
        <v>1</v>
      </c>
      <c r="BD31" s="201">
        <f t="array" ref="BD31">_xlfn.IFS(AND($K31&gt;BC$7,$L31&gt;BC$7),0,AND($K31&lt;=BC$7,$L31&lt;=BC$7),1,AND($K31&lt;=BC$7,$L31&gt;BC$7),((BC$7-$K31)/($L31-$K31)))</f>
        <v>1</v>
      </c>
      <c r="BE31" s="201">
        <f t="array" ref="BE31">_xlfn.IFS(AND($K31&gt;BD$7,$L31&gt;BD$7),0,AND($K31&lt;=BD$7,$L31&lt;=BD$7),1,AND($K31&lt;=BD$7,$L31&gt;BD$7),((BD$7-$K31)/($L31-$K31)))</f>
        <v>1</v>
      </c>
      <c r="BF31" s="201">
        <f t="array" ref="BF31">_xlfn.IFS(AND($K31&gt;BE$7,$L31&gt;BE$7),0,AND($K31&lt;=BE$7,$L31&lt;=BE$7),1,AND($K31&lt;=BE$7,$L31&gt;BE$7),((BE$7-$K31)/($L31-$K31)))</f>
        <v>1</v>
      </c>
      <c r="BG31" s="201">
        <f t="array" ref="BG31">_xlfn.IFS(AND($K31&gt;BF$7,$L31&gt;BF$7),0,AND($K31&lt;=BF$7,$L31&lt;=BF$7),1,AND($K31&lt;=BF$7,$L31&gt;BF$7),((BF$7-$K31)/($L31-$K31)))</f>
        <v>1</v>
      </c>
      <c r="BH31" s="201">
        <f t="array" ref="BH31">_xlfn.IFS(AND($K31&gt;BG$7,$L31&gt;BG$7),0,AND($K31&lt;=BG$7,$L31&lt;=BG$7),1,AND($K31&lt;=BG$7,$L31&gt;BG$7),((BG$7-$K31)/($L31-$K31)))</f>
        <v>1</v>
      </c>
      <c r="BI31" s="201">
        <f t="array" ref="BI31">_xlfn.IFS(AND($K31&gt;BH$7,$L31&gt;BH$7),0,AND($K31&lt;=BH$7,$L31&lt;=BH$7),1,AND($K31&lt;=BH$7,$L31&gt;BH$7),((BH$7-$K31)/($L31-$K31)))</f>
        <v>1</v>
      </c>
      <c r="BJ31" s="201">
        <f t="array" ref="BJ31">_xlfn.IFS(AND($K31&gt;BI$7,$L31&gt;BI$7),0,AND($K31&lt;=BI$7,$L31&lt;=BI$7),1,AND($K31&lt;=BI$7,$L31&gt;BI$7),((BI$7-$K31)/($L31-$K31)))</f>
        <v>1</v>
      </c>
      <c r="BK31" s="201">
        <f t="array" ref="BK31">_xlfn.IFS(AND($K31&gt;BJ$7,$L31&gt;BJ$7),0,AND($K31&lt;=BJ$7,$L31&lt;=BJ$7),1,AND($K31&lt;=BJ$7,$L31&gt;BJ$7),((BJ$7-$K31)/($L31-$K31)))</f>
        <v>1</v>
      </c>
      <c r="BL31" s="201">
        <f t="array" ref="BL31">_xlfn.IFS(AND($K31&gt;BK$7,$L31&gt;BK$7),0,AND($K31&lt;=BK$7,$L31&lt;=BK$7),1,AND($K31&lt;=BK$7,$L31&gt;BK$7),((BK$7-$K31)/($L31-$K31)))</f>
        <v>1</v>
      </c>
      <c r="BM31" s="201">
        <f t="array" ref="BM31">_xlfn.IFS(AND($K31&gt;BL$7,$L31&gt;BL$7),0,AND($K31&lt;=BL$7,$L31&lt;=BL$7),1,AND($K31&lt;=BL$7,$L31&gt;BL$7),((BL$7-$K31)/($L31-$K31)))</f>
        <v>1</v>
      </c>
      <c r="BN31" s="201">
        <f t="array" ref="BN31">_xlfn.IFS(AND($K31&gt;BM$7,$L31&gt;BM$7),0,AND($K31&lt;=BM$7,$L31&lt;=BM$7),1,AND($K31&lt;=BM$7,$L31&gt;BM$7),((BM$7-$K31)/($L31-$K31)))</f>
        <v>1</v>
      </c>
    </row>
    <row r="32" spans="2:66" s="163" customFormat="1" x14ac:dyDescent="0.3">
      <c r="B32" s="210" t="str">
        <f t="array" ref="B32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32" s="166" t="s">
        <v>112</v>
      </c>
      <c r="D32" s="177" t="str">
        <f t="shared" si="2"/>
        <v>Arquitetura de projetos GERDAU</v>
      </c>
      <c r="E32" s="170" t="str">
        <f t="shared" si="12"/>
        <v>Definição da Estratégia para Transformação dos Processos</v>
      </c>
      <c r="F32" s="174" t="str">
        <f t="shared" si="21"/>
        <v>Entendimento Inicial dos Processos</v>
      </c>
      <c r="G32" s="166" t="str">
        <f t="shared" si="23"/>
        <v>Levantamento e categorização dos processos existentes</v>
      </c>
      <c r="H32" s="197" t="s">
        <v>113</v>
      </c>
      <c r="I32" s="166">
        <v>45715</v>
      </c>
      <c r="J32" s="40">
        <v>45715</v>
      </c>
      <c r="K32" s="166">
        <v>45715</v>
      </c>
      <c r="L32" s="40">
        <v>45715</v>
      </c>
      <c r="M32" s="167"/>
      <c r="N32" s="167" t="str">
        <f t="array" ref="N32">_xlfn.IFS(L32&lt;$M$3,"Concluído",AND(K32&gt;=$M$3,I32&lt;$M$3,L32&gt;$M$3),"Em andamento",AND(L32&gt;=$M$3,J32&lt;$M$3),"Atrasado",AND(L32&gt;=$M$3,J32&gt;=$M$3,I32&gt;$M$3,K32&lt;=$M$3),"Em andamento",AND(L32&gt;=$M$3,J32&gt;=$M$3,I32&lt;=$M$3,K32&lt;=$M$3),"Em andamento",AND(K32&gt;$M$3,I32&gt;$M$3),"Não iniciado",AND(L32&gt;=$M$3,J32&gt;=$M$3,K32&gt;=$M$3,I32&lt;$M$3),"Atrasado",AND(L32&gt;=$M$3,J32&gt;=$M$3,K32&gt;=$M$3,I32&gt;$M$3),"Não iniciado",AND($I32&lt;=$M$3,$K32&gt;$M$3),"Atrasado")</f>
        <v>Concluído</v>
      </c>
      <c r="O32" s="167">
        <f t="array" ref="O32">_xlfn.IFS(N32="Não iniciado",0,N32="Em andamento",1,N32="Concluído",2,N32="Atrasado",3)</f>
        <v>2</v>
      </c>
      <c r="P32" s="169"/>
      <c r="Q32" s="152">
        <f t="array" ref="Q32">_xlfn.IFS(AND($I32&lt;$M$3,$J32&lt;$M$3),1,AND($I32&lt;=$M$3,$J32&gt;=$M$3),0.5,AND($I32&gt;=$M$3,$J32&gt;=$M$3),0)</f>
        <v>1</v>
      </c>
      <c r="R32" s="152">
        <f t="array" ref="R32">_xlfn.IFS(AND($K32&lt;$M$3,$L32&lt;$M$3),1,AND($K32&lt;=$M$3,$L32&gt;=$M$3),0.5,AND($K32&gt;=$M$3,$L32&gt;=$M$3),0)</f>
        <v>1</v>
      </c>
      <c r="S32" s="201">
        <f t="array" ref="S32">_xlfn.IFS(AND($K32&gt;R$7,$L32&gt;R$7),0,AND($K32&lt;=R$7,$L32&lt;=R$7),1,AND($K32&lt;=R$7,$L32&gt;R$7),((R$7-$K32)/($L32-$K32)))</f>
        <v>0</v>
      </c>
      <c r="T32" s="201">
        <f t="array" ref="T32">_xlfn.IFS(AND($K32&gt;S$7,$L32&gt;S$7),0,AND($K32&lt;=S$7,$L32&lt;=S$7),1,AND($K32&lt;=S$7,$L32&gt;S$7),((S$7-$K32)/($L32-$K32)))</f>
        <v>0</v>
      </c>
      <c r="U32" s="201">
        <f t="array" ref="U32">_xlfn.IFS(AND($K32&gt;T$7,$L32&gt;T$7),0,AND($K32&lt;=T$7,$L32&lt;=T$7),1,AND($K32&lt;=T$7,$L32&gt;T$7),((T$7-$K32)/($L32-$K32)))</f>
        <v>0</v>
      </c>
      <c r="V32" s="201">
        <f t="array" ref="V32">_xlfn.IFS(AND($K32&gt;U$7,$L32&gt;U$7),0,AND($K32&lt;=U$7,$L32&lt;=U$7),1,AND($K32&lt;=U$7,$L32&gt;U$7),((U$7-$K32)/($L32-$K32)))</f>
        <v>0</v>
      </c>
      <c r="W32" s="201">
        <f t="array" ref="W32">_xlfn.IFS(AND($K32&gt;V$7,$L32&gt;V$7),0,AND($K32&lt;=V$7,$L32&lt;=V$7),1,AND($K32&lt;=V$7,$L32&gt;V$7),((V$7-$K32)/($L32-$K32)))</f>
        <v>1</v>
      </c>
      <c r="X32" s="201">
        <f t="array" ref="X32">_xlfn.IFS(AND($K32&gt;W$7,$L32&gt;W$7),0,AND($K32&lt;=W$7,$L32&lt;=W$7),1,AND($K32&lt;=W$7,$L32&gt;W$7),((W$7-$K32)/($L32-$K32)))</f>
        <v>1</v>
      </c>
      <c r="Y32" s="201">
        <f t="array" ref="Y32">_xlfn.IFS(AND($K32&gt;X$7,$L32&gt;X$7),0,AND($K32&lt;=X$7,$L32&lt;=X$7),1,AND($K32&lt;=X$7,$L32&gt;X$7),((X$7-$K32)/($L32-$K32)))</f>
        <v>1</v>
      </c>
      <c r="Z32" s="201">
        <f t="array" ref="Z32">_xlfn.IFS(AND($K32&gt;Y$7,$L32&gt;Y$7),0,AND($K32&lt;=Y$7,$L32&lt;=Y$7),1,AND($K32&lt;=Y$7,$L32&gt;Y$7),((Y$7-$K32)/($L32-$K32)))</f>
        <v>1</v>
      </c>
      <c r="AA32" s="201">
        <f t="array" ref="AA32">_xlfn.IFS(AND($K32&gt;Z$7,$L32&gt;Z$7),0,AND($K32&lt;=Z$7,$L32&lt;=Z$7),1,AND($K32&lt;=Z$7,$L32&gt;Z$7),((Z$7-$K32)/($L32-$K32)))</f>
        <v>1</v>
      </c>
      <c r="AB32" s="201">
        <f t="array" ref="AB32">_xlfn.IFS(AND($K32&gt;AA$7,$L32&gt;AA$7),0,AND($K32&lt;=AA$7,$L32&lt;=AA$7),1,AND($K32&lt;=AA$7,$L32&gt;AA$7),((AA$7-$K32)/($L32-$K32)))</f>
        <v>1</v>
      </c>
      <c r="AC32" s="201">
        <f t="array" ref="AC32">_xlfn.IFS(AND($K32&gt;AB$7,$L32&gt;AB$7),0,AND($K32&lt;=AB$7,$L32&lt;=AB$7),1,AND($K32&lt;=AB$7,$L32&gt;AB$7),((AB$7-$K32)/($L32-$K32)))</f>
        <v>1</v>
      </c>
      <c r="AD32" s="201">
        <f t="array" ref="AD32">_xlfn.IFS(AND($K32&gt;AC$7,$L32&gt;AC$7),0,AND($K32&lt;=AC$7,$L32&lt;=AC$7),1,AND($K32&lt;=AC$7,$L32&gt;AC$7),((AC$7-$K32)/($L32-$K32)))</f>
        <v>1</v>
      </c>
      <c r="AE32" s="201">
        <f t="array" ref="AE32">_xlfn.IFS(AND($K32&gt;AD$7,$L32&gt;AD$7),0,AND($K32&lt;=AD$7,$L32&lt;=AD$7),1,AND($K32&lt;=AD$7,$L32&gt;AD$7),((AD$7-$K32)/($L32-$K32)))</f>
        <v>1</v>
      </c>
      <c r="AF32" s="201">
        <f t="array" ref="AF32">_xlfn.IFS(AND($K32&gt;AE$7,$L32&gt;AE$7),0,AND($K32&lt;=AE$7,$L32&lt;=AE$7),1,AND($K32&lt;=AE$7,$L32&gt;AE$7),((AE$7-$K32)/($L32-$K32)))</f>
        <v>1</v>
      </c>
      <c r="AG32" s="201">
        <f t="array" ref="AG32">_xlfn.IFS(AND($K32&gt;AF$7,$L32&gt;AF$7),0,AND($K32&lt;=AF$7,$L32&lt;=AF$7),1,AND($K32&lt;=AF$7,$L32&gt;AF$7),((AF$7-$K32)/($L32-$K32)))</f>
        <v>1</v>
      </c>
      <c r="AH32" s="201">
        <f t="array" ref="AH32">_xlfn.IFS(AND($K32&gt;AG$7,$L32&gt;AG$7),0,AND($K32&lt;=AG$7,$L32&lt;=AG$7),1,AND($K32&lt;=AG$7,$L32&gt;AG$7),((AG$7-$K32)/($L32-$K32)))</f>
        <v>1</v>
      </c>
      <c r="AI32" s="201">
        <f t="array" ref="AI32">_xlfn.IFS(AND($K32&gt;AH$7,$L32&gt;AH$7),0,AND($K32&lt;=AH$7,$L32&lt;=AH$7),1,AND($K32&lt;=AH$7,$L32&gt;AH$7),((AH$7-$K32)/($L32-$K32)))</f>
        <v>1</v>
      </c>
      <c r="AJ32" s="201">
        <f t="array" ref="AJ32">_xlfn.IFS(AND($K32&gt;AI$7,$L32&gt;AI$7),0,AND($K32&lt;=AI$7,$L32&lt;=AI$7),1,AND($K32&lt;=AI$7,$L32&gt;AI$7),((AI$7-$K32)/($L32-$K32)))</f>
        <v>1</v>
      </c>
      <c r="AK32" s="201">
        <f t="array" ref="AK32">_xlfn.IFS(AND($K32&gt;AJ$7,$L32&gt;AJ$7),0,AND($K32&lt;=AJ$7,$L32&lt;=AJ$7),1,AND($K32&lt;=AJ$7,$L32&gt;AJ$7),((AJ$7-$K32)/($L32-$K32)))</f>
        <v>1</v>
      </c>
      <c r="AL32" s="201">
        <f t="array" ref="AL32">_xlfn.IFS(AND($K32&gt;AK$7,$L32&gt;AK$7),0,AND($K32&lt;=AK$7,$L32&lt;=AK$7),1,AND($K32&lt;=AK$7,$L32&gt;AK$7),((AK$7-$K32)/($L32-$K32)))</f>
        <v>1</v>
      </c>
      <c r="AM32" s="201">
        <f t="array" ref="AM32">_xlfn.IFS(AND($K32&gt;AL$7,$L32&gt;AL$7),0,AND($K32&lt;=AL$7,$L32&lt;=AL$7),1,AND($K32&lt;=AL$7,$L32&gt;AL$7),((AL$7-$K32)/($L32-$K32)))</f>
        <v>1</v>
      </c>
      <c r="AN32" s="201">
        <f t="array" ref="AN32">_xlfn.IFS(AND($K32&gt;AM$7,$L32&gt;AM$7),0,AND($K32&lt;=AM$7,$L32&lt;=AM$7),1,AND($K32&lt;=AM$7,$L32&gt;AM$7),((AM$7-$K32)/($L32-$K32)))</f>
        <v>1</v>
      </c>
      <c r="AO32" s="201">
        <f t="array" ref="AO32">_xlfn.IFS(AND($K32&gt;AN$7,$L32&gt;AN$7),0,AND($K32&lt;=AN$7,$L32&lt;=AN$7),1,AND($K32&lt;=AN$7,$L32&gt;AN$7),((AN$7-$K32)/($L32-$K32)))</f>
        <v>1</v>
      </c>
      <c r="AP32" s="201">
        <f t="array" ref="AP32">_xlfn.IFS(AND($K32&gt;AO$7,$L32&gt;AO$7),0,AND($K32&lt;=AO$7,$L32&lt;=AO$7),1,AND($K32&lt;=AO$7,$L32&gt;AO$7),((AO$7-$K32)/($L32-$K32)))</f>
        <v>1</v>
      </c>
      <c r="AQ32" s="201">
        <f t="array" ref="AQ32">_xlfn.IFS(AND($K32&gt;AP$7,$L32&gt;AP$7),0,AND($K32&lt;=AP$7,$L32&lt;=AP$7),1,AND($K32&lt;=AP$7,$L32&gt;AP$7),((AP$7-$K32)/($L32-$K32)))</f>
        <v>1</v>
      </c>
      <c r="AR32" s="201">
        <f t="array" ref="AR32">_xlfn.IFS(AND($K32&gt;AQ$7,$L32&gt;AQ$7),0,AND($K32&lt;=AQ$7,$L32&lt;=AQ$7),1,AND($K32&lt;=AQ$7,$L32&gt;AQ$7),((AQ$7-$K32)/($L32-$K32)))</f>
        <v>1</v>
      </c>
      <c r="AS32" s="201">
        <f t="array" ref="AS32">_xlfn.IFS(AND($K32&gt;AR$7,$L32&gt;AR$7),0,AND($K32&lt;=AR$7,$L32&lt;=AR$7),1,AND($K32&lt;=AR$7,$L32&gt;AR$7),((AR$7-$K32)/($L32-$K32)))</f>
        <v>1</v>
      </c>
      <c r="AT32" s="201">
        <f t="array" ref="AT32">_xlfn.IFS(AND($K32&gt;AS$7,$L32&gt;AS$7),0,AND($K32&lt;=AS$7,$L32&lt;=AS$7),1,AND($K32&lt;=AS$7,$L32&gt;AS$7),((AS$7-$K32)/($L32-$K32)))</f>
        <v>1</v>
      </c>
      <c r="AU32" s="201">
        <f t="array" ref="AU32">_xlfn.IFS(AND($K32&gt;AT$7,$L32&gt;AT$7),0,AND($K32&lt;=AT$7,$L32&lt;=AT$7),1,AND($K32&lt;=AT$7,$L32&gt;AT$7),((AT$7-$K32)/($L32-$K32)))</f>
        <v>1</v>
      </c>
      <c r="AV32" s="201">
        <f t="array" ref="AV32">_xlfn.IFS(AND($K32&gt;AU$7,$L32&gt;AU$7),0,AND($K32&lt;=AU$7,$L32&lt;=AU$7),1,AND($K32&lt;=AU$7,$L32&gt;AU$7),((AU$7-$K32)/($L32-$K32)))</f>
        <v>1</v>
      </c>
      <c r="AW32" s="201">
        <f t="array" ref="AW32">_xlfn.IFS(AND($K32&gt;AV$7,$L32&gt;AV$7),0,AND($K32&lt;=AV$7,$L32&lt;=AV$7),1,AND($K32&lt;=AV$7,$L32&gt;AV$7),((AV$7-$K32)/($L32-$K32)))</f>
        <v>1</v>
      </c>
      <c r="AX32" s="201">
        <f t="array" ref="AX32">_xlfn.IFS(AND($K32&gt;AW$7,$L32&gt;AW$7),0,AND($K32&lt;=AW$7,$L32&lt;=AW$7),1,AND($K32&lt;=AW$7,$L32&gt;AW$7),((AW$7-$K32)/($L32-$K32)))</f>
        <v>1</v>
      </c>
      <c r="AY32" s="201">
        <f t="array" ref="AY32">_xlfn.IFS(AND($K32&gt;AX$7,$L32&gt;AX$7),0,AND($K32&lt;=AX$7,$L32&lt;=AX$7),1,AND($K32&lt;=AX$7,$L32&gt;AX$7),((AX$7-$K32)/($L32-$K32)))</f>
        <v>1</v>
      </c>
      <c r="AZ32" s="201">
        <f t="array" ref="AZ32">_xlfn.IFS(AND($K32&gt;AY$7,$L32&gt;AY$7),0,AND($K32&lt;=AY$7,$L32&lt;=AY$7),1,AND($K32&lt;=AY$7,$L32&gt;AY$7),((AY$7-$K32)/($L32-$K32)))</f>
        <v>1</v>
      </c>
      <c r="BA32" s="201">
        <f t="array" ref="BA32">_xlfn.IFS(AND($K32&gt;AZ$7,$L32&gt;AZ$7),0,AND($K32&lt;=AZ$7,$L32&lt;=AZ$7),1,AND($K32&lt;=AZ$7,$L32&gt;AZ$7),((AZ$7-$K32)/($L32-$K32)))</f>
        <v>1</v>
      </c>
      <c r="BB32" s="201">
        <f t="array" ref="BB32">_xlfn.IFS(AND($K32&gt;BA$7,$L32&gt;BA$7),0,AND($K32&lt;=BA$7,$L32&lt;=BA$7),1,AND($K32&lt;=BA$7,$L32&gt;BA$7),((BA$7-$K32)/($L32-$K32)))</f>
        <v>1</v>
      </c>
      <c r="BC32" s="201">
        <f t="array" ref="BC32">_xlfn.IFS(AND($K32&gt;BB$7,$L32&gt;BB$7),0,AND($K32&lt;=BB$7,$L32&lt;=BB$7),1,AND($K32&lt;=BB$7,$L32&gt;BB$7),((BB$7-$K32)/($L32-$K32)))</f>
        <v>1</v>
      </c>
      <c r="BD32" s="201">
        <f t="array" ref="BD32">_xlfn.IFS(AND($K32&gt;BC$7,$L32&gt;BC$7),0,AND($K32&lt;=BC$7,$L32&lt;=BC$7),1,AND($K32&lt;=BC$7,$L32&gt;BC$7),((BC$7-$K32)/($L32-$K32)))</f>
        <v>1</v>
      </c>
      <c r="BE32" s="201">
        <f t="array" ref="BE32">_xlfn.IFS(AND($K32&gt;BD$7,$L32&gt;BD$7),0,AND($K32&lt;=BD$7,$L32&lt;=BD$7),1,AND($K32&lt;=BD$7,$L32&gt;BD$7),((BD$7-$K32)/($L32-$K32)))</f>
        <v>1</v>
      </c>
      <c r="BF32" s="201">
        <f t="array" ref="BF32">_xlfn.IFS(AND($K32&gt;BE$7,$L32&gt;BE$7),0,AND($K32&lt;=BE$7,$L32&lt;=BE$7),1,AND($K32&lt;=BE$7,$L32&gt;BE$7),((BE$7-$K32)/($L32-$K32)))</f>
        <v>1</v>
      </c>
      <c r="BG32" s="201">
        <f t="array" ref="BG32">_xlfn.IFS(AND($K32&gt;BF$7,$L32&gt;BF$7),0,AND($K32&lt;=BF$7,$L32&lt;=BF$7),1,AND($K32&lt;=BF$7,$L32&gt;BF$7),((BF$7-$K32)/($L32-$K32)))</f>
        <v>1</v>
      </c>
      <c r="BH32" s="201">
        <f t="array" ref="BH32">_xlfn.IFS(AND($K32&gt;BG$7,$L32&gt;BG$7),0,AND($K32&lt;=BG$7,$L32&lt;=BG$7),1,AND($K32&lt;=BG$7,$L32&gt;BG$7),((BG$7-$K32)/($L32-$K32)))</f>
        <v>1</v>
      </c>
      <c r="BI32" s="201">
        <f t="array" ref="BI32">_xlfn.IFS(AND($K32&gt;BH$7,$L32&gt;BH$7),0,AND($K32&lt;=BH$7,$L32&lt;=BH$7),1,AND($K32&lt;=BH$7,$L32&gt;BH$7),((BH$7-$K32)/($L32-$K32)))</f>
        <v>1</v>
      </c>
      <c r="BJ32" s="201">
        <f t="array" ref="BJ32">_xlfn.IFS(AND($K32&gt;BI$7,$L32&gt;BI$7),0,AND($K32&lt;=BI$7,$L32&lt;=BI$7),1,AND($K32&lt;=BI$7,$L32&gt;BI$7),((BI$7-$K32)/($L32-$K32)))</f>
        <v>1</v>
      </c>
      <c r="BK32" s="201">
        <f t="array" ref="BK32">_xlfn.IFS(AND($K32&gt;BJ$7,$L32&gt;BJ$7),0,AND($K32&lt;=BJ$7,$L32&lt;=BJ$7),1,AND($K32&lt;=BJ$7,$L32&gt;BJ$7),((BJ$7-$K32)/($L32-$K32)))</f>
        <v>1</v>
      </c>
      <c r="BL32" s="201">
        <f t="array" ref="BL32">_xlfn.IFS(AND($K32&gt;BK$7,$L32&gt;BK$7),0,AND($K32&lt;=BK$7,$L32&lt;=BK$7),1,AND($K32&lt;=BK$7,$L32&gt;BK$7),((BK$7-$K32)/($L32-$K32)))</f>
        <v>1</v>
      </c>
      <c r="BM32" s="201">
        <f t="array" ref="BM32">_xlfn.IFS(AND($K32&gt;BL$7,$L32&gt;BL$7),0,AND($K32&lt;=BL$7,$L32&lt;=BL$7),1,AND($K32&lt;=BL$7,$L32&gt;BL$7),((BL$7-$K32)/($L32-$K32)))</f>
        <v>1</v>
      </c>
      <c r="BN32" s="201">
        <f t="array" ref="BN32">_xlfn.IFS(AND($K32&gt;BM$7,$L32&gt;BM$7),0,AND($K32&lt;=BM$7,$L32&lt;=BM$7),1,AND($K32&lt;=BM$7,$L32&gt;BM$7),((BM$7-$K32)/($L32-$K32)))</f>
        <v>1</v>
      </c>
    </row>
    <row r="33" spans="2:66" s="163" customFormat="1" x14ac:dyDescent="0.3">
      <c r="B33" s="210" t="str">
        <f t="array" ref="B33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33" s="166" t="s">
        <v>114</v>
      </c>
      <c r="D33" s="177" t="str">
        <f t="shared" si="2"/>
        <v>Arquitetura de projetos GERDAU</v>
      </c>
      <c r="E33" s="170" t="str">
        <f t="shared" si="12"/>
        <v>Definição da Estratégia para Transformação dos Processos</v>
      </c>
      <c r="F33" s="174" t="str">
        <f t="shared" si="21"/>
        <v>Entendimento Inicial dos Processos</v>
      </c>
      <c r="G33" s="166" t="str">
        <f t="shared" si="23"/>
        <v>Levantamento e categorização dos processos existentes</v>
      </c>
      <c r="H33" s="197" t="s">
        <v>115</v>
      </c>
      <c r="I33" s="166">
        <v>45713</v>
      </c>
      <c r="J33" s="40">
        <v>45713</v>
      </c>
      <c r="K33" s="166">
        <v>45713</v>
      </c>
      <c r="L33" s="40">
        <v>45713</v>
      </c>
      <c r="M33" s="167"/>
      <c r="N33" s="167" t="str">
        <f t="array" ref="N33">_xlfn.IFS(L33&lt;$M$3,"Concluído",AND(K33&gt;=$M$3,I33&lt;$M$3,L33&gt;$M$3),"Em andamento",AND(L33&gt;=$M$3,J33&lt;$M$3),"Atrasado",AND(L33&gt;=$M$3,J33&gt;=$M$3,I33&gt;$M$3,K33&lt;=$M$3),"Em andamento",AND(L33&gt;=$M$3,J33&gt;=$M$3,I33&lt;=$M$3,K33&lt;=$M$3),"Em andamento",AND(K33&gt;$M$3,I33&gt;$M$3),"Não iniciado",AND(L33&gt;=$M$3,J33&gt;=$M$3,K33&gt;=$M$3,I33&lt;$M$3),"Atrasado",AND(L33&gt;=$M$3,J33&gt;=$M$3,K33&gt;=$M$3,I33&gt;$M$3),"Não iniciado",AND($I33&lt;=$M$3,$K33&gt;$M$3),"Atrasado")</f>
        <v>Concluído</v>
      </c>
      <c r="O33" s="167">
        <f t="array" ref="O33">_xlfn.IFS(N33="Não iniciado",0,N33="Em andamento",1,N33="Concluído",2,N33="Atrasado",3)</f>
        <v>2</v>
      </c>
      <c r="P33" s="169"/>
      <c r="Q33" s="152">
        <f t="array" ref="Q33">_xlfn.IFS(AND($I33&lt;$M$3,$J33&lt;$M$3),1,AND($I33&lt;=$M$3,$J33&gt;=$M$3),0.5,AND($I33&gt;=$M$3,$J33&gt;=$M$3),0)</f>
        <v>1</v>
      </c>
      <c r="R33" s="152">
        <f t="array" ref="R33">_xlfn.IFS(AND($K33&lt;$M$3,$L33&lt;$M$3),1,AND($K33&lt;=$M$3,$L33&gt;=$M$3),0.5,AND($K33&gt;=$M$3,$L33&gt;=$M$3),0)</f>
        <v>1</v>
      </c>
      <c r="S33" s="201">
        <f t="array" ref="S33">_xlfn.IFS(AND($K33&gt;R$7,$L33&gt;R$7),0,AND($K33&lt;=R$7,$L33&lt;=R$7),1,AND($K33&lt;=R$7,$L33&gt;R$7),((R$7-$K33)/($L33-$K33)))</f>
        <v>0</v>
      </c>
      <c r="T33" s="201">
        <f t="array" ref="T33">_xlfn.IFS(AND($K33&gt;S$7,$L33&gt;S$7),0,AND($K33&lt;=S$7,$L33&lt;=S$7),1,AND($K33&lt;=S$7,$L33&gt;S$7),((S$7-$K33)/($L33-$K33)))</f>
        <v>0</v>
      </c>
      <c r="U33" s="201">
        <f t="array" ref="U33">_xlfn.IFS(AND($K33&gt;T$7,$L33&gt;T$7),0,AND($K33&lt;=T$7,$L33&lt;=T$7),1,AND($K33&lt;=T$7,$L33&gt;T$7),((T$7-$K33)/($L33-$K33)))</f>
        <v>0</v>
      </c>
      <c r="V33" s="201">
        <f t="array" ref="V33">_xlfn.IFS(AND($K33&gt;U$7,$L33&gt;U$7),0,AND($K33&lt;=U$7,$L33&lt;=U$7),1,AND($K33&lt;=U$7,$L33&gt;U$7),((U$7-$K33)/($L33-$K33)))</f>
        <v>0</v>
      </c>
      <c r="W33" s="201">
        <f t="array" ref="W33">_xlfn.IFS(AND($K33&gt;V$7,$L33&gt;V$7),0,AND($K33&lt;=V$7,$L33&lt;=V$7),1,AND($K33&lt;=V$7,$L33&gt;V$7),((V$7-$K33)/($L33-$K33)))</f>
        <v>1</v>
      </c>
      <c r="X33" s="201">
        <f t="array" ref="X33">_xlfn.IFS(AND($K33&gt;W$7,$L33&gt;W$7),0,AND($K33&lt;=W$7,$L33&lt;=W$7),1,AND($K33&lt;=W$7,$L33&gt;W$7),((W$7-$K33)/($L33-$K33)))</f>
        <v>1</v>
      </c>
      <c r="Y33" s="201">
        <f t="array" ref="Y33">_xlfn.IFS(AND($K33&gt;X$7,$L33&gt;X$7),0,AND($K33&lt;=X$7,$L33&lt;=X$7),1,AND($K33&lt;=X$7,$L33&gt;X$7),((X$7-$K33)/($L33-$K33)))</f>
        <v>1</v>
      </c>
      <c r="Z33" s="201">
        <f t="array" ref="Z33">_xlfn.IFS(AND($K33&gt;Y$7,$L33&gt;Y$7),0,AND($K33&lt;=Y$7,$L33&lt;=Y$7),1,AND($K33&lt;=Y$7,$L33&gt;Y$7),((Y$7-$K33)/($L33-$K33)))</f>
        <v>1</v>
      </c>
      <c r="AA33" s="201">
        <f t="array" ref="AA33">_xlfn.IFS(AND($K33&gt;Z$7,$L33&gt;Z$7),0,AND($K33&lt;=Z$7,$L33&lt;=Z$7),1,AND($K33&lt;=Z$7,$L33&gt;Z$7),((Z$7-$K33)/($L33-$K33)))</f>
        <v>1</v>
      </c>
      <c r="AB33" s="201">
        <f t="array" ref="AB33">_xlfn.IFS(AND($K33&gt;AA$7,$L33&gt;AA$7),0,AND($K33&lt;=AA$7,$L33&lt;=AA$7),1,AND($K33&lt;=AA$7,$L33&gt;AA$7),((AA$7-$K33)/($L33-$K33)))</f>
        <v>1</v>
      </c>
      <c r="AC33" s="201">
        <f t="array" ref="AC33">_xlfn.IFS(AND($K33&gt;AB$7,$L33&gt;AB$7),0,AND($K33&lt;=AB$7,$L33&lt;=AB$7),1,AND($K33&lt;=AB$7,$L33&gt;AB$7),((AB$7-$K33)/($L33-$K33)))</f>
        <v>1</v>
      </c>
      <c r="AD33" s="201">
        <f t="array" ref="AD33">_xlfn.IFS(AND($K33&gt;AC$7,$L33&gt;AC$7),0,AND($K33&lt;=AC$7,$L33&lt;=AC$7),1,AND($K33&lt;=AC$7,$L33&gt;AC$7),((AC$7-$K33)/($L33-$K33)))</f>
        <v>1</v>
      </c>
      <c r="AE33" s="201">
        <f t="array" ref="AE33">_xlfn.IFS(AND($K33&gt;AD$7,$L33&gt;AD$7),0,AND($K33&lt;=AD$7,$L33&lt;=AD$7),1,AND($K33&lt;=AD$7,$L33&gt;AD$7),((AD$7-$K33)/($L33-$K33)))</f>
        <v>1</v>
      </c>
      <c r="AF33" s="201">
        <f t="array" ref="AF33">_xlfn.IFS(AND($K33&gt;AE$7,$L33&gt;AE$7),0,AND($K33&lt;=AE$7,$L33&lt;=AE$7),1,AND($K33&lt;=AE$7,$L33&gt;AE$7),((AE$7-$K33)/($L33-$K33)))</f>
        <v>1</v>
      </c>
      <c r="AG33" s="201">
        <f t="array" ref="AG33">_xlfn.IFS(AND($K33&gt;AF$7,$L33&gt;AF$7),0,AND($K33&lt;=AF$7,$L33&lt;=AF$7),1,AND($K33&lt;=AF$7,$L33&gt;AF$7),((AF$7-$K33)/($L33-$K33)))</f>
        <v>1</v>
      </c>
      <c r="AH33" s="201">
        <f t="array" ref="AH33">_xlfn.IFS(AND($K33&gt;AG$7,$L33&gt;AG$7),0,AND($K33&lt;=AG$7,$L33&lt;=AG$7),1,AND($K33&lt;=AG$7,$L33&gt;AG$7),((AG$7-$K33)/($L33-$K33)))</f>
        <v>1</v>
      </c>
      <c r="AI33" s="201">
        <f t="array" ref="AI33">_xlfn.IFS(AND($K33&gt;AH$7,$L33&gt;AH$7),0,AND($K33&lt;=AH$7,$L33&lt;=AH$7),1,AND($K33&lt;=AH$7,$L33&gt;AH$7),((AH$7-$K33)/($L33-$K33)))</f>
        <v>1</v>
      </c>
      <c r="AJ33" s="201">
        <f t="array" ref="AJ33">_xlfn.IFS(AND($K33&gt;AI$7,$L33&gt;AI$7),0,AND($K33&lt;=AI$7,$L33&lt;=AI$7),1,AND($K33&lt;=AI$7,$L33&gt;AI$7),((AI$7-$K33)/($L33-$K33)))</f>
        <v>1</v>
      </c>
      <c r="AK33" s="201">
        <f t="array" ref="AK33">_xlfn.IFS(AND($K33&gt;AJ$7,$L33&gt;AJ$7),0,AND($K33&lt;=AJ$7,$L33&lt;=AJ$7),1,AND($K33&lt;=AJ$7,$L33&gt;AJ$7),((AJ$7-$K33)/($L33-$K33)))</f>
        <v>1</v>
      </c>
      <c r="AL33" s="201">
        <f t="array" ref="AL33">_xlfn.IFS(AND($K33&gt;AK$7,$L33&gt;AK$7),0,AND($K33&lt;=AK$7,$L33&lt;=AK$7),1,AND($K33&lt;=AK$7,$L33&gt;AK$7),((AK$7-$K33)/($L33-$K33)))</f>
        <v>1</v>
      </c>
      <c r="AM33" s="201">
        <f t="array" ref="AM33">_xlfn.IFS(AND($K33&gt;AL$7,$L33&gt;AL$7),0,AND($K33&lt;=AL$7,$L33&lt;=AL$7),1,AND($K33&lt;=AL$7,$L33&gt;AL$7),((AL$7-$K33)/($L33-$K33)))</f>
        <v>1</v>
      </c>
      <c r="AN33" s="201">
        <f t="array" ref="AN33">_xlfn.IFS(AND($K33&gt;AM$7,$L33&gt;AM$7),0,AND($K33&lt;=AM$7,$L33&lt;=AM$7),1,AND($K33&lt;=AM$7,$L33&gt;AM$7),((AM$7-$K33)/($L33-$K33)))</f>
        <v>1</v>
      </c>
      <c r="AO33" s="201">
        <f t="array" ref="AO33">_xlfn.IFS(AND($K33&gt;AN$7,$L33&gt;AN$7),0,AND($K33&lt;=AN$7,$L33&lt;=AN$7),1,AND($K33&lt;=AN$7,$L33&gt;AN$7),((AN$7-$K33)/($L33-$K33)))</f>
        <v>1</v>
      </c>
      <c r="AP33" s="201">
        <f t="array" ref="AP33">_xlfn.IFS(AND($K33&gt;AO$7,$L33&gt;AO$7),0,AND($K33&lt;=AO$7,$L33&lt;=AO$7),1,AND($K33&lt;=AO$7,$L33&gt;AO$7),((AO$7-$K33)/($L33-$K33)))</f>
        <v>1</v>
      </c>
      <c r="AQ33" s="201">
        <f t="array" ref="AQ33">_xlfn.IFS(AND($K33&gt;AP$7,$L33&gt;AP$7),0,AND($K33&lt;=AP$7,$L33&lt;=AP$7),1,AND($K33&lt;=AP$7,$L33&gt;AP$7),((AP$7-$K33)/($L33-$K33)))</f>
        <v>1</v>
      </c>
      <c r="AR33" s="201">
        <f t="array" ref="AR33">_xlfn.IFS(AND($K33&gt;AQ$7,$L33&gt;AQ$7),0,AND($K33&lt;=AQ$7,$L33&lt;=AQ$7),1,AND($K33&lt;=AQ$7,$L33&gt;AQ$7),((AQ$7-$K33)/($L33-$K33)))</f>
        <v>1</v>
      </c>
      <c r="AS33" s="201">
        <f t="array" ref="AS33">_xlfn.IFS(AND($K33&gt;AR$7,$L33&gt;AR$7),0,AND($K33&lt;=AR$7,$L33&lt;=AR$7),1,AND($K33&lt;=AR$7,$L33&gt;AR$7),((AR$7-$K33)/($L33-$K33)))</f>
        <v>1</v>
      </c>
      <c r="AT33" s="201">
        <f t="array" ref="AT33">_xlfn.IFS(AND($K33&gt;AS$7,$L33&gt;AS$7),0,AND($K33&lt;=AS$7,$L33&lt;=AS$7),1,AND($K33&lt;=AS$7,$L33&gt;AS$7),((AS$7-$K33)/($L33-$K33)))</f>
        <v>1</v>
      </c>
      <c r="AU33" s="201">
        <f t="array" ref="AU33">_xlfn.IFS(AND($K33&gt;AT$7,$L33&gt;AT$7),0,AND($K33&lt;=AT$7,$L33&lt;=AT$7),1,AND($K33&lt;=AT$7,$L33&gt;AT$7),((AT$7-$K33)/($L33-$K33)))</f>
        <v>1</v>
      </c>
      <c r="AV33" s="201">
        <f t="array" ref="AV33">_xlfn.IFS(AND($K33&gt;AU$7,$L33&gt;AU$7),0,AND($K33&lt;=AU$7,$L33&lt;=AU$7),1,AND($K33&lt;=AU$7,$L33&gt;AU$7),((AU$7-$K33)/($L33-$K33)))</f>
        <v>1</v>
      </c>
      <c r="AW33" s="201">
        <f t="array" ref="AW33">_xlfn.IFS(AND($K33&gt;AV$7,$L33&gt;AV$7),0,AND($K33&lt;=AV$7,$L33&lt;=AV$7),1,AND($K33&lt;=AV$7,$L33&gt;AV$7),((AV$7-$K33)/($L33-$K33)))</f>
        <v>1</v>
      </c>
      <c r="AX33" s="201">
        <f t="array" ref="AX33">_xlfn.IFS(AND($K33&gt;AW$7,$L33&gt;AW$7),0,AND($K33&lt;=AW$7,$L33&lt;=AW$7),1,AND($K33&lt;=AW$7,$L33&gt;AW$7),((AW$7-$K33)/($L33-$K33)))</f>
        <v>1</v>
      </c>
      <c r="AY33" s="201">
        <f t="array" ref="AY33">_xlfn.IFS(AND($K33&gt;AX$7,$L33&gt;AX$7),0,AND($K33&lt;=AX$7,$L33&lt;=AX$7),1,AND($K33&lt;=AX$7,$L33&gt;AX$7),((AX$7-$K33)/($L33-$K33)))</f>
        <v>1</v>
      </c>
      <c r="AZ33" s="201">
        <f t="array" ref="AZ33">_xlfn.IFS(AND($K33&gt;AY$7,$L33&gt;AY$7),0,AND($K33&lt;=AY$7,$L33&lt;=AY$7),1,AND($K33&lt;=AY$7,$L33&gt;AY$7),((AY$7-$K33)/($L33-$K33)))</f>
        <v>1</v>
      </c>
      <c r="BA33" s="201">
        <f t="array" ref="BA33">_xlfn.IFS(AND($K33&gt;AZ$7,$L33&gt;AZ$7),0,AND($K33&lt;=AZ$7,$L33&lt;=AZ$7),1,AND($K33&lt;=AZ$7,$L33&gt;AZ$7),((AZ$7-$K33)/($L33-$K33)))</f>
        <v>1</v>
      </c>
      <c r="BB33" s="201">
        <f t="array" ref="BB33">_xlfn.IFS(AND($K33&gt;BA$7,$L33&gt;BA$7),0,AND($K33&lt;=BA$7,$L33&lt;=BA$7),1,AND($K33&lt;=BA$7,$L33&gt;BA$7),((BA$7-$K33)/($L33-$K33)))</f>
        <v>1</v>
      </c>
      <c r="BC33" s="201">
        <f t="array" ref="BC33">_xlfn.IFS(AND($K33&gt;BB$7,$L33&gt;BB$7),0,AND($K33&lt;=BB$7,$L33&lt;=BB$7),1,AND($K33&lt;=BB$7,$L33&gt;BB$7),((BB$7-$K33)/($L33-$K33)))</f>
        <v>1</v>
      </c>
      <c r="BD33" s="201">
        <f t="array" ref="BD33">_xlfn.IFS(AND($K33&gt;BC$7,$L33&gt;BC$7),0,AND($K33&lt;=BC$7,$L33&lt;=BC$7),1,AND($K33&lt;=BC$7,$L33&gt;BC$7),((BC$7-$K33)/($L33-$K33)))</f>
        <v>1</v>
      </c>
      <c r="BE33" s="201">
        <f t="array" ref="BE33">_xlfn.IFS(AND($K33&gt;BD$7,$L33&gt;BD$7),0,AND($K33&lt;=BD$7,$L33&lt;=BD$7),1,AND($K33&lt;=BD$7,$L33&gt;BD$7),((BD$7-$K33)/($L33-$K33)))</f>
        <v>1</v>
      </c>
      <c r="BF33" s="201">
        <f t="array" ref="BF33">_xlfn.IFS(AND($K33&gt;BE$7,$L33&gt;BE$7),0,AND($K33&lt;=BE$7,$L33&lt;=BE$7),1,AND($K33&lt;=BE$7,$L33&gt;BE$7),((BE$7-$K33)/($L33-$K33)))</f>
        <v>1</v>
      </c>
      <c r="BG33" s="201">
        <f t="array" ref="BG33">_xlfn.IFS(AND($K33&gt;BF$7,$L33&gt;BF$7),0,AND($K33&lt;=BF$7,$L33&lt;=BF$7),1,AND($K33&lt;=BF$7,$L33&gt;BF$7),((BF$7-$K33)/($L33-$K33)))</f>
        <v>1</v>
      </c>
      <c r="BH33" s="201">
        <f t="array" ref="BH33">_xlfn.IFS(AND($K33&gt;BG$7,$L33&gt;BG$7),0,AND($K33&lt;=BG$7,$L33&lt;=BG$7),1,AND($K33&lt;=BG$7,$L33&gt;BG$7),((BG$7-$K33)/($L33-$K33)))</f>
        <v>1</v>
      </c>
      <c r="BI33" s="201">
        <f t="array" ref="BI33">_xlfn.IFS(AND($K33&gt;BH$7,$L33&gt;BH$7),0,AND($K33&lt;=BH$7,$L33&lt;=BH$7),1,AND($K33&lt;=BH$7,$L33&gt;BH$7),((BH$7-$K33)/($L33-$K33)))</f>
        <v>1</v>
      </c>
      <c r="BJ33" s="201">
        <f t="array" ref="BJ33">_xlfn.IFS(AND($K33&gt;BI$7,$L33&gt;BI$7),0,AND($K33&lt;=BI$7,$L33&lt;=BI$7),1,AND($K33&lt;=BI$7,$L33&gt;BI$7),((BI$7-$K33)/($L33-$K33)))</f>
        <v>1</v>
      </c>
      <c r="BK33" s="201">
        <f t="array" ref="BK33">_xlfn.IFS(AND($K33&gt;BJ$7,$L33&gt;BJ$7),0,AND($K33&lt;=BJ$7,$L33&lt;=BJ$7),1,AND($K33&lt;=BJ$7,$L33&gt;BJ$7),((BJ$7-$K33)/($L33-$K33)))</f>
        <v>1</v>
      </c>
      <c r="BL33" s="201">
        <f t="array" ref="BL33">_xlfn.IFS(AND($K33&gt;BK$7,$L33&gt;BK$7),0,AND($K33&lt;=BK$7,$L33&lt;=BK$7),1,AND($K33&lt;=BK$7,$L33&gt;BK$7),((BK$7-$K33)/($L33-$K33)))</f>
        <v>1</v>
      </c>
      <c r="BM33" s="201">
        <f t="array" ref="BM33">_xlfn.IFS(AND($K33&gt;BL$7,$L33&gt;BL$7),0,AND($K33&lt;=BL$7,$L33&lt;=BL$7),1,AND($K33&lt;=BL$7,$L33&gt;BL$7),((BL$7-$K33)/($L33-$K33)))</f>
        <v>1</v>
      </c>
      <c r="BN33" s="201">
        <f t="array" ref="BN33">_xlfn.IFS(AND($K33&gt;BM$7,$L33&gt;BM$7),0,AND($K33&lt;=BM$7,$L33&lt;=BM$7),1,AND($K33&lt;=BM$7,$L33&gt;BM$7),((BM$7-$K33)/($L33-$K33)))</f>
        <v>1</v>
      </c>
    </row>
    <row r="34" spans="2:66" s="163" customFormat="1" x14ac:dyDescent="0.3">
      <c r="B34" s="210" t="str">
        <f t="array" ref="B34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34" s="166" t="s">
        <v>116</v>
      </c>
      <c r="D34" s="177" t="str">
        <f t="shared" si="2"/>
        <v>Arquitetura de projetos GERDAU</v>
      </c>
      <c r="E34" s="170" t="str">
        <f t="shared" si="12"/>
        <v>Definição da Estratégia para Transformação dos Processos</v>
      </c>
      <c r="F34" s="174" t="str">
        <f t="shared" si="21"/>
        <v>Entendimento Inicial dos Processos</v>
      </c>
      <c r="G34" s="166" t="str">
        <f t="shared" si="23"/>
        <v>Levantamento e categorização dos processos existentes</v>
      </c>
      <c r="H34" s="197" t="s">
        <v>117</v>
      </c>
      <c r="I34" s="166">
        <v>45715</v>
      </c>
      <c r="J34" s="40">
        <v>45715</v>
      </c>
      <c r="K34" s="166">
        <v>45715</v>
      </c>
      <c r="L34" s="40">
        <v>45715</v>
      </c>
      <c r="M34" s="167"/>
      <c r="N34" s="167" t="str">
        <f t="array" ref="N34">_xlfn.IFS(L34&lt;$M$3,"Concluído",AND(K34&gt;=$M$3,I34&lt;$M$3,L34&gt;$M$3),"Em andamento",AND(L34&gt;=$M$3,J34&lt;$M$3),"Atrasado",AND(L34&gt;=$M$3,J34&gt;=$M$3,I34&gt;$M$3,K34&lt;=$M$3),"Em andamento",AND(L34&gt;=$M$3,J34&gt;=$M$3,I34&lt;=$M$3,K34&lt;=$M$3),"Em andamento",AND(K34&gt;$M$3,I34&gt;$M$3),"Não iniciado",AND(L34&gt;=$M$3,J34&gt;=$M$3,K34&gt;=$M$3,I34&lt;$M$3),"Atrasado",AND(L34&gt;=$M$3,J34&gt;=$M$3,K34&gt;=$M$3,I34&gt;$M$3),"Não iniciado",AND($I34&lt;=$M$3,$K34&gt;$M$3),"Atrasado")</f>
        <v>Concluído</v>
      </c>
      <c r="O34" s="167">
        <f t="array" ref="O34">_xlfn.IFS(N34="Não iniciado",0,N34="Em andamento",1,N34="Concluído",2,N34="Atrasado",3)</f>
        <v>2</v>
      </c>
      <c r="P34" s="169"/>
      <c r="Q34" s="152">
        <f t="array" ref="Q34">_xlfn.IFS(AND($I34&lt;$M$3,$J34&lt;$M$3),1,AND($I34&lt;=$M$3,$J34&gt;=$M$3),0.5,AND($I34&gt;=$M$3,$J34&gt;=$M$3),0)</f>
        <v>1</v>
      </c>
      <c r="R34" s="152">
        <f t="array" ref="R34">_xlfn.IFS(AND($K34&lt;$M$3,$L34&lt;$M$3),1,AND($K34&lt;=$M$3,$L34&gt;=$M$3),0.5,AND($K34&gt;=$M$3,$L34&gt;=$M$3),0)</f>
        <v>1</v>
      </c>
      <c r="S34" s="201">
        <f t="array" ref="S34">_xlfn.IFS(AND($K34&gt;R$7,$L34&gt;R$7),0,AND($K34&lt;=R$7,$L34&lt;=R$7),1,AND($K34&lt;=R$7,$L34&gt;R$7),((R$7-$K34)/($L34-$K34)))</f>
        <v>0</v>
      </c>
      <c r="T34" s="201">
        <f t="array" ref="T34">_xlfn.IFS(AND($K34&gt;S$7,$L34&gt;S$7),0,AND($K34&lt;=S$7,$L34&lt;=S$7),1,AND($K34&lt;=S$7,$L34&gt;S$7),((S$7-$K34)/($L34-$K34)))</f>
        <v>0</v>
      </c>
      <c r="U34" s="201">
        <f t="array" ref="U34">_xlfn.IFS(AND($K34&gt;T$7,$L34&gt;T$7),0,AND($K34&lt;=T$7,$L34&lt;=T$7),1,AND($K34&lt;=T$7,$L34&gt;T$7),((T$7-$K34)/($L34-$K34)))</f>
        <v>0</v>
      </c>
      <c r="V34" s="201">
        <f t="array" ref="V34">_xlfn.IFS(AND($K34&gt;U$7,$L34&gt;U$7),0,AND($K34&lt;=U$7,$L34&lt;=U$7),1,AND($K34&lt;=U$7,$L34&gt;U$7),((U$7-$K34)/($L34-$K34)))</f>
        <v>0</v>
      </c>
      <c r="W34" s="201">
        <f t="array" ref="W34">_xlfn.IFS(AND($K34&gt;V$7,$L34&gt;V$7),0,AND($K34&lt;=V$7,$L34&lt;=V$7),1,AND($K34&lt;=V$7,$L34&gt;V$7),((V$7-$K34)/($L34-$K34)))</f>
        <v>1</v>
      </c>
      <c r="X34" s="201">
        <f t="array" ref="X34">_xlfn.IFS(AND($K34&gt;W$7,$L34&gt;W$7),0,AND($K34&lt;=W$7,$L34&lt;=W$7),1,AND($K34&lt;=W$7,$L34&gt;W$7),((W$7-$K34)/($L34-$K34)))</f>
        <v>1</v>
      </c>
      <c r="Y34" s="201">
        <f t="array" ref="Y34">_xlfn.IFS(AND($K34&gt;X$7,$L34&gt;X$7),0,AND($K34&lt;=X$7,$L34&lt;=X$7),1,AND($K34&lt;=X$7,$L34&gt;X$7),((X$7-$K34)/($L34-$K34)))</f>
        <v>1</v>
      </c>
      <c r="Z34" s="201">
        <f t="array" ref="Z34">_xlfn.IFS(AND($K34&gt;Y$7,$L34&gt;Y$7),0,AND($K34&lt;=Y$7,$L34&lt;=Y$7),1,AND($K34&lt;=Y$7,$L34&gt;Y$7),((Y$7-$K34)/($L34-$K34)))</f>
        <v>1</v>
      </c>
      <c r="AA34" s="201">
        <f t="array" ref="AA34">_xlfn.IFS(AND($K34&gt;Z$7,$L34&gt;Z$7),0,AND($K34&lt;=Z$7,$L34&lt;=Z$7),1,AND($K34&lt;=Z$7,$L34&gt;Z$7),((Z$7-$K34)/($L34-$K34)))</f>
        <v>1</v>
      </c>
      <c r="AB34" s="201">
        <f t="array" ref="AB34">_xlfn.IFS(AND($K34&gt;AA$7,$L34&gt;AA$7),0,AND($K34&lt;=AA$7,$L34&lt;=AA$7),1,AND($K34&lt;=AA$7,$L34&gt;AA$7),((AA$7-$K34)/($L34-$K34)))</f>
        <v>1</v>
      </c>
      <c r="AC34" s="201">
        <f t="array" ref="AC34">_xlfn.IFS(AND($K34&gt;AB$7,$L34&gt;AB$7),0,AND($K34&lt;=AB$7,$L34&lt;=AB$7),1,AND($K34&lt;=AB$7,$L34&gt;AB$7),((AB$7-$K34)/($L34-$K34)))</f>
        <v>1</v>
      </c>
      <c r="AD34" s="201">
        <f t="array" ref="AD34">_xlfn.IFS(AND($K34&gt;AC$7,$L34&gt;AC$7),0,AND($K34&lt;=AC$7,$L34&lt;=AC$7),1,AND($K34&lt;=AC$7,$L34&gt;AC$7),((AC$7-$K34)/($L34-$K34)))</f>
        <v>1</v>
      </c>
      <c r="AE34" s="201">
        <f t="array" ref="AE34">_xlfn.IFS(AND($K34&gt;AD$7,$L34&gt;AD$7),0,AND($K34&lt;=AD$7,$L34&lt;=AD$7),1,AND($K34&lt;=AD$7,$L34&gt;AD$7),((AD$7-$K34)/($L34-$K34)))</f>
        <v>1</v>
      </c>
      <c r="AF34" s="201">
        <f t="array" ref="AF34">_xlfn.IFS(AND($K34&gt;AE$7,$L34&gt;AE$7),0,AND($K34&lt;=AE$7,$L34&lt;=AE$7),1,AND($K34&lt;=AE$7,$L34&gt;AE$7),((AE$7-$K34)/($L34-$K34)))</f>
        <v>1</v>
      </c>
      <c r="AG34" s="201">
        <f t="array" ref="AG34">_xlfn.IFS(AND($K34&gt;AF$7,$L34&gt;AF$7),0,AND($K34&lt;=AF$7,$L34&lt;=AF$7),1,AND($K34&lt;=AF$7,$L34&gt;AF$7),((AF$7-$K34)/($L34-$K34)))</f>
        <v>1</v>
      </c>
      <c r="AH34" s="201">
        <f t="array" ref="AH34">_xlfn.IFS(AND($K34&gt;AG$7,$L34&gt;AG$7),0,AND($K34&lt;=AG$7,$L34&lt;=AG$7),1,AND($K34&lt;=AG$7,$L34&gt;AG$7),((AG$7-$K34)/($L34-$K34)))</f>
        <v>1</v>
      </c>
      <c r="AI34" s="201">
        <f t="array" ref="AI34">_xlfn.IFS(AND($K34&gt;AH$7,$L34&gt;AH$7),0,AND($K34&lt;=AH$7,$L34&lt;=AH$7),1,AND($K34&lt;=AH$7,$L34&gt;AH$7),((AH$7-$K34)/($L34-$K34)))</f>
        <v>1</v>
      </c>
      <c r="AJ34" s="201">
        <f t="array" ref="AJ34">_xlfn.IFS(AND($K34&gt;AI$7,$L34&gt;AI$7),0,AND($K34&lt;=AI$7,$L34&lt;=AI$7),1,AND($K34&lt;=AI$7,$L34&gt;AI$7),((AI$7-$K34)/($L34-$K34)))</f>
        <v>1</v>
      </c>
      <c r="AK34" s="201">
        <f t="array" ref="AK34">_xlfn.IFS(AND($K34&gt;AJ$7,$L34&gt;AJ$7),0,AND($K34&lt;=AJ$7,$L34&lt;=AJ$7),1,AND($K34&lt;=AJ$7,$L34&gt;AJ$7),((AJ$7-$K34)/($L34-$K34)))</f>
        <v>1</v>
      </c>
      <c r="AL34" s="201">
        <f t="array" ref="AL34">_xlfn.IFS(AND($K34&gt;AK$7,$L34&gt;AK$7),0,AND($K34&lt;=AK$7,$L34&lt;=AK$7),1,AND($K34&lt;=AK$7,$L34&gt;AK$7),((AK$7-$K34)/($L34-$K34)))</f>
        <v>1</v>
      </c>
      <c r="AM34" s="201">
        <f t="array" ref="AM34">_xlfn.IFS(AND($K34&gt;AL$7,$L34&gt;AL$7),0,AND($K34&lt;=AL$7,$L34&lt;=AL$7),1,AND($K34&lt;=AL$7,$L34&gt;AL$7),((AL$7-$K34)/($L34-$K34)))</f>
        <v>1</v>
      </c>
      <c r="AN34" s="201">
        <f t="array" ref="AN34">_xlfn.IFS(AND($K34&gt;AM$7,$L34&gt;AM$7),0,AND($K34&lt;=AM$7,$L34&lt;=AM$7),1,AND($K34&lt;=AM$7,$L34&gt;AM$7),((AM$7-$K34)/($L34-$K34)))</f>
        <v>1</v>
      </c>
      <c r="AO34" s="201">
        <f t="array" ref="AO34">_xlfn.IFS(AND($K34&gt;AN$7,$L34&gt;AN$7),0,AND($K34&lt;=AN$7,$L34&lt;=AN$7),1,AND($K34&lt;=AN$7,$L34&gt;AN$7),((AN$7-$K34)/($L34-$K34)))</f>
        <v>1</v>
      </c>
      <c r="AP34" s="201">
        <f t="array" ref="AP34">_xlfn.IFS(AND($K34&gt;AO$7,$L34&gt;AO$7),0,AND($K34&lt;=AO$7,$L34&lt;=AO$7),1,AND($K34&lt;=AO$7,$L34&gt;AO$7),((AO$7-$K34)/($L34-$K34)))</f>
        <v>1</v>
      </c>
      <c r="AQ34" s="201">
        <f t="array" ref="AQ34">_xlfn.IFS(AND($K34&gt;AP$7,$L34&gt;AP$7),0,AND($K34&lt;=AP$7,$L34&lt;=AP$7),1,AND($K34&lt;=AP$7,$L34&gt;AP$7),((AP$7-$K34)/($L34-$K34)))</f>
        <v>1</v>
      </c>
      <c r="AR34" s="201">
        <f t="array" ref="AR34">_xlfn.IFS(AND($K34&gt;AQ$7,$L34&gt;AQ$7),0,AND($K34&lt;=AQ$7,$L34&lt;=AQ$7),1,AND($K34&lt;=AQ$7,$L34&gt;AQ$7),((AQ$7-$K34)/($L34-$K34)))</f>
        <v>1</v>
      </c>
      <c r="AS34" s="201">
        <f t="array" ref="AS34">_xlfn.IFS(AND($K34&gt;AR$7,$L34&gt;AR$7),0,AND($K34&lt;=AR$7,$L34&lt;=AR$7),1,AND($K34&lt;=AR$7,$L34&gt;AR$7),((AR$7-$K34)/($L34-$K34)))</f>
        <v>1</v>
      </c>
      <c r="AT34" s="201">
        <f t="array" ref="AT34">_xlfn.IFS(AND($K34&gt;AS$7,$L34&gt;AS$7),0,AND($K34&lt;=AS$7,$L34&lt;=AS$7),1,AND($K34&lt;=AS$7,$L34&gt;AS$7),((AS$7-$K34)/($L34-$K34)))</f>
        <v>1</v>
      </c>
      <c r="AU34" s="201">
        <f t="array" ref="AU34">_xlfn.IFS(AND($K34&gt;AT$7,$L34&gt;AT$7),0,AND($K34&lt;=AT$7,$L34&lt;=AT$7),1,AND($K34&lt;=AT$7,$L34&gt;AT$7),((AT$7-$K34)/($L34-$K34)))</f>
        <v>1</v>
      </c>
      <c r="AV34" s="201">
        <f t="array" ref="AV34">_xlfn.IFS(AND($K34&gt;AU$7,$L34&gt;AU$7),0,AND($K34&lt;=AU$7,$L34&lt;=AU$7),1,AND($K34&lt;=AU$7,$L34&gt;AU$7),((AU$7-$K34)/($L34-$K34)))</f>
        <v>1</v>
      </c>
      <c r="AW34" s="201">
        <f t="array" ref="AW34">_xlfn.IFS(AND($K34&gt;AV$7,$L34&gt;AV$7),0,AND($K34&lt;=AV$7,$L34&lt;=AV$7),1,AND($K34&lt;=AV$7,$L34&gt;AV$7),((AV$7-$K34)/($L34-$K34)))</f>
        <v>1</v>
      </c>
      <c r="AX34" s="201">
        <f t="array" ref="AX34">_xlfn.IFS(AND($K34&gt;AW$7,$L34&gt;AW$7),0,AND($K34&lt;=AW$7,$L34&lt;=AW$7),1,AND($K34&lt;=AW$7,$L34&gt;AW$7),((AW$7-$K34)/($L34-$K34)))</f>
        <v>1</v>
      </c>
      <c r="AY34" s="201">
        <f t="array" ref="AY34">_xlfn.IFS(AND($K34&gt;AX$7,$L34&gt;AX$7),0,AND($K34&lt;=AX$7,$L34&lt;=AX$7),1,AND($K34&lt;=AX$7,$L34&gt;AX$7),((AX$7-$K34)/($L34-$K34)))</f>
        <v>1</v>
      </c>
      <c r="AZ34" s="201">
        <f t="array" ref="AZ34">_xlfn.IFS(AND($K34&gt;AY$7,$L34&gt;AY$7),0,AND($K34&lt;=AY$7,$L34&lt;=AY$7),1,AND($K34&lt;=AY$7,$L34&gt;AY$7),((AY$7-$K34)/($L34-$K34)))</f>
        <v>1</v>
      </c>
      <c r="BA34" s="201">
        <f t="array" ref="BA34">_xlfn.IFS(AND($K34&gt;AZ$7,$L34&gt;AZ$7),0,AND($K34&lt;=AZ$7,$L34&lt;=AZ$7),1,AND($K34&lt;=AZ$7,$L34&gt;AZ$7),((AZ$7-$K34)/($L34-$K34)))</f>
        <v>1</v>
      </c>
      <c r="BB34" s="201">
        <f t="array" ref="BB34">_xlfn.IFS(AND($K34&gt;BA$7,$L34&gt;BA$7),0,AND($K34&lt;=BA$7,$L34&lt;=BA$7),1,AND($K34&lt;=BA$7,$L34&gt;BA$7),((BA$7-$K34)/($L34-$K34)))</f>
        <v>1</v>
      </c>
      <c r="BC34" s="201">
        <f t="array" ref="BC34">_xlfn.IFS(AND($K34&gt;BB$7,$L34&gt;BB$7),0,AND($K34&lt;=BB$7,$L34&lt;=BB$7),1,AND($K34&lt;=BB$7,$L34&gt;BB$7),((BB$7-$K34)/($L34-$K34)))</f>
        <v>1</v>
      </c>
      <c r="BD34" s="201">
        <f t="array" ref="BD34">_xlfn.IFS(AND($K34&gt;BC$7,$L34&gt;BC$7),0,AND($K34&lt;=BC$7,$L34&lt;=BC$7),1,AND($K34&lt;=BC$7,$L34&gt;BC$7),((BC$7-$K34)/($L34-$K34)))</f>
        <v>1</v>
      </c>
      <c r="BE34" s="201">
        <f t="array" ref="BE34">_xlfn.IFS(AND($K34&gt;BD$7,$L34&gt;BD$7),0,AND($K34&lt;=BD$7,$L34&lt;=BD$7),1,AND($K34&lt;=BD$7,$L34&gt;BD$7),((BD$7-$K34)/($L34-$K34)))</f>
        <v>1</v>
      </c>
      <c r="BF34" s="201">
        <f t="array" ref="BF34">_xlfn.IFS(AND($K34&gt;BE$7,$L34&gt;BE$7),0,AND($K34&lt;=BE$7,$L34&lt;=BE$7),1,AND($K34&lt;=BE$7,$L34&gt;BE$7),((BE$7-$K34)/($L34-$K34)))</f>
        <v>1</v>
      </c>
      <c r="BG34" s="201">
        <f t="array" ref="BG34">_xlfn.IFS(AND($K34&gt;BF$7,$L34&gt;BF$7),0,AND($K34&lt;=BF$7,$L34&lt;=BF$7),1,AND($K34&lt;=BF$7,$L34&gt;BF$7),((BF$7-$K34)/($L34-$K34)))</f>
        <v>1</v>
      </c>
      <c r="BH34" s="201">
        <f t="array" ref="BH34">_xlfn.IFS(AND($K34&gt;BG$7,$L34&gt;BG$7),0,AND($K34&lt;=BG$7,$L34&lt;=BG$7),1,AND($K34&lt;=BG$7,$L34&gt;BG$7),((BG$7-$K34)/($L34-$K34)))</f>
        <v>1</v>
      </c>
      <c r="BI34" s="201">
        <f t="array" ref="BI34">_xlfn.IFS(AND($K34&gt;BH$7,$L34&gt;BH$7),0,AND($K34&lt;=BH$7,$L34&lt;=BH$7),1,AND($K34&lt;=BH$7,$L34&gt;BH$7),((BH$7-$K34)/($L34-$K34)))</f>
        <v>1</v>
      </c>
      <c r="BJ34" s="201">
        <f t="array" ref="BJ34">_xlfn.IFS(AND($K34&gt;BI$7,$L34&gt;BI$7),0,AND($K34&lt;=BI$7,$L34&lt;=BI$7),1,AND($K34&lt;=BI$7,$L34&gt;BI$7),((BI$7-$K34)/($L34-$K34)))</f>
        <v>1</v>
      </c>
      <c r="BK34" s="201">
        <f t="array" ref="BK34">_xlfn.IFS(AND($K34&gt;BJ$7,$L34&gt;BJ$7),0,AND($K34&lt;=BJ$7,$L34&lt;=BJ$7),1,AND($K34&lt;=BJ$7,$L34&gt;BJ$7),((BJ$7-$K34)/($L34-$K34)))</f>
        <v>1</v>
      </c>
      <c r="BL34" s="201">
        <f t="array" ref="BL34">_xlfn.IFS(AND($K34&gt;BK$7,$L34&gt;BK$7),0,AND($K34&lt;=BK$7,$L34&lt;=BK$7),1,AND($K34&lt;=BK$7,$L34&gt;BK$7),((BK$7-$K34)/($L34-$K34)))</f>
        <v>1</v>
      </c>
      <c r="BM34" s="201">
        <f t="array" ref="BM34">_xlfn.IFS(AND($K34&gt;BL$7,$L34&gt;BL$7),0,AND($K34&lt;=BL$7,$L34&lt;=BL$7),1,AND($K34&lt;=BL$7,$L34&gt;BL$7),((BL$7-$K34)/($L34-$K34)))</f>
        <v>1</v>
      </c>
      <c r="BN34" s="201">
        <f t="array" ref="BN34">_xlfn.IFS(AND($K34&gt;BM$7,$L34&gt;BM$7),0,AND($K34&lt;=BM$7,$L34&lt;=BM$7),1,AND($K34&lt;=BM$7,$L34&gt;BM$7),((BM$7-$K34)/($L34-$K34)))</f>
        <v>1</v>
      </c>
    </row>
    <row r="35" spans="2:66" s="163" customFormat="1" x14ac:dyDescent="0.3">
      <c r="B35" s="210" t="str">
        <f t="array" ref="B35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35" s="166" t="s">
        <v>118</v>
      </c>
      <c r="D35" s="211"/>
      <c r="E35" s="170" t="str">
        <f t="shared" si="12"/>
        <v>Definição da Estratégia para Transformação dos Processos</v>
      </c>
      <c r="F35" s="174" t="str">
        <f t="shared" si="21"/>
        <v>Entendimento Inicial dos Processos</v>
      </c>
      <c r="G35" s="166" t="str">
        <f t="shared" si="23"/>
        <v>Levantamento e categorização dos processos existentes</v>
      </c>
      <c r="H35" s="197" t="s">
        <v>119</v>
      </c>
      <c r="I35" s="166">
        <v>45715</v>
      </c>
      <c r="J35" s="40">
        <v>45715</v>
      </c>
      <c r="K35" s="166">
        <v>45720</v>
      </c>
      <c r="L35" s="166">
        <v>45722</v>
      </c>
      <c r="M35" s="167"/>
      <c r="N35" s="167" t="str">
        <f t="array" ref="N35">_xlfn.IFS(L35&lt;$M$3,"Concluído",AND(K35&gt;=$M$3,I35&lt;$M$3,L35&gt;$M$3),"Em andamento",AND(L35&gt;=$M$3,J35&lt;$M$3),"Atrasado",AND(L35&gt;=$M$3,J35&gt;=$M$3,I35&gt;$M$3,K35&lt;=$M$3),"Em andamento",AND(L35&gt;=$M$3,J35&gt;=$M$3,I35&lt;=$M$3,K35&lt;=$M$3),"Em andamento",AND(K35&gt;$M$3,I35&gt;$M$3),"Não iniciado",AND(L35&gt;=$M$3,J35&gt;=$M$3,K35&gt;=$M$3,I35&lt;$M$3),"Atrasado",AND(L35&gt;=$M$3,J35&gt;=$M$3,K35&gt;=$M$3,I35&gt;$M$3),"Não iniciado",AND($I35&lt;=$M$3,$K35&gt;$M$3),"Atrasado")</f>
        <v>Concluído</v>
      </c>
      <c r="O35" s="167">
        <f t="array" ref="O35">_xlfn.IFS(N35="Não iniciado",0,N35="Em andamento",1,N35="Concluído",2,N35="Atrasado",3)</f>
        <v>2</v>
      </c>
      <c r="P35" s="169"/>
      <c r="Q35" s="152">
        <f t="array" ref="Q35">_xlfn.IFS(AND($I35&lt;$M$3,$J35&lt;$M$3),1,AND($I35&lt;$M$3,$J35&gt;=$M$3),0.5,AND($I35&gt;=$M$3,$J35&gt;=$M$3),0)</f>
        <v>1</v>
      </c>
      <c r="R35" s="152">
        <f t="array" ref="R35">_xlfn.IFS(AND($K35&lt;$M$3,$L35&lt;$M$3),1,AND($K35&lt;=$M$3,$L35&gt;=$M$3),0.5,AND($K35&gt;=$M$3,$L35&gt;=$M$3),0)</f>
        <v>1</v>
      </c>
      <c r="S35" s="201">
        <f t="array" ref="S35">_xlfn.IFS(AND($K35&gt;R$7,$L35&gt;R$7),0,AND($K35&lt;=R$7,$L35&lt;=R$7),1,AND($K35&lt;=R$7,$L35&gt;R$7),((R$7-$K35)/($L35-$K35)))</f>
        <v>0</v>
      </c>
      <c r="T35" s="201">
        <f t="array" ref="T35">_xlfn.IFS(AND($K35&gt;S$7,$L35&gt;S$7),0,AND($K35&lt;=S$7,$L35&lt;=S$7),1,AND($K35&lt;=S$7,$L35&gt;S$7),((S$7-$K35)/($L35-$K35)))</f>
        <v>0</v>
      </c>
      <c r="U35" s="201">
        <f t="array" ref="U35">_xlfn.IFS(AND($K35&gt;T$7,$L35&gt;T$7),0,AND($K35&lt;=T$7,$L35&lt;=T$7),1,AND($K35&lt;=T$7,$L35&gt;T$7),((T$7-$K35)/($L35-$K35)))</f>
        <v>0</v>
      </c>
      <c r="V35" s="201">
        <f t="array" ref="V35">_xlfn.IFS(AND($K35&gt;U$7,$L35&gt;U$7),0,AND($K35&lt;=U$7,$L35&lt;=U$7),1,AND($K35&lt;=U$7,$L35&gt;U$7),((U$7-$K35)/($L35-$K35)))</f>
        <v>0</v>
      </c>
      <c r="W35" s="201">
        <f t="array" ref="W35">_xlfn.IFS(AND($K35&gt;V$7,$L35&gt;V$7),0,AND($K35&lt;=V$7,$L35&lt;=V$7),1,AND($K35&lt;=V$7,$L35&gt;V$7),((V$7-$K35)/($L35-$K35)))</f>
        <v>0</v>
      </c>
      <c r="X35" s="201">
        <f t="array" ref="X35">_xlfn.IFS(AND($K35&gt;W$7,$L35&gt;W$7),0,AND($K35&lt;=W$7,$L35&lt;=W$7),1,AND($K35&lt;=W$7,$L35&gt;W$7),((W$7-$K35)/($L35-$K35)))</f>
        <v>1</v>
      </c>
      <c r="Y35" s="201">
        <f t="array" ref="Y35">_xlfn.IFS(AND($K35&gt;X$7,$L35&gt;X$7),0,AND($K35&lt;=X$7,$L35&lt;=X$7),1,AND($K35&lt;=X$7,$L35&gt;X$7),((X$7-$K35)/($L35-$K35)))</f>
        <v>1</v>
      </c>
      <c r="Z35" s="201">
        <f t="array" ref="Z35">_xlfn.IFS(AND($K35&gt;Y$7,$L35&gt;Y$7),0,AND($K35&lt;=Y$7,$L35&lt;=Y$7),1,AND($K35&lt;=Y$7,$L35&gt;Y$7),((Y$7-$K35)/($L35-$K35)))</f>
        <v>1</v>
      </c>
      <c r="AA35" s="201">
        <f t="array" ref="AA35">_xlfn.IFS(AND($K35&gt;Z$7,$L35&gt;Z$7),0,AND($K35&lt;=Z$7,$L35&lt;=Z$7),1,AND($K35&lt;=Z$7,$L35&gt;Z$7),((Z$7-$K35)/($L35-$K35)))</f>
        <v>1</v>
      </c>
      <c r="AB35" s="201">
        <f t="array" ref="AB35">_xlfn.IFS(AND($K35&gt;AA$7,$L35&gt;AA$7),0,AND($K35&lt;=AA$7,$L35&lt;=AA$7),1,AND($K35&lt;=AA$7,$L35&gt;AA$7),((AA$7-$K35)/($L35-$K35)))</f>
        <v>1</v>
      </c>
      <c r="AC35" s="201">
        <f t="array" ref="AC35">_xlfn.IFS(AND($K35&gt;AB$7,$L35&gt;AB$7),0,AND($K35&lt;=AB$7,$L35&lt;=AB$7),1,AND($K35&lt;=AB$7,$L35&gt;AB$7),((AB$7-$K35)/($L35-$K35)))</f>
        <v>1</v>
      </c>
      <c r="AD35" s="201">
        <f t="array" ref="AD35">_xlfn.IFS(AND($K35&gt;AC$7,$L35&gt;AC$7),0,AND($K35&lt;=AC$7,$L35&lt;=AC$7),1,AND($K35&lt;=AC$7,$L35&gt;AC$7),((AC$7-$K35)/($L35-$K35)))</f>
        <v>1</v>
      </c>
      <c r="AE35" s="201">
        <f t="array" ref="AE35">_xlfn.IFS(AND($K35&gt;AD$7,$L35&gt;AD$7),0,AND($K35&lt;=AD$7,$L35&lt;=AD$7),1,AND($K35&lt;=AD$7,$L35&gt;AD$7),((AD$7-$K35)/($L35-$K35)))</f>
        <v>1</v>
      </c>
      <c r="AF35" s="201">
        <f t="array" ref="AF35">_xlfn.IFS(AND($K35&gt;AE$7,$L35&gt;AE$7),0,AND($K35&lt;=AE$7,$L35&lt;=AE$7),1,AND($K35&lt;=AE$7,$L35&gt;AE$7),((AE$7-$K35)/($L35-$K35)))</f>
        <v>1</v>
      </c>
      <c r="AG35" s="201">
        <f t="array" ref="AG35">_xlfn.IFS(AND($K35&gt;AF$7,$L35&gt;AF$7),0,AND($K35&lt;=AF$7,$L35&lt;=AF$7),1,AND($K35&lt;=AF$7,$L35&gt;AF$7),((AF$7-$K35)/($L35-$K35)))</f>
        <v>1</v>
      </c>
      <c r="AH35" s="201">
        <f t="array" ref="AH35">_xlfn.IFS(AND($K35&gt;AG$7,$L35&gt;AG$7),0,AND($K35&lt;=AG$7,$L35&lt;=AG$7),1,AND($K35&lt;=AG$7,$L35&gt;AG$7),((AG$7-$K35)/($L35-$K35)))</f>
        <v>1</v>
      </c>
      <c r="AI35" s="201">
        <f t="array" ref="AI35">_xlfn.IFS(AND($K35&gt;AH$7,$L35&gt;AH$7),0,AND($K35&lt;=AH$7,$L35&lt;=AH$7),1,AND($K35&lt;=AH$7,$L35&gt;AH$7),((AH$7-$K35)/($L35-$K35)))</f>
        <v>1</v>
      </c>
      <c r="AJ35" s="201">
        <f t="array" ref="AJ35">_xlfn.IFS(AND($K35&gt;AI$7,$L35&gt;AI$7),0,AND($K35&lt;=AI$7,$L35&lt;=AI$7),1,AND($K35&lt;=AI$7,$L35&gt;AI$7),((AI$7-$K35)/($L35-$K35)))</f>
        <v>1</v>
      </c>
      <c r="AK35" s="201">
        <f t="array" ref="AK35">_xlfn.IFS(AND($K35&gt;AJ$7,$L35&gt;AJ$7),0,AND($K35&lt;=AJ$7,$L35&lt;=AJ$7),1,AND($K35&lt;=AJ$7,$L35&gt;AJ$7),((AJ$7-$K35)/($L35-$K35)))</f>
        <v>1</v>
      </c>
      <c r="AL35" s="201">
        <f t="array" ref="AL35">_xlfn.IFS(AND($K35&gt;AK$7,$L35&gt;AK$7),0,AND($K35&lt;=AK$7,$L35&lt;=AK$7),1,AND($K35&lt;=AK$7,$L35&gt;AK$7),((AK$7-$K35)/($L35-$K35)))</f>
        <v>1</v>
      </c>
      <c r="AM35" s="201">
        <f t="array" ref="AM35">_xlfn.IFS(AND($K35&gt;AL$7,$L35&gt;AL$7),0,AND($K35&lt;=AL$7,$L35&lt;=AL$7),1,AND($K35&lt;=AL$7,$L35&gt;AL$7),((AL$7-$K35)/($L35-$K35)))</f>
        <v>1</v>
      </c>
      <c r="AN35" s="201">
        <f t="array" ref="AN35">_xlfn.IFS(AND($K35&gt;AM$7,$L35&gt;AM$7),0,AND($K35&lt;=AM$7,$L35&lt;=AM$7),1,AND($K35&lt;=AM$7,$L35&gt;AM$7),((AM$7-$K35)/($L35-$K35)))</f>
        <v>1</v>
      </c>
      <c r="AO35" s="201">
        <f t="array" ref="AO35">_xlfn.IFS(AND($K35&gt;AN$7,$L35&gt;AN$7),0,AND($K35&lt;=AN$7,$L35&lt;=AN$7),1,AND($K35&lt;=AN$7,$L35&gt;AN$7),((AN$7-$K35)/($L35-$K35)))</f>
        <v>1</v>
      </c>
      <c r="AP35" s="201">
        <f t="array" ref="AP35">_xlfn.IFS(AND($K35&gt;AO$7,$L35&gt;AO$7),0,AND($K35&lt;=AO$7,$L35&lt;=AO$7),1,AND($K35&lt;=AO$7,$L35&gt;AO$7),((AO$7-$K35)/($L35-$K35)))</f>
        <v>1</v>
      </c>
      <c r="AQ35" s="201">
        <f t="array" ref="AQ35">_xlfn.IFS(AND($K35&gt;AP$7,$L35&gt;AP$7),0,AND($K35&lt;=AP$7,$L35&lt;=AP$7),1,AND($K35&lt;=AP$7,$L35&gt;AP$7),((AP$7-$K35)/($L35-$K35)))</f>
        <v>1</v>
      </c>
      <c r="AR35" s="201">
        <f t="array" ref="AR35">_xlfn.IFS(AND($K35&gt;AQ$7,$L35&gt;AQ$7),0,AND($K35&lt;=AQ$7,$L35&lt;=AQ$7),1,AND($K35&lt;=AQ$7,$L35&gt;AQ$7),((AQ$7-$K35)/($L35-$K35)))</f>
        <v>1</v>
      </c>
      <c r="AS35" s="201">
        <f t="array" ref="AS35">_xlfn.IFS(AND($K35&gt;AR$7,$L35&gt;AR$7),0,AND($K35&lt;=AR$7,$L35&lt;=AR$7),1,AND($K35&lt;=AR$7,$L35&gt;AR$7),((AR$7-$K35)/($L35-$K35)))</f>
        <v>1</v>
      </c>
      <c r="AT35" s="201">
        <f t="array" ref="AT35">_xlfn.IFS(AND($K35&gt;AS$7,$L35&gt;AS$7),0,AND($K35&lt;=AS$7,$L35&lt;=AS$7),1,AND($K35&lt;=AS$7,$L35&gt;AS$7),((AS$7-$K35)/($L35-$K35)))</f>
        <v>1</v>
      </c>
      <c r="AU35" s="201">
        <f t="array" ref="AU35">_xlfn.IFS(AND($K35&gt;AT$7,$L35&gt;AT$7),0,AND($K35&lt;=AT$7,$L35&lt;=AT$7),1,AND($K35&lt;=AT$7,$L35&gt;AT$7),((AT$7-$K35)/($L35-$K35)))</f>
        <v>1</v>
      </c>
      <c r="AV35" s="201">
        <f t="array" ref="AV35">_xlfn.IFS(AND($K35&gt;AU$7,$L35&gt;AU$7),0,AND($K35&lt;=AU$7,$L35&lt;=AU$7),1,AND($K35&lt;=AU$7,$L35&gt;AU$7),((AU$7-$K35)/($L35-$K35)))</f>
        <v>1</v>
      </c>
      <c r="AW35" s="201">
        <f t="array" ref="AW35">_xlfn.IFS(AND($K35&gt;AV$7,$L35&gt;AV$7),0,AND($K35&lt;=AV$7,$L35&lt;=AV$7),1,AND($K35&lt;=AV$7,$L35&gt;AV$7),((AV$7-$K35)/($L35-$K35)))</f>
        <v>1</v>
      </c>
      <c r="AX35" s="201">
        <f t="array" ref="AX35">_xlfn.IFS(AND($K35&gt;AW$7,$L35&gt;AW$7),0,AND($K35&lt;=AW$7,$L35&lt;=AW$7),1,AND($K35&lt;=AW$7,$L35&gt;AW$7),((AW$7-$K35)/($L35-$K35)))</f>
        <v>1</v>
      </c>
      <c r="AY35" s="201">
        <f t="array" ref="AY35">_xlfn.IFS(AND($K35&gt;AX$7,$L35&gt;AX$7),0,AND($K35&lt;=AX$7,$L35&lt;=AX$7),1,AND($K35&lt;=AX$7,$L35&gt;AX$7),((AX$7-$K35)/($L35-$K35)))</f>
        <v>1</v>
      </c>
      <c r="AZ35" s="201">
        <f t="array" ref="AZ35">_xlfn.IFS(AND($K35&gt;AY$7,$L35&gt;AY$7),0,AND($K35&lt;=AY$7,$L35&lt;=AY$7),1,AND($K35&lt;=AY$7,$L35&gt;AY$7),((AY$7-$K35)/($L35-$K35)))</f>
        <v>1</v>
      </c>
      <c r="BA35" s="201">
        <f t="array" ref="BA35">_xlfn.IFS(AND($K35&gt;AZ$7,$L35&gt;AZ$7),0,AND($K35&lt;=AZ$7,$L35&lt;=AZ$7),1,AND($K35&lt;=AZ$7,$L35&gt;AZ$7),((AZ$7-$K35)/($L35-$K35)))</f>
        <v>1</v>
      </c>
      <c r="BB35" s="201">
        <f t="array" ref="BB35">_xlfn.IFS(AND($K35&gt;BA$7,$L35&gt;BA$7),0,AND($K35&lt;=BA$7,$L35&lt;=BA$7),1,AND($K35&lt;=BA$7,$L35&gt;BA$7),((BA$7-$K35)/($L35-$K35)))</f>
        <v>1</v>
      </c>
      <c r="BC35" s="201">
        <f t="array" ref="BC35">_xlfn.IFS(AND($K35&gt;BB$7,$L35&gt;BB$7),0,AND($K35&lt;=BB$7,$L35&lt;=BB$7),1,AND($K35&lt;=BB$7,$L35&gt;BB$7),((BB$7-$K35)/($L35-$K35)))</f>
        <v>1</v>
      </c>
      <c r="BD35" s="201">
        <f t="array" ref="BD35">_xlfn.IFS(AND($K35&gt;BC$7,$L35&gt;BC$7),0,AND($K35&lt;=BC$7,$L35&lt;=BC$7),1,AND($K35&lt;=BC$7,$L35&gt;BC$7),((BC$7-$K35)/($L35-$K35)))</f>
        <v>1</v>
      </c>
      <c r="BE35" s="201">
        <f t="array" ref="BE35">_xlfn.IFS(AND($K35&gt;BD$7,$L35&gt;BD$7),0,AND($K35&lt;=BD$7,$L35&lt;=BD$7),1,AND($K35&lt;=BD$7,$L35&gt;BD$7),((BD$7-$K35)/($L35-$K35)))</f>
        <v>1</v>
      </c>
      <c r="BF35" s="201">
        <f t="array" ref="BF35">_xlfn.IFS(AND($K35&gt;BE$7,$L35&gt;BE$7),0,AND($K35&lt;=BE$7,$L35&lt;=BE$7),1,AND($K35&lt;=BE$7,$L35&gt;BE$7),((BE$7-$K35)/($L35-$K35)))</f>
        <v>1</v>
      </c>
      <c r="BG35" s="201">
        <f t="array" ref="BG35">_xlfn.IFS(AND($K35&gt;BF$7,$L35&gt;BF$7),0,AND($K35&lt;=BF$7,$L35&lt;=BF$7),1,AND($K35&lt;=BF$7,$L35&gt;BF$7),((BF$7-$K35)/($L35-$K35)))</f>
        <v>1</v>
      </c>
      <c r="BH35" s="201">
        <f t="array" ref="BH35">_xlfn.IFS(AND($K35&gt;BG$7,$L35&gt;BG$7),0,AND($K35&lt;=BG$7,$L35&lt;=BG$7),1,AND($K35&lt;=BG$7,$L35&gt;BG$7),((BG$7-$K35)/($L35-$K35)))</f>
        <v>1</v>
      </c>
      <c r="BI35" s="201">
        <f t="array" ref="BI35">_xlfn.IFS(AND($K35&gt;BH$7,$L35&gt;BH$7),0,AND($K35&lt;=BH$7,$L35&lt;=BH$7),1,AND($K35&lt;=BH$7,$L35&gt;BH$7),((BH$7-$K35)/($L35-$K35)))</f>
        <v>1</v>
      </c>
      <c r="BJ35" s="201">
        <f t="array" ref="BJ35">_xlfn.IFS(AND($K35&gt;BI$7,$L35&gt;BI$7),0,AND($K35&lt;=BI$7,$L35&lt;=BI$7),1,AND($K35&lt;=BI$7,$L35&gt;BI$7),((BI$7-$K35)/($L35-$K35)))</f>
        <v>1</v>
      </c>
      <c r="BK35" s="201">
        <f t="array" ref="BK35">_xlfn.IFS(AND($K35&gt;BJ$7,$L35&gt;BJ$7),0,AND($K35&lt;=BJ$7,$L35&lt;=BJ$7),1,AND($K35&lt;=BJ$7,$L35&gt;BJ$7),((BJ$7-$K35)/($L35-$K35)))</f>
        <v>1</v>
      </c>
      <c r="BL35" s="201">
        <f t="array" ref="BL35">_xlfn.IFS(AND($K35&gt;BK$7,$L35&gt;BK$7),0,AND($K35&lt;=BK$7,$L35&lt;=BK$7),1,AND($K35&lt;=BK$7,$L35&gt;BK$7),((BK$7-$K35)/($L35-$K35)))</f>
        <v>1</v>
      </c>
      <c r="BM35" s="201">
        <f t="array" ref="BM35">_xlfn.IFS(AND($K35&gt;BL$7,$L35&gt;BL$7),0,AND($K35&lt;=BL$7,$L35&lt;=BL$7),1,AND($K35&lt;=BL$7,$L35&gt;BL$7),((BL$7-$K35)/($L35-$K35)))</f>
        <v>1</v>
      </c>
      <c r="BN35" s="201">
        <f t="array" ref="BN35">_xlfn.IFS(AND($K35&gt;BM$7,$L35&gt;BM$7),0,AND($K35&lt;=BM$7,$L35&lt;=BM$7),1,AND($K35&lt;=BM$7,$L35&gt;BM$7),((BM$7-$K35)/($L35-$K35)))</f>
        <v>1</v>
      </c>
    </row>
    <row r="36" spans="2:66" s="46" customFormat="1" ht="15" customHeight="1" x14ac:dyDescent="0.3">
      <c r="B36" s="174" t="str">
        <f t="array" ref="B36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36" s="174" t="s">
        <v>120</v>
      </c>
      <c r="D36" s="177" t="str">
        <f t="shared" ref="D36:D46" si="24">$H$11</f>
        <v>Arquitetura de projetos GERDAU</v>
      </c>
      <c r="E36" s="170" t="str">
        <f t="shared" si="12"/>
        <v>Definição da Estratégia para Transformação dos Processos</v>
      </c>
      <c r="F36" s="174" t="str">
        <f t="shared" si="21"/>
        <v>Entendimento Inicial dos Processos</v>
      </c>
      <c r="G36" s="174" t="s">
        <v>121</v>
      </c>
      <c r="H36" s="195" t="s">
        <v>122</v>
      </c>
      <c r="I36" s="174">
        <f>MIN(I37)</f>
        <v>45705</v>
      </c>
      <c r="J36" s="174">
        <f>MAX(J37)</f>
        <v>45715</v>
      </c>
      <c r="K36" s="174">
        <f>MIN(K37)</f>
        <v>45705</v>
      </c>
      <c r="L36" s="174">
        <f>MAX(L37)</f>
        <v>45722</v>
      </c>
      <c r="M36" s="175"/>
      <c r="N36" s="175" t="str">
        <f t="array" ref="N36">_xlfn.IFS(L36&lt;$M$3,"Concluído",AND(K36&gt;=$M$3,I36&lt;$M$3,L36&gt;$M$3),"Em andamento",AND(L36&gt;=$M$3,J36&lt;$M$3),"Atrasado",AND(L36&gt;=$M$3,J36&gt;=$M$3,I36&gt;$M$3,K36&lt;=$M$3),"Em andamento",AND(L36&gt;=$M$3,J36&gt;=$M$3,I36&lt;=$M$3,K36&lt;=$M$3),"Em andamento",AND(K36&gt;$M$3,I36&gt;$M$3),"Não iniciado",AND(L36&gt;=$M$3,J36&gt;=$M$3,K36&gt;=$M$3,I36&lt;$M$3),"Atrasado",AND(L36&gt;=$M$3,J36&gt;=$M$3,K36&gt;=$M$3,I36&gt;$M$3),"Não iniciado",AND($I36&lt;=$M$3,$K36&gt;$M$3),"Atrasado")</f>
        <v>Concluído</v>
      </c>
      <c r="O36" s="175">
        <f t="array" ref="O36">_xlfn.IFS(N36="Não iniciado",0,N36="Em andamento",1,N36="Concluído",2,N36="Atrasado",3)</f>
        <v>2</v>
      </c>
      <c r="P36" s="176"/>
      <c r="Q36" s="156">
        <f t="array" ref="Q36">_xlfn.IFS(AND($I36&lt;$M$3,$J36&lt;$M$3),1,AND($I36&lt;$M$3,$J36&gt;=$M$3),0.5,AND($I36&gt;=$M$3,$J36&gt;=$M$3),0)</f>
        <v>1</v>
      </c>
      <c r="R36" s="156">
        <f t="array" ref="R36">_xlfn.IFS(AND($I36&lt;$M$3,$J36&lt;$M$3),1,AND($I36&lt;$M$3,$J36&gt;=$M$3),0.5,AND($I36&gt;=$M$3,$J36&gt;=$M$3),0)</f>
        <v>1</v>
      </c>
      <c r="S36" s="205">
        <f t="array" ref="S36">_xlfn.IFS(AND($K36&gt;R$7,$L36&gt;R$7),0,AND($K36&lt;=R$7,$L36&lt;=R$7),1,AND($K36&lt;=R$7,$L36&gt;R$7),((R$7-$K36)/($L36-$K36)))</f>
        <v>0</v>
      </c>
      <c r="T36" s="205">
        <f t="array" ref="T36">_xlfn.IFS(AND($K36&gt;S$7,$L36&gt;S$7),0,AND($K36&lt;=S$7,$L36&lt;=S$7),1,AND($K36&lt;=S$7,$L36&gt;S$7),((S$7-$K36)/($L36-$K36)))</f>
        <v>0</v>
      </c>
      <c r="U36" s="205">
        <f t="array" ref="U36">_xlfn.IFS(AND($K36&gt;T$7,$L36&gt;T$7),0,AND($K36&lt;=T$7,$L36&lt;=T$7),1,AND($K36&lt;=T$7,$L36&gt;T$7),((T$7-$K36)/($L36-$K36)))</f>
        <v>0</v>
      </c>
      <c r="V36" s="205">
        <f t="array" ref="V36">_xlfn.IFS(AND($K36&gt;U$7,$L36&gt;U$7),0,AND($K36&lt;=U$7,$L36&lt;=U$7),1,AND($K36&lt;=U$7,$L36&gt;U$7),((U$7-$K36)/($L36-$K36)))</f>
        <v>0.29411764705882354</v>
      </c>
      <c r="W36" s="205">
        <f t="array" ref="W36">_xlfn.IFS(AND($K36&gt;V$7,$L36&gt;V$7),0,AND($K36&lt;=V$7,$L36&lt;=V$7),1,AND($K36&lt;=V$7,$L36&gt;V$7),((V$7-$K36)/($L36-$K36)))</f>
        <v>0.70588235294117652</v>
      </c>
      <c r="X36" s="205">
        <f t="array" ref="X36">_xlfn.IFS(AND($K36&gt;W$7,$L36&gt;W$7),0,AND($K36&lt;=W$7,$L36&lt;=W$7),1,AND($K36&lt;=W$7,$L36&gt;W$7),((W$7-$K36)/($L36-$K36)))</f>
        <v>1</v>
      </c>
      <c r="Y36" s="205">
        <f t="array" ref="Y36">_xlfn.IFS(AND($K36&gt;X$7,$L36&gt;X$7),0,AND($K36&lt;=X$7,$L36&lt;=X$7),1,AND($K36&lt;=X$7,$L36&gt;X$7),((X$7-$K36)/($L36-$K36)))</f>
        <v>1</v>
      </c>
      <c r="Z36" s="205">
        <f t="array" ref="Z36">_xlfn.IFS(AND($K36&gt;Y$7,$L36&gt;Y$7),0,AND($K36&lt;=Y$7,$L36&lt;=Y$7),1,AND($K36&lt;=Y$7,$L36&gt;Y$7),((Y$7-$K36)/($L36-$K36)))</f>
        <v>1</v>
      </c>
      <c r="AA36" s="205">
        <f t="array" ref="AA36">_xlfn.IFS(AND($K36&gt;Z$7,$L36&gt;Z$7),0,AND($K36&lt;=Z$7,$L36&lt;=Z$7),1,AND($K36&lt;=Z$7,$L36&gt;Z$7),((Z$7-$K36)/($L36-$K36)))</f>
        <v>1</v>
      </c>
      <c r="AB36" s="205">
        <f t="array" ref="AB36">_xlfn.IFS(AND($K36&gt;AA$7,$L36&gt;AA$7),0,AND($K36&lt;=AA$7,$L36&lt;=AA$7),1,AND($K36&lt;=AA$7,$L36&gt;AA$7),((AA$7-$K36)/($L36-$K36)))</f>
        <v>1</v>
      </c>
      <c r="AC36" s="205">
        <f t="array" ref="AC36">_xlfn.IFS(AND($K36&gt;AB$7,$L36&gt;AB$7),0,AND($K36&lt;=AB$7,$L36&lt;=AB$7),1,AND($K36&lt;=AB$7,$L36&gt;AB$7),((AB$7-$K36)/($L36-$K36)))</f>
        <v>1</v>
      </c>
      <c r="AD36" s="205">
        <f t="array" ref="AD36">_xlfn.IFS(AND($K36&gt;AC$7,$L36&gt;AC$7),0,AND($K36&lt;=AC$7,$L36&lt;=AC$7),1,AND($K36&lt;=AC$7,$L36&gt;AC$7),((AC$7-$K36)/($L36-$K36)))</f>
        <v>1</v>
      </c>
      <c r="AE36" s="205">
        <f t="array" ref="AE36">_xlfn.IFS(AND($K36&gt;AD$7,$L36&gt;AD$7),0,AND($K36&lt;=AD$7,$L36&lt;=AD$7),1,AND($K36&lt;=AD$7,$L36&gt;AD$7),((AD$7-$K36)/($L36-$K36)))</f>
        <v>1</v>
      </c>
      <c r="AF36" s="205">
        <f t="array" ref="AF36">_xlfn.IFS(AND($K36&gt;AE$7,$L36&gt;AE$7),0,AND($K36&lt;=AE$7,$L36&lt;=AE$7),1,AND($K36&lt;=AE$7,$L36&gt;AE$7),((AE$7-$K36)/($L36-$K36)))</f>
        <v>1</v>
      </c>
      <c r="AG36" s="205">
        <f t="array" ref="AG36">_xlfn.IFS(AND($K36&gt;AF$7,$L36&gt;AF$7),0,AND($K36&lt;=AF$7,$L36&lt;=AF$7),1,AND($K36&lt;=AF$7,$L36&gt;AF$7),((AF$7-$K36)/($L36-$K36)))</f>
        <v>1</v>
      </c>
      <c r="AH36" s="205">
        <f t="array" ref="AH36">_xlfn.IFS(AND($K36&gt;AG$7,$L36&gt;AG$7),0,AND($K36&lt;=AG$7,$L36&lt;=AG$7),1,AND($K36&lt;=AG$7,$L36&gt;AG$7),((AG$7-$K36)/($L36-$K36)))</f>
        <v>1</v>
      </c>
      <c r="AI36" s="205">
        <f t="array" ref="AI36">_xlfn.IFS(AND($K36&gt;AH$7,$L36&gt;AH$7),0,AND($K36&lt;=AH$7,$L36&lt;=AH$7),1,AND($K36&lt;=AH$7,$L36&gt;AH$7),((AH$7-$K36)/($L36-$K36)))</f>
        <v>1</v>
      </c>
      <c r="AJ36" s="205">
        <f t="array" ref="AJ36">_xlfn.IFS(AND($K36&gt;AI$7,$L36&gt;AI$7),0,AND($K36&lt;=AI$7,$L36&lt;=AI$7),1,AND($K36&lt;=AI$7,$L36&gt;AI$7),((AI$7-$K36)/($L36-$K36)))</f>
        <v>1</v>
      </c>
      <c r="AK36" s="205">
        <f t="array" ref="AK36">_xlfn.IFS(AND($K36&gt;AJ$7,$L36&gt;AJ$7),0,AND($K36&lt;=AJ$7,$L36&lt;=AJ$7),1,AND($K36&lt;=AJ$7,$L36&gt;AJ$7),((AJ$7-$K36)/($L36-$K36)))</f>
        <v>1</v>
      </c>
      <c r="AL36" s="205">
        <f t="array" ref="AL36">_xlfn.IFS(AND($K36&gt;AK$7,$L36&gt;AK$7),0,AND($K36&lt;=AK$7,$L36&lt;=AK$7),1,AND($K36&lt;=AK$7,$L36&gt;AK$7),((AK$7-$K36)/($L36-$K36)))</f>
        <v>1</v>
      </c>
      <c r="AM36" s="205">
        <f t="array" ref="AM36">_xlfn.IFS(AND($K36&gt;AL$7,$L36&gt;AL$7),0,AND($K36&lt;=AL$7,$L36&lt;=AL$7),1,AND($K36&lt;=AL$7,$L36&gt;AL$7),((AL$7-$K36)/($L36-$K36)))</f>
        <v>1</v>
      </c>
      <c r="AN36" s="205">
        <f t="array" ref="AN36">_xlfn.IFS(AND($K36&gt;AM$7,$L36&gt;AM$7),0,AND($K36&lt;=AM$7,$L36&lt;=AM$7),1,AND($K36&lt;=AM$7,$L36&gt;AM$7),((AM$7-$K36)/($L36-$K36)))</f>
        <v>1</v>
      </c>
      <c r="AO36" s="205">
        <f t="array" ref="AO36">_xlfn.IFS(AND($K36&gt;AN$7,$L36&gt;AN$7),0,AND($K36&lt;=AN$7,$L36&lt;=AN$7),1,AND($K36&lt;=AN$7,$L36&gt;AN$7),((AN$7-$K36)/($L36-$K36)))</f>
        <v>1</v>
      </c>
      <c r="AP36" s="205">
        <f t="array" ref="AP36">_xlfn.IFS(AND($K36&gt;AO$7,$L36&gt;AO$7),0,AND($K36&lt;=AO$7,$L36&lt;=AO$7),1,AND($K36&lt;=AO$7,$L36&gt;AO$7),((AO$7-$K36)/($L36-$K36)))</f>
        <v>1</v>
      </c>
      <c r="AQ36" s="205">
        <f t="array" ref="AQ36">_xlfn.IFS(AND($K36&gt;AP$7,$L36&gt;AP$7),0,AND($K36&lt;=AP$7,$L36&lt;=AP$7),1,AND($K36&lt;=AP$7,$L36&gt;AP$7),((AP$7-$K36)/($L36-$K36)))</f>
        <v>1</v>
      </c>
      <c r="AR36" s="205">
        <f t="array" ref="AR36">_xlfn.IFS(AND($K36&gt;AQ$7,$L36&gt;AQ$7),0,AND($K36&lt;=AQ$7,$L36&lt;=AQ$7),1,AND($K36&lt;=AQ$7,$L36&gt;AQ$7),((AQ$7-$K36)/($L36-$K36)))</f>
        <v>1</v>
      </c>
      <c r="AS36" s="205">
        <f t="array" ref="AS36">_xlfn.IFS(AND($K36&gt;AR$7,$L36&gt;AR$7),0,AND($K36&lt;=AR$7,$L36&lt;=AR$7),1,AND($K36&lt;=AR$7,$L36&gt;AR$7),((AR$7-$K36)/($L36-$K36)))</f>
        <v>1</v>
      </c>
      <c r="AT36" s="205">
        <f t="array" ref="AT36">_xlfn.IFS(AND($K36&gt;AS$7,$L36&gt;AS$7),0,AND($K36&lt;=AS$7,$L36&lt;=AS$7),1,AND($K36&lt;=AS$7,$L36&gt;AS$7),((AS$7-$K36)/($L36-$K36)))</f>
        <v>1</v>
      </c>
      <c r="AU36" s="205">
        <f t="array" ref="AU36">_xlfn.IFS(AND($K36&gt;AT$7,$L36&gt;AT$7),0,AND($K36&lt;=AT$7,$L36&lt;=AT$7),1,AND($K36&lt;=AT$7,$L36&gt;AT$7),((AT$7-$K36)/($L36-$K36)))</f>
        <v>1</v>
      </c>
      <c r="AV36" s="205">
        <f t="array" ref="AV36">_xlfn.IFS(AND($K36&gt;AU$7,$L36&gt;AU$7),0,AND($K36&lt;=AU$7,$L36&lt;=AU$7),1,AND($K36&lt;=AU$7,$L36&gt;AU$7),((AU$7-$K36)/($L36-$K36)))</f>
        <v>1</v>
      </c>
      <c r="AW36" s="205">
        <f t="array" ref="AW36">_xlfn.IFS(AND($K36&gt;AV$7,$L36&gt;AV$7),0,AND($K36&lt;=AV$7,$L36&lt;=AV$7),1,AND($K36&lt;=AV$7,$L36&gt;AV$7),((AV$7-$K36)/($L36-$K36)))</f>
        <v>1</v>
      </c>
      <c r="AX36" s="205">
        <f t="array" ref="AX36">_xlfn.IFS(AND($K36&gt;AW$7,$L36&gt;AW$7),0,AND($K36&lt;=AW$7,$L36&lt;=AW$7),1,AND($K36&lt;=AW$7,$L36&gt;AW$7),((AW$7-$K36)/($L36-$K36)))</f>
        <v>1</v>
      </c>
      <c r="AY36" s="205">
        <f t="array" ref="AY36">_xlfn.IFS(AND($K36&gt;AX$7,$L36&gt;AX$7),0,AND($K36&lt;=AX$7,$L36&lt;=AX$7),1,AND($K36&lt;=AX$7,$L36&gt;AX$7),((AX$7-$K36)/($L36-$K36)))</f>
        <v>1</v>
      </c>
      <c r="AZ36" s="205">
        <f t="array" ref="AZ36">_xlfn.IFS(AND($K36&gt;AY$7,$L36&gt;AY$7),0,AND($K36&lt;=AY$7,$L36&lt;=AY$7),1,AND($K36&lt;=AY$7,$L36&gt;AY$7),((AY$7-$K36)/($L36-$K36)))</f>
        <v>1</v>
      </c>
      <c r="BA36" s="205">
        <f t="array" ref="BA36">_xlfn.IFS(AND($K36&gt;AZ$7,$L36&gt;AZ$7),0,AND($K36&lt;=AZ$7,$L36&lt;=AZ$7),1,AND($K36&lt;=AZ$7,$L36&gt;AZ$7),((AZ$7-$K36)/($L36-$K36)))</f>
        <v>1</v>
      </c>
      <c r="BB36" s="205">
        <f t="array" ref="BB36">_xlfn.IFS(AND($K36&gt;BA$7,$L36&gt;BA$7),0,AND($K36&lt;=BA$7,$L36&lt;=BA$7),1,AND($K36&lt;=BA$7,$L36&gt;BA$7),((BA$7-$K36)/($L36-$K36)))</f>
        <v>1</v>
      </c>
      <c r="BC36" s="205">
        <f t="array" ref="BC36">_xlfn.IFS(AND($K36&gt;BB$7,$L36&gt;BB$7),0,AND($K36&lt;=BB$7,$L36&lt;=BB$7),1,AND($K36&lt;=BB$7,$L36&gt;BB$7),((BB$7-$K36)/($L36-$K36)))</f>
        <v>1</v>
      </c>
      <c r="BD36" s="205">
        <f t="array" ref="BD36">_xlfn.IFS(AND($K36&gt;BC$7,$L36&gt;BC$7),0,AND($K36&lt;=BC$7,$L36&lt;=BC$7),1,AND($K36&lt;=BC$7,$L36&gt;BC$7),((BC$7-$K36)/($L36-$K36)))</f>
        <v>1</v>
      </c>
      <c r="BE36" s="205">
        <f t="array" ref="BE36">_xlfn.IFS(AND($K36&gt;BD$7,$L36&gt;BD$7),0,AND($K36&lt;=BD$7,$L36&lt;=BD$7),1,AND($K36&lt;=BD$7,$L36&gt;BD$7),((BD$7-$K36)/($L36-$K36)))</f>
        <v>1</v>
      </c>
      <c r="BF36" s="205">
        <f t="array" ref="BF36">_xlfn.IFS(AND($K36&gt;BE$7,$L36&gt;BE$7),0,AND($K36&lt;=BE$7,$L36&lt;=BE$7),1,AND($K36&lt;=BE$7,$L36&gt;BE$7),((BE$7-$K36)/($L36-$K36)))</f>
        <v>1</v>
      </c>
      <c r="BG36" s="205">
        <f t="array" ref="BG36">_xlfn.IFS(AND($K36&gt;BF$7,$L36&gt;BF$7),0,AND($K36&lt;=BF$7,$L36&lt;=BF$7),1,AND($K36&lt;=BF$7,$L36&gt;BF$7),((BF$7-$K36)/($L36-$K36)))</f>
        <v>1</v>
      </c>
      <c r="BH36" s="205">
        <f t="array" ref="BH36">_xlfn.IFS(AND($K36&gt;BG$7,$L36&gt;BG$7),0,AND($K36&lt;=BG$7,$L36&lt;=BG$7),1,AND($K36&lt;=BG$7,$L36&gt;BG$7),((BG$7-$K36)/($L36-$K36)))</f>
        <v>1</v>
      </c>
      <c r="BI36" s="205">
        <f t="array" ref="BI36">_xlfn.IFS(AND($K36&gt;BH$7,$L36&gt;BH$7),0,AND($K36&lt;=BH$7,$L36&lt;=BH$7),1,AND($K36&lt;=BH$7,$L36&gt;BH$7),((BH$7-$K36)/($L36-$K36)))</f>
        <v>1</v>
      </c>
      <c r="BJ36" s="205">
        <f t="array" ref="BJ36">_xlfn.IFS(AND($K36&gt;BI$7,$L36&gt;BI$7),0,AND($K36&lt;=BI$7,$L36&lt;=BI$7),1,AND($K36&lt;=BI$7,$L36&gt;BI$7),((BI$7-$K36)/($L36-$K36)))</f>
        <v>1</v>
      </c>
      <c r="BK36" s="205">
        <f t="array" ref="BK36">_xlfn.IFS(AND($K36&gt;BJ$7,$L36&gt;BJ$7),0,AND($K36&lt;=BJ$7,$L36&lt;=BJ$7),1,AND($K36&lt;=BJ$7,$L36&gt;BJ$7),((BJ$7-$K36)/($L36-$K36)))</f>
        <v>1</v>
      </c>
      <c r="BL36" s="205">
        <f t="array" ref="BL36">_xlfn.IFS(AND($K36&gt;BK$7,$L36&gt;BK$7),0,AND($K36&lt;=BK$7,$L36&lt;=BK$7),1,AND($K36&lt;=BK$7,$L36&gt;BK$7),((BK$7-$K36)/($L36-$K36)))</f>
        <v>1</v>
      </c>
      <c r="BM36" s="205">
        <f t="array" ref="BM36">_xlfn.IFS(AND($K36&gt;BL$7,$L36&gt;BL$7),0,AND($K36&lt;=BL$7,$L36&lt;=BL$7),1,AND($K36&lt;=BL$7,$L36&gt;BL$7),((BL$7-$K36)/($L36-$K36)))</f>
        <v>1</v>
      </c>
      <c r="BN36" s="205">
        <f t="array" ref="BN36">_xlfn.IFS(AND($K36&gt;BM$7,$L36&gt;BM$7),0,AND($K36&lt;=BM$7,$L36&lt;=BM$7),1,AND($K36&lt;=BM$7,$L36&gt;BM$7),((BM$7-$K36)/($L36-$K36)))</f>
        <v>1</v>
      </c>
    </row>
    <row r="37" spans="2:66" s="163" customFormat="1" x14ac:dyDescent="0.3">
      <c r="B37" s="166" t="str">
        <f t="array" ref="B37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37" s="166" t="s">
        <v>123</v>
      </c>
      <c r="D37" s="177" t="str">
        <f t="shared" si="24"/>
        <v>Arquitetura de projetos GERDAU</v>
      </c>
      <c r="E37" s="170" t="str">
        <f t="shared" si="12"/>
        <v>Definição da Estratégia para Transformação dos Processos</v>
      </c>
      <c r="F37" s="174" t="str">
        <f t="shared" si="21"/>
        <v>Entendimento Inicial dos Processos</v>
      </c>
      <c r="G37" s="166" t="str">
        <f>H36</f>
        <v>Identificação de Ferramentas e Sistemas</v>
      </c>
      <c r="H37" s="197" t="s">
        <v>122</v>
      </c>
      <c r="I37" s="166">
        <v>45705</v>
      </c>
      <c r="J37" s="40">
        <v>45715</v>
      </c>
      <c r="K37" s="166">
        <v>45705</v>
      </c>
      <c r="L37" s="40">
        <v>45722</v>
      </c>
      <c r="M37" s="167"/>
      <c r="N37" s="167" t="str">
        <f t="array" ref="N37">_xlfn.IFS(L37&lt;$M$3,"Concluído",AND(K37&gt;=$M$3,I37&lt;$M$3,L37&gt;$M$3),"Em andamento",AND(L37&gt;=$M$3,J37&lt;$M$3),"Atrasado",AND(L37&gt;=$M$3,J37&gt;=$M$3,I37&gt;$M$3,K37&lt;=$M$3),"Em andamento",AND(L37&gt;=$M$3,J37&gt;=$M$3,I37&lt;=$M$3,K37&lt;=$M$3),"Em andamento",AND(K37&gt;$M$3,I37&gt;$M$3),"Não iniciado",AND(L37&gt;=$M$3,J37&gt;=$M$3,K37&gt;=$M$3,I37&lt;$M$3),"Atrasado",AND(L37&gt;=$M$3,J37&gt;=$M$3,K37&gt;=$M$3,I37&gt;$M$3),"Não iniciado",AND($I37&lt;=$M$3,$K37&gt;$M$3),"Atrasado")</f>
        <v>Concluído</v>
      </c>
      <c r="O37" s="167">
        <f t="array" ref="O37">_xlfn.IFS(N37="Não iniciado",0,N37="Em andamento",1,N37="Concluído",2,N37="Atrasado",3)</f>
        <v>2</v>
      </c>
      <c r="P37" s="169"/>
      <c r="Q37" s="152">
        <f t="array" ref="Q37">_xlfn.IFS(AND($I37&lt;$M$3,$J37&lt;$M$3),1,AND($I37&lt;$M$3,$J37&gt;=$M$3),0.5,AND($I37&gt;=$M$3,$J37&gt;=$M$3),0)</f>
        <v>1</v>
      </c>
      <c r="R37" s="152">
        <f t="array" ref="R37">_xlfn.IFS(AND($K37&lt;$M$3,$L37&lt;$M$3),1,AND($K37&lt;=$M$3,$L37&gt;=$M$3),0.5,AND($K37&gt;=$M$3,$L37&gt;=$M$3),0)</f>
        <v>1</v>
      </c>
      <c r="S37" s="201">
        <f t="array" ref="S37">_xlfn.IFS(AND($K37&gt;R$7,$L37&gt;R$7),0,AND($K37&lt;=R$7,$L37&lt;=R$7),1,AND($K37&lt;=R$7,$L37&gt;R$7),((R$7-$K37)/($L37-$K37)))</f>
        <v>0</v>
      </c>
      <c r="T37" s="201">
        <f t="array" ref="T37">_xlfn.IFS(AND($K37&gt;S$7,$L37&gt;S$7),0,AND($K37&lt;=S$7,$L37&lt;=S$7),1,AND($K37&lt;=S$7,$L37&gt;S$7),((S$7-$K37)/($L37-$K37)))</f>
        <v>0</v>
      </c>
      <c r="U37" s="201">
        <f t="array" ref="U37">_xlfn.IFS(AND($K37&gt;T$7,$L37&gt;T$7),0,AND($K37&lt;=T$7,$L37&lt;=T$7),1,AND($K37&lt;=T$7,$L37&gt;T$7),((T$7-$K37)/($L37-$K37)))</f>
        <v>0</v>
      </c>
      <c r="V37" s="201">
        <f t="array" ref="V37">_xlfn.IFS(AND($K37&gt;U$7,$L37&gt;U$7),0,AND($K37&lt;=U$7,$L37&lt;=U$7),1,AND($K37&lt;=U$7,$L37&gt;U$7),((U$7-$K37)/($L37-$K37)))</f>
        <v>0.29411764705882354</v>
      </c>
      <c r="W37" s="201">
        <f t="array" ref="W37">_xlfn.IFS(AND($K37&gt;V$7,$L37&gt;V$7),0,AND($K37&lt;=V$7,$L37&lt;=V$7),1,AND($K37&lt;=V$7,$L37&gt;V$7),((V$7-$K37)/($L37-$K37)))</f>
        <v>0.70588235294117652</v>
      </c>
      <c r="X37" s="201">
        <f t="array" ref="X37">_xlfn.IFS(AND($K37&gt;W$7,$L37&gt;W$7),0,AND($K37&lt;=W$7,$L37&lt;=W$7),1,AND($K37&lt;=W$7,$L37&gt;W$7),((W$7-$K37)/($L37-$K37)))</f>
        <v>1</v>
      </c>
      <c r="Y37" s="201">
        <f t="array" ref="Y37">_xlfn.IFS(AND($K37&gt;X$7,$L37&gt;X$7),0,AND($K37&lt;=X$7,$L37&lt;=X$7),1,AND($K37&lt;=X$7,$L37&gt;X$7),((X$7-$K37)/($L37-$K37)))</f>
        <v>1</v>
      </c>
      <c r="Z37" s="201">
        <f t="array" ref="Z37">_xlfn.IFS(AND($K37&gt;Y$7,$L37&gt;Y$7),0,AND($K37&lt;=Y$7,$L37&lt;=Y$7),1,AND($K37&lt;=Y$7,$L37&gt;Y$7),((Y$7-$K37)/($L37-$K37)))</f>
        <v>1</v>
      </c>
      <c r="AA37" s="201">
        <f t="array" ref="AA37">_xlfn.IFS(AND($K37&gt;Z$7,$L37&gt;Z$7),0,AND($K37&lt;=Z$7,$L37&lt;=Z$7),1,AND($K37&lt;=Z$7,$L37&gt;Z$7),((Z$7-$K37)/($L37-$K37)))</f>
        <v>1</v>
      </c>
      <c r="AB37" s="201">
        <f t="array" ref="AB37">_xlfn.IFS(AND($K37&gt;AA$7,$L37&gt;AA$7),0,AND($K37&lt;=AA$7,$L37&lt;=AA$7),1,AND($K37&lt;=AA$7,$L37&gt;AA$7),((AA$7-$K37)/($L37-$K37)))</f>
        <v>1</v>
      </c>
      <c r="AC37" s="201">
        <f t="array" ref="AC37">_xlfn.IFS(AND($K37&gt;AB$7,$L37&gt;AB$7),0,AND($K37&lt;=AB$7,$L37&lt;=AB$7),1,AND($K37&lt;=AB$7,$L37&gt;AB$7),((AB$7-$K37)/($L37-$K37)))</f>
        <v>1</v>
      </c>
      <c r="AD37" s="201">
        <f t="array" ref="AD37">_xlfn.IFS(AND($K37&gt;AC$7,$L37&gt;AC$7),0,AND($K37&lt;=AC$7,$L37&lt;=AC$7),1,AND($K37&lt;=AC$7,$L37&gt;AC$7),((AC$7-$K37)/($L37-$K37)))</f>
        <v>1</v>
      </c>
      <c r="AE37" s="201">
        <f t="array" ref="AE37">_xlfn.IFS(AND($K37&gt;AD$7,$L37&gt;AD$7),0,AND($K37&lt;=AD$7,$L37&lt;=AD$7),1,AND($K37&lt;=AD$7,$L37&gt;AD$7),((AD$7-$K37)/($L37-$K37)))</f>
        <v>1</v>
      </c>
      <c r="AF37" s="201">
        <f t="array" ref="AF37">_xlfn.IFS(AND($K37&gt;AE$7,$L37&gt;AE$7),0,AND($K37&lt;=AE$7,$L37&lt;=AE$7),1,AND($K37&lt;=AE$7,$L37&gt;AE$7),((AE$7-$K37)/($L37-$K37)))</f>
        <v>1</v>
      </c>
      <c r="AG37" s="201">
        <f t="array" ref="AG37">_xlfn.IFS(AND($K37&gt;AF$7,$L37&gt;AF$7),0,AND($K37&lt;=AF$7,$L37&lt;=AF$7),1,AND($K37&lt;=AF$7,$L37&gt;AF$7),((AF$7-$K37)/($L37-$K37)))</f>
        <v>1</v>
      </c>
      <c r="AH37" s="201">
        <f t="array" ref="AH37">_xlfn.IFS(AND($K37&gt;AG$7,$L37&gt;AG$7),0,AND($K37&lt;=AG$7,$L37&lt;=AG$7),1,AND($K37&lt;=AG$7,$L37&gt;AG$7),((AG$7-$K37)/($L37-$K37)))</f>
        <v>1</v>
      </c>
      <c r="AI37" s="201">
        <f t="array" ref="AI37">_xlfn.IFS(AND($K37&gt;AH$7,$L37&gt;AH$7),0,AND($K37&lt;=AH$7,$L37&lt;=AH$7),1,AND($K37&lt;=AH$7,$L37&gt;AH$7),((AH$7-$K37)/($L37-$K37)))</f>
        <v>1</v>
      </c>
      <c r="AJ37" s="201">
        <f t="array" ref="AJ37">_xlfn.IFS(AND($K37&gt;AI$7,$L37&gt;AI$7),0,AND($K37&lt;=AI$7,$L37&lt;=AI$7),1,AND($K37&lt;=AI$7,$L37&gt;AI$7),((AI$7-$K37)/($L37-$K37)))</f>
        <v>1</v>
      </c>
      <c r="AK37" s="201">
        <f t="array" ref="AK37">_xlfn.IFS(AND($K37&gt;AJ$7,$L37&gt;AJ$7),0,AND($K37&lt;=AJ$7,$L37&lt;=AJ$7),1,AND($K37&lt;=AJ$7,$L37&gt;AJ$7),((AJ$7-$K37)/($L37-$K37)))</f>
        <v>1</v>
      </c>
      <c r="AL37" s="201">
        <f t="array" ref="AL37">_xlfn.IFS(AND($K37&gt;AK$7,$L37&gt;AK$7),0,AND($K37&lt;=AK$7,$L37&lt;=AK$7),1,AND($K37&lt;=AK$7,$L37&gt;AK$7),((AK$7-$K37)/($L37-$K37)))</f>
        <v>1</v>
      </c>
      <c r="AM37" s="201">
        <f t="array" ref="AM37">_xlfn.IFS(AND($K37&gt;AL$7,$L37&gt;AL$7),0,AND($K37&lt;=AL$7,$L37&lt;=AL$7),1,AND($K37&lt;=AL$7,$L37&gt;AL$7),((AL$7-$K37)/($L37-$K37)))</f>
        <v>1</v>
      </c>
      <c r="AN37" s="201">
        <f t="array" ref="AN37">_xlfn.IFS(AND($K37&gt;AM$7,$L37&gt;AM$7),0,AND($K37&lt;=AM$7,$L37&lt;=AM$7),1,AND($K37&lt;=AM$7,$L37&gt;AM$7),((AM$7-$K37)/($L37-$K37)))</f>
        <v>1</v>
      </c>
      <c r="AO37" s="201">
        <f t="array" ref="AO37">_xlfn.IFS(AND($K37&gt;AN$7,$L37&gt;AN$7),0,AND($K37&lt;=AN$7,$L37&lt;=AN$7),1,AND($K37&lt;=AN$7,$L37&gt;AN$7),((AN$7-$K37)/($L37-$K37)))</f>
        <v>1</v>
      </c>
      <c r="AP37" s="201">
        <f t="array" ref="AP37">_xlfn.IFS(AND($K37&gt;AO$7,$L37&gt;AO$7),0,AND($K37&lt;=AO$7,$L37&lt;=AO$7),1,AND($K37&lt;=AO$7,$L37&gt;AO$7),((AO$7-$K37)/($L37-$K37)))</f>
        <v>1</v>
      </c>
      <c r="AQ37" s="201">
        <f t="array" ref="AQ37">_xlfn.IFS(AND($K37&gt;AP$7,$L37&gt;AP$7),0,AND($K37&lt;=AP$7,$L37&lt;=AP$7),1,AND($K37&lt;=AP$7,$L37&gt;AP$7),((AP$7-$K37)/($L37-$K37)))</f>
        <v>1</v>
      </c>
      <c r="AR37" s="201">
        <f t="array" ref="AR37">_xlfn.IFS(AND($K37&gt;AQ$7,$L37&gt;AQ$7),0,AND($K37&lt;=AQ$7,$L37&lt;=AQ$7),1,AND($K37&lt;=AQ$7,$L37&gt;AQ$7),((AQ$7-$K37)/($L37-$K37)))</f>
        <v>1</v>
      </c>
      <c r="AS37" s="201">
        <f t="array" ref="AS37">_xlfn.IFS(AND($K37&gt;AR$7,$L37&gt;AR$7),0,AND($K37&lt;=AR$7,$L37&lt;=AR$7),1,AND($K37&lt;=AR$7,$L37&gt;AR$7),((AR$7-$K37)/($L37-$K37)))</f>
        <v>1</v>
      </c>
      <c r="AT37" s="201">
        <f t="array" ref="AT37">_xlfn.IFS(AND($K37&gt;AS$7,$L37&gt;AS$7),0,AND($K37&lt;=AS$7,$L37&lt;=AS$7),1,AND($K37&lt;=AS$7,$L37&gt;AS$7),((AS$7-$K37)/($L37-$K37)))</f>
        <v>1</v>
      </c>
      <c r="AU37" s="201">
        <f t="array" ref="AU37">_xlfn.IFS(AND($K37&gt;AT$7,$L37&gt;AT$7),0,AND($K37&lt;=AT$7,$L37&lt;=AT$7),1,AND($K37&lt;=AT$7,$L37&gt;AT$7),((AT$7-$K37)/($L37-$K37)))</f>
        <v>1</v>
      </c>
      <c r="AV37" s="201">
        <f t="array" ref="AV37">_xlfn.IFS(AND($K37&gt;AU$7,$L37&gt;AU$7),0,AND($K37&lt;=AU$7,$L37&lt;=AU$7),1,AND($K37&lt;=AU$7,$L37&gt;AU$7),((AU$7-$K37)/($L37-$K37)))</f>
        <v>1</v>
      </c>
      <c r="AW37" s="201">
        <f t="array" ref="AW37">_xlfn.IFS(AND($K37&gt;AV$7,$L37&gt;AV$7),0,AND($K37&lt;=AV$7,$L37&lt;=AV$7),1,AND($K37&lt;=AV$7,$L37&gt;AV$7),((AV$7-$K37)/($L37-$K37)))</f>
        <v>1</v>
      </c>
      <c r="AX37" s="201">
        <f t="array" ref="AX37">_xlfn.IFS(AND($K37&gt;AW$7,$L37&gt;AW$7),0,AND($K37&lt;=AW$7,$L37&lt;=AW$7),1,AND($K37&lt;=AW$7,$L37&gt;AW$7),((AW$7-$K37)/($L37-$K37)))</f>
        <v>1</v>
      </c>
      <c r="AY37" s="201">
        <f t="array" ref="AY37">_xlfn.IFS(AND($K37&gt;AX$7,$L37&gt;AX$7),0,AND($K37&lt;=AX$7,$L37&lt;=AX$7),1,AND($K37&lt;=AX$7,$L37&gt;AX$7),((AX$7-$K37)/($L37-$K37)))</f>
        <v>1</v>
      </c>
      <c r="AZ37" s="201">
        <f t="array" ref="AZ37">_xlfn.IFS(AND($K37&gt;AY$7,$L37&gt;AY$7),0,AND($K37&lt;=AY$7,$L37&lt;=AY$7),1,AND($K37&lt;=AY$7,$L37&gt;AY$7),((AY$7-$K37)/($L37-$K37)))</f>
        <v>1</v>
      </c>
      <c r="BA37" s="201">
        <f t="array" ref="BA37">_xlfn.IFS(AND($K37&gt;AZ$7,$L37&gt;AZ$7),0,AND($K37&lt;=AZ$7,$L37&lt;=AZ$7),1,AND($K37&lt;=AZ$7,$L37&gt;AZ$7),((AZ$7-$K37)/($L37-$K37)))</f>
        <v>1</v>
      </c>
      <c r="BB37" s="201">
        <f t="array" ref="BB37">_xlfn.IFS(AND($K37&gt;BA$7,$L37&gt;BA$7),0,AND($K37&lt;=BA$7,$L37&lt;=BA$7),1,AND($K37&lt;=BA$7,$L37&gt;BA$7),((BA$7-$K37)/($L37-$K37)))</f>
        <v>1</v>
      </c>
      <c r="BC37" s="201">
        <f t="array" ref="BC37">_xlfn.IFS(AND($K37&gt;BB$7,$L37&gt;BB$7),0,AND($K37&lt;=BB$7,$L37&lt;=BB$7),1,AND($K37&lt;=BB$7,$L37&gt;BB$7),((BB$7-$K37)/($L37-$K37)))</f>
        <v>1</v>
      </c>
      <c r="BD37" s="201">
        <f t="array" ref="BD37">_xlfn.IFS(AND($K37&gt;BC$7,$L37&gt;BC$7),0,AND($K37&lt;=BC$7,$L37&lt;=BC$7),1,AND($K37&lt;=BC$7,$L37&gt;BC$7),((BC$7-$K37)/($L37-$K37)))</f>
        <v>1</v>
      </c>
      <c r="BE37" s="201">
        <f t="array" ref="BE37">_xlfn.IFS(AND($K37&gt;BD$7,$L37&gt;BD$7),0,AND($K37&lt;=BD$7,$L37&lt;=BD$7),1,AND($K37&lt;=BD$7,$L37&gt;BD$7),((BD$7-$K37)/($L37-$K37)))</f>
        <v>1</v>
      </c>
      <c r="BF37" s="201">
        <f t="array" ref="BF37">_xlfn.IFS(AND($K37&gt;BE$7,$L37&gt;BE$7),0,AND($K37&lt;=BE$7,$L37&lt;=BE$7),1,AND($K37&lt;=BE$7,$L37&gt;BE$7),((BE$7-$K37)/($L37-$K37)))</f>
        <v>1</v>
      </c>
      <c r="BG37" s="201">
        <f t="array" ref="BG37">_xlfn.IFS(AND($K37&gt;BF$7,$L37&gt;BF$7),0,AND($K37&lt;=BF$7,$L37&lt;=BF$7),1,AND($K37&lt;=BF$7,$L37&gt;BF$7),((BF$7-$K37)/($L37-$K37)))</f>
        <v>1</v>
      </c>
      <c r="BH37" s="201">
        <f t="array" ref="BH37">_xlfn.IFS(AND($K37&gt;BG$7,$L37&gt;BG$7),0,AND($K37&lt;=BG$7,$L37&lt;=BG$7),1,AND($K37&lt;=BG$7,$L37&gt;BG$7),((BG$7-$K37)/($L37-$K37)))</f>
        <v>1</v>
      </c>
      <c r="BI37" s="201">
        <f t="array" ref="BI37">_xlfn.IFS(AND($K37&gt;BH$7,$L37&gt;BH$7),0,AND($K37&lt;=BH$7,$L37&lt;=BH$7),1,AND($K37&lt;=BH$7,$L37&gt;BH$7),((BH$7-$K37)/($L37-$K37)))</f>
        <v>1</v>
      </c>
      <c r="BJ37" s="201">
        <f t="array" ref="BJ37">_xlfn.IFS(AND($K37&gt;BI$7,$L37&gt;BI$7),0,AND($K37&lt;=BI$7,$L37&lt;=BI$7),1,AND($K37&lt;=BI$7,$L37&gt;BI$7),((BI$7-$K37)/($L37-$K37)))</f>
        <v>1</v>
      </c>
      <c r="BK37" s="201">
        <f t="array" ref="BK37">_xlfn.IFS(AND($K37&gt;BJ$7,$L37&gt;BJ$7),0,AND($K37&lt;=BJ$7,$L37&lt;=BJ$7),1,AND($K37&lt;=BJ$7,$L37&gt;BJ$7),((BJ$7-$K37)/($L37-$K37)))</f>
        <v>1</v>
      </c>
      <c r="BL37" s="201">
        <f t="array" ref="BL37">_xlfn.IFS(AND($K37&gt;BK$7,$L37&gt;BK$7),0,AND($K37&lt;=BK$7,$L37&lt;=BK$7),1,AND($K37&lt;=BK$7,$L37&gt;BK$7),((BK$7-$K37)/($L37-$K37)))</f>
        <v>1</v>
      </c>
      <c r="BM37" s="201">
        <f t="array" ref="BM37">_xlfn.IFS(AND($K37&gt;BL$7,$L37&gt;BL$7),0,AND($K37&lt;=BL$7,$L37&lt;=BL$7),1,AND($K37&lt;=BL$7,$L37&gt;BL$7),((BL$7-$K37)/($L37-$K37)))</f>
        <v>1</v>
      </c>
      <c r="BN37" s="201">
        <f t="array" ref="BN37">_xlfn.IFS(AND($K37&gt;BM$7,$L37&gt;BM$7),0,AND($K37&lt;=BM$7,$L37&lt;=BM$7),1,AND($K37&lt;=BM$7,$L37&gt;BM$7),((BM$7-$K37)/($L37-$K37)))</f>
        <v>1</v>
      </c>
    </row>
    <row r="38" spans="2:66" s="46" customFormat="1" ht="15" customHeight="1" x14ac:dyDescent="0.3">
      <c r="B38" s="174" t="str">
        <f t="array" ref="B38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38" s="174" t="s">
        <v>124</v>
      </c>
      <c r="D38" s="177" t="str">
        <f t="shared" si="24"/>
        <v>Arquitetura de projetos GERDAU</v>
      </c>
      <c r="E38" s="170" t="str">
        <f t="shared" si="12"/>
        <v>Definição da Estratégia para Transformação dos Processos</v>
      </c>
      <c r="F38" s="174" t="str">
        <f t="shared" si="21"/>
        <v>Entendimento Inicial dos Processos</v>
      </c>
      <c r="G38" s="174" t="s">
        <v>121</v>
      </c>
      <c r="H38" s="195" t="s">
        <v>125</v>
      </c>
      <c r="I38" s="174">
        <f>MIN(I39)</f>
        <v>45705</v>
      </c>
      <c r="J38" s="174">
        <f>MAX(J39)</f>
        <v>45715</v>
      </c>
      <c r="K38" s="174">
        <f>MIN(K39)</f>
        <v>45705</v>
      </c>
      <c r="L38" s="174">
        <f>MAX(L39)</f>
        <v>45722</v>
      </c>
      <c r="M38" s="175"/>
      <c r="N38" s="175" t="str">
        <f t="array" ref="N38">_xlfn.IFS(L38&lt;$M$3,"Concluído",AND(K38&gt;=$M$3,I38&lt;$M$3,L38&gt;$M$3),"Em andamento",AND(L38&gt;=$M$3,J38&lt;$M$3),"Atrasado",AND(L38&gt;=$M$3,J38&gt;=$M$3,I38&gt;$M$3,K38&lt;=$M$3),"Em andamento",AND(L38&gt;=$M$3,J38&gt;=$M$3,I38&lt;=$M$3,K38&lt;=$M$3),"Em andamento",AND(K38&gt;$M$3,I38&gt;$M$3),"Não iniciado",AND(L38&gt;=$M$3,J38&gt;=$M$3,K38&gt;=$M$3,I38&lt;$M$3),"Atrasado",AND(L38&gt;=$M$3,J38&gt;=$M$3,K38&gt;=$M$3,I38&gt;$M$3),"Não iniciado",AND($I38&lt;=$M$3,$K38&gt;$M$3),"Atrasado")</f>
        <v>Concluído</v>
      </c>
      <c r="O38" s="175">
        <f t="array" ref="O38">_xlfn.IFS(N38="Não iniciado",0,N38="Em andamento",1,N38="Concluído",2,N38="Atrasado",3)</f>
        <v>2</v>
      </c>
      <c r="P38" s="176"/>
      <c r="Q38" s="156">
        <f t="array" ref="Q38">_xlfn.IFS(AND($I38&lt;$M$3,$J38&lt;$M$3),1,AND($I38&lt;$M$3,$J38&gt;=$M$3),0.5,AND($I38&gt;=$M$3,$J38&gt;=$M$3),0)</f>
        <v>1</v>
      </c>
      <c r="R38" s="156">
        <f t="array" ref="R38">_xlfn.IFS(AND($I38&lt;$M$3,$J38&lt;$M$3),1,AND($I38&lt;$M$3,$J38&gt;=$M$3),0.5,AND($I38&gt;=$M$3,$J38&gt;=$M$3),0)</f>
        <v>1</v>
      </c>
      <c r="S38" s="205">
        <f t="array" ref="S38">_xlfn.IFS(AND($K38&gt;R$7,$L38&gt;R$7),0,AND($K38&lt;=R$7,$L38&lt;=R$7),1,AND($K38&lt;=R$7,$L38&gt;R$7),((R$7-$K38)/($L38-$K38)))</f>
        <v>0</v>
      </c>
      <c r="T38" s="205">
        <f t="array" ref="T38">_xlfn.IFS(AND($K38&gt;S$7,$L38&gt;S$7),0,AND($K38&lt;=S$7,$L38&lt;=S$7),1,AND($K38&lt;=S$7,$L38&gt;S$7),((S$7-$K38)/($L38-$K38)))</f>
        <v>0</v>
      </c>
      <c r="U38" s="205">
        <f t="array" ref="U38">_xlfn.IFS(AND($K38&gt;T$7,$L38&gt;T$7),0,AND($K38&lt;=T$7,$L38&lt;=T$7),1,AND($K38&lt;=T$7,$L38&gt;T$7),((T$7-$K38)/($L38-$K38)))</f>
        <v>0</v>
      </c>
      <c r="V38" s="205">
        <f t="array" ref="V38">_xlfn.IFS(AND($K38&gt;U$7,$L38&gt;U$7),0,AND($K38&lt;=U$7,$L38&lt;=U$7),1,AND($K38&lt;=U$7,$L38&gt;U$7),((U$7-$K38)/($L38-$K38)))</f>
        <v>0.29411764705882354</v>
      </c>
      <c r="W38" s="205">
        <f t="array" ref="W38">_xlfn.IFS(AND($K38&gt;V$7,$L38&gt;V$7),0,AND($K38&lt;=V$7,$L38&lt;=V$7),1,AND($K38&lt;=V$7,$L38&gt;V$7),((V$7-$K38)/($L38-$K38)))</f>
        <v>0.70588235294117652</v>
      </c>
      <c r="X38" s="205">
        <f t="array" ref="X38">_xlfn.IFS(AND($K38&gt;W$7,$L38&gt;W$7),0,AND($K38&lt;=W$7,$L38&lt;=W$7),1,AND($K38&lt;=W$7,$L38&gt;W$7),((W$7-$K38)/($L38-$K38)))</f>
        <v>1</v>
      </c>
      <c r="Y38" s="205">
        <f t="array" ref="Y38">_xlfn.IFS(AND($K38&gt;X$7,$L38&gt;X$7),0,AND($K38&lt;=X$7,$L38&lt;=X$7),1,AND($K38&lt;=X$7,$L38&gt;X$7),((X$7-$K38)/($L38-$K38)))</f>
        <v>1</v>
      </c>
      <c r="Z38" s="205">
        <f t="array" ref="Z38">_xlfn.IFS(AND($K38&gt;Y$7,$L38&gt;Y$7),0,AND($K38&lt;=Y$7,$L38&lt;=Y$7),1,AND($K38&lt;=Y$7,$L38&gt;Y$7),((Y$7-$K38)/($L38-$K38)))</f>
        <v>1</v>
      </c>
      <c r="AA38" s="205">
        <f t="array" ref="AA38">_xlfn.IFS(AND($K38&gt;Z$7,$L38&gt;Z$7),0,AND($K38&lt;=Z$7,$L38&lt;=Z$7),1,AND($K38&lt;=Z$7,$L38&gt;Z$7),((Z$7-$K38)/($L38-$K38)))</f>
        <v>1</v>
      </c>
      <c r="AB38" s="205">
        <f t="array" ref="AB38">_xlfn.IFS(AND($K38&gt;AA$7,$L38&gt;AA$7),0,AND($K38&lt;=AA$7,$L38&lt;=AA$7),1,AND($K38&lt;=AA$7,$L38&gt;AA$7),((AA$7-$K38)/($L38-$K38)))</f>
        <v>1</v>
      </c>
      <c r="AC38" s="205">
        <f t="array" ref="AC38">_xlfn.IFS(AND($K38&gt;AB$7,$L38&gt;AB$7),0,AND($K38&lt;=AB$7,$L38&lt;=AB$7),1,AND($K38&lt;=AB$7,$L38&gt;AB$7),((AB$7-$K38)/($L38-$K38)))</f>
        <v>1</v>
      </c>
      <c r="AD38" s="205">
        <f t="array" ref="AD38">_xlfn.IFS(AND($K38&gt;AC$7,$L38&gt;AC$7),0,AND($K38&lt;=AC$7,$L38&lt;=AC$7),1,AND($K38&lt;=AC$7,$L38&gt;AC$7),((AC$7-$K38)/($L38-$K38)))</f>
        <v>1</v>
      </c>
      <c r="AE38" s="205">
        <f t="array" ref="AE38">_xlfn.IFS(AND($K38&gt;AD$7,$L38&gt;AD$7),0,AND($K38&lt;=AD$7,$L38&lt;=AD$7),1,AND($K38&lt;=AD$7,$L38&gt;AD$7),((AD$7-$K38)/($L38-$K38)))</f>
        <v>1</v>
      </c>
      <c r="AF38" s="205">
        <f t="array" ref="AF38">_xlfn.IFS(AND($K38&gt;AE$7,$L38&gt;AE$7),0,AND($K38&lt;=AE$7,$L38&lt;=AE$7),1,AND($K38&lt;=AE$7,$L38&gt;AE$7),((AE$7-$K38)/($L38-$K38)))</f>
        <v>1</v>
      </c>
      <c r="AG38" s="205">
        <f t="array" ref="AG38">_xlfn.IFS(AND($K38&gt;AF$7,$L38&gt;AF$7),0,AND($K38&lt;=AF$7,$L38&lt;=AF$7),1,AND($K38&lt;=AF$7,$L38&gt;AF$7),((AF$7-$K38)/($L38-$K38)))</f>
        <v>1</v>
      </c>
      <c r="AH38" s="205">
        <f t="array" ref="AH38">_xlfn.IFS(AND($K38&gt;AG$7,$L38&gt;AG$7),0,AND($K38&lt;=AG$7,$L38&lt;=AG$7),1,AND($K38&lt;=AG$7,$L38&gt;AG$7),((AG$7-$K38)/($L38-$K38)))</f>
        <v>1</v>
      </c>
      <c r="AI38" s="205">
        <f t="array" ref="AI38">_xlfn.IFS(AND($K38&gt;AH$7,$L38&gt;AH$7),0,AND($K38&lt;=AH$7,$L38&lt;=AH$7),1,AND($K38&lt;=AH$7,$L38&gt;AH$7),((AH$7-$K38)/($L38-$K38)))</f>
        <v>1</v>
      </c>
      <c r="AJ38" s="205">
        <f t="array" ref="AJ38">_xlfn.IFS(AND($K38&gt;AI$7,$L38&gt;AI$7),0,AND($K38&lt;=AI$7,$L38&lt;=AI$7),1,AND($K38&lt;=AI$7,$L38&gt;AI$7),((AI$7-$K38)/($L38-$K38)))</f>
        <v>1</v>
      </c>
      <c r="AK38" s="205">
        <f t="array" ref="AK38">_xlfn.IFS(AND($K38&gt;AJ$7,$L38&gt;AJ$7),0,AND($K38&lt;=AJ$7,$L38&lt;=AJ$7),1,AND($K38&lt;=AJ$7,$L38&gt;AJ$7),((AJ$7-$K38)/($L38-$K38)))</f>
        <v>1</v>
      </c>
      <c r="AL38" s="205">
        <f t="array" ref="AL38">_xlfn.IFS(AND($K38&gt;AK$7,$L38&gt;AK$7),0,AND($K38&lt;=AK$7,$L38&lt;=AK$7),1,AND($K38&lt;=AK$7,$L38&gt;AK$7),((AK$7-$K38)/($L38-$K38)))</f>
        <v>1</v>
      </c>
      <c r="AM38" s="205">
        <f t="array" ref="AM38">_xlfn.IFS(AND($K38&gt;AL$7,$L38&gt;AL$7),0,AND($K38&lt;=AL$7,$L38&lt;=AL$7),1,AND($K38&lt;=AL$7,$L38&gt;AL$7),((AL$7-$K38)/($L38-$K38)))</f>
        <v>1</v>
      </c>
      <c r="AN38" s="205">
        <f t="array" ref="AN38">_xlfn.IFS(AND($K38&gt;AM$7,$L38&gt;AM$7),0,AND($K38&lt;=AM$7,$L38&lt;=AM$7),1,AND($K38&lt;=AM$7,$L38&gt;AM$7),((AM$7-$K38)/($L38-$K38)))</f>
        <v>1</v>
      </c>
      <c r="AO38" s="205">
        <f t="array" ref="AO38">_xlfn.IFS(AND($K38&gt;AN$7,$L38&gt;AN$7),0,AND($K38&lt;=AN$7,$L38&lt;=AN$7),1,AND($K38&lt;=AN$7,$L38&gt;AN$7),((AN$7-$K38)/($L38-$K38)))</f>
        <v>1</v>
      </c>
      <c r="AP38" s="205">
        <f t="array" ref="AP38">_xlfn.IFS(AND($K38&gt;AO$7,$L38&gt;AO$7),0,AND($K38&lt;=AO$7,$L38&lt;=AO$7),1,AND($K38&lt;=AO$7,$L38&gt;AO$7),((AO$7-$K38)/($L38-$K38)))</f>
        <v>1</v>
      </c>
      <c r="AQ38" s="205">
        <f t="array" ref="AQ38">_xlfn.IFS(AND($K38&gt;AP$7,$L38&gt;AP$7),0,AND($K38&lt;=AP$7,$L38&lt;=AP$7),1,AND($K38&lt;=AP$7,$L38&gt;AP$7),((AP$7-$K38)/($L38-$K38)))</f>
        <v>1</v>
      </c>
      <c r="AR38" s="205">
        <f t="array" ref="AR38">_xlfn.IFS(AND($K38&gt;AQ$7,$L38&gt;AQ$7),0,AND($K38&lt;=AQ$7,$L38&lt;=AQ$7),1,AND($K38&lt;=AQ$7,$L38&gt;AQ$7),((AQ$7-$K38)/($L38-$K38)))</f>
        <v>1</v>
      </c>
      <c r="AS38" s="205">
        <f t="array" ref="AS38">_xlfn.IFS(AND($K38&gt;AR$7,$L38&gt;AR$7),0,AND($K38&lt;=AR$7,$L38&lt;=AR$7),1,AND($K38&lt;=AR$7,$L38&gt;AR$7),((AR$7-$K38)/($L38-$K38)))</f>
        <v>1</v>
      </c>
      <c r="AT38" s="205">
        <f t="array" ref="AT38">_xlfn.IFS(AND($K38&gt;AS$7,$L38&gt;AS$7),0,AND($K38&lt;=AS$7,$L38&lt;=AS$7),1,AND($K38&lt;=AS$7,$L38&gt;AS$7),((AS$7-$K38)/($L38-$K38)))</f>
        <v>1</v>
      </c>
      <c r="AU38" s="205">
        <f t="array" ref="AU38">_xlfn.IFS(AND($K38&gt;AT$7,$L38&gt;AT$7),0,AND($K38&lt;=AT$7,$L38&lt;=AT$7),1,AND($K38&lt;=AT$7,$L38&gt;AT$7),((AT$7-$K38)/($L38-$K38)))</f>
        <v>1</v>
      </c>
      <c r="AV38" s="205">
        <f t="array" ref="AV38">_xlfn.IFS(AND($K38&gt;AU$7,$L38&gt;AU$7),0,AND($K38&lt;=AU$7,$L38&lt;=AU$7),1,AND($K38&lt;=AU$7,$L38&gt;AU$7),((AU$7-$K38)/($L38-$K38)))</f>
        <v>1</v>
      </c>
      <c r="AW38" s="205">
        <f t="array" ref="AW38">_xlfn.IFS(AND($K38&gt;AV$7,$L38&gt;AV$7),0,AND($K38&lt;=AV$7,$L38&lt;=AV$7),1,AND($K38&lt;=AV$7,$L38&gt;AV$7),((AV$7-$K38)/($L38-$K38)))</f>
        <v>1</v>
      </c>
      <c r="AX38" s="205">
        <f t="array" ref="AX38">_xlfn.IFS(AND($K38&gt;AW$7,$L38&gt;AW$7),0,AND($K38&lt;=AW$7,$L38&lt;=AW$7),1,AND($K38&lt;=AW$7,$L38&gt;AW$7),((AW$7-$K38)/($L38-$K38)))</f>
        <v>1</v>
      </c>
      <c r="AY38" s="205">
        <f t="array" ref="AY38">_xlfn.IFS(AND($K38&gt;AX$7,$L38&gt;AX$7),0,AND($K38&lt;=AX$7,$L38&lt;=AX$7),1,AND($K38&lt;=AX$7,$L38&gt;AX$7),((AX$7-$K38)/($L38-$K38)))</f>
        <v>1</v>
      </c>
      <c r="AZ38" s="205">
        <f t="array" ref="AZ38">_xlfn.IFS(AND($K38&gt;AY$7,$L38&gt;AY$7),0,AND($K38&lt;=AY$7,$L38&lt;=AY$7),1,AND($K38&lt;=AY$7,$L38&gt;AY$7),((AY$7-$K38)/($L38-$K38)))</f>
        <v>1</v>
      </c>
      <c r="BA38" s="205">
        <f t="array" ref="BA38">_xlfn.IFS(AND($K38&gt;AZ$7,$L38&gt;AZ$7),0,AND($K38&lt;=AZ$7,$L38&lt;=AZ$7),1,AND($K38&lt;=AZ$7,$L38&gt;AZ$7),((AZ$7-$K38)/($L38-$K38)))</f>
        <v>1</v>
      </c>
      <c r="BB38" s="205">
        <f t="array" ref="BB38">_xlfn.IFS(AND($K38&gt;BA$7,$L38&gt;BA$7),0,AND($K38&lt;=BA$7,$L38&lt;=BA$7),1,AND($K38&lt;=BA$7,$L38&gt;BA$7),((BA$7-$K38)/($L38-$K38)))</f>
        <v>1</v>
      </c>
      <c r="BC38" s="205">
        <f t="array" ref="BC38">_xlfn.IFS(AND($K38&gt;BB$7,$L38&gt;BB$7),0,AND($K38&lt;=BB$7,$L38&lt;=BB$7),1,AND($K38&lt;=BB$7,$L38&gt;BB$7),((BB$7-$K38)/($L38-$K38)))</f>
        <v>1</v>
      </c>
      <c r="BD38" s="205">
        <f t="array" ref="BD38">_xlfn.IFS(AND($K38&gt;BC$7,$L38&gt;BC$7),0,AND($K38&lt;=BC$7,$L38&lt;=BC$7),1,AND($K38&lt;=BC$7,$L38&gt;BC$7),((BC$7-$K38)/($L38-$K38)))</f>
        <v>1</v>
      </c>
      <c r="BE38" s="205">
        <f t="array" ref="BE38">_xlfn.IFS(AND($K38&gt;BD$7,$L38&gt;BD$7),0,AND($K38&lt;=BD$7,$L38&lt;=BD$7),1,AND($K38&lt;=BD$7,$L38&gt;BD$7),((BD$7-$K38)/($L38-$K38)))</f>
        <v>1</v>
      </c>
      <c r="BF38" s="205">
        <f t="array" ref="BF38">_xlfn.IFS(AND($K38&gt;BE$7,$L38&gt;BE$7),0,AND($K38&lt;=BE$7,$L38&lt;=BE$7),1,AND($K38&lt;=BE$7,$L38&gt;BE$7),((BE$7-$K38)/($L38-$K38)))</f>
        <v>1</v>
      </c>
      <c r="BG38" s="205">
        <f t="array" ref="BG38">_xlfn.IFS(AND($K38&gt;BF$7,$L38&gt;BF$7),0,AND($K38&lt;=BF$7,$L38&lt;=BF$7),1,AND($K38&lt;=BF$7,$L38&gt;BF$7),((BF$7-$K38)/($L38-$K38)))</f>
        <v>1</v>
      </c>
      <c r="BH38" s="205">
        <f t="array" ref="BH38">_xlfn.IFS(AND($K38&gt;BG$7,$L38&gt;BG$7),0,AND($K38&lt;=BG$7,$L38&lt;=BG$7),1,AND($K38&lt;=BG$7,$L38&gt;BG$7),((BG$7-$K38)/($L38-$K38)))</f>
        <v>1</v>
      </c>
      <c r="BI38" s="205">
        <f t="array" ref="BI38">_xlfn.IFS(AND($K38&gt;BH$7,$L38&gt;BH$7),0,AND($K38&lt;=BH$7,$L38&lt;=BH$7),1,AND($K38&lt;=BH$7,$L38&gt;BH$7),((BH$7-$K38)/($L38-$K38)))</f>
        <v>1</v>
      </c>
      <c r="BJ38" s="205">
        <f t="array" ref="BJ38">_xlfn.IFS(AND($K38&gt;BI$7,$L38&gt;BI$7),0,AND($K38&lt;=BI$7,$L38&lt;=BI$7),1,AND($K38&lt;=BI$7,$L38&gt;BI$7),((BI$7-$K38)/($L38-$K38)))</f>
        <v>1</v>
      </c>
      <c r="BK38" s="205">
        <f t="array" ref="BK38">_xlfn.IFS(AND($K38&gt;BJ$7,$L38&gt;BJ$7),0,AND($K38&lt;=BJ$7,$L38&lt;=BJ$7),1,AND($K38&lt;=BJ$7,$L38&gt;BJ$7),((BJ$7-$K38)/($L38-$K38)))</f>
        <v>1</v>
      </c>
      <c r="BL38" s="205">
        <f t="array" ref="BL38">_xlfn.IFS(AND($K38&gt;BK$7,$L38&gt;BK$7),0,AND($K38&lt;=BK$7,$L38&lt;=BK$7),1,AND($K38&lt;=BK$7,$L38&gt;BK$7),((BK$7-$K38)/($L38-$K38)))</f>
        <v>1</v>
      </c>
      <c r="BM38" s="205">
        <f t="array" ref="BM38">_xlfn.IFS(AND($K38&gt;BL$7,$L38&gt;BL$7),0,AND($K38&lt;=BL$7,$L38&lt;=BL$7),1,AND($K38&lt;=BL$7,$L38&gt;BL$7),((BL$7-$K38)/($L38-$K38)))</f>
        <v>1</v>
      </c>
      <c r="BN38" s="205">
        <f t="array" ref="BN38">_xlfn.IFS(AND($K38&gt;BM$7,$L38&gt;BM$7),0,AND($K38&lt;=BM$7,$L38&lt;=BM$7),1,AND($K38&lt;=BM$7,$L38&gt;BM$7),((BM$7-$K38)/($L38-$K38)))</f>
        <v>1</v>
      </c>
    </row>
    <row r="39" spans="2:66" s="163" customFormat="1" ht="17.100000000000001" customHeight="1" x14ac:dyDescent="0.3">
      <c r="B39" s="166" t="str">
        <f t="array" ref="B39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39" s="166" t="s">
        <v>126</v>
      </c>
      <c r="D39" s="177" t="str">
        <f t="shared" si="24"/>
        <v>Arquitetura de projetos GERDAU</v>
      </c>
      <c r="E39" s="170" t="str">
        <f t="shared" si="12"/>
        <v>Definição da Estratégia para Transformação dos Processos</v>
      </c>
      <c r="F39" s="174" t="str">
        <f t="shared" si="21"/>
        <v>Entendimento Inicial dos Processos</v>
      </c>
      <c r="G39" s="166" t="str">
        <f>H38</f>
        <v>Análise de Stakeholders</v>
      </c>
      <c r="H39" s="197" t="s">
        <v>127</v>
      </c>
      <c r="I39" s="166">
        <v>45705</v>
      </c>
      <c r="J39" s="40">
        <v>45715</v>
      </c>
      <c r="K39" s="166">
        <v>45705</v>
      </c>
      <c r="L39" s="40">
        <v>45722</v>
      </c>
      <c r="M39" s="167"/>
      <c r="N39" s="167" t="str">
        <f t="array" ref="N39">_xlfn.IFS(L39&lt;$M$3,"Concluído",AND(K39&gt;=$M$3,I39&lt;$M$3,L39&gt;$M$3),"Em andamento",AND(L39&gt;=$M$3,J39&lt;$M$3),"Atrasado",AND(L39&gt;=$M$3,J39&gt;=$M$3,I39&gt;$M$3,K39&lt;=$M$3),"Em andamento",AND(L39&gt;=$M$3,J39&gt;=$M$3,I39&lt;=$M$3,K39&lt;=$M$3),"Em andamento",AND(K39&gt;$M$3,I39&gt;$M$3),"Não iniciado",AND(L39&gt;=$M$3,J39&gt;=$M$3,K39&gt;=$M$3,I39&lt;$M$3),"Atrasado",AND(L39&gt;=$M$3,J39&gt;=$M$3,K39&gt;=$M$3,I39&gt;$M$3),"Não iniciado",AND($I39&lt;=$M$3,$K39&gt;$M$3),"Atrasado")</f>
        <v>Concluído</v>
      </c>
      <c r="O39" s="167">
        <f t="array" ref="O39">_xlfn.IFS(N39="Não iniciado",0,N39="Em andamento",1,N39="Concluído",2,N39="Atrasado",3)</f>
        <v>2</v>
      </c>
      <c r="P39" s="169"/>
      <c r="Q39" s="152">
        <f t="array" ref="Q39">_xlfn.IFS(AND($I39&lt;$M$3,$J39&lt;$M$3),1,AND($I39&lt;$M$3,$J39&gt;=$M$3),0.5,AND($I39&gt;=$M$3,$J39&gt;=$M$3),0)</f>
        <v>1</v>
      </c>
      <c r="R39" s="152">
        <f t="array" ref="R39">_xlfn.IFS(AND($K39&lt;$M$3,$L39&lt;$M$3),1,AND($K39&lt;=$M$3,$L39&gt;=$M$3),0.5,AND($K39&gt;=$M$3,$L39&gt;=$M$3),0)</f>
        <v>1</v>
      </c>
      <c r="S39" s="201">
        <f t="array" ref="S39">_xlfn.IFS(AND($K39&gt;R$7,$L39&gt;R$7),0,AND($K39&lt;=R$7,$L39&lt;=R$7),1,AND($K39&lt;=R$7,$L39&gt;R$7),((R$7-$K39)/($L39-$K39)))</f>
        <v>0</v>
      </c>
      <c r="T39" s="201">
        <f t="array" ref="T39">_xlfn.IFS(AND($K39&gt;S$7,$L39&gt;S$7),0,AND($K39&lt;=S$7,$L39&lt;=S$7),1,AND($K39&lt;=S$7,$L39&gt;S$7),((S$7-$K39)/($L39-$K39)))</f>
        <v>0</v>
      </c>
      <c r="U39" s="201">
        <f t="array" ref="U39">_xlfn.IFS(AND($K39&gt;T$7,$L39&gt;T$7),0,AND($K39&lt;=T$7,$L39&lt;=T$7),1,AND($K39&lt;=T$7,$L39&gt;T$7),((T$7-$K39)/($L39-$K39)))</f>
        <v>0</v>
      </c>
      <c r="V39" s="201">
        <f t="array" ref="V39">_xlfn.IFS(AND($K39&gt;U$7,$L39&gt;U$7),0,AND($K39&lt;=U$7,$L39&lt;=U$7),1,AND($K39&lt;=U$7,$L39&gt;U$7),((U$7-$K39)/($L39-$K39)))</f>
        <v>0.29411764705882354</v>
      </c>
      <c r="W39" s="201">
        <f t="array" ref="W39">_xlfn.IFS(AND($K39&gt;V$7,$L39&gt;V$7),0,AND($K39&lt;=V$7,$L39&lt;=V$7),1,AND($K39&lt;=V$7,$L39&gt;V$7),((V$7-$K39)/($L39-$K39)))</f>
        <v>0.70588235294117652</v>
      </c>
      <c r="X39" s="201">
        <f t="array" ref="X39">_xlfn.IFS(AND($K39&gt;W$7,$L39&gt;W$7),0,AND($K39&lt;=W$7,$L39&lt;=W$7),1,AND($K39&lt;=W$7,$L39&gt;W$7),((W$7-$K39)/($L39-$K39)))</f>
        <v>1</v>
      </c>
      <c r="Y39" s="201">
        <f t="array" ref="Y39">_xlfn.IFS(AND($K39&gt;X$7,$L39&gt;X$7),0,AND($K39&lt;=X$7,$L39&lt;=X$7),1,AND($K39&lt;=X$7,$L39&gt;X$7),((X$7-$K39)/($L39-$K39)))</f>
        <v>1</v>
      </c>
      <c r="Z39" s="201">
        <f t="array" ref="Z39">_xlfn.IFS(AND($K39&gt;Y$7,$L39&gt;Y$7),0,AND($K39&lt;=Y$7,$L39&lt;=Y$7),1,AND($K39&lt;=Y$7,$L39&gt;Y$7),((Y$7-$K39)/($L39-$K39)))</f>
        <v>1</v>
      </c>
      <c r="AA39" s="201">
        <f t="array" ref="AA39">_xlfn.IFS(AND($K39&gt;Z$7,$L39&gt;Z$7),0,AND($K39&lt;=Z$7,$L39&lt;=Z$7),1,AND($K39&lt;=Z$7,$L39&gt;Z$7),((Z$7-$K39)/($L39-$K39)))</f>
        <v>1</v>
      </c>
      <c r="AB39" s="201">
        <f t="array" ref="AB39">_xlfn.IFS(AND($K39&gt;AA$7,$L39&gt;AA$7),0,AND($K39&lt;=AA$7,$L39&lt;=AA$7),1,AND($K39&lt;=AA$7,$L39&gt;AA$7),((AA$7-$K39)/($L39-$K39)))</f>
        <v>1</v>
      </c>
      <c r="AC39" s="201">
        <f t="array" ref="AC39">_xlfn.IFS(AND($K39&gt;AB$7,$L39&gt;AB$7),0,AND($K39&lt;=AB$7,$L39&lt;=AB$7),1,AND($K39&lt;=AB$7,$L39&gt;AB$7),((AB$7-$K39)/($L39-$K39)))</f>
        <v>1</v>
      </c>
      <c r="AD39" s="201">
        <f t="array" ref="AD39">_xlfn.IFS(AND($K39&gt;AC$7,$L39&gt;AC$7),0,AND($K39&lt;=AC$7,$L39&lt;=AC$7),1,AND($K39&lt;=AC$7,$L39&gt;AC$7),((AC$7-$K39)/($L39-$K39)))</f>
        <v>1</v>
      </c>
      <c r="AE39" s="201">
        <f t="array" ref="AE39">_xlfn.IFS(AND($K39&gt;AD$7,$L39&gt;AD$7),0,AND($K39&lt;=AD$7,$L39&lt;=AD$7),1,AND($K39&lt;=AD$7,$L39&gt;AD$7),((AD$7-$K39)/($L39-$K39)))</f>
        <v>1</v>
      </c>
      <c r="AF39" s="201">
        <f t="array" ref="AF39">_xlfn.IFS(AND($K39&gt;AE$7,$L39&gt;AE$7),0,AND($K39&lt;=AE$7,$L39&lt;=AE$7),1,AND($K39&lt;=AE$7,$L39&gt;AE$7),((AE$7-$K39)/($L39-$K39)))</f>
        <v>1</v>
      </c>
      <c r="AG39" s="201">
        <f t="array" ref="AG39">_xlfn.IFS(AND($K39&gt;AF$7,$L39&gt;AF$7),0,AND($K39&lt;=AF$7,$L39&lt;=AF$7),1,AND($K39&lt;=AF$7,$L39&gt;AF$7),((AF$7-$K39)/($L39-$K39)))</f>
        <v>1</v>
      </c>
      <c r="AH39" s="201">
        <f t="array" ref="AH39">_xlfn.IFS(AND($K39&gt;AG$7,$L39&gt;AG$7),0,AND($K39&lt;=AG$7,$L39&lt;=AG$7),1,AND($K39&lt;=AG$7,$L39&gt;AG$7),((AG$7-$K39)/($L39-$K39)))</f>
        <v>1</v>
      </c>
      <c r="AI39" s="201">
        <f t="array" ref="AI39">_xlfn.IFS(AND($K39&gt;AH$7,$L39&gt;AH$7),0,AND($K39&lt;=AH$7,$L39&lt;=AH$7),1,AND($K39&lt;=AH$7,$L39&gt;AH$7),((AH$7-$K39)/($L39-$K39)))</f>
        <v>1</v>
      </c>
      <c r="AJ39" s="201">
        <f t="array" ref="AJ39">_xlfn.IFS(AND($K39&gt;AI$7,$L39&gt;AI$7),0,AND($K39&lt;=AI$7,$L39&lt;=AI$7),1,AND($K39&lt;=AI$7,$L39&gt;AI$7),((AI$7-$K39)/($L39-$K39)))</f>
        <v>1</v>
      </c>
      <c r="AK39" s="201">
        <f t="array" ref="AK39">_xlfn.IFS(AND($K39&gt;AJ$7,$L39&gt;AJ$7),0,AND($K39&lt;=AJ$7,$L39&lt;=AJ$7),1,AND($K39&lt;=AJ$7,$L39&gt;AJ$7),((AJ$7-$K39)/($L39-$K39)))</f>
        <v>1</v>
      </c>
      <c r="AL39" s="201">
        <f t="array" ref="AL39">_xlfn.IFS(AND($K39&gt;AK$7,$L39&gt;AK$7),0,AND($K39&lt;=AK$7,$L39&lt;=AK$7),1,AND($K39&lt;=AK$7,$L39&gt;AK$7),((AK$7-$K39)/($L39-$K39)))</f>
        <v>1</v>
      </c>
      <c r="AM39" s="201">
        <f t="array" ref="AM39">_xlfn.IFS(AND($K39&gt;AL$7,$L39&gt;AL$7),0,AND($K39&lt;=AL$7,$L39&lt;=AL$7),1,AND($K39&lt;=AL$7,$L39&gt;AL$7),((AL$7-$K39)/($L39-$K39)))</f>
        <v>1</v>
      </c>
      <c r="AN39" s="201">
        <f t="array" ref="AN39">_xlfn.IFS(AND($K39&gt;AM$7,$L39&gt;AM$7),0,AND($K39&lt;=AM$7,$L39&lt;=AM$7),1,AND($K39&lt;=AM$7,$L39&gt;AM$7),((AM$7-$K39)/($L39-$K39)))</f>
        <v>1</v>
      </c>
      <c r="AO39" s="201">
        <f t="array" ref="AO39">_xlfn.IFS(AND($K39&gt;AN$7,$L39&gt;AN$7),0,AND($K39&lt;=AN$7,$L39&lt;=AN$7),1,AND($K39&lt;=AN$7,$L39&gt;AN$7),((AN$7-$K39)/($L39-$K39)))</f>
        <v>1</v>
      </c>
      <c r="AP39" s="201">
        <f t="array" ref="AP39">_xlfn.IFS(AND($K39&gt;AO$7,$L39&gt;AO$7),0,AND($K39&lt;=AO$7,$L39&lt;=AO$7),1,AND($K39&lt;=AO$7,$L39&gt;AO$7),((AO$7-$K39)/($L39-$K39)))</f>
        <v>1</v>
      </c>
      <c r="AQ39" s="201">
        <f t="array" ref="AQ39">_xlfn.IFS(AND($K39&gt;AP$7,$L39&gt;AP$7),0,AND($K39&lt;=AP$7,$L39&lt;=AP$7),1,AND($K39&lt;=AP$7,$L39&gt;AP$7),((AP$7-$K39)/($L39-$K39)))</f>
        <v>1</v>
      </c>
      <c r="AR39" s="201">
        <f t="array" ref="AR39">_xlfn.IFS(AND($K39&gt;AQ$7,$L39&gt;AQ$7),0,AND($K39&lt;=AQ$7,$L39&lt;=AQ$7),1,AND($K39&lt;=AQ$7,$L39&gt;AQ$7),((AQ$7-$K39)/($L39-$K39)))</f>
        <v>1</v>
      </c>
      <c r="AS39" s="201">
        <f t="array" ref="AS39">_xlfn.IFS(AND($K39&gt;AR$7,$L39&gt;AR$7),0,AND($K39&lt;=AR$7,$L39&lt;=AR$7),1,AND($K39&lt;=AR$7,$L39&gt;AR$7),((AR$7-$K39)/($L39-$K39)))</f>
        <v>1</v>
      </c>
      <c r="AT39" s="201">
        <f t="array" ref="AT39">_xlfn.IFS(AND($K39&gt;AS$7,$L39&gt;AS$7),0,AND($K39&lt;=AS$7,$L39&lt;=AS$7),1,AND($K39&lt;=AS$7,$L39&gt;AS$7),((AS$7-$K39)/($L39-$K39)))</f>
        <v>1</v>
      </c>
      <c r="AU39" s="201">
        <f t="array" ref="AU39">_xlfn.IFS(AND($K39&gt;AT$7,$L39&gt;AT$7),0,AND($K39&lt;=AT$7,$L39&lt;=AT$7),1,AND($K39&lt;=AT$7,$L39&gt;AT$7),((AT$7-$K39)/($L39-$K39)))</f>
        <v>1</v>
      </c>
      <c r="AV39" s="201">
        <f t="array" ref="AV39">_xlfn.IFS(AND($K39&gt;AU$7,$L39&gt;AU$7),0,AND($K39&lt;=AU$7,$L39&lt;=AU$7),1,AND($K39&lt;=AU$7,$L39&gt;AU$7),((AU$7-$K39)/($L39-$K39)))</f>
        <v>1</v>
      </c>
      <c r="AW39" s="201">
        <f t="array" ref="AW39">_xlfn.IFS(AND($K39&gt;AV$7,$L39&gt;AV$7),0,AND($K39&lt;=AV$7,$L39&lt;=AV$7),1,AND($K39&lt;=AV$7,$L39&gt;AV$7),((AV$7-$K39)/($L39-$K39)))</f>
        <v>1</v>
      </c>
      <c r="AX39" s="201">
        <f t="array" ref="AX39">_xlfn.IFS(AND($K39&gt;AW$7,$L39&gt;AW$7),0,AND($K39&lt;=AW$7,$L39&lt;=AW$7),1,AND($K39&lt;=AW$7,$L39&gt;AW$7),((AW$7-$K39)/($L39-$K39)))</f>
        <v>1</v>
      </c>
      <c r="AY39" s="201">
        <f t="array" ref="AY39">_xlfn.IFS(AND($K39&gt;AX$7,$L39&gt;AX$7),0,AND($K39&lt;=AX$7,$L39&lt;=AX$7),1,AND($K39&lt;=AX$7,$L39&gt;AX$7),((AX$7-$K39)/($L39-$K39)))</f>
        <v>1</v>
      </c>
      <c r="AZ39" s="201">
        <f t="array" ref="AZ39">_xlfn.IFS(AND($K39&gt;AY$7,$L39&gt;AY$7),0,AND($K39&lt;=AY$7,$L39&lt;=AY$7),1,AND($K39&lt;=AY$7,$L39&gt;AY$7),((AY$7-$K39)/($L39-$K39)))</f>
        <v>1</v>
      </c>
      <c r="BA39" s="201">
        <f t="array" ref="BA39">_xlfn.IFS(AND($K39&gt;AZ$7,$L39&gt;AZ$7),0,AND($K39&lt;=AZ$7,$L39&lt;=AZ$7),1,AND($K39&lt;=AZ$7,$L39&gt;AZ$7),((AZ$7-$K39)/($L39-$K39)))</f>
        <v>1</v>
      </c>
      <c r="BB39" s="201">
        <f t="array" ref="BB39">_xlfn.IFS(AND($K39&gt;BA$7,$L39&gt;BA$7),0,AND($K39&lt;=BA$7,$L39&lt;=BA$7),1,AND($K39&lt;=BA$7,$L39&gt;BA$7),((BA$7-$K39)/($L39-$K39)))</f>
        <v>1</v>
      </c>
      <c r="BC39" s="201">
        <f t="array" ref="BC39">_xlfn.IFS(AND($K39&gt;BB$7,$L39&gt;BB$7),0,AND($K39&lt;=BB$7,$L39&lt;=BB$7),1,AND($K39&lt;=BB$7,$L39&gt;BB$7),((BB$7-$K39)/($L39-$K39)))</f>
        <v>1</v>
      </c>
      <c r="BD39" s="201">
        <f t="array" ref="BD39">_xlfn.IFS(AND($K39&gt;BC$7,$L39&gt;BC$7),0,AND($K39&lt;=BC$7,$L39&lt;=BC$7),1,AND($K39&lt;=BC$7,$L39&gt;BC$7),((BC$7-$K39)/($L39-$K39)))</f>
        <v>1</v>
      </c>
      <c r="BE39" s="201">
        <f t="array" ref="BE39">_xlfn.IFS(AND($K39&gt;BD$7,$L39&gt;BD$7),0,AND($K39&lt;=BD$7,$L39&lt;=BD$7),1,AND($K39&lt;=BD$7,$L39&gt;BD$7),((BD$7-$K39)/($L39-$K39)))</f>
        <v>1</v>
      </c>
      <c r="BF39" s="201">
        <f t="array" ref="BF39">_xlfn.IFS(AND($K39&gt;BE$7,$L39&gt;BE$7),0,AND($K39&lt;=BE$7,$L39&lt;=BE$7),1,AND($K39&lt;=BE$7,$L39&gt;BE$7),((BE$7-$K39)/($L39-$K39)))</f>
        <v>1</v>
      </c>
      <c r="BG39" s="201">
        <f t="array" ref="BG39">_xlfn.IFS(AND($K39&gt;BF$7,$L39&gt;BF$7),0,AND($K39&lt;=BF$7,$L39&lt;=BF$7),1,AND($K39&lt;=BF$7,$L39&gt;BF$7),((BF$7-$K39)/($L39-$K39)))</f>
        <v>1</v>
      </c>
      <c r="BH39" s="201">
        <f t="array" ref="BH39">_xlfn.IFS(AND($K39&gt;BG$7,$L39&gt;BG$7),0,AND($K39&lt;=BG$7,$L39&lt;=BG$7),1,AND($K39&lt;=BG$7,$L39&gt;BG$7),((BG$7-$K39)/($L39-$K39)))</f>
        <v>1</v>
      </c>
      <c r="BI39" s="201">
        <f t="array" ref="BI39">_xlfn.IFS(AND($K39&gt;BH$7,$L39&gt;BH$7),0,AND($K39&lt;=BH$7,$L39&lt;=BH$7),1,AND($K39&lt;=BH$7,$L39&gt;BH$7),((BH$7-$K39)/($L39-$K39)))</f>
        <v>1</v>
      </c>
      <c r="BJ39" s="201">
        <f t="array" ref="BJ39">_xlfn.IFS(AND($K39&gt;BI$7,$L39&gt;BI$7),0,AND($K39&lt;=BI$7,$L39&lt;=BI$7),1,AND($K39&lt;=BI$7,$L39&gt;BI$7),((BI$7-$K39)/($L39-$K39)))</f>
        <v>1</v>
      </c>
      <c r="BK39" s="201">
        <f t="array" ref="BK39">_xlfn.IFS(AND($K39&gt;BJ$7,$L39&gt;BJ$7),0,AND($K39&lt;=BJ$7,$L39&lt;=BJ$7),1,AND($K39&lt;=BJ$7,$L39&gt;BJ$7),((BJ$7-$K39)/($L39-$K39)))</f>
        <v>1</v>
      </c>
      <c r="BL39" s="201">
        <f t="array" ref="BL39">_xlfn.IFS(AND($K39&gt;BK$7,$L39&gt;BK$7),0,AND($K39&lt;=BK$7,$L39&lt;=BK$7),1,AND($K39&lt;=BK$7,$L39&gt;BK$7),((BK$7-$K39)/($L39-$K39)))</f>
        <v>1</v>
      </c>
      <c r="BM39" s="201">
        <f t="array" ref="BM39">_xlfn.IFS(AND($K39&gt;BL$7,$L39&gt;BL$7),0,AND($K39&lt;=BL$7,$L39&lt;=BL$7),1,AND($K39&lt;=BL$7,$L39&gt;BL$7),((BL$7-$K39)/($L39-$K39)))</f>
        <v>1</v>
      </c>
      <c r="BN39" s="201">
        <f t="array" ref="BN39">_xlfn.IFS(AND($K39&gt;BM$7,$L39&gt;BM$7),0,AND($K39&lt;=BM$7,$L39&lt;=BM$7),1,AND($K39&lt;=BM$7,$L39&gt;BM$7),((BM$7-$K39)/($L39-$K39)))</f>
        <v>1</v>
      </c>
    </row>
    <row r="40" spans="2:66" ht="15" customHeight="1" x14ac:dyDescent="0.3">
      <c r="B40" s="170" t="str">
        <f t="array" ref="B40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3</v>
      </c>
      <c r="C40" s="170" t="s">
        <v>128</v>
      </c>
      <c r="D40" s="177" t="str">
        <f t="shared" si="24"/>
        <v>Arquitetura de projetos GERDAU</v>
      </c>
      <c r="E40" s="170" t="str">
        <f t="shared" si="12"/>
        <v>Definição da Estratégia para Transformação dos Processos</v>
      </c>
      <c r="F40" s="170" t="s">
        <v>74</v>
      </c>
      <c r="G40" s="170" t="s">
        <v>74</v>
      </c>
      <c r="H40" s="194" t="s">
        <v>129</v>
      </c>
      <c r="I40" s="170">
        <f>MIN(I41:I44)</f>
        <v>45705</v>
      </c>
      <c r="J40" s="170">
        <f>MAX(J41:J44)</f>
        <v>45729</v>
      </c>
      <c r="K40" s="170">
        <f>MIN(K41:K44)</f>
        <v>45705</v>
      </c>
      <c r="L40" s="170">
        <f>MAX(L41:L44)</f>
        <v>45727</v>
      </c>
      <c r="M40" s="171"/>
      <c r="N40" s="171" t="str">
        <f t="array" ref="N40">_xlfn.IFS(L40&lt;$M$3,"Concluído",AND(K40&gt;=$M$3,I40&lt;$M$3,L40&gt;$M$3),"Em andamento",AND(L40&gt;=$M$3,J40&lt;$M$3),"Atrasado",AND(L40&gt;=$M$3,J40&gt;=$M$3,I40&gt;$M$3,K40&lt;=$M$3),"Em andamento",AND(L40&gt;=$M$3,J40&gt;=$M$3,I40&lt;=$M$3,K40&lt;=$M$3),"Em andamento",AND(K40&gt;$M$3,I40&gt;$M$3),"Não iniciado",AND(L40&gt;=$M$3,J40&gt;=$M$3,K40&gt;=$M$3,I40&lt;$M$3),"Atrasado",AND(L40&gt;=$M$3,J40&gt;=$M$3,K40&gt;=$M$3,I40&gt;$M$3),"Não iniciado",AND($I40&lt;=$M$3,$K40&gt;$M$3),"Atrasado")</f>
        <v>Concluído</v>
      </c>
      <c r="O40" s="171">
        <f t="array" ref="O40">_xlfn.IFS(N40="Não iniciado",0,N40="Em andamento",1,N40="Concluído",2,N40="Atrasado",3)</f>
        <v>2</v>
      </c>
      <c r="P40" s="172"/>
      <c r="Q40" s="173">
        <f t="shared" ref="Q40:AV40" si="25">AVERAGE(Q41)</f>
        <v>1</v>
      </c>
      <c r="R40" s="173">
        <f t="shared" si="25"/>
        <v>1</v>
      </c>
      <c r="S40" s="173">
        <f t="shared" si="25"/>
        <v>0</v>
      </c>
      <c r="T40" s="173">
        <f t="shared" si="25"/>
        <v>0</v>
      </c>
      <c r="U40" s="173">
        <f t="shared" si="25"/>
        <v>0</v>
      </c>
      <c r="V40" s="173">
        <f t="shared" si="25"/>
        <v>0.33333333333333331</v>
      </c>
      <c r="W40" s="173">
        <f t="shared" si="25"/>
        <v>0.33333333333333331</v>
      </c>
      <c r="X40" s="173">
        <f t="shared" si="25"/>
        <v>0.66666666666666663</v>
      </c>
      <c r="Y40" s="173">
        <f t="shared" si="25"/>
        <v>1</v>
      </c>
      <c r="Z40" s="173">
        <f t="shared" si="25"/>
        <v>1</v>
      </c>
      <c r="AA40" s="173">
        <f t="shared" si="25"/>
        <v>1</v>
      </c>
      <c r="AB40" s="173">
        <f t="shared" si="25"/>
        <v>1</v>
      </c>
      <c r="AC40" s="173">
        <f t="shared" si="25"/>
        <v>1</v>
      </c>
      <c r="AD40" s="173">
        <f t="shared" si="25"/>
        <v>1</v>
      </c>
      <c r="AE40" s="173">
        <f t="shared" si="25"/>
        <v>1</v>
      </c>
      <c r="AF40" s="173">
        <f t="shared" si="25"/>
        <v>1</v>
      </c>
      <c r="AG40" s="173">
        <f t="shared" si="25"/>
        <v>1</v>
      </c>
      <c r="AH40" s="173">
        <f t="shared" si="25"/>
        <v>1</v>
      </c>
      <c r="AI40" s="173">
        <f t="shared" si="25"/>
        <v>1</v>
      </c>
      <c r="AJ40" s="173">
        <f t="shared" si="25"/>
        <v>1</v>
      </c>
      <c r="AK40" s="173">
        <f t="shared" si="25"/>
        <v>1</v>
      </c>
      <c r="AL40" s="173">
        <f t="shared" si="25"/>
        <v>1</v>
      </c>
      <c r="AM40" s="173">
        <f t="shared" si="25"/>
        <v>1</v>
      </c>
      <c r="AN40" s="173">
        <f t="shared" si="25"/>
        <v>1</v>
      </c>
      <c r="AO40" s="173">
        <f t="shared" si="25"/>
        <v>1</v>
      </c>
      <c r="AP40" s="173">
        <f t="shared" si="25"/>
        <v>1</v>
      </c>
      <c r="AQ40" s="173">
        <f t="shared" si="25"/>
        <v>1</v>
      </c>
      <c r="AR40" s="173">
        <f t="shared" si="25"/>
        <v>1</v>
      </c>
      <c r="AS40" s="173">
        <f t="shared" si="25"/>
        <v>1</v>
      </c>
      <c r="AT40" s="173">
        <f t="shared" si="25"/>
        <v>1</v>
      </c>
      <c r="AU40" s="173">
        <f t="shared" si="25"/>
        <v>1</v>
      </c>
      <c r="AV40" s="173">
        <f t="shared" si="25"/>
        <v>1</v>
      </c>
      <c r="AW40" s="173">
        <f t="shared" ref="AW40:BN40" si="26">AVERAGE(AW41)</f>
        <v>1</v>
      </c>
      <c r="AX40" s="173">
        <f t="shared" si="26"/>
        <v>1</v>
      </c>
      <c r="AY40" s="173">
        <f t="shared" si="26"/>
        <v>1</v>
      </c>
      <c r="AZ40" s="173">
        <f t="shared" si="26"/>
        <v>1</v>
      </c>
      <c r="BA40" s="173">
        <f t="shared" si="26"/>
        <v>1</v>
      </c>
      <c r="BB40" s="173">
        <f t="shared" si="26"/>
        <v>1</v>
      </c>
      <c r="BC40" s="173">
        <f t="shared" si="26"/>
        <v>1</v>
      </c>
      <c r="BD40" s="173">
        <f t="shared" si="26"/>
        <v>1</v>
      </c>
      <c r="BE40" s="173">
        <f t="shared" si="26"/>
        <v>1</v>
      </c>
      <c r="BF40" s="173">
        <f t="shared" si="26"/>
        <v>1</v>
      </c>
      <c r="BG40" s="173">
        <f t="shared" si="26"/>
        <v>1</v>
      </c>
      <c r="BH40" s="173">
        <f t="shared" si="26"/>
        <v>1</v>
      </c>
      <c r="BI40" s="173">
        <f t="shared" si="26"/>
        <v>1</v>
      </c>
      <c r="BJ40" s="173">
        <f t="shared" si="26"/>
        <v>1</v>
      </c>
      <c r="BK40" s="173">
        <f t="shared" si="26"/>
        <v>1</v>
      </c>
      <c r="BL40" s="173">
        <f t="shared" si="26"/>
        <v>1</v>
      </c>
      <c r="BM40" s="173">
        <f t="shared" si="26"/>
        <v>1</v>
      </c>
      <c r="BN40" s="173">
        <f t="shared" si="26"/>
        <v>1</v>
      </c>
    </row>
    <row r="41" spans="2:66" ht="15" customHeight="1" x14ac:dyDescent="0.3">
      <c r="B41" s="174" t="str">
        <f t="array" ref="B41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41" s="174" t="s">
        <v>130</v>
      </c>
      <c r="D41" s="177" t="str">
        <f t="shared" si="24"/>
        <v>Arquitetura de projetos GERDAU</v>
      </c>
      <c r="E41" s="170" t="str">
        <f t="shared" si="12"/>
        <v>Definição da Estratégia para Transformação dos Processos</v>
      </c>
      <c r="F41" s="174" t="str">
        <f>$H$40</f>
        <v>Priorização do Portfólio de Transformação</v>
      </c>
      <c r="G41" s="174"/>
      <c r="H41" s="195" t="s">
        <v>131</v>
      </c>
      <c r="I41" s="174">
        <f>MIN(I42:I44)</f>
        <v>45705</v>
      </c>
      <c r="J41" s="174">
        <f>MAX(J42:J44)</f>
        <v>45729</v>
      </c>
      <c r="K41" s="174">
        <f>MIN(K42:K44)</f>
        <v>45705</v>
      </c>
      <c r="L41" s="174">
        <f>MAX(L42:L44)</f>
        <v>45727</v>
      </c>
      <c r="M41" s="175"/>
      <c r="N41" s="175" t="str">
        <f t="array" ref="N41">_xlfn.IFS(L41&lt;$M$3,"Concluído",AND(K41&gt;=$M$3,I41&lt;$M$3,L41&gt;$M$3),"Em andamento",AND(L41&gt;=$M$3,J41&lt;$M$3),"Atrasado",AND(L41&gt;=$M$3,J41&gt;=$M$3,I41&gt;$M$3,K41&lt;=$M$3),"Em andamento",AND(L41&gt;=$M$3,J41&gt;=$M$3,I41&lt;=$M$3,K41&lt;=$M$3),"Em andamento",AND(K41&gt;$M$3,I41&gt;$M$3),"Não iniciado",AND(L41&gt;=$M$3,J41&gt;=$M$3,K41&gt;=$M$3,I41&lt;$M$3),"Atrasado",AND(L41&gt;=$M$3,J41&gt;=$M$3,K41&gt;=$M$3,I41&gt;$M$3),"Não iniciado",AND($I41&lt;=$M$3,$K41&gt;$M$3),"Atrasado")</f>
        <v>Concluído</v>
      </c>
      <c r="O41" s="175">
        <f t="array" ref="O41">_xlfn.IFS(N41="Não iniciado",0,N41="Em andamento",1,N41="Concluído",2,N41="Atrasado",3)</f>
        <v>2</v>
      </c>
      <c r="P41" s="176"/>
      <c r="Q41" s="156">
        <f t="array" ref="Q41">_xlfn.IFS(AND($I41&lt;$M$3,$J41&lt;$M$3),1,AND($I41&lt;$M$3,$J41&gt;=$M$3),0.5,AND($I41&gt;=$M$3,$J41&gt;=$M$3),0)</f>
        <v>1</v>
      </c>
      <c r="R41" s="156">
        <f t="array" ref="R41">_xlfn.IFS(AND($I41&lt;$M$3,$J41&lt;$M$3),1,AND($I41&lt;$M$3,$J41&gt;=$M$3),0.5,AND($I41&gt;=$M$3,$J41&gt;=$M$3),0)</f>
        <v>1</v>
      </c>
      <c r="S41" s="205">
        <f t="shared" ref="S41:BN41" si="27">AVERAGE(S42:S44)</f>
        <v>0</v>
      </c>
      <c r="T41" s="205">
        <f t="shared" si="27"/>
        <v>0</v>
      </c>
      <c r="U41" s="205">
        <f t="shared" si="27"/>
        <v>0</v>
      </c>
      <c r="V41" s="205">
        <f t="shared" si="27"/>
        <v>0.33333333333333331</v>
      </c>
      <c r="W41" s="205">
        <f t="shared" si="27"/>
        <v>0.33333333333333331</v>
      </c>
      <c r="X41" s="205">
        <f t="shared" si="27"/>
        <v>0.66666666666666663</v>
      </c>
      <c r="Y41" s="205">
        <f t="shared" si="27"/>
        <v>1</v>
      </c>
      <c r="Z41" s="205">
        <f t="shared" si="27"/>
        <v>1</v>
      </c>
      <c r="AA41" s="205">
        <f t="shared" si="27"/>
        <v>1</v>
      </c>
      <c r="AB41" s="205">
        <f t="shared" si="27"/>
        <v>1</v>
      </c>
      <c r="AC41" s="205">
        <f t="shared" si="27"/>
        <v>1</v>
      </c>
      <c r="AD41" s="205">
        <f t="shared" si="27"/>
        <v>1</v>
      </c>
      <c r="AE41" s="205">
        <f t="shared" si="27"/>
        <v>1</v>
      </c>
      <c r="AF41" s="205">
        <f t="shared" si="27"/>
        <v>1</v>
      </c>
      <c r="AG41" s="205">
        <f t="shared" si="27"/>
        <v>1</v>
      </c>
      <c r="AH41" s="205">
        <f t="shared" si="27"/>
        <v>1</v>
      </c>
      <c r="AI41" s="205">
        <f t="shared" si="27"/>
        <v>1</v>
      </c>
      <c r="AJ41" s="205">
        <f t="shared" si="27"/>
        <v>1</v>
      </c>
      <c r="AK41" s="205">
        <f t="shared" si="27"/>
        <v>1</v>
      </c>
      <c r="AL41" s="205">
        <f t="shared" si="27"/>
        <v>1</v>
      </c>
      <c r="AM41" s="205">
        <f t="shared" si="27"/>
        <v>1</v>
      </c>
      <c r="AN41" s="205">
        <f t="shared" si="27"/>
        <v>1</v>
      </c>
      <c r="AO41" s="205">
        <f t="shared" si="27"/>
        <v>1</v>
      </c>
      <c r="AP41" s="205">
        <f t="shared" si="27"/>
        <v>1</v>
      </c>
      <c r="AQ41" s="205">
        <f t="shared" si="27"/>
        <v>1</v>
      </c>
      <c r="AR41" s="205">
        <f t="shared" si="27"/>
        <v>1</v>
      </c>
      <c r="AS41" s="205">
        <f t="shared" si="27"/>
        <v>1</v>
      </c>
      <c r="AT41" s="205">
        <f t="shared" si="27"/>
        <v>1</v>
      </c>
      <c r="AU41" s="205">
        <f t="shared" si="27"/>
        <v>1</v>
      </c>
      <c r="AV41" s="205">
        <f t="shared" si="27"/>
        <v>1</v>
      </c>
      <c r="AW41" s="205">
        <f t="shared" si="27"/>
        <v>1</v>
      </c>
      <c r="AX41" s="205">
        <f t="shared" si="27"/>
        <v>1</v>
      </c>
      <c r="AY41" s="205">
        <f t="shared" si="27"/>
        <v>1</v>
      </c>
      <c r="AZ41" s="205">
        <f t="shared" si="27"/>
        <v>1</v>
      </c>
      <c r="BA41" s="205">
        <f t="shared" si="27"/>
        <v>1</v>
      </c>
      <c r="BB41" s="205">
        <f t="shared" si="27"/>
        <v>1</v>
      </c>
      <c r="BC41" s="205">
        <f t="shared" si="27"/>
        <v>1</v>
      </c>
      <c r="BD41" s="205">
        <f t="shared" si="27"/>
        <v>1</v>
      </c>
      <c r="BE41" s="205">
        <f t="shared" si="27"/>
        <v>1</v>
      </c>
      <c r="BF41" s="205">
        <f t="shared" si="27"/>
        <v>1</v>
      </c>
      <c r="BG41" s="205">
        <f t="shared" si="27"/>
        <v>1</v>
      </c>
      <c r="BH41" s="205">
        <f t="shared" si="27"/>
        <v>1</v>
      </c>
      <c r="BI41" s="205">
        <f t="shared" si="27"/>
        <v>1</v>
      </c>
      <c r="BJ41" s="205">
        <f t="shared" si="27"/>
        <v>1</v>
      </c>
      <c r="BK41" s="205">
        <f t="shared" si="27"/>
        <v>1</v>
      </c>
      <c r="BL41" s="205">
        <f t="shared" si="27"/>
        <v>1</v>
      </c>
      <c r="BM41" s="205">
        <f t="shared" si="27"/>
        <v>1</v>
      </c>
      <c r="BN41" s="205">
        <f t="shared" si="27"/>
        <v>1</v>
      </c>
    </row>
    <row r="42" spans="2:66" s="163" customFormat="1" ht="15" customHeight="1" collapsed="1" x14ac:dyDescent="0.3">
      <c r="B42" s="166" t="str">
        <f t="array" ref="B42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42" s="166" t="s">
        <v>132</v>
      </c>
      <c r="D42" s="177" t="str">
        <f t="shared" si="24"/>
        <v>Arquitetura de projetos GERDAU</v>
      </c>
      <c r="E42" s="170" t="str">
        <f t="shared" si="12"/>
        <v>Definição da Estratégia para Transformação dos Processos</v>
      </c>
      <c r="F42" s="174" t="str">
        <f>$H$40</f>
        <v>Priorização do Portfólio de Transformação</v>
      </c>
      <c r="G42" s="166" t="str">
        <f>$H$41</f>
        <v>Elaboração do Roadmap de Transformação de Processos</v>
      </c>
      <c r="H42" s="197" t="s">
        <v>133</v>
      </c>
      <c r="I42" s="166">
        <v>45705</v>
      </c>
      <c r="J42" s="40">
        <v>45707</v>
      </c>
      <c r="K42" s="166">
        <v>45705</v>
      </c>
      <c r="L42" s="40">
        <v>45707</v>
      </c>
      <c r="M42" s="167"/>
      <c r="N42" s="167" t="str">
        <f t="array" ref="N42">_xlfn.IFS(L42&lt;$M$3,"Concluído",AND(K42&gt;=$M$3,I42&lt;$M$3,L42&gt;$M$3),"Em andamento",AND(L42&gt;=$M$3,J42&lt;$M$3),"Atrasado",AND(L42&gt;=$M$3,J42&gt;=$M$3,I42&gt;$M$3,K42&lt;=$M$3),"Em andamento",AND(L42&gt;=$M$3,J42&gt;=$M$3,I42&lt;=$M$3,K42&lt;=$M$3),"Em andamento",AND(K42&gt;$M$3,I42&gt;$M$3),"Não iniciado",AND(L42&gt;=$M$3,J42&gt;=$M$3,K42&gt;=$M$3,I42&lt;$M$3),"Atrasado",AND(L42&gt;=$M$3,J42&gt;=$M$3,K42&gt;=$M$3,I42&gt;$M$3),"Não iniciado",AND($I42&lt;=$M$3,$K42&gt;$M$3),"Atrasado")</f>
        <v>Concluído</v>
      </c>
      <c r="O42" s="167">
        <f t="array" ref="O42">_xlfn.IFS(N42="Não iniciado",0,N42="Em andamento",1,N42="Concluído",2,N42="Atrasado",3)</f>
        <v>2</v>
      </c>
      <c r="P42" s="169"/>
      <c r="Q42" s="152">
        <f t="array" ref="Q42">_xlfn.IFS(AND($I42&lt;$M$3,$J42&lt;$M$3),1,AND($I42&lt;$M$3,$J42&gt;=$M$3),0.5,AND($I42&gt;=$M$3,$J42&gt;=$M$3),0)</f>
        <v>1</v>
      </c>
      <c r="R42" s="152">
        <f t="array" ref="R42">_xlfn.IFS(AND($K42&lt;$M$3,$L42&lt;$M$3),1,AND($K42&lt;=$M$3,$L42&gt;=$M$3),0.5,AND($K42&gt;=$M$3,$L42&gt;=$M$3),0)</f>
        <v>1</v>
      </c>
      <c r="S42" s="201">
        <f t="array" ref="S42">_xlfn.IFS(AND($K42&gt;R$7,$L42&gt;R$7),0,AND($K42&lt;=R$7,$L42&lt;=R$7),1,AND($K42&lt;=R$7,$L42&gt;R$7),((R$7-$K42)/($L42-$K42)))</f>
        <v>0</v>
      </c>
      <c r="T42" s="201">
        <f t="array" ref="T42">_xlfn.IFS(AND($K42&gt;S$7,$L42&gt;S$7),0,AND($K42&lt;=S$7,$L42&lt;=S$7),1,AND($K42&lt;=S$7,$L42&gt;S$7),((S$7-$K42)/($L42-$K42)))</f>
        <v>0</v>
      </c>
      <c r="U42" s="201">
        <f t="array" ref="U42">_xlfn.IFS(AND($K42&gt;T$7,$L42&gt;T$7),0,AND($K42&lt;=T$7,$L42&lt;=T$7),1,AND($K42&lt;=T$7,$L42&gt;T$7),((T$7-$K42)/($L42-$K42)))</f>
        <v>0</v>
      </c>
      <c r="V42" s="201">
        <f t="array" ref="V42">_xlfn.IFS(AND($K42&gt;U$7,$L42&gt;U$7),0,AND($K42&lt;=U$7,$L42&lt;=U$7),1,AND($K42&lt;=U$7,$L42&gt;U$7),((U$7-$K42)/($L42-$K42)))</f>
        <v>1</v>
      </c>
      <c r="W42" s="201">
        <f t="array" ref="W42">_xlfn.IFS(AND($K42&gt;V$7,$L42&gt;V$7),0,AND($K42&lt;=V$7,$L42&lt;=V$7),1,AND($K42&lt;=V$7,$L42&gt;V$7),((V$7-$K42)/($L42-$K42)))</f>
        <v>1</v>
      </c>
      <c r="X42" s="201">
        <f t="array" ref="X42">_xlfn.IFS(AND($K42&gt;W$7,$L42&gt;W$7),0,AND($K42&lt;=W$7,$L42&lt;=W$7),1,AND($K42&lt;=W$7,$L42&gt;W$7),((W$7-$K42)/($L42-$K42)))</f>
        <v>1</v>
      </c>
      <c r="Y42" s="201">
        <f t="array" ref="Y42">_xlfn.IFS(AND($K42&gt;X$7,$L42&gt;X$7),0,AND($K42&lt;=X$7,$L42&lt;=X$7),1,AND($K42&lt;=X$7,$L42&gt;X$7),((X$7-$K42)/($L42-$K42)))</f>
        <v>1</v>
      </c>
      <c r="Z42" s="201">
        <f t="array" ref="Z42">_xlfn.IFS(AND($K42&gt;Y$7,$L42&gt;Y$7),0,AND($K42&lt;=Y$7,$L42&lt;=Y$7),1,AND($K42&lt;=Y$7,$L42&gt;Y$7),((Y$7-$K42)/($L42-$K42)))</f>
        <v>1</v>
      </c>
      <c r="AA42" s="201">
        <f t="array" ref="AA42">_xlfn.IFS(AND($K42&gt;Z$7,$L42&gt;Z$7),0,AND($K42&lt;=Z$7,$L42&lt;=Z$7),1,AND($K42&lt;=Z$7,$L42&gt;Z$7),((Z$7-$K42)/($L42-$K42)))</f>
        <v>1</v>
      </c>
      <c r="AB42" s="201">
        <f t="array" ref="AB42">_xlfn.IFS(AND($K42&gt;AA$7,$L42&gt;AA$7),0,AND($K42&lt;=AA$7,$L42&lt;=AA$7),1,AND($K42&lt;=AA$7,$L42&gt;AA$7),((AA$7-$K42)/($L42-$K42)))</f>
        <v>1</v>
      </c>
      <c r="AC42" s="201">
        <f t="array" ref="AC42">_xlfn.IFS(AND($K42&gt;AB$7,$L42&gt;AB$7),0,AND($K42&lt;=AB$7,$L42&lt;=AB$7),1,AND($K42&lt;=AB$7,$L42&gt;AB$7),((AB$7-$K42)/($L42-$K42)))</f>
        <v>1</v>
      </c>
      <c r="AD42" s="201">
        <f t="array" ref="AD42">_xlfn.IFS(AND($K42&gt;AC$7,$L42&gt;AC$7),0,AND($K42&lt;=AC$7,$L42&lt;=AC$7),1,AND($K42&lt;=AC$7,$L42&gt;AC$7),((AC$7-$K42)/($L42-$K42)))</f>
        <v>1</v>
      </c>
      <c r="AE42" s="201">
        <f t="array" ref="AE42">_xlfn.IFS(AND($K42&gt;AD$7,$L42&gt;AD$7),0,AND($K42&lt;=AD$7,$L42&lt;=AD$7),1,AND($K42&lt;=AD$7,$L42&gt;AD$7),((AD$7-$K42)/($L42-$K42)))</f>
        <v>1</v>
      </c>
      <c r="AF42" s="201">
        <f t="array" ref="AF42">_xlfn.IFS(AND($K42&gt;AE$7,$L42&gt;AE$7),0,AND($K42&lt;=AE$7,$L42&lt;=AE$7),1,AND($K42&lt;=AE$7,$L42&gt;AE$7),((AE$7-$K42)/($L42-$K42)))</f>
        <v>1</v>
      </c>
      <c r="AG42" s="201">
        <f t="array" ref="AG42">_xlfn.IFS(AND($K42&gt;AF$7,$L42&gt;AF$7),0,AND($K42&lt;=AF$7,$L42&lt;=AF$7),1,AND($K42&lt;=AF$7,$L42&gt;AF$7),((AF$7-$K42)/($L42-$K42)))</f>
        <v>1</v>
      </c>
      <c r="AH42" s="201">
        <f t="array" ref="AH42">_xlfn.IFS(AND($K42&gt;AG$7,$L42&gt;AG$7),0,AND($K42&lt;=AG$7,$L42&lt;=AG$7),1,AND($K42&lt;=AG$7,$L42&gt;AG$7),((AG$7-$K42)/($L42-$K42)))</f>
        <v>1</v>
      </c>
      <c r="AI42" s="201">
        <f t="array" ref="AI42">_xlfn.IFS(AND($K42&gt;AH$7,$L42&gt;AH$7),0,AND($K42&lt;=AH$7,$L42&lt;=AH$7),1,AND($K42&lt;=AH$7,$L42&gt;AH$7),((AH$7-$K42)/($L42-$K42)))</f>
        <v>1</v>
      </c>
      <c r="AJ42" s="201">
        <f t="array" ref="AJ42">_xlfn.IFS(AND($K42&gt;AI$7,$L42&gt;AI$7),0,AND($K42&lt;=AI$7,$L42&lt;=AI$7),1,AND($K42&lt;=AI$7,$L42&gt;AI$7),((AI$7-$K42)/($L42-$K42)))</f>
        <v>1</v>
      </c>
      <c r="AK42" s="201">
        <f t="array" ref="AK42">_xlfn.IFS(AND($K42&gt;AJ$7,$L42&gt;AJ$7),0,AND($K42&lt;=AJ$7,$L42&lt;=AJ$7),1,AND($K42&lt;=AJ$7,$L42&gt;AJ$7),((AJ$7-$K42)/($L42-$K42)))</f>
        <v>1</v>
      </c>
      <c r="AL42" s="201">
        <f t="array" ref="AL42">_xlfn.IFS(AND($K42&gt;AK$7,$L42&gt;AK$7),0,AND($K42&lt;=AK$7,$L42&lt;=AK$7),1,AND($K42&lt;=AK$7,$L42&gt;AK$7),((AK$7-$K42)/($L42-$K42)))</f>
        <v>1</v>
      </c>
      <c r="AM42" s="201">
        <f t="array" ref="AM42">_xlfn.IFS(AND($K42&gt;AL$7,$L42&gt;AL$7),0,AND($K42&lt;=AL$7,$L42&lt;=AL$7),1,AND($K42&lt;=AL$7,$L42&gt;AL$7),((AL$7-$K42)/($L42-$K42)))</f>
        <v>1</v>
      </c>
      <c r="AN42" s="201">
        <f t="array" ref="AN42">_xlfn.IFS(AND($K42&gt;AM$7,$L42&gt;AM$7),0,AND($K42&lt;=AM$7,$L42&lt;=AM$7),1,AND($K42&lt;=AM$7,$L42&gt;AM$7),((AM$7-$K42)/($L42-$K42)))</f>
        <v>1</v>
      </c>
      <c r="AO42" s="201">
        <f t="array" ref="AO42">_xlfn.IFS(AND($K42&gt;AN$7,$L42&gt;AN$7),0,AND($K42&lt;=AN$7,$L42&lt;=AN$7),1,AND($K42&lt;=AN$7,$L42&gt;AN$7),((AN$7-$K42)/($L42-$K42)))</f>
        <v>1</v>
      </c>
      <c r="AP42" s="201">
        <f t="array" ref="AP42">_xlfn.IFS(AND($K42&gt;AO$7,$L42&gt;AO$7),0,AND($K42&lt;=AO$7,$L42&lt;=AO$7),1,AND($K42&lt;=AO$7,$L42&gt;AO$7),((AO$7-$K42)/($L42-$K42)))</f>
        <v>1</v>
      </c>
      <c r="AQ42" s="201">
        <f t="array" ref="AQ42">_xlfn.IFS(AND($K42&gt;AP$7,$L42&gt;AP$7),0,AND($K42&lt;=AP$7,$L42&lt;=AP$7),1,AND($K42&lt;=AP$7,$L42&gt;AP$7),((AP$7-$K42)/($L42-$K42)))</f>
        <v>1</v>
      </c>
      <c r="AR42" s="201">
        <f t="array" ref="AR42">_xlfn.IFS(AND($K42&gt;AQ$7,$L42&gt;AQ$7),0,AND($K42&lt;=AQ$7,$L42&lt;=AQ$7),1,AND($K42&lt;=AQ$7,$L42&gt;AQ$7),((AQ$7-$K42)/($L42-$K42)))</f>
        <v>1</v>
      </c>
      <c r="AS42" s="201">
        <f t="array" ref="AS42">_xlfn.IFS(AND($K42&gt;AR$7,$L42&gt;AR$7),0,AND($K42&lt;=AR$7,$L42&lt;=AR$7),1,AND($K42&lt;=AR$7,$L42&gt;AR$7),((AR$7-$K42)/($L42-$K42)))</f>
        <v>1</v>
      </c>
      <c r="AT42" s="201">
        <f t="array" ref="AT42">_xlfn.IFS(AND($K42&gt;AS$7,$L42&gt;AS$7),0,AND($K42&lt;=AS$7,$L42&lt;=AS$7),1,AND($K42&lt;=AS$7,$L42&gt;AS$7),((AS$7-$K42)/($L42-$K42)))</f>
        <v>1</v>
      </c>
      <c r="AU42" s="201">
        <f t="array" ref="AU42">_xlfn.IFS(AND($K42&gt;AT$7,$L42&gt;AT$7),0,AND($K42&lt;=AT$7,$L42&lt;=AT$7),1,AND($K42&lt;=AT$7,$L42&gt;AT$7),((AT$7-$K42)/($L42-$K42)))</f>
        <v>1</v>
      </c>
      <c r="AV42" s="201">
        <f t="array" ref="AV42">_xlfn.IFS(AND($K42&gt;AU$7,$L42&gt;AU$7),0,AND($K42&lt;=AU$7,$L42&lt;=AU$7),1,AND($K42&lt;=AU$7,$L42&gt;AU$7),((AU$7-$K42)/($L42-$K42)))</f>
        <v>1</v>
      </c>
      <c r="AW42" s="201">
        <f t="array" ref="AW42">_xlfn.IFS(AND($K42&gt;AV$7,$L42&gt;AV$7),0,AND($K42&lt;=AV$7,$L42&lt;=AV$7),1,AND($K42&lt;=AV$7,$L42&gt;AV$7),((AV$7-$K42)/($L42-$K42)))</f>
        <v>1</v>
      </c>
      <c r="AX42" s="201">
        <f t="array" ref="AX42">_xlfn.IFS(AND($K42&gt;AW$7,$L42&gt;AW$7),0,AND($K42&lt;=AW$7,$L42&lt;=AW$7),1,AND($K42&lt;=AW$7,$L42&gt;AW$7),((AW$7-$K42)/($L42-$K42)))</f>
        <v>1</v>
      </c>
      <c r="AY42" s="201">
        <f t="array" ref="AY42">_xlfn.IFS(AND($K42&gt;AX$7,$L42&gt;AX$7),0,AND($K42&lt;=AX$7,$L42&lt;=AX$7),1,AND($K42&lt;=AX$7,$L42&gt;AX$7),((AX$7-$K42)/($L42-$K42)))</f>
        <v>1</v>
      </c>
      <c r="AZ42" s="201">
        <f t="array" ref="AZ42">_xlfn.IFS(AND($K42&gt;AY$7,$L42&gt;AY$7),0,AND($K42&lt;=AY$7,$L42&lt;=AY$7),1,AND($K42&lt;=AY$7,$L42&gt;AY$7),((AY$7-$K42)/($L42-$K42)))</f>
        <v>1</v>
      </c>
      <c r="BA42" s="201">
        <f t="array" ref="BA42">_xlfn.IFS(AND($K42&gt;AZ$7,$L42&gt;AZ$7),0,AND($K42&lt;=AZ$7,$L42&lt;=AZ$7),1,AND($K42&lt;=AZ$7,$L42&gt;AZ$7),((AZ$7-$K42)/($L42-$K42)))</f>
        <v>1</v>
      </c>
      <c r="BB42" s="201">
        <f t="array" ref="BB42">_xlfn.IFS(AND($K42&gt;BA$7,$L42&gt;BA$7),0,AND($K42&lt;=BA$7,$L42&lt;=BA$7),1,AND($K42&lt;=BA$7,$L42&gt;BA$7),((BA$7-$K42)/($L42-$K42)))</f>
        <v>1</v>
      </c>
      <c r="BC42" s="201">
        <f t="array" ref="BC42">_xlfn.IFS(AND($K42&gt;BB$7,$L42&gt;BB$7),0,AND($K42&lt;=BB$7,$L42&lt;=BB$7),1,AND($K42&lt;=BB$7,$L42&gt;BB$7),((BB$7-$K42)/($L42-$K42)))</f>
        <v>1</v>
      </c>
      <c r="BD42" s="201">
        <f t="array" ref="BD42">_xlfn.IFS(AND($K42&gt;BC$7,$L42&gt;BC$7),0,AND($K42&lt;=BC$7,$L42&lt;=BC$7),1,AND($K42&lt;=BC$7,$L42&gt;BC$7),((BC$7-$K42)/($L42-$K42)))</f>
        <v>1</v>
      </c>
      <c r="BE42" s="201">
        <f t="array" ref="BE42">_xlfn.IFS(AND($K42&gt;BD$7,$L42&gt;BD$7),0,AND($K42&lt;=BD$7,$L42&lt;=BD$7),1,AND($K42&lt;=BD$7,$L42&gt;BD$7),((BD$7-$K42)/($L42-$K42)))</f>
        <v>1</v>
      </c>
      <c r="BF42" s="201">
        <f t="array" ref="BF42">_xlfn.IFS(AND($K42&gt;BE$7,$L42&gt;BE$7),0,AND($K42&lt;=BE$7,$L42&lt;=BE$7),1,AND($K42&lt;=BE$7,$L42&gt;BE$7),((BE$7-$K42)/($L42-$K42)))</f>
        <v>1</v>
      </c>
      <c r="BG42" s="201">
        <f t="array" ref="BG42">_xlfn.IFS(AND($K42&gt;BF$7,$L42&gt;BF$7),0,AND($K42&lt;=BF$7,$L42&lt;=BF$7),1,AND($K42&lt;=BF$7,$L42&gt;BF$7),((BF$7-$K42)/($L42-$K42)))</f>
        <v>1</v>
      </c>
      <c r="BH42" s="201">
        <f t="array" ref="BH42">_xlfn.IFS(AND($K42&gt;BG$7,$L42&gt;BG$7),0,AND($K42&lt;=BG$7,$L42&lt;=BG$7),1,AND($K42&lt;=BG$7,$L42&gt;BG$7),((BG$7-$K42)/($L42-$K42)))</f>
        <v>1</v>
      </c>
      <c r="BI42" s="201">
        <f t="array" ref="BI42">_xlfn.IFS(AND($K42&gt;BH$7,$L42&gt;BH$7),0,AND($K42&lt;=BH$7,$L42&lt;=BH$7),1,AND($K42&lt;=BH$7,$L42&gt;BH$7),((BH$7-$K42)/($L42-$K42)))</f>
        <v>1</v>
      </c>
      <c r="BJ42" s="201">
        <f t="array" ref="BJ42">_xlfn.IFS(AND($K42&gt;BI$7,$L42&gt;BI$7),0,AND($K42&lt;=BI$7,$L42&lt;=BI$7),1,AND($K42&lt;=BI$7,$L42&gt;BI$7),((BI$7-$K42)/($L42-$K42)))</f>
        <v>1</v>
      </c>
      <c r="BK42" s="201">
        <f t="array" ref="BK42">_xlfn.IFS(AND($K42&gt;BJ$7,$L42&gt;BJ$7),0,AND($K42&lt;=BJ$7,$L42&lt;=BJ$7),1,AND($K42&lt;=BJ$7,$L42&gt;BJ$7),((BJ$7-$K42)/($L42-$K42)))</f>
        <v>1</v>
      </c>
      <c r="BL42" s="201">
        <f t="array" ref="BL42">_xlfn.IFS(AND($K42&gt;BK$7,$L42&gt;BK$7),0,AND($K42&lt;=BK$7,$L42&lt;=BK$7),1,AND($K42&lt;=BK$7,$L42&gt;BK$7),((BK$7-$K42)/($L42-$K42)))</f>
        <v>1</v>
      </c>
      <c r="BM42" s="201">
        <f t="array" ref="BM42">_xlfn.IFS(AND($K42&gt;BL$7,$L42&gt;BL$7),0,AND($K42&lt;=BL$7,$L42&lt;=BL$7),1,AND($K42&lt;=BL$7,$L42&gt;BL$7),((BL$7-$K42)/($L42-$K42)))</f>
        <v>1</v>
      </c>
      <c r="BN42" s="201">
        <f t="array" ref="BN42">_xlfn.IFS(AND($K42&gt;BM$7,$L42&gt;BM$7),0,AND($K42&lt;=BM$7,$L42&lt;=BM$7),1,AND($K42&lt;=BM$7,$L42&gt;BM$7),((BM$7-$K42)/($L42-$K42)))</f>
        <v>1</v>
      </c>
    </row>
    <row r="43" spans="2:66" s="163" customFormat="1" ht="27.6" customHeight="1" collapsed="1" x14ac:dyDescent="0.3">
      <c r="B43" s="166" t="str">
        <f t="array" ref="B43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43" s="166" t="s">
        <v>134</v>
      </c>
      <c r="D43" s="177" t="str">
        <f t="shared" si="24"/>
        <v>Arquitetura de projetos GERDAU</v>
      </c>
      <c r="E43" s="170" t="str">
        <f t="shared" si="12"/>
        <v>Definição da Estratégia para Transformação dos Processos</v>
      </c>
      <c r="F43" s="174" t="str">
        <f>$H$40</f>
        <v>Priorização do Portfólio de Transformação</v>
      </c>
      <c r="G43" s="166" t="str">
        <f>$H$41</f>
        <v>Elaboração do Roadmap de Transformação de Processos</v>
      </c>
      <c r="H43" s="197" t="s">
        <v>135</v>
      </c>
      <c r="I43" s="166">
        <v>45713</v>
      </c>
      <c r="J43" s="166">
        <v>45715</v>
      </c>
      <c r="K43" s="166">
        <v>45720</v>
      </c>
      <c r="L43" s="166">
        <v>45722</v>
      </c>
      <c r="M43" s="167"/>
      <c r="N43" s="167" t="str">
        <f t="array" ref="N43">_xlfn.IFS(L43&lt;$M$3,"Concluído",AND(K43&gt;=$M$3,I43&lt;$M$3,L43&gt;$M$3),"Em andamento",AND(L43&gt;=$M$3,J43&lt;$M$3),"Atrasado",AND(L43&gt;=$M$3,J43&gt;=$M$3,I43&gt;$M$3,K43&lt;=$M$3),"Em andamento",AND(L43&gt;=$M$3,J43&gt;=$M$3,I43&lt;=$M$3,K43&lt;=$M$3),"Em andamento",AND(K43&gt;$M$3,I43&gt;$M$3),"Não iniciado",AND(L43&gt;=$M$3,J43&gt;=$M$3,K43&gt;=$M$3,I43&lt;$M$3),"Atrasado",AND(L43&gt;=$M$3,J43&gt;=$M$3,K43&gt;=$M$3,I43&gt;$M$3),"Não iniciado",AND($I43&lt;=$M$3,$K43&gt;$M$3),"Atrasado")</f>
        <v>Concluído</v>
      </c>
      <c r="O43" s="167">
        <f t="array" ref="O43">_xlfn.IFS(N43="Não iniciado",0,N43="Em andamento",1,N43="Concluído",2,N43="Atrasado",3)</f>
        <v>2</v>
      </c>
      <c r="P43" s="169"/>
      <c r="Q43" s="152">
        <f t="array" ref="Q43">_xlfn.IFS(AND($I43&lt;$M$3,$J43&lt;$M$3),1,AND($I43&lt;$M$3,$J43&gt;=$M$3),0.5,AND($I43&gt;=$M$3,$J43&gt;=$M$3),0)</f>
        <v>1</v>
      </c>
      <c r="R43" s="152">
        <f t="array" ref="R43">_xlfn.IFS(AND($K43&lt;$M$3,$L43&lt;$M$3),1,AND($K43&lt;=$M$3,$L43&gt;=$M$3),0.5,AND($K43&gt;=$M$3,$L43&gt;=$M$3),0)</f>
        <v>1</v>
      </c>
      <c r="S43" s="201">
        <f t="array" ref="S43">_xlfn.IFS(AND($K43&gt;R$7,$L43&gt;R$7),0,AND($K43&lt;=R$7,$L43&lt;=R$7),1,AND($K43&lt;=R$7,$L43&gt;R$7),((R$7-$K43)/($L43-$K43)))</f>
        <v>0</v>
      </c>
      <c r="T43" s="201">
        <f t="array" ref="T43">_xlfn.IFS(AND($K43&gt;S$7,$L43&gt;S$7),0,AND($K43&lt;=S$7,$L43&lt;=S$7),1,AND($K43&lt;=S$7,$L43&gt;S$7),((S$7-$K43)/($L43-$K43)))</f>
        <v>0</v>
      </c>
      <c r="U43" s="201">
        <f t="array" ref="U43">_xlfn.IFS(AND($K43&gt;T$7,$L43&gt;T$7),0,AND($K43&lt;=T$7,$L43&lt;=T$7),1,AND($K43&lt;=T$7,$L43&gt;T$7),((T$7-$K43)/($L43-$K43)))</f>
        <v>0</v>
      </c>
      <c r="V43" s="201">
        <f t="array" ref="V43">_xlfn.IFS(AND($K43&gt;U$7,$L43&gt;U$7),0,AND($K43&lt;=U$7,$L43&lt;=U$7),1,AND($K43&lt;=U$7,$L43&gt;U$7),((U$7-$K43)/($L43-$K43)))</f>
        <v>0</v>
      </c>
      <c r="W43" s="201">
        <f t="array" ref="W43">_xlfn.IFS(AND($K43&gt;V$7,$L43&gt;V$7),0,AND($K43&lt;=V$7,$L43&lt;=V$7),1,AND($K43&lt;=V$7,$L43&gt;V$7),((V$7-$K43)/($L43-$K43)))</f>
        <v>0</v>
      </c>
      <c r="X43" s="201">
        <f t="array" ref="X43">_xlfn.IFS(AND($K43&gt;W$7,$L43&gt;W$7),0,AND($K43&lt;=W$7,$L43&lt;=W$7),1,AND($K43&lt;=W$7,$L43&gt;W$7),((W$7-$K43)/($L43-$K43)))</f>
        <v>1</v>
      </c>
      <c r="Y43" s="201">
        <f t="array" ref="Y43">_xlfn.IFS(AND($K43&gt;X$7,$L43&gt;X$7),0,AND($K43&lt;=X$7,$L43&lt;=X$7),1,AND($K43&lt;=X$7,$L43&gt;X$7),((X$7-$K43)/($L43-$K43)))</f>
        <v>1</v>
      </c>
      <c r="Z43" s="201">
        <f t="array" ref="Z43">_xlfn.IFS(AND($K43&gt;Y$7,$L43&gt;Y$7),0,AND($K43&lt;=Y$7,$L43&lt;=Y$7),1,AND($K43&lt;=Y$7,$L43&gt;Y$7),((Y$7-$K43)/($L43-$K43)))</f>
        <v>1</v>
      </c>
      <c r="AA43" s="201">
        <f t="array" ref="AA43">_xlfn.IFS(AND($K43&gt;Z$7,$L43&gt;Z$7),0,AND($K43&lt;=Z$7,$L43&lt;=Z$7),1,AND($K43&lt;=Z$7,$L43&gt;Z$7),((Z$7-$K43)/($L43-$K43)))</f>
        <v>1</v>
      </c>
      <c r="AB43" s="201">
        <f t="array" ref="AB43">_xlfn.IFS(AND($K43&gt;AA$7,$L43&gt;AA$7),0,AND($K43&lt;=AA$7,$L43&lt;=AA$7),1,AND($K43&lt;=AA$7,$L43&gt;AA$7),((AA$7-$K43)/($L43-$K43)))</f>
        <v>1</v>
      </c>
      <c r="AC43" s="201">
        <f t="array" ref="AC43">_xlfn.IFS(AND($K43&gt;AB$7,$L43&gt;AB$7),0,AND($K43&lt;=AB$7,$L43&lt;=AB$7),1,AND($K43&lt;=AB$7,$L43&gt;AB$7),((AB$7-$K43)/($L43-$K43)))</f>
        <v>1</v>
      </c>
      <c r="AD43" s="201">
        <f t="array" ref="AD43">_xlfn.IFS(AND($K43&gt;AC$7,$L43&gt;AC$7),0,AND($K43&lt;=AC$7,$L43&lt;=AC$7),1,AND($K43&lt;=AC$7,$L43&gt;AC$7),((AC$7-$K43)/($L43-$K43)))</f>
        <v>1</v>
      </c>
      <c r="AE43" s="201">
        <f t="array" ref="AE43">_xlfn.IFS(AND($K43&gt;AD$7,$L43&gt;AD$7),0,AND($K43&lt;=AD$7,$L43&lt;=AD$7),1,AND($K43&lt;=AD$7,$L43&gt;AD$7),((AD$7-$K43)/($L43-$K43)))</f>
        <v>1</v>
      </c>
      <c r="AF43" s="201">
        <f t="array" ref="AF43">_xlfn.IFS(AND($K43&gt;AE$7,$L43&gt;AE$7),0,AND($K43&lt;=AE$7,$L43&lt;=AE$7),1,AND($K43&lt;=AE$7,$L43&gt;AE$7),((AE$7-$K43)/($L43-$K43)))</f>
        <v>1</v>
      </c>
      <c r="AG43" s="201">
        <f t="array" ref="AG43">_xlfn.IFS(AND($K43&gt;AF$7,$L43&gt;AF$7),0,AND($K43&lt;=AF$7,$L43&lt;=AF$7),1,AND($K43&lt;=AF$7,$L43&gt;AF$7),((AF$7-$K43)/($L43-$K43)))</f>
        <v>1</v>
      </c>
      <c r="AH43" s="201">
        <f t="array" ref="AH43">_xlfn.IFS(AND($K43&gt;AG$7,$L43&gt;AG$7),0,AND($K43&lt;=AG$7,$L43&lt;=AG$7),1,AND($K43&lt;=AG$7,$L43&gt;AG$7),((AG$7-$K43)/($L43-$K43)))</f>
        <v>1</v>
      </c>
      <c r="AI43" s="201">
        <f t="array" ref="AI43">_xlfn.IFS(AND($K43&gt;AH$7,$L43&gt;AH$7),0,AND($K43&lt;=AH$7,$L43&lt;=AH$7),1,AND($K43&lt;=AH$7,$L43&gt;AH$7),((AH$7-$K43)/($L43-$K43)))</f>
        <v>1</v>
      </c>
      <c r="AJ43" s="201">
        <f t="array" ref="AJ43">_xlfn.IFS(AND($K43&gt;AI$7,$L43&gt;AI$7),0,AND($K43&lt;=AI$7,$L43&lt;=AI$7),1,AND($K43&lt;=AI$7,$L43&gt;AI$7),((AI$7-$K43)/($L43-$K43)))</f>
        <v>1</v>
      </c>
      <c r="AK43" s="201">
        <f t="array" ref="AK43">_xlfn.IFS(AND($K43&gt;AJ$7,$L43&gt;AJ$7),0,AND($K43&lt;=AJ$7,$L43&lt;=AJ$7),1,AND($K43&lt;=AJ$7,$L43&gt;AJ$7),((AJ$7-$K43)/($L43-$K43)))</f>
        <v>1</v>
      </c>
      <c r="AL43" s="201">
        <f t="array" ref="AL43">_xlfn.IFS(AND($K43&gt;AK$7,$L43&gt;AK$7),0,AND($K43&lt;=AK$7,$L43&lt;=AK$7),1,AND($K43&lt;=AK$7,$L43&gt;AK$7),((AK$7-$K43)/($L43-$K43)))</f>
        <v>1</v>
      </c>
      <c r="AM43" s="201">
        <f t="array" ref="AM43">_xlfn.IFS(AND($K43&gt;AL$7,$L43&gt;AL$7),0,AND($K43&lt;=AL$7,$L43&lt;=AL$7),1,AND($K43&lt;=AL$7,$L43&gt;AL$7),((AL$7-$K43)/($L43-$K43)))</f>
        <v>1</v>
      </c>
      <c r="AN43" s="201">
        <f t="array" ref="AN43">_xlfn.IFS(AND($K43&gt;AM$7,$L43&gt;AM$7),0,AND($K43&lt;=AM$7,$L43&lt;=AM$7),1,AND($K43&lt;=AM$7,$L43&gt;AM$7),((AM$7-$K43)/($L43-$K43)))</f>
        <v>1</v>
      </c>
      <c r="AO43" s="201">
        <f t="array" ref="AO43">_xlfn.IFS(AND($K43&gt;AN$7,$L43&gt;AN$7),0,AND($K43&lt;=AN$7,$L43&lt;=AN$7),1,AND($K43&lt;=AN$7,$L43&gt;AN$7),((AN$7-$K43)/($L43-$K43)))</f>
        <v>1</v>
      </c>
      <c r="AP43" s="201">
        <f t="array" ref="AP43">_xlfn.IFS(AND($K43&gt;AO$7,$L43&gt;AO$7),0,AND($K43&lt;=AO$7,$L43&lt;=AO$7),1,AND($K43&lt;=AO$7,$L43&gt;AO$7),((AO$7-$K43)/($L43-$K43)))</f>
        <v>1</v>
      </c>
      <c r="AQ43" s="201">
        <f t="array" ref="AQ43">_xlfn.IFS(AND($K43&gt;AP$7,$L43&gt;AP$7),0,AND($K43&lt;=AP$7,$L43&lt;=AP$7),1,AND($K43&lt;=AP$7,$L43&gt;AP$7),((AP$7-$K43)/($L43-$K43)))</f>
        <v>1</v>
      </c>
      <c r="AR43" s="201">
        <f t="array" ref="AR43">_xlfn.IFS(AND($K43&gt;AQ$7,$L43&gt;AQ$7),0,AND($K43&lt;=AQ$7,$L43&lt;=AQ$7),1,AND($K43&lt;=AQ$7,$L43&gt;AQ$7),((AQ$7-$K43)/($L43-$K43)))</f>
        <v>1</v>
      </c>
      <c r="AS43" s="201">
        <f t="array" ref="AS43">_xlfn.IFS(AND($K43&gt;AR$7,$L43&gt;AR$7),0,AND($K43&lt;=AR$7,$L43&lt;=AR$7),1,AND($K43&lt;=AR$7,$L43&gt;AR$7),((AR$7-$K43)/($L43-$K43)))</f>
        <v>1</v>
      </c>
      <c r="AT43" s="201">
        <f t="array" ref="AT43">_xlfn.IFS(AND($K43&gt;AS$7,$L43&gt;AS$7),0,AND($K43&lt;=AS$7,$L43&lt;=AS$7),1,AND($K43&lt;=AS$7,$L43&gt;AS$7),((AS$7-$K43)/($L43-$K43)))</f>
        <v>1</v>
      </c>
      <c r="AU43" s="201">
        <f t="array" ref="AU43">_xlfn.IFS(AND($K43&gt;AT$7,$L43&gt;AT$7),0,AND($K43&lt;=AT$7,$L43&lt;=AT$7),1,AND($K43&lt;=AT$7,$L43&gt;AT$7),((AT$7-$K43)/($L43-$K43)))</f>
        <v>1</v>
      </c>
      <c r="AV43" s="201">
        <f t="array" ref="AV43">_xlfn.IFS(AND($K43&gt;AU$7,$L43&gt;AU$7),0,AND($K43&lt;=AU$7,$L43&lt;=AU$7),1,AND($K43&lt;=AU$7,$L43&gt;AU$7),((AU$7-$K43)/($L43-$K43)))</f>
        <v>1</v>
      </c>
      <c r="AW43" s="201">
        <f t="array" ref="AW43">_xlfn.IFS(AND($K43&gt;AV$7,$L43&gt;AV$7),0,AND($K43&lt;=AV$7,$L43&lt;=AV$7),1,AND($K43&lt;=AV$7,$L43&gt;AV$7),((AV$7-$K43)/($L43-$K43)))</f>
        <v>1</v>
      </c>
      <c r="AX43" s="201">
        <f t="array" ref="AX43">_xlfn.IFS(AND($K43&gt;AW$7,$L43&gt;AW$7),0,AND($K43&lt;=AW$7,$L43&lt;=AW$7),1,AND($K43&lt;=AW$7,$L43&gt;AW$7),((AW$7-$K43)/($L43-$K43)))</f>
        <v>1</v>
      </c>
      <c r="AY43" s="201">
        <f t="array" ref="AY43">_xlfn.IFS(AND($K43&gt;AX$7,$L43&gt;AX$7),0,AND($K43&lt;=AX$7,$L43&lt;=AX$7),1,AND($K43&lt;=AX$7,$L43&gt;AX$7),((AX$7-$K43)/($L43-$K43)))</f>
        <v>1</v>
      </c>
      <c r="AZ43" s="201">
        <f t="array" ref="AZ43">_xlfn.IFS(AND($K43&gt;AY$7,$L43&gt;AY$7),0,AND($K43&lt;=AY$7,$L43&lt;=AY$7),1,AND($K43&lt;=AY$7,$L43&gt;AY$7),((AY$7-$K43)/($L43-$K43)))</f>
        <v>1</v>
      </c>
      <c r="BA43" s="201">
        <f t="array" ref="BA43">_xlfn.IFS(AND($K43&gt;AZ$7,$L43&gt;AZ$7),0,AND($K43&lt;=AZ$7,$L43&lt;=AZ$7),1,AND($K43&lt;=AZ$7,$L43&gt;AZ$7),((AZ$7-$K43)/($L43-$K43)))</f>
        <v>1</v>
      </c>
      <c r="BB43" s="201">
        <f t="array" ref="BB43">_xlfn.IFS(AND($K43&gt;BA$7,$L43&gt;BA$7),0,AND($K43&lt;=BA$7,$L43&lt;=BA$7),1,AND($K43&lt;=BA$7,$L43&gt;BA$7),((BA$7-$K43)/($L43-$K43)))</f>
        <v>1</v>
      </c>
      <c r="BC43" s="201">
        <f t="array" ref="BC43">_xlfn.IFS(AND($K43&gt;BB$7,$L43&gt;BB$7),0,AND($K43&lt;=BB$7,$L43&lt;=BB$7),1,AND($K43&lt;=BB$7,$L43&gt;BB$7),((BB$7-$K43)/($L43-$K43)))</f>
        <v>1</v>
      </c>
      <c r="BD43" s="201">
        <f t="array" ref="BD43">_xlfn.IFS(AND($K43&gt;BC$7,$L43&gt;BC$7),0,AND($K43&lt;=BC$7,$L43&lt;=BC$7),1,AND($K43&lt;=BC$7,$L43&gt;BC$7),((BC$7-$K43)/($L43-$K43)))</f>
        <v>1</v>
      </c>
      <c r="BE43" s="201">
        <f t="array" ref="BE43">_xlfn.IFS(AND($K43&gt;BD$7,$L43&gt;BD$7),0,AND($K43&lt;=BD$7,$L43&lt;=BD$7),1,AND($K43&lt;=BD$7,$L43&gt;BD$7),((BD$7-$K43)/($L43-$K43)))</f>
        <v>1</v>
      </c>
      <c r="BF43" s="201">
        <f t="array" ref="BF43">_xlfn.IFS(AND($K43&gt;BE$7,$L43&gt;BE$7),0,AND($K43&lt;=BE$7,$L43&lt;=BE$7),1,AND($K43&lt;=BE$7,$L43&gt;BE$7),((BE$7-$K43)/($L43-$K43)))</f>
        <v>1</v>
      </c>
      <c r="BG43" s="201">
        <f t="array" ref="BG43">_xlfn.IFS(AND($K43&gt;BF$7,$L43&gt;BF$7),0,AND($K43&lt;=BF$7,$L43&lt;=BF$7),1,AND($K43&lt;=BF$7,$L43&gt;BF$7),((BF$7-$K43)/($L43-$K43)))</f>
        <v>1</v>
      </c>
      <c r="BH43" s="201">
        <f t="array" ref="BH43">_xlfn.IFS(AND($K43&gt;BG$7,$L43&gt;BG$7),0,AND($K43&lt;=BG$7,$L43&lt;=BG$7),1,AND($K43&lt;=BG$7,$L43&gt;BG$7),((BG$7-$K43)/($L43-$K43)))</f>
        <v>1</v>
      </c>
      <c r="BI43" s="201">
        <f t="array" ref="BI43">_xlfn.IFS(AND($K43&gt;BH$7,$L43&gt;BH$7),0,AND($K43&lt;=BH$7,$L43&lt;=BH$7),1,AND($K43&lt;=BH$7,$L43&gt;BH$7),((BH$7-$K43)/($L43-$K43)))</f>
        <v>1</v>
      </c>
      <c r="BJ43" s="201">
        <f t="array" ref="BJ43">_xlfn.IFS(AND($K43&gt;BI$7,$L43&gt;BI$7),0,AND($K43&lt;=BI$7,$L43&lt;=BI$7),1,AND($K43&lt;=BI$7,$L43&gt;BI$7),((BI$7-$K43)/($L43-$K43)))</f>
        <v>1</v>
      </c>
      <c r="BK43" s="201">
        <f t="array" ref="BK43">_xlfn.IFS(AND($K43&gt;BJ$7,$L43&gt;BJ$7),0,AND($K43&lt;=BJ$7,$L43&lt;=BJ$7),1,AND($K43&lt;=BJ$7,$L43&gt;BJ$7),((BJ$7-$K43)/($L43-$K43)))</f>
        <v>1</v>
      </c>
      <c r="BL43" s="201">
        <f t="array" ref="BL43">_xlfn.IFS(AND($K43&gt;BK$7,$L43&gt;BK$7),0,AND($K43&lt;=BK$7,$L43&lt;=BK$7),1,AND($K43&lt;=BK$7,$L43&gt;BK$7),((BK$7-$K43)/($L43-$K43)))</f>
        <v>1</v>
      </c>
      <c r="BM43" s="201">
        <f t="array" ref="BM43">_xlfn.IFS(AND($K43&gt;BL$7,$L43&gt;BL$7),0,AND($K43&lt;=BL$7,$L43&lt;=BL$7),1,AND($K43&lt;=BL$7,$L43&gt;BL$7),((BL$7-$K43)/($L43-$K43)))</f>
        <v>1</v>
      </c>
      <c r="BN43" s="201">
        <f t="array" ref="BN43">_xlfn.IFS(AND($K43&gt;BM$7,$L43&gt;BM$7),0,AND($K43&lt;=BM$7,$L43&lt;=BM$7),1,AND($K43&lt;=BM$7,$L43&gt;BM$7),((BM$7-$K43)/($L43-$K43)))</f>
        <v>1</v>
      </c>
    </row>
    <row r="44" spans="2:66" s="163" customFormat="1" ht="15" customHeight="1" collapsed="1" x14ac:dyDescent="0.3">
      <c r="B44" s="166" t="str">
        <f t="array" ref="B44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44" s="166" t="s">
        <v>136</v>
      </c>
      <c r="D44" s="177" t="str">
        <f t="shared" si="24"/>
        <v>Arquitetura de projetos GERDAU</v>
      </c>
      <c r="E44" s="170" t="str">
        <f t="shared" si="12"/>
        <v>Definição da Estratégia para Transformação dos Processos</v>
      </c>
      <c r="F44" s="174" t="str">
        <f>$H$40</f>
        <v>Priorização do Portfólio de Transformação</v>
      </c>
      <c r="G44" s="166" t="str">
        <f>$H$41</f>
        <v>Elaboração do Roadmap de Transformação de Processos</v>
      </c>
      <c r="H44" s="197" t="s">
        <v>137</v>
      </c>
      <c r="I44" s="166">
        <v>45727</v>
      </c>
      <c r="J44" s="166">
        <v>45729</v>
      </c>
      <c r="K44" s="166">
        <v>45727</v>
      </c>
      <c r="L44" s="166">
        <v>45727</v>
      </c>
      <c r="M44" s="167"/>
      <c r="N44" s="167" t="str">
        <f t="array" ref="N44">_xlfn.IFS(L44&lt;$M$3,"Concluído",AND(K44&gt;=$M$3,I44&lt;$M$3,L44&gt;$M$3),"Em andamento",AND(L44&gt;=$M$3,J44&lt;$M$3),"Atrasado",AND(L44&gt;=$M$3,J44&gt;=$M$3,I44&gt;$M$3,K44&lt;=$M$3),"Em andamento",AND(L44&gt;=$M$3,J44&gt;=$M$3,I44&lt;=$M$3,K44&lt;=$M$3),"Em andamento",AND(K44&gt;$M$3,I44&gt;$M$3),"Não iniciado",AND(L44&gt;=$M$3,J44&gt;=$M$3,K44&gt;=$M$3,I44&lt;$M$3),"Atrasado",AND(L44&gt;=$M$3,J44&gt;=$M$3,K44&gt;=$M$3,I44&gt;$M$3),"Não iniciado",AND($I44&lt;=$M$3,$K44&gt;$M$3),"Atrasado")</f>
        <v>Concluído</v>
      </c>
      <c r="O44" s="167">
        <f t="array" ref="O44">_xlfn.IFS(N44="Não iniciado",0,N44="Em andamento",1,N44="Concluído",2,N44="Atrasado",3)</f>
        <v>2</v>
      </c>
      <c r="P44" s="169"/>
      <c r="Q44" s="152">
        <f t="array" ref="Q44">_xlfn.IFS(AND($I44&lt;$M$3,$J44&lt;$M$3),1,AND($I44&lt;$M$3,$J44&gt;=$M$3),0.5,AND($I44&gt;=$M$3,$J44&gt;=$M$3),0)</f>
        <v>1</v>
      </c>
      <c r="R44" s="152">
        <f t="array" ref="R44">_xlfn.IFS(AND($K44&lt;$M$3,$L44&lt;$M$3),1,AND($K44&lt;=$M$3,$L44&gt;=$M$3),0.5,AND($K44&gt;=$M$3,$L44&gt;=$M$3),0)</f>
        <v>1</v>
      </c>
      <c r="S44" s="201">
        <f t="array" ref="S44">_xlfn.IFS(AND($K44&gt;R$7,$L44&gt;R$7),0,AND($K44&lt;=R$7,$L44&lt;=R$7),1,AND($K44&lt;=R$7,$L44&gt;R$7),((R$7-$K44)/($L44-$K44)))</f>
        <v>0</v>
      </c>
      <c r="T44" s="201">
        <f t="array" ref="T44">_xlfn.IFS(AND($K44&gt;S$7,$L44&gt;S$7),0,AND($K44&lt;=S$7,$L44&lt;=S$7),1,AND($K44&lt;=S$7,$L44&gt;S$7),((S$7-$K44)/($L44-$K44)))</f>
        <v>0</v>
      </c>
      <c r="U44" s="201">
        <f t="array" ref="U44">_xlfn.IFS(AND($K44&gt;T$7,$L44&gt;T$7),0,AND($K44&lt;=T$7,$L44&lt;=T$7),1,AND($K44&lt;=T$7,$L44&gt;T$7),((T$7-$K44)/($L44-$K44)))</f>
        <v>0</v>
      </c>
      <c r="V44" s="201">
        <f t="array" ref="V44">_xlfn.IFS(AND($K44&gt;U$7,$L44&gt;U$7),0,AND($K44&lt;=U$7,$L44&lt;=U$7),1,AND($K44&lt;=U$7,$L44&gt;U$7),((U$7-$K44)/($L44-$K44)))</f>
        <v>0</v>
      </c>
      <c r="W44" s="201">
        <f t="array" ref="W44">_xlfn.IFS(AND($K44&gt;V$7,$L44&gt;V$7),0,AND($K44&lt;=V$7,$L44&lt;=V$7),1,AND($K44&lt;=V$7,$L44&gt;V$7),((V$7-$K44)/($L44-$K44)))</f>
        <v>0</v>
      </c>
      <c r="X44" s="201">
        <f t="array" ref="X44">_xlfn.IFS(AND($K44&gt;W$7,$L44&gt;W$7),0,AND($K44&lt;=W$7,$L44&lt;=W$7),1,AND($K44&lt;=W$7,$L44&gt;W$7),((W$7-$K44)/($L44-$K44)))</f>
        <v>0</v>
      </c>
      <c r="Y44" s="201">
        <f t="array" ref="Y44">_xlfn.IFS(AND($K44&gt;X$7,$L44&gt;X$7),0,AND($K44&lt;=X$7,$L44&lt;=X$7),1,AND($K44&lt;=X$7,$L44&gt;X$7),((X$7-$K44)/($L44-$K44)))</f>
        <v>1</v>
      </c>
      <c r="Z44" s="201">
        <f t="array" ref="Z44">_xlfn.IFS(AND($K44&gt;Y$7,$L44&gt;Y$7),0,AND($K44&lt;=Y$7,$L44&lt;=Y$7),1,AND($K44&lt;=Y$7,$L44&gt;Y$7),((Y$7-$K44)/($L44-$K44)))</f>
        <v>1</v>
      </c>
      <c r="AA44" s="201">
        <f t="array" ref="AA44">_xlfn.IFS(AND($K44&gt;Z$7,$L44&gt;Z$7),0,AND($K44&lt;=Z$7,$L44&lt;=Z$7),1,AND($K44&lt;=Z$7,$L44&gt;Z$7),((Z$7-$K44)/($L44-$K44)))</f>
        <v>1</v>
      </c>
      <c r="AB44" s="201">
        <f t="array" ref="AB44">_xlfn.IFS(AND($K44&gt;AA$7,$L44&gt;AA$7),0,AND($K44&lt;=AA$7,$L44&lt;=AA$7),1,AND($K44&lt;=AA$7,$L44&gt;AA$7),((AA$7-$K44)/($L44-$K44)))</f>
        <v>1</v>
      </c>
      <c r="AC44" s="201">
        <f t="array" ref="AC44">_xlfn.IFS(AND($K44&gt;AB$7,$L44&gt;AB$7),0,AND($K44&lt;=AB$7,$L44&lt;=AB$7),1,AND($K44&lt;=AB$7,$L44&gt;AB$7),((AB$7-$K44)/($L44-$K44)))</f>
        <v>1</v>
      </c>
      <c r="AD44" s="201">
        <f t="array" ref="AD44">_xlfn.IFS(AND($K44&gt;AC$7,$L44&gt;AC$7),0,AND($K44&lt;=AC$7,$L44&lt;=AC$7),1,AND($K44&lt;=AC$7,$L44&gt;AC$7),((AC$7-$K44)/($L44-$K44)))</f>
        <v>1</v>
      </c>
      <c r="AE44" s="201">
        <f t="array" ref="AE44">_xlfn.IFS(AND($K44&gt;AD$7,$L44&gt;AD$7),0,AND($K44&lt;=AD$7,$L44&lt;=AD$7),1,AND($K44&lt;=AD$7,$L44&gt;AD$7),((AD$7-$K44)/($L44-$K44)))</f>
        <v>1</v>
      </c>
      <c r="AF44" s="201">
        <f t="array" ref="AF44">_xlfn.IFS(AND($K44&gt;AE$7,$L44&gt;AE$7),0,AND($K44&lt;=AE$7,$L44&lt;=AE$7),1,AND($K44&lt;=AE$7,$L44&gt;AE$7),((AE$7-$K44)/($L44-$K44)))</f>
        <v>1</v>
      </c>
      <c r="AG44" s="201">
        <f t="array" ref="AG44">_xlfn.IFS(AND($K44&gt;AF$7,$L44&gt;AF$7),0,AND($K44&lt;=AF$7,$L44&lt;=AF$7),1,AND($K44&lt;=AF$7,$L44&gt;AF$7),((AF$7-$K44)/($L44-$K44)))</f>
        <v>1</v>
      </c>
      <c r="AH44" s="201">
        <f t="array" ref="AH44">_xlfn.IFS(AND($K44&gt;AG$7,$L44&gt;AG$7),0,AND($K44&lt;=AG$7,$L44&lt;=AG$7),1,AND($K44&lt;=AG$7,$L44&gt;AG$7),((AG$7-$K44)/($L44-$K44)))</f>
        <v>1</v>
      </c>
      <c r="AI44" s="201">
        <f t="array" ref="AI44">_xlfn.IFS(AND($K44&gt;AH$7,$L44&gt;AH$7),0,AND($K44&lt;=AH$7,$L44&lt;=AH$7),1,AND($K44&lt;=AH$7,$L44&gt;AH$7),((AH$7-$K44)/($L44-$K44)))</f>
        <v>1</v>
      </c>
      <c r="AJ44" s="201">
        <f t="array" ref="AJ44">_xlfn.IFS(AND($K44&gt;AI$7,$L44&gt;AI$7),0,AND($K44&lt;=AI$7,$L44&lt;=AI$7),1,AND($K44&lt;=AI$7,$L44&gt;AI$7),((AI$7-$K44)/($L44-$K44)))</f>
        <v>1</v>
      </c>
      <c r="AK44" s="201">
        <f t="array" ref="AK44">_xlfn.IFS(AND($K44&gt;AJ$7,$L44&gt;AJ$7),0,AND($K44&lt;=AJ$7,$L44&lt;=AJ$7),1,AND($K44&lt;=AJ$7,$L44&gt;AJ$7),((AJ$7-$K44)/($L44-$K44)))</f>
        <v>1</v>
      </c>
      <c r="AL44" s="201">
        <f t="array" ref="AL44">_xlfn.IFS(AND($K44&gt;AK$7,$L44&gt;AK$7),0,AND($K44&lt;=AK$7,$L44&lt;=AK$7),1,AND($K44&lt;=AK$7,$L44&gt;AK$7),((AK$7-$K44)/($L44-$K44)))</f>
        <v>1</v>
      </c>
      <c r="AM44" s="201">
        <f t="array" ref="AM44">_xlfn.IFS(AND($K44&gt;AL$7,$L44&gt;AL$7),0,AND($K44&lt;=AL$7,$L44&lt;=AL$7),1,AND($K44&lt;=AL$7,$L44&gt;AL$7),((AL$7-$K44)/($L44-$K44)))</f>
        <v>1</v>
      </c>
      <c r="AN44" s="201">
        <f t="array" ref="AN44">_xlfn.IFS(AND($K44&gt;AM$7,$L44&gt;AM$7),0,AND($K44&lt;=AM$7,$L44&lt;=AM$7),1,AND($K44&lt;=AM$7,$L44&gt;AM$7),((AM$7-$K44)/($L44-$K44)))</f>
        <v>1</v>
      </c>
      <c r="AO44" s="201">
        <f t="array" ref="AO44">_xlfn.IFS(AND($K44&gt;AN$7,$L44&gt;AN$7),0,AND($K44&lt;=AN$7,$L44&lt;=AN$7),1,AND($K44&lt;=AN$7,$L44&gt;AN$7),((AN$7-$K44)/($L44-$K44)))</f>
        <v>1</v>
      </c>
      <c r="AP44" s="201">
        <f t="array" ref="AP44">_xlfn.IFS(AND($K44&gt;AO$7,$L44&gt;AO$7),0,AND($K44&lt;=AO$7,$L44&lt;=AO$7),1,AND($K44&lt;=AO$7,$L44&gt;AO$7),((AO$7-$K44)/($L44-$K44)))</f>
        <v>1</v>
      </c>
      <c r="AQ44" s="201">
        <f t="array" ref="AQ44">_xlfn.IFS(AND($K44&gt;AP$7,$L44&gt;AP$7),0,AND($K44&lt;=AP$7,$L44&lt;=AP$7),1,AND($K44&lt;=AP$7,$L44&gt;AP$7),((AP$7-$K44)/($L44-$K44)))</f>
        <v>1</v>
      </c>
      <c r="AR44" s="201">
        <f t="array" ref="AR44">_xlfn.IFS(AND($K44&gt;AQ$7,$L44&gt;AQ$7),0,AND($K44&lt;=AQ$7,$L44&lt;=AQ$7),1,AND($K44&lt;=AQ$7,$L44&gt;AQ$7),((AQ$7-$K44)/($L44-$K44)))</f>
        <v>1</v>
      </c>
      <c r="AS44" s="201">
        <f t="array" ref="AS44">_xlfn.IFS(AND($K44&gt;AR$7,$L44&gt;AR$7),0,AND($K44&lt;=AR$7,$L44&lt;=AR$7),1,AND($K44&lt;=AR$7,$L44&gt;AR$7),((AR$7-$K44)/($L44-$K44)))</f>
        <v>1</v>
      </c>
      <c r="AT44" s="201">
        <f t="array" ref="AT44">_xlfn.IFS(AND($K44&gt;AS$7,$L44&gt;AS$7),0,AND($K44&lt;=AS$7,$L44&lt;=AS$7),1,AND($K44&lt;=AS$7,$L44&gt;AS$7),((AS$7-$K44)/($L44-$K44)))</f>
        <v>1</v>
      </c>
      <c r="AU44" s="201">
        <f t="array" ref="AU44">_xlfn.IFS(AND($K44&gt;AT$7,$L44&gt;AT$7),0,AND($K44&lt;=AT$7,$L44&lt;=AT$7),1,AND($K44&lt;=AT$7,$L44&gt;AT$7),((AT$7-$K44)/($L44-$K44)))</f>
        <v>1</v>
      </c>
      <c r="AV44" s="201">
        <f t="array" ref="AV44">_xlfn.IFS(AND($K44&gt;AU$7,$L44&gt;AU$7),0,AND($K44&lt;=AU$7,$L44&lt;=AU$7),1,AND($K44&lt;=AU$7,$L44&gt;AU$7),((AU$7-$K44)/($L44-$K44)))</f>
        <v>1</v>
      </c>
      <c r="AW44" s="201">
        <f t="array" ref="AW44">_xlfn.IFS(AND($K44&gt;AV$7,$L44&gt;AV$7),0,AND($K44&lt;=AV$7,$L44&lt;=AV$7),1,AND($K44&lt;=AV$7,$L44&gt;AV$7),((AV$7-$K44)/($L44-$K44)))</f>
        <v>1</v>
      </c>
      <c r="AX44" s="201">
        <f t="array" ref="AX44">_xlfn.IFS(AND($K44&gt;AW$7,$L44&gt;AW$7),0,AND($K44&lt;=AW$7,$L44&lt;=AW$7),1,AND($K44&lt;=AW$7,$L44&gt;AW$7),((AW$7-$K44)/($L44-$K44)))</f>
        <v>1</v>
      </c>
      <c r="AY44" s="201">
        <f t="array" ref="AY44">_xlfn.IFS(AND($K44&gt;AX$7,$L44&gt;AX$7),0,AND($K44&lt;=AX$7,$L44&lt;=AX$7),1,AND($K44&lt;=AX$7,$L44&gt;AX$7),((AX$7-$K44)/($L44-$K44)))</f>
        <v>1</v>
      </c>
      <c r="AZ44" s="201">
        <f t="array" ref="AZ44">_xlfn.IFS(AND($K44&gt;AY$7,$L44&gt;AY$7),0,AND($K44&lt;=AY$7,$L44&lt;=AY$7),1,AND($K44&lt;=AY$7,$L44&gt;AY$7),((AY$7-$K44)/($L44-$K44)))</f>
        <v>1</v>
      </c>
      <c r="BA44" s="201">
        <f t="array" ref="BA44">_xlfn.IFS(AND($K44&gt;AZ$7,$L44&gt;AZ$7),0,AND($K44&lt;=AZ$7,$L44&lt;=AZ$7),1,AND($K44&lt;=AZ$7,$L44&gt;AZ$7),((AZ$7-$K44)/($L44-$K44)))</f>
        <v>1</v>
      </c>
      <c r="BB44" s="201">
        <f t="array" ref="BB44">_xlfn.IFS(AND($K44&gt;BA$7,$L44&gt;BA$7),0,AND($K44&lt;=BA$7,$L44&lt;=BA$7),1,AND($K44&lt;=BA$7,$L44&gt;BA$7),((BA$7-$K44)/($L44-$K44)))</f>
        <v>1</v>
      </c>
      <c r="BC44" s="201">
        <f t="array" ref="BC44">_xlfn.IFS(AND($K44&gt;BB$7,$L44&gt;BB$7),0,AND($K44&lt;=BB$7,$L44&lt;=BB$7),1,AND($K44&lt;=BB$7,$L44&gt;BB$7),((BB$7-$K44)/($L44-$K44)))</f>
        <v>1</v>
      </c>
      <c r="BD44" s="201">
        <f t="array" ref="BD44">_xlfn.IFS(AND($K44&gt;BC$7,$L44&gt;BC$7),0,AND($K44&lt;=BC$7,$L44&lt;=BC$7),1,AND($K44&lt;=BC$7,$L44&gt;BC$7),((BC$7-$K44)/($L44-$K44)))</f>
        <v>1</v>
      </c>
      <c r="BE44" s="201">
        <f t="array" ref="BE44">_xlfn.IFS(AND($K44&gt;BD$7,$L44&gt;BD$7),0,AND($K44&lt;=BD$7,$L44&lt;=BD$7),1,AND($K44&lt;=BD$7,$L44&gt;BD$7),((BD$7-$K44)/($L44-$K44)))</f>
        <v>1</v>
      </c>
      <c r="BF44" s="201">
        <f t="array" ref="BF44">_xlfn.IFS(AND($K44&gt;BE$7,$L44&gt;BE$7),0,AND($K44&lt;=BE$7,$L44&lt;=BE$7),1,AND($K44&lt;=BE$7,$L44&gt;BE$7),((BE$7-$K44)/($L44-$K44)))</f>
        <v>1</v>
      </c>
      <c r="BG44" s="201">
        <f t="array" ref="BG44">_xlfn.IFS(AND($K44&gt;BF$7,$L44&gt;BF$7),0,AND($K44&lt;=BF$7,$L44&lt;=BF$7),1,AND($K44&lt;=BF$7,$L44&gt;BF$7),((BF$7-$K44)/($L44-$K44)))</f>
        <v>1</v>
      </c>
      <c r="BH44" s="201">
        <f t="array" ref="BH44">_xlfn.IFS(AND($K44&gt;BG$7,$L44&gt;BG$7),0,AND($K44&lt;=BG$7,$L44&lt;=BG$7),1,AND($K44&lt;=BG$7,$L44&gt;BG$7),((BG$7-$K44)/($L44-$K44)))</f>
        <v>1</v>
      </c>
      <c r="BI44" s="201">
        <f t="array" ref="BI44">_xlfn.IFS(AND($K44&gt;BH$7,$L44&gt;BH$7),0,AND($K44&lt;=BH$7,$L44&lt;=BH$7),1,AND($K44&lt;=BH$7,$L44&gt;BH$7),((BH$7-$K44)/($L44-$K44)))</f>
        <v>1</v>
      </c>
      <c r="BJ44" s="201">
        <f t="array" ref="BJ44">_xlfn.IFS(AND($K44&gt;BI$7,$L44&gt;BI$7),0,AND($K44&lt;=BI$7,$L44&lt;=BI$7),1,AND($K44&lt;=BI$7,$L44&gt;BI$7),((BI$7-$K44)/($L44-$K44)))</f>
        <v>1</v>
      </c>
      <c r="BK44" s="201">
        <f t="array" ref="BK44">_xlfn.IFS(AND($K44&gt;BJ$7,$L44&gt;BJ$7),0,AND($K44&lt;=BJ$7,$L44&lt;=BJ$7),1,AND($K44&lt;=BJ$7,$L44&gt;BJ$7),((BJ$7-$K44)/($L44-$K44)))</f>
        <v>1</v>
      </c>
      <c r="BL44" s="201">
        <f t="array" ref="BL44">_xlfn.IFS(AND($K44&gt;BK$7,$L44&gt;BK$7),0,AND($K44&lt;=BK$7,$L44&lt;=BK$7),1,AND($K44&lt;=BK$7,$L44&gt;BK$7),((BK$7-$K44)/($L44-$K44)))</f>
        <v>1</v>
      </c>
      <c r="BM44" s="201">
        <f t="array" ref="BM44">_xlfn.IFS(AND($K44&gt;BL$7,$L44&gt;BL$7),0,AND($K44&lt;=BL$7,$L44&lt;=BL$7),1,AND($K44&lt;=BL$7,$L44&gt;BL$7),((BL$7-$K44)/($L44-$K44)))</f>
        <v>1</v>
      </c>
      <c r="BN44" s="201">
        <f t="array" ref="BN44">_xlfn.IFS(AND($K44&gt;BM$7,$L44&gt;BM$7),0,AND($K44&lt;=BM$7,$L44&lt;=BM$7),1,AND($K44&lt;=BM$7,$L44&gt;BM$7),((BM$7-$K44)/($L44-$K44)))</f>
        <v>1</v>
      </c>
    </row>
    <row r="45" spans="2:66" s="163" customFormat="1" x14ac:dyDescent="0.3">
      <c r="B45" s="177" t="str">
        <f t="array" ref="B45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2</v>
      </c>
      <c r="C45" s="177" t="s">
        <v>138</v>
      </c>
      <c r="D45" s="177" t="str">
        <f t="shared" si="24"/>
        <v>Arquitetura de projetos GERDAU</v>
      </c>
      <c r="E45" s="177" t="s">
        <v>74</v>
      </c>
      <c r="F45" s="177" t="s">
        <v>74</v>
      </c>
      <c r="G45" s="177" t="s">
        <v>74</v>
      </c>
      <c r="H45" s="193" t="s">
        <v>139</v>
      </c>
      <c r="I45" s="177">
        <f>MIN(I46:I139)</f>
        <v>45729</v>
      </c>
      <c r="J45" s="177">
        <f>MAX(J46:J139)</f>
        <v>46010</v>
      </c>
      <c r="K45" s="177">
        <f>MIN(K46:K139)</f>
        <v>45729</v>
      </c>
      <c r="L45" s="177">
        <f>MAX(L46:L139)</f>
        <v>46010</v>
      </c>
      <c r="M45" s="178"/>
      <c r="N45" s="178" t="str">
        <f t="array" ref="N45">_xlfn.IFS(L45&lt;$M$3,"Concluído",AND(K45&gt;=$M$3,I45&lt;$M$3,L45&gt;$M$3),"Em andamento",AND(L45&gt;=$M$3,J45&lt;$M$3),"Atrasado",AND(L45&gt;=$M$3,J45&gt;=$M$3,I45&gt;$M$3,K45&lt;=$M$3),"Em andamento",AND(L45&gt;=$M$3,J45&gt;=$M$3,I45&lt;=$M$3,K45&lt;=$M$3),"Em andamento",AND(K45&gt;$M$3,I45&gt;$M$3),"Não iniciado",AND(L45&gt;=$M$3,J45&gt;=$M$3,K45&gt;=$M$3,I45&lt;$M$3),"Atrasado",AND(L45&gt;=$M$3,J45&gt;=$M$3,K45&gt;=$M$3,I45&gt;$M$3),"Não iniciado",AND($I45&lt;=$M$3,$K45&gt;$M$3),"Atrasado")</f>
        <v>Em andamento</v>
      </c>
      <c r="O45" s="178">
        <f t="array" ref="O45">_xlfn.IFS(N45="Não iniciado",0,N45="Em andamento",1,N45="Concluído",2,N45="Atrasado",3)</f>
        <v>1</v>
      </c>
      <c r="P45" s="179"/>
      <c r="Q45" s="180">
        <f t="shared" ref="Q45:AV45" si="28">AVERAGE(Q46,Q76,Q108)</f>
        <v>0.48809523809523814</v>
      </c>
      <c r="R45" s="180">
        <f t="shared" si="28"/>
        <v>0.48809523809523814</v>
      </c>
      <c r="S45" s="180">
        <f t="shared" si="28"/>
        <v>0</v>
      </c>
      <c r="T45" s="180">
        <f t="shared" si="28"/>
        <v>0</v>
      </c>
      <c r="U45" s="180">
        <f t="shared" si="28"/>
        <v>0</v>
      </c>
      <c r="V45" s="180">
        <f t="shared" si="28"/>
        <v>0</v>
      </c>
      <c r="W45" s="180">
        <f t="shared" si="28"/>
        <v>0</v>
      </c>
      <c r="X45" s="180">
        <f t="shared" si="28"/>
        <v>0</v>
      </c>
      <c r="Y45" s="180">
        <f t="shared" si="28"/>
        <v>1.1904761904761904E-2</v>
      </c>
      <c r="Z45" s="180">
        <f t="shared" si="28"/>
        <v>4.1269841269841269E-2</v>
      </c>
      <c r="AA45" s="180">
        <f t="shared" si="28"/>
        <v>6.9047619047619038E-2</v>
      </c>
      <c r="AB45" s="180">
        <f t="shared" si="28"/>
        <v>8.4199134199134204E-2</v>
      </c>
      <c r="AC45" s="180">
        <f t="shared" si="28"/>
        <v>0.10238095238095239</v>
      </c>
      <c r="AD45" s="180">
        <f t="shared" si="28"/>
        <v>0.15</v>
      </c>
      <c r="AE45" s="180">
        <f t="shared" si="28"/>
        <v>0.1601010101010101</v>
      </c>
      <c r="AF45" s="180">
        <f t="shared" si="28"/>
        <v>0.19489795918367347</v>
      </c>
      <c r="AG45" s="180">
        <f t="shared" si="28"/>
        <v>0.22488032249937015</v>
      </c>
      <c r="AH45" s="180">
        <f t="shared" si="28"/>
        <v>0.23611970040541472</v>
      </c>
      <c r="AI45" s="180">
        <f t="shared" si="28"/>
        <v>0.24864976293547722</v>
      </c>
      <c r="AJ45" s="180">
        <f t="shared" si="28"/>
        <v>0.25570478520789081</v>
      </c>
      <c r="AK45" s="180">
        <f t="shared" si="28"/>
        <v>0.26846593709947747</v>
      </c>
      <c r="AL45" s="180">
        <f t="shared" si="28"/>
        <v>0.34803805580203101</v>
      </c>
      <c r="AM45" s="180">
        <f t="shared" si="28"/>
        <v>0.36164021164021171</v>
      </c>
      <c r="AN45" s="180">
        <f t="shared" si="28"/>
        <v>0.3746031746031746</v>
      </c>
      <c r="AO45" s="180">
        <f t="shared" si="28"/>
        <v>0.42142857142857143</v>
      </c>
      <c r="AP45" s="180">
        <f t="shared" si="28"/>
        <v>0.45476190476190476</v>
      </c>
      <c r="AQ45" s="180">
        <f t="shared" si="28"/>
        <v>0.46456582633053228</v>
      </c>
      <c r="AR45" s="180">
        <f t="shared" si="28"/>
        <v>0.47829131652661067</v>
      </c>
      <c r="AS45" s="180">
        <f t="shared" si="28"/>
        <v>0.48809523809523814</v>
      </c>
      <c r="AT45" s="180">
        <f t="shared" si="28"/>
        <v>0.52380952380952384</v>
      </c>
      <c r="AU45" s="180">
        <f t="shared" si="28"/>
        <v>0.55714285714285705</v>
      </c>
      <c r="AV45" s="180">
        <f t="shared" si="28"/>
        <v>0.57229437229437219</v>
      </c>
      <c r="AW45" s="180">
        <f t="shared" ref="AW45:BN45" si="29">AVERAGE(AW46,AW76,AW108)</f>
        <v>0.59047619047619049</v>
      </c>
      <c r="AX45" s="180">
        <f t="shared" si="29"/>
        <v>0.62619047619047619</v>
      </c>
      <c r="AY45" s="180">
        <f t="shared" si="29"/>
        <v>0.65952380952380951</v>
      </c>
      <c r="AZ45" s="180">
        <f t="shared" si="29"/>
        <v>0.67467532467532454</v>
      </c>
      <c r="BA45" s="180">
        <f t="shared" si="29"/>
        <v>0.69285714285714273</v>
      </c>
      <c r="BB45" s="180">
        <f t="shared" si="29"/>
        <v>0.72857142857142865</v>
      </c>
      <c r="BC45" s="180">
        <f t="shared" si="29"/>
        <v>0.76190476190476186</v>
      </c>
      <c r="BD45" s="180">
        <f t="shared" si="29"/>
        <v>0.77705627705627711</v>
      </c>
      <c r="BE45" s="180">
        <f t="shared" si="29"/>
        <v>0.79523809523809541</v>
      </c>
      <c r="BF45" s="180">
        <f t="shared" si="29"/>
        <v>0.830952380952381</v>
      </c>
      <c r="BG45" s="180">
        <f t="shared" si="29"/>
        <v>0.86428571428571432</v>
      </c>
      <c r="BH45" s="180">
        <f t="shared" si="29"/>
        <v>0.87943722943722946</v>
      </c>
      <c r="BI45" s="180">
        <f t="shared" si="29"/>
        <v>0.89761904761904765</v>
      </c>
      <c r="BJ45" s="180">
        <f t="shared" si="29"/>
        <v>0.93333333333333324</v>
      </c>
      <c r="BK45" s="180">
        <f t="shared" si="29"/>
        <v>0.96666666666666667</v>
      </c>
      <c r="BL45" s="180">
        <f t="shared" si="29"/>
        <v>0.98181818181818181</v>
      </c>
      <c r="BM45" s="180">
        <f t="shared" si="29"/>
        <v>1</v>
      </c>
      <c r="BN45" s="180">
        <f t="shared" si="29"/>
        <v>1</v>
      </c>
    </row>
    <row r="46" spans="2:66" ht="15" customHeight="1" x14ac:dyDescent="0.3">
      <c r="B46" s="170" t="str">
        <f t="array" ref="B46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3</v>
      </c>
      <c r="C46" s="170" t="s">
        <v>140</v>
      </c>
      <c r="D46" s="177" t="str">
        <f t="shared" si="24"/>
        <v>Arquitetura de projetos GERDAU</v>
      </c>
      <c r="E46" s="170" t="str">
        <f t="shared" ref="E46:E77" si="30">$H$45</f>
        <v>Desenvolvimento da Transformação dos Processos</v>
      </c>
      <c r="F46" s="170" t="s">
        <v>74</v>
      </c>
      <c r="G46" s="170" t="s">
        <v>74</v>
      </c>
      <c r="H46" s="194" t="s">
        <v>141</v>
      </c>
      <c r="I46" s="170">
        <f>I47</f>
        <v>45729</v>
      </c>
      <c r="J46" s="170">
        <f>J47</f>
        <v>45989</v>
      </c>
      <c r="K46" s="170">
        <f>K47</f>
        <v>45729</v>
      </c>
      <c r="L46" s="170">
        <f>L47</f>
        <v>45989</v>
      </c>
      <c r="M46" s="171"/>
      <c r="N46" s="171" t="str">
        <f t="array" ref="N46">_xlfn.IFS(L46&lt;$M$3,"Concluído",AND(K46&gt;=$M$3,I46&lt;$M$3,L46&gt;$M$3),"Em andamento",AND(L46&gt;=$M$3,J46&lt;$M$3),"Atrasado",AND(L46&gt;=$M$3,J46&gt;=$M$3,I46&gt;$M$3,K46&lt;=$M$3),"Em andamento",AND(L46&gt;=$M$3,J46&gt;=$M$3,I46&lt;=$M$3,K46&lt;=$M$3),"Em andamento",AND(K46&gt;$M$3,I46&gt;$M$3),"Não iniciado",AND(L46&gt;=$M$3,J46&gt;=$M$3,K46&gt;=$M$3,I46&lt;$M$3),"Atrasado",AND(L46&gt;=$M$3,J46&gt;=$M$3,K46&gt;=$M$3,I46&gt;$M$3),"Não iniciado",AND($I46&lt;=$M$3,$K46&gt;$M$3),"Atrasado")</f>
        <v>Em andamento</v>
      </c>
      <c r="O46" s="171">
        <f t="array" ref="O46">_xlfn.IFS(N46="Não iniciado",0,N46="Em andamento",1,N46="Concluído",2,N46="Atrasado",3)</f>
        <v>1</v>
      </c>
      <c r="P46" s="172"/>
      <c r="Q46" s="173">
        <f t="shared" ref="Q46:AV46" si="31">Q47</f>
        <v>0.4642857142857143</v>
      </c>
      <c r="R46" s="173">
        <f t="shared" si="31"/>
        <v>0.4642857142857143</v>
      </c>
      <c r="S46" s="173">
        <f t="shared" si="31"/>
        <v>0</v>
      </c>
      <c r="T46" s="173">
        <f t="shared" si="31"/>
        <v>0</v>
      </c>
      <c r="U46" s="173">
        <f t="shared" si="31"/>
        <v>0</v>
      </c>
      <c r="V46" s="173">
        <f t="shared" si="31"/>
        <v>0</v>
      </c>
      <c r="W46" s="173">
        <f t="shared" si="31"/>
        <v>0</v>
      </c>
      <c r="X46" s="173">
        <f t="shared" si="31"/>
        <v>0</v>
      </c>
      <c r="Y46" s="173">
        <f t="shared" si="31"/>
        <v>3.5714285714285712E-2</v>
      </c>
      <c r="Z46" s="173">
        <f t="shared" si="31"/>
        <v>0.10714285714285714</v>
      </c>
      <c r="AA46" s="173">
        <f t="shared" si="31"/>
        <v>0.10714285714285714</v>
      </c>
      <c r="AB46" s="173">
        <f t="shared" si="31"/>
        <v>0.10714285714285714</v>
      </c>
      <c r="AC46" s="173">
        <f t="shared" si="31"/>
        <v>0.10714285714285714</v>
      </c>
      <c r="AD46" s="173">
        <f t="shared" si="31"/>
        <v>0.25</v>
      </c>
      <c r="AE46" s="173">
        <f t="shared" si="31"/>
        <v>0.25</v>
      </c>
      <c r="AF46" s="173">
        <f t="shared" si="31"/>
        <v>0.25</v>
      </c>
      <c r="AG46" s="173">
        <f t="shared" si="31"/>
        <v>0.25</v>
      </c>
      <c r="AH46" s="173">
        <f t="shared" si="31"/>
        <v>0.25</v>
      </c>
      <c r="AI46" s="173">
        <f t="shared" si="31"/>
        <v>0.25</v>
      </c>
      <c r="AJ46" s="173">
        <f t="shared" si="31"/>
        <v>0.25</v>
      </c>
      <c r="AK46" s="173">
        <f t="shared" si="31"/>
        <v>0.25</v>
      </c>
      <c r="AL46" s="173">
        <f t="shared" si="31"/>
        <v>0.35714285714285715</v>
      </c>
      <c r="AM46" s="173">
        <f t="shared" si="31"/>
        <v>0.35714285714285715</v>
      </c>
      <c r="AN46" s="173">
        <f t="shared" si="31"/>
        <v>0.35714285714285715</v>
      </c>
      <c r="AO46" s="173">
        <f t="shared" si="31"/>
        <v>0.4642857142857143</v>
      </c>
      <c r="AP46" s="173">
        <f t="shared" si="31"/>
        <v>0.4642857142857143</v>
      </c>
      <c r="AQ46" s="173">
        <f t="shared" si="31"/>
        <v>0.4642857142857143</v>
      </c>
      <c r="AR46" s="173">
        <f t="shared" si="31"/>
        <v>0.4642857142857143</v>
      </c>
      <c r="AS46" s="173">
        <f t="shared" si="31"/>
        <v>0.4642857142857143</v>
      </c>
      <c r="AT46" s="173">
        <f t="shared" si="31"/>
        <v>0.5714285714285714</v>
      </c>
      <c r="AU46" s="173">
        <f t="shared" si="31"/>
        <v>0.5714285714285714</v>
      </c>
      <c r="AV46" s="173">
        <f t="shared" si="31"/>
        <v>0.5714285714285714</v>
      </c>
      <c r="AW46" s="173">
        <f t="shared" ref="AW46:BN46" si="32">AW47</f>
        <v>0.5714285714285714</v>
      </c>
      <c r="AX46" s="173">
        <f t="shared" si="32"/>
        <v>0.6785714285714286</v>
      </c>
      <c r="AY46" s="173">
        <f t="shared" si="32"/>
        <v>0.6785714285714286</v>
      </c>
      <c r="AZ46" s="173">
        <f t="shared" si="32"/>
        <v>0.6785714285714286</v>
      </c>
      <c r="BA46" s="173">
        <f t="shared" si="32"/>
        <v>0.6785714285714286</v>
      </c>
      <c r="BB46" s="173">
        <f t="shared" si="32"/>
        <v>0.7857142857142857</v>
      </c>
      <c r="BC46" s="173">
        <f t="shared" si="32"/>
        <v>0.7857142857142857</v>
      </c>
      <c r="BD46" s="173">
        <f t="shared" si="32"/>
        <v>0.7857142857142857</v>
      </c>
      <c r="BE46" s="173">
        <f t="shared" si="32"/>
        <v>0.7857142857142857</v>
      </c>
      <c r="BF46" s="173">
        <f t="shared" si="32"/>
        <v>0.8928571428571429</v>
      </c>
      <c r="BG46" s="173">
        <f t="shared" si="32"/>
        <v>0.8928571428571429</v>
      </c>
      <c r="BH46" s="173">
        <f t="shared" si="32"/>
        <v>0.8928571428571429</v>
      </c>
      <c r="BI46" s="173">
        <f t="shared" si="32"/>
        <v>0.8928571428571429</v>
      </c>
      <c r="BJ46" s="173">
        <f t="shared" si="32"/>
        <v>1</v>
      </c>
      <c r="BK46" s="173">
        <f t="shared" si="32"/>
        <v>1</v>
      </c>
      <c r="BL46" s="173">
        <f t="shared" si="32"/>
        <v>1</v>
      </c>
      <c r="BM46" s="173">
        <f t="shared" si="32"/>
        <v>1</v>
      </c>
      <c r="BN46" s="173">
        <f t="shared" si="32"/>
        <v>1</v>
      </c>
    </row>
    <row r="47" spans="2:66" ht="15" customHeight="1" x14ac:dyDescent="0.3">
      <c r="B47" s="174" t="str">
        <f t="array" ref="B47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47" s="174" t="s">
        <v>142</v>
      </c>
      <c r="D47" s="177"/>
      <c r="E47" s="170" t="str">
        <f t="shared" si="30"/>
        <v>Desenvolvimento da Transformação dos Processos</v>
      </c>
      <c r="F47" s="174" t="str">
        <f t="shared" ref="F47:F75" si="33">$H$46</f>
        <v>Diagnóstico de Maturidade do Processo</v>
      </c>
      <c r="G47" s="174"/>
      <c r="H47" s="195" t="s">
        <v>141</v>
      </c>
      <c r="I47" s="174">
        <f>MIN(I48:I75)</f>
        <v>45729</v>
      </c>
      <c r="J47" s="174">
        <f>MAX(J48:J75)</f>
        <v>45989</v>
      </c>
      <c r="K47" s="174">
        <f>MIN(K48:K75)</f>
        <v>45729</v>
      </c>
      <c r="L47" s="174">
        <f>MAX(L48:L75)</f>
        <v>45989</v>
      </c>
      <c r="M47" s="175"/>
      <c r="N47" s="175" t="str">
        <f t="array" ref="N47">_xlfn.IFS(L47&lt;$M$3,"Concluído",AND(K47&gt;=$M$3,I47&lt;$M$3,L47&gt;$M$3),"Em andamento",AND(L47&gt;=$M$3,J47&lt;$M$3),"Atrasado",AND(L47&gt;=$M$3,J47&gt;=$M$3,I47&gt;$M$3,K47&lt;=$M$3),"Em andamento",AND(L47&gt;=$M$3,J47&gt;=$M$3,I47&lt;=$M$3,K47&lt;=$M$3),"Em andamento",AND(K47&gt;$M$3,I47&gt;$M$3),"Não iniciado",AND(L47&gt;=$M$3,J47&gt;=$M$3,K47&gt;=$M$3,I47&lt;$M$3),"Atrasado",AND(L47&gt;=$M$3,J47&gt;=$M$3,K47&gt;=$M$3,I47&gt;$M$3),"Não iniciado",AND($I47&lt;=$M$3,$K47&gt;$M$3),"Atrasado")</f>
        <v>Em andamento</v>
      </c>
      <c r="O47" s="175">
        <f t="array" ref="O47">_xlfn.IFS(N47="Não iniciado",0,N47="Em andamento",1,N47="Concluído",2,N47="Atrasado",3)</f>
        <v>1</v>
      </c>
      <c r="P47" s="176"/>
      <c r="Q47" s="156">
        <f t="shared" ref="Q47:AV47" si="34">AVERAGE(Q48:Q75)</f>
        <v>0.4642857142857143</v>
      </c>
      <c r="R47" s="156">
        <f t="shared" si="34"/>
        <v>0.4642857142857143</v>
      </c>
      <c r="S47" s="205">
        <f t="shared" si="34"/>
        <v>0</v>
      </c>
      <c r="T47" s="205">
        <f t="shared" si="34"/>
        <v>0</v>
      </c>
      <c r="U47" s="205">
        <f t="shared" si="34"/>
        <v>0</v>
      </c>
      <c r="V47" s="205">
        <f t="shared" si="34"/>
        <v>0</v>
      </c>
      <c r="W47" s="205">
        <f t="shared" si="34"/>
        <v>0</v>
      </c>
      <c r="X47" s="205">
        <f t="shared" si="34"/>
        <v>0</v>
      </c>
      <c r="Y47" s="205">
        <f t="shared" si="34"/>
        <v>3.5714285714285712E-2</v>
      </c>
      <c r="Z47" s="205">
        <f t="shared" si="34"/>
        <v>0.10714285714285714</v>
      </c>
      <c r="AA47" s="205">
        <f t="shared" si="34"/>
        <v>0.10714285714285714</v>
      </c>
      <c r="AB47" s="205">
        <f t="shared" si="34"/>
        <v>0.10714285714285714</v>
      </c>
      <c r="AC47" s="205">
        <f t="shared" si="34"/>
        <v>0.10714285714285714</v>
      </c>
      <c r="AD47" s="205">
        <f t="shared" si="34"/>
        <v>0.25</v>
      </c>
      <c r="AE47" s="205">
        <f t="shared" si="34"/>
        <v>0.25</v>
      </c>
      <c r="AF47" s="205">
        <f t="shared" si="34"/>
        <v>0.25</v>
      </c>
      <c r="AG47" s="205">
        <f t="shared" si="34"/>
        <v>0.25</v>
      </c>
      <c r="AH47" s="205">
        <f t="shared" si="34"/>
        <v>0.25</v>
      </c>
      <c r="AI47" s="205">
        <f t="shared" si="34"/>
        <v>0.25</v>
      </c>
      <c r="AJ47" s="205">
        <f t="shared" si="34"/>
        <v>0.25</v>
      </c>
      <c r="AK47" s="205">
        <f t="shared" si="34"/>
        <v>0.25</v>
      </c>
      <c r="AL47" s="205">
        <f t="shared" si="34"/>
        <v>0.35714285714285715</v>
      </c>
      <c r="AM47" s="205">
        <f t="shared" si="34"/>
        <v>0.35714285714285715</v>
      </c>
      <c r="AN47" s="205">
        <f t="shared" si="34"/>
        <v>0.35714285714285715</v>
      </c>
      <c r="AO47" s="205">
        <f t="shared" si="34"/>
        <v>0.4642857142857143</v>
      </c>
      <c r="AP47" s="205">
        <f t="shared" si="34"/>
        <v>0.4642857142857143</v>
      </c>
      <c r="AQ47" s="205">
        <f t="shared" si="34"/>
        <v>0.4642857142857143</v>
      </c>
      <c r="AR47" s="205">
        <f t="shared" si="34"/>
        <v>0.4642857142857143</v>
      </c>
      <c r="AS47" s="205">
        <f t="shared" si="34"/>
        <v>0.4642857142857143</v>
      </c>
      <c r="AT47" s="205">
        <f t="shared" si="34"/>
        <v>0.5714285714285714</v>
      </c>
      <c r="AU47" s="205">
        <f t="shared" si="34"/>
        <v>0.5714285714285714</v>
      </c>
      <c r="AV47" s="205">
        <f t="shared" si="34"/>
        <v>0.5714285714285714</v>
      </c>
      <c r="AW47" s="205">
        <f t="shared" ref="AW47:BN47" si="35">AVERAGE(AW48:AW75)</f>
        <v>0.5714285714285714</v>
      </c>
      <c r="AX47" s="205">
        <f t="shared" si="35"/>
        <v>0.6785714285714286</v>
      </c>
      <c r="AY47" s="205">
        <f t="shared" si="35"/>
        <v>0.6785714285714286</v>
      </c>
      <c r="AZ47" s="205">
        <f t="shared" si="35"/>
        <v>0.6785714285714286</v>
      </c>
      <c r="BA47" s="205">
        <f t="shared" si="35"/>
        <v>0.6785714285714286</v>
      </c>
      <c r="BB47" s="205">
        <f t="shared" si="35"/>
        <v>0.7857142857142857</v>
      </c>
      <c r="BC47" s="205">
        <f t="shared" si="35"/>
        <v>0.7857142857142857</v>
      </c>
      <c r="BD47" s="205">
        <f t="shared" si="35"/>
        <v>0.7857142857142857</v>
      </c>
      <c r="BE47" s="205">
        <f t="shared" si="35"/>
        <v>0.7857142857142857</v>
      </c>
      <c r="BF47" s="205">
        <f t="shared" si="35"/>
        <v>0.8928571428571429</v>
      </c>
      <c r="BG47" s="205">
        <f t="shared" si="35"/>
        <v>0.8928571428571429</v>
      </c>
      <c r="BH47" s="205">
        <f t="shared" si="35"/>
        <v>0.8928571428571429</v>
      </c>
      <c r="BI47" s="205">
        <f t="shared" si="35"/>
        <v>0.8928571428571429</v>
      </c>
      <c r="BJ47" s="205">
        <f t="shared" si="35"/>
        <v>1</v>
      </c>
      <c r="BK47" s="205">
        <f t="shared" si="35"/>
        <v>1</v>
      </c>
      <c r="BL47" s="205">
        <f t="shared" si="35"/>
        <v>1</v>
      </c>
      <c r="BM47" s="205">
        <f t="shared" si="35"/>
        <v>1</v>
      </c>
      <c r="BN47" s="205">
        <f t="shared" si="35"/>
        <v>1</v>
      </c>
    </row>
    <row r="48" spans="2:66" s="163" customFormat="1" ht="27.6" customHeight="1" collapsed="1" x14ac:dyDescent="0.3">
      <c r="B48" s="166" t="str">
        <f t="array" ref="B48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48" s="166" t="s">
        <v>143</v>
      </c>
      <c r="D48" s="177"/>
      <c r="E48" s="170" t="str">
        <f t="shared" si="30"/>
        <v>Desenvolvimento da Transformação dos Processos</v>
      </c>
      <c r="F48" s="174" t="str">
        <f t="shared" si="33"/>
        <v>Diagnóstico de Maturidade do Processo</v>
      </c>
      <c r="G48" s="166" t="str">
        <f t="shared" ref="G48:G75" si="36">$H$47</f>
        <v>Diagnóstico de Maturidade do Processo</v>
      </c>
      <c r="H48" s="197" t="s">
        <v>144</v>
      </c>
      <c r="I48" s="166">
        <v>45729</v>
      </c>
      <c r="J48" s="40">
        <v>45735</v>
      </c>
      <c r="K48" s="166">
        <v>45729</v>
      </c>
      <c r="L48" s="40">
        <v>45735</v>
      </c>
      <c r="M48" s="167"/>
      <c r="N48" s="167" t="str">
        <f t="array" ref="N48">_xlfn.IFS(L48&lt;$M$3,"Concluído",AND(K48&gt;=$M$3,I48&lt;$M$3,L48&gt;$M$3),"Em andamento",AND(L48&gt;=$M$3,J48&lt;$M$3),"Atrasado",AND(L48&gt;=$M$3,J48&gt;=$M$3,I48&gt;$M$3,K48&lt;=$M$3),"Em andamento",AND(L48&gt;=$M$3,J48&gt;=$M$3,I48&lt;=$M$3,K48&lt;=$M$3),"Em andamento",AND(K48&gt;$M$3,I48&gt;$M$3),"Não iniciado",AND(L48&gt;=$M$3,J48&gt;=$M$3,K48&gt;=$M$3,I48&lt;$M$3),"Atrasado",AND(L48&gt;=$M$3,J48&gt;=$M$3,K48&gt;=$M$3,I48&gt;$M$3),"Não iniciado",AND($I48&lt;=$M$3,$K48&gt;$M$3),"Atrasado")</f>
        <v>Concluído</v>
      </c>
      <c r="O48" s="167">
        <f t="array" ref="O48">_xlfn.IFS(N48="Não iniciado",0,N48="Em andamento",1,N48="Concluído",2,N48="Atrasado",3)</f>
        <v>2</v>
      </c>
      <c r="P48" s="169"/>
      <c r="Q48" s="152">
        <f t="array" ref="Q48">_xlfn.IFS(AND($I48&lt;$M$3,$J48&lt;$M$3),1,AND($I48&lt;$M$3,$J48&gt;=$M$3),0.5,AND($I48&gt;=$M$3,$J48&gt;=$M$3),0)</f>
        <v>1</v>
      </c>
      <c r="R48" s="152">
        <f t="array" ref="R48">_xlfn.IFS(AND($K48&lt;$M$3,$L48&lt;$M$3),1,AND($K48&lt;=$M$3,$L48&gt;=$M$3),0.5,AND($K48&gt;=$M$3,$L48&gt;=$M$3),0)</f>
        <v>1</v>
      </c>
      <c r="S48" s="201">
        <f t="array" ref="S48">_xlfn.IFS(AND($K48&gt;R$7,$L48&gt;R$7),0,AND($K48&lt;=R$7,$L48&lt;=R$7),1,AND($K48&lt;=R$7,$L48&gt;R$7),((R$7-$K48)/($L48-$K48)))</f>
        <v>0</v>
      </c>
      <c r="T48" s="201">
        <f t="array" ref="T48">_xlfn.IFS(AND($K48&gt;S$7,$L48&gt;S$7),0,AND($K48&lt;=S$7,$L48&lt;=S$7),1,AND($K48&lt;=S$7,$L48&gt;S$7),((S$7-$K48)/($L48-$K48)))</f>
        <v>0</v>
      </c>
      <c r="U48" s="201">
        <f t="array" ref="U48">_xlfn.IFS(AND($K48&gt;T$7,$L48&gt;T$7),0,AND($K48&lt;=T$7,$L48&lt;=T$7),1,AND($K48&lt;=T$7,$L48&gt;T$7),((T$7-$K48)/($L48-$K48)))</f>
        <v>0</v>
      </c>
      <c r="V48" s="201">
        <f t="array" ref="V48">_xlfn.IFS(AND($K48&gt;U$7,$L48&gt;U$7),0,AND($K48&lt;=U$7,$L48&lt;=U$7),1,AND($K48&lt;=U$7,$L48&gt;U$7),((U$7-$K48)/($L48-$K48)))</f>
        <v>0</v>
      </c>
      <c r="W48" s="201">
        <f t="array" ref="W48">_xlfn.IFS(AND($K48&gt;V$7,$L48&gt;V$7),0,AND($K48&lt;=V$7,$L48&lt;=V$7),1,AND($K48&lt;=V$7,$L48&gt;V$7),((V$7-$K48)/($L48-$K48)))</f>
        <v>0</v>
      </c>
      <c r="X48" s="201">
        <f t="array" ref="X48">_xlfn.IFS(AND($K48&gt;W$7,$L48&gt;W$7),0,AND($K48&lt;=W$7,$L48&lt;=W$7),1,AND($K48&lt;=W$7,$L48&gt;W$7),((W$7-$K48)/($L48-$K48)))</f>
        <v>0</v>
      </c>
      <c r="Y48" s="201">
        <f t="array" ref="Y48">_xlfn.IFS(AND($K48&gt;X$7,$L48&gt;X$7),0,AND($K48&lt;=X$7,$L48&lt;=X$7),1,AND($K48&lt;=X$7,$L48&gt;X$7),((X$7-$K48)/($L48-$K48)))</f>
        <v>0.33333333333333331</v>
      </c>
      <c r="Z48" s="201">
        <f t="array" ref="Z48">_xlfn.IFS(AND($K48&gt;Y$7,$L48&gt;Y$7),0,AND($K48&lt;=Y$7,$L48&lt;=Y$7),1,AND($K48&lt;=Y$7,$L48&gt;Y$7),((Y$7-$K48)/($L48-$K48)))</f>
        <v>1</v>
      </c>
      <c r="AA48" s="201">
        <f t="array" ref="AA48">_xlfn.IFS(AND($K48&gt;Z$7,$L48&gt;Z$7),0,AND($K48&lt;=Z$7,$L48&lt;=Z$7),1,AND($K48&lt;=Z$7,$L48&gt;Z$7),((Z$7-$K48)/($L48-$K48)))</f>
        <v>1</v>
      </c>
      <c r="AB48" s="201">
        <f t="array" ref="AB48">_xlfn.IFS(AND($K48&gt;AA$7,$L48&gt;AA$7),0,AND($K48&lt;=AA$7,$L48&lt;=AA$7),1,AND($K48&lt;=AA$7,$L48&gt;AA$7),((AA$7-$K48)/($L48-$K48)))</f>
        <v>1</v>
      </c>
      <c r="AC48" s="201">
        <f t="array" ref="AC48">_xlfn.IFS(AND($K48&gt;AB$7,$L48&gt;AB$7),0,AND($K48&lt;=AB$7,$L48&lt;=AB$7),1,AND($K48&lt;=AB$7,$L48&gt;AB$7),((AB$7-$K48)/($L48-$K48)))</f>
        <v>1</v>
      </c>
      <c r="AD48" s="201">
        <f t="array" ref="AD48">_xlfn.IFS(AND($K48&gt;AC$7,$L48&gt;AC$7),0,AND($K48&lt;=AC$7,$L48&lt;=AC$7),1,AND($K48&lt;=AC$7,$L48&gt;AC$7),((AC$7-$K48)/($L48-$K48)))</f>
        <v>1</v>
      </c>
      <c r="AE48" s="201">
        <f t="array" ref="AE48">_xlfn.IFS(AND($K48&gt;AD$7,$L48&gt;AD$7),0,AND($K48&lt;=AD$7,$L48&lt;=AD$7),1,AND($K48&lt;=AD$7,$L48&gt;AD$7),((AD$7-$K48)/($L48-$K48)))</f>
        <v>1</v>
      </c>
      <c r="AF48" s="201">
        <f t="array" ref="AF48">_xlfn.IFS(AND($K48&gt;AE$7,$L48&gt;AE$7),0,AND($K48&lt;=AE$7,$L48&lt;=AE$7),1,AND($K48&lt;=AE$7,$L48&gt;AE$7),((AE$7-$K48)/($L48-$K48)))</f>
        <v>1</v>
      </c>
      <c r="AG48" s="201">
        <f t="array" ref="AG48">_xlfn.IFS(AND($K48&gt;AF$7,$L48&gt;AF$7),0,AND($K48&lt;=AF$7,$L48&lt;=AF$7),1,AND($K48&lt;=AF$7,$L48&gt;AF$7),((AF$7-$K48)/($L48-$K48)))</f>
        <v>1</v>
      </c>
      <c r="AH48" s="201">
        <f t="array" ref="AH48">_xlfn.IFS(AND($K48&gt;AG$7,$L48&gt;AG$7),0,AND($K48&lt;=AG$7,$L48&lt;=AG$7),1,AND($K48&lt;=AG$7,$L48&gt;AG$7),((AG$7-$K48)/($L48-$K48)))</f>
        <v>1</v>
      </c>
      <c r="AI48" s="201">
        <f t="array" ref="AI48">_xlfn.IFS(AND($K48&gt;AH$7,$L48&gt;AH$7),0,AND($K48&lt;=AH$7,$L48&lt;=AH$7),1,AND($K48&lt;=AH$7,$L48&gt;AH$7),((AH$7-$K48)/($L48-$K48)))</f>
        <v>1</v>
      </c>
      <c r="AJ48" s="201">
        <f t="array" ref="AJ48">_xlfn.IFS(AND($K48&gt;AI$7,$L48&gt;AI$7),0,AND($K48&lt;=AI$7,$L48&lt;=AI$7),1,AND($K48&lt;=AI$7,$L48&gt;AI$7),((AI$7-$K48)/($L48-$K48)))</f>
        <v>1</v>
      </c>
      <c r="AK48" s="201">
        <f t="array" ref="AK48">_xlfn.IFS(AND($K48&gt;AJ$7,$L48&gt;AJ$7),0,AND($K48&lt;=AJ$7,$L48&lt;=AJ$7),1,AND($K48&lt;=AJ$7,$L48&gt;AJ$7),((AJ$7-$K48)/($L48-$K48)))</f>
        <v>1</v>
      </c>
      <c r="AL48" s="201">
        <f t="array" ref="AL48">_xlfn.IFS(AND($K48&gt;AK$7,$L48&gt;AK$7),0,AND($K48&lt;=AK$7,$L48&lt;=AK$7),1,AND($K48&lt;=AK$7,$L48&gt;AK$7),((AK$7-$K48)/($L48-$K48)))</f>
        <v>1</v>
      </c>
      <c r="AM48" s="201">
        <f t="array" ref="AM48">_xlfn.IFS(AND($K48&gt;AL$7,$L48&gt;AL$7),0,AND($K48&lt;=AL$7,$L48&lt;=AL$7),1,AND($K48&lt;=AL$7,$L48&gt;AL$7),((AL$7-$K48)/($L48-$K48)))</f>
        <v>1</v>
      </c>
      <c r="AN48" s="201">
        <f t="array" ref="AN48">_xlfn.IFS(AND($K48&gt;AM$7,$L48&gt;AM$7),0,AND($K48&lt;=AM$7,$L48&lt;=AM$7),1,AND($K48&lt;=AM$7,$L48&gt;AM$7),((AM$7-$K48)/($L48-$K48)))</f>
        <v>1</v>
      </c>
      <c r="AO48" s="201">
        <f t="array" ref="AO48">_xlfn.IFS(AND($K48&gt;AN$7,$L48&gt;AN$7),0,AND($K48&lt;=AN$7,$L48&lt;=AN$7),1,AND($K48&lt;=AN$7,$L48&gt;AN$7),((AN$7-$K48)/($L48-$K48)))</f>
        <v>1</v>
      </c>
      <c r="AP48" s="201">
        <f t="array" ref="AP48">_xlfn.IFS(AND($K48&gt;AO$7,$L48&gt;AO$7),0,AND($K48&lt;=AO$7,$L48&lt;=AO$7),1,AND($K48&lt;=AO$7,$L48&gt;AO$7),((AO$7-$K48)/($L48-$K48)))</f>
        <v>1</v>
      </c>
      <c r="AQ48" s="201">
        <f t="array" ref="AQ48">_xlfn.IFS(AND($K48&gt;AP$7,$L48&gt;AP$7),0,AND($K48&lt;=AP$7,$L48&lt;=AP$7),1,AND($K48&lt;=AP$7,$L48&gt;AP$7),((AP$7-$K48)/($L48-$K48)))</f>
        <v>1</v>
      </c>
      <c r="AR48" s="201">
        <f t="array" ref="AR48">_xlfn.IFS(AND($K48&gt;AQ$7,$L48&gt;AQ$7),0,AND($K48&lt;=AQ$7,$L48&lt;=AQ$7),1,AND($K48&lt;=AQ$7,$L48&gt;AQ$7),((AQ$7-$K48)/($L48-$K48)))</f>
        <v>1</v>
      </c>
      <c r="AS48" s="201">
        <f t="array" ref="AS48">_xlfn.IFS(AND($K48&gt;AR$7,$L48&gt;AR$7),0,AND($K48&lt;=AR$7,$L48&lt;=AR$7),1,AND($K48&lt;=AR$7,$L48&gt;AR$7),((AR$7-$K48)/($L48-$K48)))</f>
        <v>1</v>
      </c>
      <c r="AT48" s="201">
        <f t="array" ref="AT48">_xlfn.IFS(AND($K48&gt;AS$7,$L48&gt;AS$7),0,AND($K48&lt;=AS$7,$L48&lt;=AS$7),1,AND($K48&lt;=AS$7,$L48&gt;AS$7),((AS$7-$K48)/($L48-$K48)))</f>
        <v>1</v>
      </c>
      <c r="AU48" s="201">
        <f t="array" ref="AU48">_xlfn.IFS(AND($K48&gt;AT$7,$L48&gt;AT$7),0,AND($K48&lt;=AT$7,$L48&lt;=AT$7),1,AND($K48&lt;=AT$7,$L48&gt;AT$7),((AT$7-$K48)/($L48-$K48)))</f>
        <v>1</v>
      </c>
      <c r="AV48" s="201">
        <f t="array" ref="AV48">_xlfn.IFS(AND($K48&gt;AU$7,$L48&gt;AU$7),0,AND($K48&lt;=AU$7,$L48&lt;=AU$7),1,AND($K48&lt;=AU$7,$L48&gt;AU$7),((AU$7-$K48)/($L48-$K48)))</f>
        <v>1</v>
      </c>
      <c r="AW48" s="201">
        <f t="array" ref="AW48">_xlfn.IFS(AND($K48&gt;AV$7,$L48&gt;AV$7),0,AND($K48&lt;=AV$7,$L48&lt;=AV$7),1,AND($K48&lt;=AV$7,$L48&gt;AV$7),((AV$7-$K48)/($L48-$K48)))</f>
        <v>1</v>
      </c>
      <c r="AX48" s="201">
        <f t="array" ref="AX48">_xlfn.IFS(AND($K48&gt;AW$7,$L48&gt;AW$7),0,AND($K48&lt;=AW$7,$L48&lt;=AW$7),1,AND($K48&lt;=AW$7,$L48&gt;AW$7),((AW$7-$K48)/($L48-$K48)))</f>
        <v>1</v>
      </c>
      <c r="AY48" s="201">
        <f t="array" ref="AY48">_xlfn.IFS(AND($K48&gt;AX$7,$L48&gt;AX$7),0,AND($K48&lt;=AX$7,$L48&lt;=AX$7),1,AND($K48&lt;=AX$7,$L48&gt;AX$7),((AX$7-$K48)/($L48-$K48)))</f>
        <v>1</v>
      </c>
      <c r="AZ48" s="201">
        <f t="array" ref="AZ48">_xlfn.IFS(AND($K48&gt;AY$7,$L48&gt;AY$7),0,AND($K48&lt;=AY$7,$L48&lt;=AY$7),1,AND($K48&lt;=AY$7,$L48&gt;AY$7),((AY$7-$K48)/($L48-$K48)))</f>
        <v>1</v>
      </c>
      <c r="BA48" s="201">
        <f t="array" ref="BA48">_xlfn.IFS(AND($K48&gt;AZ$7,$L48&gt;AZ$7),0,AND($K48&lt;=AZ$7,$L48&lt;=AZ$7),1,AND($K48&lt;=AZ$7,$L48&gt;AZ$7),((AZ$7-$K48)/($L48-$K48)))</f>
        <v>1</v>
      </c>
      <c r="BB48" s="201">
        <f t="array" ref="BB48">_xlfn.IFS(AND($K48&gt;BA$7,$L48&gt;BA$7),0,AND($K48&lt;=BA$7,$L48&lt;=BA$7),1,AND($K48&lt;=BA$7,$L48&gt;BA$7),((BA$7-$K48)/($L48-$K48)))</f>
        <v>1</v>
      </c>
      <c r="BC48" s="201">
        <f t="array" ref="BC48">_xlfn.IFS(AND($K48&gt;BB$7,$L48&gt;BB$7),0,AND($K48&lt;=BB$7,$L48&lt;=BB$7),1,AND($K48&lt;=BB$7,$L48&gt;BB$7),((BB$7-$K48)/($L48-$K48)))</f>
        <v>1</v>
      </c>
      <c r="BD48" s="201">
        <f t="array" ref="BD48">_xlfn.IFS(AND($K48&gt;BC$7,$L48&gt;BC$7),0,AND($K48&lt;=BC$7,$L48&lt;=BC$7),1,AND($K48&lt;=BC$7,$L48&gt;BC$7),((BC$7-$K48)/($L48-$K48)))</f>
        <v>1</v>
      </c>
      <c r="BE48" s="201">
        <f t="array" ref="BE48">_xlfn.IFS(AND($K48&gt;BD$7,$L48&gt;BD$7),0,AND($K48&lt;=BD$7,$L48&lt;=BD$7),1,AND($K48&lt;=BD$7,$L48&gt;BD$7),((BD$7-$K48)/($L48-$K48)))</f>
        <v>1</v>
      </c>
      <c r="BF48" s="201">
        <f t="array" ref="BF48">_xlfn.IFS(AND($K48&gt;BE$7,$L48&gt;BE$7),0,AND($K48&lt;=BE$7,$L48&lt;=BE$7),1,AND($K48&lt;=BE$7,$L48&gt;BE$7),((BE$7-$K48)/($L48-$K48)))</f>
        <v>1</v>
      </c>
      <c r="BG48" s="201">
        <f t="array" ref="BG48">_xlfn.IFS(AND($K48&gt;BF$7,$L48&gt;BF$7),0,AND($K48&lt;=BF$7,$L48&lt;=BF$7),1,AND($K48&lt;=BF$7,$L48&gt;BF$7),((BF$7-$K48)/($L48-$K48)))</f>
        <v>1</v>
      </c>
      <c r="BH48" s="201">
        <f t="array" ref="BH48">_xlfn.IFS(AND($K48&gt;BG$7,$L48&gt;BG$7),0,AND($K48&lt;=BG$7,$L48&lt;=BG$7),1,AND($K48&lt;=BG$7,$L48&gt;BG$7),((BG$7-$K48)/($L48-$K48)))</f>
        <v>1</v>
      </c>
      <c r="BI48" s="201">
        <f t="array" ref="BI48">_xlfn.IFS(AND($K48&gt;BH$7,$L48&gt;BH$7),0,AND($K48&lt;=BH$7,$L48&lt;=BH$7),1,AND($K48&lt;=BH$7,$L48&gt;BH$7),((BH$7-$K48)/($L48-$K48)))</f>
        <v>1</v>
      </c>
      <c r="BJ48" s="201">
        <f t="array" ref="BJ48">_xlfn.IFS(AND($K48&gt;BI$7,$L48&gt;BI$7),0,AND($K48&lt;=BI$7,$L48&lt;=BI$7),1,AND($K48&lt;=BI$7,$L48&gt;BI$7),((BI$7-$K48)/($L48-$K48)))</f>
        <v>1</v>
      </c>
      <c r="BK48" s="201">
        <f t="array" ref="BK48">_xlfn.IFS(AND($K48&gt;BJ$7,$L48&gt;BJ$7),0,AND($K48&lt;=BJ$7,$L48&lt;=BJ$7),1,AND($K48&lt;=BJ$7,$L48&gt;BJ$7),((BJ$7-$K48)/($L48-$K48)))</f>
        <v>1</v>
      </c>
      <c r="BL48" s="201">
        <f t="array" ref="BL48">_xlfn.IFS(AND($K48&gt;BK$7,$L48&gt;BK$7),0,AND($K48&lt;=BK$7,$L48&lt;=BK$7),1,AND($K48&lt;=BK$7,$L48&gt;BK$7),((BK$7-$K48)/($L48-$K48)))</f>
        <v>1</v>
      </c>
      <c r="BM48" s="201">
        <f t="array" ref="BM48">_xlfn.IFS(AND($K48&gt;BL$7,$L48&gt;BL$7),0,AND($K48&lt;=BL$7,$L48&lt;=BL$7),1,AND($K48&lt;=BL$7,$L48&gt;BL$7),((BL$7-$K48)/($L48-$K48)))</f>
        <v>1</v>
      </c>
      <c r="BN48" s="201">
        <f t="array" ref="BN48">_xlfn.IFS(AND($K48&gt;BM$7,$L48&gt;BM$7),0,AND($K48&lt;=BM$7,$L48&lt;=BM$7),1,AND($K48&lt;=BM$7,$L48&gt;BM$7),((BM$7-$K48)/($L48-$K48)))</f>
        <v>1</v>
      </c>
    </row>
    <row r="49" spans="2:66" s="163" customFormat="1" ht="15" customHeight="1" collapsed="1" x14ac:dyDescent="0.3">
      <c r="B49" s="166" t="str">
        <f t="array" ref="B49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49" s="166" t="s">
        <v>145</v>
      </c>
      <c r="D49" s="177"/>
      <c r="E49" s="170" t="str">
        <f t="shared" si="30"/>
        <v>Desenvolvimento da Transformação dos Processos</v>
      </c>
      <c r="F49" s="174" t="str">
        <f t="shared" si="33"/>
        <v>Diagnóstico de Maturidade do Processo</v>
      </c>
      <c r="G49" s="166" t="str">
        <f t="shared" si="36"/>
        <v>Diagnóstico de Maturidade do Processo</v>
      </c>
      <c r="H49" s="197" t="s">
        <v>146</v>
      </c>
      <c r="I49" s="166">
        <v>45729</v>
      </c>
      <c r="J49" s="40">
        <v>45735</v>
      </c>
      <c r="K49" s="166">
        <v>45729</v>
      </c>
      <c r="L49" s="40">
        <v>45735</v>
      </c>
      <c r="M49" s="167"/>
      <c r="N49" s="167" t="str">
        <f t="array" ref="N49">_xlfn.IFS(L49&lt;$M$3,"Concluído",AND(K49&gt;=$M$3,I49&lt;$M$3,L49&gt;$M$3),"Em andamento",AND(L49&gt;=$M$3,J49&lt;$M$3),"Atrasado",AND(L49&gt;=$M$3,J49&gt;=$M$3,I49&gt;$M$3,K49&lt;=$M$3),"Em andamento",AND(L49&gt;=$M$3,J49&gt;=$M$3,I49&lt;=$M$3,K49&lt;=$M$3),"Em andamento",AND(K49&gt;$M$3,I49&gt;$M$3),"Não iniciado",AND(L49&gt;=$M$3,J49&gt;=$M$3,K49&gt;=$M$3,I49&lt;$M$3),"Atrasado",AND(L49&gt;=$M$3,J49&gt;=$M$3,K49&gt;=$M$3,I49&gt;$M$3),"Não iniciado",AND($I49&lt;=$M$3,$K49&gt;$M$3),"Atrasado")</f>
        <v>Concluído</v>
      </c>
      <c r="O49" s="167">
        <f t="array" ref="O49">_xlfn.IFS(N49="Não iniciado",0,N49="Em andamento",1,N49="Concluído",2,N49="Atrasado",3)</f>
        <v>2</v>
      </c>
      <c r="P49" s="169"/>
      <c r="Q49" s="152">
        <f t="array" ref="Q49">_xlfn.IFS(AND($I49&lt;$M$3,$J49&lt;$M$3),1,AND($I49&lt;$M$3,$J49&gt;=$M$3),0.5,AND($I49&gt;=$M$3,$J49&gt;=$M$3),0)</f>
        <v>1</v>
      </c>
      <c r="R49" s="152">
        <f t="array" ref="R49">_xlfn.IFS(AND($K49&lt;$M$3,$L49&lt;$M$3),1,AND($K49&lt;=$M$3,$L49&gt;=$M$3),0.5,AND($K49&gt;=$M$3,$L49&gt;=$M$3),0)</f>
        <v>1</v>
      </c>
      <c r="S49" s="201">
        <f t="array" ref="S49">_xlfn.IFS(AND($K49&gt;R$7,$L49&gt;R$7),0,AND($K49&lt;=R$7,$L49&lt;=R$7),1,AND($K49&lt;=R$7,$L49&gt;R$7),((R$7-$K49)/($L49-$K49)))</f>
        <v>0</v>
      </c>
      <c r="T49" s="201">
        <f t="array" ref="T49">_xlfn.IFS(AND($K49&gt;S$7,$L49&gt;S$7),0,AND($K49&lt;=S$7,$L49&lt;=S$7),1,AND($K49&lt;=S$7,$L49&gt;S$7),((S$7-$K49)/($L49-$K49)))</f>
        <v>0</v>
      </c>
      <c r="U49" s="201">
        <f t="array" ref="U49">_xlfn.IFS(AND($K49&gt;T$7,$L49&gt;T$7),0,AND($K49&lt;=T$7,$L49&lt;=T$7),1,AND($K49&lt;=T$7,$L49&gt;T$7),((T$7-$K49)/($L49-$K49)))</f>
        <v>0</v>
      </c>
      <c r="V49" s="201">
        <f t="array" ref="V49">_xlfn.IFS(AND($K49&gt;U$7,$L49&gt;U$7),0,AND($K49&lt;=U$7,$L49&lt;=U$7),1,AND($K49&lt;=U$7,$L49&gt;U$7),((U$7-$K49)/($L49-$K49)))</f>
        <v>0</v>
      </c>
      <c r="W49" s="201">
        <f t="array" ref="W49">_xlfn.IFS(AND($K49&gt;V$7,$L49&gt;V$7),0,AND($K49&lt;=V$7,$L49&lt;=V$7),1,AND($K49&lt;=V$7,$L49&gt;V$7),((V$7-$K49)/($L49-$K49)))</f>
        <v>0</v>
      </c>
      <c r="X49" s="201">
        <f t="array" ref="X49">_xlfn.IFS(AND($K49&gt;W$7,$L49&gt;W$7),0,AND($K49&lt;=W$7,$L49&lt;=W$7),1,AND($K49&lt;=W$7,$L49&gt;W$7),((W$7-$K49)/($L49-$K49)))</f>
        <v>0</v>
      </c>
      <c r="Y49" s="201">
        <f t="array" ref="Y49">_xlfn.IFS(AND($K49&gt;X$7,$L49&gt;X$7),0,AND($K49&lt;=X$7,$L49&lt;=X$7),1,AND($K49&lt;=X$7,$L49&gt;X$7),((X$7-$K49)/($L49-$K49)))</f>
        <v>0.33333333333333331</v>
      </c>
      <c r="Z49" s="201">
        <f t="array" ref="Z49">_xlfn.IFS(AND($K49&gt;Y$7,$L49&gt;Y$7),0,AND($K49&lt;=Y$7,$L49&lt;=Y$7),1,AND($K49&lt;=Y$7,$L49&gt;Y$7),((Y$7-$K49)/($L49-$K49)))</f>
        <v>1</v>
      </c>
      <c r="AA49" s="201">
        <f t="array" ref="AA49">_xlfn.IFS(AND($K49&gt;Z$7,$L49&gt;Z$7),0,AND($K49&lt;=Z$7,$L49&lt;=Z$7),1,AND($K49&lt;=Z$7,$L49&gt;Z$7),((Z$7-$K49)/($L49-$K49)))</f>
        <v>1</v>
      </c>
      <c r="AB49" s="201">
        <f t="array" ref="AB49">_xlfn.IFS(AND($K49&gt;AA$7,$L49&gt;AA$7),0,AND($K49&lt;=AA$7,$L49&lt;=AA$7),1,AND($K49&lt;=AA$7,$L49&gt;AA$7),((AA$7-$K49)/($L49-$K49)))</f>
        <v>1</v>
      </c>
      <c r="AC49" s="201">
        <f t="array" ref="AC49">_xlfn.IFS(AND($K49&gt;AB$7,$L49&gt;AB$7),0,AND($K49&lt;=AB$7,$L49&lt;=AB$7),1,AND($K49&lt;=AB$7,$L49&gt;AB$7),((AB$7-$K49)/($L49-$K49)))</f>
        <v>1</v>
      </c>
      <c r="AD49" s="201">
        <f t="array" ref="AD49">_xlfn.IFS(AND($K49&gt;AC$7,$L49&gt;AC$7),0,AND($K49&lt;=AC$7,$L49&lt;=AC$7),1,AND($K49&lt;=AC$7,$L49&gt;AC$7),((AC$7-$K49)/($L49-$K49)))</f>
        <v>1</v>
      </c>
      <c r="AE49" s="201">
        <f t="array" ref="AE49">_xlfn.IFS(AND($K49&gt;AD$7,$L49&gt;AD$7),0,AND($K49&lt;=AD$7,$L49&lt;=AD$7),1,AND($K49&lt;=AD$7,$L49&gt;AD$7),((AD$7-$K49)/($L49-$K49)))</f>
        <v>1</v>
      </c>
      <c r="AF49" s="201">
        <f t="array" ref="AF49">_xlfn.IFS(AND($K49&gt;AE$7,$L49&gt;AE$7),0,AND($K49&lt;=AE$7,$L49&lt;=AE$7),1,AND($K49&lt;=AE$7,$L49&gt;AE$7),((AE$7-$K49)/($L49-$K49)))</f>
        <v>1</v>
      </c>
      <c r="AG49" s="201">
        <f t="array" ref="AG49">_xlfn.IFS(AND($K49&gt;AF$7,$L49&gt;AF$7),0,AND($K49&lt;=AF$7,$L49&lt;=AF$7),1,AND($K49&lt;=AF$7,$L49&gt;AF$7),((AF$7-$K49)/($L49-$K49)))</f>
        <v>1</v>
      </c>
      <c r="AH49" s="201">
        <f t="array" ref="AH49">_xlfn.IFS(AND($K49&gt;AG$7,$L49&gt;AG$7),0,AND($K49&lt;=AG$7,$L49&lt;=AG$7),1,AND($K49&lt;=AG$7,$L49&gt;AG$7),((AG$7-$K49)/($L49-$K49)))</f>
        <v>1</v>
      </c>
      <c r="AI49" s="201">
        <f t="array" ref="AI49">_xlfn.IFS(AND($K49&gt;AH$7,$L49&gt;AH$7),0,AND($K49&lt;=AH$7,$L49&lt;=AH$7),1,AND($K49&lt;=AH$7,$L49&gt;AH$7),((AH$7-$K49)/($L49-$K49)))</f>
        <v>1</v>
      </c>
      <c r="AJ49" s="201">
        <f t="array" ref="AJ49">_xlfn.IFS(AND($K49&gt;AI$7,$L49&gt;AI$7),0,AND($K49&lt;=AI$7,$L49&lt;=AI$7),1,AND($K49&lt;=AI$7,$L49&gt;AI$7),((AI$7-$K49)/($L49-$K49)))</f>
        <v>1</v>
      </c>
      <c r="AK49" s="201">
        <f t="array" ref="AK49">_xlfn.IFS(AND($K49&gt;AJ$7,$L49&gt;AJ$7),0,AND($K49&lt;=AJ$7,$L49&lt;=AJ$7),1,AND($K49&lt;=AJ$7,$L49&gt;AJ$7),((AJ$7-$K49)/($L49-$K49)))</f>
        <v>1</v>
      </c>
      <c r="AL49" s="201">
        <f t="array" ref="AL49">_xlfn.IFS(AND($K49&gt;AK$7,$L49&gt;AK$7),0,AND($K49&lt;=AK$7,$L49&lt;=AK$7),1,AND($K49&lt;=AK$7,$L49&gt;AK$7),((AK$7-$K49)/($L49-$K49)))</f>
        <v>1</v>
      </c>
      <c r="AM49" s="201">
        <f t="array" ref="AM49">_xlfn.IFS(AND($K49&gt;AL$7,$L49&gt;AL$7),0,AND($K49&lt;=AL$7,$L49&lt;=AL$7),1,AND($K49&lt;=AL$7,$L49&gt;AL$7),((AL$7-$K49)/($L49-$K49)))</f>
        <v>1</v>
      </c>
      <c r="AN49" s="201">
        <f t="array" ref="AN49">_xlfn.IFS(AND($K49&gt;AM$7,$L49&gt;AM$7),0,AND($K49&lt;=AM$7,$L49&lt;=AM$7),1,AND($K49&lt;=AM$7,$L49&gt;AM$7),((AM$7-$K49)/($L49-$K49)))</f>
        <v>1</v>
      </c>
      <c r="AO49" s="201">
        <f t="array" ref="AO49">_xlfn.IFS(AND($K49&gt;AN$7,$L49&gt;AN$7),0,AND($K49&lt;=AN$7,$L49&lt;=AN$7),1,AND($K49&lt;=AN$7,$L49&gt;AN$7),((AN$7-$K49)/($L49-$K49)))</f>
        <v>1</v>
      </c>
      <c r="AP49" s="201">
        <f t="array" ref="AP49">_xlfn.IFS(AND($K49&gt;AO$7,$L49&gt;AO$7),0,AND($K49&lt;=AO$7,$L49&lt;=AO$7),1,AND($K49&lt;=AO$7,$L49&gt;AO$7),((AO$7-$K49)/($L49-$K49)))</f>
        <v>1</v>
      </c>
      <c r="AQ49" s="201">
        <f t="array" ref="AQ49">_xlfn.IFS(AND($K49&gt;AP$7,$L49&gt;AP$7),0,AND($K49&lt;=AP$7,$L49&lt;=AP$7),1,AND($K49&lt;=AP$7,$L49&gt;AP$7),((AP$7-$K49)/($L49-$K49)))</f>
        <v>1</v>
      </c>
      <c r="AR49" s="201">
        <f t="array" ref="AR49">_xlfn.IFS(AND($K49&gt;AQ$7,$L49&gt;AQ$7),0,AND($K49&lt;=AQ$7,$L49&lt;=AQ$7),1,AND($K49&lt;=AQ$7,$L49&gt;AQ$7),((AQ$7-$K49)/($L49-$K49)))</f>
        <v>1</v>
      </c>
      <c r="AS49" s="201">
        <f t="array" ref="AS49">_xlfn.IFS(AND($K49&gt;AR$7,$L49&gt;AR$7),0,AND($K49&lt;=AR$7,$L49&lt;=AR$7),1,AND($K49&lt;=AR$7,$L49&gt;AR$7),((AR$7-$K49)/($L49-$K49)))</f>
        <v>1</v>
      </c>
      <c r="AT49" s="201">
        <f t="array" ref="AT49">_xlfn.IFS(AND($K49&gt;AS$7,$L49&gt;AS$7),0,AND($K49&lt;=AS$7,$L49&lt;=AS$7),1,AND($K49&lt;=AS$7,$L49&gt;AS$7),((AS$7-$K49)/($L49-$K49)))</f>
        <v>1</v>
      </c>
      <c r="AU49" s="201">
        <f t="array" ref="AU49">_xlfn.IFS(AND($K49&gt;AT$7,$L49&gt;AT$7),0,AND($K49&lt;=AT$7,$L49&lt;=AT$7),1,AND($K49&lt;=AT$7,$L49&gt;AT$7),((AT$7-$K49)/($L49-$K49)))</f>
        <v>1</v>
      </c>
      <c r="AV49" s="201">
        <f t="array" ref="AV49">_xlfn.IFS(AND($K49&gt;AU$7,$L49&gt;AU$7),0,AND($K49&lt;=AU$7,$L49&lt;=AU$7),1,AND($K49&lt;=AU$7,$L49&gt;AU$7),((AU$7-$K49)/($L49-$K49)))</f>
        <v>1</v>
      </c>
      <c r="AW49" s="201">
        <f t="array" ref="AW49">_xlfn.IFS(AND($K49&gt;AV$7,$L49&gt;AV$7),0,AND($K49&lt;=AV$7,$L49&lt;=AV$7),1,AND($K49&lt;=AV$7,$L49&gt;AV$7),((AV$7-$K49)/($L49-$K49)))</f>
        <v>1</v>
      </c>
      <c r="AX49" s="201">
        <f t="array" ref="AX49">_xlfn.IFS(AND($K49&gt;AW$7,$L49&gt;AW$7),0,AND($K49&lt;=AW$7,$L49&lt;=AW$7),1,AND($K49&lt;=AW$7,$L49&gt;AW$7),((AW$7-$K49)/($L49-$K49)))</f>
        <v>1</v>
      </c>
      <c r="AY49" s="201">
        <f t="array" ref="AY49">_xlfn.IFS(AND($K49&gt;AX$7,$L49&gt;AX$7),0,AND($K49&lt;=AX$7,$L49&lt;=AX$7),1,AND($K49&lt;=AX$7,$L49&gt;AX$7),((AX$7-$K49)/($L49-$K49)))</f>
        <v>1</v>
      </c>
      <c r="AZ49" s="201">
        <f t="array" ref="AZ49">_xlfn.IFS(AND($K49&gt;AY$7,$L49&gt;AY$7),0,AND($K49&lt;=AY$7,$L49&lt;=AY$7),1,AND($K49&lt;=AY$7,$L49&gt;AY$7),((AY$7-$K49)/($L49-$K49)))</f>
        <v>1</v>
      </c>
      <c r="BA49" s="201">
        <f t="array" ref="BA49">_xlfn.IFS(AND($K49&gt;AZ$7,$L49&gt;AZ$7),0,AND($K49&lt;=AZ$7,$L49&lt;=AZ$7),1,AND($K49&lt;=AZ$7,$L49&gt;AZ$7),((AZ$7-$K49)/($L49-$K49)))</f>
        <v>1</v>
      </c>
      <c r="BB49" s="201">
        <f t="array" ref="BB49">_xlfn.IFS(AND($K49&gt;BA$7,$L49&gt;BA$7),0,AND($K49&lt;=BA$7,$L49&lt;=BA$7),1,AND($K49&lt;=BA$7,$L49&gt;BA$7),((BA$7-$K49)/($L49-$K49)))</f>
        <v>1</v>
      </c>
      <c r="BC49" s="201">
        <f t="array" ref="BC49">_xlfn.IFS(AND($K49&gt;BB$7,$L49&gt;BB$7),0,AND($K49&lt;=BB$7,$L49&lt;=BB$7),1,AND($K49&lt;=BB$7,$L49&gt;BB$7),((BB$7-$K49)/($L49-$K49)))</f>
        <v>1</v>
      </c>
      <c r="BD49" s="201">
        <f t="array" ref="BD49">_xlfn.IFS(AND($K49&gt;BC$7,$L49&gt;BC$7),0,AND($K49&lt;=BC$7,$L49&lt;=BC$7),1,AND($K49&lt;=BC$7,$L49&gt;BC$7),((BC$7-$K49)/($L49-$K49)))</f>
        <v>1</v>
      </c>
      <c r="BE49" s="201">
        <f t="array" ref="BE49">_xlfn.IFS(AND($K49&gt;BD$7,$L49&gt;BD$7),0,AND($K49&lt;=BD$7,$L49&lt;=BD$7),1,AND($K49&lt;=BD$7,$L49&gt;BD$7),((BD$7-$K49)/($L49-$K49)))</f>
        <v>1</v>
      </c>
      <c r="BF49" s="201">
        <f t="array" ref="BF49">_xlfn.IFS(AND($K49&gt;BE$7,$L49&gt;BE$7),0,AND($K49&lt;=BE$7,$L49&lt;=BE$7),1,AND($K49&lt;=BE$7,$L49&gt;BE$7),((BE$7-$K49)/($L49-$K49)))</f>
        <v>1</v>
      </c>
      <c r="BG49" s="201">
        <f t="array" ref="BG49">_xlfn.IFS(AND($K49&gt;BF$7,$L49&gt;BF$7),0,AND($K49&lt;=BF$7,$L49&lt;=BF$7),1,AND($K49&lt;=BF$7,$L49&gt;BF$7),((BF$7-$K49)/($L49-$K49)))</f>
        <v>1</v>
      </c>
      <c r="BH49" s="201">
        <f t="array" ref="BH49">_xlfn.IFS(AND($K49&gt;BG$7,$L49&gt;BG$7),0,AND($K49&lt;=BG$7,$L49&lt;=BG$7),1,AND($K49&lt;=BG$7,$L49&gt;BG$7),((BG$7-$K49)/($L49-$K49)))</f>
        <v>1</v>
      </c>
      <c r="BI49" s="201">
        <f t="array" ref="BI49">_xlfn.IFS(AND($K49&gt;BH$7,$L49&gt;BH$7),0,AND($K49&lt;=BH$7,$L49&lt;=BH$7),1,AND($K49&lt;=BH$7,$L49&gt;BH$7),((BH$7-$K49)/($L49-$K49)))</f>
        <v>1</v>
      </c>
      <c r="BJ49" s="201">
        <f t="array" ref="BJ49">_xlfn.IFS(AND($K49&gt;BI$7,$L49&gt;BI$7),0,AND($K49&lt;=BI$7,$L49&lt;=BI$7),1,AND($K49&lt;=BI$7,$L49&gt;BI$7),((BI$7-$K49)/($L49-$K49)))</f>
        <v>1</v>
      </c>
      <c r="BK49" s="201">
        <f t="array" ref="BK49">_xlfn.IFS(AND($K49&gt;BJ$7,$L49&gt;BJ$7),0,AND($K49&lt;=BJ$7,$L49&lt;=BJ$7),1,AND($K49&lt;=BJ$7,$L49&gt;BJ$7),((BJ$7-$K49)/($L49-$K49)))</f>
        <v>1</v>
      </c>
      <c r="BL49" s="201">
        <f t="array" ref="BL49">_xlfn.IFS(AND($K49&gt;BK$7,$L49&gt;BK$7),0,AND($K49&lt;=BK$7,$L49&lt;=BK$7),1,AND($K49&lt;=BK$7,$L49&gt;BK$7),((BK$7-$K49)/($L49-$K49)))</f>
        <v>1</v>
      </c>
      <c r="BM49" s="201">
        <f t="array" ref="BM49">_xlfn.IFS(AND($K49&gt;BL$7,$L49&gt;BL$7),0,AND($K49&lt;=BL$7,$L49&lt;=BL$7),1,AND($K49&lt;=BL$7,$L49&gt;BL$7),((BL$7-$K49)/($L49-$K49)))</f>
        <v>1</v>
      </c>
      <c r="BN49" s="201">
        <f t="array" ref="BN49">_xlfn.IFS(AND($K49&gt;BM$7,$L49&gt;BM$7),0,AND($K49&lt;=BM$7,$L49&lt;=BM$7),1,AND($K49&lt;=BM$7,$L49&gt;BM$7),((BM$7-$K49)/($L49-$K49)))</f>
        <v>1</v>
      </c>
    </row>
    <row r="50" spans="2:66" s="163" customFormat="1" ht="15" customHeight="1" collapsed="1" x14ac:dyDescent="0.3">
      <c r="B50" s="166" t="str">
        <f t="array" ref="B50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50" s="166" t="s">
        <v>147</v>
      </c>
      <c r="D50" s="177"/>
      <c r="E50" s="170" t="str">
        <f t="shared" si="30"/>
        <v>Desenvolvimento da Transformação dos Processos</v>
      </c>
      <c r="F50" s="174" t="str">
        <f t="shared" si="33"/>
        <v>Diagnóstico de Maturidade do Processo</v>
      </c>
      <c r="G50" s="166" t="str">
        <f t="shared" si="36"/>
        <v>Diagnóstico de Maturidade do Processo</v>
      </c>
      <c r="H50" s="197" t="s">
        <v>148</v>
      </c>
      <c r="I50" s="166">
        <v>45729</v>
      </c>
      <c r="J50" s="40">
        <v>45735</v>
      </c>
      <c r="K50" s="166">
        <v>45729</v>
      </c>
      <c r="L50" s="40">
        <v>45735</v>
      </c>
      <c r="M50" s="167"/>
      <c r="N50" s="167" t="str">
        <f t="array" ref="N50">_xlfn.IFS(L50&lt;$M$3,"Concluído",AND(K50&gt;=$M$3,I50&lt;$M$3,L50&gt;$M$3),"Em andamento",AND(L50&gt;=$M$3,J50&lt;$M$3),"Atrasado",AND(L50&gt;=$M$3,J50&gt;=$M$3,I50&gt;$M$3,K50&lt;=$M$3),"Em andamento",AND(L50&gt;=$M$3,J50&gt;=$M$3,I50&lt;=$M$3,K50&lt;=$M$3),"Em andamento",AND(K50&gt;$M$3,I50&gt;$M$3),"Não iniciado",AND(L50&gt;=$M$3,J50&gt;=$M$3,K50&gt;=$M$3,I50&lt;$M$3),"Atrasado",AND(L50&gt;=$M$3,J50&gt;=$M$3,K50&gt;=$M$3,I50&gt;$M$3),"Não iniciado",AND($I50&lt;=$M$3,$K50&gt;$M$3),"Atrasado")</f>
        <v>Concluído</v>
      </c>
      <c r="O50" s="167">
        <f t="array" ref="O50">_xlfn.IFS(N50="Não iniciado",0,N50="Em andamento",1,N50="Concluído",2,N50="Atrasado",3)</f>
        <v>2</v>
      </c>
      <c r="P50" s="169"/>
      <c r="Q50" s="152">
        <f t="array" ref="Q50">_xlfn.IFS(AND($I50&lt;$M$3,$J50&lt;$M$3),1,AND($I50&lt;$M$3,$J50&gt;=$M$3),0.5,AND($I50&gt;=$M$3,$J50&gt;=$M$3),0)</f>
        <v>1</v>
      </c>
      <c r="R50" s="152">
        <f t="array" ref="R50">_xlfn.IFS(AND($K50&lt;$M$3,$L50&lt;$M$3),1,AND($K50&lt;=$M$3,$L50&gt;=$M$3),0.5,AND($K50&gt;=$M$3,$L50&gt;=$M$3),0)</f>
        <v>1</v>
      </c>
      <c r="S50" s="201">
        <f t="array" ref="S50">_xlfn.IFS(AND($K50&gt;R$7,$L50&gt;R$7),0,AND($K50&lt;=R$7,$L50&lt;=R$7),1,AND($K50&lt;=R$7,$L50&gt;R$7),((R$7-$K50)/($L50-$K50)))</f>
        <v>0</v>
      </c>
      <c r="T50" s="201">
        <f t="array" ref="T50">_xlfn.IFS(AND($K50&gt;S$7,$L50&gt;S$7),0,AND($K50&lt;=S$7,$L50&lt;=S$7),1,AND($K50&lt;=S$7,$L50&gt;S$7),((S$7-$K50)/($L50-$K50)))</f>
        <v>0</v>
      </c>
      <c r="U50" s="201">
        <f t="array" ref="U50">_xlfn.IFS(AND($K50&gt;T$7,$L50&gt;T$7),0,AND($K50&lt;=T$7,$L50&lt;=T$7),1,AND($K50&lt;=T$7,$L50&gt;T$7),((T$7-$K50)/($L50-$K50)))</f>
        <v>0</v>
      </c>
      <c r="V50" s="201">
        <f t="array" ref="V50">_xlfn.IFS(AND($K50&gt;U$7,$L50&gt;U$7),0,AND($K50&lt;=U$7,$L50&lt;=U$7),1,AND($K50&lt;=U$7,$L50&gt;U$7),((U$7-$K50)/($L50-$K50)))</f>
        <v>0</v>
      </c>
      <c r="W50" s="201">
        <f t="array" ref="W50">_xlfn.IFS(AND($K50&gt;V$7,$L50&gt;V$7),0,AND($K50&lt;=V$7,$L50&lt;=V$7),1,AND($K50&lt;=V$7,$L50&gt;V$7),((V$7-$K50)/($L50-$K50)))</f>
        <v>0</v>
      </c>
      <c r="X50" s="201">
        <f t="array" ref="X50">_xlfn.IFS(AND($K50&gt;W$7,$L50&gt;W$7),0,AND($K50&lt;=W$7,$L50&lt;=W$7),1,AND($K50&lt;=W$7,$L50&gt;W$7),((W$7-$K50)/($L50-$K50)))</f>
        <v>0</v>
      </c>
      <c r="Y50" s="201">
        <f t="array" ref="Y50">_xlfn.IFS(AND($K50&gt;X$7,$L50&gt;X$7),0,AND($K50&lt;=X$7,$L50&lt;=X$7),1,AND($K50&lt;=X$7,$L50&gt;X$7),((X$7-$K50)/($L50-$K50)))</f>
        <v>0.33333333333333331</v>
      </c>
      <c r="Z50" s="201">
        <f t="array" ref="Z50">_xlfn.IFS(AND($K50&gt;Y$7,$L50&gt;Y$7),0,AND($K50&lt;=Y$7,$L50&lt;=Y$7),1,AND($K50&lt;=Y$7,$L50&gt;Y$7),((Y$7-$K50)/($L50-$K50)))</f>
        <v>1</v>
      </c>
      <c r="AA50" s="201">
        <f t="array" ref="AA50">_xlfn.IFS(AND($K50&gt;Z$7,$L50&gt;Z$7),0,AND($K50&lt;=Z$7,$L50&lt;=Z$7),1,AND($K50&lt;=Z$7,$L50&gt;Z$7),((Z$7-$K50)/($L50-$K50)))</f>
        <v>1</v>
      </c>
      <c r="AB50" s="201">
        <f t="array" ref="AB50">_xlfn.IFS(AND($K50&gt;AA$7,$L50&gt;AA$7),0,AND($K50&lt;=AA$7,$L50&lt;=AA$7),1,AND($K50&lt;=AA$7,$L50&gt;AA$7),((AA$7-$K50)/($L50-$K50)))</f>
        <v>1</v>
      </c>
      <c r="AC50" s="201">
        <f t="array" ref="AC50">_xlfn.IFS(AND($K50&gt;AB$7,$L50&gt;AB$7),0,AND($K50&lt;=AB$7,$L50&lt;=AB$7),1,AND($K50&lt;=AB$7,$L50&gt;AB$7),((AB$7-$K50)/($L50-$K50)))</f>
        <v>1</v>
      </c>
      <c r="AD50" s="201">
        <f t="array" ref="AD50">_xlfn.IFS(AND($K50&gt;AC$7,$L50&gt;AC$7),0,AND($K50&lt;=AC$7,$L50&lt;=AC$7),1,AND($K50&lt;=AC$7,$L50&gt;AC$7),((AC$7-$K50)/($L50-$K50)))</f>
        <v>1</v>
      </c>
      <c r="AE50" s="201">
        <f t="array" ref="AE50">_xlfn.IFS(AND($K50&gt;AD$7,$L50&gt;AD$7),0,AND($K50&lt;=AD$7,$L50&lt;=AD$7),1,AND($K50&lt;=AD$7,$L50&gt;AD$7),((AD$7-$K50)/($L50-$K50)))</f>
        <v>1</v>
      </c>
      <c r="AF50" s="201">
        <f t="array" ref="AF50">_xlfn.IFS(AND($K50&gt;AE$7,$L50&gt;AE$7),0,AND($K50&lt;=AE$7,$L50&lt;=AE$7),1,AND($K50&lt;=AE$7,$L50&gt;AE$7),((AE$7-$K50)/($L50-$K50)))</f>
        <v>1</v>
      </c>
      <c r="AG50" s="201">
        <f t="array" ref="AG50">_xlfn.IFS(AND($K50&gt;AF$7,$L50&gt;AF$7),0,AND($K50&lt;=AF$7,$L50&lt;=AF$7),1,AND($K50&lt;=AF$7,$L50&gt;AF$7),((AF$7-$K50)/($L50-$K50)))</f>
        <v>1</v>
      </c>
      <c r="AH50" s="201">
        <f t="array" ref="AH50">_xlfn.IFS(AND($K50&gt;AG$7,$L50&gt;AG$7),0,AND($K50&lt;=AG$7,$L50&lt;=AG$7),1,AND($K50&lt;=AG$7,$L50&gt;AG$7),((AG$7-$K50)/($L50-$K50)))</f>
        <v>1</v>
      </c>
      <c r="AI50" s="201">
        <f t="array" ref="AI50">_xlfn.IFS(AND($K50&gt;AH$7,$L50&gt;AH$7),0,AND($K50&lt;=AH$7,$L50&lt;=AH$7),1,AND($K50&lt;=AH$7,$L50&gt;AH$7),((AH$7-$K50)/($L50-$K50)))</f>
        <v>1</v>
      </c>
      <c r="AJ50" s="201">
        <f t="array" ref="AJ50">_xlfn.IFS(AND($K50&gt;AI$7,$L50&gt;AI$7),0,AND($K50&lt;=AI$7,$L50&lt;=AI$7),1,AND($K50&lt;=AI$7,$L50&gt;AI$7),((AI$7-$K50)/($L50-$K50)))</f>
        <v>1</v>
      </c>
      <c r="AK50" s="201">
        <f t="array" ref="AK50">_xlfn.IFS(AND($K50&gt;AJ$7,$L50&gt;AJ$7),0,AND($K50&lt;=AJ$7,$L50&lt;=AJ$7),1,AND($K50&lt;=AJ$7,$L50&gt;AJ$7),((AJ$7-$K50)/($L50-$K50)))</f>
        <v>1</v>
      </c>
      <c r="AL50" s="201">
        <f t="array" ref="AL50">_xlfn.IFS(AND($K50&gt;AK$7,$L50&gt;AK$7),0,AND($K50&lt;=AK$7,$L50&lt;=AK$7),1,AND($K50&lt;=AK$7,$L50&gt;AK$7),((AK$7-$K50)/($L50-$K50)))</f>
        <v>1</v>
      </c>
      <c r="AM50" s="201">
        <f t="array" ref="AM50">_xlfn.IFS(AND($K50&gt;AL$7,$L50&gt;AL$7),0,AND($K50&lt;=AL$7,$L50&lt;=AL$7),1,AND($K50&lt;=AL$7,$L50&gt;AL$7),((AL$7-$K50)/($L50-$K50)))</f>
        <v>1</v>
      </c>
      <c r="AN50" s="201">
        <f t="array" ref="AN50">_xlfn.IFS(AND($K50&gt;AM$7,$L50&gt;AM$7),0,AND($K50&lt;=AM$7,$L50&lt;=AM$7),1,AND($K50&lt;=AM$7,$L50&gt;AM$7),((AM$7-$K50)/($L50-$K50)))</f>
        <v>1</v>
      </c>
      <c r="AO50" s="201">
        <f t="array" ref="AO50">_xlfn.IFS(AND($K50&gt;AN$7,$L50&gt;AN$7),0,AND($K50&lt;=AN$7,$L50&lt;=AN$7),1,AND($K50&lt;=AN$7,$L50&gt;AN$7),((AN$7-$K50)/($L50-$K50)))</f>
        <v>1</v>
      </c>
      <c r="AP50" s="201">
        <f t="array" ref="AP50">_xlfn.IFS(AND($K50&gt;AO$7,$L50&gt;AO$7),0,AND($K50&lt;=AO$7,$L50&lt;=AO$7),1,AND($K50&lt;=AO$7,$L50&gt;AO$7),((AO$7-$K50)/($L50-$K50)))</f>
        <v>1</v>
      </c>
      <c r="AQ50" s="201">
        <f t="array" ref="AQ50">_xlfn.IFS(AND($K50&gt;AP$7,$L50&gt;AP$7),0,AND($K50&lt;=AP$7,$L50&lt;=AP$7),1,AND($K50&lt;=AP$7,$L50&gt;AP$7),((AP$7-$K50)/($L50-$K50)))</f>
        <v>1</v>
      </c>
      <c r="AR50" s="201">
        <f t="array" ref="AR50">_xlfn.IFS(AND($K50&gt;AQ$7,$L50&gt;AQ$7),0,AND($K50&lt;=AQ$7,$L50&lt;=AQ$7),1,AND($K50&lt;=AQ$7,$L50&gt;AQ$7),((AQ$7-$K50)/($L50-$K50)))</f>
        <v>1</v>
      </c>
      <c r="AS50" s="201">
        <f t="array" ref="AS50">_xlfn.IFS(AND($K50&gt;AR$7,$L50&gt;AR$7),0,AND($K50&lt;=AR$7,$L50&lt;=AR$7),1,AND($K50&lt;=AR$7,$L50&gt;AR$7),((AR$7-$K50)/($L50-$K50)))</f>
        <v>1</v>
      </c>
      <c r="AT50" s="201">
        <f t="array" ref="AT50">_xlfn.IFS(AND($K50&gt;AS$7,$L50&gt;AS$7),0,AND($K50&lt;=AS$7,$L50&lt;=AS$7),1,AND($K50&lt;=AS$7,$L50&gt;AS$7),((AS$7-$K50)/($L50-$K50)))</f>
        <v>1</v>
      </c>
      <c r="AU50" s="201">
        <f t="array" ref="AU50">_xlfn.IFS(AND($K50&gt;AT$7,$L50&gt;AT$7),0,AND($K50&lt;=AT$7,$L50&lt;=AT$7),1,AND($K50&lt;=AT$7,$L50&gt;AT$7),((AT$7-$K50)/($L50-$K50)))</f>
        <v>1</v>
      </c>
      <c r="AV50" s="201">
        <f t="array" ref="AV50">_xlfn.IFS(AND($K50&gt;AU$7,$L50&gt;AU$7),0,AND($K50&lt;=AU$7,$L50&lt;=AU$7),1,AND($K50&lt;=AU$7,$L50&gt;AU$7),((AU$7-$K50)/($L50-$K50)))</f>
        <v>1</v>
      </c>
      <c r="AW50" s="201">
        <f t="array" ref="AW50">_xlfn.IFS(AND($K50&gt;AV$7,$L50&gt;AV$7),0,AND($K50&lt;=AV$7,$L50&lt;=AV$7),1,AND($K50&lt;=AV$7,$L50&gt;AV$7),((AV$7-$K50)/($L50-$K50)))</f>
        <v>1</v>
      </c>
      <c r="AX50" s="201">
        <f t="array" ref="AX50">_xlfn.IFS(AND($K50&gt;AW$7,$L50&gt;AW$7),0,AND($K50&lt;=AW$7,$L50&lt;=AW$7),1,AND($K50&lt;=AW$7,$L50&gt;AW$7),((AW$7-$K50)/($L50-$K50)))</f>
        <v>1</v>
      </c>
      <c r="AY50" s="201">
        <f t="array" ref="AY50">_xlfn.IFS(AND($K50&gt;AX$7,$L50&gt;AX$7),0,AND($K50&lt;=AX$7,$L50&lt;=AX$7),1,AND($K50&lt;=AX$7,$L50&gt;AX$7),((AX$7-$K50)/($L50-$K50)))</f>
        <v>1</v>
      </c>
      <c r="AZ50" s="201">
        <f t="array" ref="AZ50">_xlfn.IFS(AND($K50&gt;AY$7,$L50&gt;AY$7),0,AND($K50&lt;=AY$7,$L50&lt;=AY$7),1,AND($K50&lt;=AY$7,$L50&gt;AY$7),((AY$7-$K50)/($L50-$K50)))</f>
        <v>1</v>
      </c>
      <c r="BA50" s="201">
        <f t="array" ref="BA50">_xlfn.IFS(AND($K50&gt;AZ$7,$L50&gt;AZ$7),0,AND($K50&lt;=AZ$7,$L50&lt;=AZ$7),1,AND($K50&lt;=AZ$7,$L50&gt;AZ$7),((AZ$7-$K50)/($L50-$K50)))</f>
        <v>1</v>
      </c>
      <c r="BB50" s="201">
        <f t="array" ref="BB50">_xlfn.IFS(AND($K50&gt;BA$7,$L50&gt;BA$7),0,AND($K50&lt;=BA$7,$L50&lt;=BA$7),1,AND($K50&lt;=BA$7,$L50&gt;BA$7),((BA$7-$K50)/($L50-$K50)))</f>
        <v>1</v>
      </c>
      <c r="BC50" s="201">
        <f t="array" ref="BC50">_xlfn.IFS(AND($K50&gt;BB$7,$L50&gt;BB$7),0,AND($K50&lt;=BB$7,$L50&lt;=BB$7),1,AND($K50&lt;=BB$7,$L50&gt;BB$7),((BB$7-$K50)/($L50-$K50)))</f>
        <v>1</v>
      </c>
      <c r="BD50" s="201">
        <f t="array" ref="BD50">_xlfn.IFS(AND($K50&gt;BC$7,$L50&gt;BC$7),0,AND($K50&lt;=BC$7,$L50&lt;=BC$7),1,AND($K50&lt;=BC$7,$L50&gt;BC$7),((BC$7-$K50)/($L50-$K50)))</f>
        <v>1</v>
      </c>
      <c r="BE50" s="201">
        <f t="array" ref="BE50">_xlfn.IFS(AND($K50&gt;BD$7,$L50&gt;BD$7),0,AND($K50&lt;=BD$7,$L50&lt;=BD$7),1,AND($K50&lt;=BD$7,$L50&gt;BD$7),((BD$7-$K50)/($L50-$K50)))</f>
        <v>1</v>
      </c>
      <c r="BF50" s="201">
        <f t="array" ref="BF50">_xlfn.IFS(AND($K50&gt;BE$7,$L50&gt;BE$7),0,AND($K50&lt;=BE$7,$L50&lt;=BE$7),1,AND($K50&lt;=BE$7,$L50&gt;BE$7),((BE$7-$K50)/($L50-$K50)))</f>
        <v>1</v>
      </c>
      <c r="BG50" s="201">
        <f t="array" ref="BG50">_xlfn.IFS(AND($K50&gt;BF$7,$L50&gt;BF$7),0,AND($K50&lt;=BF$7,$L50&lt;=BF$7),1,AND($K50&lt;=BF$7,$L50&gt;BF$7),((BF$7-$K50)/($L50-$K50)))</f>
        <v>1</v>
      </c>
      <c r="BH50" s="201">
        <f t="array" ref="BH50">_xlfn.IFS(AND($K50&gt;BG$7,$L50&gt;BG$7),0,AND($K50&lt;=BG$7,$L50&lt;=BG$7),1,AND($K50&lt;=BG$7,$L50&gt;BG$7),((BG$7-$K50)/($L50-$K50)))</f>
        <v>1</v>
      </c>
      <c r="BI50" s="201">
        <f t="array" ref="BI50">_xlfn.IFS(AND($K50&gt;BH$7,$L50&gt;BH$7),0,AND($K50&lt;=BH$7,$L50&lt;=BH$7),1,AND($K50&lt;=BH$7,$L50&gt;BH$7),((BH$7-$K50)/($L50-$K50)))</f>
        <v>1</v>
      </c>
      <c r="BJ50" s="201">
        <f t="array" ref="BJ50">_xlfn.IFS(AND($K50&gt;BI$7,$L50&gt;BI$7),0,AND($K50&lt;=BI$7,$L50&lt;=BI$7),1,AND($K50&lt;=BI$7,$L50&gt;BI$7),((BI$7-$K50)/($L50-$K50)))</f>
        <v>1</v>
      </c>
      <c r="BK50" s="201">
        <f t="array" ref="BK50">_xlfn.IFS(AND($K50&gt;BJ$7,$L50&gt;BJ$7),0,AND($K50&lt;=BJ$7,$L50&lt;=BJ$7),1,AND($K50&lt;=BJ$7,$L50&gt;BJ$7),((BJ$7-$K50)/($L50-$K50)))</f>
        <v>1</v>
      </c>
      <c r="BL50" s="201">
        <f t="array" ref="BL50">_xlfn.IFS(AND($K50&gt;BK$7,$L50&gt;BK$7),0,AND($K50&lt;=BK$7,$L50&lt;=BK$7),1,AND($K50&lt;=BK$7,$L50&gt;BK$7),((BK$7-$K50)/($L50-$K50)))</f>
        <v>1</v>
      </c>
      <c r="BM50" s="201">
        <f t="array" ref="BM50">_xlfn.IFS(AND($K50&gt;BL$7,$L50&gt;BL$7),0,AND($K50&lt;=BL$7,$L50&lt;=BL$7),1,AND($K50&lt;=BL$7,$L50&gt;BL$7),((BL$7-$K50)/($L50-$K50)))</f>
        <v>1</v>
      </c>
      <c r="BN50" s="201">
        <f t="array" ref="BN50">_xlfn.IFS(AND($K50&gt;BM$7,$L50&gt;BM$7),0,AND($K50&lt;=BM$7,$L50&lt;=BM$7),1,AND($K50&lt;=BM$7,$L50&gt;BM$7),((BM$7-$K50)/($L50-$K50)))</f>
        <v>1</v>
      </c>
    </row>
    <row r="51" spans="2:66" s="163" customFormat="1" ht="27.6" customHeight="1" collapsed="1" x14ac:dyDescent="0.3">
      <c r="B51" s="166" t="str">
        <f t="array" ref="B51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51" s="166" t="s">
        <v>149</v>
      </c>
      <c r="D51" s="177"/>
      <c r="E51" s="170" t="str">
        <f t="shared" si="30"/>
        <v>Desenvolvimento da Transformação dos Processos</v>
      </c>
      <c r="F51" s="174" t="str">
        <f t="shared" si="33"/>
        <v>Diagnóstico de Maturidade do Processo</v>
      </c>
      <c r="G51" s="166" t="str">
        <f t="shared" si="36"/>
        <v>Diagnóstico de Maturidade do Processo</v>
      </c>
      <c r="H51" s="197" t="s">
        <v>150</v>
      </c>
      <c r="I51" s="166">
        <v>45762</v>
      </c>
      <c r="J51" s="40">
        <v>45765</v>
      </c>
      <c r="K51" s="166">
        <v>45762</v>
      </c>
      <c r="L51" s="40">
        <v>45765</v>
      </c>
      <c r="M51" s="167"/>
      <c r="N51" s="167" t="str">
        <f t="array" ref="N51">_xlfn.IFS(L51&lt;$M$3,"Concluído",AND(K51&gt;=$M$3,I51&lt;$M$3,L51&gt;$M$3),"Em andamento",AND(L51&gt;=$M$3,J51&lt;$M$3),"Atrasado",AND(L51&gt;=$M$3,J51&gt;=$M$3,I51&gt;$M$3,K51&lt;=$M$3),"Em andamento",AND(L51&gt;=$M$3,J51&gt;=$M$3,I51&lt;=$M$3,K51&lt;=$M$3),"Em andamento",AND(K51&gt;$M$3,I51&gt;$M$3),"Não iniciado",AND(L51&gt;=$M$3,J51&gt;=$M$3,K51&gt;=$M$3,I51&lt;$M$3),"Atrasado",AND(L51&gt;=$M$3,J51&gt;=$M$3,K51&gt;=$M$3,I51&gt;$M$3),"Não iniciado",AND($I51&lt;=$M$3,$K51&gt;$M$3),"Atrasado")</f>
        <v>Concluído</v>
      </c>
      <c r="O51" s="167">
        <f t="array" ref="O51">_xlfn.IFS(N51="Não iniciado",0,N51="Em andamento",1,N51="Concluído",2,N51="Atrasado",3)</f>
        <v>2</v>
      </c>
      <c r="P51" s="169"/>
      <c r="Q51" s="152">
        <f t="array" ref="Q51">_xlfn.IFS(AND($I51&lt;$M$3,$J51&lt;$M$3),1,AND($I51&lt;$M$3,$J51&gt;=$M$3),0.5,AND($I51&gt;=$M$3,$J51&gt;=$M$3),0)</f>
        <v>1</v>
      </c>
      <c r="R51" s="152">
        <f t="array" ref="R51">_xlfn.IFS(AND($K51&lt;$M$3,$L51&lt;$M$3),1,AND($K51&lt;=$M$3,$L51&gt;=$M$3),0.5,AND($K51&gt;=$M$3,$L51&gt;=$M$3),0)</f>
        <v>1</v>
      </c>
      <c r="S51" s="201">
        <f t="array" ref="S51">_xlfn.IFS(AND($K51&gt;R$7,$L51&gt;R$7),0,AND($K51&lt;=R$7,$L51&lt;=R$7),1,AND($K51&lt;=R$7,$L51&gt;R$7),((R$7-$K51)/($L51-$K51)))</f>
        <v>0</v>
      </c>
      <c r="T51" s="201">
        <f t="array" ref="T51">_xlfn.IFS(AND($K51&gt;S$7,$L51&gt;S$7),0,AND($K51&lt;=S$7,$L51&lt;=S$7),1,AND($K51&lt;=S$7,$L51&gt;S$7),((S$7-$K51)/($L51-$K51)))</f>
        <v>0</v>
      </c>
      <c r="U51" s="201">
        <f t="array" ref="U51">_xlfn.IFS(AND($K51&gt;T$7,$L51&gt;T$7),0,AND($K51&lt;=T$7,$L51&lt;=T$7),1,AND($K51&lt;=T$7,$L51&gt;T$7),((T$7-$K51)/($L51-$K51)))</f>
        <v>0</v>
      </c>
      <c r="V51" s="201">
        <f t="array" ref="V51">_xlfn.IFS(AND($K51&gt;U$7,$L51&gt;U$7),0,AND($K51&lt;=U$7,$L51&lt;=U$7),1,AND($K51&lt;=U$7,$L51&gt;U$7),((U$7-$K51)/($L51-$K51)))</f>
        <v>0</v>
      </c>
      <c r="W51" s="201">
        <f t="array" ref="W51">_xlfn.IFS(AND($K51&gt;V$7,$L51&gt;V$7),0,AND($K51&lt;=V$7,$L51&lt;=V$7),1,AND($K51&lt;=V$7,$L51&gt;V$7),((V$7-$K51)/($L51-$K51)))</f>
        <v>0</v>
      </c>
      <c r="X51" s="201">
        <f t="array" ref="X51">_xlfn.IFS(AND($K51&gt;W$7,$L51&gt;W$7),0,AND($K51&lt;=W$7,$L51&lt;=W$7),1,AND($K51&lt;=W$7,$L51&gt;W$7),((W$7-$K51)/($L51-$K51)))</f>
        <v>0</v>
      </c>
      <c r="Y51" s="201">
        <f t="array" ref="Y51">_xlfn.IFS(AND($K51&gt;X$7,$L51&gt;X$7),0,AND($K51&lt;=X$7,$L51&lt;=X$7),1,AND($K51&lt;=X$7,$L51&gt;X$7),((X$7-$K51)/($L51-$K51)))</f>
        <v>0</v>
      </c>
      <c r="Z51" s="201">
        <f t="array" ref="Z51">_xlfn.IFS(AND($K51&gt;Y$7,$L51&gt;Y$7),0,AND($K51&lt;=Y$7,$L51&lt;=Y$7),1,AND($K51&lt;=Y$7,$L51&gt;Y$7),((Y$7-$K51)/($L51-$K51)))</f>
        <v>0</v>
      </c>
      <c r="AA51" s="201">
        <f t="array" ref="AA51">_xlfn.IFS(AND($K51&gt;Z$7,$L51&gt;Z$7),0,AND($K51&lt;=Z$7,$L51&lt;=Z$7),1,AND($K51&lt;=Z$7,$L51&gt;Z$7),((Z$7-$K51)/($L51-$K51)))</f>
        <v>0</v>
      </c>
      <c r="AB51" s="201">
        <f t="array" ref="AB51">_xlfn.IFS(AND($K51&gt;AA$7,$L51&gt;AA$7),0,AND($K51&lt;=AA$7,$L51&lt;=AA$7),1,AND($K51&lt;=AA$7,$L51&gt;AA$7),((AA$7-$K51)/($L51-$K51)))</f>
        <v>0</v>
      </c>
      <c r="AC51" s="201">
        <f t="array" ref="AC51">_xlfn.IFS(AND($K51&gt;AB$7,$L51&gt;AB$7),0,AND($K51&lt;=AB$7,$L51&lt;=AB$7),1,AND($K51&lt;=AB$7,$L51&gt;AB$7),((AB$7-$K51)/($L51-$K51)))</f>
        <v>0</v>
      </c>
      <c r="AD51" s="201">
        <f t="array" ref="AD51">_xlfn.IFS(AND($K51&gt;AC$7,$L51&gt;AC$7),0,AND($K51&lt;=AC$7,$L51&lt;=AC$7),1,AND($K51&lt;=AC$7,$L51&gt;AC$7),((AC$7-$K51)/($L51-$K51)))</f>
        <v>1</v>
      </c>
      <c r="AE51" s="201">
        <f t="array" ref="AE51">_xlfn.IFS(AND($K51&gt;AD$7,$L51&gt;AD$7),0,AND($K51&lt;=AD$7,$L51&lt;=AD$7),1,AND($K51&lt;=AD$7,$L51&gt;AD$7),((AD$7-$K51)/($L51-$K51)))</f>
        <v>1</v>
      </c>
      <c r="AF51" s="201">
        <f t="array" ref="AF51">_xlfn.IFS(AND($K51&gt;AE$7,$L51&gt;AE$7),0,AND($K51&lt;=AE$7,$L51&lt;=AE$7),1,AND($K51&lt;=AE$7,$L51&gt;AE$7),((AE$7-$K51)/($L51-$K51)))</f>
        <v>1</v>
      </c>
      <c r="AG51" s="201">
        <f t="array" ref="AG51">_xlfn.IFS(AND($K51&gt;AF$7,$L51&gt;AF$7),0,AND($K51&lt;=AF$7,$L51&lt;=AF$7),1,AND($K51&lt;=AF$7,$L51&gt;AF$7),((AF$7-$K51)/($L51-$K51)))</f>
        <v>1</v>
      </c>
      <c r="AH51" s="201">
        <f t="array" ref="AH51">_xlfn.IFS(AND($K51&gt;AG$7,$L51&gt;AG$7),0,AND($K51&lt;=AG$7,$L51&lt;=AG$7),1,AND($K51&lt;=AG$7,$L51&gt;AG$7),((AG$7-$K51)/($L51-$K51)))</f>
        <v>1</v>
      </c>
      <c r="AI51" s="201">
        <f t="array" ref="AI51">_xlfn.IFS(AND($K51&gt;AH$7,$L51&gt;AH$7),0,AND($K51&lt;=AH$7,$L51&lt;=AH$7),1,AND($K51&lt;=AH$7,$L51&gt;AH$7),((AH$7-$K51)/($L51-$K51)))</f>
        <v>1</v>
      </c>
      <c r="AJ51" s="201">
        <f t="array" ref="AJ51">_xlfn.IFS(AND($K51&gt;AI$7,$L51&gt;AI$7),0,AND($K51&lt;=AI$7,$L51&lt;=AI$7),1,AND($K51&lt;=AI$7,$L51&gt;AI$7),((AI$7-$K51)/($L51-$K51)))</f>
        <v>1</v>
      </c>
      <c r="AK51" s="201">
        <f t="array" ref="AK51">_xlfn.IFS(AND($K51&gt;AJ$7,$L51&gt;AJ$7),0,AND($K51&lt;=AJ$7,$L51&lt;=AJ$7),1,AND($K51&lt;=AJ$7,$L51&gt;AJ$7),((AJ$7-$K51)/($L51-$K51)))</f>
        <v>1</v>
      </c>
      <c r="AL51" s="201">
        <f t="array" ref="AL51">_xlfn.IFS(AND($K51&gt;AK$7,$L51&gt;AK$7),0,AND($K51&lt;=AK$7,$L51&lt;=AK$7),1,AND($K51&lt;=AK$7,$L51&gt;AK$7),((AK$7-$K51)/($L51-$K51)))</f>
        <v>1</v>
      </c>
      <c r="AM51" s="201">
        <f t="array" ref="AM51">_xlfn.IFS(AND($K51&gt;AL$7,$L51&gt;AL$7),0,AND($K51&lt;=AL$7,$L51&lt;=AL$7),1,AND($K51&lt;=AL$7,$L51&gt;AL$7),((AL$7-$K51)/($L51-$K51)))</f>
        <v>1</v>
      </c>
      <c r="AN51" s="201">
        <f t="array" ref="AN51">_xlfn.IFS(AND($K51&gt;AM$7,$L51&gt;AM$7),0,AND($K51&lt;=AM$7,$L51&lt;=AM$7),1,AND($K51&lt;=AM$7,$L51&gt;AM$7),((AM$7-$K51)/($L51-$K51)))</f>
        <v>1</v>
      </c>
      <c r="AO51" s="201">
        <f t="array" ref="AO51">_xlfn.IFS(AND($K51&gt;AN$7,$L51&gt;AN$7),0,AND($K51&lt;=AN$7,$L51&lt;=AN$7),1,AND($K51&lt;=AN$7,$L51&gt;AN$7),((AN$7-$K51)/($L51-$K51)))</f>
        <v>1</v>
      </c>
      <c r="AP51" s="201">
        <f t="array" ref="AP51">_xlfn.IFS(AND($K51&gt;AO$7,$L51&gt;AO$7),0,AND($K51&lt;=AO$7,$L51&lt;=AO$7),1,AND($K51&lt;=AO$7,$L51&gt;AO$7),((AO$7-$K51)/($L51-$K51)))</f>
        <v>1</v>
      </c>
      <c r="AQ51" s="201">
        <f t="array" ref="AQ51">_xlfn.IFS(AND($K51&gt;AP$7,$L51&gt;AP$7),0,AND($K51&lt;=AP$7,$L51&lt;=AP$7),1,AND($K51&lt;=AP$7,$L51&gt;AP$7),((AP$7-$K51)/($L51-$K51)))</f>
        <v>1</v>
      </c>
      <c r="AR51" s="201">
        <f t="array" ref="AR51">_xlfn.IFS(AND($K51&gt;AQ$7,$L51&gt;AQ$7),0,AND($K51&lt;=AQ$7,$L51&lt;=AQ$7),1,AND($K51&lt;=AQ$7,$L51&gt;AQ$7),((AQ$7-$K51)/($L51-$K51)))</f>
        <v>1</v>
      </c>
      <c r="AS51" s="201">
        <f t="array" ref="AS51">_xlfn.IFS(AND($K51&gt;AR$7,$L51&gt;AR$7),0,AND($K51&lt;=AR$7,$L51&lt;=AR$7),1,AND($K51&lt;=AR$7,$L51&gt;AR$7),((AR$7-$K51)/($L51-$K51)))</f>
        <v>1</v>
      </c>
      <c r="AT51" s="201">
        <f t="array" ref="AT51">_xlfn.IFS(AND($K51&gt;AS$7,$L51&gt;AS$7),0,AND($K51&lt;=AS$7,$L51&lt;=AS$7),1,AND($K51&lt;=AS$7,$L51&gt;AS$7),((AS$7-$K51)/($L51-$K51)))</f>
        <v>1</v>
      </c>
      <c r="AU51" s="201">
        <f t="array" ref="AU51">_xlfn.IFS(AND($K51&gt;AT$7,$L51&gt;AT$7),0,AND($K51&lt;=AT$7,$L51&lt;=AT$7),1,AND($K51&lt;=AT$7,$L51&gt;AT$7),((AT$7-$K51)/($L51-$K51)))</f>
        <v>1</v>
      </c>
      <c r="AV51" s="201">
        <f t="array" ref="AV51">_xlfn.IFS(AND($K51&gt;AU$7,$L51&gt;AU$7),0,AND($K51&lt;=AU$7,$L51&lt;=AU$7),1,AND($K51&lt;=AU$7,$L51&gt;AU$7),((AU$7-$K51)/($L51-$K51)))</f>
        <v>1</v>
      </c>
      <c r="AW51" s="201">
        <f t="array" ref="AW51">_xlfn.IFS(AND($K51&gt;AV$7,$L51&gt;AV$7),0,AND($K51&lt;=AV$7,$L51&lt;=AV$7),1,AND($K51&lt;=AV$7,$L51&gt;AV$7),((AV$7-$K51)/($L51-$K51)))</f>
        <v>1</v>
      </c>
      <c r="AX51" s="201">
        <f t="array" ref="AX51">_xlfn.IFS(AND($K51&gt;AW$7,$L51&gt;AW$7),0,AND($K51&lt;=AW$7,$L51&lt;=AW$7),1,AND($K51&lt;=AW$7,$L51&gt;AW$7),((AW$7-$K51)/($L51-$K51)))</f>
        <v>1</v>
      </c>
      <c r="AY51" s="201">
        <f t="array" ref="AY51">_xlfn.IFS(AND($K51&gt;AX$7,$L51&gt;AX$7),0,AND($K51&lt;=AX$7,$L51&lt;=AX$7),1,AND($K51&lt;=AX$7,$L51&gt;AX$7),((AX$7-$K51)/($L51-$K51)))</f>
        <v>1</v>
      </c>
      <c r="AZ51" s="201">
        <f t="array" ref="AZ51">_xlfn.IFS(AND($K51&gt;AY$7,$L51&gt;AY$7),0,AND($K51&lt;=AY$7,$L51&lt;=AY$7),1,AND($K51&lt;=AY$7,$L51&gt;AY$7),((AY$7-$K51)/($L51-$K51)))</f>
        <v>1</v>
      </c>
      <c r="BA51" s="201">
        <f t="array" ref="BA51">_xlfn.IFS(AND($K51&gt;AZ$7,$L51&gt;AZ$7),0,AND($K51&lt;=AZ$7,$L51&lt;=AZ$7),1,AND($K51&lt;=AZ$7,$L51&gt;AZ$7),((AZ$7-$K51)/($L51-$K51)))</f>
        <v>1</v>
      </c>
      <c r="BB51" s="201">
        <f t="array" ref="BB51">_xlfn.IFS(AND($K51&gt;BA$7,$L51&gt;BA$7),0,AND($K51&lt;=BA$7,$L51&lt;=BA$7),1,AND($K51&lt;=BA$7,$L51&gt;BA$7),((BA$7-$K51)/($L51-$K51)))</f>
        <v>1</v>
      </c>
      <c r="BC51" s="201">
        <f t="array" ref="BC51">_xlfn.IFS(AND($K51&gt;BB$7,$L51&gt;BB$7),0,AND($K51&lt;=BB$7,$L51&lt;=BB$7),1,AND($K51&lt;=BB$7,$L51&gt;BB$7),((BB$7-$K51)/($L51-$K51)))</f>
        <v>1</v>
      </c>
      <c r="BD51" s="201">
        <f t="array" ref="BD51">_xlfn.IFS(AND($K51&gt;BC$7,$L51&gt;BC$7),0,AND($K51&lt;=BC$7,$L51&lt;=BC$7),1,AND($K51&lt;=BC$7,$L51&gt;BC$7),((BC$7-$K51)/($L51-$K51)))</f>
        <v>1</v>
      </c>
      <c r="BE51" s="201">
        <f t="array" ref="BE51">_xlfn.IFS(AND($K51&gt;BD$7,$L51&gt;BD$7),0,AND($K51&lt;=BD$7,$L51&lt;=BD$7),1,AND($K51&lt;=BD$7,$L51&gt;BD$7),((BD$7-$K51)/($L51-$K51)))</f>
        <v>1</v>
      </c>
      <c r="BF51" s="201">
        <f t="array" ref="BF51">_xlfn.IFS(AND($K51&gt;BE$7,$L51&gt;BE$7),0,AND($K51&lt;=BE$7,$L51&lt;=BE$7),1,AND($K51&lt;=BE$7,$L51&gt;BE$7),((BE$7-$K51)/($L51-$K51)))</f>
        <v>1</v>
      </c>
      <c r="BG51" s="201">
        <f t="array" ref="BG51">_xlfn.IFS(AND($K51&gt;BF$7,$L51&gt;BF$7),0,AND($K51&lt;=BF$7,$L51&lt;=BF$7),1,AND($K51&lt;=BF$7,$L51&gt;BF$7),((BF$7-$K51)/($L51-$K51)))</f>
        <v>1</v>
      </c>
      <c r="BH51" s="201">
        <f t="array" ref="BH51">_xlfn.IFS(AND($K51&gt;BG$7,$L51&gt;BG$7),0,AND($K51&lt;=BG$7,$L51&lt;=BG$7),1,AND($K51&lt;=BG$7,$L51&gt;BG$7),((BG$7-$K51)/($L51-$K51)))</f>
        <v>1</v>
      </c>
      <c r="BI51" s="201">
        <f t="array" ref="BI51">_xlfn.IFS(AND($K51&gt;BH$7,$L51&gt;BH$7),0,AND($K51&lt;=BH$7,$L51&lt;=BH$7),1,AND($K51&lt;=BH$7,$L51&gt;BH$7),((BH$7-$K51)/($L51-$K51)))</f>
        <v>1</v>
      </c>
      <c r="BJ51" s="201">
        <f t="array" ref="BJ51">_xlfn.IFS(AND($K51&gt;BI$7,$L51&gt;BI$7),0,AND($K51&lt;=BI$7,$L51&lt;=BI$7),1,AND($K51&lt;=BI$7,$L51&gt;BI$7),((BI$7-$K51)/($L51-$K51)))</f>
        <v>1</v>
      </c>
      <c r="BK51" s="201">
        <f t="array" ref="BK51">_xlfn.IFS(AND($K51&gt;BJ$7,$L51&gt;BJ$7),0,AND($K51&lt;=BJ$7,$L51&lt;=BJ$7),1,AND($K51&lt;=BJ$7,$L51&gt;BJ$7),((BJ$7-$K51)/($L51-$K51)))</f>
        <v>1</v>
      </c>
      <c r="BL51" s="201">
        <f t="array" ref="BL51">_xlfn.IFS(AND($K51&gt;BK$7,$L51&gt;BK$7),0,AND($K51&lt;=BK$7,$L51&lt;=BK$7),1,AND($K51&lt;=BK$7,$L51&gt;BK$7),((BK$7-$K51)/($L51-$K51)))</f>
        <v>1</v>
      </c>
      <c r="BM51" s="201">
        <f t="array" ref="BM51">_xlfn.IFS(AND($K51&gt;BL$7,$L51&gt;BL$7),0,AND($K51&lt;=BL$7,$L51&lt;=BL$7),1,AND($K51&lt;=BL$7,$L51&gt;BL$7),((BL$7-$K51)/($L51-$K51)))</f>
        <v>1</v>
      </c>
      <c r="BN51" s="201">
        <f t="array" ref="BN51">_xlfn.IFS(AND($K51&gt;BM$7,$L51&gt;BM$7),0,AND($K51&lt;=BM$7,$L51&lt;=BM$7),1,AND($K51&lt;=BM$7,$L51&gt;BM$7),((BM$7-$K51)/($L51-$K51)))</f>
        <v>1</v>
      </c>
    </row>
    <row r="52" spans="2:66" s="163" customFormat="1" ht="24.6" customHeight="1" collapsed="1" x14ac:dyDescent="0.3">
      <c r="B52" s="166" t="str">
        <f t="array" ref="B52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52" s="166" t="s">
        <v>151</v>
      </c>
      <c r="D52" s="177"/>
      <c r="E52" s="170" t="str">
        <f t="shared" si="30"/>
        <v>Desenvolvimento da Transformação dos Processos</v>
      </c>
      <c r="F52" s="174" t="str">
        <f t="shared" si="33"/>
        <v>Diagnóstico de Maturidade do Processo</v>
      </c>
      <c r="G52" s="166" t="str">
        <f t="shared" si="36"/>
        <v>Diagnóstico de Maturidade do Processo</v>
      </c>
      <c r="H52" s="197" t="s">
        <v>152</v>
      </c>
      <c r="I52" s="166">
        <v>45762</v>
      </c>
      <c r="J52" s="40">
        <v>45765</v>
      </c>
      <c r="K52" s="166">
        <v>45762</v>
      </c>
      <c r="L52" s="40">
        <v>45765</v>
      </c>
      <c r="M52" s="167"/>
      <c r="N52" s="167" t="str">
        <f t="array" ref="N52">_xlfn.IFS(L52&lt;$M$3,"Concluído",AND(K52&gt;=$M$3,I52&lt;$M$3,L52&gt;$M$3),"Em andamento",AND(L52&gt;=$M$3,J52&lt;$M$3),"Atrasado",AND(L52&gt;=$M$3,J52&gt;=$M$3,I52&gt;$M$3,K52&lt;=$M$3),"Em andamento",AND(L52&gt;=$M$3,J52&gt;=$M$3,I52&lt;=$M$3,K52&lt;=$M$3),"Em andamento",AND(K52&gt;$M$3,I52&gt;$M$3),"Não iniciado",AND(L52&gt;=$M$3,J52&gt;=$M$3,K52&gt;=$M$3,I52&lt;$M$3),"Atrasado",AND(L52&gt;=$M$3,J52&gt;=$M$3,K52&gt;=$M$3,I52&gt;$M$3),"Não iniciado",AND($I52&lt;=$M$3,$K52&gt;$M$3),"Atrasado")</f>
        <v>Concluído</v>
      </c>
      <c r="O52" s="167">
        <f t="array" ref="O52">_xlfn.IFS(N52="Não iniciado",0,N52="Em andamento",1,N52="Concluído",2,N52="Atrasado",3)</f>
        <v>2</v>
      </c>
      <c r="P52" s="169"/>
      <c r="Q52" s="152">
        <f t="array" ref="Q52">_xlfn.IFS(AND($I52&lt;$M$3,$J52&lt;$M$3),1,AND($I52&lt;$M$3,$J52&gt;=$M$3),0.5,AND($I52&gt;=$M$3,$J52&gt;=$M$3),0)</f>
        <v>1</v>
      </c>
      <c r="R52" s="152">
        <f t="array" ref="R52">_xlfn.IFS(AND($K52&lt;$M$3,$L52&lt;$M$3),1,AND($K52&lt;=$M$3,$L52&gt;=$M$3),0.5,AND($K52&gt;=$M$3,$L52&gt;=$M$3),0)</f>
        <v>1</v>
      </c>
      <c r="S52" s="201">
        <f t="array" ref="S52">_xlfn.IFS(AND($K52&gt;R$7,$L52&gt;R$7),0,AND($K52&lt;=R$7,$L52&lt;=R$7),1,AND($K52&lt;=R$7,$L52&gt;R$7),((R$7-$K52)/($L52-$K52)))</f>
        <v>0</v>
      </c>
      <c r="T52" s="201">
        <f t="array" ref="T52">_xlfn.IFS(AND($K52&gt;S$7,$L52&gt;S$7),0,AND($K52&lt;=S$7,$L52&lt;=S$7),1,AND($K52&lt;=S$7,$L52&gt;S$7),((S$7-$K52)/($L52-$K52)))</f>
        <v>0</v>
      </c>
      <c r="U52" s="201">
        <f t="array" ref="U52">_xlfn.IFS(AND($K52&gt;T$7,$L52&gt;T$7),0,AND($K52&lt;=T$7,$L52&lt;=T$7),1,AND($K52&lt;=T$7,$L52&gt;T$7),((T$7-$K52)/($L52-$K52)))</f>
        <v>0</v>
      </c>
      <c r="V52" s="201">
        <f t="array" ref="V52">_xlfn.IFS(AND($K52&gt;U$7,$L52&gt;U$7),0,AND($K52&lt;=U$7,$L52&lt;=U$7),1,AND($K52&lt;=U$7,$L52&gt;U$7),((U$7-$K52)/($L52-$K52)))</f>
        <v>0</v>
      </c>
      <c r="W52" s="201">
        <f t="array" ref="W52">_xlfn.IFS(AND($K52&gt;V$7,$L52&gt;V$7),0,AND($K52&lt;=V$7,$L52&lt;=V$7),1,AND($K52&lt;=V$7,$L52&gt;V$7),((V$7-$K52)/($L52-$K52)))</f>
        <v>0</v>
      </c>
      <c r="X52" s="201">
        <f t="array" ref="X52">_xlfn.IFS(AND($K52&gt;W$7,$L52&gt;W$7),0,AND($K52&lt;=W$7,$L52&lt;=W$7),1,AND($K52&lt;=W$7,$L52&gt;W$7),((W$7-$K52)/($L52-$K52)))</f>
        <v>0</v>
      </c>
      <c r="Y52" s="201">
        <f t="array" ref="Y52">_xlfn.IFS(AND($K52&gt;X$7,$L52&gt;X$7),0,AND($K52&lt;=X$7,$L52&lt;=X$7),1,AND($K52&lt;=X$7,$L52&gt;X$7),((X$7-$K52)/($L52-$K52)))</f>
        <v>0</v>
      </c>
      <c r="Z52" s="201">
        <f t="array" ref="Z52">_xlfn.IFS(AND($K52&gt;Y$7,$L52&gt;Y$7),0,AND($K52&lt;=Y$7,$L52&lt;=Y$7),1,AND($K52&lt;=Y$7,$L52&gt;Y$7),((Y$7-$K52)/($L52-$K52)))</f>
        <v>0</v>
      </c>
      <c r="AA52" s="201">
        <f t="array" ref="AA52">_xlfn.IFS(AND($K52&gt;Z$7,$L52&gt;Z$7),0,AND($K52&lt;=Z$7,$L52&lt;=Z$7),1,AND($K52&lt;=Z$7,$L52&gt;Z$7),((Z$7-$K52)/($L52-$K52)))</f>
        <v>0</v>
      </c>
      <c r="AB52" s="201">
        <f t="array" ref="AB52">_xlfn.IFS(AND($K52&gt;AA$7,$L52&gt;AA$7),0,AND($K52&lt;=AA$7,$L52&lt;=AA$7),1,AND($K52&lt;=AA$7,$L52&gt;AA$7),((AA$7-$K52)/($L52-$K52)))</f>
        <v>0</v>
      </c>
      <c r="AC52" s="201">
        <f t="array" ref="AC52">_xlfn.IFS(AND($K52&gt;AB$7,$L52&gt;AB$7),0,AND($K52&lt;=AB$7,$L52&lt;=AB$7),1,AND($K52&lt;=AB$7,$L52&gt;AB$7),((AB$7-$K52)/($L52-$K52)))</f>
        <v>0</v>
      </c>
      <c r="AD52" s="201">
        <f t="array" ref="AD52">_xlfn.IFS(AND($K52&gt;AC$7,$L52&gt;AC$7),0,AND($K52&lt;=AC$7,$L52&lt;=AC$7),1,AND($K52&lt;=AC$7,$L52&gt;AC$7),((AC$7-$K52)/($L52-$K52)))</f>
        <v>1</v>
      </c>
      <c r="AE52" s="201">
        <f t="array" ref="AE52">_xlfn.IFS(AND($K52&gt;AD$7,$L52&gt;AD$7),0,AND($K52&lt;=AD$7,$L52&lt;=AD$7),1,AND($K52&lt;=AD$7,$L52&gt;AD$7),((AD$7-$K52)/($L52-$K52)))</f>
        <v>1</v>
      </c>
      <c r="AF52" s="201">
        <f t="array" ref="AF52">_xlfn.IFS(AND($K52&gt;AE$7,$L52&gt;AE$7),0,AND($K52&lt;=AE$7,$L52&lt;=AE$7),1,AND($K52&lt;=AE$7,$L52&gt;AE$7),((AE$7-$K52)/($L52-$K52)))</f>
        <v>1</v>
      </c>
      <c r="AG52" s="201">
        <f t="array" ref="AG52">_xlfn.IFS(AND($K52&gt;AF$7,$L52&gt;AF$7),0,AND($K52&lt;=AF$7,$L52&lt;=AF$7),1,AND($K52&lt;=AF$7,$L52&gt;AF$7),((AF$7-$K52)/($L52-$K52)))</f>
        <v>1</v>
      </c>
      <c r="AH52" s="201">
        <f t="array" ref="AH52">_xlfn.IFS(AND($K52&gt;AG$7,$L52&gt;AG$7),0,AND($K52&lt;=AG$7,$L52&lt;=AG$7),1,AND($K52&lt;=AG$7,$L52&gt;AG$7),((AG$7-$K52)/($L52-$K52)))</f>
        <v>1</v>
      </c>
      <c r="AI52" s="201">
        <f t="array" ref="AI52">_xlfn.IFS(AND($K52&gt;AH$7,$L52&gt;AH$7),0,AND($K52&lt;=AH$7,$L52&lt;=AH$7),1,AND($K52&lt;=AH$7,$L52&gt;AH$7),((AH$7-$K52)/($L52-$K52)))</f>
        <v>1</v>
      </c>
      <c r="AJ52" s="201">
        <f t="array" ref="AJ52">_xlfn.IFS(AND($K52&gt;AI$7,$L52&gt;AI$7),0,AND($K52&lt;=AI$7,$L52&lt;=AI$7),1,AND($K52&lt;=AI$7,$L52&gt;AI$7),((AI$7-$K52)/($L52-$K52)))</f>
        <v>1</v>
      </c>
      <c r="AK52" s="201">
        <f t="array" ref="AK52">_xlfn.IFS(AND($K52&gt;AJ$7,$L52&gt;AJ$7),0,AND($K52&lt;=AJ$7,$L52&lt;=AJ$7),1,AND($K52&lt;=AJ$7,$L52&gt;AJ$7),((AJ$7-$K52)/($L52-$K52)))</f>
        <v>1</v>
      </c>
      <c r="AL52" s="201">
        <f t="array" ref="AL52">_xlfn.IFS(AND($K52&gt;AK$7,$L52&gt;AK$7),0,AND($K52&lt;=AK$7,$L52&lt;=AK$7),1,AND($K52&lt;=AK$7,$L52&gt;AK$7),((AK$7-$K52)/($L52-$K52)))</f>
        <v>1</v>
      </c>
      <c r="AM52" s="201">
        <f t="array" ref="AM52">_xlfn.IFS(AND($K52&gt;AL$7,$L52&gt;AL$7),0,AND($K52&lt;=AL$7,$L52&lt;=AL$7),1,AND($K52&lt;=AL$7,$L52&gt;AL$7),((AL$7-$K52)/($L52-$K52)))</f>
        <v>1</v>
      </c>
      <c r="AN52" s="201">
        <f t="array" ref="AN52">_xlfn.IFS(AND($K52&gt;AM$7,$L52&gt;AM$7),0,AND($K52&lt;=AM$7,$L52&lt;=AM$7),1,AND($K52&lt;=AM$7,$L52&gt;AM$7),((AM$7-$K52)/($L52-$K52)))</f>
        <v>1</v>
      </c>
      <c r="AO52" s="201">
        <f t="array" ref="AO52">_xlfn.IFS(AND($K52&gt;AN$7,$L52&gt;AN$7),0,AND($K52&lt;=AN$7,$L52&lt;=AN$7),1,AND($K52&lt;=AN$7,$L52&gt;AN$7),((AN$7-$K52)/($L52-$K52)))</f>
        <v>1</v>
      </c>
      <c r="AP52" s="201">
        <f t="array" ref="AP52">_xlfn.IFS(AND($K52&gt;AO$7,$L52&gt;AO$7),0,AND($K52&lt;=AO$7,$L52&lt;=AO$7),1,AND($K52&lt;=AO$7,$L52&gt;AO$7),((AO$7-$K52)/($L52-$K52)))</f>
        <v>1</v>
      </c>
      <c r="AQ52" s="201">
        <f t="array" ref="AQ52">_xlfn.IFS(AND($K52&gt;AP$7,$L52&gt;AP$7),0,AND($K52&lt;=AP$7,$L52&lt;=AP$7),1,AND($K52&lt;=AP$7,$L52&gt;AP$7),((AP$7-$K52)/($L52-$K52)))</f>
        <v>1</v>
      </c>
      <c r="AR52" s="201">
        <f t="array" ref="AR52">_xlfn.IFS(AND($K52&gt;AQ$7,$L52&gt;AQ$7),0,AND($K52&lt;=AQ$7,$L52&lt;=AQ$7),1,AND($K52&lt;=AQ$7,$L52&gt;AQ$7),((AQ$7-$K52)/($L52-$K52)))</f>
        <v>1</v>
      </c>
      <c r="AS52" s="201">
        <f t="array" ref="AS52">_xlfn.IFS(AND($K52&gt;AR$7,$L52&gt;AR$7),0,AND($K52&lt;=AR$7,$L52&lt;=AR$7),1,AND($K52&lt;=AR$7,$L52&gt;AR$7),((AR$7-$K52)/($L52-$K52)))</f>
        <v>1</v>
      </c>
      <c r="AT52" s="201">
        <f t="array" ref="AT52">_xlfn.IFS(AND($K52&gt;AS$7,$L52&gt;AS$7),0,AND($K52&lt;=AS$7,$L52&lt;=AS$7),1,AND($K52&lt;=AS$7,$L52&gt;AS$7),((AS$7-$K52)/($L52-$K52)))</f>
        <v>1</v>
      </c>
      <c r="AU52" s="201">
        <f t="array" ref="AU52">_xlfn.IFS(AND($K52&gt;AT$7,$L52&gt;AT$7),0,AND($K52&lt;=AT$7,$L52&lt;=AT$7),1,AND($K52&lt;=AT$7,$L52&gt;AT$7),((AT$7-$K52)/($L52-$K52)))</f>
        <v>1</v>
      </c>
      <c r="AV52" s="201">
        <f t="array" ref="AV52">_xlfn.IFS(AND($K52&gt;AU$7,$L52&gt;AU$7),0,AND($K52&lt;=AU$7,$L52&lt;=AU$7),1,AND($K52&lt;=AU$7,$L52&gt;AU$7),((AU$7-$K52)/($L52-$K52)))</f>
        <v>1</v>
      </c>
      <c r="AW52" s="201">
        <f t="array" ref="AW52">_xlfn.IFS(AND($K52&gt;AV$7,$L52&gt;AV$7),0,AND($K52&lt;=AV$7,$L52&lt;=AV$7),1,AND($K52&lt;=AV$7,$L52&gt;AV$7),((AV$7-$K52)/($L52-$K52)))</f>
        <v>1</v>
      </c>
      <c r="AX52" s="201">
        <f t="array" ref="AX52">_xlfn.IFS(AND($K52&gt;AW$7,$L52&gt;AW$7),0,AND($K52&lt;=AW$7,$L52&lt;=AW$7),1,AND($K52&lt;=AW$7,$L52&gt;AW$7),((AW$7-$K52)/($L52-$K52)))</f>
        <v>1</v>
      </c>
      <c r="AY52" s="201">
        <f t="array" ref="AY52">_xlfn.IFS(AND($K52&gt;AX$7,$L52&gt;AX$7),0,AND($K52&lt;=AX$7,$L52&lt;=AX$7),1,AND($K52&lt;=AX$7,$L52&gt;AX$7),((AX$7-$K52)/($L52-$K52)))</f>
        <v>1</v>
      </c>
      <c r="AZ52" s="201">
        <f t="array" ref="AZ52">_xlfn.IFS(AND($K52&gt;AY$7,$L52&gt;AY$7),0,AND($K52&lt;=AY$7,$L52&lt;=AY$7),1,AND($K52&lt;=AY$7,$L52&gt;AY$7),((AY$7-$K52)/($L52-$K52)))</f>
        <v>1</v>
      </c>
      <c r="BA52" s="201">
        <f t="array" ref="BA52">_xlfn.IFS(AND($K52&gt;AZ$7,$L52&gt;AZ$7),0,AND($K52&lt;=AZ$7,$L52&lt;=AZ$7),1,AND($K52&lt;=AZ$7,$L52&gt;AZ$7),((AZ$7-$K52)/($L52-$K52)))</f>
        <v>1</v>
      </c>
      <c r="BB52" s="201">
        <f t="array" ref="BB52">_xlfn.IFS(AND($K52&gt;BA$7,$L52&gt;BA$7),0,AND($K52&lt;=BA$7,$L52&lt;=BA$7),1,AND($K52&lt;=BA$7,$L52&gt;BA$7),((BA$7-$K52)/($L52-$K52)))</f>
        <v>1</v>
      </c>
      <c r="BC52" s="201">
        <f t="array" ref="BC52">_xlfn.IFS(AND($K52&gt;BB$7,$L52&gt;BB$7),0,AND($K52&lt;=BB$7,$L52&lt;=BB$7),1,AND($K52&lt;=BB$7,$L52&gt;BB$7),((BB$7-$K52)/($L52-$K52)))</f>
        <v>1</v>
      </c>
      <c r="BD52" s="201">
        <f t="array" ref="BD52">_xlfn.IFS(AND($K52&gt;BC$7,$L52&gt;BC$7),0,AND($K52&lt;=BC$7,$L52&lt;=BC$7),1,AND($K52&lt;=BC$7,$L52&gt;BC$7),((BC$7-$K52)/($L52-$K52)))</f>
        <v>1</v>
      </c>
      <c r="BE52" s="201">
        <f t="array" ref="BE52">_xlfn.IFS(AND($K52&gt;BD$7,$L52&gt;BD$7),0,AND($K52&lt;=BD$7,$L52&lt;=BD$7),1,AND($K52&lt;=BD$7,$L52&gt;BD$7),((BD$7-$K52)/($L52-$K52)))</f>
        <v>1</v>
      </c>
      <c r="BF52" s="201">
        <f t="array" ref="BF52">_xlfn.IFS(AND($K52&gt;BE$7,$L52&gt;BE$7),0,AND($K52&lt;=BE$7,$L52&lt;=BE$7),1,AND($K52&lt;=BE$7,$L52&gt;BE$7),((BE$7-$K52)/($L52-$K52)))</f>
        <v>1</v>
      </c>
      <c r="BG52" s="201">
        <f t="array" ref="BG52">_xlfn.IFS(AND($K52&gt;BF$7,$L52&gt;BF$7),0,AND($K52&lt;=BF$7,$L52&lt;=BF$7),1,AND($K52&lt;=BF$7,$L52&gt;BF$7),((BF$7-$K52)/($L52-$K52)))</f>
        <v>1</v>
      </c>
      <c r="BH52" s="201">
        <f t="array" ref="BH52">_xlfn.IFS(AND($K52&gt;BG$7,$L52&gt;BG$7),0,AND($K52&lt;=BG$7,$L52&lt;=BG$7),1,AND($K52&lt;=BG$7,$L52&gt;BG$7),((BG$7-$K52)/($L52-$K52)))</f>
        <v>1</v>
      </c>
      <c r="BI52" s="201">
        <f t="array" ref="BI52">_xlfn.IFS(AND($K52&gt;BH$7,$L52&gt;BH$7),0,AND($K52&lt;=BH$7,$L52&lt;=BH$7),1,AND($K52&lt;=BH$7,$L52&gt;BH$7),((BH$7-$K52)/($L52-$K52)))</f>
        <v>1</v>
      </c>
      <c r="BJ52" s="201">
        <f t="array" ref="BJ52">_xlfn.IFS(AND($K52&gt;BI$7,$L52&gt;BI$7),0,AND($K52&lt;=BI$7,$L52&lt;=BI$7),1,AND($K52&lt;=BI$7,$L52&gt;BI$7),((BI$7-$K52)/($L52-$K52)))</f>
        <v>1</v>
      </c>
      <c r="BK52" s="201">
        <f t="array" ref="BK52">_xlfn.IFS(AND($K52&gt;BJ$7,$L52&gt;BJ$7),0,AND($K52&lt;=BJ$7,$L52&lt;=BJ$7),1,AND($K52&lt;=BJ$7,$L52&gt;BJ$7),((BJ$7-$K52)/($L52-$K52)))</f>
        <v>1</v>
      </c>
      <c r="BL52" s="201">
        <f t="array" ref="BL52">_xlfn.IFS(AND($K52&gt;BK$7,$L52&gt;BK$7),0,AND($K52&lt;=BK$7,$L52&lt;=BK$7),1,AND($K52&lt;=BK$7,$L52&gt;BK$7),((BK$7-$K52)/($L52-$K52)))</f>
        <v>1</v>
      </c>
      <c r="BM52" s="201">
        <f t="array" ref="BM52">_xlfn.IFS(AND($K52&gt;BL$7,$L52&gt;BL$7),0,AND($K52&lt;=BL$7,$L52&lt;=BL$7),1,AND($K52&lt;=BL$7,$L52&gt;BL$7),((BL$7-$K52)/($L52-$K52)))</f>
        <v>1</v>
      </c>
      <c r="BN52" s="201">
        <f t="array" ref="BN52">_xlfn.IFS(AND($K52&gt;BM$7,$L52&gt;BM$7),0,AND($K52&lt;=BM$7,$L52&lt;=BM$7),1,AND($K52&lt;=BM$7,$L52&gt;BM$7),((BM$7-$K52)/($L52-$K52)))</f>
        <v>1</v>
      </c>
    </row>
    <row r="53" spans="2:66" s="163" customFormat="1" ht="23.55" customHeight="1" collapsed="1" x14ac:dyDescent="0.3">
      <c r="B53" s="166" t="str">
        <f t="array" ref="B53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53" s="166" t="s">
        <v>153</v>
      </c>
      <c r="D53" s="177"/>
      <c r="E53" s="170" t="str">
        <f t="shared" si="30"/>
        <v>Desenvolvimento da Transformação dos Processos</v>
      </c>
      <c r="F53" s="174" t="str">
        <f t="shared" si="33"/>
        <v>Diagnóstico de Maturidade do Processo</v>
      </c>
      <c r="G53" s="166" t="str">
        <f t="shared" si="36"/>
        <v>Diagnóstico de Maturidade do Processo</v>
      </c>
      <c r="H53" s="197" t="s">
        <v>154</v>
      </c>
      <c r="I53" s="166">
        <v>45762</v>
      </c>
      <c r="J53" s="40">
        <v>45765</v>
      </c>
      <c r="K53" s="166">
        <v>45762</v>
      </c>
      <c r="L53" s="40">
        <v>45765</v>
      </c>
      <c r="M53" s="167"/>
      <c r="N53" s="167" t="str">
        <f t="array" ref="N53">_xlfn.IFS(L53&lt;$M$3,"Concluído",AND(K53&gt;=$M$3,I53&lt;$M$3,L53&gt;$M$3),"Em andamento",AND(L53&gt;=$M$3,J53&lt;$M$3),"Atrasado",AND(L53&gt;=$M$3,J53&gt;=$M$3,I53&gt;$M$3,K53&lt;=$M$3),"Em andamento",AND(L53&gt;=$M$3,J53&gt;=$M$3,I53&lt;=$M$3,K53&lt;=$M$3),"Em andamento",AND(K53&gt;$M$3,I53&gt;$M$3),"Não iniciado",AND(L53&gt;=$M$3,J53&gt;=$M$3,K53&gt;=$M$3,I53&lt;$M$3),"Atrasado",AND(L53&gt;=$M$3,J53&gt;=$M$3,K53&gt;=$M$3,I53&gt;$M$3),"Não iniciado",AND($I53&lt;=$M$3,$K53&gt;$M$3),"Atrasado")</f>
        <v>Concluído</v>
      </c>
      <c r="O53" s="167">
        <f t="array" ref="O53">_xlfn.IFS(N53="Não iniciado",0,N53="Em andamento",1,N53="Concluído",2,N53="Atrasado",3)</f>
        <v>2</v>
      </c>
      <c r="P53" s="169"/>
      <c r="Q53" s="152">
        <f t="array" ref="Q53">_xlfn.IFS(AND($I53&lt;$M$3,$J53&lt;$M$3),1,AND($I53&lt;$M$3,$J53&gt;=$M$3),0.5,AND($I53&gt;=$M$3,$J53&gt;=$M$3),0)</f>
        <v>1</v>
      </c>
      <c r="R53" s="152">
        <f t="array" ref="R53">_xlfn.IFS(AND($K53&lt;$M$3,$L53&lt;$M$3),1,AND($K53&lt;=$M$3,$L53&gt;=$M$3),0.5,AND($K53&gt;=$M$3,$L53&gt;=$M$3),0)</f>
        <v>1</v>
      </c>
      <c r="S53" s="201">
        <f t="array" ref="S53">_xlfn.IFS(AND($K53&gt;R$7,$L53&gt;R$7),0,AND($K53&lt;=R$7,$L53&lt;=R$7),1,AND($K53&lt;=R$7,$L53&gt;R$7),((R$7-$K53)/($L53-$K53)))</f>
        <v>0</v>
      </c>
      <c r="T53" s="201">
        <f t="array" ref="T53">_xlfn.IFS(AND($K53&gt;S$7,$L53&gt;S$7),0,AND($K53&lt;=S$7,$L53&lt;=S$7),1,AND($K53&lt;=S$7,$L53&gt;S$7),((S$7-$K53)/($L53-$K53)))</f>
        <v>0</v>
      </c>
      <c r="U53" s="201">
        <f t="array" ref="U53">_xlfn.IFS(AND($K53&gt;T$7,$L53&gt;T$7),0,AND($K53&lt;=T$7,$L53&lt;=T$7),1,AND($K53&lt;=T$7,$L53&gt;T$7),((T$7-$K53)/($L53-$K53)))</f>
        <v>0</v>
      </c>
      <c r="V53" s="201">
        <f t="array" ref="V53">_xlfn.IFS(AND($K53&gt;U$7,$L53&gt;U$7),0,AND($K53&lt;=U$7,$L53&lt;=U$7),1,AND($K53&lt;=U$7,$L53&gt;U$7),((U$7-$K53)/($L53-$K53)))</f>
        <v>0</v>
      </c>
      <c r="W53" s="201">
        <f t="array" ref="W53">_xlfn.IFS(AND($K53&gt;V$7,$L53&gt;V$7),0,AND($K53&lt;=V$7,$L53&lt;=V$7),1,AND($K53&lt;=V$7,$L53&gt;V$7),((V$7-$K53)/($L53-$K53)))</f>
        <v>0</v>
      </c>
      <c r="X53" s="201">
        <f t="array" ref="X53">_xlfn.IFS(AND($K53&gt;W$7,$L53&gt;W$7),0,AND($K53&lt;=W$7,$L53&lt;=W$7),1,AND($K53&lt;=W$7,$L53&gt;W$7),((W$7-$K53)/($L53-$K53)))</f>
        <v>0</v>
      </c>
      <c r="Y53" s="201">
        <f t="array" ref="Y53">_xlfn.IFS(AND($K53&gt;X$7,$L53&gt;X$7),0,AND($K53&lt;=X$7,$L53&lt;=X$7),1,AND($K53&lt;=X$7,$L53&gt;X$7),((X$7-$K53)/($L53-$K53)))</f>
        <v>0</v>
      </c>
      <c r="Z53" s="201">
        <f t="array" ref="Z53">_xlfn.IFS(AND($K53&gt;Y$7,$L53&gt;Y$7),0,AND($K53&lt;=Y$7,$L53&lt;=Y$7),1,AND($K53&lt;=Y$7,$L53&gt;Y$7),((Y$7-$K53)/($L53-$K53)))</f>
        <v>0</v>
      </c>
      <c r="AA53" s="201">
        <f t="array" ref="AA53">_xlfn.IFS(AND($K53&gt;Z$7,$L53&gt;Z$7),0,AND($K53&lt;=Z$7,$L53&lt;=Z$7),1,AND($K53&lt;=Z$7,$L53&gt;Z$7),((Z$7-$K53)/($L53-$K53)))</f>
        <v>0</v>
      </c>
      <c r="AB53" s="201">
        <f t="array" ref="AB53">_xlfn.IFS(AND($K53&gt;AA$7,$L53&gt;AA$7),0,AND($K53&lt;=AA$7,$L53&lt;=AA$7),1,AND($K53&lt;=AA$7,$L53&gt;AA$7),((AA$7-$K53)/($L53-$K53)))</f>
        <v>0</v>
      </c>
      <c r="AC53" s="201">
        <f t="array" ref="AC53">_xlfn.IFS(AND($K53&gt;AB$7,$L53&gt;AB$7),0,AND($K53&lt;=AB$7,$L53&lt;=AB$7),1,AND($K53&lt;=AB$7,$L53&gt;AB$7),((AB$7-$K53)/($L53-$K53)))</f>
        <v>0</v>
      </c>
      <c r="AD53" s="201">
        <f t="array" ref="AD53">_xlfn.IFS(AND($K53&gt;AC$7,$L53&gt;AC$7),0,AND($K53&lt;=AC$7,$L53&lt;=AC$7),1,AND($K53&lt;=AC$7,$L53&gt;AC$7),((AC$7-$K53)/($L53-$K53)))</f>
        <v>1</v>
      </c>
      <c r="AE53" s="201">
        <f t="array" ref="AE53">_xlfn.IFS(AND($K53&gt;AD$7,$L53&gt;AD$7),0,AND($K53&lt;=AD$7,$L53&lt;=AD$7),1,AND($K53&lt;=AD$7,$L53&gt;AD$7),((AD$7-$K53)/($L53-$K53)))</f>
        <v>1</v>
      </c>
      <c r="AF53" s="201">
        <f t="array" ref="AF53">_xlfn.IFS(AND($K53&gt;AE$7,$L53&gt;AE$7),0,AND($K53&lt;=AE$7,$L53&lt;=AE$7),1,AND($K53&lt;=AE$7,$L53&gt;AE$7),((AE$7-$K53)/($L53-$K53)))</f>
        <v>1</v>
      </c>
      <c r="AG53" s="201">
        <f t="array" ref="AG53">_xlfn.IFS(AND($K53&gt;AF$7,$L53&gt;AF$7),0,AND($K53&lt;=AF$7,$L53&lt;=AF$7),1,AND($K53&lt;=AF$7,$L53&gt;AF$7),((AF$7-$K53)/($L53-$K53)))</f>
        <v>1</v>
      </c>
      <c r="AH53" s="201">
        <f t="array" ref="AH53">_xlfn.IFS(AND($K53&gt;AG$7,$L53&gt;AG$7),0,AND($K53&lt;=AG$7,$L53&lt;=AG$7),1,AND($K53&lt;=AG$7,$L53&gt;AG$7),((AG$7-$K53)/($L53-$K53)))</f>
        <v>1</v>
      </c>
      <c r="AI53" s="201">
        <f t="array" ref="AI53">_xlfn.IFS(AND($K53&gt;AH$7,$L53&gt;AH$7),0,AND($K53&lt;=AH$7,$L53&lt;=AH$7),1,AND($K53&lt;=AH$7,$L53&gt;AH$7),((AH$7-$K53)/($L53-$K53)))</f>
        <v>1</v>
      </c>
      <c r="AJ53" s="201">
        <f t="array" ref="AJ53">_xlfn.IFS(AND($K53&gt;AI$7,$L53&gt;AI$7),0,AND($K53&lt;=AI$7,$L53&lt;=AI$7),1,AND($K53&lt;=AI$7,$L53&gt;AI$7),((AI$7-$K53)/($L53-$K53)))</f>
        <v>1</v>
      </c>
      <c r="AK53" s="201">
        <f t="array" ref="AK53">_xlfn.IFS(AND($K53&gt;AJ$7,$L53&gt;AJ$7),0,AND($K53&lt;=AJ$7,$L53&lt;=AJ$7),1,AND($K53&lt;=AJ$7,$L53&gt;AJ$7),((AJ$7-$K53)/($L53-$K53)))</f>
        <v>1</v>
      </c>
      <c r="AL53" s="201">
        <f t="array" ref="AL53">_xlfn.IFS(AND($K53&gt;AK$7,$L53&gt;AK$7),0,AND($K53&lt;=AK$7,$L53&lt;=AK$7),1,AND($K53&lt;=AK$7,$L53&gt;AK$7),((AK$7-$K53)/($L53-$K53)))</f>
        <v>1</v>
      </c>
      <c r="AM53" s="201">
        <f t="array" ref="AM53">_xlfn.IFS(AND($K53&gt;AL$7,$L53&gt;AL$7),0,AND($K53&lt;=AL$7,$L53&lt;=AL$7),1,AND($K53&lt;=AL$7,$L53&gt;AL$7),((AL$7-$K53)/($L53-$K53)))</f>
        <v>1</v>
      </c>
      <c r="AN53" s="201">
        <f t="array" ref="AN53">_xlfn.IFS(AND($K53&gt;AM$7,$L53&gt;AM$7),0,AND($K53&lt;=AM$7,$L53&lt;=AM$7),1,AND($K53&lt;=AM$7,$L53&gt;AM$7),((AM$7-$K53)/($L53-$K53)))</f>
        <v>1</v>
      </c>
      <c r="AO53" s="201">
        <f t="array" ref="AO53">_xlfn.IFS(AND($K53&gt;AN$7,$L53&gt;AN$7),0,AND($K53&lt;=AN$7,$L53&lt;=AN$7),1,AND($K53&lt;=AN$7,$L53&gt;AN$7),((AN$7-$K53)/($L53-$K53)))</f>
        <v>1</v>
      </c>
      <c r="AP53" s="201">
        <f t="array" ref="AP53">_xlfn.IFS(AND($K53&gt;AO$7,$L53&gt;AO$7),0,AND($K53&lt;=AO$7,$L53&lt;=AO$7),1,AND($K53&lt;=AO$7,$L53&gt;AO$7),((AO$7-$K53)/($L53-$K53)))</f>
        <v>1</v>
      </c>
      <c r="AQ53" s="201">
        <f t="array" ref="AQ53">_xlfn.IFS(AND($K53&gt;AP$7,$L53&gt;AP$7),0,AND($K53&lt;=AP$7,$L53&lt;=AP$7),1,AND($K53&lt;=AP$7,$L53&gt;AP$7),((AP$7-$K53)/($L53-$K53)))</f>
        <v>1</v>
      </c>
      <c r="AR53" s="201">
        <f t="array" ref="AR53">_xlfn.IFS(AND($K53&gt;AQ$7,$L53&gt;AQ$7),0,AND($K53&lt;=AQ$7,$L53&lt;=AQ$7),1,AND($K53&lt;=AQ$7,$L53&gt;AQ$7),((AQ$7-$K53)/($L53-$K53)))</f>
        <v>1</v>
      </c>
      <c r="AS53" s="201">
        <f t="array" ref="AS53">_xlfn.IFS(AND($K53&gt;AR$7,$L53&gt;AR$7),0,AND($K53&lt;=AR$7,$L53&lt;=AR$7),1,AND($K53&lt;=AR$7,$L53&gt;AR$7),((AR$7-$K53)/($L53-$K53)))</f>
        <v>1</v>
      </c>
      <c r="AT53" s="201">
        <f t="array" ref="AT53">_xlfn.IFS(AND($K53&gt;AS$7,$L53&gt;AS$7),0,AND($K53&lt;=AS$7,$L53&lt;=AS$7),1,AND($K53&lt;=AS$7,$L53&gt;AS$7),((AS$7-$K53)/($L53-$K53)))</f>
        <v>1</v>
      </c>
      <c r="AU53" s="201">
        <f t="array" ref="AU53">_xlfn.IFS(AND($K53&gt;AT$7,$L53&gt;AT$7),0,AND($K53&lt;=AT$7,$L53&lt;=AT$7),1,AND($K53&lt;=AT$7,$L53&gt;AT$7),((AT$7-$K53)/($L53-$K53)))</f>
        <v>1</v>
      </c>
      <c r="AV53" s="201">
        <f t="array" ref="AV53">_xlfn.IFS(AND($K53&gt;AU$7,$L53&gt;AU$7),0,AND($K53&lt;=AU$7,$L53&lt;=AU$7),1,AND($K53&lt;=AU$7,$L53&gt;AU$7),((AU$7-$K53)/($L53-$K53)))</f>
        <v>1</v>
      </c>
      <c r="AW53" s="201">
        <f t="array" ref="AW53">_xlfn.IFS(AND($K53&gt;AV$7,$L53&gt;AV$7),0,AND($K53&lt;=AV$7,$L53&lt;=AV$7),1,AND($K53&lt;=AV$7,$L53&gt;AV$7),((AV$7-$K53)/($L53-$K53)))</f>
        <v>1</v>
      </c>
      <c r="AX53" s="201">
        <f t="array" ref="AX53">_xlfn.IFS(AND($K53&gt;AW$7,$L53&gt;AW$7),0,AND($K53&lt;=AW$7,$L53&lt;=AW$7),1,AND($K53&lt;=AW$7,$L53&gt;AW$7),((AW$7-$K53)/($L53-$K53)))</f>
        <v>1</v>
      </c>
      <c r="AY53" s="201">
        <f t="array" ref="AY53">_xlfn.IFS(AND($K53&gt;AX$7,$L53&gt;AX$7),0,AND($K53&lt;=AX$7,$L53&lt;=AX$7),1,AND($K53&lt;=AX$7,$L53&gt;AX$7),((AX$7-$K53)/($L53-$K53)))</f>
        <v>1</v>
      </c>
      <c r="AZ53" s="201">
        <f t="array" ref="AZ53">_xlfn.IFS(AND($K53&gt;AY$7,$L53&gt;AY$7),0,AND($K53&lt;=AY$7,$L53&lt;=AY$7),1,AND($K53&lt;=AY$7,$L53&gt;AY$7),((AY$7-$K53)/($L53-$K53)))</f>
        <v>1</v>
      </c>
      <c r="BA53" s="201">
        <f t="array" ref="BA53">_xlfn.IFS(AND($K53&gt;AZ$7,$L53&gt;AZ$7),0,AND($K53&lt;=AZ$7,$L53&lt;=AZ$7),1,AND($K53&lt;=AZ$7,$L53&gt;AZ$7),((AZ$7-$K53)/($L53-$K53)))</f>
        <v>1</v>
      </c>
      <c r="BB53" s="201">
        <f t="array" ref="BB53">_xlfn.IFS(AND($K53&gt;BA$7,$L53&gt;BA$7),0,AND($K53&lt;=BA$7,$L53&lt;=BA$7),1,AND($K53&lt;=BA$7,$L53&gt;BA$7),((BA$7-$K53)/($L53-$K53)))</f>
        <v>1</v>
      </c>
      <c r="BC53" s="201">
        <f t="array" ref="BC53">_xlfn.IFS(AND($K53&gt;BB$7,$L53&gt;BB$7),0,AND($K53&lt;=BB$7,$L53&lt;=BB$7),1,AND($K53&lt;=BB$7,$L53&gt;BB$7),((BB$7-$K53)/($L53-$K53)))</f>
        <v>1</v>
      </c>
      <c r="BD53" s="201">
        <f t="array" ref="BD53">_xlfn.IFS(AND($K53&gt;BC$7,$L53&gt;BC$7),0,AND($K53&lt;=BC$7,$L53&lt;=BC$7),1,AND($K53&lt;=BC$7,$L53&gt;BC$7),((BC$7-$K53)/($L53-$K53)))</f>
        <v>1</v>
      </c>
      <c r="BE53" s="201">
        <f t="array" ref="BE53">_xlfn.IFS(AND($K53&gt;BD$7,$L53&gt;BD$7),0,AND($K53&lt;=BD$7,$L53&lt;=BD$7),1,AND($K53&lt;=BD$7,$L53&gt;BD$7),((BD$7-$K53)/($L53-$K53)))</f>
        <v>1</v>
      </c>
      <c r="BF53" s="201">
        <f t="array" ref="BF53">_xlfn.IFS(AND($K53&gt;BE$7,$L53&gt;BE$7),0,AND($K53&lt;=BE$7,$L53&lt;=BE$7),1,AND($K53&lt;=BE$7,$L53&gt;BE$7),((BE$7-$K53)/($L53-$K53)))</f>
        <v>1</v>
      </c>
      <c r="BG53" s="201">
        <f t="array" ref="BG53">_xlfn.IFS(AND($K53&gt;BF$7,$L53&gt;BF$7),0,AND($K53&lt;=BF$7,$L53&lt;=BF$7),1,AND($K53&lt;=BF$7,$L53&gt;BF$7),((BF$7-$K53)/($L53-$K53)))</f>
        <v>1</v>
      </c>
      <c r="BH53" s="201">
        <f t="array" ref="BH53">_xlfn.IFS(AND($K53&gt;BG$7,$L53&gt;BG$7),0,AND($K53&lt;=BG$7,$L53&lt;=BG$7),1,AND($K53&lt;=BG$7,$L53&gt;BG$7),((BG$7-$K53)/($L53-$K53)))</f>
        <v>1</v>
      </c>
      <c r="BI53" s="201">
        <f t="array" ref="BI53">_xlfn.IFS(AND($K53&gt;BH$7,$L53&gt;BH$7),0,AND($K53&lt;=BH$7,$L53&lt;=BH$7),1,AND($K53&lt;=BH$7,$L53&gt;BH$7),((BH$7-$K53)/($L53-$K53)))</f>
        <v>1</v>
      </c>
      <c r="BJ53" s="201">
        <f t="array" ref="BJ53">_xlfn.IFS(AND($K53&gt;BI$7,$L53&gt;BI$7),0,AND($K53&lt;=BI$7,$L53&lt;=BI$7),1,AND($K53&lt;=BI$7,$L53&gt;BI$7),((BI$7-$K53)/($L53-$K53)))</f>
        <v>1</v>
      </c>
      <c r="BK53" s="201">
        <f t="array" ref="BK53">_xlfn.IFS(AND($K53&gt;BJ$7,$L53&gt;BJ$7),0,AND($K53&lt;=BJ$7,$L53&lt;=BJ$7),1,AND($K53&lt;=BJ$7,$L53&gt;BJ$7),((BJ$7-$K53)/($L53-$K53)))</f>
        <v>1</v>
      </c>
      <c r="BL53" s="201">
        <f t="array" ref="BL53">_xlfn.IFS(AND($K53&gt;BK$7,$L53&gt;BK$7),0,AND($K53&lt;=BK$7,$L53&lt;=BK$7),1,AND($K53&lt;=BK$7,$L53&gt;BK$7),((BK$7-$K53)/($L53-$K53)))</f>
        <v>1</v>
      </c>
      <c r="BM53" s="201">
        <f t="array" ref="BM53">_xlfn.IFS(AND($K53&gt;BL$7,$L53&gt;BL$7),0,AND($K53&lt;=BL$7,$L53&lt;=BL$7),1,AND($K53&lt;=BL$7,$L53&gt;BL$7),((BL$7-$K53)/($L53-$K53)))</f>
        <v>1</v>
      </c>
      <c r="BN53" s="201">
        <f t="array" ref="BN53">_xlfn.IFS(AND($K53&gt;BM$7,$L53&gt;BM$7),0,AND($K53&lt;=BM$7,$L53&lt;=BM$7),1,AND($K53&lt;=BM$7,$L53&gt;BM$7),((BM$7-$K53)/($L53-$K53)))</f>
        <v>1</v>
      </c>
    </row>
    <row r="54" spans="2:66" s="163" customFormat="1" ht="23.55" customHeight="1" x14ac:dyDescent="0.3">
      <c r="B54" s="166" t="str">
        <f t="array" ref="B54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54" s="166" t="s">
        <v>155</v>
      </c>
      <c r="D54" s="177"/>
      <c r="E54" s="170" t="str">
        <f t="shared" si="30"/>
        <v>Desenvolvimento da Transformação dos Processos</v>
      </c>
      <c r="F54" s="174" t="str">
        <f t="shared" si="33"/>
        <v>Diagnóstico de Maturidade do Processo</v>
      </c>
      <c r="G54" s="166" t="str">
        <f t="shared" si="36"/>
        <v>Diagnóstico de Maturidade do Processo</v>
      </c>
      <c r="H54" s="197" t="s">
        <v>156</v>
      </c>
      <c r="I54" s="166">
        <v>45762</v>
      </c>
      <c r="J54" s="40">
        <v>45765</v>
      </c>
      <c r="K54" s="166">
        <v>45762</v>
      </c>
      <c r="L54" s="40">
        <v>45765</v>
      </c>
      <c r="M54" s="167"/>
      <c r="N54" s="167" t="str">
        <f t="array" ref="N54">_xlfn.IFS(L54&lt;$M$3,"Concluído",AND(K54&gt;=$M$3,I54&lt;$M$3,L54&gt;$M$3),"Em andamento",AND(L54&gt;=$M$3,J54&lt;$M$3),"Atrasado",AND(L54&gt;=$M$3,J54&gt;=$M$3,I54&gt;$M$3,K54&lt;=$M$3),"Em andamento",AND(L54&gt;=$M$3,J54&gt;=$M$3,I54&lt;=$M$3,K54&lt;=$M$3),"Em andamento",AND(K54&gt;$M$3,I54&gt;$M$3),"Não iniciado",AND(L54&gt;=$M$3,J54&gt;=$M$3,K54&gt;=$M$3,I54&lt;$M$3),"Atrasado",AND(L54&gt;=$M$3,J54&gt;=$M$3,K54&gt;=$M$3,I54&gt;$M$3),"Não iniciado",AND($I54&lt;=$M$3,$K54&gt;$M$3),"Atrasado")</f>
        <v>Concluído</v>
      </c>
      <c r="O54" s="167">
        <f t="array" ref="O54">_xlfn.IFS(N54="Não iniciado",0,N54="Em andamento",1,N54="Concluído",2,N54="Atrasado",3)</f>
        <v>2</v>
      </c>
      <c r="P54" s="169"/>
      <c r="Q54" s="152">
        <f t="array" ref="Q54">_xlfn.IFS(AND($I54&lt;$M$3,$J54&lt;$M$3),1,AND($I54&lt;$M$3,$J54&gt;=$M$3),0.5,AND($I54&gt;=$M$3,$J54&gt;=$M$3),0)</f>
        <v>1</v>
      </c>
      <c r="R54" s="152">
        <f t="array" ref="R54">_xlfn.IFS(AND($K54&lt;$M$3,$L54&lt;$M$3),1,AND($K54&lt;=$M$3,$L54&gt;=$M$3),0.5,AND($K54&gt;=$M$3,$L54&gt;=$M$3),0)</f>
        <v>1</v>
      </c>
      <c r="S54" s="201">
        <f t="array" ref="S54">_xlfn.IFS(AND($K54&gt;R$7,$L54&gt;R$7),0,AND($K54&lt;=R$7,$L54&lt;=R$7),1,AND($K54&lt;=R$7,$L54&gt;R$7),((R$7-$K54)/($L54-$K54)))</f>
        <v>0</v>
      </c>
      <c r="T54" s="201">
        <f t="array" ref="T54">_xlfn.IFS(AND($K54&gt;S$7,$L54&gt;S$7),0,AND($K54&lt;=S$7,$L54&lt;=S$7),1,AND($K54&lt;=S$7,$L54&gt;S$7),((S$7-$K54)/($L54-$K54)))</f>
        <v>0</v>
      </c>
      <c r="U54" s="201">
        <f t="array" ref="U54">_xlfn.IFS(AND($K54&gt;T$7,$L54&gt;T$7),0,AND($K54&lt;=T$7,$L54&lt;=T$7),1,AND($K54&lt;=T$7,$L54&gt;T$7),((T$7-$K54)/($L54-$K54)))</f>
        <v>0</v>
      </c>
      <c r="V54" s="201">
        <f t="array" ref="V54">_xlfn.IFS(AND($K54&gt;U$7,$L54&gt;U$7),0,AND($K54&lt;=U$7,$L54&lt;=U$7),1,AND($K54&lt;=U$7,$L54&gt;U$7),((U$7-$K54)/($L54-$K54)))</f>
        <v>0</v>
      </c>
      <c r="W54" s="201">
        <f t="array" ref="W54">_xlfn.IFS(AND($K54&gt;V$7,$L54&gt;V$7),0,AND($K54&lt;=V$7,$L54&lt;=V$7),1,AND($K54&lt;=V$7,$L54&gt;V$7),((V$7-$K54)/($L54-$K54)))</f>
        <v>0</v>
      </c>
      <c r="X54" s="201">
        <f t="array" ref="X54">_xlfn.IFS(AND($K54&gt;W$7,$L54&gt;W$7),0,AND($K54&lt;=W$7,$L54&lt;=W$7),1,AND($K54&lt;=W$7,$L54&gt;W$7),((W$7-$K54)/($L54-$K54)))</f>
        <v>0</v>
      </c>
      <c r="Y54" s="201">
        <f t="array" ref="Y54">_xlfn.IFS(AND($K54&gt;X$7,$L54&gt;X$7),0,AND($K54&lt;=X$7,$L54&lt;=X$7),1,AND($K54&lt;=X$7,$L54&gt;X$7),((X$7-$K54)/($L54-$K54)))</f>
        <v>0</v>
      </c>
      <c r="Z54" s="201">
        <f t="array" ref="Z54">_xlfn.IFS(AND($K54&gt;Y$7,$L54&gt;Y$7),0,AND($K54&lt;=Y$7,$L54&lt;=Y$7),1,AND($K54&lt;=Y$7,$L54&gt;Y$7),((Y$7-$K54)/($L54-$K54)))</f>
        <v>0</v>
      </c>
      <c r="AA54" s="201">
        <f t="array" ref="AA54">_xlfn.IFS(AND($K54&gt;Z$7,$L54&gt;Z$7),0,AND($K54&lt;=Z$7,$L54&lt;=Z$7),1,AND($K54&lt;=Z$7,$L54&gt;Z$7),((Z$7-$K54)/($L54-$K54)))</f>
        <v>0</v>
      </c>
      <c r="AB54" s="201">
        <f t="array" ref="AB54">_xlfn.IFS(AND($K54&gt;AA$7,$L54&gt;AA$7),0,AND($K54&lt;=AA$7,$L54&lt;=AA$7),1,AND($K54&lt;=AA$7,$L54&gt;AA$7),((AA$7-$K54)/($L54-$K54)))</f>
        <v>0</v>
      </c>
      <c r="AC54" s="201">
        <f t="array" ref="AC54">_xlfn.IFS(AND($K54&gt;AB$7,$L54&gt;AB$7),0,AND($K54&lt;=AB$7,$L54&lt;=AB$7),1,AND($K54&lt;=AB$7,$L54&gt;AB$7),((AB$7-$K54)/($L54-$K54)))</f>
        <v>0</v>
      </c>
      <c r="AD54" s="201">
        <f t="array" ref="AD54">_xlfn.IFS(AND($K54&gt;AC$7,$L54&gt;AC$7),0,AND($K54&lt;=AC$7,$L54&lt;=AC$7),1,AND($K54&lt;=AC$7,$L54&gt;AC$7),((AC$7-$K54)/($L54-$K54)))</f>
        <v>1</v>
      </c>
      <c r="AE54" s="201">
        <f t="array" ref="AE54">_xlfn.IFS(AND($K54&gt;AD$7,$L54&gt;AD$7),0,AND($K54&lt;=AD$7,$L54&lt;=AD$7),1,AND($K54&lt;=AD$7,$L54&gt;AD$7),((AD$7-$K54)/($L54-$K54)))</f>
        <v>1</v>
      </c>
      <c r="AF54" s="201">
        <f t="array" ref="AF54">_xlfn.IFS(AND($K54&gt;AE$7,$L54&gt;AE$7),0,AND($K54&lt;=AE$7,$L54&lt;=AE$7),1,AND($K54&lt;=AE$7,$L54&gt;AE$7),((AE$7-$K54)/($L54-$K54)))</f>
        <v>1</v>
      </c>
      <c r="AG54" s="201">
        <f t="array" ref="AG54">_xlfn.IFS(AND($K54&gt;AF$7,$L54&gt;AF$7),0,AND($K54&lt;=AF$7,$L54&lt;=AF$7),1,AND($K54&lt;=AF$7,$L54&gt;AF$7),((AF$7-$K54)/($L54-$K54)))</f>
        <v>1</v>
      </c>
      <c r="AH54" s="201">
        <f t="array" ref="AH54">_xlfn.IFS(AND($K54&gt;AG$7,$L54&gt;AG$7),0,AND($K54&lt;=AG$7,$L54&lt;=AG$7),1,AND($K54&lt;=AG$7,$L54&gt;AG$7),((AG$7-$K54)/($L54-$K54)))</f>
        <v>1</v>
      </c>
      <c r="AI54" s="201">
        <f t="array" ref="AI54">_xlfn.IFS(AND($K54&gt;AH$7,$L54&gt;AH$7),0,AND($K54&lt;=AH$7,$L54&lt;=AH$7),1,AND($K54&lt;=AH$7,$L54&gt;AH$7),((AH$7-$K54)/($L54-$K54)))</f>
        <v>1</v>
      </c>
      <c r="AJ54" s="201">
        <f t="array" ref="AJ54">_xlfn.IFS(AND($K54&gt;AI$7,$L54&gt;AI$7),0,AND($K54&lt;=AI$7,$L54&lt;=AI$7),1,AND($K54&lt;=AI$7,$L54&gt;AI$7),((AI$7-$K54)/($L54-$K54)))</f>
        <v>1</v>
      </c>
      <c r="AK54" s="201">
        <f t="array" ref="AK54">_xlfn.IFS(AND($K54&gt;AJ$7,$L54&gt;AJ$7),0,AND($K54&lt;=AJ$7,$L54&lt;=AJ$7),1,AND($K54&lt;=AJ$7,$L54&gt;AJ$7),((AJ$7-$K54)/($L54-$K54)))</f>
        <v>1</v>
      </c>
      <c r="AL54" s="201">
        <f t="array" ref="AL54">_xlfn.IFS(AND($K54&gt;AK$7,$L54&gt;AK$7),0,AND($K54&lt;=AK$7,$L54&lt;=AK$7),1,AND($K54&lt;=AK$7,$L54&gt;AK$7),((AK$7-$K54)/($L54-$K54)))</f>
        <v>1</v>
      </c>
      <c r="AM54" s="201">
        <f t="array" ref="AM54">_xlfn.IFS(AND($K54&gt;AL$7,$L54&gt;AL$7),0,AND($K54&lt;=AL$7,$L54&lt;=AL$7),1,AND($K54&lt;=AL$7,$L54&gt;AL$7),((AL$7-$K54)/($L54-$K54)))</f>
        <v>1</v>
      </c>
      <c r="AN54" s="201">
        <f t="array" ref="AN54">_xlfn.IFS(AND($K54&gt;AM$7,$L54&gt;AM$7),0,AND($K54&lt;=AM$7,$L54&lt;=AM$7),1,AND($K54&lt;=AM$7,$L54&gt;AM$7),((AM$7-$K54)/($L54-$K54)))</f>
        <v>1</v>
      </c>
      <c r="AO54" s="201">
        <f t="array" ref="AO54">_xlfn.IFS(AND($K54&gt;AN$7,$L54&gt;AN$7),0,AND($K54&lt;=AN$7,$L54&lt;=AN$7),1,AND($K54&lt;=AN$7,$L54&gt;AN$7),((AN$7-$K54)/($L54-$K54)))</f>
        <v>1</v>
      </c>
      <c r="AP54" s="201">
        <f t="array" ref="AP54">_xlfn.IFS(AND($K54&gt;AO$7,$L54&gt;AO$7),0,AND($K54&lt;=AO$7,$L54&lt;=AO$7),1,AND($K54&lt;=AO$7,$L54&gt;AO$7),((AO$7-$K54)/($L54-$K54)))</f>
        <v>1</v>
      </c>
      <c r="AQ54" s="201">
        <f t="array" ref="AQ54">_xlfn.IFS(AND($K54&gt;AP$7,$L54&gt;AP$7),0,AND($K54&lt;=AP$7,$L54&lt;=AP$7),1,AND($K54&lt;=AP$7,$L54&gt;AP$7),((AP$7-$K54)/($L54-$K54)))</f>
        <v>1</v>
      </c>
      <c r="AR54" s="201">
        <f t="array" ref="AR54">_xlfn.IFS(AND($K54&gt;AQ$7,$L54&gt;AQ$7),0,AND($K54&lt;=AQ$7,$L54&lt;=AQ$7),1,AND($K54&lt;=AQ$7,$L54&gt;AQ$7),((AQ$7-$K54)/($L54-$K54)))</f>
        <v>1</v>
      </c>
      <c r="AS54" s="201">
        <f t="array" ref="AS54">_xlfn.IFS(AND($K54&gt;AR$7,$L54&gt;AR$7),0,AND($K54&lt;=AR$7,$L54&lt;=AR$7),1,AND($K54&lt;=AR$7,$L54&gt;AR$7),((AR$7-$K54)/($L54-$K54)))</f>
        <v>1</v>
      </c>
      <c r="AT54" s="201">
        <f t="array" ref="AT54">_xlfn.IFS(AND($K54&gt;AS$7,$L54&gt;AS$7),0,AND($K54&lt;=AS$7,$L54&lt;=AS$7),1,AND($K54&lt;=AS$7,$L54&gt;AS$7),((AS$7-$K54)/($L54-$K54)))</f>
        <v>1</v>
      </c>
      <c r="AU54" s="201">
        <f t="array" ref="AU54">_xlfn.IFS(AND($K54&gt;AT$7,$L54&gt;AT$7),0,AND($K54&lt;=AT$7,$L54&lt;=AT$7),1,AND($K54&lt;=AT$7,$L54&gt;AT$7),((AT$7-$K54)/($L54-$K54)))</f>
        <v>1</v>
      </c>
      <c r="AV54" s="201">
        <f t="array" ref="AV54">_xlfn.IFS(AND($K54&gt;AU$7,$L54&gt;AU$7),0,AND($K54&lt;=AU$7,$L54&lt;=AU$7),1,AND($K54&lt;=AU$7,$L54&gt;AU$7),((AU$7-$K54)/($L54-$K54)))</f>
        <v>1</v>
      </c>
      <c r="AW54" s="201">
        <f t="array" ref="AW54">_xlfn.IFS(AND($K54&gt;AV$7,$L54&gt;AV$7),0,AND($K54&lt;=AV$7,$L54&lt;=AV$7),1,AND($K54&lt;=AV$7,$L54&gt;AV$7),((AV$7-$K54)/($L54-$K54)))</f>
        <v>1</v>
      </c>
      <c r="AX54" s="201">
        <f t="array" ref="AX54">_xlfn.IFS(AND($K54&gt;AW$7,$L54&gt;AW$7),0,AND($K54&lt;=AW$7,$L54&lt;=AW$7),1,AND($K54&lt;=AW$7,$L54&gt;AW$7),((AW$7-$K54)/($L54-$K54)))</f>
        <v>1</v>
      </c>
      <c r="AY54" s="201">
        <f t="array" ref="AY54">_xlfn.IFS(AND($K54&gt;AX$7,$L54&gt;AX$7),0,AND($K54&lt;=AX$7,$L54&lt;=AX$7),1,AND($K54&lt;=AX$7,$L54&gt;AX$7),((AX$7-$K54)/($L54-$K54)))</f>
        <v>1</v>
      </c>
      <c r="AZ54" s="201">
        <f t="array" ref="AZ54">_xlfn.IFS(AND($K54&gt;AY$7,$L54&gt;AY$7),0,AND($K54&lt;=AY$7,$L54&lt;=AY$7),1,AND($K54&lt;=AY$7,$L54&gt;AY$7),((AY$7-$K54)/($L54-$K54)))</f>
        <v>1</v>
      </c>
      <c r="BA54" s="201">
        <f t="array" ref="BA54">_xlfn.IFS(AND($K54&gt;AZ$7,$L54&gt;AZ$7),0,AND($K54&lt;=AZ$7,$L54&lt;=AZ$7),1,AND($K54&lt;=AZ$7,$L54&gt;AZ$7),((AZ$7-$K54)/($L54-$K54)))</f>
        <v>1</v>
      </c>
      <c r="BB54" s="201">
        <f t="array" ref="BB54">_xlfn.IFS(AND($K54&gt;BA$7,$L54&gt;BA$7),0,AND($K54&lt;=BA$7,$L54&lt;=BA$7),1,AND($K54&lt;=BA$7,$L54&gt;BA$7),((BA$7-$K54)/($L54-$K54)))</f>
        <v>1</v>
      </c>
      <c r="BC54" s="201">
        <f t="array" ref="BC54">_xlfn.IFS(AND($K54&gt;BB$7,$L54&gt;BB$7),0,AND($K54&lt;=BB$7,$L54&lt;=BB$7),1,AND($K54&lt;=BB$7,$L54&gt;BB$7),((BB$7-$K54)/($L54-$K54)))</f>
        <v>1</v>
      </c>
      <c r="BD54" s="201">
        <f t="array" ref="BD54">_xlfn.IFS(AND($K54&gt;BC$7,$L54&gt;BC$7),0,AND($K54&lt;=BC$7,$L54&lt;=BC$7),1,AND($K54&lt;=BC$7,$L54&gt;BC$7),((BC$7-$K54)/($L54-$K54)))</f>
        <v>1</v>
      </c>
      <c r="BE54" s="201">
        <f t="array" ref="BE54">_xlfn.IFS(AND($K54&gt;BD$7,$L54&gt;BD$7),0,AND($K54&lt;=BD$7,$L54&lt;=BD$7),1,AND($K54&lt;=BD$7,$L54&gt;BD$7),((BD$7-$K54)/($L54-$K54)))</f>
        <v>1</v>
      </c>
      <c r="BF54" s="201">
        <f t="array" ref="BF54">_xlfn.IFS(AND($K54&gt;BE$7,$L54&gt;BE$7),0,AND($K54&lt;=BE$7,$L54&lt;=BE$7),1,AND($K54&lt;=BE$7,$L54&gt;BE$7),((BE$7-$K54)/($L54-$K54)))</f>
        <v>1</v>
      </c>
      <c r="BG54" s="201">
        <f t="array" ref="BG54">_xlfn.IFS(AND($K54&gt;BF$7,$L54&gt;BF$7),0,AND($K54&lt;=BF$7,$L54&lt;=BF$7),1,AND($K54&lt;=BF$7,$L54&gt;BF$7),((BF$7-$K54)/($L54-$K54)))</f>
        <v>1</v>
      </c>
      <c r="BH54" s="201">
        <f t="array" ref="BH54">_xlfn.IFS(AND($K54&gt;BG$7,$L54&gt;BG$7),0,AND($K54&lt;=BG$7,$L54&lt;=BG$7),1,AND($K54&lt;=BG$7,$L54&gt;BG$7),((BG$7-$K54)/($L54-$K54)))</f>
        <v>1</v>
      </c>
      <c r="BI54" s="201">
        <f t="array" ref="BI54">_xlfn.IFS(AND($K54&gt;BH$7,$L54&gt;BH$7),0,AND($K54&lt;=BH$7,$L54&lt;=BH$7),1,AND($K54&lt;=BH$7,$L54&gt;BH$7),((BH$7-$K54)/($L54-$K54)))</f>
        <v>1</v>
      </c>
      <c r="BJ54" s="201">
        <f t="array" ref="BJ54">_xlfn.IFS(AND($K54&gt;BI$7,$L54&gt;BI$7),0,AND($K54&lt;=BI$7,$L54&lt;=BI$7),1,AND($K54&lt;=BI$7,$L54&gt;BI$7),((BI$7-$K54)/($L54-$K54)))</f>
        <v>1</v>
      </c>
      <c r="BK54" s="201">
        <f t="array" ref="BK54">_xlfn.IFS(AND($K54&gt;BJ$7,$L54&gt;BJ$7),0,AND($K54&lt;=BJ$7,$L54&lt;=BJ$7),1,AND($K54&lt;=BJ$7,$L54&gt;BJ$7),((BJ$7-$K54)/($L54-$K54)))</f>
        <v>1</v>
      </c>
      <c r="BL54" s="201">
        <f t="array" ref="BL54">_xlfn.IFS(AND($K54&gt;BK$7,$L54&gt;BK$7),0,AND($K54&lt;=BK$7,$L54&lt;=BK$7),1,AND($K54&lt;=BK$7,$L54&gt;BK$7),((BK$7-$K54)/($L54-$K54)))</f>
        <v>1</v>
      </c>
      <c r="BM54" s="201">
        <f t="array" ref="BM54">_xlfn.IFS(AND($K54&gt;BL$7,$L54&gt;BL$7),0,AND($K54&lt;=BL$7,$L54&lt;=BL$7),1,AND($K54&lt;=BL$7,$L54&gt;BL$7),((BL$7-$K54)/($L54-$K54)))</f>
        <v>1</v>
      </c>
      <c r="BN54" s="201">
        <f t="array" ref="BN54">_xlfn.IFS(AND($K54&gt;BM$7,$L54&gt;BM$7),0,AND($K54&lt;=BM$7,$L54&lt;=BM$7),1,AND($K54&lt;=BM$7,$L54&gt;BM$7),((BM$7-$K54)/($L54-$K54)))</f>
        <v>1</v>
      </c>
    </row>
    <row r="55" spans="2:66" s="163" customFormat="1" ht="23.55" customHeight="1" x14ac:dyDescent="0.3">
      <c r="B55" s="166" t="str">
        <f t="array" ref="B55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55" s="166" t="s">
        <v>157</v>
      </c>
      <c r="D55" s="177"/>
      <c r="E55" s="170" t="str">
        <f t="shared" si="30"/>
        <v>Desenvolvimento da Transformação dos Processos</v>
      </c>
      <c r="F55" s="174" t="str">
        <f t="shared" si="33"/>
        <v>Diagnóstico de Maturidade do Processo</v>
      </c>
      <c r="G55" s="166" t="str">
        <f t="shared" si="36"/>
        <v>Diagnóstico de Maturidade do Processo</v>
      </c>
      <c r="H55" s="197" t="s">
        <v>158</v>
      </c>
      <c r="I55" s="166">
        <v>45817</v>
      </c>
      <c r="J55" s="40">
        <v>45819</v>
      </c>
      <c r="K55" s="166">
        <v>45817</v>
      </c>
      <c r="L55" s="40">
        <v>45819</v>
      </c>
      <c r="M55" s="167"/>
      <c r="N55" s="167" t="str">
        <f t="array" ref="N55">_xlfn.IFS(L55&lt;$M$3,"Concluído",AND(K55&gt;=$M$3,I55&lt;$M$3,L55&gt;$M$3),"Em andamento",AND(L55&gt;=$M$3,J55&lt;$M$3),"Atrasado",AND(L55&gt;=$M$3,J55&gt;=$M$3,I55&gt;$M$3,K55&lt;=$M$3),"Em andamento",AND(L55&gt;=$M$3,J55&gt;=$M$3,I55&lt;=$M$3,K55&lt;=$M$3),"Em andamento",AND(K55&gt;$M$3,I55&gt;$M$3),"Não iniciado",AND(L55&gt;=$M$3,J55&gt;=$M$3,K55&gt;=$M$3,I55&lt;$M$3),"Atrasado",AND(L55&gt;=$M$3,J55&gt;=$M$3,K55&gt;=$M$3,I55&gt;$M$3),"Não iniciado",AND($I55&lt;=$M$3,$K55&gt;$M$3),"Atrasado")</f>
        <v>Concluído</v>
      </c>
      <c r="O55" s="167">
        <f t="array" ref="O55">_xlfn.IFS(N55="Não iniciado",0,N55="Em andamento",1,N55="Concluído",2,N55="Atrasado",3)</f>
        <v>2</v>
      </c>
      <c r="P55" s="169"/>
      <c r="Q55" s="152">
        <f t="array" ref="Q55">_xlfn.IFS(AND($I55&lt;$M$3,$J55&lt;$M$3),1,AND($I55&lt;$M$3,$J55&gt;=$M$3),0.5,AND($I55&gt;=$M$3,$J55&gt;=$M$3),0)</f>
        <v>1</v>
      </c>
      <c r="R55" s="152">
        <f t="array" ref="R55">_xlfn.IFS(AND($K55&lt;$M$3,$L55&lt;$M$3),1,AND($K55&lt;=$M$3,$L55&gt;=$M$3),0.5,AND($K55&gt;=$M$3,$L55&gt;=$M$3),0)</f>
        <v>1</v>
      </c>
      <c r="S55" s="201">
        <f t="array" ref="S55">_xlfn.IFS(AND($K55&gt;R$7,$L55&gt;R$7),0,AND($K55&lt;=R$7,$L55&lt;=R$7),1,AND($K55&lt;=R$7,$L55&gt;R$7),((R$7-$K55)/($L55-$K55)))</f>
        <v>0</v>
      </c>
      <c r="T55" s="201">
        <f t="array" ref="T55">_xlfn.IFS(AND($K55&gt;S$7,$L55&gt;S$7),0,AND($K55&lt;=S$7,$L55&lt;=S$7),1,AND($K55&lt;=S$7,$L55&gt;S$7),((S$7-$K55)/($L55-$K55)))</f>
        <v>0</v>
      </c>
      <c r="U55" s="201">
        <f t="array" ref="U55">_xlfn.IFS(AND($K55&gt;T$7,$L55&gt;T$7),0,AND($K55&lt;=T$7,$L55&lt;=T$7),1,AND($K55&lt;=T$7,$L55&gt;T$7),((T$7-$K55)/($L55-$K55)))</f>
        <v>0</v>
      </c>
      <c r="V55" s="201">
        <f t="array" ref="V55">_xlfn.IFS(AND($K55&gt;U$7,$L55&gt;U$7),0,AND($K55&lt;=U$7,$L55&lt;=U$7),1,AND($K55&lt;=U$7,$L55&gt;U$7),((U$7-$K55)/($L55-$K55)))</f>
        <v>0</v>
      </c>
      <c r="W55" s="201">
        <f t="array" ref="W55">_xlfn.IFS(AND($K55&gt;V$7,$L55&gt;V$7),0,AND($K55&lt;=V$7,$L55&lt;=V$7),1,AND($K55&lt;=V$7,$L55&gt;V$7),((V$7-$K55)/($L55-$K55)))</f>
        <v>0</v>
      </c>
      <c r="X55" s="201">
        <f t="array" ref="X55">_xlfn.IFS(AND($K55&gt;W$7,$L55&gt;W$7),0,AND($K55&lt;=W$7,$L55&lt;=W$7),1,AND($K55&lt;=W$7,$L55&gt;W$7),((W$7-$K55)/($L55-$K55)))</f>
        <v>0</v>
      </c>
      <c r="Y55" s="201">
        <f t="array" ref="Y55">_xlfn.IFS(AND($K55&gt;X$7,$L55&gt;X$7),0,AND($K55&lt;=X$7,$L55&lt;=X$7),1,AND($K55&lt;=X$7,$L55&gt;X$7),((X$7-$K55)/($L55-$K55)))</f>
        <v>0</v>
      </c>
      <c r="Z55" s="201">
        <f t="array" ref="Z55">_xlfn.IFS(AND($K55&gt;Y$7,$L55&gt;Y$7),0,AND($K55&lt;=Y$7,$L55&lt;=Y$7),1,AND($K55&lt;=Y$7,$L55&gt;Y$7),((Y$7-$K55)/($L55-$K55)))</f>
        <v>0</v>
      </c>
      <c r="AA55" s="201">
        <f t="array" ref="AA55">_xlfn.IFS(AND($K55&gt;Z$7,$L55&gt;Z$7),0,AND($K55&lt;=Z$7,$L55&lt;=Z$7),1,AND($K55&lt;=Z$7,$L55&gt;Z$7),((Z$7-$K55)/($L55-$K55)))</f>
        <v>0</v>
      </c>
      <c r="AB55" s="201">
        <f t="array" ref="AB55">_xlfn.IFS(AND($K55&gt;AA$7,$L55&gt;AA$7),0,AND($K55&lt;=AA$7,$L55&lt;=AA$7),1,AND($K55&lt;=AA$7,$L55&gt;AA$7),((AA$7-$K55)/($L55-$K55)))</f>
        <v>0</v>
      </c>
      <c r="AC55" s="201">
        <f t="array" ref="AC55">_xlfn.IFS(AND($K55&gt;AB$7,$L55&gt;AB$7),0,AND($K55&lt;=AB$7,$L55&lt;=AB$7),1,AND($K55&lt;=AB$7,$L55&gt;AB$7),((AB$7-$K55)/($L55-$K55)))</f>
        <v>0</v>
      </c>
      <c r="AD55" s="201">
        <f t="array" ref="AD55">_xlfn.IFS(AND($K55&gt;AC$7,$L55&gt;AC$7),0,AND($K55&lt;=AC$7,$L55&lt;=AC$7),1,AND($K55&lt;=AC$7,$L55&gt;AC$7),((AC$7-$K55)/($L55-$K55)))</f>
        <v>0</v>
      </c>
      <c r="AE55" s="201">
        <f t="array" ref="AE55">_xlfn.IFS(AND($K55&gt;AD$7,$L55&gt;AD$7),0,AND($K55&lt;=AD$7,$L55&lt;=AD$7),1,AND($K55&lt;=AD$7,$L55&gt;AD$7),((AD$7-$K55)/($L55-$K55)))</f>
        <v>0</v>
      </c>
      <c r="AF55" s="201">
        <f t="array" ref="AF55">_xlfn.IFS(AND($K55&gt;AE$7,$L55&gt;AE$7),0,AND($K55&lt;=AE$7,$L55&lt;=AE$7),1,AND($K55&lt;=AE$7,$L55&gt;AE$7),((AE$7-$K55)/($L55-$K55)))</f>
        <v>0</v>
      </c>
      <c r="AG55" s="201">
        <f t="array" ref="AG55">_xlfn.IFS(AND($K55&gt;AF$7,$L55&gt;AF$7),0,AND($K55&lt;=AF$7,$L55&lt;=AF$7),1,AND($K55&lt;=AF$7,$L55&gt;AF$7),((AF$7-$K55)/($L55-$K55)))</f>
        <v>0</v>
      </c>
      <c r="AH55" s="201">
        <f t="array" ref="AH55">_xlfn.IFS(AND($K55&gt;AG$7,$L55&gt;AG$7),0,AND($K55&lt;=AG$7,$L55&lt;=AG$7),1,AND($K55&lt;=AG$7,$L55&gt;AG$7),((AG$7-$K55)/($L55-$K55)))</f>
        <v>0</v>
      </c>
      <c r="AI55" s="201">
        <f t="array" ref="AI55">_xlfn.IFS(AND($K55&gt;AH$7,$L55&gt;AH$7),0,AND($K55&lt;=AH$7,$L55&lt;=AH$7),1,AND($K55&lt;=AH$7,$L55&gt;AH$7),((AH$7-$K55)/($L55-$K55)))</f>
        <v>0</v>
      </c>
      <c r="AJ55" s="201">
        <f t="array" ref="AJ55">_xlfn.IFS(AND($K55&gt;AI$7,$L55&gt;AI$7),0,AND($K55&lt;=AI$7,$L55&lt;=AI$7),1,AND($K55&lt;=AI$7,$L55&gt;AI$7),((AI$7-$K55)/($L55-$K55)))</f>
        <v>0</v>
      </c>
      <c r="AK55" s="201">
        <f t="array" ref="AK55">_xlfn.IFS(AND($K55&gt;AJ$7,$L55&gt;AJ$7),0,AND($K55&lt;=AJ$7,$L55&lt;=AJ$7),1,AND($K55&lt;=AJ$7,$L55&gt;AJ$7),((AJ$7-$K55)/($L55-$K55)))</f>
        <v>0</v>
      </c>
      <c r="AL55" s="201">
        <f t="array" ref="AL55">_xlfn.IFS(AND($K55&gt;AK$7,$L55&gt;AK$7),0,AND($K55&lt;=AK$7,$L55&lt;=AK$7),1,AND($K55&lt;=AK$7,$L55&gt;AK$7),((AK$7-$K55)/($L55-$K55)))</f>
        <v>1</v>
      </c>
      <c r="AM55" s="201">
        <f t="array" ref="AM55">_xlfn.IFS(AND($K55&gt;AL$7,$L55&gt;AL$7),0,AND($K55&lt;=AL$7,$L55&lt;=AL$7),1,AND($K55&lt;=AL$7,$L55&gt;AL$7),((AL$7-$K55)/($L55-$K55)))</f>
        <v>1</v>
      </c>
      <c r="AN55" s="201">
        <f t="array" ref="AN55">_xlfn.IFS(AND($K55&gt;AM$7,$L55&gt;AM$7),0,AND($K55&lt;=AM$7,$L55&lt;=AM$7),1,AND($K55&lt;=AM$7,$L55&gt;AM$7),((AM$7-$K55)/($L55-$K55)))</f>
        <v>1</v>
      </c>
      <c r="AO55" s="201">
        <f t="array" ref="AO55">_xlfn.IFS(AND($K55&gt;AN$7,$L55&gt;AN$7),0,AND($K55&lt;=AN$7,$L55&lt;=AN$7),1,AND($K55&lt;=AN$7,$L55&gt;AN$7),((AN$7-$K55)/($L55-$K55)))</f>
        <v>1</v>
      </c>
      <c r="AP55" s="201">
        <f t="array" ref="AP55">_xlfn.IFS(AND($K55&gt;AO$7,$L55&gt;AO$7),0,AND($K55&lt;=AO$7,$L55&lt;=AO$7),1,AND($K55&lt;=AO$7,$L55&gt;AO$7),((AO$7-$K55)/($L55-$K55)))</f>
        <v>1</v>
      </c>
      <c r="AQ55" s="201">
        <f t="array" ref="AQ55">_xlfn.IFS(AND($K55&gt;AP$7,$L55&gt;AP$7),0,AND($K55&lt;=AP$7,$L55&lt;=AP$7),1,AND($K55&lt;=AP$7,$L55&gt;AP$7),((AP$7-$K55)/($L55-$K55)))</f>
        <v>1</v>
      </c>
      <c r="AR55" s="201">
        <f t="array" ref="AR55">_xlfn.IFS(AND($K55&gt;AQ$7,$L55&gt;AQ$7),0,AND($K55&lt;=AQ$7,$L55&lt;=AQ$7),1,AND($K55&lt;=AQ$7,$L55&gt;AQ$7),((AQ$7-$K55)/($L55-$K55)))</f>
        <v>1</v>
      </c>
      <c r="AS55" s="201">
        <f t="array" ref="AS55">_xlfn.IFS(AND($K55&gt;AR$7,$L55&gt;AR$7),0,AND($K55&lt;=AR$7,$L55&lt;=AR$7),1,AND($K55&lt;=AR$7,$L55&gt;AR$7),((AR$7-$K55)/($L55-$K55)))</f>
        <v>1</v>
      </c>
      <c r="AT55" s="201">
        <f t="array" ref="AT55">_xlfn.IFS(AND($K55&gt;AS$7,$L55&gt;AS$7),0,AND($K55&lt;=AS$7,$L55&lt;=AS$7),1,AND($K55&lt;=AS$7,$L55&gt;AS$7),((AS$7-$K55)/($L55-$K55)))</f>
        <v>1</v>
      </c>
      <c r="AU55" s="201">
        <f t="array" ref="AU55">_xlfn.IFS(AND($K55&gt;AT$7,$L55&gt;AT$7),0,AND($K55&lt;=AT$7,$L55&lt;=AT$7),1,AND($K55&lt;=AT$7,$L55&gt;AT$7),((AT$7-$K55)/($L55-$K55)))</f>
        <v>1</v>
      </c>
      <c r="AV55" s="201">
        <f t="array" ref="AV55">_xlfn.IFS(AND($K55&gt;AU$7,$L55&gt;AU$7),0,AND($K55&lt;=AU$7,$L55&lt;=AU$7),1,AND($K55&lt;=AU$7,$L55&gt;AU$7),((AU$7-$K55)/($L55-$K55)))</f>
        <v>1</v>
      </c>
      <c r="AW55" s="201">
        <f t="array" ref="AW55">_xlfn.IFS(AND($K55&gt;AV$7,$L55&gt;AV$7),0,AND($K55&lt;=AV$7,$L55&lt;=AV$7),1,AND($K55&lt;=AV$7,$L55&gt;AV$7),((AV$7-$K55)/($L55-$K55)))</f>
        <v>1</v>
      </c>
      <c r="AX55" s="201">
        <f t="array" ref="AX55">_xlfn.IFS(AND($K55&gt;AW$7,$L55&gt;AW$7),0,AND($K55&lt;=AW$7,$L55&lt;=AW$7),1,AND($K55&lt;=AW$7,$L55&gt;AW$7),((AW$7-$K55)/($L55-$K55)))</f>
        <v>1</v>
      </c>
      <c r="AY55" s="201">
        <f t="array" ref="AY55">_xlfn.IFS(AND($K55&gt;AX$7,$L55&gt;AX$7),0,AND($K55&lt;=AX$7,$L55&lt;=AX$7),1,AND($K55&lt;=AX$7,$L55&gt;AX$7),((AX$7-$K55)/($L55-$K55)))</f>
        <v>1</v>
      </c>
      <c r="AZ55" s="201">
        <f t="array" ref="AZ55">_xlfn.IFS(AND($K55&gt;AY$7,$L55&gt;AY$7),0,AND($K55&lt;=AY$7,$L55&lt;=AY$7),1,AND($K55&lt;=AY$7,$L55&gt;AY$7),((AY$7-$K55)/($L55-$K55)))</f>
        <v>1</v>
      </c>
      <c r="BA55" s="201">
        <f t="array" ref="BA55">_xlfn.IFS(AND($K55&gt;AZ$7,$L55&gt;AZ$7),0,AND($K55&lt;=AZ$7,$L55&lt;=AZ$7),1,AND($K55&lt;=AZ$7,$L55&gt;AZ$7),((AZ$7-$K55)/($L55-$K55)))</f>
        <v>1</v>
      </c>
      <c r="BB55" s="201">
        <f t="array" ref="BB55">_xlfn.IFS(AND($K55&gt;BA$7,$L55&gt;BA$7),0,AND($K55&lt;=BA$7,$L55&lt;=BA$7),1,AND($K55&lt;=BA$7,$L55&gt;BA$7),((BA$7-$K55)/($L55-$K55)))</f>
        <v>1</v>
      </c>
      <c r="BC55" s="201">
        <f t="array" ref="BC55">_xlfn.IFS(AND($K55&gt;BB$7,$L55&gt;BB$7),0,AND($K55&lt;=BB$7,$L55&lt;=BB$7),1,AND($K55&lt;=BB$7,$L55&gt;BB$7),((BB$7-$K55)/($L55-$K55)))</f>
        <v>1</v>
      </c>
      <c r="BD55" s="201">
        <f t="array" ref="BD55">_xlfn.IFS(AND($K55&gt;BC$7,$L55&gt;BC$7),0,AND($K55&lt;=BC$7,$L55&lt;=BC$7),1,AND($K55&lt;=BC$7,$L55&gt;BC$7),((BC$7-$K55)/($L55-$K55)))</f>
        <v>1</v>
      </c>
      <c r="BE55" s="201">
        <f t="array" ref="BE55">_xlfn.IFS(AND($K55&gt;BD$7,$L55&gt;BD$7),0,AND($K55&lt;=BD$7,$L55&lt;=BD$7),1,AND($K55&lt;=BD$7,$L55&gt;BD$7),((BD$7-$K55)/($L55-$K55)))</f>
        <v>1</v>
      </c>
      <c r="BF55" s="201">
        <f t="array" ref="BF55">_xlfn.IFS(AND($K55&gt;BE$7,$L55&gt;BE$7),0,AND($K55&lt;=BE$7,$L55&lt;=BE$7),1,AND($K55&lt;=BE$7,$L55&gt;BE$7),((BE$7-$K55)/($L55-$K55)))</f>
        <v>1</v>
      </c>
      <c r="BG55" s="201">
        <f t="array" ref="BG55">_xlfn.IFS(AND($K55&gt;BF$7,$L55&gt;BF$7),0,AND($K55&lt;=BF$7,$L55&lt;=BF$7),1,AND($K55&lt;=BF$7,$L55&gt;BF$7),((BF$7-$K55)/($L55-$K55)))</f>
        <v>1</v>
      </c>
      <c r="BH55" s="201">
        <f t="array" ref="BH55">_xlfn.IFS(AND($K55&gt;BG$7,$L55&gt;BG$7),0,AND($K55&lt;=BG$7,$L55&lt;=BG$7),1,AND($K55&lt;=BG$7,$L55&gt;BG$7),((BG$7-$K55)/($L55-$K55)))</f>
        <v>1</v>
      </c>
      <c r="BI55" s="201">
        <f t="array" ref="BI55">_xlfn.IFS(AND($K55&gt;BH$7,$L55&gt;BH$7),0,AND($K55&lt;=BH$7,$L55&lt;=BH$7),1,AND($K55&lt;=BH$7,$L55&gt;BH$7),((BH$7-$K55)/($L55-$K55)))</f>
        <v>1</v>
      </c>
      <c r="BJ55" s="201">
        <f t="array" ref="BJ55">_xlfn.IFS(AND($K55&gt;BI$7,$L55&gt;BI$7),0,AND($K55&lt;=BI$7,$L55&lt;=BI$7),1,AND($K55&lt;=BI$7,$L55&gt;BI$7),((BI$7-$K55)/($L55-$K55)))</f>
        <v>1</v>
      </c>
      <c r="BK55" s="201">
        <f t="array" ref="BK55">_xlfn.IFS(AND($K55&gt;BJ$7,$L55&gt;BJ$7),0,AND($K55&lt;=BJ$7,$L55&lt;=BJ$7),1,AND($K55&lt;=BJ$7,$L55&gt;BJ$7),((BJ$7-$K55)/($L55-$K55)))</f>
        <v>1</v>
      </c>
      <c r="BL55" s="201">
        <f t="array" ref="BL55">_xlfn.IFS(AND($K55&gt;BK$7,$L55&gt;BK$7),0,AND($K55&lt;=BK$7,$L55&lt;=BK$7),1,AND($K55&lt;=BK$7,$L55&gt;BK$7),((BK$7-$K55)/($L55-$K55)))</f>
        <v>1</v>
      </c>
      <c r="BM55" s="201">
        <f t="array" ref="BM55">_xlfn.IFS(AND($K55&gt;BL$7,$L55&gt;BL$7),0,AND($K55&lt;=BL$7,$L55&lt;=BL$7),1,AND($K55&lt;=BL$7,$L55&gt;BL$7),((BL$7-$K55)/($L55-$K55)))</f>
        <v>1</v>
      </c>
      <c r="BN55" s="201">
        <f t="array" ref="BN55">_xlfn.IFS(AND($K55&gt;BM$7,$L55&gt;BM$7),0,AND($K55&lt;=BM$7,$L55&lt;=BM$7),1,AND($K55&lt;=BM$7,$L55&gt;BM$7),((BM$7-$K55)/($L55-$K55)))</f>
        <v>1</v>
      </c>
    </row>
    <row r="56" spans="2:66" s="163" customFormat="1" ht="23.55" customHeight="1" x14ac:dyDescent="0.3">
      <c r="B56" s="166" t="str">
        <f t="array" ref="B56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56" s="166" t="s">
        <v>159</v>
      </c>
      <c r="D56" s="177"/>
      <c r="E56" s="170" t="str">
        <f t="shared" si="30"/>
        <v>Desenvolvimento da Transformação dos Processos</v>
      </c>
      <c r="F56" s="174" t="str">
        <f t="shared" si="33"/>
        <v>Diagnóstico de Maturidade do Processo</v>
      </c>
      <c r="G56" s="166" t="str">
        <f t="shared" si="36"/>
        <v>Diagnóstico de Maturidade do Processo</v>
      </c>
      <c r="H56" s="197" t="s">
        <v>160</v>
      </c>
      <c r="I56" s="166">
        <v>45817</v>
      </c>
      <c r="J56" s="40">
        <v>45819</v>
      </c>
      <c r="K56" s="166">
        <v>45817</v>
      </c>
      <c r="L56" s="40">
        <v>45819</v>
      </c>
      <c r="M56" s="167"/>
      <c r="N56" s="167" t="str">
        <f t="array" ref="N56">_xlfn.IFS(L56&lt;$M$3,"Concluído",AND(K56&gt;=$M$3,I56&lt;$M$3,L56&gt;$M$3),"Em andamento",AND(L56&gt;=$M$3,J56&lt;$M$3),"Atrasado",AND(L56&gt;=$M$3,J56&gt;=$M$3,I56&gt;$M$3,K56&lt;=$M$3),"Em andamento",AND(L56&gt;=$M$3,J56&gt;=$M$3,I56&lt;=$M$3,K56&lt;=$M$3),"Em andamento",AND(K56&gt;$M$3,I56&gt;$M$3),"Não iniciado",AND(L56&gt;=$M$3,J56&gt;=$M$3,K56&gt;=$M$3,I56&lt;$M$3),"Atrasado",AND(L56&gt;=$M$3,J56&gt;=$M$3,K56&gt;=$M$3,I56&gt;$M$3),"Não iniciado",AND($I56&lt;=$M$3,$K56&gt;$M$3),"Atrasado")</f>
        <v>Concluído</v>
      </c>
      <c r="O56" s="167">
        <f t="array" ref="O56">_xlfn.IFS(N56="Não iniciado",0,N56="Em andamento",1,N56="Concluído",2,N56="Atrasado",3)</f>
        <v>2</v>
      </c>
      <c r="P56" s="169"/>
      <c r="Q56" s="152">
        <f t="array" ref="Q56">_xlfn.IFS(AND($I56&lt;$M$3,$J56&lt;$M$3),1,AND($I56&lt;$M$3,$J56&gt;=$M$3),0.5,AND($I56&gt;=$M$3,$J56&gt;=$M$3),0)</f>
        <v>1</v>
      </c>
      <c r="R56" s="152">
        <f t="array" ref="R56">_xlfn.IFS(AND($K56&lt;$M$3,$L56&lt;$M$3),1,AND($K56&lt;=$M$3,$L56&gt;=$M$3),0.5,AND($K56&gt;=$M$3,$L56&gt;=$M$3),0)</f>
        <v>1</v>
      </c>
      <c r="S56" s="201">
        <f t="array" ref="S56">_xlfn.IFS(AND($K56&gt;R$7,$L56&gt;R$7),0,AND($K56&lt;=R$7,$L56&lt;=R$7),1,AND($K56&lt;=R$7,$L56&gt;R$7),((R$7-$K56)/($L56-$K56)))</f>
        <v>0</v>
      </c>
      <c r="T56" s="201">
        <f t="array" ref="T56">_xlfn.IFS(AND($K56&gt;S$7,$L56&gt;S$7),0,AND($K56&lt;=S$7,$L56&lt;=S$7),1,AND($K56&lt;=S$7,$L56&gt;S$7),((S$7-$K56)/($L56-$K56)))</f>
        <v>0</v>
      </c>
      <c r="U56" s="201">
        <f t="array" ref="U56">_xlfn.IFS(AND($K56&gt;T$7,$L56&gt;T$7),0,AND($K56&lt;=T$7,$L56&lt;=T$7),1,AND($K56&lt;=T$7,$L56&gt;T$7),((T$7-$K56)/($L56-$K56)))</f>
        <v>0</v>
      </c>
      <c r="V56" s="201">
        <f t="array" ref="V56">_xlfn.IFS(AND($K56&gt;U$7,$L56&gt;U$7),0,AND($K56&lt;=U$7,$L56&lt;=U$7),1,AND($K56&lt;=U$7,$L56&gt;U$7),((U$7-$K56)/($L56-$K56)))</f>
        <v>0</v>
      </c>
      <c r="W56" s="201">
        <f t="array" ref="W56">_xlfn.IFS(AND($K56&gt;V$7,$L56&gt;V$7),0,AND($K56&lt;=V$7,$L56&lt;=V$7),1,AND($K56&lt;=V$7,$L56&gt;V$7),((V$7-$K56)/($L56-$K56)))</f>
        <v>0</v>
      </c>
      <c r="X56" s="201">
        <f t="array" ref="X56">_xlfn.IFS(AND($K56&gt;W$7,$L56&gt;W$7),0,AND($K56&lt;=W$7,$L56&lt;=W$7),1,AND($K56&lt;=W$7,$L56&gt;W$7),((W$7-$K56)/($L56-$K56)))</f>
        <v>0</v>
      </c>
      <c r="Y56" s="201">
        <f t="array" ref="Y56">_xlfn.IFS(AND($K56&gt;X$7,$L56&gt;X$7),0,AND($K56&lt;=X$7,$L56&lt;=X$7),1,AND($K56&lt;=X$7,$L56&gt;X$7),((X$7-$K56)/($L56-$K56)))</f>
        <v>0</v>
      </c>
      <c r="Z56" s="201">
        <f t="array" ref="Z56">_xlfn.IFS(AND($K56&gt;Y$7,$L56&gt;Y$7),0,AND($K56&lt;=Y$7,$L56&lt;=Y$7),1,AND($K56&lt;=Y$7,$L56&gt;Y$7),((Y$7-$K56)/($L56-$K56)))</f>
        <v>0</v>
      </c>
      <c r="AA56" s="201">
        <f t="array" ref="AA56">_xlfn.IFS(AND($K56&gt;Z$7,$L56&gt;Z$7),0,AND($K56&lt;=Z$7,$L56&lt;=Z$7),1,AND($K56&lt;=Z$7,$L56&gt;Z$7),((Z$7-$K56)/($L56-$K56)))</f>
        <v>0</v>
      </c>
      <c r="AB56" s="201">
        <f t="array" ref="AB56">_xlfn.IFS(AND($K56&gt;AA$7,$L56&gt;AA$7),0,AND($K56&lt;=AA$7,$L56&lt;=AA$7),1,AND($K56&lt;=AA$7,$L56&gt;AA$7),((AA$7-$K56)/($L56-$K56)))</f>
        <v>0</v>
      </c>
      <c r="AC56" s="201">
        <f t="array" ref="AC56">_xlfn.IFS(AND($K56&gt;AB$7,$L56&gt;AB$7),0,AND($K56&lt;=AB$7,$L56&lt;=AB$7),1,AND($K56&lt;=AB$7,$L56&gt;AB$7),((AB$7-$K56)/($L56-$K56)))</f>
        <v>0</v>
      </c>
      <c r="AD56" s="201">
        <f t="array" ref="AD56">_xlfn.IFS(AND($K56&gt;AC$7,$L56&gt;AC$7),0,AND($K56&lt;=AC$7,$L56&lt;=AC$7),1,AND($K56&lt;=AC$7,$L56&gt;AC$7),((AC$7-$K56)/($L56-$K56)))</f>
        <v>0</v>
      </c>
      <c r="AE56" s="201">
        <f t="array" ref="AE56">_xlfn.IFS(AND($K56&gt;AD$7,$L56&gt;AD$7),0,AND($K56&lt;=AD$7,$L56&lt;=AD$7),1,AND($K56&lt;=AD$7,$L56&gt;AD$7),((AD$7-$K56)/($L56-$K56)))</f>
        <v>0</v>
      </c>
      <c r="AF56" s="201">
        <f t="array" ref="AF56">_xlfn.IFS(AND($K56&gt;AE$7,$L56&gt;AE$7),0,AND($K56&lt;=AE$7,$L56&lt;=AE$7),1,AND($K56&lt;=AE$7,$L56&gt;AE$7),((AE$7-$K56)/($L56-$K56)))</f>
        <v>0</v>
      </c>
      <c r="AG56" s="201">
        <f t="array" ref="AG56">_xlfn.IFS(AND($K56&gt;AF$7,$L56&gt;AF$7),0,AND($K56&lt;=AF$7,$L56&lt;=AF$7),1,AND($K56&lt;=AF$7,$L56&gt;AF$7),((AF$7-$K56)/($L56-$K56)))</f>
        <v>0</v>
      </c>
      <c r="AH56" s="201">
        <f t="array" ref="AH56">_xlfn.IFS(AND($K56&gt;AG$7,$L56&gt;AG$7),0,AND($K56&lt;=AG$7,$L56&lt;=AG$7),1,AND($K56&lt;=AG$7,$L56&gt;AG$7),((AG$7-$K56)/($L56-$K56)))</f>
        <v>0</v>
      </c>
      <c r="AI56" s="201">
        <f t="array" ref="AI56">_xlfn.IFS(AND($K56&gt;AH$7,$L56&gt;AH$7),0,AND($K56&lt;=AH$7,$L56&lt;=AH$7),1,AND($K56&lt;=AH$7,$L56&gt;AH$7),((AH$7-$K56)/($L56-$K56)))</f>
        <v>0</v>
      </c>
      <c r="AJ56" s="201">
        <f t="array" ref="AJ56">_xlfn.IFS(AND($K56&gt;AI$7,$L56&gt;AI$7),0,AND($K56&lt;=AI$7,$L56&lt;=AI$7),1,AND($K56&lt;=AI$7,$L56&gt;AI$7),((AI$7-$K56)/($L56-$K56)))</f>
        <v>0</v>
      </c>
      <c r="AK56" s="201">
        <f t="array" ref="AK56">_xlfn.IFS(AND($K56&gt;AJ$7,$L56&gt;AJ$7),0,AND($K56&lt;=AJ$7,$L56&lt;=AJ$7),1,AND($K56&lt;=AJ$7,$L56&gt;AJ$7),((AJ$7-$K56)/($L56-$K56)))</f>
        <v>0</v>
      </c>
      <c r="AL56" s="201">
        <f t="array" ref="AL56">_xlfn.IFS(AND($K56&gt;AK$7,$L56&gt;AK$7),0,AND($K56&lt;=AK$7,$L56&lt;=AK$7),1,AND($K56&lt;=AK$7,$L56&gt;AK$7),((AK$7-$K56)/($L56-$K56)))</f>
        <v>1</v>
      </c>
      <c r="AM56" s="201">
        <f t="array" ref="AM56">_xlfn.IFS(AND($K56&gt;AL$7,$L56&gt;AL$7),0,AND($K56&lt;=AL$7,$L56&lt;=AL$7),1,AND($K56&lt;=AL$7,$L56&gt;AL$7),((AL$7-$K56)/($L56-$K56)))</f>
        <v>1</v>
      </c>
      <c r="AN56" s="201">
        <f t="array" ref="AN56">_xlfn.IFS(AND($K56&gt;AM$7,$L56&gt;AM$7),0,AND($K56&lt;=AM$7,$L56&lt;=AM$7),1,AND($K56&lt;=AM$7,$L56&gt;AM$7),((AM$7-$K56)/($L56-$K56)))</f>
        <v>1</v>
      </c>
      <c r="AO56" s="201">
        <f t="array" ref="AO56">_xlfn.IFS(AND($K56&gt;AN$7,$L56&gt;AN$7),0,AND($K56&lt;=AN$7,$L56&lt;=AN$7),1,AND($K56&lt;=AN$7,$L56&gt;AN$7),((AN$7-$K56)/($L56-$K56)))</f>
        <v>1</v>
      </c>
      <c r="AP56" s="201">
        <f t="array" ref="AP56">_xlfn.IFS(AND($K56&gt;AO$7,$L56&gt;AO$7),0,AND($K56&lt;=AO$7,$L56&lt;=AO$7),1,AND($K56&lt;=AO$7,$L56&gt;AO$7),((AO$7-$K56)/($L56-$K56)))</f>
        <v>1</v>
      </c>
      <c r="AQ56" s="201">
        <f t="array" ref="AQ56">_xlfn.IFS(AND($K56&gt;AP$7,$L56&gt;AP$7),0,AND($K56&lt;=AP$7,$L56&lt;=AP$7),1,AND($K56&lt;=AP$7,$L56&gt;AP$7),((AP$7-$K56)/($L56-$K56)))</f>
        <v>1</v>
      </c>
      <c r="AR56" s="201">
        <f t="array" ref="AR56">_xlfn.IFS(AND($K56&gt;AQ$7,$L56&gt;AQ$7),0,AND($K56&lt;=AQ$7,$L56&lt;=AQ$7),1,AND($K56&lt;=AQ$7,$L56&gt;AQ$7),((AQ$7-$K56)/($L56-$K56)))</f>
        <v>1</v>
      </c>
      <c r="AS56" s="201">
        <f t="array" ref="AS56">_xlfn.IFS(AND($K56&gt;AR$7,$L56&gt;AR$7),0,AND($K56&lt;=AR$7,$L56&lt;=AR$7),1,AND($K56&lt;=AR$7,$L56&gt;AR$7),((AR$7-$K56)/($L56-$K56)))</f>
        <v>1</v>
      </c>
      <c r="AT56" s="201">
        <f t="array" ref="AT56">_xlfn.IFS(AND($K56&gt;AS$7,$L56&gt;AS$7),0,AND($K56&lt;=AS$7,$L56&lt;=AS$7),1,AND($K56&lt;=AS$7,$L56&gt;AS$7),((AS$7-$K56)/($L56-$K56)))</f>
        <v>1</v>
      </c>
      <c r="AU56" s="201">
        <f t="array" ref="AU56">_xlfn.IFS(AND($K56&gt;AT$7,$L56&gt;AT$7),0,AND($K56&lt;=AT$7,$L56&lt;=AT$7),1,AND($K56&lt;=AT$7,$L56&gt;AT$7),((AT$7-$K56)/($L56-$K56)))</f>
        <v>1</v>
      </c>
      <c r="AV56" s="201">
        <f t="array" ref="AV56">_xlfn.IFS(AND($K56&gt;AU$7,$L56&gt;AU$7),0,AND($K56&lt;=AU$7,$L56&lt;=AU$7),1,AND($K56&lt;=AU$7,$L56&gt;AU$7),((AU$7-$K56)/($L56-$K56)))</f>
        <v>1</v>
      </c>
      <c r="AW56" s="201">
        <f t="array" ref="AW56">_xlfn.IFS(AND($K56&gt;AV$7,$L56&gt;AV$7),0,AND($K56&lt;=AV$7,$L56&lt;=AV$7),1,AND($K56&lt;=AV$7,$L56&gt;AV$7),((AV$7-$K56)/($L56-$K56)))</f>
        <v>1</v>
      </c>
      <c r="AX56" s="201">
        <f t="array" ref="AX56">_xlfn.IFS(AND($K56&gt;AW$7,$L56&gt;AW$7),0,AND($K56&lt;=AW$7,$L56&lt;=AW$7),1,AND($K56&lt;=AW$7,$L56&gt;AW$7),((AW$7-$K56)/($L56-$K56)))</f>
        <v>1</v>
      </c>
      <c r="AY56" s="201">
        <f t="array" ref="AY56">_xlfn.IFS(AND($K56&gt;AX$7,$L56&gt;AX$7),0,AND($K56&lt;=AX$7,$L56&lt;=AX$7),1,AND($K56&lt;=AX$7,$L56&gt;AX$7),((AX$7-$K56)/($L56-$K56)))</f>
        <v>1</v>
      </c>
      <c r="AZ56" s="201">
        <f t="array" ref="AZ56">_xlfn.IFS(AND($K56&gt;AY$7,$L56&gt;AY$7),0,AND($K56&lt;=AY$7,$L56&lt;=AY$7),1,AND($K56&lt;=AY$7,$L56&gt;AY$7),((AY$7-$K56)/($L56-$K56)))</f>
        <v>1</v>
      </c>
      <c r="BA56" s="201">
        <f t="array" ref="BA56">_xlfn.IFS(AND($K56&gt;AZ$7,$L56&gt;AZ$7),0,AND($K56&lt;=AZ$7,$L56&lt;=AZ$7),1,AND($K56&lt;=AZ$7,$L56&gt;AZ$7),((AZ$7-$K56)/($L56-$K56)))</f>
        <v>1</v>
      </c>
      <c r="BB56" s="201">
        <f t="array" ref="BB56">_xlfn.IFS(AND($K56&gt;BA$7,$L56&gt;BA$7),0,AND($K56&lt;=BA$7,$L56&lt;=BA$7),1,AND($K56&lt;=BA$7,$L56&gt;BA$7),((BA$7-$K56)/($L56-$K56)))</f>
        <v>1</v>
      </c>
      <c r="BC56" s="201">
        <f t="array" ref="BC56">_xlfn.IFS(AND($K56&gt;BB$7,$L56&gt;BB$7),0,AND($K56&lt;=BB$7,$L56&lt;=BB$7),1,AND($K56&lt;=BB$7,$L56&gt;BB$7),((BB$7-$K56)/($L56-$K56)))</f>
        <v>1</v>
      </c>
      <c r="BD56" s="201">
        <f t="array" ref="BD56">_xlfn.IFS(AND($K56&gt;BC$7,$L56&gt;BC$7),0,AND($K56&lt;=BC$7,$L56&lt;=BC$7),1,AND($K56&lt;=BC$7,$L56&gt;BC$7),((BC$7-$K56)/($L56-$K56)))</f>
        <v>1</v>
      </c>
      <c r="BE56" s="201">
        <f t="array" ref="BE56">_xlfn.IFS(AND($K56&gt;BD$7,$L56&gt;BD$7),0,AND($K56&lt;=BD$7,$L56&lt;=BD$7),1,AND($K56&lt;=BD$7,$L56&gt;BD$7),((BD$7-$K56)/($L56-$K56)))</f>
        <v>1</v>
      </c>
      <c r="BF56" s="201">
        <f t="array" ref="BF56">_xlfn.IFS(AND($K56&gt;BE$7,$L56&gt;BE$7),0,AND($K56&lt;=BE$7,$L56&lt;=BE$7),1,AND($K56&lt;=BE$7,$L56&gt;BE$7),((BE$7-$K56)/($L56-$K56)))</f>
        <v>1</v>
      </c>
      <c r="BG56" s="201">
        <f t="array" ref="BG56">_xlfn.IFS(AND($K56&gt;BF$7,$L56&gt;BF$7),0,AND($K56&lt;=BF$7,$L56&lt;=BF$7),1,AND($K56&lt;=BF$7,$L56&gt;BF$7),((BF$7-$K56)/($L56-$K56)))</f>
        <v>1</v>
      </c>
      <c r="BH56" s="201">
        <f t="array" ref="BH56">_xlfn.IFS(AND($K56&gt;BG$7,$L56&gt;BG$7),0,AND($K56&lt;=BG$7,$L56&lt;=BG$7),1,AND($K56&lt;=BG$7,$L56&gt;BG$7),((BG$7-$K56)/($L56-$K56)))</f>
        <v>1</v>
      </c>
      <c r="BI56" s="201">
        <f t="array" ref="BI56">_xlfn.IFS(AND($K56&gt;BH$7,$L56&gt;BH$7),0,AND($K56&lt;=BH$7,$L56&lt;=BH$7),1,AND($K56&lt;=BH$7,$L56&gt;BH$7),((BH$7-$K56)/($L56-$K56)))</f>
        <v>1</v>
      </c>
      <c r="BJ56" s="201">
        <f t="array" ref="BJ56">_xlfn.IFS(AND($K56&gt;BI$7,$L56&gt;BI$7),0,AND($K56&lt;=BI$7,$L56&lt;=BI$7),1,AND($K56&lt;=BI$7,$L56&gt;BI$7),((BI$7-$K56)/($L56-$K56)))</f>
        <v>1</v>
      </c>
      <c r="BK56" s="201">
        <f t="array" ref="BK56">_xlfn.IFS(AND($K56&gt;BJ$7,$L56&gt;BJ$7),0,AND($K56&lt;=BJ$7,$L56&lt;=BJ$7),1,AND($K56&lt;=BJ$7,$L56&gt;BJ$7),((BJ$7-$K56)/($L56-$K56)))</f>
        <v>1</v>
      </c>
      <c r="BL56" s="201">
        <f t="array" ref="BL56">_xlfn.IFS(AND($K56&gt;BK$7,$L56&gt;BK$7),0,AND($K56&lt;=BK$7,$L56&lt;=BK$7),1,AND($K56&lt;=BK$7,$L56&gt;BK$7),((BK$7-$K56)/($L56-$K56)))</f>
        <v>1</v>
      </c>
      <c r="BM56" s="201">
        <f t="array" ref="BM56">_xlfn.IFS(AND($K56&gt;BL$7,$L56&gt;BL$7),0,AND($K56&lt;=BL$7,$L56&lt;=BL$7),1,AND($K56&lt;=BL$7,$L56&gt;BL$7),((BL$7-$K56)/($L56-$K56)))</f>
        <v>1</v>
      </c>
      <c r="BN56" s="201">
        <f t="array" ref="BN56">_xlfn.IFS(AND($K56&gt;BM$7,$L56&gt;BM$7),0,AND($K56&lt;=BM$7,$L56&lt;=BM$7),1,AND($K56&lt;=BM$7,$L56&gt;BM$7),((BM$7-$K56)/($L56-$K56)))</f>
        <v>1</v>
      </c>
    </row>
    <row r="57" spans="2:66" s="163" customFormat="1" ht="23.55" customHeight="1" x14ac:dyDescent="0.3">
      <c r="B57" s="166" t="s">
        <v>161</v>
      </c>
      <c r="C57" s="166" t="s">
        <v>162</v>
      </c>
      <c r="D57" s="177"/>
      <c r="E57" s="170" t="str">
        <f t="shared" si="30"/>
        <v>Desenvolvimento da Transformação dos Processos</v>
      </c>
      <c r="F57" s="174" t="str">
        <f t="shared" si="33"/>
        <v>Diagnóstico de Maturidade do Processo</v>
      </c>
      <c r="G57" s="166" t="str">
        <f t="shared" si="36"/>
        <v>Diagnóstico de Maturidade do Processo</v>
      </c>
      <c r="H57" s="197" t="s">
        <v>163</v>
      </c>
      <c r="I57" s="166">
        <v>45817</v>
      </c>
      <c r="J57" s="40">
        <v>45819</v>
      </c>
      <c r="K57" s="166">
        <v>45817</v>
      </c>
      <c r="L57" s="40">
        <v>45819</v>
      </c>
      <c r="M57" s="167"/>
      <c r="N57" s="167" t="str">
        <f t="array" ref="N57">_xlfn.IFS(L57&lt;$M$3,"Concluído",AND(K57&gt;=$M$3,I57&lt;$M$3,L57&gt;$M$3),"Em andamento",AND(L57&gt;=$M$3,J57&lt;$M$3),"Atrasado",AND(L57&gt;=$M$3,J57&gt;=$M$3,I57&gt;$M$3,K57&lt;=$M$3),"Em andamento",AND(L57&gt;=$M$3,J57&gt;=$M$3,I57&lt;=$M$3,K57&lt;=$M$3),"Em andamento",AND(K57&gt;$M$3,I57&gt;$M$3),"Não iniciado",AND(L57&gt;=$M$3,J57&gt;=$M$3,K57&gt;=$M$3,I57&lt;$M$3),"Atrasado",AND(L57&gt;=$M$3,J57&gt;=$M$3,K57&gt;=$M$3,I57&gt;$M$3),"Não iniciado",AND($I57&lt;=$M$3,$K57&gt;$M$3),"Atrasado")</f>
        <v>Concluído</v>
      </c>
      <c r="O57" s="167">
        <f t="array" ref="O57">_xlfn.IFS(N57="Não iniciado",0,N57="Em andamento",1,N57="Concluído",2,N57="Atrasado",3)</f>
        <v>2</v>
      </c>
      <c r="P57" s="169"/>
      <c r="Q57" s="152">
        <f t="array" ref="Q57">_xlfn.IFS(AND($I57&lt;$M$3,$J57&lt;$M$3),1,AND($I57&lt;$M$3,$J57&gt;=$M$3),0.5,AND($I57&gt;=$M$3,$J57&gt;=$M$3),0)</f>
        <v>1</v>
      </c>
      <c r="R57" s="152">
        <f t="array" ref="R57">_xlfn.IFS(AND($K57&lt;$M$3,$L57&lt;$M$3),1,AND($K57&lt;=$M$3,$L57&gt;=$M$3),0.5,AND($K57&gt;=$M$3,$L57&gt;=$M$3),0)</f>
        <v>1</v>
      </c>
      <c r="S57" s="201">
        <f t="array" ref="S57">_xlfn.IFS(AND($K57&gt;R$7,$L57&gt;R$7),0,AND($K57&lt;=R$7,$L57&lt;=R$7),1,AND($K57&lt;=R$7,$L57&gt;R$7),((R$7-$K57)/($L57-$K57)))</f>
        <v>0</v>
      </c>
      <c r="T57" s="201">
        <f t="array" ref="T57">_xlfn.IFS(AND($K57&gt;S$7,$L57&gt;S$7),0,AND($K57&lt;=S$7,$L57&lt;=S$7),1,AND($K57&lt;=S$7,$L57&gt;S$7),((S$7-$K57)/($L57-$K57)))</f>
        <v>0</v>
      </c>
      <c r="U57" s="201">
        <f t="array" ref="U57">_xlfn.IFS(AND($K57&gt;T$7,$L57&gt;T$7),0,AND($K57&lt;=T$7,$L57&lt;=T$7),1,AND($K57&lt;=T$7,$L57&gt;T$7),((T$7-$K57)/($L57-$K57)))</f>
        <v>0</v>
      </c>
      <c r="V57" s="201">
        <f t="array" ref="V57">_xlfn.IFS(AND($K57&gt;U$7,$L57&gt;U$7),0,AND($K57&lt;=U$7,$L57&lt;=U$7),1,AND($K57&lt;=U$7,$L57&gt;U$7),((U$7-$K57)/($L57-$K57)))</f>
        <v>0</v>
      </c>
      <c r="W57" s="201">
        <f t="array" ref="W57">_xlfn.IFS(AND($K57&gt;V$7,$L57&gt;V$7),0,AND($K57&lt;=V$7,$L57&lt;=V$7),1,AND($K57&lt;=V$7,$L57&gt;V$7),((V$7-$K57)/($L57-$K57)))</f>
        <v>0</v>
      </c>
      <c r="X57" s="201">
        <f t="array" ref="X57">_xlfn.IFS(AND($K57&gt;W$7,$L57&gt;W$7),0,AND($K57&lt;=W$7,$L57&lt;=W$7),1,AND($K57&lt;=W$7,$L57&gt;W$7),((W$7-$K57)/($L57-$K57)))</f>
        <v>0</v>
      </c>
      <c r="Y57" s="201">
        <f t="array" ref="Y57">_xlfn.IFS(AND($K57&gt;X$7,$L57&gt;X$7),0,AND($K57&lt;=X$7,$L57&lt;=X$7),1,AND($K57&lt;=X$7,$L57&gt;X$7),((X$7-$K57)/($L57-$K57)))</f>
        <v>0</v>
      </c>
      <c r="Z57" s="201">
        <f t="array" ref="Z57">_xlfn.IFS(AND($K57&gt;Y$7,$L57&gt;Y$7),0,AND($K57&lt;=Y$7,$L57&lt;=Y$7),1,AND($K57&lt;=Y$7,$L57&gt;Y$7),((Y$7-$K57)/($L57-$K57)))</f>
        <v>0</v>
      </c>
      <c r="AA57" s="201">
        <f t="array" ref="AA57">_xlfn.IFS(AND($K57&gt;Z$7,$L57&gt;Z$7),0,AND($K57&lt;=Z$7,$L57&lt;=Z$7),1,AND($K57&lt;=Z$7,$L57&gt;Z$7),((Z$7-$K57)/($L57-$K57)))</f>
        <v>0</v>
      </c>
      <c r="AB57" s="201">
        <f t="array" ref="AB57">_xlfn.IFS(AND($K57&gt;AA$7,$L57&gt;AA$7),0,AND($K57&lt;=AA$7,$L57&lt;=AA$7),1,AND($K57&lt;=AA$7,$L57&gt;AA$7),((AA$7-$K57)/($L57-$K57)))</f>
        <v>0</v>
      </c>
      <c r="AC57" s="201">
        <f t="array" ref="AC57">_xlfn.IFS(AND($K57&gt;AB$7,$L57&gt;AB$7),0,AND($K57&lt;=AB$7,$L57&lt;=AB$7),1,AND($K57&lt;=AB$7,$L57&gt;AB$7),((AB$7-$K57)/($L57-$K57)))</f>
        <v>0</v>
      </c>
      <c r="AD57" s="201">
        <f t="array" ref="AD57">_xlfn.IFS(AND($K57&gt;AC$7,$L57&gt;AC$7),0,AND($K57&lt;=AC$7,$L57&lt;=AC$7),1,AND($K57&lt;=AC$7,$L57&gt;AC$7),((AC$7-$K57)/($L57-$K57)))</f>
        <v>0</v>
      </c>
      <c r="AE57" s="201">
        <f t="array" ref="AE57">_xlfn.IFS(AND($K57&gt;AD$7,$L57&gt;AD$7),0,AND($K57&lt;=AD$7,$L57&lt;=AD$7),1,AND($K57&lt;=AD$7,$L57&gt;AD$7),((AD$7-$K57)/($L57-$K57)))</f>
        <v>0</v>
      </c>
      <c r="AF57" s="201">
        <f t="array" ref="AF57">_xlfn.IFS(AND($K57&gt;AE$7,$L57&gt;AE$7),0,AND($K57&lt;=AE$7,$L57&lt;=AE$7),1,AND($K57&lt;=AE$7,$L57&gt;AE$7),((AE$7-$K57)/($L57-$K57)))</f>
        <v>0</v>
      </c>
      <c r="AG57" s="201">
        <f t="array" ref="AG57">_xlfn.IFS(AND($K57&gt;AF$7,$L57&gt;AF$7),0,AND($K57&lt;=AF$7,$L57&lt;=AF$7),1,AND($K57&lt;=AF$7,$L57&gt;AF$7),((AF$7-$K57)/($L57-$K57)))</f>
        <v>0</v>
      </c>
      <c r="AH57" s="201">
        <f t="array" ref="AH57">_xlfn.IFS(AND($K57&gt;AG$7,$L57&gt;AG$7),0,AND($K57&lt;=AG$7,$L57&lt;=AG$7),1,AND($K57&lt;=AG$7,$L57&gt;AG$7),((AG$7-$K57)/($L57-$K57)))</f>
        <v>0</v>
      </c>
      <c r="AI57" s="201">
        <f t="array" ref="AI57">_xlfn.IFS(AND($K57&gt;AH$7,$L57&gt;AH$7),0,AND($K57&lt;=AH$7,$L57&lt;=AH$7),1,AND($K57&lt;=AH$7,$L57&gt;AH$7),((AH$7-$K57)/($L57-$K57)))</f>
        <v>0</v>
      </c>
      <c r="AJ57" s="201">
        <f t="array" ref="AJ57">_xlfn.IFS(AND($K57&gt;AI$7,$L57&gt;AI$7),0,AND($K57&lt;=AI$7,$L57&lt;=AI$7),1,AND($K57&lt;=AI$7,$L57&gt;AI$7),((AI$7-$K57)/($L57-$K57)))</f>
        <v>0</v>
      </c>
      <c r="AK57" s="201">
        <f t="array" ref="AK57">_xlfn.IFS(AND($K57&gt;AJ$7,$L57&gt;AJ$7),0,AND($K57&lt;=AJ$7,$L57&lt;=AJ$7),1,AND($K57&lt;=AJ$7,$L57&gt;AJ$7),((AJ$7-$K57)/($L57-$K57)))</f>
        <v>0</v>
      </c>
      <c r="AL57" s="201">
        <f t="array" ref="AL57">_xlfn.IFS(AND($K57&gt;AK$7,$L57&gt;AK$7),0,AND($K57&lt;=AK$7,$L57&lt;=AK$7),1,AND($K57&lt;=AK$7,$L57&gt;AK$7),((AK$7-$K57)/($L57-$K57)))</f>
        <v>1</v>
      </c>
      <c r="AM57" s="201">
        <f t="array" ref="AM57">_xlfn.IFS(AND($K57&gt;AL$7,$L57&gt;AL$7),0,AND($K57&lt;=AL$7,$L57&lt;=AL$7),1,AND($K57&lt;=AL$7,$L57&gt;AL$7),((AL$7-$K57)/($L57-$K57)))</f>
        <v>1</v>
      </c>
      <c r="AN57" s="201">
        <f t="array" ref="AN57">_xlfn.IFS(AND($K57&gt;AM$7,$L57&gt;AM$7),0,AND($K57&lt;=AM$7,$L57&lt;=AM$7),1,AND($K57&lt;=AM$7,$L57&gt;AM$7),((AM$7-$K57)/($L57-$K57)))</f>
        <v>1</v>
      </c>
      <c r="AO57" s="201">
        <f t="array" ref="AO57">_xlfn.IFS(AND($K57&gt;AN$7,$L57&gt;AN$7),0,AND($K57&lt;=AN$7,$L57&lt;=AN$7),1,AND($K57&lt;=AN$7,$L57&gt;AN$7),((AN$7-$K57)/($L57-$K57)))</f>
        <v>1</v>
      </c>
      <c r="AP57" s="201">
        <f t="array" ref="AP57">_xlfn.IFS(AND($K57&gt;AO$7,$L57&gt;AO$7),0,AND($K57&lt;=AO$7,$L57&lt;=AO$7),1,AND($K57&lt;=AO$7,$L57&gt;AO$7),((AO$7-$K57)/($L57-$K57)))</f>
        <v>1</v>
      </c>
      <c r="AQ57" s="201">
        <f t="array" ref="AQ57">_xlfn.IFS(AND($K57&gt;AP$7,$L57&gt;AP$7),0,AND($K57&lt;=AP$7,$L57&lt;=AP$7),1,AND($K57&lt;=AP$7,$L57&gt;AP$7),((AP$7-$K57)/($L57-$K57)))</f>
        <v>1</v>
      </c>
      <c r="AR57" s="201">
        <f t="array" ref="AR57">_xlfn.IFS(AND($K57&gt;AQ$7,$L57&gt;AQ$7),0,AND($K57&lt;=AQ$7,$L57&lt;=AQ$7),1,AND($K57&lt;=AQ$7,$L57&gt;AQ$7),((AQ$7-$K57)/($L57-$K57)))</f>
        <v>1</v>
      </c>
      <c r="AS57" s="201">
        <f t="array" ref="AS57">_xlfn.IFS(AND($K57&gt;AR$7,$L57&gt;AR$7),0,AND($K57&lt;=AR$7,$L57&lt;=AR$7),1,AND($K57&lt;=AR$7,$L57&gt;AR$7),((AR$7-$K57)/($L57-$K57)))</f>
        <v>1</v>
      </c>
      <c r="AT57" s="201">
        <f t="array" ref="AT57">_xlfn.IFS(AND($K57&gt;AS$7,$L57&gt;AS$7),0,AND($K57&lt;=AS$7,$L57&lt;=AS$7),1,AND($K57&lt;=AS$7,$L57&gt;AS$7),((AS$7-$K57)/($L57-$K57)))</f>
        <v>1</v>
      </c>
      <c r="AU57" s="201">
        <f t="array" ref="AU57">_xlfn.IFS(AND($K57&gt;AT$7,$L57&gt;AT$7),0,AND($K57&lt;=AT$7,$L57&lt;=AT$7),1,AND($K57&lt;=AT$7,$L57&gt;AT$7),((AT$7-$K57)/($L57-$K57)))</f>
        <v>1</v>
      </c>
      <c r="AV57" s="201">
        <f t="array" ref="AV57">_xlfn.IFS(AND($K57&gt;AU$7,$L57&gt;AU$7),0,AND($K57&lt;=AU$7,$L57&lt;=AU$7),1,AND($K57&lt;=AU$7,$L57&gt;AU$7),((AU$7-$K57)/($L57-$K57)))</f>
        <v>1</v>
      </c>
      <c r="AW57" s="201">
        <f t="array" ref="AW57">_xlfn.IFS(AND($K57&gt;AV$7,$L57&gt;AV$7),0,AND($K57&lt;=AV$7,$L57&lt;=AV$7),1,AND($K57&lt;=AV$7,$L57&gt;AV$7),((AV$7-$K57)/($L57-$K57)))</f>
        <v>1</v>
      </c>
      <c r="AX57" s="201">
        <f t="array" ref="AX57">_xlfn.IFS(AND($K57&gt;AW$7,$L57&gt;AW$7),0,AND($K57&lt;=AW$7,$L57&lt;=AW$7),1,AND($K57&lt;=AW$7,$L57&gt;AW$7),((AW$7-$K57)/($L57-$K57)))</f>
        <v>1</v>
      </c>
      <c r="AY57" s="201">
        <f t="array" ref="AY57">_xlfn.IFS(AND($K57&gt;AX$7,$L57&gt;AX$7),0,AND($K57&lt;=AX$7,$L57&lt;=AX$7),1,AND($K57&lt;=AX$7,$L57&gt;AX$7),((AX$7-$K57)/($L57-$K57)))</f>
        <v>1</v>
      </c>
      <c r="AZ57" s="201">
        <f t="array" ref="AZ57">_xlfn.IFS(AND($K57&gt;AY$7,$L57&gt;AY$7),0,AND($K57&lt;=AY$7,$L57&lt;=AY$7),1,AND($K57&lt;=AY$7,$L57&gt;AY$7),((AY$7-$K57)/($L57-$K57)))</f>
        <v>1</v>
      </c>
      <c r="BA57" s="201">
        <f t="array" ref="BA57">_xlfn.IFS(AND($K57&gt;AZ$7,$L57&gt;AZ$7),0,AND($K57&lt;=AZ$7,$L57&lt;=AZ$7),1,AND($K57&lt;=AZ$7,$L57&gt;AZ$7),((AZ$7-$K57)/($L57-$K57)))</f>
        <v>1</v>
      </c>
      <c r="BB57" s="201">
        <f t="array" ref="BB57">_xlfn.IFS(AND($K57&gt;BA$7,$L57&gt;BA$7),0,AND($K57&lt;=BA$7,$L57&lt;=BA$7),1,AND($K57&lt;=BA$7,$L57&gt;BA$7),((BA$7-$K57)/($L57-$K57)))</f>
        <v>1</v>
      </c>
      <c r="BC57" s="201">
        <f t="array" ref="BC57">_xlfn.IFS(AND($K57&gt;BB$7,$L57&gt;BB$7),0,AND($K57&lt;=BB$7,$L57&lt;=BB$7),1,AND($K57&lt;=BB$7,$L57&gt;BB$7),((BB$7-$K57)/($L57-$K57)))</f>
        <v>1</v>
      </c>
      <c r="BD57" s="201">
        <f t="array" ref="BD57">_xlfn.IFS(AND($K57&gt;BC$7,$L57&gt;BC$7),0,AND($K57&lt;=BC$7,$L57&lt;=BC$7),1,AND($K57&lt;=BC$7,$L57&gt;BC$7),((BC$7-$K57)/($L57-$K57)))</f>
        <v>1</v>
      </c>
      <c r="BE57" s="201">
        <f t="array" ref="BE57">_xlfn.IFS(AND($K57&gt;BD$7,$L57&gt;BD$7),0,AND($K57&lt;=BD$7,$L57&lt;=BD$7),1,AND($K57&lt;=BD$7,$L57&gt;BD$7),((BD$7-$K57)/($L57-$K57)))</f>
        <v>1</v>
      </c>
      <c r="BF57" s="201">
        <f t="array" ref="BF57">_xlfn.IFS(AND($K57&gt;BE$7,$L57&gt;BE$7),0,AND($K57&lt;=BE$7,$L57&lt;=BE$7),1,AND($K57&lt;=BE$7,$L57&gt;BE$7),((BE$7-$K57)/($L57-$K57)))</f>
        <v>1</v>
      </c>
      <c r="BG57" s="201">
        <f t="array" ref="BG57">_xlfn.IFS(AND($K57&gt;BF$7,$L57&gt;BF$7),0,AND($K57&lt;=BF$7,$L57&lt;=BF$7),1,AND($K57&lt;=BF$7,$L57&gt;BF$7),((BF$7-$K57)/($L57-$K57)))</f>
        <v>1</v>
      </c>
      <c r="BH57" s="201">
        <f t="array" ref="BH57">_xlfn.IFS(AND($K57&gt;BG$7,$L57&gt;BG$7),0,AND($K57&lt;=BG$7,$L57&lt;=BG$7),1,AND($K57&lt;=BG$7,$L57&gt;BG$7),((BG$7-$K57)/($L57-$K57)))</f>
        <v>1</v>
      </c>
      <c r="BI57" s="201">
        <f t="array" ref="BI57">_xlfn.IFS(AND($K57&gt;BH$7,$L57&gt;BH$7),0,AND($K57&lt;=BH$7,$L57&lt;=BH$7),1,AND($K57&lt;=BH$7,$L57&gt;BH$7),((BH$7-$K57)/($L57-$K57)))</f>
        <v>1</v>
      </c>
      <c r="BJ57" s="201">
        <f t="array" ref="BJ57">_xlfn.IFS(AND($K57&gt;BI$7,$L57&gt;BI$7),0,AND($K57&lt;=BI$7,$L57&lt;=BI$7),1,AND($K57&lt;=BI$7,$L57&gt;BI$7),((BI$7-$K57)/($L57-$K57)))</f>
        <v>1</v>
      </c>
      <c r="BK57" s="201">
        <f t="array" ref="BK57">_xlfn.IFS(AND($K57&gt;BJ$7,$L57&gt;BJ$7),0,AND($K57&lt;=BJ$7,$L57&lt;=BJ$7),1,AND($K57&lt;=BJ$7,$L57&gt;BJ$7),((BJ$7-$K57)/($L57-$K57)))</f>
        <v>1</v>
      </c>
      <c r="BL57" s="201">
        <f t="array" ref="BL57">_xlfn.IFS(AND($K57&gt;BK$7,$L57&gt;BK$7),0,AND($K57&lt;=BK$7,$L57&lt;=BK$7),1,AND($K57&lt;=BK$7,$L57&gt;BK$7),((BK$7-$K57)/($L57-$K57)))</f>
        <v>1</v>
      </c>
      <c r="BM57" s="201">
        <f t="array" ref="BM57">_xlfn.IFS(AND($K57&gt;BL$7,$L57&gt;BL$7),0,AND($K57&lt;=BL$7,$L57&lt;=BL$7),1,AND($K57&lt;=BL$7,$L57&gt;BL$7),((BL$7-$K57)/($L57-$K57)))</f>
        <v>1</v>
      </c>
      <c r="BN57" s="201">
        <f t="array" ref="BN57">_xlfn.IFS(AND($K57&gt;BM$7,$L57&gt;BM$7),0,AND($K57&lt;=BM$7,$L57&lt;=BM$7),1,AND($K57&lt;=BM$7,$L57&gt;BM$7),((BM$7-$K57)/($L57-$K57)))</f>
        <v>1</v>
      </c>
    </row>
    <row r="58" spans="2:66" s="163" customFormat="1" ht="23.55" customHeight="1" x14ac:dyDescent="0.3">
      <c r="B58" s="166" t="s">
        <v>161</v>
      </c>
      <c r="C58" s="166" t="s">
        <v>164</v>
      </c>
      <c r="D58" s="177"/>
      <c r="E58" s="170" t="str">
        <f t="shared" si="30"/>
        <v>Desenvolvimento da Transformação dos Processos</v>
      </c>
      <c r="F58" s="174" t="str">
        <f t="shared" si="33"/>
        <v>Diagnóstico de Maturidade do Processo</v>
      </c>
      <c r="G58" s="166" t="str">
        <f t="shared" si="36"/>
        <v>Diagnóstico de Maturidade do Processo</v>
      </c>
      <c r="H58" s="197" t="s">
        <v>165</v>
      </c>
      <c r="I58" s="166">
        <v>45838</v>
      </c>
      <c r="J58" s="166">
        <v>45842</v>
      </c>
      <c r="K58" s="166">
        <v>45838</v>
      </c>
      <c r="L58" s="166">
        <v>45842</v>
      </c>
      <c r="M58" s="167"/>
      <c r="N58" s="167" t="str">
        <f t="array" ref="N58">_xlfn.IFS(L58&lt;$M$3,"Concluído",AND(K58&gt;=$M$3,I58&lt;$M$3,L58&gt;$M$3),"Em andamento",AND(L58&gt;=$M$3,J58&lt;$M$3),"Atrasado",AND(L58&gt;=$M$3,J58&gt;=$M$3,I58&gt;$M$3,K58&lt;=$M$3),"Em andamento",AND(L58&gt;=$M$3,J58&gt;=$M$3,I58&lt;=$M$3,K58&lt;=$M$3),"Em andamento",AND(K58&gt;$M$3,I58&gt;$M$3),"Não iniciado",AND(L58&gt;=$M$3,J58&gt;=$M$3,K58&gt;=$M$3,I58&lt;$M$3),"Atrasado",AND(L58&gt;=$M$3,J58&gt;=$M$3,K58&gt;=$M$3,I58&gt;$M$3),"Não iniciado",AND($I58&lt;=$M$3,$K58&gt;$M$3),"Atrasado")</f>
        <v>Concluído</v>
      </c>
      <c r="O58" s="167">
        <f t="array" ref="O58">_xlfn.IFS(N58="Não iniciado",0,N58="Em andamento",1,N58="Concluído",2,N58="Atrasado",3)</f>
        <v>2</v>
      </c>
      <c r="P58" s="169"/>
      <c r="Q58" s="152">
        <f t="array" ref="Q58">_xlfn.IFS(AND($I58&lt;$M$3,$J58&lt;$M$3),1,AND($I58&lt;$M$3,$J58&gt;=$M$3),0.5,AND($I58&gt;=$M$3,$J58&gt;=$M$3),0)</f>
        <v>1</v>
      </c>
      <c r="R58" s="152">
        <f t="array" ref="R58">_xlfn.IFS(AND($K58&lt;$M$3,$L58&lt;$M$3),1,AND($K58&lt;=$M$3,$L58&gt;=$M$3),0.5,AND($K58&gt;=$M$3,$L58&gt;=$M$3),0)</f>
        <v>1</v>
      </c>
      <c r="S58" s="201">
        <f t="array" ref="S58">_xlfn.IFS(AND($K58&gt;R$7,$L58&gt;R$7),0,AND($K58&lt;=R$7,$L58&lt;=R$7),1,AND($K58&lt;=R$7,$L58&gt;R$7),((R$7-$K58)/($L58-$K58)))</f>
        <v>0</v>
      </c>
      <c r="T58" s="201">
        <f t="array" ref="T58">_xlfn.IFS(AND($K58&gt;S$7,$L58&gt;S$7),0,AND($K58&lt;=S$7,$L58&lt;=S$7),1,AND($K58&lt;=S$7,$L58&gt;S$7),((S$7-$K58)/($L58-$K58)))</f>
        <v>0</v>
      </c>
      <c r="U58" s="201">
        <f t="array" ref="U58">_xlfn.IFS(AND($K58&gt;T$7,$L58&gt;T$7),0,AND($K58&lt;=T$7,$L58&lt;=T$7),1,AND($K58&lt;=T$7,$L58&gt;T$7),((T$7-$K58)/($L58-$K58)))</f>
        <v>0</v>
      </c>
      <c r="V58" s="201">
        <f t="array" ref="V58">_xlfn.IFS(AND($K58&gt;U$7,$L58&gt;U$7),0,AND($K58&lt;=U$7,$L58&lt;=U$7),1,AND($K58&lt;=U$7,$L58&gt;U$7),((U$7-$K58)/($L58-$K58)))</f>
        <v>0</v>
      </c>
      <c r="W58" s="201">
        <f t="array" ref="W58">_xlfn.IFS(AND($K58&gt;V$7,$L58&gt;V$7),0,AND($K58&lt;=V$7,$L58&lt;=V$7),1,AND($K58&lt;=V$7,$L58&gt;V$7),((V$7-$K58)/($L58-$K58)))</f>
        <v>0</v>
      </c>
      <c r="X58" s="201">
        <f t="array" ref="X58">_xlfn.IFS(AND($K58&gt;W$7,$L58&gt;W$7),0,AND($K58&lt;=W$7,$L58&lt;=W$7),1,AND($K58&lt;=W$7,$L58&gt;W$7),((W$7-$K58)/($L58-$K58)))</f>
        <v>0</v>
      </c>
      <c r="Y58" s="201">
        <f t="array" ref="Y58">_xlfn.IFS(AND($K58&gt;X$7,$L58&gt;X$7),0,AND($K58&lt;=X$7,$L58&lt;=X$7),1,AND($K58&lt;=X$7,$L58&gt;X$7),((X$7-$K58)/($L58-$K58)))</f>
        <v>0</v>
      </c>
      <c r="Z58" s="201">
        <f t="array" ref="Z58">_xlfn.IFS(AND($K58&gt;Y$7,$L58&gt;Y$7),0,AND($K58&lt;=Y$7,$L58&lt;=Y$7),1,AND($K58&lt;=Y$7,$L58&gt;Y$7),((Y$7-$K58)/($L58-$K58)))</f>
        <v>0</v>
      </c>
      <c r="AA58" s="201">
        <f t="array" ref="AA58">_xlfn.IFS(AND($K58&gt;Z$7,$L58&gt;Z$7),0,AND($K58&lt;=Z$7,$L58&lt;=Z$7),1,AND($K58&lt;=Z$7,$L58&gt;Z$7),((Z$7-$K58)/($L58-$K58)))</f>
        <v>0</v>
      </c>
      <c r="AB58" s="201">
        <f t="array" ref="AB58">_xlfn.IFS(AND($K58&gt;AA$7,$L58&gt;AA$7),0,AND($K58&lt;=AA$7,$L58&lt;=AA$7),1,AND($K58&lt;=AA$7,$L58&gt;AA$7),((AA$7-$K58)/($L58-$K58)))</f>
        <v>0</v>
      </c>
      <c r="AC58" s="201">
        <f t="array" ref="AC58">_xlfn.IFS(AND($K58&gt;AB$7,$L58&gt;AB$7),0,AND($K58&lt;=AB$7,$L58&lt;=AB$7),1,AND($K58&lt;=AB$7,$L58&gt;AB$7),((AB$7-$K58)/($L58-$K58)))</f>
        <v>0</v>
      </c>
      <c r="AD58" s="201">
        <f t="array" ref="AD58">_xlfn.IFS(AND($K58&gt;AC$7,$L58&gt;AC$7),0,AND($K58&lt;=AC$7,$L58&lt;=AC$7),1,AND($K58&lt;=AC$7,$L58&gt;AC$7),((AC$7-$K58)/($L58-$K58)))</f>
        <v>0</v>
      </c>
      <c r="AE58" s="201">
        <f t="array" ref="AE58">_xlfn.IFS(AND($K58&gt;AD$7,$L58&gt;AD$7),0,AND($K58&lt;=AD$7,$L58&lt;=AD$7),1,AND($K58&lt;=AD$7,$L58&gt;AD$7),((AD$7-$K58)/($L58-$K58)))</f>
        <v>0</v>
      </c>
      <c r="AF58" s="201">
        <f t="array" ref="AF58">_xlfn.IFS(AND($K58&gt;AE$7,$L58&gt;AE$7),0,AND($K58&lt;=AE$7,$L58&lt;=AE$7),1,AND($K58&lt;=AE$7,$L58&gt;AE$7),((AE$7-$K58)/($L58-$K58)))</f>
        <v>0</v>
      </c>
      <c r="AG58" s="201">
        <f t="array" ref="AG58">_xlfn.IFS(AND($K58&gt;AF$7,$L58&gt;AF$7),0,AND($K58&lt;=AF$7,$L58&lt;=AF$7),1,AND($K58&lt;=AF$7,$L58&gt;AF$7),((AF$7-$K58)/($L58-$K58)))</f>
        <v>0</v>
      </c>
      <c r="AH58" s="201">
        <f t="array" ref="AH58">_xlfn.IFS(AND($K58&gt;AG$7,$L58&gt;AG$7),0,AND($K58&lt;=AG$7,$L58&lt;=AG$7),1,AND($K58&lt;=AG$7,$L58&gt;AG$7),((AG$7-$K58)/($L58-$K58)))</f>
        <v>0</v>
      </c>
      <c r="AI58" s="201">
        <f t="array" ref="AI58">_xlfn.IFS(AND($K58&gt;AH$7,$L58&gt;AH$7),0,AND($K58&lt;=AH$7,$L58&lt;=AH$7),1,AND($K58&lt;=AH$7,$L58&gt;AH$7),((AH$7-$K58)/($L58-$K58)))</f>
        <v>0</v>
      </c>
      <c r="AJ58" s="201">
        <f t="array" ref="AJ58">_xlfn.IFS(AND($K58&gt;AI$7,$L58&gt;AI$7),0,AND($K58&lt;=AI$7,$L58&lt;=AI$7),1,AND($K58&lt;=AI$7,$L58&gt;AI$7),((AI$7-$K58)/($L58-$K58)))</f>
        <v>0</v>
      </c>
      <c r="AK58" s="201">
        <f t="array" ref="AK58">_xlfn.IFS(AND($K58&gt;AJ$7,$L58&gt;AJ$7),0,AND($K58&lt;=AJ$7,$L58&lt;=AJ$7),1,AND($K58&lt;=AJ$7,$L58&gt;AJ$7),((AJ$7-$K58)/($L58-$K58)))</f>
        <v>0</v>
      </c>
      <c r="AL58" s="201">
        <f t="array" ref="AL58">_xlfn.IFS(AND($K58&gt;AK$7,$L58&gt;AK$7),0,AND($K58&lt;=AK$7,$L58&lt;=AK$7),1,AND($K58&lt;=AK$7,$L58&gt;AK$7),((AK$7-$K58)/($L58-$K58)))</f>
        <v>0</v>
      </c>
      <c r="AM58" s="201">
        <f t="array" ref="AM58">_xlfn.IFS(AND($K58&gt;AL$7,$L58&gt;AL$7),0,AND($K58&lt;=AL$7,$L58&lt;=AL$7),1,AND($K58&lt;=AL$7,$L58&gt;AL$7),((AL$7-$K58)/($L58-$K58)))</f>
        <v>0</v>
      </c>
      <c r="AN58" s="201">
        <f t="array" ref="AN58">_xlfn.IFS(AND($K58&gt;AM$7,$L58&gt;AM$7),0,AND($K58&lt;=AM$7,$L58&lt;=AM$7),1,AND($K58&lt;=AM$7,$L58&gt;AM$7),((AM$7-$K58)/($L58-$K58)))</f>
        <v>0</v>
      </c>
      <c r="AO58" s="201">
        <f t="array" ref="AO58">_xlfn.IFS(AND($K58&gt;AN$7,$L58&gt;AN$7),0,AND($K58&lt;=AN$7,$L58&lt;=AN$7),1,AND($K58&lt;=AN$7,$L58&gt;AN$7),((AN$7-$K58)/($L58-$K58)))</f>
        <v>1</v>
      </c>
      <c r="AP58" s="201">
        <f t="array" ref="AP58">_xlfn.IFS(AND($K58&gt;AO$7,$L58&gt;AO$7),0,AND($K58&lt;=AO$7,$L58&lt;=AO$7),1,AND($K58&lt;=AO$7,$L58&gt;AO$7),((AO$7-$K58)/($L58-$K58)))</f>
        <v>1</v>
      </c>
      <c r="AQ58" s="201">
        <f t="array" ref="AQ58">_xlfn.IFS(AND($K58&gt;AP$7,$L58&gt;AP$7),0,AND($K58&lt;=AP$7,$L58&lt;=AP$7),1,AND($K58&lt;=AP$7,$L58&gt;AP$7),((AP$7-$K58)/($L58-$K58)))</f>
        <v>1</v>
      </c>
      <c r="AR58" s="201">
        <f t="array" ref="AR58">_xlfn.IFS(AND($K58&gt;AQ$7,$L58&gt;AQ$7),0,AND($K58&lt;=AQ$7,$L58&lt;=AQ$7),1,AND($K58&lt;=AQ$7,$L58&gt;AQ$7),((AQ$7-$K58)/($L58-$K58)))</f>
        <v>1</v>
      </c>
      <c r="AS58" s="201">
        <f t="array" ref="AS58">_xlfn.IFS(AND($K58&gt;AR$7,$L58&gt;AR$7),0,AND($K58&lt;=AR$7,$L58&lt;=AR$7),1,AND($K58&lt;=AR$7,$L58&gt;AR$7),((AR$7-$K58)/($L58-$K58)))</f>
        <v>1</v>
      </c>
      <c r="AT58" s="201">
        <f t="array" ref="AT58">_xlfn.IFS(AND($K58&gt;AS$7,$L58&gt;AS$7),0,AND($K58&lt;=AS$7,$L58&lt;=AS$7),1,AND($K58&lt;=AS$7,$L58&gt;AS$7),((AS$7-$K58)/($L58-$K58)))</f>
        <v>1</v>
      </c>
      <c r="AU58" s="201">
        <f t="array" ref="AU58">_xlfn.IFS(AND($K58&gt;AT$7,$L58&gt;AT$7),0,AND($K58&lt;=AT$7,$L58&lt;=AT$7),1,AND($K58&lt;=AT$7,$L58&gt;AT$7),((AT$7-$K58)/($L58-$K58)))</f>
        <v>1</v>
      </c>
      <c r="AV58" s="201">
        <f t="array" ref="AV58">_xlfn.IFS(AND($K58&gt;AU$7,$L58&gt;AU$7),0,AND($K58&lt;=AU$7,$L58&lt;=AU$7),1,AND($K58&lt;=AU$7,$L58&gt;AU$7),((AU$7-$K58)/($L58-$K58)))</f>
        <v>1</v>
      </c>
      <c r="AW58" s="201">
        <f t="array" ref="AW58">_xlfn.IFS(AND($K58&gt;AV$7,$L58&gt;AV$7),0,AND($K58&lt;=AV$7,$L58&lt;=AV$7),1,AND($K58&lt;=AV$7,$L58&gt;AV$7),((AV$7-$K58)/($L58-$K58)))</f>
        <v>1</v>
      </c>
      <c r="AX58" s="201">
        <f t="array" ref="AX58">_xlfn.IFS(AND($K58&gt;AW$7,$L58&gt;AW$7),0,AND($K58&lt;=AW$7,$L58&lt;=AW$7),1,AND($K58&lt;=AW$7,$L58&gt;AW$7),((AW$7-$K58)/($L58-$K58)))</f>
        <v>1</v>
      </c>
      <c r="AY58" s="201">
        <f t="array" ref="AY58">_xlfn.IFS(AND($K58&gt;AX$7,$L58&gt;AX$7),0,AND($K58&lt;=AX$7,$L58&lt;=AX$7),1,AND($K58&lt;=AX$7,$L58&gt;AX$7),((AX$7-$K58)/($L58-$K58)))</f>
        <v>1</v>
      </c>
      <c r="AZ58" s="201">
        <f t="array" ref="AZ58">_xlfn.IFS(AND($K58&gt;AY$7,$L58&gt;AY$7),0,AND($K58&lt;=AY$7,$L58&lt;=AY$7),1,AND($K58&lt;=AY$7,$L58&gt;AY$7),((AY$7-$K58)/($L58-$K58)))</f>
        <v>1</v>
      </c>
      <c r="BA58" s="201">
        <f t="array" ref="BA58">_xlfn.IFS(AND($K58&gt;AZ$7,$L58&gt;AZ$7),0,AND($K58&lt;=AZ$7,$L58&lt;=AZ$7),1,AND($K58&lt;=AZ$7,$L58&gt;AZ$7),((AZ$7-$K58)/($L58-$K58)))</f>
        <v>1</v>
      </c>
      <c r="BB58" s="201">
        <f t="array" ref="BB58">_xlfn.IFS(AND($K58&gt;BA$7,$L58&gt;BA$7),0,AND($K58&lt;=BA$7,$L58&lt;=BA$7),1,AND($K58&lt;=BA$7,$L58&gt;BA$7),((BA$7-$K58)/($L58-$K58)))</f>
        <v>1</v>
      </c>
      <c r="BC58" s="201">
        <f t="array" ref="BC58">_xlfn.IFS(AND($K58&gt;BB$7,$L58&gt;BB$7),0,AND($K58&lt;=BB$7,$L58&lt;=BB$7),1,AND($K58&lt;=BB$7,$L58&gt;BB$7),((BB$7-$K58)/($L58-$K58)))</f>
        <v>1</v>
      </c>
      <c r="BD58" s="201">
        <f t="array" ref="BD58">_xlfn.IFS(AND($K58&gt;BC$7,$L58&gt;BC$7),0,AND($K58&lt;=BC$7,$L58&lt;=BC$7),1,AND($K58&lt;=BC$7,$L58&gt;BC$7),((BC$7-$K58)/($L58-$K58)))</f>
        <v>1</v>
      </c>
      <c r="BE58" s="201">
        <f t="array" ref="BE58">_xlfn.IFS(AND($K58&gt;BD$7,$L58&gt;BD$7),0,AND($K58&lt;=BD$7,$L58&lt;=BD$7),1,AND($K58&lt;=BD$7,$L58&gt;BD$7),((BD$7-$K58)/($L58-$K58)))</f>
        <v>1</v>
      </c>
      <c r="BF58" s="201">
        <f t="array" ref="BF58">_xlfn.IFS(AND($K58&gt;BE$7,$L58&gt;BE$7),0,AND($K58&lt;=BE$7,$L58&lt;=BE$7),1,AND($K58&lt;=BE$7,$L58&gt;BE$7),((BE$7-$K58)/($L58-$K58)))</f>
        <v>1</v>
      </c>
      <c r="BG58" s="201">
        <f t="array" ref="BG58">_xlfn.IFS(AND($K58&gt;BF$7,$L58&gt;BF$7),0,AND($K58&lt;=BF$7,$L58&lt;=BF$7),1,AND($K58&lt;=BF$7,$L58&gt;BF$7),((BF$7-$K58)/($L58-$K58)))</f>
        <v>1</v>
      </c>
      <c r="BH58" s="201">
        <f t="array" ref="BH58">_xlfn.IFS(AND($K58&gt;BG$7,$L58&gt;BG$7),0,AND($K58&lt;=BG$7,$L58&lt;=BG$7),1,AND($K58&lt;=BG$7,$L58&gt;BG$7),((BG$7-$K58)/($L58-$K58)))</f>
        <v>1</v>
      </c>
      <c r="BI58" s="201">
        <f t="array" ref="BI58">_xlfn.IFS(AND($K58&gt;BH$7,$L58&gt;BH$7),0,AND($K58&lt;=BH$7,$L58&lt;=BH$7),1,AND($K58&lt;=BH$7,$L58&gt;BH$7),((BH$7-$K58)/($L58-$K58)))</f>
        <v>1</v>
      </c>
      <c r="BJ58" s="201">
        <f t="array" ref="BJ58">_xlfn.IFS(AND($K58&gt;BI$7,$L58&gt;BI$7),0,AND($K58&lt;=BI$7,$L58&lt;=BI$7),1,AND($K58&lt;=BI$7,$L58&gt;BI$7),((BI$7-$K58)/($L58-$K58)))</f>
        <v>1</v>
      </c>
      <c r="BK58" s="201">
        <f t="array" ref="BK58">_xlfn.IFS(AND($K58&gt;BJ$7,$L58&gt;BJ$7),0,AND($K58&lt;=BJ$7,$L58&lt;=BJ$7),1,AND($K58&lt;=BJ$7,$L58&gt;BJ$7),((BJ$7-$K58)/($L58-$K58)))</f>
        <v>1</v>
      </c>
      <c r="BL58" s="201">
        <f t="array" ref="BL58">_xlfn.IFS(AND($K58&gt;BK$7,$L58&gt;BK$7),0,AND($K58&lt;=BK$7,$L58&lt;=BK$7),1,AND($K58&lt;=BK$7,$L58&gt;BK$7),((BK$7-$K58)/($L58-$K58)))</f>
        <v>1</v>
      </c>
      <c r="BM58" s="201">
        <f t="array" ref="BM58">_xlfn.IFS(AND($K58&gt;BL$7,$L58&gt;BL$7),0,AND($K58&lt;=BL$7,$L58&lt;=BL$7),1,AND($K58&lt;=BL$7,$L58&gt;BL$7),((BL$7-$K58)/($L58-$K58)))</f>
        <v>1</v>
      </c>
      <c r="BN58" s="201">
        <f t="array" ref="BN58">_xlfn.IFS(AND($K58&gt;BM$7,$L58&gt;BM$7),0,AND($K58&lt;=BM$7,$L58&lt;=BM$7),1,AND($K58&lt;=BM$7,$L58&gt;BM$7),((BM$7-$K58)/($L58-$K58)))</f>
        <v>1</v>
      </c>
    </row>
    <row r="59" spans="2:66" s="163" customFormat="1" ht="23.55" customHeight="1" x14ac:dyDescent="0.3">
      <c r="B59" s="166" t="s">
        <v>161</v>
      </c>
      <c r="C59" s="166" t="s">
        <v>166</v>
      </c>
      <c r="D59" s="177"/>
      <c r="E59" s="170" t="str">
        <f t="shared" si="30"/>
        <v>Desenvolvimento da Transformação dos Processos</v>
      </c>
      <c r="F59" s="174" t="str">
        <f t="shared" si="33"/>
        <v>Diagnóstico de Maturidade do Processo</v>
      </c>
      <c r="G59" s="166" t="str">
        <f t="shared" si="36"/>
        <v>Diagnóstico de Maturidade do Processo</v>
      </c>
      <c r="H59" s="197" t="s">
        <v>167</v>
      </c>
      <c r="I59" s="166">
        <v>45838</v>
      </c>
      <c r="J59" s="166">
        <v>45842</v>
      </c>
      <c r="K59" s="166">
        <v>45838</v>
      </c>
      <c r="L59" s="166">
        <v>45842</v>
      </c>
      <c r="M59" s="167"/>
      <c r="N59" s="167" t="str">
        <f t="array" ref="N59">_xlfn.IFS(L59&lt;$M$3,"Concluído",AND(K59&gt;=$M$3,I59&lt;$M$3,L59&gt;$M$3),"Em andamento",AND(L59&gt;=$M$3,J59&lt;$M$3),"Atrasado",AND(L59&gt;=$M$3,J59&gt;=$M$3,I59&gt;$M$3,K59&lt;=$M$3),"Em andamento",AND(L59&gt;=$M$3,J59&gt;=$M$3,I59&lt;=$M$3,K59&lt;=$M$3),"Em andamento",AND(K59&gt;$M$3,I59&gt;$M$3),"Não iniciado",AND(L59&gt;=$M$3,J59&gt;=$M$3,K59&gt;=$M$3,I59&lt;$M$3),"Atrasado",AND(L59&gt;=$M$3,J59&gt;=$M$3,K59&gt;=$M$3,I59&gt;$M$3),"Não iniciado",AND($I59&lt;=$M$3,$K59&gt;$M$3),"Atrasado")</f>
        <v>Concluído</v>
      </c>
      <c r="O59" s="167">
        <f t="array" ref="O59">_xlfn.IFS(N59="Não iniciado",0,N59="Em andamento",1,N59="Concluído",2,N59="Atrasado",3)</f>
        <v>2</v>
      </c>
      <c r="P59" s="169"/>
      <c r="Q59" s="152">
        <f t="array" ref="Q59">_xlfn.IFS(AND($I59&lt;$M$3,$J59&lt;$M$3),1,AND($I59&lt;$M$3,$J59&gt;=$M$3),0.5,AND($I59&gt;=$M$3,$J59&gt;=$M$3),0)</f>
        <v>1</v>
      </c>
      <c r="R59" s="152">
        <f t="array" ref="R59">_xlfn.IFS(AND($K59&lt;$M$3,$L59&lt;$M$3),1,AND($K59&lt;=$M$3,$L59&gt;=$M$3),0.5,AND($K59&gt;=$M$3,$L59&gt;=$M$3),0)</f>
        <v>1</v>
      </c>
      <c r="S59" s="201">
        <f t="array" ref="S59">_xlfn.IFS(AND($K59&gt;R$7,$L59&gt;R$7),0,AND($K59&lt;=R$7,$L59&lt;=R$7),1,AND($K59&lt;=R$7,$L59&gt;R$7),((R$7-$K59)/($L59-$K59)))</f>
        <v>0</v>
      </c>
      <c r="T59" s="201">
        <f t="array" ref="T59">_xlfn.IFS(AND($K59&gt;S$7,$L59&gt;S$7),0,AND($K59&lt;=S$7,$L59&lt;=S$7),1,AND($K59&lt;=S$7,$L59&gt;S$7),((S$7-$K59)/($L59-$K59)))</f>
        <v>0</v>
      </c>
      <c r="U59" s="201">
        <f t="array" ref="U59">_xlfn.IFS(AND($K59&gt;T$7,$L59&gt;T$7),0,AND($K59&lt;=T$7,$L59&lt;=T$7),1,AND($K59&lt;=T$7,$L59&gt;T$7),((T$7-$K59)/($L59-$K59)))</f>
        <v>0</v>
      </c>
      <c r="V59" s="201">
        <f t="array" ref="V59">_xlfn.IFS(AND($K59&gt;U$7,$L59&gt;U$7),0,AND($K59&lt;=U$7,$L59&lt;=U$7),1,AND($K59&lt;=U$7,$L59&gt;U$7),((U$7-$K59)/($L59-$K59)))</f>
        <v>0</v>
      </c>
      <c r="W59" s="201">
        <f t="array" ref="W59">_xlfn.IFS(AND($K59&gt;V$7,$L59&gt;V$7),0,AND($K59&lt;=V$7,$L59&lt;=V$7),1,AND($K59&lt;=V$7,$L59&gt;V$7),((V$7-$K59)/($L59-$K59)))</f>
        <v>0</v>
      </c>
      <c r="X59" s="201">
        <f t="array" ref="X59">_xlfn.IFS(AND($K59&gt;W$7,$L59&gt;W$7),0,AND($K59&lt;=W$7,$L59&lt;=W$7),1,AND($K59&lt;=W$7,$L59&gt;W$7),((W$7-$K59)/($L59-$K59)))</f>
        <v>0</v>
      </c>
      <c r="Y59" s="201">
        <f t="array" ref="Y59">_xlfn.IFS(AND($K59&gt;X$7,$L59&gt;X$7),0,AND($K59&lt;=X$7,$L59&lt;=X$7),1,AND($K59&lt;=X$7,$L59&gt;X$7),((X$7-$K59)/($L59-$K59)))</f>
        <v>0</v>
      </c>
      <c r="Z59" s="201">
        <f t="array" ref="Z59">_xlfn.IFS(AND($K59&gt;Y$7,$L59&gt;Y$7),0,AND($K59&lt;=Y$7,$L59&lt;=Y$7),1,AND($K59&lt;=Y$7,$L59&gt;Y$7),((Y$7-$K59)/($L59-$K59)))</f>
        <v>0</v>
      </c>
      <c r="AA59" s="201">
        <f t="array" ref="AA59">_xlfn.IFS(AND($K59&gt;Z$7,$L59&gt;Z$7),0,AND($K59&lt;=Z$7,$L59&lt;=Z$7),1,AND($K59&lt;=Z$7,$L59&gt;Z$7),((Z$7-$K59)/($L59-$K59)))</f>
        <v>0</v>
      </c>
      <c r="AB59" s="201">
        <f t="array" ref="AB59">_xlfn.IFS(AND($K59&gt;AA$7,$L59&gt;AA$7),0,AND($K59&lt;=AA$7,$L59&lt;=AA$7),1,AND($K59&lt;=AA$7,$L59&gt;AA$7),((AA$7-$K59)/($L59-$K59)))</f>
        <v>0</v>
      </c>
      <c r="AC59" s="201">
        <f t="array" ref="AC59">_xlfn.IFS(AND($K59&gt;AB$7,$L59&gt;AB$7),0,AND($K59&lt;=AB$7,$L59&lt;=AB$7),1,AND($K59&lt;=AB$7,$L59&gt;AB$7),((AB$7-$K59)/($L59-$K59)))</f>
        <v>0</v>
      </c>
      <c r="AD59" s="201">
        <f t="array" ref="AD59">_xlfn.IFS(AND($K59&gt;AC$7,$L59&gt;AC$7),0,AND($K59&lt;=AC$7,$L59&lt;=AC$7),1,AND($K59&lt;=AC$7,$L59&gt;AC$7),((AC$7-$K59)/($L59-$K59)))</f>
        <v>0</v>
      </c>
      <c r="AE59" s="201">
        <f t="array" ref="AE59">_xlfn.IFS(AND($K59&gt;AD$7,$L59&gt;AD$7),0,AND($K59&lt;=AD$7,$L59&lt;=AD$7),1,AND($K59&lt;=AD$7,$L59&gt;AD$7),((AD$7-$K59)/($L59-$K59)))</f>
        <v>0</v>
      </c>
      <c r="AF59" s="201">
        <f t="array" ref="AF59">_xlfn.IFS(AND($K59&gt;AE$7,$L59&gt;AE$7),0,AND($K59&lt;=AE$7,$L59&lt;=AE$7),1,AND($K59&lt;=AE$7,$L59&gt;AE$7),((AE$7-$K59)/($L59-$K59)))</f>
        <v>0</v>
      </c>
      <c r="AG59" s="201">
        <f t="array" ref="AG59">_xlfn.IFS(AND($K59&gt;AF$7,$L59&gt;AF$7),0,AND($K59&lt;=AF$7,$L59&lt;=AF$7),1,AND($K59&lt;=AF$7,$L59&gt;AF$7),((AF$7-$K59)/($L59-$K59)))</f>
        <v>0</v>
      </c>
      <c r="AH59" s="201">
        <f t="array" ref="AH59">_xlfn.IFS(AND($K59&gt;AG$7,$L59&gt;AG$7),0,AND($K59&lt;=AG$7,$L59&lt;=AG$7),1,AND($K59&lt;=AG$7,$L59&gt;AG$7),((AG$7-$K59)/($L59-$K59)))</f>
        <v>0</v>
      </c>
      <c r="AI59" s="201">
        <f t="array" ref="AI59">_xlfn.IFS(AND($K59&gt;AH$7,$L59&gt;AH$7),0,AND($K59&lt;=AH$7,$L59&lt;=AH$7),1,AND($K59&lt;=AH$7,$L59&gt;AH$7),((AH$7-$K59)/($L59-$K59)))</f>
        <v>0</v>
      </c>
      <c r="AJ59" s="201">
        <f t="array" ref="AJ59">_xlfn.IFS(AND($K59&gt;AI$7,$L59&gt;AI$7),0,AND($K59&lt;=AI$7,$L59&lt;=AI$7),1,AND($K59&lt;=AI$7,$L59&gt;AI$7),((AI$7-$K59)/($L59-$K59)))</f>
        <v>0</v>
      </c>
      <c r="AK59" s="201">
        <f t="array" ref="AK59">_xlfn.IFS(AND($K59&gt;AJ$7,$L59&gt;AJ$7),0,AND($K59&lt;=AJ$7,$L59&lt;=AJ$7),1,AND($K59&lt;=AJ$7,$L59&gt;AJ$7),((AJ$7-$K59)/($L59-$K59)))</f>
        <v>0</v>
      </c>
      <c r="AL59" s="201">
        <f t="array" ref="AL59">_xlfn.IFS(AND($K59&gt;AK$7,$L59&gt;AK$7),0,AND($K59&lt;=AK$7,$L59&lt;=AK$7),1,AND($K59&lt;=AK$7,$L59&gt;AK$7),((AK$7-$K59)/($L59-$K59)))</f>
        <v>0</v>
      </c>
      <c r="AM59" s="201">
        <f t="array" ref="AM59">_xlfn.IFS(AND($K59&gt;AL$7,$L59&gt;AL$7),0,AND($K59&lt;=AL$7,$L59&lt;=AL$7),1,AND($K59&lt;=AL$7,$L59&gt;AL$7),((AL$7-$K59)/($L59-$K59)))</f>
        <v>0</v>
      </c>
      <c r="AN59" s="201">
        <f t="array" ref="AN59">_xlfn.IFS(AND($K59&gt;AM$7,$L59&gt;AM$7),0,AND($K59&lt;=AM$7,$L59&lt;=AM$7),1,AND($K59&lt;=AM$7,$L59&gt;AM$7),((AM$7-$K59)/($L59-$K59)))</f>
        <v>0</v>
      </c>
      <c r="AO59" s="201">
        <f t="array" ref="AO59">_xlfn.IFS(AND($K59&gt;AN$7,$L59&gt;AN$7),0,AND($K59&lt;=AN$7,$L59&lt;=AN$7),1,AND($K59&lt;=AN$7,$L59&gt;AN$7),((AN$7-$K59)/($L59-$K59)))</f>
        <v>1</v>
      </c>
      <c r="AP59" s="201">
        <f t="array" ref="AP59">_xlfn.IFS(AND($K59&gt;AO$7,$L59&gt;AO$7),0,AND($K59&lt;=AO$7,$L59&lt;=AO$7),1,AND($K59&lt;=AO$7,$L59&gt;AO$7),((AO$7-$K59)/($L59-$K59)))</f>
        <v>1</v>
      </c>
      <c r="AQ59" s="201">
        <f t="array" ref="AQ59">_xlfn.IFS(AND($K59&gt;AP$7,$L59&gt;AP$7),0,AND($K59&lt;=AP$7,$L59&lt;=AP$7),1,AND($K59&lt;=AP$7,$L59&gt;AP$7),((AP$7-$K59)/($L59-$K59)))</f>
        <v>1</v>
      </c>
      <c r="AR59" s="201">
        <f t="array" ref="AR59">_xlfn.IFS(AND($K59&gt;AQ$7,$L59&gt;AQ$7),0,AND($K59&lt;=AQ$7,$L59&lt;=AQ$7),1,AND($K59&lt;=AQ$7,$L59&gt;AQ$7),((AQ$7-$K59)/($L59-$K59)))</f>
        <v>1</v>
      </c>
      <c r="AS59" s="201">
        <f t="array" ref="AS59">_xlfn.IFS(AND($K59&gt;AR$7,$L59&gt;AR$7),0,AND($K59&lt;=AR$7,$L59&lt;=AR$7),1,AND($K59&lt;=AR$7,$L59&gt;AR$7),((AR$7-$K59)/($L59-$K59)))</f>
        <v>1</v>
      </c>
      <c r="AT59" s="201">
        <f t="array" ref="AT59">_xlfn.IFS(AND($K59&gt;AS$7,$L59&gt;AS$7),0,AND($K59&lt;=AS$7,$L59&lt;=AS$7),1,AND($K59&lt;=AS$7,$L59&gt;AS$7),((AS$7-$K59)/($L59-$K59)))</f>
        <v>1</v>
      </c>
      <c r="AU59" s="201">
        <f t="array" ref="AU59">_xlfn.IFS(AND($K59&gt;AT$7,$L59&gt;AT$7),0,AND($K59&lt;=AT$7,$L59&lt;=AT$7),1,AND($K59&lt;=AT$7,$L59&gt;AT$7),((AT$7-$K59)/($L59-$K59)))</f>
        <v>1</v>
      </c>
      <c r="AV59" s="201">
        <f t="array" ref="AV59">_xlfn.IFS(AND($K59&gt;AU$7,$L59&gt;AU$7),0,AND($K59&lt;=AU$7,$L59&lt;=AU$7),1,AND($K59&lt;=AU$7,$L59&gt;AU$7),((AU$7-$K59)/($L59-$K59)))</f>
        <v>1</v>
      </c>
      <c r="AW59" s="201">
        <f t="array" ref="AW59">_xlfn.IFS(AND($K59&gt;AV$7,$L59&gt;AV$7),0,AND($K59&lt;=AV$7,$L59&lt;=AV$7),1,AND($K59&lt;=AV$7,$L59&gt;AV$7),((AV$7-$K59)/($L59-$K59)))</f>
        <v>1</v>
      </c>
      <c r="AX59" s="201">
        <f t="array" ref="AX59">_xlfn.IFS(AND($K59&gt;AW$7,$L59&gt;AW$7),0,AND($K59&lt;=AW$7,$L59&lt;=AW$7),1,AND($K59&lt;=AW$7,$L59&gt;AW$7),((AW$7-$K59)/($L59-$K59)))</f>
        <v>1</v>
      </c>
      <c r="AY59" s="201">
        <f t="array" ref="AY59">_xlfn.IFS(AND($K59&gt;AX$7,$L59&gt;AX$7),0,AND($K59&lt;=AX$7,$L59&lt;=AX$7),1,AND($K59&lt;=AX$7,$L59&gt;AX$7),((AX$7-$K59)/($L59-$K59)))</f>
        <v>1</v>
      </c>
      <c r="AZ59" s="201">
        <f t="array" ref="AZ59">_xlfn.IFS(AND($K59&gt;AY$7,$L59&gt;AY$7),0,AND($K59&lt;=AY$7,$L59&lt;=AY$7),1,AND($K59&lt;=AY$7,$L59&gt;AY$7),((AY$7-$K59)/($L59-$K59)))</f>
        <v>1</v>
      </c>
      <c r="BA59" s="201">
        <f t="array" ref="BA59">_xlfn.IFS(AND($K59&gt;AZ$7,$L59&gt;AZ$7),0,AND($K59&lt;=AZ$7,$L59&lt;=AZ$7),1,AND($K59&lt;=AZ$7,$L59&gt;AZ$7),((AZ$7-$K59)/($L59-$K59)))</f>
        <v>1</v>
      </c>
      <c r="BB59" s="201">
        <f t="array" ref="BB59">_xlfn.IFS(AND($K59&gt;BA$7,$L59&gt;BA$7),0,AND($K59&lt;=BA$7,$L59&lt;=BA$7),1,AND($K59&lt;=BA$7,$L59&gt;BA$7),((BA$7-$K59)/($L59-$K59)))</f>
        <v>1</v>
      </c>
      <c r="BC59" s="201">
        <f t="array" ref="BC59">_xlfn.IFS(AND($K59&gt;BB$7,$L59&gt;BB$7),0,AND($K59&lt;=BB$7,$L59&lt;=BB$7),1,AND($K59&lt;=BB$7,$L59&gt;BB$7),((BB$7-$K59)/($L59-$K59)))</f>
        <v>1</v>
      </c>
      <c r="BD59" s="201">
        <f t="array" ref="BD59">_xlfn.IFS(AND($K59&gt;BC$7,$L59&gt;BC$7),0,AND($K59&lt;=BC$7,$L59&lt;=BC$7),1,AND($K59&lt;=BC$7,$L59&gt;BC$7),((BC$7-$K59)/($L59-$K59)))</f>
        <v>1</v>
      </c>
      <c r="BE59" s="201">
        <f t="array" ref="BE59">_xlfn.IFS(AND($K59&gt;BD$7,$L59&gt;BD$7),0,AND($K59&lt;=BD$7,$L59&lt;=BD$7),1,AND($K59&lt;=BD$7,$L59&gt;BD$7),((BD$7-$K59)/($L59-$K59)))</f>
        <v>1</v>
      </c>
      <c r="BF59" s="201">
        <f t="array" ref="BF59">_xlfn.IFS(AND($K59&gt;BE$7,$L59&gt;BE$7),0,AND($K59&lt;=BE$7,$L59&lt;=BE$7),1,AND($K59&lt;=BE$7,$L59&gt;BE$7),((BE$7-$K59)/($L59-$K59)))</f>
        <v>1</v>
      </c>
      <c r="BG59" s="201">
        <f t="array" ref="BG59">_xlfn.IFS(AND($K59&gt;BF$7,$L59&gt;BF$7),0,AND($K59&lt;=BF$7,$L59&lt;=BF$7),1,AND($K59&lt;=BF$7,$L59&gt;BF$7),((BF$7-$K59)/($L59-$K59)))</f>
        <v>1</v>
      </c>
      <c r="BH59" s="201">
        <f t="array" ref="BH59">_xlfn.IFS(AND($K59&gt;BG$7,$L59&gt;BG$7),0,AND($K59&lt;=BG$7,$L59&lt;=BG$7),1,AND($K59&lt;=BG$7,$L59&gt;BG$7),((BG$7-$K59)/($L59-$K59)))</f>
        <v>1</v>
      </c>
      <c r="BI59" s="201">
        <f t="array" ref="BI59">_xlfn.IFS(AND($K59&gt;BH$7,$L59&gt;BH$7),0,AND($K59&lt;=BH$7,$L59&lt;=BH$7),1,AND($K59&lt;=BH$7,$L59&gt;BH$7),((BH$7-$K59)/($L59-$K59)))</f>
        <v>1</v>
      </c>
      <c r="BJ59" s="201">
        <f t="array" ref="BJ59">_xlfn.IFS(AND($K59&gt;BI$7,$L59&gt;BI$7),0,AND($K59&lt;=BI$7,$L59&lt;=BI$7),1,AND($K59&lt;=BI$7,$L59&gt;BI$7),((BI$7-$K59)/($L59-$K59)))</f>
        <v>1</v>
      </c>
      <c r="BK59" s="201">
        <f t="array" ref="BK59">_xlfn.IFS(AND($K59&gt;BJ$7,$L59&gt;BJ$7),0,AND($K59&lt;=BJ$7,$L59&lt;=BJ$7),1,AND($K59&lt;=BJ$7,$L59&gt;BJ$7),((BJ$7-$K59)/($L59-$K59)))</f>
        <v>1</v>
      </c>
      <c r="BL59" s="201">
        <f t="array" ref="BL59">_xlfn.IFS(AND($K59&gt;BK$7,$L59&gt;BK$7),0,AND($K59&lt;=BK$7,$L59&lt;=BK$7),1,AND($K59&lt;=BK$7,$L59&gt;BK$7),((BK$7-$K59)/($L59-$K59)))</f>
        <v>1</v>
      </c>
      <c r="BM59" s="201">
        <f t="array" ref="BM59">_xlfn.IFS(AND($K59&gt;BL$7,$L59&gt;BL$7),0,AND($K59&lt;=BL$7,$L59&lt;=BL$7),1,AND($K59&lt;=BL$7,$L59&gt;BL$7),((BL$7-$K59)/($L59-$K59)))</f>
        <v>1</v>
      </c>
      <c r="BN59" s="201">
        <f t="array" ref="BN59">_xlfn.IFS(AND($K59&gt;BM$7,$L59&gt;BM$7),0,AND($K59&lt;=BM$7,$L59&lt;=BM$7),1,AND($K59&lt;=BM$7,$L59&gt;BM$7),((BM$7-$K59)/($L59-$K59)))</f>
        <v>1</v>
      </c>
    </row>
    <row r="60" spans="2:66" s="163" customFormat="1" ht="23.55" customHeight="1" x14ac:dyDescent="0.3">
      <c r="B60" s="166" t="s">
        <v>161</v>
      </c>
      <c r="C60" s="166" t="s">
        <v>168</v>
      </c>
      <c r="D60" s="177"/>
      <c r="E60" s="170" t="str">
        <f t="shared" si="30"/>
        <v>Desenvolvimento da Transformação dos Processos</v>
      </c>
      <c r="F60" s="174" t="str">
        <f t="shared" si="33"/>
        <v>Diagnóstico de Maturidade do Processo</v>
      </c>
      <c r="G60" s="166" t="str">
        <f t="shared" si="36"/>
        <v>Diagnóstico de Maturidade do Processo</v>
      </c>
      <c r="H60" s="197" t="s">
        <v>169</v>
      </c>
      <c r="I60" s="166">
        <v>45838</v>
      </c>
      <c r="J60" s="166">
        <v>45842</v>
      </c>
      <c r="K60" s="166">
        <v>45838</v>
      </c>
      <c r="L60" s="166">
        <v>45842</v>
      </c>
      <c r="M60" s="167"/>
      <c r="N60" s="167" t="str">
        <f t="array" ref="N60">_xlfn.IFS(L60&lt;$M$3,"Concluído",AND(K60&gt;=$M$3,I60&lt;$M$3,L60&gt;$M$3),"Em andamento",AND(L60&gt;=$M$3,J60&lt;$M$3),"Atrasado",AND(L60&gt;=$M$3,J60&gt;=$M$3,I60&gt;$M$3,K60&lt;=$M$3),"Em andamento",AND(L60&gt;=$M$3,J60&gt;=$M$3,I60&lt;=$M$3,K60&lt;=$M$3),"Em andamento",AND(K60&gt;$M$3,I60&gt;$M$3),"Não iniciado",AND(L60&gt;=$M$3,J60&gt;=$M$3,K60&gt;=$M$3,I60&lt;$M$3),"Atrasado",AND(L60&gt;=$M$3,J60&gt;=$M$3,K60&gt;=$M$3,I60&gt;$M$3),"Não iniciado",AND($I60&lt;=$M$3,$K60&gt;$M$3),"Atrasado")</f>
        <v>Concluído</v>
      </c>
      <c r="O60" s="167">
        <f t="array" ref="O60">_xlfn.IFS(N60="Não iniciado",0,N60="Em andamento",1,N60="Concluído",2,N60="Atrasado",3)</f>
        <v>2</v>
      </c>
      <c r="P60" s="169"/>
      <c r="Q60" s="152">
        <f t="array" ref="Q60">_xlfn.IFS(AND($I60&lt;$M$3,$J60&lt;$M$3),1,AND($I60&lt;$M$3,$J60&gt;=$M$3),0.5,AND($I60&gt;=$M$3,$J60&gt;=$M$3),0)</f>
        <v>1</v>
      </c>
      <c r="R60" s="152">
        <f t="array" ref="R60">_xlfn.IFS(AND($K60&lt;$M$3,$L60&lt;$M$3),1,AND($K60&lt;=$M$3,$L60&gt;=$M$3),0.5,AND($K60&gt;=$M$3,$L60&gt;=$M$3),0)</f>
        <v>1</v>
      </c>
      <c r="S60" s="201">
        <f t="array" ref="S60">_xlfn.IFS(AND($K60&gt;R$7,$L60&gt;R$7),0,AND($K60&lt;=R$7,$L60&lt;=R$7),1,AND($K60&lt;=R$7,$L60&gt;R$7),((R$7-$K60)/($L60-$K60)))</f>
        <v>0</v>
      </c>
      <c r="T60" s="201">
        <f t="array" ref="T60">_xlfn.IFS(AND($K60&gt;S$7,$L60&gt;S$7),0,AND($K60&lt;=S$7,$L60&lt;=S$7),1,AND($K60&lt;=S$7,$L60&gt;S$7),((S$7-$K60)/($L60-$K60)))</f>
        <v>0</v>
      </c>
      <c r="U60" s="201">
        <f t="array" ref="U60">_xlfn.IFS(AND($K60&gt;T$7,$L60&gt;T$7),0,AND($K60&lt;=T$7,$L60&lt;=T$7),1,AND($K60&lt;=T$7,$L60&gt;T$7),((T$7-$K60)/($L60-$K60)))</f>
        <v>0</v>
      </c>
      <c r="V60" s="201">
        <f t="array" ref="V60">_xlfn.IFS(AND($K60&gt;U$7,$L60&gt;U$7),0,AND($K60&lt;=U$7,$L60&lt;=U$7),1,AND($K60&lt;=U$7,$L60&gt;U$7),((U$7-$K60)/($L60-$K60)))</f>
        <v>0</v>
      </c>
      <c r="W60" s="201">
        <f t="array" ref="W60">_xlfn.IFS(AND($K60&gt;V$7,$L60&gt;V$7),0,AND($K60&lt;=V$7,$L60&lt;=V$7),1,AND($K60&lt;=V$7,$L60&gt;V$7),((V$7-$K60)/($L60-$K60)))</f>
        <v>0</v>
      </c>
      <c r="X60" s="201">
        <f t="array" ref="X60">_xlfn.IFS(AND($K60&gt;W$7,$L60&gt;W$7),0,AND($K60&lt;=W$7,$L60&lt;=W$7),1,AND($K60&lt;=W$7,$L60&gt;W$7),((W$7-$K60)/($L60-$K60)))</f>
        <v>0</v>
      </c>
      <c r="Y60" s="201">
        <f t="array" ref="Y60">_xlfn.IFS(AND($K60&gt;X$7,$L60&gt;X$7),0,AND($K60&lt;=X$7,$L60&lt;=X$7),1,AND($K60&lt;=X$7,$L60&gt;X$7),((X$7-$K60)/($L60-$K60)))</f>
        <v>0</v>
      </c>
      <c r="Z60" s="201">
        <f t="array" ref="Z60">_xlfn.IFS(AND($K60&gt;Y$7,$L60&gt;Y$7),0,AND($K60&lt;=Y$7,$L60&lt;=Y$7),1,AND($K60&lt;=Y$7,$L60&gt;Y$7),((Y$7-$K60)/($L60-$K60)))</f>
        <v>0</v>
      </c>
      <c r="AA60" s="201">
        <f t="array" ref="AA60">_xlfn.IFS(AND($K60&gt;Z$7,$L60&gt;Z$7),0,AND($K60&lt;=Z$7,$L60&lt;=Z$7),1,AND($K60&lt;=Z$7,$L60&gt;Z$7),((Z$7-$K60)/($L60-$K60)))</f>
        <v>0</v>
      </c>
      <c r="AB60" s="201">
        <f t="array" ref="AB60">_xlfn.IFS(AND($K60&gt;AA$7,$L60&gt;AA$7),0,AND($K60&lt;=AA$7,$L60&lt;=AA$7),1,AND($K60&lt;=AA$7,$L60&gt;AA$7),((AA$7-$K60)/($L60-$K60)))</f>
        <v>0</v>
      </c>
      <c r="AC60" s="201">
        <f t="array" ref="AC60">_xlfn.IFS(AND($K60&gt;AB$7,$L60&gt;AB$7),0,AND($K60&lt;=AB$7,$L60&lt;=AB$7),1,AND($K60&lt;=AB$7,$L60&gt;AB$7),((AB$7-$K60)/($L60-$K60)))</f>
        <v>0</v>
      </c>
      <c r="AD60" s="201">
        <f t="array" ref="AD60">_xlfn.IFS(AND($K60&gt;AC$7,$L60&gt;AC$7),0,AND($K60&lt;=AC$7,$L60&lt;=AC$7),1,AND($K60&lt;=AC$7,$L60&gt;AC$7),((AC$7-$K60)/($L60-$K60)))</f>
        <v>0</v>
      </c>
      <c r="AE60" s="201">
        <f t="array" ref="AE60">_xlfn.IFS(AND($K60&gt;AD$7,$L60&gt;AD$7),0,AND($K60&lt;=AD$7,$L60&lt;=AD$7),1,AND($K60&lt;=AD$7,$L60&gt;AD$7),((AD$7-$K60)/($L60-$K60)))</f>
        <v>0</v>
      </c>
      <c r="AF60" s="201">
        <f t="array" ref="AF60">_xlfn.IFS(AND($K60&gt;AE$7,$L60&gt;AE$7),0,AND($K60&lt;=AE$7,$L60&lt;=AE$7),1,AND($K60&lt;=AE$7,$L60&gt;AE$7),((AE$7-$K60)/($L60-$K60)))</f>
        <v>0</v>
      </c>
      <c r="AG60" s="201">
        <f t="array" ref="AG60">_xlfn.IFS(AND($K60&gt;AF$7,$L60&gt;AF$7),0,AND($K60&lt;=AF$7,$L60&lt;=AF$7),1,AND($K60&lt;=AF$7,$L60&gt;AF$7),((AF$7-$K60)/($L60-$K60)))</f>
        <v>0</v>
      </c>
      <c r="AH60" s="201">
        <f t="array" ref="AH60">_xlfn.IFS(AND($K60&gt;AG$7,$L60&gt;AG$7),0,AND($K60&lt;=AG$7,$L60&lt;=AG$7),1,AND($K60&lt;=AG$7,$L60&gt;AG$7),((AG$7-$K60)/($L60-$K60)))</f>
        <v>0</v>
      </c>
      <c r="AI60" s="201">
        <f t="array" ref="AI60">_xlfn.IFS(AND($K60&gt;AH$7,$L60&gt;AH$7),0,AND($K60&lt;=AH$7,$L60&lt;=AH$7),1,AND($K60&lt;=AH$7,$L60&gt;AH$7),((AH$7-$K60)/($L60-$K60)))</f>
        <v>0</v>
      </c>
      <c r="AJ60" s="201">
        <f t="array" ref="AJ60">_xlfn.IFS(AND($K60&gt;AI$7,$L60&gt;AI$7),0,AND($K60&lt;=AI$7,$L60&lt;=AI$7),1,AND($K60&lt;=AI$7,$L60&gt;AI$7),((AI$7-$K60)/($L60-$K60)))</f>
        <v>0</v>
      </c>
      <c r="AK60" s="201">
        <f t="array" ref="AK60">_xlfn.IFS(AND($K60&gt;AJ$7,$L60&gt;AJ$7),0,AND($K60&lt;=AJ$7,$L60&lt;=AJ$7),1,AND($K60&lt;=AJ$7,$L60&gt;AJ$7),((AJ$7-$K60)/($L60-$K60)))</f>
        <v>0</v>
      </c>
      <c r="AL60" s="201">
        <f t="array" ref="AL60">_xlfn.IFS(AND($K60&gt;AK$7,$L60&gt;AK$7),0,AND($K60&lt;=AK$7,$L60&lt;=AK$7),1,AND($K60&lt;=AK$7,$L60&gt;AK$7),((AK$7-$K60)/($L60-$K60)))</f>
        <v>0</v>
      </c>
      <c r="AM60" s="201">
        <f t="array" ref="AM60">_xlfn.IFS(AND($K60&gt;AL$7,$L60&gt;AL$7),0,AND($K60&lt;=AL$7,$L60&lt;=AL$7),1,AND($K60&lt;=AL$7,$L60&gt;AL$7),((AL$7-$K60)/($L60-$K60)))</f>
        <v>0</v>
      </c>
      <c r="AN60" s="201">
        <f t="array" ref="AN60">_xlfn.IFS(AND($K60&gt;AM$7,$L60&gt;AM$7),0,AND($K60&lt;=AM$7,$L60&lt;=AM$7),1,AND($K60&lt;=AM$7,$L60&gt;AM$7),((AM$7-$K60)/($L60-$K60)))</f>
        <v>0</v>
      </c>
      <c r="AO60" s="201">
        <f t="array" ref="AO60">_xlfn.IFS(AND($K60&gt;AN$7,$L60&gt;AN$7),0,AND($K60&lt;=AN$7,$L60&lt;=AN$7),1,AND($K60&lt;=AN$7,$L60&gt;AN$7),((AN$7-$K60)/($L60-$K60)))</f>
        <v>1</v>
      </c>
      <c r="AP60" s="201">
        <f t="array" ref="AP60">_xlfn.IFS(AND($K60&gt;AO$7,$L60&gt;AO$7),0,AND($K60&lt;=AO$7,$L60&lt;=AO$7),1,AND($K60&lt;=AO$7,$L60&gt;AO$7),((AO$7-$K60)/($L60-$K60)))</f>
        <v>1</v>
      </c>
      <c r="AQ60" s="201">
        <f t="array" ref="AQ60">_xlfn.IFS(AND($K60&gt;AP$7,$L60&gt;AP$7),0,AND($K60&lt;=AP$7,$L60&lt;=AP$7),1,AND($K60&lt;=AP$7,$L60&gt;AP$7),((AP$7-$K60)/($L60-$K60)))</f>
        <v>1</v>
      </c>
      <c r="AR60" s="201">
        <f t="array" ref="AR60">_xlfn.IFS(AND($K60&gt;AQ$7,$L60&gt;AQ$7),0,AND($K60&lt;=AQ$7,$L60&lt;=AQ$7),1,AND($K60&lt;=AQ$7,$L60&gt;AQ$7),((AQ$7-$K60)/($L60-$K60)))</f>
        <v>1</v>
      </c>
      <c r="AS60" s="201">
        <f t="array" ref="AS60">_xlfn.IFS(AND($K60&gt;AR$7,$L60&gt;AR$7),0,AND($K60&lt;=AR$7,$L60&lt;=AR$7),1,AND($K60&lt;=AR$7,$L60&gt;AR$7),((AR$7-$K60)/($L60-$K60)))</f>
        <v>1</v>
      </c>
      <c r="AT60" s="201">
        <f t="array" ref="AT60">_xlfn.IFS(AND($K60&gt;AS$7,$L60&gt;AS$7),0,AND($K60&lt;=AS$7,$L60&lt;=AS$7),1,AND($K60&lt;=AS$7,$L60&gt;AS$7),((AS$7-$K60)/($L60-$K60)))</f>
        <v>1</v>
      </c>
      <c r="AU60" s="201">
        <f t="array" ref="AU60">_xlfn.IFS(AND($K60&gt;AT$7,$L60&gt;AT$7),0,AND($K60&lt;=AT$7,$L60&lt;=AT$7),1,AND($K60&lt;=AT$7,$L60&gt;AT$7),((AT$7-$K60)/($L60-$K60)))</f>
        <v>1</v>
      </c>
      <c r="AV60" s="201">
        <f t="array" ref="AV60">_xlfn.IFS(AND($K60&gt;AU$7,$L60&gt;AU$7),0,AND($K60&lt;=AU$7,$L60&lt;=AU$7),1,AND($K60&lt;=AU$7,$L60&gt;AU$7),((AU$7-$K60)/($L60-$K60)))</f>
        <v>1</v>
      </c>
      <c r="AW60" s="201">
        <f t="array" ref="AW60">_xlfn.IFS(AND($K60&gt;AV$7,$L60&gt;AV$7),0,AND($K60&lt;=AV$7,$L60&lt;=AV$7),1,AND($K60&lt;=AV$7,$L60&gt;AV$7),((AV$7-$K60)/($L60-$K60)))</f>
        <v>1</v>
      </c>
      <c r="AX60" s="201">
        <f t="array" ref="AX60">_xlfn.IFS(AND($K60&gt;AW$7,$L60&gt;AW$7),0,AND($K60&lt;=AW$7,$L60&lt;=AW$7),1,AND($K60&lt;=AW$7,$L60&gt;AW$7),((AW$7-$K60)/($L60-$K60)))</f>
        <v>1</v>
      </c>
      <c r="AY60" s="201">
        <f t="array" ref="AY60">_xlfn.IFS(AND($K60&gt;AX$7,$L60&gt;AX$7),0,AND($K60&lt;=AX$7,$L60&lt;=AX$7),1,AND($K60&lt;=AX$7,$L60&gt;AX$7),((AX$7-$K60)/($L60-$K60)))</f>
        <v>1</v>
      </c>
      <c r="AZ60" s="201">
        <f t="array" ref="AZ60">_xlfn.IFS(AND($K60&gt;AY$7,$L60&gt;AY$7),0,AND($K60&lt;=AY$7,$L60&lt;=AY$7),1,AND($K60&lt;=AY$7,$L60&gt;AY$7),((AY$7-$K60)/($L60-$K60)))</f>
        <v>1</v>
      </c>
      <c r="BA60" s="201">
        <f t="array" ref="BA60">_xlfn.IFS(AND($K60&gt;AZ$7,$L60&gt;AZ$7),0,AND($K60&lt;=AZ$7,$L60&lt;=AZ$7),1,AND($K60&lt;=AZ$7,$L60&gt;AZ$7),((AZ$7-$K60)/($L60-$K60)))</f>
        <v>1</v>
      </c>
      <c r="BB60" s="201">
        <f t="array" ref="BB60">_xlfn.IFS(AND($K60&gt;BA$7,$L60&gt;BA$7),0,AND($K60&lt;=BA$7,$L60&lt;=BA$7),1,AND($K60&lt;=BA$7,$L60&gt;BA$7),((BA$7-$K60)/($L60-$K60)))</f>
        <v>1</v>
      </c>
      <c r="BC60" s="201">
        <f t="array" ref="BC60">_xlfn.IFS(AND($K60&gt;BB$7,$L60&gt;BB$7),0,AND($K60&lt;=BB$7,$L60&lt;=BB$7),1,AND($K60&lt;=BB$7,$L60&gt;BB$7),((BB$7-$K60)/($L60-$K60)))</f>
        <v>1</v>
      </c>
      <c r="BD60" s="201">
        <f t="array" ref="BD60">_xlfn.IFS(AND($K60&gt;BC$7,$L60&gt;BC$7),0,AND($K60&lt;=BC$7,$L60&lt;=BC$7),1,AND($K60&lt;=BC$7,$L60&gt;BC$7),((BC$7-$K60)/($L60-$K60)))</f>
        <v>1</v>
      </c>
      <c r="BE60" s="201">
        <f t="array" ref="BE60">_xlfn.IFS(AND($K60&gt;BD$7,$L60&gt;BD$7),0,AND($K60&lt;=BD$7,$L60&lt;=BD$7),1,AND($K60&lt;=BD$7,$L60&gt;BD$7),((BD$7-$K60)/($L60-$K60)))</f>
        <v>1</v>
      </c>
      <c r="BF60" s="201">
        <f t="array" ref="BF60">_xlfn.IFS(AND($K60&gt;BE$7,$L60&gt;BE$7),0,AND($K60&lt;=BE$7,$L60&lt;=BE$7),1,AND($K60&lt;=BE$7,$L60&gt;BE$7),((BE$7-$K60)/($L60-$K60)))</f>
        <v>1</v>
      </c>
      <c r="BG60" s="201">
        <f t="array" ref="BG60">_xlfn.IFS(AND($K60&gt;BF$7,$L60&gt;BF$7),0,AND($K60&lt;=BF$7,$L60&lt;=BF$7),1,AND($K60&lt;=BF$7,$L60&gt;BF$7),((BF$7-$K60)/($L60-$K60)))</f>
        <v>1</v>
      </c>
      <c r="BH60" s="201">
        <f t="array" ref="BH60">_xlfn.IFS(AND($K60&gt;BG$7,$L60&gt;BG$7),0,AND($K60&lt;=BG$7,$L60&lt;=BG$7),1,AND($K60&lt;=BG$7,$L60&gt;BG$7),((BG$7-$K60)/($L60-$K60)))</f>
        <v>1</v>
      </c>
      <c r="BI60" s="201">
        <f t="array" ref="BI60">_xlfn.IFS(AND($K60&gt;BH$7,$L60&gt;BH$7),0,AND($K60&lt;=BH$7,$L60&lt;=BH$7),1,AND($K60&lt;=BH$7,$L60&gt;BH$7),((BH$7-$K60)/($L60-$K60)))</f>
        <v>1</v>
      </c>
      <c r="BJ60" s="201">
        <f t="array" ref="BJ60">_xlfn.IFS(AND($K60&gt;BI$7,$L60&gt;BI$7),0,AND($K60&lt;=BI$7,$L60&lt;=BI$7),1,AND($K60&lt;=BI$7,$L60&gt;BI$7),((BI$7-$K60)/($L60-$K60)))</f>
        <v>1</v>
      </c>
      <c r="BK60" s="201">
        <f t="array" ref="BK60">_xlfn.IFS(AND($K60&gt;BJ$7,$L60&gt;BJ$7),0,AND($K60&lt;=BJ$7,$L60&lt;=BJ$7),1,AND($K60&lt;=BJ$7,$L60&gt;BJ$7),((BJ$7-$K60)/($L60-$K60)))</f>
        <v>1</v>
      </c>
      <c r="BL60" s="201">
        <f t="array" ref="BL60">_xlfn.IFS(AND($K60&gt;BK$7,$L60&gt;BK$7),0,AND($K60&lt;=BK$7,$L60&lt;=BK$7),1,AND($K60&lt;=BK$7,$L60&gt;BK$7),((BK$7-$K60)/($L60-$K60)))</f>
        <v>1</v>
      </c>
      <c r="BM60" s="201">
        <f t="array" ref="BM60">_xlfn.IFS(AND($K60&gt;BL$7,$L60&gt;BL$7),0,AND($K60&lt;=BL$7,$L60&lt;=BL$7),1,AND($K60&lt;=BL$7,$L60&gt;BL$7),((BL$7-$K60)/($L60-$K60)))</f>
        <v>1</v>
      </c>
      <c r="BN60" s="201">
        <f t="array" ref="BN60">_xlfn.IFS(AND($K60&gt;BM$7,$L60&gt;BM$7),0,AND($K60&lt;=BM$7,$L60&lt;=BM$7),1,AND($K60&lt;=BM$7,$L60&gt;BM$7),((BM$7-$K60)/($L60-$K60)))</f>
        <v>1</v>
      </c>
    </row>
    <row r="61" spans="2:66" s="163" customFormat="1" ht="23.55" customHeight="1" x14ac:dyDescent="0.3">
      <c r="B61" s="166" t="s">
        <v>161</v>
      </c>
      <c r="C61" s="166" t="s">
        <v>170</v>
      </c>
      <c r="D61" s="177"/>
      <c r="E61" s="170" t="str">
        <f t="shared" si="30"/>
        <v>Desenvolvimento da Transformação dos Processos</v>
      </c>
      <c r="F61" s="174" t="str">
        <f t="shared" si="33"/>
        <v>Diagnóstico de Maturidade do Processo</v>
      </c>
      <c r="G61" s="166" t="str">
        <f t="shared" si="36"/>
        <v>Diagnóstico de Maturidade do Processo</v>
      </c>
      <c r="H61" s="197" t="s">
        <v>171</v>
      </c>
      <c r="I61" s="166">
        <v>45873</v>
      </c>
      <c r="J61" s="166">
        <v>45877</v>
      </c>
      <c r="K61" s="166">
        <v>45873</v>
      </c>
      <c r="L61" s="166">
        <v>45877</v>
      </c>
      <c r="M61" s="167"/>
      <c r="N61" s="167" t="str">
        <f t="array" ref="N61">_xlfn.IFS(L61&lt;$M$3,"Concluído",AND(K61&gt;=$M$3,I61&lt;$M$3,L61&gt;$M$3),"Em andamento",AND(L61&gt;=$M$3,J61&lt;$M$3),"Atrasado",AND(L61&gt;=$M$3,J61&gt;=$M$3,I61&gt;$M$3,K61&lt;=$M$3),"Em andamento",AND(L61&gt;=$M$3,J61&gt;=$M$3,I61&lt;=$M$3,K61&lt;=$M$3),"Em andamento",AND(K61&gt;$M$3,I61&gt;$M$3),"Não iniciado",AND(L61&gt;=$M$3,J61&gt;=$M$3,K61&gt;=$M$3,I61&lt;$M$3),"Atrasado",AND(L61&gt;=$M$3,J61&gt;=$M$3,K61&gt;=$M$3,I61&gt;$M$3),"Não iniciado",AND($I61&lt;=$M$3,$K61&gt;$M$3),"Atrasado")</f>
        <v>Não iniciado</v>
      </c>
      <c r="O61" s="167">
        <f t="array" ref="O61">_xlfn.IFS(N61="Não iniciado",0,N61="Em andamento",1,N61="Concluído",2,N61="Atrasado",3)</f>
        <v>0</v>
      </c>
      <c r="P61" s="169"/>
      <c r="Q61" s="152">
        <f t="array" ref="Q61">_xlfn.IFS(AND($I61&lt;$M$3,$J61&lt;$M$3),1,AND($I61&lt;$M$3,$J61&gt;=$M$3),0.5,AND($I61&gt;=$M$3,$J61&gt;=$M$3),0)</f>
        <v>0</v>
      </c>
      <c r="R61" s="152">
        <f t="array" ref="R61">_xlfn.IFS(AND($K61&lt;$M$3,$L61&lt;$M$3),1,AND($K61&lt;=$M$3,$L61&gt;=$M$3),0.5,AND($K61&gt;=$M$3,$L61&gt;=$M$3),0)</f>
        <v>0</v>
      </c>
      <c r="S61" s="201">
        <f t="array" ref="S61">_xlfn.IFS(AND($K61&gt;R$7,$L61&gt;R$7),0,AND($K61&lt;=R$7,$L61&lt;=R$7),1,AND($K61&lt;=R$7,$L61&gt;R$7),((R$7-$K61)/($L61-$K61)))</f>
        <v>0</v>
      </c>
      <c r="T61" s="201">
        <f t="array" ref="T61">_xlfn.IFS(AND($K61&gt;S$7,$L61&gt;S$7),0,AND($K61&lt;=S$7,$L61&lt;=S$7),1,AND($K61&lt;=S$7,$L61&gt;S$7),((S$7-$K61)/($L61-$K61)))</f>
        <v>0</v>
      </c>
      <c r="U61" s="201">
        <f t="array" ref="U61">_xlfn.IFS(AND($K61&gt;T$7,$L61&gt;T$7),0,AND($K61&lt;=T$7,$L61&lt;=T$7),1,AND($K61&lt;=T$7,$L61&gt;T$7),((T$7-$K61)/($L61-$K61)))</f>
        <v>0</v>
      </c>
      <c r="V61" s="201">
        <f t="array" ref="V61">_xlfn.IFS(AND($K61&gt;U$7,$L61&gt;U$7),0,AND($K61&lt;=U$7,$L61&lt;=U$7),1,AND($K61&lt;=U$7,$L61&gt;U$7),((U$7-$K61)/($L61-$K61)))</f>
        <v>0</v>
      </c>
      <c r="W61" s="201">
        <f t="array" ref="W61">_xlfn.IFS(AND($K61&gt;V$7,$L61&gt;V$7),0,AND($K61&lt;=V$7,$L61&lt;=V$7),1,AND($K61&lt;=V$7,$L61&gt;V$7),((V$7-$K61)/($L61-$K61)))</f>
        <v>0</v>
      </c>
      <c r="X61" s="201">
        <f t="array" ref="X61">_xlfn.IFS(AND($K61&gt;W$7,$L61&gt;W$7),0,AND($K61&lt;=W$7,$L61&lt;=W$7),1,AND($K61&lt;=W$7,$L61&gt;W$7),((W$7-$K61)/($L61-$K61)))</f>
        <v>0</v>
      </c>
      <c r="Y61" s="201">
        <f t="array" ref="Y61">_xlfn.IFS(AND($K61&gt;X$7,$L61&gt;X$7),0,AND($K61&lt;=X$7,$L61&lt;=X$7),1,AND($K61&lt;=X$7,$L61&gt;X$7),((X$7-$K61)/($L61-$K61)))</f>
        <v>0</v>
      </c>
      <c r="Z61" s="201">
        <f t="array" ref="Z61">_xlfn.IFS(AND($K61&gt;Y$7,$L61&gt;Y$7),0,AND($K61&lt;=Y$7,$L61&lt;=Y$7),1,AND($K61&lt;=Y$7,$L61&gt;Y$7),((Y$7-$K61)/($L61-$K61)))</f>
        <v>0</v>
      </c>
      <c r="AA61" s="201">
        <f t="array" ref="AA61">_xlfn.IFS(AND($K61&gt;Z$7,$L61&gt;Z$7),0,AND($K61&lt;=Z$7,$L61&lt;=Z$7),1,AND($K61&lt;=Z$7,$L61&gt;Z$7),((Z$7-$K61)/($L61-$K61)))</f>
        <v>0</v>
      </c>
      <c r="AB61" s="201">
        <f t="array" ref="AB61">_xlfn.IFS(AND($K61&gt;AA$7,$L61&gt;AA$7),0,AND($K61&lt;=AA$7,$L61&lt;=AA$7),1,AND($K61&lt;=AA$7,$L61&gt;AA$7),((AA$7-$K61)/($L61-$K61)))</f>
        <v>0</v>
      </c>
      <c r="AC61" s="201">
        <f t="array" ref="AC61">_xlfn.IFS(AND($K61&gt;AB$7,$L61&gt;AB$7),0,AND($K61&lt;=AB$7,$L61&lt;=AB$7),1,AND($K61&lt;=AB$7,$L61&gt;AB$7),((AB$7-$K61)/($L61-$K61)))</f>
        <v>0</v>
      </c>
      <c r="AD61" s="201">
        <f t="array" ref="AD61">_xlfn.IFS(AND($K61&gt;AC$7,$L61&gt;AC$7),0,AND($K61&lt;=AC$7,$L61&lt;=AC$7),1,AND($K61&lt;=AC$7,$L61&gt;AC$7),((AC$7-$K61)/($L61-$K61)))</f>
        <v>0</v>
      </c>
      <c r="AE61" s="201">
        <f t="array" ref="AE61">_xlfn.IFS(AND($K61&gt;AD$7,$L61&gt;AD$7),0,AND($K61&lt;=AD$7,$L61&lt;=AD$7),1,AND($K61&lt;=AD$7,$L61&gt;AD$7),((AD$7-$K61)/($L61-$K61)))</f>
        <v>0</v>
      </c>
      <c r="AF61" s="201">
        <f t="array" ref="AF61">_xlfn.IFS(AND($K61&gt;AE$7,$L61&gt;AE$7),0,AND($K61&lt;=AE$7,$L61&lt;=AE$7),1,AND($K61&lt;=AE$7,$L61&gt;AE$7),((AE$7-$K61)/($L61-$K61)))</f>
        <v>0</v>
      </c>
      <c r="AG61" s="201">
        <f t="array" ref="AG61">_xlfn.IFS(AND($K61&gt;AF$7,$L61&gt;AF$7),0,AND($K61&lt;=AF$7,$L61&lt;=AF$7),1,AND($K61&lt;=AF$7,$L61&gt;AF$7),((AF$7-$K61)/($L61-$K61)))</f>
        <v>0</v>
      </c>
      <c r="AH61" s="201">
        <f t="array" ref="AH61">_xlfn.IFS(AND($K61&gt;AG$7,$L61&gt;AG$7),0,AND($K61&lt;=AG$7,$L61&lt;=AG$7),1,AND($K61&lt;=AG$7,$L61&gt;AG$7),((AG$7-$K61)/($L61-$K61)))</f>
        <v>0</v>
      </c>
      <c r="AI61" s="201">
        <f t="array" ref="AI61">_xlfn.IFS(AND($K61&gt;AH$7,$L61&gt;AH$7),0,AND($K61&lt;=AH$7,$L61&lt;=AH$7),1,AND($K61&lt;=AH$7,$L61&gt;AH$7),((AH$7-$K61)/($L61-$K61)))</f>
        <v>0</v>
      </c>
      <c r="AJ61" s="201">
        <f t="array" ref="AJ61">_xlfn.IFS(AND($K61&gt;AI$7,$L61&gt;AI$7),0,AND($K61&lt;=AI$7,$L61&lt;=AI$7),1,AND($K61&lt;=AI$7,$L61&gt;AI$7),((AI$7-$K61)/($L61-$K61)))</f>
        <v>0</v>
      </c>
      <c r="AK61" s="201">
        <f t="array" ref="AK61">_xlfn.IFS(AND($K61&gt;AJ$7,$L61&gt;AJ$7),0,AND($K61&lt;=AJ$7,$L61&lt;=AJ$7),1,AND($K61&lt;=AJ$7,$L61&gt;AJ$7),((AJ$7-$K61)/($L61-$K61)))</f>
        <v>0</v>
      </c>
      <c r="AL61" s="201">
        <f t="array" ref="AL61">_xlfn.IFS(AND($K61&gt;AK$7,$L61&gt;AK$7),0,AND($K61&lt;=AK$7,$L61&lt;=AK$7),1,AND($K61&lt;=AK$7,$L61&gt;AK$7),((AK$7-$K61)/($L61-$K61)))</f>
        <v>0</v>
      </c>
      <c r="AM61" s="201">
        <f t="array" ref="AM61">_xlfn.IFS(AND($K61&gt;AL$7,$L61&gt;AL$7),0,AND($K61&lt;=AL$7,$L61&lt;=AL$7),1,AND($K61&lt;=AL$7,$L61&gt;AL$7),((AL$7-$K61)/($L61-$K61)))</f>
        <v>0</v>
      </c>
      <c r="AN61" s="201">
        <f t="array" ref="AN61">_xlfn.IFS(AND($K61&gt;AM$7,$L61&gt;AM$7),0,AND($K61&lt;=AM$7,$L61&lt;=AM$7),1,AND($K61&lt;=AM$7,$L61&gt;AM$7),((AM$7-$K61)/($L61-$K61)))</f>
        <v>0</v>
      </c>
      <c r="AO61" s="201">
        <f t="array" ref="AO61">_xlfn.IFS(AND($K61&gt;AN$7,$L61&gt;AN$7),0,AND($K61&lt;=AN$7,$L61&lt;=AN$7),1,AND($K61&lt;=AN$7,$L61&gt;AN$7),((AN$7-$K61)/($L61-$K61)))</f>
        <v>0</v>
      </c>
      <c r="AP61" s="201">
        <f t="array" ref="AP61">_xlfn.IFS(AND($K61&gt;AO$7,$L61&gt;AO$7),0,AND($K61&lt;=AO$7,$L61&lt;=AO$7),1,AND($K61&lt;=AO$7,$L61&gt;AO$7),((AO$7-$K61)/($L61-$K61)))</f>
        <v>0</v>
      </c>
      <c r="AQ61" s="201">
        <f t="array" ref="AQ61">_xlfn.IFS(AND($K61&gt;AP$7,$L61&gt;AP$7),0,AND($K61&lt;=AP$7,$L61&lt;=AP$7),1,AND($K61&lt;=AP$7,$L61&gt;AP$7),((AP$7-$K61)/($L61-$K61)))</f>
        <v>0</v>
      </c>
      <c r="AR61" s="201">
        <f t="array" ref="AR61">_xlfn.IFS(AND($K61&gt;AQ$7,$L61&gt;AQ$7),0,AND($K61&lt;=AQ$7,$L61&lt;=AQ$7),1,AND($K61&lt;=AQ$7,$L61&gt;AQ$7),((AQ$7-$K61)/($L61-$K61)))</f>
        <v>0</v>
      </c>
      <c r="AS61" s="201">
        <f t="array" ref="AS61">_xlfn.IFS(AND($K61&gt;AR$7,$L61&gt;AR$7),0,AND($K61&lt;=AR$7,$L61&lt;=AR$7),1,AND($K61&lt;=AR$7,$L61&gt;AR$7),((AR$7-$K61)/($L61-$K61)))</f>
        <v>0</v>
      </c>
      <c r="AT61" s="201">
        <f t="array" ref="AT61">_xlfn.IFS(AND($K61&gt;AS$7,$L61&gt;AS$7),0,AND($K61&lt;=AS$7,$L61&lt;=AS$7),1,AND($K61&lt;=AS$7,$L61&gt;AS$7),((AS$7-$K61)/($L61-$K61)))</f>
        <v>1</v>
      </c>
      <c r="AU61" s="201">
        <f t="array" ref="AU61">_xlfn.IFS(AND($K61&gt;AT$7,$L61&gt;AT$7),0,AND($K61&lt;=AT$7,$L61&lt;=AT$7),1,AND($K61&lt;=AT$7,$L61&gt;AT$7),((AT$7-$K61)/($L61-$K61)))</f>
        <v>1</v>
      </c>
      <c r="AV61" s="201">
        <f t="array" ref="AV61">_xlfn.IFS(AND($K61&gt;AU$7,$L61&gt;AU$7),0,AND($K61&lt;=AU$7,$L61&lt;=AU$7),1,AND($K61&lt;=AU$7,$L61&gt;AU$7),((AU$7-$K61)/($L61-$K61)))</f>
        <v>1</v>
      </c>
      <c r="AW61" s="201">
        <f t="array" ref="AW61">_xlfn.IFS(AND($K61&gt;AV$7,$L61&gt;AV$7),0,AND($K61&lt;=AV$7,$L61&lt;=AV$7),1,AND($K61&lt;=AV$7,$L61&gt;AV$7),((AV$7-$K61)/($L61-$K61)))</f>
        <v>1</v>
      </c>
      <c r="AX61" s="201">
        <f t="array" ref="AX61">_xlfn.IFS(AND($K61&gt;AW$7,$L61&gt;AW$7),0,AND($K61&lt;=AW$7,$L61&lt;=AW$7),1,AND($K61&lt;=AW$7,$L61&gt;AW$7),((AW$7-$K61)/($L61-$K61)))</f>
        <v>1</v>
      </c>
      <c r="AY61" s="201">
        <f t="array" ref="AY61">_xlfn.IFS(AND($K61&gt;AX$7,$L61&gt;AX$7),0,AND($K61&lt;=AX$7,$L61&lt;=AX$7),1,AND($K61&lt;=AX$7,$L61&gt;AX$7),((AX$7-$K61)/($L61-$K61)))</f>
        <v>1</v>
      </c>
      <c r="AZ61" s="201">
        <f t="array" ref="AZ61">_xlfn.IFS(AND($K61&gt;AY$7,$L61&gt;AY$7),0,AND($K61&lt;=AY$7,$L61&lt;=AY$7),1,AND($K61&lt;=AY$7,$L61&gt;AY$7),((AY$7-$K61)/($L61-$K61)))</f>
        <v>1</v>
      </c>
      <c r="BA61" s="201">
        <f t="array" ref="BA61">_xlfn.IFS(AND($K61&gt;AZ$7,$L61&gt;AZ$7),0,AND($K61&lt;=AZ$7,$L61&lt;=AZ$7),1,AND($K61&lt;=AZ$7,$L61&gt;AZ$7),((AZ$7-$K61)/($L61-$K61)))</f>
        <v>1</v>
      </c>
      <c r="BB61" s="201">
        <f t="array" ref="BB61">_xlfn.IFS(AND($K61&gt;BA$7,$L61&gt;BA$7),0,AND($K61&lt;=BA$7,$L61&lt;=BA$7),1,AND($K61&lt;=BA$7,$L61&gt;BA$7),((BA$7-$K61)/($L61-$K61)))</f>
        <v>1</v>
      </c>
      <c r="BC61" s="201">
        <f t="array" ref="BC61">_xlfn.IFS(AND($K61&gt;BB$7,$L61&gt;BB$7),0,AND($K61&lt;=BB$7,$L61&lt;=BB$7),1,AND($K61&lt;=BB$7,$L61&gt;BB$7),((BB$7-$K61)/($L61-$K61)))</f>
        <v>1</v>
      </c>
      <c r="BD61" s="201">
        <f t="array" ref="BD61">_xlfn.IFS(AND($K61&gt;BC$7,$L61&gt;BC$7),0,AND($K61&lt;=BC$7,$L61&lt;=BC$7),1,AND($K61&lt;=BC$7,$L61&gt;BC$7),((BC$7-$K61)/($L61-$K61)))</f>
        <v>1</v>
      </c>
      <c r="BE61" s="201">
        <f t="array" ref="BE61">_xlfn.IFS(AND($K61&gt;BD$7,$L61&gt;BD$7),0,AND($K61&lt;=BD$7,$L61&lt;=BD$7),1,AND($K61&lt;=BD$7,$L61&gt;BD$7),((BD$7-$K61)/($L61-$K61)))</f>
        <v>1</v>
      </c>
      <c r="BF61" s="201">
        <f t="array" ref="BF61">_xlfn.IFS(AND($K61&gt;BE$7,$L61&gt;BE$7),0,AND($K61&lt;=BE$7,$L61&lt;=BE$7),1,AND($K61&lt;=BE$7,$L61&gt;BE$7),((BE$7-$K61)/($L61-$K61)))</f>
        <v>1</v>
      </c>
      <c r="BG61" s="201">
        <f t="array" ref="BG61">_xlfn.IFS(AND($K61&gt;BF$7,$L61&gt;BF$7),0,AND($K61&lt;=BF$7,$L61&lt;=BF$7),1,AND($K61&lt;=BF$7,$L61&gt;BF$7),((BF$7-$K61)/($L61-$K61)))</f>
        <v>1</v>
      </c>
      <c r="BH61" s="201">
        <f t="array" ref="BH61">_xlfn.IFS(AND($K61&gt;BG$7,$L61&gt;BG$7),0,AND($K61&lt;=BG$7,$L61&lt;=BG$7),1,AND($K61&lt;=BG$7,$L61&gt;BG$7),((BG$7-$K61)/($L61-$K61)))</f>
        <v>1</v>
      </c>
      <c r="BI61" s="201">
        <f t="array" ref="BI61">_xlfn.IFS(AND($K61&gt;BH$7,$L61&gt;BH$7),0,AND($K61&lt;=BH$7,$L61&lt;=BH$7),1,AND($K61&lt;=BH$7,$L61&gt;BH$7),((BH$7-$K61)/($L61-$K61)))</f>
        <v>1</v>
      </c>
      <c r="BJ61" s="201">
        <f t="array" ref="BJ61">_xlfn.IFS(AND($K61&gt;BI$7,$L61&gt;BI$7),0,AND($K61&lt;=BI$7,$L61&lt;=BI$7),1,AND($K61&lt;=BI$7,$L61&gt;BI$7),((BI$7-$K61)/($L61-$K61)))</f>
        <v>1</v>
      </c>
      <c r="BK61" s="201">
        <f t="array" ref="BK61">_xlfn.IFS(AND($K61&gt;BJ$7,$L61&gt;BJ$7),0,AND($K61&lt;=BJ$7,$L61&lt;=BJ$7),1,AND($K61&lt;=BJ$7,$L61&gt;BJ$7),((BJ$7-$K61)/($L61-$K61)))</f>
        <v>1</v>
      </c>
      <c r="BL61" s="201">
        <f t="array" ref="BL61">_xlfn.IFS(AND($K61&gt;BK$7,$L61&gt;BK$7),0,AND($K61&lt;=BK$7,$L61&lt;=BK$7),1,AND($K61&lt;=BK$7,$L61&gt;BK$7),((BK$7-$K61)/($L61-$K61)))</f>
        <v>1</v>
      </c>
      <c r="BM61" s="201">
        <f t="array" ref="BM61">_xlfn.IFS(AND($K61&gt;BL$7,$L61&gt;BL$7),0,AND($K61&lt;=BL$7,$L61&lt;=BL$7),1,AND($K61&lt;=BL$7,$L61&gt;BL$7),((BL$7-$K61)/($L61-$K61)))</f>
        <v>1</v>
      </c>
      <c r="BN61" s="201">
        <f t="array" ref="BN61">_xlfn.IFS(AND($K61&gt;BM$7,$L61&gt;BM$7),0,AND($K61&lt;=BM$7,$L61&lt;=BM$7),1,AND($K61&lt;=BM$7,$L61&gt;BM$7),((BM$7-$K61)/($L61-$K61)))</f>
        <v>1</v>
      </c>
    </row>
    <row r="62" spans="2:66" s="163" customFormat="1" ht="23.55" customHeight="1" x14ac:dyDescent="0.3">
      <c r="B62" s="166" t="s">
        <v>161</v>
      </c>
      <c r="C62" s="166" t="s">
        <v>172</v>
      </c>
      <c r="D62" s="177"/>
      <c r="E62" s="170" t="str">
        <f t="shared" si="30"/>
        <v>Desenvolvimento da Transformação dos Processos</v>
      </c>
      <c r="F62" s="174" t="str">
        <f t="shared" si="33"/>
        <v>Diagnóstico de Maturidade do Processo</v>
      </c>
      <c r="G62" s="166" t="str">
        <f t="shared" si="36"/>
        <v>Diagnóstico de Maturidade do Processo</v>
      </c>
      <c r="H62" s="197" t="s">
        <v>173</v>
      </c>
      <c r="I62" s="166">
        <v>45873</v>
      </c>
      <c r="J62" s="166">
        <v>45877</v>
      </c>
      <c r="K62" s="166">
        <v>45873</v>
      </c>
      <c r="L62" s="166">
        <v>45877</v>
      </c>
      <c r="M62" s="167"/>
      <c r="N62" s="167" t="str">
        <f t="array" ref="N62">_xlfn.IFS(L62&lt;$M$3,"Concluído",AND(K62&gt;=$M$3,I62&lt;$M$3,L62&gt;$M$3),"Em andamento",AND(L62&gt;=$M$3,J62&lt;$M$3),"Atrasado",AND(L62&gt;=$M$3,J62&gt;=$M$3,I62&gt;$M$3,K62&lt;=$M$3),"Em andamento",AND(L62&gt;=$M$3,J62&gt;=$M$3,I62&lt;=$M$3,K62&lt;=$M$3),"Em andamento",AND(K62&gt;$M$3,I62&gt;$M$3),"Não iniciado",AND(L62&gt;=$M$3,J62&gt;=$M$3,K62&gt;=$M$3,I62&lt;$M$3),"Atrasado",AND(L62&gt;=$M$3,J62&gt;=$M$3,K62&gt;=$M$3,I62&gt;$M$3),"Não iniciado",AND($I62&lt;=$M$3,$K62&gt;$M$3),"Atrasado")</f>
        <v>Não iniciado</v>
      </c>
      <c r="O62" s="167">
        <f t="array" ref="O62">_xlfn.IFS(N62="Não iniciado",0,N62="Em andamento",1,N62="Concluído",2,N62="Atrasado",3)</f>
        <v>0</v>
      </c>
      <c r="P62" s="169"/>
      <c r="Q62" s="152">
        <f t="array" ref="Q62">_xlfn.IFS(AND($I62&lt;$M$3,$J62&lt;$M$3),1,AND($I62&lt;$M$3,$J62&gt;=$M$3),0.5,AND($I62&gt;=$M$3,$J62&gt;=$M$3),0)</f>
        <v>0</v>
      </c>
      <c r="R62" s="152">
        <f t="array" ref="R62">_xlfn.IFS(AND($K62&lt;$M$3,$L62&lt;$M$3),1,AND($K62&lt;=$M$3,$L62&gt;=$M$3),0.5,AND($K62&gt;=$M$3,$L62&gt;=$M$3),0)</f>
        <v>0</v>
      </c>
      <c r="S62" s="201">
        <f t="array" ref="S62">_xlfn.IFS(AND($K62&gt;R$7,$L62&gt;R$7),0,AND($K62&lt;=R$7,$L62&lt;=R$7),1,AND($K62&lt;=R$7,$L62&gt;R$7),((R$7-$K62)/($L62-$K62)))</f>
        <v>0</v>
      </c>
      <c r="T62" s="201">
        <f t="array" ref="T62">_xlfn.IFS(AND($K62&gt;S$7,$L62&gt;S$7),0,AND($K62&lt;=S$7,$L62&lt;=S$7),1,AND($K62&lt;=S$7,$L62&gt;S$7),((S$7-$K62)/($L62-$K62)))</f>
        <v>0</v>
      </c>
      <c r="U62" s="201">
        <f t="array" ref="U62">_xlfn.IFS(AND($K62&gt;T$7,$L62&gt;T$7),0,AND($K62&lt;=T$7,$L62&lt;=T$7),1,AND($K62&lt;=T$7,$L62&gt;T$7),((T$7-$K62)/($L62-$K62)))</f>
        <v>0</v>
      </c>
      <c r="V62" s="201">
        <f t="array" ref="V62">_xlfn.IFS(AND($K62&gt;U$7,$L62&gt;U$7),0,AND($K62&lt;=U$7,$L62&lt;=U$7),1,AND($K62&lt;=U$7,$L62&gt;U$7),((U$7-$K62)/($L62-$K62)))</f>
        <v>0</v>
      </c>
      <c r="W62" s="201">
        <f t="array" ref="W62">_xlfn.IFS(AND($K62&gt;V$7,$L62&gt;V$7),0,AND($K62&lt;=V$7,$L62&lt;=V$7),1,AND($K62&lt;=V$7,$L62&gt;V$7),((V$7-$K62)/($L62-$K62)))</f>
        <v>0</v>
      </c>
      <c r="X62" s="201">
        <f t="array" ref="X62">_xlfn.IFS(AND($K62&gt;W$7,$L62&gt;W$7),0,AND($K62&lt;=W$7,$L62&lt;=W$7),1,AND($K62&lt;=W$7,$L62&gt;W$7),((W$7-$K62)/($L62-$K62)))</f>
        <v>0</v>
      </c>
      <c r="Y62" s="201">
        <f t="array" ref="Y62">_xlfn.IFS(AND($K62&gt;X$7,$L62&gt;X$7),0,AND($K62&lt;=X$7,$L62&lt;=X$7),1,AND($K62&lt;=X$7,$L62&gt;X$7),((X$7-$K62)/($L62-$K62)))</f>
        <v>0</v>
      </c>
      <c r="Z62" s="201">
        <f t="array" ref="Z62">_xlfn.IFS(AND($K62&gt;Y$7,$L62&gt;Y$7),0,AND($K62&lt;=Y$7,$L62&lt;=Y$7),1,AND($K62&lt;=Y$7,$L62&gt;Y$7),((Y$7-$K62)/($L62-$K62)))</f>
        <v>0</v>
      </c>
      <c r="AA62" s="201">
        <f t="array" ref="AA62">_xlfn.IFS(AND($K62&gt;Z$7,$L62&gt;Z$7),0,AND($K62&lt;=Z$7,$L62&lt;=Z$7),1,AND($K62&lt;=Z$7,$L62&gt;Z$7),((Z$7-$K62)/($L62-$K62)))</f>
        <v>0</v>
      </c>
      <c r="AB62" s="201">
        <f t="array" ref="AB62">_xlfn.IFS(AND($K62&gt;AA$7,$L62&gt;AA$7),0,AND($K62&lt;=AA$7,$L62&lt;=AA$7),1,AND($K62&lt;=AA$7,$L62&gt;AA$7),((AA$7-$K62)/($L62-$K62)))</f>
        <v>0</v>
      </c>
      <c r="AC62" s="201">
        <f t="array" ref="AC62">_xlfn.IFS(AND($K62&gt;AB$7,$L62&gt;AB$7),0,AND($K62&lt;=AB$7,$L62&lt;=AB$7),1,AND($K62&lt;=AB$7,$L62&gt;AB$7),((AB$7-$K62)/($L62-$K62)))</f>
        <v>0</v>
      </c>
      <c r="AD62" s="201">
        <f t="array" ref="AD62">_xlfn.IFS(AND($K62&gt;AC$7,$L62&gt;AC$7),0,AND($K62&lt;=AC$7,$L62&lt;=AC$7),1,AND($K62&lt;=AC$7,$L62&gt;AC$7),((AC$7-$K62)/($L62-$K62)))</f>
        <v>0</v>
      </c>
      <c r="AE62" s="201">
        <f t="array" ref="AE62">_xlfn.IFS(AND($K62&gt;AD$7,$L62&gt;AD$7),0,AND($K62&lt;=AD$7,$L62&lt;=AD$7),1,AND($K62&lt;=AD$7,$L62&gt;AD$7),((AD$7-$K62)/($L62-$K62)))</f>
        <v>0</v>
      </c>
      <c r="AF62" s="201">
        <f t="array" ref="AF62">_xlfn.IFS(AND($K62&gt;AE$7,$L62&gt;AE$7),0,AND($K62&lt;=AE$7,$L62&lt;=AE$7),1,AND($K62&lt;=AE$7,$L62&gt;AE$7),((AE$7-$K62)/($L62-$K62)))</f>
        <v>0</v>
      </c>
      <c r="AG62" s="201">
        <f t="array" ref="AG62">_xlfn.IFS(AND($K62&gt;AF$7,$L62&gt;AF$7),0,AND($K62&lt;=AF$7,$L62&lt;=AF$7),1,AND($K62&lt;=AF$7,$L62&gt;AF$7),((AF$7-$K62)/($L62-$K62)))</f>
        <v>0</v>
      </c>
      <c r="AH62" s="201">
        <f t="array" ref="AH62">_xlfn.IFS(AND($K62&gt;AG$7,$L62&gt;AG$7),0,AND($K62&lt;=AG$7,$L62&lt;=AG$7),1,AND($K62&lt;=AG$7,$L62&gt;AG$7),((AG$7-$K62)/($L62-$K62)))</f>
        <v>0</v>
      </c>
      <c r="AI62" s="201">
        <f t="array" ref="AI62">_xlfn.IFS(AND($K62&gt;AH$7,$L62&gt;AH$7),0,AND($K62&lt;=AH$7,$L62&lt;=AH$7),1,AND($K62&lt;=AH$7,$L62&gt;AH$7),((AH$7-$K62)/($L62-$K62)))</f>
        <v>0</v>
      </c>
      <c r="AJ62" s="201">
        <f t="array" ref="AJ62">_xlfn.IFS(AND($K62&gt;AI$7,$L62&gt;AI$7),0,AND($K62&lt;=AI$7,$L62&lt;=AI$7),1,AND($K62&lt;=AI$7,$L62&gt;AI$7),((AI$7-$K62)/($L62-$K62)))</f>
        <v>0</v>
      </c>
      <c r="AK62" s="201">
        <f t="array" ref="AK62">_xlfn.IFS(AND($K62&gt;AJ$7,$L62&gt;AJ$7),0,AND($K62&lt;=AJ$7,$L62&lt;=AJ$7),1,AND($K62&lt;=AJ$7,$L62&gt;AJ$7),((AJ$7-$K62)/($L62-$K62)))</f>
        <v>0</v>
      </c>
      <c r="AL62" s="201">
        <f t="array" ref="AL62">_xlfn.IFS(AND($K62&gt;AK$7,$L62&gt;AK$7),0,AND($K62&lt;=AK$7,$L62&lt;=AK$7),1,AND($K62&lt;=AK$7,$L62&gt;AK$7),((AK$7-$K62)/($L62-$K62)))</f>
        <v>0</v>
      </c>
      <c r="AM62" s="201">
        <f t="array" ref="AM62">_xlfn.IFS(AND($K62&gt;AL$7,$L62&gt;AL$7),0,AND($K62&lt;=AL$7,$L62&lt;=AL$7),1,AND($K62&lt;=AL$7,$L62&gt;AL$7),((AL$7-$K62)/($L62-$K62)))</f>
        <v>0</v>
      </c>
      <c r="AN62" s="201">
        <f t="array" ref="AN62">_xlfn.IFS(AND($K62&gt;AM$7,$L62&gt;AM$7),0,AND($K62&lt;=AM$7,$L62&lt;=AM$7),1,AND($K62&lt;=AM$7,$L62&gt;AM$7),((AM$7-$K62)/($L62-$K62)))</f>
        <v>0</v>
      </c>
      <c r="AO62" s="201">
        <f t="array" ref="AO62">_xlfn.IFS(AND($K62&gt;AN$7,$L62&gt;AN$7),0,AND($K62&lt;=AN$7,$L62&lt;=AN$7),1,AND($K62&lt;=AN$7,$L62&gt;AN$7),((AN$7-$K62)/($L62-$K62)))</f>
        <v>0</v>
      </c>
      <c r="AP62" s="201">
        <f t="array" ref="AP62">_xlfn.IFS(AND($K62&gt;AO$7,$L62&gt;AO$7),0,AND($K62&lt;=AO$7,$L62&lt;=AO$7),1,AND($K62&lt;=AO$7,$L62&gt;AO$7),((AO$7-$K62)/($L62-$K62)))</f>
        <v>0</v>
      </c>
      <c r="AQ62" s="201">
        <f t="array" ref="AQ62">_xlfn.IFS(AND($K62&gt;AP$7,$L62&gt;AP$7),0,AND($K62&lt;=AP$7,$L62&lt;=AP$7),1,AND($K62&lt;=AP$7,$L62&gt;AP$7),((AP$7-$K62)/($L62-$K62)))</f>
        <v>0</v>
      </c>
      <c r="AR62" s="201">
        <f t="array" ref="AR62">_xlfn.IFS(AND($K62&gt;AQ$7,$L62&gt;AQ$7),0,AND($K62&lt;=AQ$7,$L62&lt;=AQ$7),1,AND($K62&lt;=AQ$7,$L62&gt;AQ$7),((AQ$7-$K62)/($L62-$K62)))</f>
        <v>0</v>
      </c>
      <c r="AS62" s="201">
        <f t="array" ref="AS62">_xlfn.IFS(AND($K62&gt;AR$7,$L62&gt;AR$7),0,AND($K62&lt;=AR$7,$L62&lt;=AR$7),1,AND($K62&lt;=AR$7,$L62&gt;AR$7),((AR$7-$K62)/($L62-$K62)))</f>
        <v>0</v>
      </c>
      <c r="AT62" s="201">
        <f t="array" ref="AT62">_xlfn.IFS(AND($K62&gt;AS$7,$L62&gt;AS$7),0,AND($K62&lt;=AS$7,$L62&lt;=AS$7),1,AND($K62&lt;=AS$7,$L62&gt;AS$7),((AS$7-$K62)/($L62-$K62)))</f>
        <v>1</v>
      </c>
      <c r="AU62" s="201">
        <f t="array" ref="AU62">_xlfn.IFS(AND($K62&gt;AT$7,$L62&gt;AT$7),0,AND($K62&lt;=AT$7,$L62&lt;=AT$7),1,AND($K62&lt;=AT$7,$L62&gt;AT$7),((AT$7-$K62)/($L62-$K62)))</f>
        <v>1</v>
      </c>
      <c r="AV62" s="201">
        <f t="array" ref="AV62">_xlfn.IFS(AND($K62&gt;AU$7,$L62&gt;AU$7),0,AND($K62&lt;=AU$7,$L62&lt;=AU$7),1,AND($K62&lt;=AU$7,$L62&gt;AU$7),((AU$7-$K62)/($L62-$K62)))</f>
        <v>1</v>
      </c>
      <c r="AW62" s="201">
        <f t="array" ref="AW62">_xlfn.IFS(AND($K62&gt;AV$7,$L62&gt;AV$7),0,AND($K62&lt;=AV$7,$L62&lt;=AV$7),1,AND($K62&lt;=AV$7,$L62&gt;AV$7),((AV$7-$K62)/($L62-$K62)))</f>
        <v>1</v>
      </c>
      <c r="AX62" s="201">
        <f t="array" ref="AX62">_xlfn.IFS(AND($K62&gt;AW$7,$L62&gt;AW$7),0,AND($K62&lt;=AW$7,$L62&lt;=AW$7),1,AND($K62&lt;=AW$7,$L62&gt;AW$7),((AW$7-$K62)/($L62-$K62)))</f>
        <v>1</v>
      </c>
      <c r="AY62" s="201">
        <f t="array" ref="AY62">_xlfn.IFS(AND($K62&gt;AX$7,$L62&gt;AX$7),0,AND($K62&lt;=AX$7,$L62&lt;=AX$7),1,AND($K62&lt;=AX$7,$L62&gt;AX$7),((AX$7-$K62)/($L62-$K62)))</f>
        <v>1</v>
      </c>
      <c r="AZ62" s="201">
        <f t="array" ref="AZ62">_xlfn.IFS(AND($K62&gt;AY$7,$L62&gt;AY$7),0,AND($K62&lt;=AY$7,$L62&lt;=AY$7),1,AND($K62&lt;=AY$7,$L62&gt;AY$7),((AY$7-$K62)/($L62-$K62)))</f>
        <v>1</v>
      </c>
      <c r="BA62" s="201">
        <f t="array" ref="BA62">_xlfn.IFS(AND($K62&gt;AZ$7,$L62&gt;AZ$7),0,AND($K62&lt;=AZ$7,$L62&lt;=AZ$7),1,AND($K62&lt;=AZ$7,$L62&gt;AZ$7),((AZ$7-$K62)/($L62-$K62)))</f>
        <v>1</v>
      </c>
      <c r="BB62" s="201">
        <f t="array" ref="BB62">_xlfn.IFS(AND($K62&gt;BA$7,$L62&gt;BA$7),0,AND($K62&lt;=BA$7,$L62&lt;=BA$7),1,AND($K62&lt;=BA$7,$L62&gt;BA$7),((BA$7-$K62)/($L62-$K62)))</f>
        <v>1</v>
      </c>
      <c r="BC62" s="201">
        <f t="array" ref="BC62">_xlfn.IFS(AND($K62&gt;BB$7,$L62&gt;BB$7),0,AND($K62&lt;=BB$7,$L62&lt;=BB$7),1,AND($K62&lt;=BB$7,$L62&gt;BB$7),((BB$7-$K62)/($L62-$K62)))</f>
        <v>1</v>
      </c>
      <c r="BD62" s="201">
        <f t="array" ref="BD62">_xlfn.IFS(AND($K62&gt;BC$7,$L62&gt;BC$7),0,AND($K62&lt;=BC$7,$L62&lt;=BC$7),1,AND($K62&lt;=BC$7,$L62&gt;BC$7),((BC$7-$K62)/($L62-$K62)))</f>
        <v>1</v>
      </c>
      <c r="BE62" s="201">
        <f t="array" ref="BE62">_xlfn.IFS(AND($K62&gt;BD$7,$L62&gt;BD$7),0,AND($K62&lt;=BD$7,$L62&lt;=BD$7),1,AND($K62&lt;=BD$7,$L62&gt;BD$7),((BD$7-$K62)/($L62-$K62)))</f>
        <v>1</v>
      </c>
      <c r="BF62" s="201">
        <f t="array" ref="BF62">_xlfn.IFS(AND($K62&gt;BE$7,$L62&gt;BE$7),0,AND($K62&lt;=BE$7,$L62&lt;=BE$7),1,AND($K62&lt;=BE$7,$L62&gt;BE$7),((BE$7-$K62)/($L62-$K62)))</f>
        <v>1</v>
      </c>
      <c r="BG62" s="201">
        <f t="array" ref="BG62">_xlfn.IFS(AND($K62&gt;BF$7,$L62&gt;BF$7),0,AND($K62&lt;=BF$7,$L62&lt;=BF$7),1,AND($K62&lt;=BF$7,$L62&gt;BF$7),((BF$7-$K62)/($L62-$K62)))</f>
        <v>1</v>
      </c>
      <c r="BH62" s="201">
        <f t="array" ref="BH62">_xlfn.IFS(AND($K62&gt;BG$7,$L62&gt;BG$7),0,AND($K62&lt;=BG$7,$L62&lt;=BG$7),1,AND($K62&lt;=BG$7,$L62&gt;BG$7),((BG$7-$K62)/($L62-$K62)))</f>
        <v>1</v>
      </c>
      <c r="BI62" s="201">
        <f t="array" ref="BI62">_xlfn.IFS(AND($K62&gt;BH$7,$L62&gt;BH$7),0,AND($K62&lt;=BH$7,$L62&lt;=BH$7),1,AND($K62&lt;=BH$7,$L62&gt;BH$7),((BH$7-$K62)/($L62-$K62)))</f>
        <v>1</v>
      </c>
      <c r="BJ62" s="201">
        <f t="array" ref="BJ62">_xlfn.IFS(AND($K62&gt;BI$7,$L62&gt;BI$7),0,AND($K62&lt;=BI$7,$L62&lt;=BI$7),1,AND($K62&lt;=BI$7,$L62&gt;BI$7),((BI$7-$K62)/($L62-$K62)))</f>
        <v>1</v>
      </c>
      <c r="BK62" s="201">
        <f t="array" ref="BK62">_xlfn.IFS(AND($K62&gt;BJ$7,$L62&gt;BJ$7),0,AND($K62&lt;=BJ$7,$L62&lt;=BJ$7),1,AND($K62&lt;=BJ$7,$L62&gt;BJ$7),((BJ$7-$K62)/($L62-$K62)))</f>
        <v>1</v>
      </c>
      <c r="BL62" s="201">
        <f t="array" ref="BL62">_xlfn.IFS(AND($K62&gt;BK$7,$L62&gt;BK$7),0,AND($K62&lt;=BK$7,$L62&lt;=BK$7),1,AND($K62&lt;=BK$7,$L62&gt;BK$7),((BK$7-$K62)/($L62-$K62)))</f>
        <v>1</v>
      </c>
      <c r="BM62" s="201">
        <f t="array" ref="BM62">_xlfn.IFS(AND($K62&gt;BL$7,$L62&gt;BL$7),0,AND($K62&lt;=BL$7,$L62&lt;=BL$7),1,AND($K62&lt;=BL$7,$L62&gt;BL$7),((BL$7-$K62)/($L62-$K62)))</f>
        <v>1</v>
      </c>
      <c r="BN62" s="201">
        <f t="array" ref="BN62">_xlfn.IFS(AND($K62&gt;BM$7,$L62&gt;BM$7),0,AND($K62&lt;=BM$7,$L62&lt;=BM$7),1,AND($K62&lt;=BM$7,$L62&gt;BM$7),((BM$7-$K62)/($L62-$K62)))</f>
        <v>1</v>
      </c>
    </row>
    <row r="63" spans="2:66" s="163" customFormat="1" ht="23.55" customHeight="1" x14ac:dyDescent="0.3">
      <c r="B63" s="166" t="s">
        <v>161</v>
      </c>
      <c r="C63" s="166" t="s">
        <v>174</v>
      </c>
      <c r="D63" s="177"/>
      <c r="E63" s="170" t="str">
        <f t="shared" si="30"/>
        <v>Desenvolvimento da Transformação dos Processos</v>
      </c>
      <c r="F63" s="174" t="str">
        <f t="shared" si="33"/>
        <v>Diagnóstico de Maturidade do Processo</v>
      </c>
      <c r="G63" s="166" t="str">
        <f t="shared" si="36"/>
        <v>Diagnóstico de Maturidade do Processo</v>
      </c>
      <c r="H63" s="197" t="s">
        <v>175</v>
      </c>
      <c r="I63" s="166">
        <v>45873</v>
      </c>
      <c r="J63" s="166">
        <v>45877</v>
      </c>
      <c r="K63" s="166">
        <v>45873</v>
      </c>
      <c r="L63" s="166">
        <v>45877</v>
      </c>
      <c r="M63" s="167"/>
      <c r="N63" s="167" t="str">
        <f t="array" ref="N63">_xlfn.IFS(L63&lt;$M$3,"Concluído",AND(K63&gt;=$M$3,I63&lt;$M$3,L63&gt;$M$3),"Em andamento",AND(L63&gt;=$M$3,J63&lt;$M$3),"Atrasado",AND(L63&gt;=$M$3,J63&gt;=$M$3,I63&gt;$M$3,K63&lt;=$M$3),"Em andamento",AND(L63&gt;=$M$3,J63&gt;=$M$3,I63&lt;=$M$3,K63&lt;=$M$3),"Em andamento",AND(K63&gt;$M$3,I63&gt;$M$3),"Não iniciado",AND(L63&gt;=$M$3,J63&gt;=$M$3,K63&gt;=$M$3,I63&lt;$M$3),"Atrasado",AND(L63&gt;=$M$3,J63&gt;=$M$3,K63&gt;=$M$3,I63&gt;$M$3),"Não iniciado",AND($I63&lt;=$M$3,$K63&gt;$M$3),"Atrasado")</f>
        <v>Não iniciado</v>
      </c>
      <c r="O63" s="167">
        <f t="array" ref="O63">_xlfn.IFS(N63="Não iniciado",0,N63="Em andamento",1,N63="Concluído",2,N63="Atrasado",3)</f>
        <v>0</v>
      </c>
      <c r="P63" s="169"/>
      <c r="Q63" s="152">
        <f t="array" ref="Q63">_xlfn.IFS(AND($I63&lt;$M$3,$J63&lt;$M$3),1,AND($I63&lt;$M$3,$J63&gt;=$M$3),0.5,AND($I63&gt;=$M$3,$J63&gt;=$M$3),0)</f>
        <v>0</v>
      </c>
      <c r="R63" s="152">
        <f t="array" ref="R63">_xlfn.IFS(AND($K63&lt;$M$3,$L63&lt;$M$3),1,AND($K63&lt;=$M$3,$L63&gt;=$M$3),0.5,AND($K63&gt;=$M$3,$L63&gt;=$M$3),0)</f>
        <v>0</v>
      </c>
      <c r="S63" s="201">
        <f t="array" ref="S63">_xlfn.IFS(AND($K63&gt;R$7,$L63&gt;R$7),0,AND($K63&lt;=R$7,$L63&lt;=R$7),1,AND($K63&lt;=R$7,$L63&gt;R$7),((R$7-$K63)/($L63-$K63)))</f>
        <v>0</v>
      </c>
      <c r="T63" s="201">
        <f t="array" ref="T63">_xlfn.IFS(AND($K63&gt;S$7,$L63&gt;S$7),0,AND($K63&lt;=S$7,$L63&lt;=S$7),1,AND($K63&lt;=S$7,$L63&gt;S$7),((S$7-$K63)/($L63-$K63)))</f>
        <v>0</v>
      </c>
      <c r="U63" s="201">
        <f t="array" ref="U63">_xlfn.IFS(AND($K63&gt;T$7,$L63&gt;T$7),0,AND($K63&lt;=T$7,$L63&lt;=T$7),1,AND($K63&lt;=T$7,$L63&gt;T$7),((T$7-$K63)/($L63-$K63)))</f>
        <v>0</v>
      </c>
      <c r="V63" s="201">
        <f t="array" ref="V63">_xlfn.IFS(AND($K63&gt;U$7,$L63&gt;U$7),0,AND($K63&lt;=U$7,$L63&lt;=U$7),1,AND($K63&lt;=U$7,$L63&gt;U$7),((U$7-$K63)/($L63-$K63)))</f>
        <v>0</v>
      </c>
      <c r="W63" s="201">
        <f t="array" ref="W63">_xlfn.IFS(AND($K63&gt;V$7,$L63&gt;V$7),0,AND($K63&lt;=V$7,$L63&lt;=V$7),1,AND($K63&lt;=V$7,$L63&gt;V$7),((V$7-$K63)/($L63-$K63)))</f>
        <v>0</v>
      </c>
      <c r="X63" s="201">
        <f t="array" ref="X63">_xlfn.IFS(AND($K63&gt;W$7,$L63&gt;W$7),0,AND($K63&lt;=W$7,$L63&lt;=W$7),1,AND($K63&lt;=W$7,$L63&gt;W$7),((W$7-$K63)/($L63-$K63)))</f>
        <v>0</v>
      </c>
      <c r="Y63" s="201">
        <f t="array" ref="Y63">_xlfn.IFS(AND($K63&gt;X$7,$L63&gt;X$7),0,AND($K63&lt;=X$7,$L63&lt;=X$7),1,AND($K63&lt;=X$7,$L63&gt;X$7),((X$7-$K63)/($L63-$K63)))</f>
        <v>0</v>
      </c>
      <c r="Z63" s="201">
        <f t="array" ref="Z63">_xlfn.IFS(AND($K63&gt;Y$7,$L63&gt;Y$7),0,AND($K63&lt;=Y$7,$L63&lt;=Y$7),1,AND($K63&lt;=Y$7,$L63&gt;Y$7),((Y$7-$K63)/($L63-$K63)))</f>
        <v>0</v>
      </c>
      <c r="AA63" s="201">
        <f t="array" ref="AA63">_xlfn.IFS(AND($K63&gt;Z$7,$L63&gt;Z$7),0,AND($K63&lt;=Z$7,$L63&lt;=Z$7),1,AND($K63&lt;=Z$7,$L63&gt;Z$7),((Z$7-$K63)/($L63-$K63)))</f>
        <v>0</v>
      </c>
      <c r="AB63" s="201">
        <f t="array" ref="AB63">_xlfn.IFS(AND($K63&gt;AA$7,$L63&gt;AA$7),0,AND($K63&lt;=AA$7,$L63&lt;=AA$7),1,AND($K63&lt;=AA$7,$L63&gt;AA$7),((AA$7-$K63)/($L63-$K63)))</f>
        <v>0</v>
      </c>
      <c r="AC63" s="201">
        <f t="array" ref="AC63">_xlfn.IFS(AND($K63&gt;AB$7,$L63&gt;AB$7),0,AND($K63&lt;=AB$7,$L63&lt;=AB$7),1,AND($K63&lt;=AB$7,$L63&gt;AB$7),((AB$7-$K63)/($L63-$K63)))</f>
        <v>0</v>
      </c>
      <c r="AD63" s="201">
        <f t="array" ref="AD63">_xlfn.IFS(AND($K63&gt;AC$7,$L63&gt;AC$7),0,AND($K63&lt;=AC$7,$L63&lt;=AC$7),1,AND($K63&lt;=AC$7,$L63&gt;AC$7),((AC$7-$K63)/($L63-$K63)))</f>
        <v>0</v>
      </c>
      <c r="AE63" s="201">
        <f t="array" ref="AE63">_xlfn.IFS(AND($K63&gt;AD$7,$L63&gt;AD$7),0,AND($K63&lt;=AD$7,$L63&lt;=AD$7),1,AND($K63&lt;=AD$7,$L63&gt;AD$7),((AD$7-$K63)/($L63-$K63)))</f>
        <v>0</v>
      </c>
      <c r="AF63" s="201">
        <f t="array" ref="AF63">_xlfn.IFS(AND($K63&gt;AE$7,$L63&gt;AE$7),0,AND($K63&lt;=AE$7,$L63&lt;=AE$7),1,AND($K63&lt;=AE$7,$L63&gt;AE$7),((AE$7-$K63)/($L63-$K63)))</f>
        <v>0</v>
      </c>
      <c r="AG63" s="201">
        <f t="array" ref="AG63">_xlfn.IFS(AND($K63&gt;AF$7,$L63&gt;AF$7),0,AND($K63&lt;=AF$7,$L63&lt;=AF$7),1,AND($K63&lt;=AF$7,$L63&gt;AF$7),((AF$7-$K63)/($L63-$K63)))</f>
        <v>0</v>
      </c>
      <c r="AH63" s="201">
        <f t="array" ref="AH63">_xlfn.IFS(AND($K63&gt;AG$7,$L63&gt;AG$7),0,AND($K63&lt;=AG$7,$L63&lt;=AG$7),1,AND($K63&lt;=AG$7,$L63&gt;AG$7),((AG$7-$K63)/($L63-$K63)))</f>
        <v>0</v>
      </c>
      <c r="AI63" s="201">
        <f t="array" ref="AI63">_xlfn.IFS(AND($K63&gt;AH$7,$L63&gt;AH$7),0,AND($K63&lt;=AH$7,$L63&lt;=AH$7),1,AND($K63&lt;=AH$7,$L63&gt;AH$7),((AH$7-$K63)/($L63-$K63)))</f>
        <v>0</v>
      </c>
      <c r="AJ63" s="201">
        <f t="array" ref="AJ63">_xlfn.IFS(AND($K63&gt;AI$7,$L63&gt;AI$7),0,AND($K63&lt;=AI$7,$L63&lt;=AI$7),1,AND($K63&lt;=AI$7,$L63&gt;AI$7),((AI$7-$K63)/($L63-$K63)))</f>
        <v>0</v>
      </c>
      <c r="AK63" s="201">
        <f t="array" ref="AK63">_xlfn.IFS(AND($K63&gt;AJ$7,$L63&gt;AJ$7),0,AND($K63&lt;=AJ$7,$L63&lt;=AJ$7),1,AND($K63&lt;=AJ$7,$L63&gt;AJ$7),((AJ$7-$K63)/($L63-$K63)))</f>
        <v>0</v>
      </c>
      <c r="AL63" s="201">
        <f t="array" ref="AL63">_xlfn.IFS(AND($K63&gt;AK$7,$L63&gt;AK$7),0,AND($K63&lt;=AK$7,$L63&lt;=AK$7),1,AND($K63&lt;=AK$7,$L63&gt;AK$7),((AK$7-$K63)/($L63-$K63)))</f>
        <v>0</v>
      </c>
      <c r="AM63" s="201">
        <f t="array" ref="AM63">_xlfn.IFS(AND($K63&gt;AL$7,$L63&gt;AL$7),0,AND($K63&lt;=AL$7,$L63&lt;=AL$7),1,AND($K63&lt;=AL$7,$L63&gt;AL$7),((AL$7-$K63)/($L63-$K63)))</f>
        <v>0</v>
      </c>
      <c r="AN63" s="201">
        <f t="array" ref="AN63">_xlfn.IFS(AND($K63&gt;AM$7,$L63&gt;AM$7),0,AND($K63&lt;=AM$7,$L63&lt;=AM$7),1,AND($K63&lt;=AM$7,$L63&gt;AM$7),((AM$7-$K63)/($L63-$K63)))</f>
        <v>0</v>
      </c>
      <c r="AO63" s="201">
        <f t="array" ref="AO63">_xlfn.IFS(AND($K63&gt;AN$7,$L63&gt;AN$7),0,AND($K63&lt;=AN$7,$L63&lt;=AN$7),1,AND($K63&lt;=AN$7,$L63&gt;AN$7),((AN$7-$K63)/($L63-$K63)))</f>
        <v>0</v>
      </c>
      <c r="AP63" s="201">
        <f t="array" ref="AP63">_xlfn.IFS(AND($K63&gt;AO$7,$L63&gt;AO$7),0,AND($K63&lt;=AO$7,$L63&lt;=AO$7),1,AND($K63&lt;=AO$7,$L63&gt;AO$7),((AO$7-$K63)/($L63-$K63)))</f>
        <v>0</v>
      </c>
      <c r="AQ63" s="201">
        <f t="array" ref="AQ63">_xlfn.IFS(AND($K63&gt;AP$7,$L63&gt;AP$7),0,AND($K63&lt;=AP$7,$L63&lt;=AP$7),1,AND($K63&lt;=AP$7,$L63&gt;AP$7),((AP$7-$K63)/($L63-$K63)))</f>
        <v>0</v>
      </c>
      <c r="AR63" s="201">
        <f t="array" ref="AR63">_xlfn.IFS(AND($K63&gt;AQ$7,$L63&gt;AQ$7),0,AND($K63&lt;=AQ$7,$L63&lt;=AQ$7),1,AND($K63&lt;=AQ$7,$L63&gt;AQ$7),((AQ$7-$K63)/($L63-$K63)))</f>
        <v>0</v>
      </c>
      <c r="AS63" s="201">
        <f t="array" ref="AS63">_xlfn.IFS(AND($K63&gt;AR$7,$L63&gt;AR$7),0,AND($K63&lt;=AR$7,$L63&lt;=AR$7),1,AND($K63&lt;=AR$7,$L63&gt;AR$7),((AR$7-$K63)/($L63-$K63)))</f>
        <v>0</v>
      </c>
      <c r="AT63" s="201">
        <f t="array" ref="AT63">_xlfn.IFS(AND($K63&gt;AS$7,$L63&gt;AS$7),0,AND($K63&lt;=AS$7,$L63&lt;=AS$7),1,AND($K63&lt;=AS$7,$L63&gt;AS$7),((AS$7-$K63)/($L63-$K63)))</f>
        <v>1</v>
      </c>
      <c r="AU63" s="201">
        <f t="array" ref="AU63">_xlfn.IFS(AND($K63&gt;AT$7,$L63&gt;AT$7),0,AND($K63&lt;=AT$7,$L63&lt;=AT$7),1,AND($K63&lt;=AT$7,$L63&gt;AT$7),((AT$7-$K63)/($L63-$K63)))</f>
        <v>1</v>
      </c>
      <c r="AV63" s="201">
        <f t="array" ref="AV63">_xlfn.IFS(AND($K63&gt;AU$7,$L63&gt;AU$7),0,AND($K63&lt;=AU$7,$L63&lt;=AU$7),1,AND($K63&lt;=AU$7,$L63&gt;AU$7),((AU$7-$K63)/($L63-$K63)))</f>
        <v>1</v>
      </c>
      <c r="AW63" s="201">
        <f t="array" ref="AW63">_xlfn.IFS(AND($K63&gt;AV$7,$L63&gt;AV$7),0,AND($K63&lt;=AV$7,$L63&lt;=AV$7),1,AND($K63&lt;=AV$7,$L63&gt;AV$7),((AV$7-$K63)/($L63-$K63)))</f>
        <v>1</v>
      </c>
      <c r="AX63" s="201">
        <f t="array" ref="AX63">_xlfn.IFS(AND($K63&gt;AW$7,$L63&gt;AW$7),0,AND($K63&lt;=AW$7,$L63&lt;=AW$7),1,AND($K63&lt;=AW$7,$L63&gt;AW$7),((AW$7-$K63)/($L63-$K63)))</f>
        <v>1</v>
      </c>
      <c r="AY63" s="201">
        <f t="array" ref="AY63">_xlfn.IFS(AND($K63&gt;AX$7,$L63&gt;AX$7),0,AND($K63&lt;=AX$7,$L63&lt;=AX$7),1,AND($K63&lt;=AX$7,$L63&gt;AX$7),((AX$7-$K63)/($L63-$K63)))</f>
        <v>1</v>
      </c>
      <c r="AZ63" s="201">
        <f t="array" ref="AZ63">_xlfn.IFS(AND($K63&gt;AY$7,$L63&gt;AY$7),0,AND($K63&lt;=AY$7,$L63&lt;=AY$7),1,AND($K63&lt;=AY$7,$L63&gt;AY$7),((AY$7-$K63)/($L63-$K63)))</f>
        <v>1</v>
      </c>
      <c r="BA63" s="201">
        <f t="array" ref="BA63">_xlfn.IFS(AND($K63&gt;AZ$7,$L63&gt;AZ$7),0,AND($K63&lt;=AZ$7,$L63&lt;=AZ$7),1,AND($K63&lt;=AZ$7,$L63&gt;AZ$7),((AZ$7-$K63)/($L63-$K63)))</f>
        <v>1</v>
      </c>
      <c r="BB63" s="201">
        <f t="array" ref="BB63">_xlfn.IFS(AND($K63&gt;BA$7,$L63&gt;BA$7),0,AND($K63&lt;=BA$7,$L63&lt;=BA$7),1,AND($K63&lt;=BA$7,$L63&gt;BA$7),((BA$7-$K63)/($L63-$K63)))</f>
        <v>1</v>
      </c>
      <c r="BC63" s="201">
        <f t="array" ref="BC63">_xlfn.IFS(AND($K63&gt;BB$7,$L63&gt;BB$7),0,AND($K63&lt;=BB$7,$L63&lt;=BB$7),1,AND($K63&lt;=BB$7,$L63&gt;BB$7),((BB$7-$K63)/($L63-$K63)))</f>
        <v>1</v>
      </c>
      <c r="BD63" s="201">
        <f t="array" ref="BD63">_xlfn.IFS(AND($K63&gt;BC$7,$L63&gt;BC$7),0,AND($K63&lt;=BC$7,$L63&lt;=BC$7),1,AND($K63&lt;=BC$7,$L63&gt;BC$7),((BC$7-$K63)/($L63-$K63)))</f>
        <v>1</v>
      </c>
      <c r="BE63" s="201">
        <f t="array" ref="BE63">_xlfn.IFS(AND($K63&gt;BD$7,$L63&gt;BD$7),0,AND($K63&lt;=BD$7,$L63&lt;=BD$7),1,AND($K63&lt;=BD$7,$L63&gt;BD$7),((BD$7-$K63)/($L63-$K63)))</f>
        <v>1</v>
      </c>
      <c r="BF63" s="201">
        <f t="array" ref="BF63">_xlfn.IFS(AND($K63&gt;BE$7,$L63&gt;BE$7),0,AND($K63&lt;=BE$7,$L63&lt;=BE$7),1,AND($K63&lt;=BE$7,$L63&gt;BE$7),((BE$7-$K63)/($L63-$K63)))</f>
        <v>1</v>
      </c>
      <c r="BG63" s="201">
        <f t="array" ref="BG63">_xlfn.IFS(AND($K63&gt;BF$7,$L63&gt;BF$7),0,AND($K63&lt;=BF$7,$L63&lt;=BF$7),1,AND($K63&lt;=BF$7,$L63&gt;BF$7),((BF$7-$K63)/($L63-$K63)))</f>
        <v>1</v>
      </c>
      <c r="BH63" s="201">
        <f t="array" ref="BH63">_xlfn.IFS(AND($K63&gt;BG$7,$L63&gt;BG$7),0,AND($K63&lt;=BG$7,$L63&lt;=BG$7),1,AND($K63&lt;=BG$7,$L63&gt;BG$7),((BG$7-$K63)/($L63-$K63)))</f>
        <v>1</v>
      </c>
      <c r="BI63" s="201">
        <f t="array" ref="BI63">_xlfn.IFS(AND($K63&gt;BH$7,$L63&gt;BH$7),0,AND($K63&lt;=BH$7,$L63&lt;=BH$7),1,AND($K63&lt;=BH$7,$L63&gt;BH$7),((BH$7-$K63)/($L63-$K63)))</f>
        <v>1</v>
      </c>
      <c r="BJ63" s="201">
        <f t="array" ref="BJ63">_xlfn.IFS(AND($K63&gt;BI$7,$L63&gt;BI$7),0,AND($K63&lt;=BI$7,$L63&lt;=BI$7),1,AND($K63&lt;=BI$7,$L63&gt;BI$7),((BI$7-$K63)/($L63-$K63)))</f>
        <v>1</v>
      </c>
      <c r="BK63" s="201">
        <f t="array" ref="BK63">_xlfn.IFS(AND($K63&gt;BJ$7,$L63&gt;BJ$7),0,AND($K63&lt;=BJ$7,$L63&lt;=BJ$7),1,AND($K63&lt;=BJ$7,$L63&gt;BJ$7),((BJ$7-$K63)/($L63-$K63)))</f>
        <v>1</v>
      </c>
      <c r="BL63" s="201">
        <f t="array" ref="BL63">_xlfn.IFS(AND($K63&gt;BK$7,$L63&gt;BK$7),0,AND($K63&lt;=BK$7,$L63&lt;=BK$7),1,AND($K63&lt;=BK$7,$L63&gt;BK$7),((BK$7-$K63)/($L63-$K63)))</f>
        <v>1</v>
      </c>
      <c r="BM63" s="201">
        <f t="array" ref="BM63">_xlfn.IFS(AND($K63&gt;BL$7,$L63&gt;BL$7),0,AND($K63&lt;=BL$7,$L63&lt;=BL$7),1,AND($K63&lt;=BL$7,$L63&gt;BL$7),((BL$7-$K63)/($L63-$K63)))</f>
        <v>1</v>
      </c>
      <c r="BN63" s="201">
        <f t="array" ref="BN63">_xlfn.IFS(AND($K63&gt;BM$7,$L63&gt;BM$7),0,AND($K63&lt;=BM$7,$L63&lt;=BM$7),1,AND($K63&lt;=BM$7,$L63&gt;BM$7),((BM$7-$K63)/($L63-$K63)))</f>
        <v>1</v>
      </c>
    </row>
    <row r="64" spans="2:66" s="163" customFormat="1" ht="23.55" customHeight="1" x14ac:dyDescent="0.3">
      <c r="B64" s="166" t="s">
        <v>161</v>
      </c>
      <c r="C64" s="166" t="s">
        <v>176</v>
      </c>
      <c r="D64" s="177"/>
      <c r="E64" s="170" t="str">
        <f t="shared" si="30"/>
        <v>Desenvolvimento da Transformação dos Processos</v>
      </c>
      <c r="F64" s="174" t="str">
        <f t="shared" si="33"/>
        <v>Diagnóstico de Maturidade do Processo</v>
      </c>
      <c r="G64" s="166" t="str">
        <f t="shared" si="36"/>
        <v>Diagnóstico de Maturidade do Processo</v>
      </c>
      <c r="H64" s="197" t="s">
        <v>177</v>
      </c>
      <c r="I64" s="166">
        <v>45901</v>
      </c>
      <c r="J64" s="166">
        <v>45905</v>
      </c>
      <c r="K64" s="166">
        <v>45901</v>
      </c>
      <c r="L64" s="166">
        <v>45905</v>
      </c>
      <c r="M64" s="167"/>
      <c r="N64" s="167" t="str">
        <f t="array" ref="N64">_xlfn.IFS(L64&lt;$M$3,"Concluído",AND(K64&gt;=$M$3,I64&lt;$M$3,L64&gt;$M$3),"Em andamento",AND(L64&gt;=$M$3,J64&lt;$M$3),"Atrasado",AND(L64&gt;=$M$3,J64&gt;=$M$3,I64&gt;$M$3,K64&lt;=$M$3),"Em andamento",AND(L64&gt;=$M$3,J64&gt;=$M$3,I64&lt;=$M$3,K64&lt;=$M$3),"Em andamento",AND(K64&gt;$M$3,I64&gt;$M$3),"Não iniciado",AND(L64&gt;=$M$3,J64&gt;=$M$3,K64&gt;=$M$3,I64&lt;$M$3),"Atrasado",AND(L64&gt;=$M$3,J64&gt;=$M$3,K64&gt;=$M$3,I64&gt;$M$3),"Não iniciado",AND($I64&lt;=$M$3,$K64&gt;$M$3),"Atrasado")</f>
        <v>Não iniciado</v>
      </c>
      <c r="O64" s="167">
        <f t="array" ref="O64">_xlfn.IFS(N64="Não iniciado",0,N64="Em andamento",1,N64="Concluído",2,N64="Atrasado",3)</f>
        <v>0</v>
      </c>
      <c r="P64" s="169"/>
      <c r="Q64" s="152">
        <f t="array" ref="Q64">_xlfn.IFS(AND($I64&lt;$M$3,$J64&lt;$M$3),1,AND($I64&lt;$M$3,$J64&gt;=$M$3),0.5,AND($I64&gt;=$M$3,$J64&gt;=$M$3),0)</f>
        <v>0</v>
      </c>
      <c r="R64" s="152">
        <f t="array" ref="R64">_xlfn.IFS(AND($K64&lt;$M$3,$L64&lt;$M$3),1,AND($K64&lt;=$M$3,$L64&gt;=$M$3),0.5,AND($K64&gt;=$M$3,$L64&gt;=$M$3),0)</f>
        <v>0</v>
      </c>
      <c r="S64" s="201">
        <f t="array" ref="S64">_xlfn.IFS(AND($K64&gt;R$7,$L64&gt;R$7),0,AND($K64&lt;=R$7,$L64&lt;=R$7),1,AND($K64&lt;=R$7,$L64&gt;R$7),((R$7-$K64)/($L64-$K64)))</f>
        <v>0</v>
      </c>
      <c r="T64" s="201">
        <f t="array" ref="T64">_xlfn.IFS(AND($K64&gt;S$7,$L64&gt;S$7),0,AND($K64&lt;=S$7,$L64&lt;=S$7),1,AND($K64&lt;=S$7,$L64&gt;S$7),((S$7-$K64)/($L64-$K64)))</f>
        <v>0</v>
      </c>
      <c r="U64" s="201">
        <f t="array" ref="U64">_xlfn.IFS(AND($K64&gt;T$7,$L64&gt;T$7),0,AND($K64&lt;=T$7,$L64&lt;=T$7),1,AND($K64&lt;=T$7,$L64&gt;T$7),((T$7-$K64)/($L64-$K64)))</f>
        <v>0</v>
      </c>
      <c r="V64" s="201">
        <f t="array" ref="V64">_xlfn.IFS(AND($K64&gt;U$7,$L64&gt;U$7),0,AND($K64&lt;=U$7,$L64&lt;=U$7),1,AND($K64&lt;=U$7,$L64&gt;U$7),((U$7-$K64)/($L64-$K64)))</f>
        <v>0</v>
      </c>
      <c r="W64" s="201">
        <f t="array" ref="W64">_xlfn.IFS(AND($K64&gt;V$7,$L64&gt;V$7),0,AND($K64&lt;=V$7,$L64&lt;=V$7),1,AND($K64&lt;=V$7,$L64&gt;V$7),((V$7-$K64)/($L64-$K64)))</f>
        <v>0</v>
      </c>
      <c r="X64" s="201">
        <f t="array" ref="X64">_xlfn.IFS(AND($K64&gt;W$7,$L64&gt;W$7),0,AND($K64&lt;=W$7,$L64&lt;=W$7),1,AND($K64&lt;=W$7,$L64&gt;W$7),((W$7-$K64)/($L64-$K64)))</f>
        <v>0</v>
      </c>
      <c r="Y64" s="201">
        <f t="array" ref="Y64">_xlfn.IFS(AND($K64&gt;X$7,$L64&gt;X$7),0,AND($K64&lt;=X$7,$L64&lt;=X$7),1,AND($K64&lt;=X$7,$L64&gt;X$7),((X$7-$K64)/($L64-$K64)))</f>
        <v>0</v>
      </c>
      <c r="Z64" s="201">
        <f t="array" ref="Z64">_xlfn.IFS(AND($K64&gt;Y$7,$L64&gt;Y$7),0,AND($K64&lt;=Y$7,$L64&lt;=Y$7),1,AND($K64&lt;=Y$7,$L64&gt;Y$7),((Y$7-$K64)/($L64-$K64)))</f>
        <v>0</v>
      </c>
      <c r="AA64" s="201">
        <f t="array" ref="AA64">_xlfn.IFS(AND($K64&gt;Z$7,$L64&gt;Z$7),0,AND($K64&lt;=Z$7,$L64&lt;=Z$7),1,AND($K64&lt;=Z$7,$L64&gt;Z$7),((Z$7-$K64)/($L64-$K64)))</f>
        <v>0</v>
      </c>
      <c r="AB64" s="201">
        <f t="array" ref="AB64">_xlfn.IFS(AND($K64&gt;AA$7,$L64&gt;AA$7),0,AND($K64&lt;=AA$7,$L64&lt;=AA$7),1,AND($K64&lt;=AA$7,$L64&gt;AA$7),((AA$7-$K64)/($L64-$K64)))</f>
        <v>0</v>
      </c>
      <c r="AC64" s="201">
        <f t="array" ref="AC64">_xlfn.IFS(AND($K64&gt;AB$7,$L64&gt;AB$7),0,AND($K64&lt;=AB$7,$L64&lt;=AB$7),1,AND($K64&lt;=AB$7,$L64&gt;AB$7),((AB$7-$K64)/($L64-$K64)))</f>
        <v>0</v>
      </c>
      <c r="AD64" s="201">
        <f t="array" ref="AD64">_xlfn.IFS(AND($K64&gt;AC$7,$L64&gt;AC$7),0,AND($K64&lt;=AC$7,$L64&lt;=AC$7),1,AND($K64&lt;=AC$7,$L64&gt;AC$7),((AC$7-$K64)/($L64-$K64)))</f>
        <v>0</v>
      </c>
      <c r="AE64" s="201">
        <f t="array" ref="AE64">_xlfn.IFS(AND($K64&gt;AD$7,$L64&gt;AD$7),0,AND($K64&lt;=AD$7,$L64&lt;=AD$7),1,AND($K64&lt;=AD$7,$L64&gt;AD$7),((AD$7-$K64)/($L64-$K64)))</f>
        <v>0</v>
      </c>
      <c r="AF64" s="201">
        <f t="array" ref="AF64">_xlfn.IFS(AND($K64&gt;AE$7,$L64&gt;AE$7),0,AND($K64&lt;=AE$7,$L64&lt;=AE$7),1,AND($K64&lt;=AE$7,$L64&gt;AE$7),((AE$7-$K64)/($L64-$K64)))</f>
        <v>0</v>
      </c>
      <c r="AG64" s="201">
        <f t="array" ref="AG64">_xlfn.IFS(AND($K64&gt;AF$7,$L64&gt;AF$7),0,AND($K64&lt;=AF$7,$L64&lt;=AF$7),1,AND($K64&lt;=AF$7,$L64&gt;AF$7),((AF$7-$K64)/($L64-$K64)))</f>
        <v>0</v>
      </c>
      <c r="AH64" s="201">
        <f t="array" ref="AH64">_xlfn.IFS(AND($K64&gt;AG$7,$L64&gt;AG$7),0,AND($K64&lt;=AG$7,$L64&lt;=AG$7),1,AND($K64&lt;=AG$7,$L64&gt;AG$7),((AG$7-$K64)/($L64-$K64)))</f>
        <v>0</v>
      </c>
      <c r="AI64" s="201">
        <f t="array" ref="AI64">_xlfn.IFS(AND($K64&gt;AH$7,$L64&gt;AH$7),0,AND($K64&lt;=AH$7,$L64&lt;=AH$7),1,AND($K64&lt;=AH$7,$L64&gt;AH$7),((AH$7-$K64)/($L64-$K64)))</f>
        <v>0</v>
      </c>
      <c r="AJ64" s="201">
        <f t="array" ref="AJ64">_xlfn.IFS(AND($K64&gt;AI$7,$L64&gt;AI$7),0,AND($K64&lt;=AI$7,$L64&lt;=AI$7),1,AND($K64&lt;=AI$7,$L64&gt;AI$7),((AI$7-$K64)/($L64-$K64)))</f>
        <v>0</v>
      </c>
      <c r="AK64" s="201">
        <f t="array" ref="AK64">_xlfn.IFS(AND($K64&gt;AJ$7,$L64&gt;AJ$7),0,AND($K64&lt;=AJ$7,$L64&lt;=AJ$7),1,AND($K64&lt;=AJ$7,$L64&gt;AJ$7),((AJ$7-$K64)/($L64-$K64)))</f>
        <v>0</v>
      </c>
      <c r="AL64" s="201">
        <f t="array" ref="AL64">_xlfn.IFS(AND($K64&gt;AK$7,$L64&gt;AK$7),0,AND($K64&lt;=AK$7,$L64&lt;=AK$7),1,AND($K64&lt;=AK$7,$L64&gt;AK$7),((AK$7-$K64)/($L64-$K64)))</f>
        <v>0</v>
      </c>
      <c r="AM64" s="201">
        <f t="array" ref="AM64">_xlfn.IFS(AND($K64&gt;AL$7,$L64&gt;AL$7),0,AND($K64&lt;=AL$7,$L64&lt;=AL$7),1,AND($K64&lt;=AL$7,$L64&gt;AL$7),((AL$7-$K64)/($L64-$K64)))</f>
        <v>0</v>
      </c>
      <c r="AN64" s="201">
        <f t="array" ref="AN64">_xlfn.IFS(AND($K64&gt;AM$7,$L64&gt;AM$7),0,AND($K64&lt;=AM$7,$L64&lt;=AM$7),1,AND($K64&lt;=AM$7,$L64&gt;AM$7),((AM$7-$K64)/($L64-$K64)))</f>
        <v>0</v>
      </c>
      <c r="AO64" s="201">
        <f t="array" ref="AO64">_xlfn.IFS(AND($K64&gt;AN$7,$L64&gt;AN$7),0,AND($K64&lt;=AN$7,$L64&lt;=AN$7),1,AND($K64&lt;=AN$7,$L64&gt;AN$7),((AN$7-$K64)/($L64-$K64)))</f>
        <v>0</v>
      </c>
      <c r="AP64" s="201">
        <f t="array" ref="AP64">_xlfn.IFS(AND($K64&gt;AO$7,$L64&gt;AO$7),0,AND($K64&lt;=AO$7,$L64&lt;=AO$7),1,AND($K64&lt;=AO$7,$L64&gt;AO$7),((AO$7-$K64)/($L64-$K64)))</f>
        <v>0</v>
      </c>
      <c r="AQ64" s="201">
        <f t="array" ref="AQ64">_xlfn.IFS(AND($K64&gt;AP$7,$L64&gt;AP$7),0,AND($K64&lt;=AP$7,$L64&lt;=AP$7),1,AND($K64&lt;=AP$7,$L64&gt;AP$7),((AP$7-$K64)/($L64-$K64)))</f>
        <v>0</v>
      </c>
      <c r="AR64" s="201">
        <f t="array" ref="AR64">_xlfn.IFS(AND($K64&gt;AQ$7,$L64&gt;AQ$7),0,AND($K64&lt;=AQ$7,$L64&lt;=AQ$7),1,AND($K64&lt;=AQ$7,$L64&gt;AQ$7),((AQ$7-$K64)/($L64-$K64)))</f>
        <v>0</v>
      </c>
      <c r="AS64" s="201">
        <f t="array" ref="AS64">_xlfn.IFS(AND($K64&gt;AR$7,$L64&gt;AR$7),0,AND($K64&lt;=AR$7,$L64&lt;=AR$7),1,AND($K64&lt;=AR$7,$L64&gt;AR$7),((AR$7-$K64)/($L64-$K64)))</f>
        <v>0</v>
      </c>
      <c r="AT64" s="201">
        <f t="array" ref="AT64">_xlfn.IFS(AND($K64&gt;AS$7,$L64&gt;AS$7),0,AND($K64&lt;=AS$7,$L64&lt;=AS$7),1,AND($K64&lt;=AS$7,$L64&gt;AS$7),((AS$7-$K64)/($L64-$K64)))</f>
        <v>0</v>
      </c>
      <c r="AU64" s="201">
        <f t="array" ref="AU64">_xlfn.IFS(AND($K64&gt;AT$7,$L64&gt;AT$7),0,AND($K64&lt;=AT$7,$L64&lt;=AT$7),1,AND($K64&lt;=AT$7,$L64&gt;AT$7),((AT$7-$K64)/($L64-$K64)))</f>
        <v>0</v>
      </c>
      <c r="AV64" s="201">
        <f t="array" ref="AV64">_xlfn.IFS(AND($K64&gt;AU$7,$L64&gt;AU$7),0,AND($K64&lt;=AU$7,$L64&lt;=AU$7),1,AND($K64&lt;=AU$7,$L64&gt;AU$7),((AU$7-$K64)/($L64-$K64)))</f>
        <v>0</v>
      </c>
      <c r="AW64" s="201">
        <f t="array" ref="AW64">_xlfn.IFS(AND($K64&gt;AV$7,$L64&gt;AV$7),0,AND($K64&lt;=AV$7,$L64&lt;=AV$7),1,AND($K64&lt;=AV$7,$L64&gt;AV$7),((AV$7-$K64)/($L64-$K64)))</f>
        <v>0</v>
      </c>
      <c r="AX64" s="201">
        <f t="array" ref="AX64">_xlfn.IFS(AND($K64&gt;AW$7,$L64&gt;AW$7),0,AND($K64&lt;=AW$7,$L64&lt;=AW$7),1,AND($K64&lt;=AW$7,$L64&gt;AW$7),((AW$7-$K64)/($L64-$K64)))</f>
        <v>1</v>
      </c>
      <c r="AY64" s="201">
        <f t="array" ref="AY64">_xlfn.IFS(AND($K64&gt;AX$7,$L64&gt;AX$7),0,AND($K64&lt;=AX$7,$L64&lt;=AX$7),1,AND($K64&lt;=AX$7,$L64&gt;AX$7),((AX$7-$K64)/($L64-$K64)))</f>
        <v>1</v>
      </c>
      <c r="AZ64" s="201">
        <f t="array" ref="AZ64">_xlfn.IFS(AND($K64&gt;AY$7,$L64&gt;AY$7),0,AND($K64&lt;=AY$7,$L64&lt;=AY$7),1,AND($K64&lt;=AY$7,$L64&gt;AY$7),((AY$7-$K64)/($L64-$K64)))</f>
        <v>1</v>
      </c>
      <c r="BA64" s="201">
        <f t="array" ref="BA64">_xlfn.IFS(AND($K64&gt;AZ$7,$L64&gt;AZ$7),0,AND($K64&lt;=AZ$7,$L64&lt;=AZ$7),1,AND($K64&lt;=AZ$7,$L64&gt;AZ$7),((AZ$7-$K64)/($L64-$K64)))</f>
        <v>1</v>
      </c>
      <c r="BB64" s="201">
        <f t="array" ref="BB64">_xlfn.IFS(AND($K64&gt;BA$7,$L64&gt;BA$7),0,AND($K64&lt;=BA$7,$L64&lt;=BA$7),1,AND($K64&lt;=BA$7,$L64&gt;BA$7),((BA$7-$K64)/($L64-$K64)))</f>
        <v>1</v>
      </c>
      <c r="BC64" s="201">
        <f t="array" ref="BC64">_xlfn.IFS(AND($K64&gt;BB$7,$L64&gt;BB$7),0,AND($K64&lt;=BB$7,$L64&lt;=BB$7),1,AND($K64&lt;=BB$7,$L64&gt;BB$7),((BB$7-$K64)/($L64-$K64)))</f>
        <v>1</v>
      </c>
      <c r="BD64" s="201">
        <f t="array" ref="BD64">_xlfn.IFS(AND($K64&gt;BC$7,$L64&gt;BC$7),0,AND($K64&lt;=BC$7,$L64&lt;=BC$7),1,AND($K64&lt;=BC$7,$L64&gt;BC$7),((BC$7-$K64)/($L64-$K64)))</f>
        <v>1</v>
      </c>
      <c r="BE64" s="201">
        <f t="array" ref="BE64">_xlfn.IFS(AND($K64&gt;BD$7,$L64&gt;BD$7),0,AND($K64&lt;=BD$7,$L64&lt;=BD$7),1,AND($K64&lt;=BD$7,$L64&gt;BD$7),((BD$7-$K64)/($L64-$K64)))</f>
        <v>1</v>
      </c>
      <c r="BF64" s="201">
        <f t="array" ref="BF64">_xlfn.IFS(AND($K64&gt;BE$7,$L64&gt;BE$7),0,AND($K64&lt;=BE$7,$L64&lt;=BE$7),1,AND($K64&lt;=BE$7,$L64&gt;BE$7),((BE$7-$K64)/($L64-$K64)))</f>
        <v>1</v>
      </c>
      <c r="BG64" s="201">
        <f t="array" ref="BG64">_xlfn.IFS(AND($K64&gt;BF$7,$L64&gt;BF$7),0,AND($K64&lt;=BF$7,$L64&lt;=BF$7),1,AND($K64&lt;=BF$7,$L64&gt;BF$7),((BF$7-$K64)/($L64-$K64)))</f>
        <v>1</v>
      </c>
      <c r="BH64" s="201">
        <f t="array" ref="BH64">_xlfn.IFS(AND($K64&gt;BG$7,$L64&gt;BG$7),0,AND($K64&lt;=BG$7,$L64&lt;=BG$7),1,AND($K64&lt;=BG$7,$L64&gt;BG$7),((BG$7-$K64)/($L64-$K64)))</f>
        <v>1</v>
      </c>
      <c r="BI64" s="201">
        <f t="array" ref="BI64">_xlfn.IFS(AND($K64&gt;BH$7,$L64&gt;BH$7),0,AND($K64&lt;=BH$7,$L64&lt;=BH$7),1,AND($K64&lt;=BH$7,$L64&gt;BH$7),((BH$7-$K64)/($L64-$K64)))</f>
        <v>1</v>
      </c>
      <c r="BJ64" s="201">
        <f t="array" ref="BJ64">_xlfn.IFS(AND($K64&gt;BI$7,$L64&gt;BI$7),0,AND($K64&lt;=BI$7,$L64&lt;=BI$7),1,AND($K64&lt;=BI$7,$L64&gt;BI$7),((BI$7-$K64)/($L64-$K64)))</f>
        <v>1</v>
      </c>
      <c r="BK64" s="201">
        <f t="array" ref="BK64">_xlfn.IFS(AND($K64&gt;BJ$7,$L64&gt;BJ$7),0,AND($K64&lt;=BJ$7,$L64&lt;=BJ$7),1,AND($K64&lt;=BJ$7,$L64&gt;BJ$7),((BJ$7-$K64)/($L64-$K64)))</f>
        <v>1</v>
      </c>
      <c r="BL64" s="201">
        <f t="array" ref="BL64">_xlfn.IFS(AND($K64&gt;BK$7,$L64&gt;BK$7),0,AND($K64&lt;=BK$7,$L64&lt;=BK$7),1,AND($K64&lt;=BK$7,$L64&gt;BK$7),((BK$7-$K64)/($L64-$K64)))</f>
        <v>1</v>
      </c>
      <c r="BM64" s="201">
        <f t="array" ref="BM64">_xlfn.IFS(AND($K64&gt;BL$7,$L64&gt;BL$7),0,AND($K64&lt;=BL$7,$L64&lt;=BL$7),1,AND($K64&lt;=BL$7,$L64&gt;BL$7),((BL$7-$K64)/($L64-$K64)))</f>
        <v>1</v>
      </c>
      <c r="BN64" s="201">
        <f t="array" ref="BN64">_xlfn.IFS(AND($K64&gt;BM$7,$L64&gt;BM$7),0,AND($K64&lt;=BM$7,$L64&lt;=BM$7),1,AND($K64&lt;=BM$7,$L64&gt;BM$7),((BM$7-$K64)/($L64-$K64)))</f>
        <v>1</v>
      </c>
    </row>
    <row r="65" spans="2:66" s="163" customFormat="1" ht="23.55" customHeight="1" x14ac:dyDescent="0.3">
      <c r="B65" s="166" t="s">
        <v>161</v>
      </c>
      <c r="C65" s="166" t="s">
        <v>178</v>
      </c>
      <c r="D65" s="177"/>
      <c r="E65" s="170" t="str">
        <f t="shared" si="30"/>
        <v>Desenvolvimento da Transformação dos Processos</v>
      </c>
      <c r="F65" s="174" t="str">
        <f t="shared" si="33"/>
        <v>Diagnóstico de Maturidade do Processo</v>
      </c>
      <c r="G65" s="166" t="str">
        <f t="shared" si="36"/>
        <v>Diagnóstico de Maturidade do Processo</v>
      </c>
      <c r="H65" s="197" t="s">
        <v>179</v>
      </c>
      <c r="I65" s="166">
        <v>45901</v>
      </c>
      <c r="J65" s="166">
        <v>45905</v>
      </c>
      <c r="K65" s="166">
        <v>45901</v>
      </c>
      <c r="L65" s="166">
        <v>45905</v>
      </c>
      <c r="M65" s="167"/>
      <c r="N65" s="167" t="str">
        <f t="array" ref="N65">_xlfn.IFS(L65&lt;$M$3,"Concluído",AND(K65&gt;=$M$3,I65&lt;$M$3,L65&gt;$M$3),"Em andamento",AND(L65&gt;=$M$3,J65&lt;$M$3),"Atrasado",AND(L65&gt;=$M$3,J65&gt;=$M$3,I65&gt;$M$3,K65&lt;=$M$3),"Em andamento",AND(L65&gt;=$M$3,J65&gt;=$M$3,I65&lt;=$M$3,K65&lt;=$M$3),"Em andamento",AND(K65&gt;$M$3,I65&gt;$M$3),"Não iniciado",AND(L65&gt;=$M$3,J65&gt;=$M$3,K65&gt;=$M$3,I65&lt;$M$3),"Atrasado",AND(L65&gt;=$M$3,J65&gt;=$M$3,K65&gt;=$M$3,I65&gt;$M$3),"Não iniciado",AND($I65&lt;=$M$3,$K65&gt;$M$3),"Atrasado")</f>
        <v>Não iniciado</v>
      </c>
      <c r="O65" s="167">
        <f t="array" ref="O65">_xlfn.IFS(N65="Não iniciado",0,N65="Em andamento",1,N65="Concluído",2,N65="Atrasado",3)</f>
        <v>0</v>
      </c>
      <c r="P65" s="169"/>
      <c r="Q65" s="152">
        <f t="array" ref="Q65">_xlfn.IFS(AND($I65&lt;$M$3,$J65&lt;$M$3),1,AND($I65&lt;$M$3,$J65&gt;=$M$3),0.5,AND($I65&gt;=$M$3,$J65&gt;=$M$3),0)</f>
        <v>0</v>
      </c>
      <c r="R65" s="152">
        <f t="array" ref="R65">_xlfn.IFS(AND($K65&lt;$M$3,$L65&lt;$M$3),1,AND($K65&lt;=$M$3,$L65&gt;=$M$3),0.5,AND($K65&gt;=$M$3,$L65&gt;=$M$3),0)</f>
        <v>0</v>
      </c>
      <c r="S65" s="201">
        <f t="array" ref="S65">_xlfn.IFS(AND($K65&gt;R$7,$L65&gt;R$7),0,AND($K65&lt;=R$7,$L65&lt;=R$7),1,AND($K65&lt;=R$7,$L65&gt;R$7),((R$7-$K65)/($L65-$K65)))</f>
        <v>0</v>
      </c>
      <c r="T65" s="201">
        <f t="array" ref="T65">_xlfn.IFS(AND($K65&gt;S$7,$L65&gt;S$7),0,AND($K65&lt;=S$7,$L65&lt;=S$7),1,AND($K65&lt;=S$7,$L65&gt;S$7),((S$7-$K65)/($L65-$K65)))</f>
        <v>0</v>
      </c>
      <c r="U65" s="201">
        <f t="array" ref="U65">_xlfn.IFS(AND($K65&gt;T$7,$L65&gt;T$7),0,AND($K65&lt;=T$7,$L65&lt;=T$7),1,AND($K65&lt;=T$7,$L65&gt;T$7),((T$7-$K65)/($L65-$K65)))</f>
        <v>0</v>
      </c>
      <c r="V65" s="201">
        <f t="array" ref="V65">_xlfn.IFS(AND($K65&gt;U$7,$L65&gt;U$7),0,AND($K65&lt;=U$7,$L65&lt;=U$7),1,AND($K65&lt;=U$7,$L65&gt;U$7),((U$7-$K65)/($L65-$K65)))</f>
        <v>0</v>
      </c>
      <c r="W65" s="201">
        <f t="array" ref="W65">_xlfn.IFS(AND($K65&gt;V$7,$L65&gt;V$7),0,AND($K65&lt;=V$7,$L65&lt;=V$7),1,AND($K65&lt;=V$7,$L65&gt;V$7),((V$7-$K65)/($L65-$K65)))</f>
        <v>0</v>
      </c>
      <c r="X65" s="201">
        <f t="array" ref="X65">_xlfn.IFS(AND($K65&gt;W$7,$L65&gt;W$7),0,AND($K65&lt;=W$7,$L65&lt;=W$7),1,AND($K65&lt;=W$7,$L65&gt;W$7),((W$7-$K65)/($L65-$K65)))</f>
        <v>0</v>
      </c>
      <c r="Y65" s="201">
        <f t="array" ref="Y65">_xlfn.IFS(AND($K65&gt;X$7,$L65&gt;X$7),0,AND($K65&lt;=X$7,$L65&lt;=X$7),1,AND($K65&lt;=X$7,$L65&gt;X$7),((X$7-$K65)/($L65-$K65)))</f>
        <v>0</v>
      </c>
      <c r="Z65" s="201">
        <f t="array" ref="Z65">_xlfn.IFS(AND($K65&gt;Y$7,$L65&gt;Y$7),0,AND($K65&lt;=Y$7,$L65&lt;=Y$7),1,AND($K65&lt;=Y$7,$L65&gt;Y$7),((Y$7-$K65)/($L65-$K65)))</f>
        <v>0</v>
      </c>
      <c r="AA65" s="201">
        <f t="array" ref="AA65">_xlfn.IFS(AND($K65&gt;Z$7,$L65&gt;Z$7),0,AND($K65&lt;=Z$7,$L65&lt;=Z$7),1,AND($K65&lt;=Z$7,$L65&gt;Z$7),((Z$7-$K65)/($L65-$K65)))</f>
        <v>0</v>
      </c>
      <c r="AB65" s="201">
        <f t="array" ref="AB65">_xlfn.IFS(AND($K65&gt;AA$7,$L65&gt;AA$7),0,AND($K65&lt;=AA$7,$L65&lt;=AA$7),1,AND($K65&lt;=AA$7,$L65&gt;AA$7),((AA$7-$K65)/($L65-$K65)))</f>
        <v>0</v>
      </c>
      <c r="AC65" s="201">
        <f t="array" ref="AC65">_xlfn.IFS(AND($K65&gt;AB$7,$L65&gt;AB$7),0,AND($K65&lt;=AB$7,$L65&lt;=AB$7),1,AND($K65&lt;=AB$7,$L65&gt;AB$7),((AB$7-$K65)/($L65-$K65)))</f>
        <v>0</v>
      </c>
      <c r="AD65" s="201">
        <f t="array" ref="AD65">_xlfn.IFS(AND($K65&gt;AC$7,$L65&gt;AC$7),0,AND($K65&lt;=AC$7,$L65&lt;=AC$7),1,AND($K65&lt;=AC$7,$L65&gt;AC$7),((AC$7-$K65)/($L65-$K65)))</f>
        <v>0</v>
      </c>
      <c r="AE65" s="201">
        <f t="array" ref="AE65">_xlfn.IFS(AND($K65&gt;AD$7,$L65&gt;AD$7),0,AND($K65&lt;=AD$7,$L65&lt;=AD$7),1,AND($K65&lt;=AD$7,$L65&gt;AD$7),((AD$7-$K65)/($L65-$K65)))</f>
        <v>0</v>
      </c>
      <c r="AF65" s="201">
        <f t="array" ref="AF65">_xlfn.IFS(AND($K65&gt;AE$7,$L65&gt;AE$7),0,AND($K65&lt;=AE$7,$L65&lt;=AE$7),1,AND($K65&lt;=AE$7,$L65&gt;AE$7),((AE$7-$K65)/($L65-$K65)))</f>
        <v>0</v>
      </c>
      <c r="AG65" s="201">
        <f t="array" ref="AG65">_xlfn.IFS(AND($K65&gt;AF$7,$L65&gt;AF$7),0,AND($K65&lt;=AF$7,$L65&lt;=AF$7),1,AND($K65&lt;=AF$7,$L65&gt;AF$7),((AF$7-$K65)/($L65-$K65)))</f>
        <v>0</v>
      </c>
      <c r="AH65" s="201">
        <f t="array" ref="AH65">_xlfn.IFS(AND($K65&gt;AG$7,$L65&gt;AG$7),0,AND($K65&lt;=AG$7,$L65&lt;=AG$7),1,AND($K65&lt;=AG$7,$L65&gt;AG$7),((AG$7-$K65)/($L65-$K65)))</f>
        <v>0</v>
      </c>
      <c r="AI65" s="201">
        <f t="array" ref="AI65">_xlfn.IFS(AND($K65&gt;AH$7,$L65&gt;AH$7),0,AND($K65&lt;=AH$7,$L65&lt;=AH$7),1,AND($K65&lt;=AH$7,$L65&gt;AH$7),((AH$7-$K65)/($L65-$K65)))</f>
        <v>0</v>
      </c>
      <c r="AJ65" s="201">
        <f t="array" ref="AJ65">_xlfn.IFS(AND($K65&gt;AI$7,$L65&gt;AI$7),0,AND($K65&lt;=AI$7,$L65&lt;=AI$7),1,AND($K65&lt;=AI$7,$L65&gt;AI$7),((AI$7-$K65)/($L65-$K65)))</f>
        <v>0</v>
      </c>
      <c r="AK65" s="201">
        <f t="array" ref="AK65">_xlfn.IFS(AND($K65&gt;AJ$7,$L65&gt;AJ$7),0,AND($K65&lt;=AJ$7,$L65&lt;=AJ$7),1,AND($K65&lt;=AJ$7,$L65&gt;AJ$7),((AJ$7-$K65)/($L65-$K65)))</f>
        <v>0</v>
      </c>
      <c r="AL65" s="201">
        <f t="array" ref="AL65">_xlfn.IFS(AND($K65&gt;AK$7,$L65&gt;AK$7),0,AND($K65&lt;=AK$7,$L65&lt;=AK$7),1,AND($K65&lt;=AK$7,$L65&gt;AK$7),((AK$7-$K65)/($L65-$K65)))</f>
        <v>0</v>
      </c>
      <c r="AM65" s="201">
        <f t="array" ref="AM65">_xlfn.IFS(AND($K65&gt;AL$7,$L65&gt;AL$7),0,AND($K65&lt;=AL$7,$L65&lt;=AL$7),1,AND($K65&lt;=AL$7,$L65&gt;AL$7),((AL$7-$K65)/($L65-$K65)))</f>
        <v>0</v>
      </c>
      <c r="AN65" s="201">
        <f t="array" ref="AN65">_xlfn.IFS(AND($K65&gt;AM$7,$L65&gt;AM$7),0,AND($K65&lt;=AM$7,$L65&lt;=AM$7),1,AND($K65&lt;=AM$7,$L65&gt;AM$7),((AM$7-$K65)/($L65-$K65)))</f>
        <v>0</v>
      </c>
      <c r="AO65" s="201">
        <f t="array" ref="AO65">_xlfn.IFS(AND($K65&gt;AN$7,$L65&gt;AN$7),0,AND($K65&lt;=AN$7,$L65&lt;=AN$7),1,AND($K65&lt;=AN$7,$L65&gt;AN$7),((AN$7-$K65)/($L65-$K65)))</f>
        <v>0</v>
      </c>
      <c r="AP65" s="201">
        <f t="array" ref="AP65">_xlfn.IFS(AND($K65&gt;AO$7,$L65&gt;AO$7),0,AND($K65&lt;=AO$7,$L65&lt;=AO$7),1,AND($K65&lt;=AO$7,$L65&gt;AO$7),((AO$7-$K65)/($L65-$K65)))</f>
        <v>0</v>
      </c>
      <c r="AQ65" s="201">
        <f t="array" ref="AQ65">_xlfn.IFS(AND($K65&gt;AP$7,$L65&gt;AP$7),0,AND($K65&lt;=AP$7,$L65&lt;=AP$7),1,AND($K65&lt;=AP$7,$L65&gt;AP$7),((AP$7-$K65)/($L65-$K65)))</f>
        <v>0</v>
      </c>
      <c r="AR65" s="201">
        <f t="array" ref="AR65">_xlfn.IFS(AND($K65&gt;AQ$7,$L65&gt;AQ$7),0,AND($K65&lt;=AQ$7,$L65&lt;=AQ$7),1,AND($K65&lt;=AQ$7,$L65&gt;AQ$7),((AQ$7-$K65)/($L65-$K65)))</f>
        <v>0</v>
      </c>
      <c r="AS65" s="201">
        <f t="array" ref="AS65">_xlfn.IFS(AND($K65&gt;AR$7,$L65&gt;AR$7),0,AND($K65&lt;=AR$7,$L65&lt;=AR$7),1,AND($K65&lt;=AR$7,$L65&gt;AR$7),((AR$7-$K65)/($L65-$K65)))</f>
        <v>0</v>
      </c>
      <c r="AT65" s="201">
        <f t="array" ref="AT65">_xlfn.IFS(AND($K65&gt;AS$7,$L65&gt;AS$7),0,AND($K65&lt;=AS$7,$L65&lt;=AS$7),1,AND($K65&lt;=AS$7,$L65&gt;AS$7),((AS$7-$K65)/($L65-$K65)))</f>
        <v>0</v>
      </c>
      <c r="AU65" s="201">
        <f t="array" ref="AU65">_xlfn.IFS(AND($K65&gt;AT$7,$L65&gt;AT$7),0,AND($K65&lt;=AT$7,$L65&lt;=AT$7),1,AND($K65&lt;=AT$7,$L65&gt;AT$7),((AT$7-$K65)/($L65-$K65)))</f>
        <v>0</v>
      </c>
      <c r="AV65" s="201">
        <f t="array" ref="AV65">_xlfn.IFS(AND($K65&gt;AU$7,$L65&gt;AU$7),0,AND($K65&lt;=AU$7,$L65&lt;=AU$7),1,AND($K65&lt;=AU$7,$L65&gt;AU$7),((AU$7-$K65)/($L65-$K65)))</f>
        <v>0</v>
      </c>
      <c r="AW65" s="201">
        <f t="array" ref="AW65">_xlfn.IFS(AND($K65&gt;AV$7,$L65&gt;AV$7),0,AND($K65&lt;=AV$7,$L65&lt;=AV$7),1,AND($K65&lt;=AV$7,$L65&gt;AV$7),((AV$7-$K65)/($L65-$K65)))</f>
        <v>0</v>
      </c>
      <c r="AX65" s="201">
        <f t="array" ref="AX65">_xlfn.IFS(AND($K65&gt;AW$7,$L65&gt;AW$7),0,AND($K65&lt;=AW$7,$L65&lt;=AW$7),1,AND($K65&lt;=AW$7,$L65&gt;AW$7),((AW$7-$K65)/($L65-$K65)))</f>
        <v>1</v>
      </c>
      <c r="AY65" s="201">
        <f t="array" ref="AY65">_xlfn.IFS(AND($K65&gt;AX$7,$L65&gt;AX$7),0,AND($K65&lt;=AX$7,$L65&lt;=AX$7),1,AND($K65&lt;=AX$7,$L65&gt;AX$7),((AX$7-$K65)/($L65-$K65)))</f>
        <v>1</v>
      </c>
      <c r="AZ65" s="201">
        <f t="array" ref="AZ65">_xlfn.IFS(AND($K65&gt;AY$7,$L65&gt;AY$7),0,AND($K65&lt;=AY$7,$L65&lt;=AY$7),1,AND($K65&lt;=AY$7,$L65&gt;AY$7),((AY$7-$K65)/($L65-$K65)))</f>
        <v>1</v>
      </c>
      <c r="BA65" s="201">
        <f t="array" ref="BA65">_xlfn.IFS(AND($K65&gt;AZ$7,$L65&gt;AZ$7),0,AND($K65&lt;=AZ$7,$L65&lt;=AZ$7),1,AND($K65&lt;=AZ$7,$L65&gt;AZ$7),((AZ$7-$K65)/($L65-$K65)))</f>
        <v>1</v>
      </c>
      <c r="BB65" s="201">
        <f t="array" ref="BB65">_xlfn.IFS(AND($K65&gt;BA$7,$L65&gt;BA$7),0,AND($K65&lt;=BA$7,$L65&lt;=BA$7),1,AND($K65&lt;=BA$7,$L65&gt;BA$7),((BA$7-$K65)/($L65-$K65)))</f>
        <v>1</v>
      </c>
      <c r="BC65" s="201">
        <f t="array" ref="BC65">_xlfn.IFS(AND($K65&gt;BB$7,$L65&gt;BB$7),0,AND($K65&lt;=BB$7,$L65&lt;=BB$7),1,AND($K65&lt;=BB$7,$L65&gt;BB$7),((BB$7-$K65)/($L65-$K65)))</f>
        <v>1</v>
      </c>
      <c r="BD65" s="201">
        <f t="array" ref="BD65">_xlfn.IFS(AND($K65&gt;BC$7,$L65&gt;BC$7),0,AND($K65&lt;=BC$7,$L65&lt;=BC$7),1,AND($K65&lt;=BC$7,$L65&gt;BC$7),((BC$7-$K65)/($L65-$K65)))</f>
        <v>1</v>
      </c>
      <c r="BE65" s="201">
        <f t="array" ref="BE65">_xlfn.IFS(AND($K65&gt;BD$7,$L65&gt;BD$7),0,AND($K65&lt;=BD$7,$L65&lt;=BD$7),1,AND($K65&lt;=BD$7,$L65&gt;BD$7),((BD$7-$K65)/($L65-$K65)))</f>
        <v>1</v>
      </c>
      <c r="BF65" s="201">
        <f t="array" ref="BF65">_xlfn.IFS(AND($K65&gt;BE$7,$L65&gt;BE$7),0,AND($K65&lt;=BE$7,$L65&lt;=BE$7),1,AND($K65&lt;=BE$7,$L65&gt;BE$7),((BE$7-$K65)/($L65-$K65)))</f>
        <v>1</v>
      </c>
      <c r="BG65" s="201">
        <f t="array" ref="BG65">_xlfn.IFS(AND($K65&gt;BF$7,$L65&gt;BF$7),0,AND($K65&lt;=BF$7,$L65&lt;=BF$7),1,AND($K65&lt;=BF$7,$L65&gt;BF$7),((BF$7-$K65)/($L65-$K65)))</f>
        <v>1</v>
      </c>
      <c r="BH65" s="201">
        <f t="array" ref="BH65">_xlfn.IFS(AND($K65&gt;BG$7,$L65&gt;BG$7),0,AND($K65&lt;=BG$7,$L65&lt;=BG$7),1,AND($K65&lt;=BG$7,$L65&gt;BG$7),((BG$7-$K65)/($L65-$K65)))</f>
        <v>1</v>
      </c>
      <c r="BI65" s="201">
        <f t="array" ref="BI65">_xlfn.IFS(AND($K65&gt;BH$7,$L65&gt;BH$7),0,AND($K65&lt;=BH$7,$L65&lt;=BH$7),1,AND($K65&lt;=BH$7,$L65&gt;BH$7),((BH$7-$K65)/($L65-$K65)))</f>
        <v>1</v>
      </c>
      <c r="BJ65" s="201">
        <f t="array" ref="BJ65">_xlfn.IFS(AND($K65&gt;BI$7,$L65&gt;BI$7),0,AND($K65&lt;=BI$7,$L65&lt;=BI$7),1,AND($K65&lt;=BI$7,$L65&gt;BI$7),((BI$7-$K65)/($L65-$K65)))</f>
        <v>1</v>
      </c>
      <c r="BK65" s="201">
        <f t="array" ref="BK65">_xlfn.IFS(AND($K65&gt;BJ$7,$L65&gt;BJ$7),0,AND($K65&lt;=BJ$7,$L65&lt;=BJ$7),1,AND($K65&lt;=BJ$7,$L65&gt;BJ$7),((BJ$7-$K65)/($L65-$K65)))</f>
        <v>1</v>
      </c>
      <c r="BL65" s="201">
        <f t="array" ref="BL65">_xlfn.IFS(AND($K65&gt;BK$7,$L65&gt;BK$7),0,AND($K65&lt;=BK$7,$L65&lt;=BK$7),1,AND($K65&lt;=BK$7,$L65&gt;BK$7),((BK$7-$K65)/($L65-$K65)))</f>
        <v>1</v>
      </c>
      <c r="BM65" s="201">
        <f t="array" ref="BM65">_xlfn.IFS(AND($K65&gt;BL$7,$L65&gt;BL$7),0,AND($K65&lt;=BL$7,$L65&lt;=BL$7),1,AND($K65&lt;=BL$7,$L65&gt;BL$7),((BL$7-$K65)/($L65-$K65)))</f>
        <v>1</v>
      </c>
      <c r="BN65" s="201">
        <f t="array" ref="BN65">_xlfn.IFS(AND($K65&gt;BM$7,$L65&gt;BM$7),0,AND($K65&lt;=BM$7,$L65&lt;=BM$7),1,AND($K65&lt;=BM$7,$L65&gt;BM$7),((BM$7-$K65)/($L65-$K65)))</f>
        <v>1</v>
      </c>
    </row>
    <row r="66" spans="2:66" s="163" customFormat="1" ht="23.55" customHeight="1" x14ac:dyDescent="0.3">
      <c r="B66" s="166" t="s">
        <v>161</v>
      </c>
      <c r="C66" s="166" t="s">
        <v>180</v>
      </c>
      <c r="D66" s="177"/>
      <c r="E66" s="170" t="str">
        <f t="shared" si="30"/>
        <v>Desenvolvimento da Transformação dos Processos</v>
      </c>
      <c r="F66" s="174" t="str">
        <f t="shared" si="33"/>
        <v>Diagnóstico de Maturidade do Processo</v>
      </c>
      <c r="G66" s="166" t="str">
        <f t="shared" si="36"/>
        <v>Diagnóstico de Maturidade do Processo</v>
      </c>
      <c r="H66" s="197" t="s">
        <v>181</v>
      </c>
      <c r="I66" s="166">
        <v>45901</v>
      </c>
      <c r="J66" s="166">
        <v>45905</v>
      </c>
      <c r="K66" s="166">
        <v>45901</v>
      </c>
      <c r="L66" s="166">
        <v>45905</v>
      </c>
      <c r="M66" s="167"/>
      <c r="N66" s="167" t="str">
        <f t="array" ref="N66">_xlfn.IFS(L66&lt;$M$3,"Concluído",AND(K66&gt;=$M$3,I66&lt;$M$3,L66&gt;$M$3),"Em andamento",AND(L66&gt;=$M$3,J66&lt;$M$3),"Atrasado",AND(L66&gt;=$M$3,J66&gt;=$M$3,I66&gt;$M$3,K66&lt;=$M$3),"Em andamento",AND(L66&gt;=$M$3,J66&gt;=$M$3,I66&lt;=$M$3,K66&lt;=$M$3),"Em andamento",AND(K66&gt;$M$3,I66&gt;$M$3),"Não iniciado",AND(L66&gt;=$M$3,J66&gt;=$M$3,K66&gt;=$M$3,I66&lt;$M$3),"Atrasado",AND(L66&gt;=$M$3,J66&gt;=$M$3,K66&gt;=$M$3,I66&gt;$M$3),"Não iniciado",AND($I66&lt;=$M$3,$K66&gt;$M$3),"Atrasado")</f>
        <v>Não iniciado</v>
      </c>
      <c r="O66" s="167">
        <f t="array" ref="O66">_xlfn.IFS(N66="Não iniciado",0,N66="Em andamento",1,N66="Concluído",2,N66="Atrasado",3)</f>
        <v>0</v>
      </c>
      <c r="P66" s="169"/>
      <c r="Q66" s="152">
        <f t="array" ref="Q66">_xlfn.IFS(AND($I66&lt;$M$3,$J66&lt;$M$3),1,AND($I66&lt;$M$3,$J66&gt;=$M$3),0.5,AND($I66&gt;=$M$3,$J66&gt;=$M$3),0)</f>
        <v>0</v>
      </c>
      <c r="R66" s="152">
        <f t="array" ref="R66">_xlfn.IFS(AND($K66&lt;$M$3,$L66&lt;$M$3),1,AND($K66&lt;=$M$3,$L66&gt;=$M$3),0.5,AND($K66&gt;=$M$3,$L66&gt;=$M$3),0)</f>
        <v>0</v>
      </c>
      <c r="S66" s="201">
        <f t="array" ref="S66">_xlfn.IFS(AND($K66&gt;R$7,$L66&gt;R$7),0,AND($K66&lt;=R$7,$L66&lt;=R$7),1,AND($K66&lt;=R$7,$L66&gt;R$7),((R$7-$K66)/($L66-$K66)))</f>
        <v>0</v>
      </c>
      <c r="T66" s="201">
        <f t="array" ref="T66">_xlfn.IFS(AND($K66&gt;S$7,$L66&gt;S$7),0,AND($K66&lt;=S$7,$L66&lt;=S$7),1,AND($K66&lt;=S$7,$L66&gt;S$7),((S$7-$K66)/($L66-$K66)))</f>
        <v>0</v>
      </c>
      <c r="U66" s="201">
        <f t="array" ref="U66">_xlfn.IFS(AND($K66&gt;T$7,$L66&gt;T$7),0,AND($K66&lt;=T$7,$L66&lt;=T$7),1,AND($K66&lt;=T$7,$L66&gt;T$7),((T$7-$K66)/($L66-$K66)))</f>
        <v>0</v>
      </c>
      <c r="V66" s="201">
        <f t="array" ref="V66">_xlfn.IFS(AND($K66&gt;U$7,$L66&gt;U$7),0,AND($K66&lt;=U$7,$L66&lt;=U$7),1,AND($K66&lt;=U$7,$L66&gt;U$7),((U$7-$K66)/($L66-$K66)))</f>
        <v>0</v>
      </c>
      <c r="W66" s="201">
        <f t="array" ref="W66">_xlfn.IFS(AND($K66&gt;V$7,$L66&gt;V$7),0,AND($K66&lt;=V$7,$L66&lt;=V$7),1,AND($K66&lt;=V$7,$L66&gt;V$7),((V$7-$K66)/($L66-$K66)))</f>
        <v>0</v>
      </c>
      <c r="X66" s="201">
        <f t="array" ref="X66">_xlfn.IFS(AND($K66&gt;W$7,$L66&gt;W$7),0,AND($K66&lt;=W$7,$L66&lt;=W$7),1,AND($K66&lt;=W$7,$L66&gt;W$7),((W$7-$K66)/($L66-$K66)))</f>
        <v>0</v>
      </c>
      <c r="Y66" s="201">
        <f t="array" ref="Y66">_xlfn.IFS(AND($K66&gt;X$7,$L66&gt;X$7),0,AND($K66&lt;=X$7,$L66&lt;=X$7),1,AND($K66&lt;=X$7,$L66&gt;X$7),((X$7-$K66)/($L66-$K66)))</f>
        <v>0</v>
      </c>
      <c r="Z66" s="201">
        <f t="array" ref="Z66">_xlfn.IFS(AND($K66&gt;Y$7,$L66&gt;Y$7),0,AND($K66&lt;=Y$7,$L66&lt;=Y$7),1,AND($K66&lt;=Y$7,$L66&gt;Y$7),((Y$7-$K66)/($L66-$K66)))</f>
        <v>0</v>
      </c>
      <c r="AA66" s="201">
        <f t="array" ref="AA66">_xlfn.IFS(AND($K66&gt;Z$7,$L66&gt;Z$7),0,AND($K66&lt;=Z$7,$L66&lt;=Z$7),1,AND($K66&lt;=Z$7,$L66&gt;Z$7),((Z$7-$K66)/($L66-$K66)))</f>
        <v>0</v>
      </c>
      <c r="AB66" s="201">
        <f t="array" ref="AB66">_xlfn.IFS(AND($K66&gt;AA$7,$L66&gt;AA$7),0,AND($K66&lt;=AA$7,$L66&lt;=AA$7),1,AND($K66&lt;=AA$7,$L66&gt;AA$7),((AA$7-$K66)/($L66-$K66)))</f>
        <v>0</v>
      </c>
      <c r="AC66" s="201">
        <f t="array" ref="AC66">_xlfn.IFS(AND($K66&gt;AB$7,$L66&gt;AB$7),0,AND($K66&lt;=AB$7,$L66&lt;=AB$7),1,AND($K66&lt;=AB$7,$L66&gt;AB$7),((AB$7-$K66)/($L66-$K66)))</f>
        <v>0</v>
      </c>
      <c r="AD66" s="201">
        <f t="array" ref="AD66">_xlfn.IFS(AND($K66&gt;AC$7,$L66&gt;AC$7),0,AND($K66&lt;=AC$7,$L66&lt;=AC$7),1,AND($K66&lt;=AC$7,$L66&gt;AC$7),((AC$7-$K66)/($L66-$K66)))</f>
        <v>0</v>
      </c>
      <c r="AE66" s="201">
        <f t="array" ref="AE66">_xlfn.IFS(AND($K66&gt;AD$7,$L66&gt;AD$7),0,AND($K66&lt;=AD$7,$L66&lt;=AD$7),1,AND($K66&lt;=AD$7,$L66&gt;AD$7),((AD$7-$K66)/($L66-$K66)))</f>
        <v>0</v>
      </c>
      <c r="AF66" s="201">
        <f t="array" ref="AF66">_xlfn.IFS(AND($K66&gt;AE$7,$L66&gt;AE$7),0,AND($K66&lt;=AE$7,$L66&lt;=AE$7),1,AND($K66&lt;=AE$7,$L66&gt;AE$7),((AE$7-$K66)/($L66-$K66)))</f>
        <v>0</v>
      </c>
      <c r="AG66" s="201">
        <f t="array" ref="AG66">_xlfn.IFS(AND($K66&gt;AF$7,$L66&gt;AF$7),0,AND($K66&lt;=AF$7,$L66&lt;=AF$7),1,AND($K66&lt;=AF$7,$L66&gt;AF$7),((AF$7-$K66)/($L66-$K66)))</f>
        <v>0</v>
      </c>
      <c r="AH66" s="201">
        <f t="array" ref="AH66">_xlfn.IFS(AND($K66&gt;AG$7,$L66&gt;AG$7),0,AND($K66&lt;=AG$7,$L66&lt;=AG$7),1,AND($K66&lt;=AG$7,$L66&gt;AG$7),((AG$7-$K66)/($L66-$K66)))</f>
        <v>0</v>
      </c>
      <c r="AI66" s="201">
        <f t="array" ref="AI66">_xlfn.IFS(AND($K66&gt;AH$7,$L66&gt;AH$7),0,AND($K66&lt;=AH$7,$L66&lt;=AH$7),1,AND($K66&lt;=AH$7,$L66&gt;AH$7),((AH$7-$K66)/($L66-$K66)))</f>
        <v>0</v>
      </c>
      <c r="AJ66" s="201">
        <f t="array" ref="AJ66">_xlfn.IFS(AND($K66&gt;AI$7,$L66&gt;AI$7),0,AND($K66&lt;=AI$7,$L66&lt;=AI$7),1,AND($K66&lt;=AI$7,$L66&gt;AI$7),((AI$7-$K66)/($L66-$K66)))</f>
        <v>0</v>
      </c>
      <c r="AK66" s="201">
        <f t="array" ref="AK66">_xlfn.IFS(AND($K66&gt;AJ$7,$L66&gt;AJ$7),0,AND($K66&lt;=AJ$7,$L66&lt;=AJ$7),1,AND($K66&lt;=AJ$7,$L66&gt;AJ$7),((AJ$7-$K66)/($L66-$K66)))</f>
        <v>0</v>
      </c>
      <c r="AL66" s="201">
        <f t="array" ref="AL66">_xlfn.IFS(AND($K66&gt;AK$7,$L66&gt;AK$7),0,AND($K66&lt;=AK$7,$L66&lt;=AK$7),1,AND($K66&lt;=AK$7,$L66&gt;AK$7),((AK$7-$K66)/($L66-$K66)))</f>
        <v>0</v>
      </c>
      <c r="AM66" s="201">
        <f t="array" ref="AM66">_xlfn.IFS(AND($K66&gt;AL$7,$L66&gt;AL$7),0,AND($K66&lt;=AL$7,$L66&lt;=AL$7),1,AND($K66&lt;=AL$7,$L66&gt;AL$7),((AL$7-$K66)/($L66-$K66)))</f>
        <v>0</v>
      </c>
      <c r="AN66" s="201">
        <f t="array" ref="AN66">_xlfn.IFS(AND($K66&gt;AM$7,$L66&gt;AM$7),0,AND($K66&lt;=AM$7,$L66&lt;=AM$7),1,AND($K66&lt;=AM$7,$L66&gt;AM$7),((AM$7-$K66)/($L66-$K66)))</f>
        <v>0</v>
      </c>
      <c r="AO66" s="201">
        <f t="array" ref="AO66">_xlfn.IFS(AND($K66&gt;AN$7,$L66&gt;AN$7),0,AND($K66&lt;=AN$7,$L66&lt;=AN$7),1,AND($K66&lt;=AN$7,$L66&gt;AN$7),((AN$7-$K66)/($L66-$K66)))</f>
        <v>0</v>
      </c>
      <c r="AP66" s="201">
        <f t="array" ref="AP66">_xlfn.IFS(AND($K66&gt;AO$7,$L66&gt;AO$7),0,AND($K66&lt;=AO$7,$L66&lt;=AO$7),1,AND($K66&lt;=AO$7,$L66&gt;AO$7),((AO$7-$K66)/($L66-$K66)))</f>
        <v>0</v>
      </c>
      <c r="AQ66" s="201">
        <f t="array" ref="AQ66">_xlfn.IFS(AND($K66&gt;AP$7,$L66&gt;AP$7),0,AND($K66&lt;=AP$7,$L66&lt;=AP$7),1,AND($K66&lt;=AP$7,$L66&gt;AP$7),((AP$7-$K66)/($L66-$K66)))</f>
        <v>0</v>
      </c>
      <c r="AR66" s="201">
        <f t="array" ref="AR66">_xlfn.IFS(AND($K66&gt;AQ$7,$L66&gt;AQ$7),0,AND($K66&lt;=AQ$7,$L66&lt;=AQ$7),1,AND($K66&lt;=AQ$7,$L66&gt;AQ$7),((AQ$7-$K66)/($L66-$K66)))</f>
        <v>0</v>
      </c>
      <c r="AS66" s="201">
        <f t="array" ref="AS66">_xlfn.IFS(AND($K66&gt;AR$7,$L66&gt;AR$7),0,AND($K66&lt;=AR$7,$L66&lt;=AR$7),1,AND($K66&lt;=AR$7,$L66&gt;AR$7),((AR$7-$K66)/($L66-$K66)))</f>
        <v>0</v>
      </c>
      <c r="AT66" s="201">
        <f t="array" ref="AT66">_xlfn.IFS(AND($K66&gt;AS$7,$L66&gt;AS$7),0,AND($K66&lt;=AS$7,$L66&lt;=AS$7),1,AND($K66&lt;=AS$7,$L66&gt;AS$7),((AS$7-$K66)/($L66-$K66)))</f>
        <v>0</v>
      </c>
      <c r="AU66" s="201">
        <f t="array" ref="AU66">_xlfn.IFS(AND($K66&gt;AT$7,$L66&gt;AT$7),0,AND($K66&lt;=AT$7,$L66&lt;=AT$7),1,AND($K66&lt;=AT$7,$L66&gt;AT$7),((AT$7-$K66)/($L66-$K66)))</f>
        <v>0</v>
      </c>
      <c r="AV66" s="201">
        <f t="array" ref="AV66">_xlfn.IFS(AND($K66&gt;AU$7,$L66&gt;AU$7),0,AND($K66&lt;=AU$7,$L66&lt;=AU$7),1,AND($K66&lt;=AU$7,$L66&gt;AU$7),((AU$7-$K66)/($L66-$K66)))</f>
        <v>0</v>
      </c>
      <c r="AW66" s="201">
        <f t="array" ref="AW66">_xlfn.IFS(AND($K66&gt;AV$7,$L66&gt;AV$7),0,AND($K66&lt;=AV$7,$L66&lt;=AV$7),1,AND($K66&lt;=AV$7,$L66&gt;AV$7),((AV$7-$K66)/($L66-$K66)))</f>
        <v>0</v>
      </c>
      <c r="AX66" s="201">
        <f t="array" ref="AX66">_xlfn.IFS(AND($K66&gt;AW$7,$L66&gt;AW$7),0,AND($K66&lt;=AW$7,$L66&lt;=AW$7),1,AND($K66&lt;=AW$7,$L66&gt;AW$7),((AW$7-$K66)/($L66-$K66)))</f>
        <v>1</v>
      </c>
      <c r="AY66" s="201">
        <f t="array" ref="AY66">_xlfn.IFS(AND($K66&gt;AX$7,$L66&gt;AX$7),0,AND($K66&lt;=AX$7,$L66&lt;=AX$7),1,AND($K66&lt;=AX$7,$L66&gt;AX$7),((AX$7-$K66)/($L66-$K66)))</f>
        <v>1</v>
      </c>
      <c r="AZ66" s="201">
        <f t="array" ref="AZ66">_xlfn.IFS(AND($K66&gt;AY$7,$L66&gt;AY$7),0,AND($K66&lt;=AY$7,$L66&lt;=AY$7),1,AND($K66&lt;=AY$7,$L66&gt;AY$7),((AY$7-$K66)/($L66-$K66)))</f>
        <v>1</v>
      </c>
      <c r="BA66" s="201">
        <f t="array" ref="BA66">_xlfn.IFS(AND($K66&gt;AZ$7,$L66&gt;AZ$7),0,AND($K66&lt;=AZ$7,$L66&lt;=AZ$7),1,AND($K66&lt;=AZ$7,$L66&gt;AZ$7),((AZ$7-$K66)/($L66-$K66)))</f>
        <v>1</v>
      </c>
      <c r="BB66" s="201">
        <f t="array" ref="BB66">_xlfn.IFS(AND($K66&gt;BA$7,$L66&gt;BA$7),0,AND($K66&lt;=BA$7,$L66&lt;=BA$7),1,AND($K66&lt;=BA$7,$L66&gt;BA$7),((BA$7-$K66)/($L66-$K66)))</f>
        <v>1</v>
      </c>
      <c r="BC66" s="201">
        <f t="array" ref="BC66">_xlfn.IFS(AND($K66&gt;BB$7,$L66&gt;BB$7),0,AND($K66&lt;=BB$7,$L66&lt;=BB$7),1,AND($K66&lt;=BB$7,$L66&gt;BB$7),((BB$7-$K66)/($L66-$K66)))</f>
        <v>1</v>
      </c>
      <c r="BD66" s="201">
        <f t="array" ref="BD66">_xlfn.IFS(AND($K66&gt;BC$7,$L66&gt;BC$7),0,AND($K66&lt;=BC$7,$L66&lt;=BC$7),1,AND($K66&lt;=BC$7,$L66&gt;BC$7),((BC$7-$K66)/($L66-$K66)))</f>
        <v>1</v>
      </c>
      <c r="BE66" s="201">
        <f t="array" ref="BE66">_xlfn.IFS(AND($K66&gt;BD$7,$L66&gt;BD$7),0,AND($K66&lt;=BD$7,$L66&lt;=BD$7),1,AND($K66&lt;=BD$7,$L66&gt;BD$7),((BD$7-$K66)/($L66-$K66)))</f>
        <v>1</v>
      </c>
      <c r="BF66" s="201">
        <f t="array" ref="BF66">_xlfn.IFS(AND($K66&gt;BE$7,$L66&gt;BE$7),0,AND($K66&lt;=BE$7,$L66&lt;=BE$7),1,AND($K66&lt;=BE$7,$L66&gt;BE$7),((BE$7-$K66)/($L66-$K66)))</f>
        <v>1</v>
      </c>
      <c r="BG66" s="201">
        <f t="array" ref="BG66">_xlfn.IFS(AND($K66&gt;BF$7,$L66&gt;BF$7),0,AND($K66&lt;=BF$7,$L66&lt;=BF$7),1,AND($K66&lt;=BF$7,$L66&gt;BF$7),((BF$7-$K66)/($L66-$K66)))</f>
        <v>1</v>
      </c>
      <c r="BH66" s="201">
        <f t="array" ref="BH66">_xlfn.IFS(AND($K66&gt;BG$7,$L66&gt;BG$7),0,AND($K66&lt;=BG$7,$L66&lt;=BG$7),1,AND($K66&lt;=BG$7,$L66&gt;BG$7),((BG$7-$K66)/($L66-$K66)))</f>
        <v>1</v>
      </c>
      <c r="BI66" s="201">
        <f t="array" ref="BI66">_xlfn.IFS(AND($K66&gt;BH$7,$L66&gt;BH$7),0,AND($K66&lt;=BH$7,$L66&lt;=BH$7),1,AND($K66&lt;=BH$7,$L66&gt;BH$7),((BH$7-$K66)/($L66-$K66)))</f>
        <v>1</v>
      </c>
      <c r="BJ66" s="201">
        <f t="array" ref="BJ66">_xlfn.IFS(AND($K66&gt;BI$7,$L66&gt;BI$7),0,AND($K66&lt;=BI$7,$L66&lt;=BI$7),1,AND($K66&lt;=BI$7,$L66&gt;BI$7),((BI$7-$K66)/($L66-$K66)))</f>
        <v>1</v>
      </c>
      <c r="BK66" s="201">
        <f t="array" ref="BK66">_xlfn.IFS(AND($K66&gt;BJ$7,$L66&gt;BJ$7),0,AND($K66&lt;=BJ$7,$L66&lt;=BJ$7),1,AND($K66&lt;=BJ$7,$L66&gt;BJ$7),((BJ$7-$K66)/($L66-$K66)))</f>
        <v>1</v>
      </c>
      <c r="BL66" s="201">
        <f t="array" ref="BL66">_xlfn.IFS(AND($K66&gt;BK$7,$L66&gt;BK$7),0,AND($K66&lt;=BK$7,$L66&lt;=BK$7),1,AND($K66&lt;=BK$7,$L66&gt;BK$7),((BK$7-$K66)/($L66-$K66)))</f>
        <v>1</v>
      </c>
      <c r="BM66" s="201">
        <f t="array" ref="BM66">_xlfn.IFS(AND($K66&gt;BL$7,$L66&gt;BL$7),0,AND($K66&lt;=BL$7,$L66&lt;=BL$7),1,AND($K66&lt;=BL$7,$L66&gt;BL$7),((BL$7-$K66)/($L66-$K66)))</f>
        <v>1</v>
      </c>
      <c r="BN66" s="201">
        <f t="array" ref="BN66">_xlfn.IFS(AND($K66&gt;BM$7,$L66&gt;BM$7),0,AND($K66&lt;=BM$7,$L66&lt;=BM$7),1,AND($K66&lt;=BM$7,$L66&gt;BM$7),((BM$7-$K66)/($L66-$K66)))</f>
        <v>1</v>
      </c>
    </row>
    <row r="67" spans="2:66" s="163" customFormat="1" ht="23.55" customHeight="1" x14ac:dyDescent="0.3">
      <c r="B67" s="166" t="s">
        <v>161</v>
      </c>
      <c r="C67" s="166" t="s">
        <v>182</v>
      </c>
      <c r="D67" s="177"/>
      <c r="E67" s="170" t="str">
        <f t="shared" si="30"/>
        <v>Desenvolvimento da Transformação dos Processos</v>
      </c>
      <c r="F67" s="174" t="str">
        <f t="shared" si="33"/>
        <v>Diagnóstico de Maturidade do Processo</v>
      </c>
      <c r="G67" s="166" t="str">
        <f t="shared" si="36"/>
        <v>Diagnóstico de Maturidade do Processo</v>
      </c>
      <c r="H67" s="197" t="s">
        <v>183</v>
      </c>
      <c r="I67" s="166">
        <v>45929</v>
      </c>
      <c r="J67" s="166">
        <v>45933</v>
      </c>
      <c r="K67" s="166">
        <v>45929</v>
      </c>
      <c r="L67" s="166">
        <v>45933</v>
      </c>
      <c r="M67" s="167"/>
      <c r="N67" s="167" t="str">
        <f t="array" ref="N67">_xlfn.IFS(L67&lt;$M$3,"Concluído",AND(K67&gt;=$M$3,I67&lt;$M$3,L67&gt;$M$3),"Em andamento",AND(L67&gt;=$M$3,J67&lt;$M$3),"Atrasado",AND(L67&gt;=$M$3,J67&gt;=$M$3,I67&gt;$M$3,K67&lt;=$M$3),"Em andamento",AND(L67&gt;=$M$3,J67&gt;=$M$3,I67&lt;=$M$3,K67&lt;=$M$3),"Em andamento",AND(K67&gt;$M$3,I67&gt;$M$3),"Não iniciado",AND(L67&gt;=$M$3,J67&gt;=$M$3,K67&gt;=$M$3,I67&lt;$M$3),"Atrasado",AND(L67&gt;=$M$3,J67&gt;=$M$3,K67&gt;=$M$3,I67&gt;$M$3),"Não iniciado",AND($I67&lt;=$M$3,$K67&gt;$M$3),"Atrasado")</f>
        <v>Não iniciado</v>
      </c>
      <c r="O67" s="167">
        <f t="array" ref="O67">_xlfn.IFS(N67="Não iniciado",0,N67="Em andamento",1,N67="Concluído",2,N67="Atrasado",3)</f>
        <v>0</v>
      </c>
      <c r="P67" s="169"/>
      <c r="Q67" s="152">
        <f t="array" ref="Q67">_xlfn.IFS(AND($I67&lt;$M$3,$J67&lt;$M$3),1,AND($I67&lt;$M$3,$J67&gt;=$M$3),0.5,AND($I67&gt;=$M$3,$J67&gt;=$M$3),0)</f>
        <v>0</v>
      </c>
      <c r="R67" s="152">
        <f t="array" ref="R67">_xlfn.IFS(AND($K67&lt;$M$3,$L67&lt;$M$3),1,AND($K67&lt;=$M$3,$L67&gt;=$M$3),0.5,AND($K67&gt;=$M$3,$L67&gt;=$M$3),0)</f>
        <v>0</v>
      </c>
      <c r="S67" s="201">
        <f t="array" ref="S67">_xlfn.IFS(AND($K67&gt;R$7,$L67&gt;R$7),0,AND($K67&lt;=R$7,$L67&lt;=R$7),1,AND($K67&lt;=R$7,$L67&gt;R$7),((R$7-$K67)/($L67-$K67)))</f>
        <v>0</v>
      </c>
      <c r="T67" s="201">
        <f t="array" ref="T67">_xlfn.IFS(AND($K67&gt;S$7,$L67&gt;S$7),0,AND($K67&lt;=S$7,$L67&lt;=S$7),1,AND($K67&lt;=S$7,$L67&gt;S$7),((S$7-$K67)/($L67-$K67)))</f>
        <v>0</v>
      </c>
      <c r="U67" s="201">
        <f t="array" ref="U67">_xlfn.IFS(AND($K67&gt;T$7,$L67&gt;T$7),0,AND($K67&lt;=T$7,$L67&lt;=T$7),1,AND($K67&lt;=T$7,$L67&gt;T$7),((T$7-$K67)/($L67-$K67)))</f>
        <v>0</v>
      </c>
      <c r="V67" s="201">
        <f t="array" ref="V67">_xlfn.IFS(AND($K67&gt;U$7,$L67&gt;U$7),0,AND($K67&lt;=U$7,$L67&lt;=U$7),1,AND($K67&lt;=U$7,$L67&gt;U$7),((U$7-$K67)/($L67-$K67)))</f>
        <v>0</v>
      </c>
      <c r="W67" s="201">
        <f t="array" ref="W67">_xlfn.IFS(AND($K67&gt;V$7,$L67&gt;V$7),0,AND($K67&lt;=V$7,$L67&lt;=V$7),1,AND($K67&lt;=V$7,$L67&gt;V$7),((V$7-$K67)/($L67-$K67)))</f>
        <v>0</v>
      </c>
      <c r="X67" s="201">
        <f t="array" ref="X67">_xlfn.IFS(AND($K67&gt;W$7,$L67&gt;W$7),0,AND($K67&lt;=W$7,$L67&lt;=W$7),1,AND($K67&lt;=W$7,$L67&gt;W$7),((W$7-$K67)/($L67-$K67)))</f>
        <v>0</v>
      </c>
      <c r="Y67" s="201">
        <f t="array" ref="Y67">_xlfn.IFS(AND($K67&gt;X$7,$L67&gt;X$7),0,AND($K67&lt;=X$7,$L67&lt;=X$7),1,AND($K67&lt;=X$7,$L67&gt;X$7),((X$7-$K67)/($L67-$K67)))</f>
        <v>0</v>
      </c>
      <c r="Z67" s="201">
        <f t="array" ref="Z67">_xlfn.IFS(AND($K67&gt;Y$7,$L67&gt;Y$7),0,AND($K67&lt;=Y$7,$L67&lt;=Y$7),1,AND($K67&lt;=Y$7,$L67&gt;Y$7),((Y$7-$K67)/($L67-$K67)))</f>
        <v>0</v>
      </c>
      <c r="AA67" s="201">
        <f t="array" ref="AA67">_xlfn.IFS(AND($K67&gt;Z$7,$L67&gt;Z$7),0,AND($K67&lt;=Z$7,$L67&lt;=Z$7),1,AND($K67&lt;=Z$7,$L67&gt;Z$7),((Z$7-$K67)/($L67-$K67)))</f>
        <v>0</v>
      </c>
      <c r="AB67" s="201">
        <f t="array" ref="AB67">_xlfn.IFS(AND($K67&gt;AA$7,$L67&gt;AA$7),0,AND($K67&lt;=AA$7,$L67&lt;=AA$7),1,AND($K67&lt;=AA$7,$L67&gt;AA$7),((AA$7-$K67)/($L67-$K67)))</f>
        <v>0</v>
      </c>
      <c r="AC67" s="201">
        <f t="array" ref="AC67">_xlfn.IFS(AND($K67&gt;AB$7,$L67&gt;AB$7),0,AND($K67&lt;=AB$7,$L67&lt;=AB$7),1,AND($K67&lt;=AB$7,$L67&gt;AB$7),((AB$7-$K67)/($L67-$K67)))</f>
        <v>0</v>
      </c>
      <c r="AD67" s="201">
        <f t="array" ref="AD67">_xlfn.IFS(AND($K67&gt;AC$7,$L67&gt;AC$7),0,AND($K67&lt;=AC$7,$L67&lt;=AC$7),1,AND($K67&lt;=AC$7,$L67&gt;AC$7),((AC$7-$K67)/($L67-$K67)))</f>
        <v>0</v>
      </c>
      <c r="AE67" s="201">
        <f t="array" ref="AE67">_xlfn.IFS(AND($K67&gt;AD$7,$L67&gt;AD$7),0,AND($K67&lt;=AD$7,$L67&lt;=AD$7),1,AND($K67&lt;=AD$7,$L67&gt;AD$7),((AD$7-$K67)/($L67-$K67)))</f>
        <v>0</v>
      </c>
      <c r="AF67" s="201">
        <f t="array" ref="AF67">_xlfn.IFS(AND($K67&gt;AE$7,$L67&gt;AE$7),0,AND($K67&lt;=AE$7,$L67&lt;=AE$7),1,AND($K67&lt;=AE$7,$L67&gt;AE$7),((AE$7-$K67)/($L67-$K67)))</f>
        <v>0</v>
      </c>
      <c r="AG67" s="201">
        <f t="array" ref="AG67">_xlfn.IFS(AND($K67&gt;AF$7,$L67&gt;AF$7),0,AND($K67&lt;=AF$7,$L67&lt;=AF$7),1,AND($K67&lt;=AF$7,$L67&gt;AF$7),((AF$7-$K67)/($L67-$K67)))</f>
        <v>0</v>
      </c>
      <c r="AH67" s="201">
        <f t="array" ref="AH67">_xlfn.IFS(AND($K67&gt;AG$7,$L67&gt;AG$7),0,AND($K67&lt;=AG$7,$L67&lt;=AG$7),1,AND($K67&lt;=AG$7,$L67&gt;AG$7),((AG$7-$K67)/($L67-$K67)))</f>
        <v>0</v>
      </c>
      <c r="AI67" s="201">
        <f t="array" ref="AI67">_xlfn.IFS(AND($K67&gt;AH$7,$L67&gt;AH$7),0,AND($K67&lt;=AH$7,$L67&lt;=AH$7),1,AND($K67&lt;=AH$7,$L67&gt;AH$7),((AH$7-$K67)/($L67-$K67)))</f>
        <v>0</v>
      </c>
      <c r="AJ67" s="201">
        <f t="array" ref="AJ67">_xlfn.IFS(AND($K67&gt;AI$7,$L67&gt;AI$7),0,AND($K67&lt;=AI$7,$L67&lt;=AI$7),1,AND($K67&lt;=AI$7,$L67&gt;AI$7),((AI$7-$K67)/($L67-$K67)))</f>
        <v>0</v>
      </c>
      <c r="AK67" s="201">
        <f t="array" ref="AK67">_xlfn.IFS(AND($K67&gt;AJ$7,$L67&gt;AJ$7),0,AND($K67&lt;=AJ$7,$L67&lt;=AJ$7),1,AND($K67&lt;=AJ$7,$L67&gt;AJ$7),((AJ$7-$K67)/($L67-$K67)))</f>
        <v>0</v>
      </c>
      <c r="AL67" s="201">
        <f t="array" ref="AL67">_xlfn.IFS(AND($K67&gt;AK$7,$L67&gt;AK$7),0,AND($K67&lt;=AK$7,$L67&lt;=AK$7),1,AND($K67&lt;=AK$7,$L67&gt;AK$7),((AK$7-$K67)/($L67-$K67)))</f>
        <v>0</v>
      </c>
      <c r="AM67" s="201">
        <f t="array" ref="AM67">_xlfn.IFS(AND($K67&gt;AL$7,$L67&gt;AL$7),0,AND($K67&lt;=AL$7,$L67&lt;=AL$7),1,AND($K67&lt;=AL$7,$L67&gt;AL$7),((AL$7-$K67)/($L67-$K67)))</f>
        <v>0</v>
      </c>
      <c r="AN67" s="201">
        <f t="array" ref="AN67">_xlfn.IFS(AND($K67&gt;AM$7,$L67&gt;AM$7),0,AND($K67&lt;=AM$7,$L67&lt;=AM$7),1,AND($K67&lt;=AM$7,$L67&gt;AM$7),((AM$7-$K67)/($L67-$K67)))</f>
        <v>0</v>
      </c>
      <c r="AO67" s="201">
        <f t="array" ref="AO67">_xlfn.IFS(AND($K67&gt;AN$7,$L67&gt;AN$7),0,AND($K67&lt;=AN$7,$L67&lt;=AN$7),1,AND($K67&lt;=AN$7,$L67&gt;AN$7),((AN$7-$K67)/($L67-$K67)))</f>
        <v>0</v>
      </c>
      <c r="AP67" s="201">
        <f t="array" ref="AP67">_xlfn.IFS(AND($K67&gt;AO$7,$L67&gt;AO$7),0,AND($K67&lt;=AO$7,$L67&lt;=AO$7),1,AND($K67&lt;=AO$7,$L67&gt;AO$7),((AO$7-$K67)/($L67-$K67)))</f>
        <v>0</v>
      </c>
      <c r="AQ67" s="201">
        <f t="array" ref="AQ67">_xlfn.IFS(AND($K67&gt;AP$7,$L67&gt;AP$7),0,AND($K67&lt;=AP$7,$L67&lt;=AP$7),1,AND($K67&lt;=AP$7,$L67&gt;AP$7),((AP$7-$K67)/($L67-$K67)))</f>
        <v>0</v>
      </c>
      <c r="AR67" s="201">
        <f t="array" ref="AR67">_xlfn.IFS(AND($K67&gt;AQ$7,$L67&gt;AQ$7),0,AND($K67&lt;=AQ$7,$L67&lt;=AQ$7),1,AND($K67&lt;=AQ$7,$L67&gt;AQ$7),((AQ$7-$K67)/($L67-$K67)))</f>
        <v>0</v>
      </c>
      <c r="AS67" s="201">
        <f t="array" ref="AS67">_xlfn.IFS(AND($K67&gt;AR$7,$L67&gt;AR$7),0,AND($K67&lt;=AR$7,$L67&lt;=AR$7),1,AND($K67&lt;=AR$7,$L67&gt;AR$7),((AR$7-$K67)/($L67-$K67)))</f>
        <v>0</v>
      </c>
      <c r="AT67" s="201">
        <f t="array" ref="AT67">_xlfn.IFS(AND($K67&gt;AS$7,$L67&gt;AS$7),0,AND($K67&lt;=AS$7,$L67&lt;=AS$7),1,AND($K67&lt;=AS$7,$L67&gt;AS$7),((AS$7-$K67)/($L67-$K67)))</f>
        <v>0</v>
      </c>
      <c r="AU67" s="201">
        <f t="array" ref="AU67">_xlfn.IFS(AND($K67&gt;AT$7,$L67&gt;AT$7),0,AND($K67&lt;=AT$7,$L67&lt;=AT$7),1,AND($K67&lt;=AT$7,$L67&gt;AT$7),((AT$7-$K67)/($L67-$K67)))</f>
        <v>0</v>
      </c>
      <c r="AV67" s="201">
        <f t="array" ref="AV67">_xlfn.IFS(AND($K67&gt;AU$7,$L67&gt;AU$7),0,AND($K67&lt;=AU$7,$L67&lt;=AU$7),1,AND($K67&lt;=AU$7,$L67&gt;AU$7),((AU$7-$K67)/($L67-$K67)))</f>
        <v>0</v>
      </c>
      <c r="AW67" s="201">
        <f t="array" ref="AW67">_xlfn.IFS(AND($K67&gt;AV$7,$L67&gt;AV$7),0,AND($K67&lt;=AV$7,$L67&lt;=AV$7),1,AND($K67&lt;=AV$7,$L67&gt;AV$7),((AV$7-$K67)/($L67-$K67)))</f>
        <v>0</v>
      </c>
      <c r="AX67" s="201">
        <f t="array" ref="AX67">_xlfn.IFS(AND($K67&gt;AW$7,$L67&gt;AW$7),0,AND($K67&lt;=AW$7,$L67&lt;=AW$7),1,AND($K67&lt;=AW$7,$L67&gt;AW$7),((AW$7-$K67)/($L67-$K67)))</f>
        <v>0</v>
      </c>
      <c r="AY67" s="201">
        <f t="array" ref="AY67">_xlfn.IFS(AND($K67&gt;AX$7,$L67&gt;AX$7),0,AND($K67&lt;=AX$7,$L67&lt;=AX$7),1,AND($K67&lt;=AX$7,$L67&gt;AX$7),((AX$7-$K67)/($L67-$K67)))</f>
        <v>0</v>
      </c>
      <c r="AZ67" s="201">
        <f t="array" ref="AZ67">_xlfn.IFS(AND($K67&gt;AY$7,$L67&gt;AY$7),0,AND($K67&lt;=AY$7,$L67&lt;=AY$7),1,AND($K67&lt;=AY$7,$L67&gt;AY$7),((AY$7-$K67)/($L67-$K67)))</f>
        <v>0</v>
      </c>
      <c r="BA67" s="201">
        <f t="array" ref="BA67">_xlfn.IFS(AND($K67&gt;AZ$7,$L67&gt;AZ$7),0,AND($K67&lt;=AZ$7,$L67&lt;=AZ$7),1,AND($K67&lt;=AZ$7,$L67&gt;AZ$7),((AZ$7-$K67)/($L67-$K67)))</f>
        <v>0</v>
      </c>
      <c r="BB67" s="201">
        <f t="array" ref="BB67">_xlfn.IFS(AND($K67&gt;BA$7,$L67&gt;BA$7),0,AND($K67&lt;=BA$7,$L67&lt;=BA$7),1,AND($K67&lt;=BA$7,$L67&gt;BA$7),((BA$7-$K67)/($L67-$K67)))</f>
        <v>1</v>
      </c>
      <c r="BC67" s="201">
        <f t="array" ref="BC67">_xlfn.IFS(AND($K67&gt;BB$7,$L67&gt;BB$7),0,AND($K67&lt;=BB$7,$L67&lt;=BB$7),1,AND($K67&lt;=BB$7,$L67&gt;BB$7),((BB$7-$K67)/($L67-$K67)))</f>
        <v>1</v>
      </c>
      <c r="BD67" s="201">
        <f t="array" ref="BD67">_xlfn.IFS(AND($K67&gt;BC$7,$L67&gt;BC$7),0,AND($K67&lt;=BC$7,$L67&lt;=BC$7),1,AND($K67&lt;=BC$7,$L67&gt;BC$7),((BC$7-$K67)/($L67-$K67)))</f>
        <v>1</v>
      </c>
      <c r="BE67" s="201">
        <f t="array" ref="BE67">_xlfn.IFS(AND($K67&gt;BD$7,$L67&gt;BD$7),0,AND($K67&lt;=BD$7,$L67&lt;=BD$7),1,AND($K67&lt;=BD$7,$L67&gt;BD$7),((BD$7-$K67)/($L67-$K67)))</f>
        <v>1</v>
      </c>
      <c r="BF67" s="201">
        <f t="array" ref="BF67">_xlfn.IFS(AND($K67&gt;BE$7,$L67&gt;BE$7),0,AND($K67&lt;=BE$7,$L67&lt;=BE$7),1,AND($K67&lt;=BE$7,$L67&gt;BE$7),((BE$7-$K67)/($L67-$K67)))</f>
        <v>1</v>
      </c>
      <c r="BG67" s="201">
        <f t="array" ref="BG67">_xlfn.IFS(AND($K67&gt;BF$7,$L67&gt;BF$7),0,AND($K67&lt;=BF$7,$L67&lt;=BF$7),1,AND($K67&lt;=BF$7,$L67&gt;BF$7),((BF$7-$K67)/($L67-$K67)))</f>
        <v>1</v>
      </c>
      <c r="BH67" s="201">
        <f t="array" ref="BH67">_xlfn.IFS(AND($K67&gt;BG$7,$L67&gt;BG$7),0,AND($K67&lt;=BG$7,$L67&lt;=BG$7),1,AND($K67&lt;=BG$7,$L67&gt;BG$7),((BG$7-$K67)/($L67-$K67)))</f>
        <v>1</v>
      </c>
      <c r="BI67" s="201">
        <f t="array" ref="BI67">_xlfn.IFS(AND($K67&gt;BH$7,$L67&gt;BH$7),0,AND($K67&lt;=BH$7,$L67&lt;=BH$7),1,AND($K67&lt;=BH$7,$L67&gt;BH$7),((BH$7-$K67)/($L67-$K67)))</f>
        <v>1</v>
      </c>
      <c r="BJ67" s="201">
        <f t="array" ref="BJ67">_xlfn.IFS(AND($K67&gt;BI$7,$L67&gt;BI$7),0,AND($K67&lt;=BI$7,$L67&lt;=BI$7),1,AND($K67&lt;=BI$7,$L67&gt;BI$7),((BI$7-$K67)/($L67-$K67)))</f>
        <v>1</v>
      </c>
      <c r="BK67" s="201">
        <f t="array" ref="BK67">_xlfn.IFS(AND($K67&gt;BJ$7,$L67&gt;BJ$7),0,AND($K67&lt;=BJ$7,$L67&lt;=BJ$7),1,AND($K67&lt;=BJ$7,$L67&gt;BJ$7),((BJ$7-$K67)/($L67-$K67)))</f>
        <v>1</v>
      </c>
      <c r="BL67" s="201">
        <f t="array" ref="BL67">_xlfn.IFS(AND($K67&gt;BK$7,$L67&gt;BK$7),0,AND($K67&lt;=BK$7,$L67&lt;=BK$7),1,AND($K67&lt;=BK$7,$L67&gt;BK$7),((BK$7-$K67)/($L67-$K67)))</f>
        <v>1</v>
      </c>
      <c r="BM67" s="201">
        <f t="array" ref="BM67">_xlfn.IFS(AND($K67&gt;BL$7,$L67&gt;BL$7),0,AND($K67&lt;=BL$7,$L67&lt;=BL$7),1,AND($K67&lt;=BL$7,$L67&gt;BL$7),((BL$7-$K67)/($L67-$K67)))</f>
        <v>1</v>
      </c>
      <c r="BN67" s="201">
        <f t="array" ref="BN67">_xlfn.IFS(AND($K67&gt;BM$7,$L67&gt;BM$7),0,AND($K67&lt;=BM$7,$L67&lt;=BM$7),1,AND($K67&lt;=BM$7,$L67&gt;BM$7),((BM$7-$K67)/($L67-$K67)))</f>
        <v>1</v>
      </c>
    </row>
    <row r="68" spans="2:66" s="163" customFormat="1" ht="23.55" customHeight="1" x14ac:dyDescent="0.3">
      <c r="B68" s="166" t="s">
        <v>161</v>
      </c>
      <c r="C68" s="166" t="s">
        <v>184</v>
      </c>
      <c r="D68" s="177"/>
      <c r="E68" s="170" t="str">
        <f t="shared" si="30"/>
        <v>Desenvolvimento da Transformação dos Processos</v>
      </c>
      <c r="F68" s="174" t="str">
        <f t="shared" si="33"/>
        <v>Diagnóstico de Maturidade do Processo</v>
      </c>
      <c r="G68" s="166" t="str">
        <f t="shared" si="36"/>
        <v>Diagnóstico de Maturidade do Processo</v>
      </c>
      <c r="H68" s="197" t="s">
        <v>185</v>
      </c>
      <c r="I68" s="166">
        <v>45929</v>
      </c>
      <c r="J68" s="166">
        <v>45933</v>
      </c>
      <c r="K68" s="166">
        <v>45929</v>
      </c>
      <c r="L68" s="166">
        <v>45933</v>
      </c>
      <c r="M68" s="167"/>
      <c r="N68" s="167" t="str">
        <f t="array" ref="N68">_xlfn.IFS(L68&lt;$M$3,"Concluído",AND(K68&gt;=$M$3,I68&lt;$M$3,L68&gt;$M$3),"Em andamento",AND(L68&gt;=$M$3,J68&lt;$M$3),"Atrasado",AND(L68&gt;=$M$3,J68&gt;=$M$3,I68&gt;$M$3,K68&lt;=$M$3),"Em andamento",AND(L68&gt;=$M$3,J68&gt;=$M$3,I68&lt;=$M$3,K68&lt;=$M$3),"Em andamento",AND(K68&gt;$M$3,I68&gt;$M$3),"Não iniciado",AND(L68&gt;=$M$3,J68&gt;=$M$3,K68&gt;=$M$3,I68&lt;$M$3),"Atrasado",AND(L68&gt;=$M$3,J68&gt;=$M$3,K68&gt;=$M$3,I68&gt;$M$3),"Não iniciado",AND($I68&lt;=$M$3,$K68&gt;$M$3),"Atrasado")</f>
        <v>Não iniciado</v>
      </c>
      <c r="O68" s="167">
        <f t="array" ref="O68">_xlfn.IFS(N68="Não iniciado",0,N68="Em andamento",1,N68="Concluído",2,N68="Atrasado",3)</f>
        <v>0</v>
      </c>
      <c r="P68" s="169"/>
      <c r="Q68" s="152">
        <f t="array" ref="Q68">_xlfn.IFS(AND($I68&lt;$M$3,$J68&lt;$M$3),1,AND($I68&lt;$M$3,$J68&gt;=$M$3),0.5,AND($I68&gt;=$M$3,$J68&gt;=$M$3),0)</f>
        <v>0</v>
      </c>
      <c r="R68" s="152">
        <f t="array" ref="R68">_xlfn.IFS(AND($K68&lt;$M$3,$L68&lt;$M$3),1,AND($K68&lt;=$M$3,$L68&gt;=$M$3),0.5,AND($K68&gt;=$M$3,$L68&gt;=$M$3),0)</f>
        <v>0</v>
      </c>
      <c r="S68" s="201">
        <f t="array" ref="S68">_xlfn.IFS(AND($K68&gt;R$7,$L68&gt;R$7),0,AND($K68&lt;=R$7,$L68&lt;=R$7),1,AND($K68&lt;=R$7,$L68&gt;R$7),((R$7-$K68)/($L68-$K68)))</f>
        <v>0</v>
      </c>
      <c r="T68" s="201">
        <f t="array" ref="T68">_xlfn.IFS(AND($K68&gt;S$7,$L68&gt;S$7),0,AND($K68&lt;=S$7,$L68&lt;=S$7),1,AND($K68&lt;=S$7,$L68&gt;S$7),((S$7-$K68)/($L68-$K68)))</f>
        <v>0</v>
      </c>
      <c r="U68" s="201">
        <f t="array" ref="U68">_xlfn.IFS(AND($K68&gt;T$7,$L68&gt;T$7),0,AND($K68&lt;=T$7,$L68&lt;=T$7),1,AND($K68&lt;=T$7,$L68&gt;T$7),((T$7-$K68)/($L68-$K68)))</f>
        <v>0</v>
      </c>
      <c r="V68" s="201">
        <f t="array" ref="V68">_xlfn.IFS(AND($K68&gt;U$7,$L68&gt;U$7),0,AND($K68&lt;=U$7,$L68&lt;=U$7),1,AND($K68&lt;=U$7,$L68&gt;U$7),((U$7-$K68)/($L68-$K68)))</f>
        <v>0</v>
      </c>
      <c r="W68" s="201">
        <f t="array" ref="W68">_xlfn.IFS(AND($K68&gt;V$7,$L68&gt;V$7),0,AND($K68&lt;=V$7,$L68&lt;=V$7),1,AND($K68&lt;=V$7,$L68&gt;V$7),((V$7-$K68)/($L68-$K68)))</f>
        <v>0</v>
      </c>
      <c r="X68" s="201">
        <f t="array" ref="X68">_xlfn.IFS(AND($K68&gt;W$7,$L68&gt;W$7),0,AND($K68&lt;=W$7,$L68&lt;=W$7),1,AND($K68&lt;=W$7,$L68&gt;W$7),((W$7-$K68)/($L68-$K68)))</f>
        <v>0</v>
      </c>
      <c r="Y68" s="201">
        <f t="array" ref="Y68">_xlfn.IFS(AND($K68&gt;X$7,$L68&gt;X$7),0,AND($K68&lt;=X$7,$L68&lt;=X$7),1,AND($K68&lt;=X$7,$L68&gt;X$7),((X$7-$K68)/($L68-$K68)))</f>
        <v>0</v>
      </c>
      <c r="Z68" s="201">
        <f t="array" ref="Z68">_xlfn.IFS(AND($K68&gt;Y$7,$L68&gt;Y$7),0,AND($K68&lt;=Y$7,$L68&lt;=Y$7),1,AND($K68&lt;=Y$7,$L68&gt;Y$7),((Y$7-$K68)/($L68-$K68)))</f>
        <v>0</v>
      </c>
      <c r="AA68" s="201">
        <f t="array" ref="AA68">_xlfn.IFS(AND($K68&gt;Z$7,$L68&gt;Z$7),0,AND($K68&lt;=Z$7,$L68&lt;=Z$7),1,AND($K68&lt;=Z$7,$L68&gt;Z$7),((Z$7-$K68)/($L68-$K68)))</f>
        <v>0</v>
      </c>
      <c r="AB68" s="201">
        <f t="array" ref="AB68">_xlfn.IFS(AND($K68&gt;AA$7,$L68&gt;AA$7),0,AND($K68&lt;=AA$7,$L68&lt;=AA$7),1,AND($K68&lt;=AA$7,$L68&gt;AA$7),((AA$7-$K68)/($L68-$K68)))</f>
        <v>0</v>
      </c>
      <c r="AC68" s="201">
        <f t="array" ref="AC68">_xlfn.IFS(AND($K68&gt;AB$7,$L68&gt;AB$7),0,AND($K68&lt;=AB$7,$L68&lt;=AB$7),1,AND($K68&lt;=AB$7,$L68&gt;AB$7),((AB$7-$K68)/($L68-$K68)))</f>
        <v>0</v>
      </c>
      <c r="AD68" s="201">
        <f t="array" ref="AD68">_xlfn.IFS(AND($K68&gt;AC$7,$L68&gt;AC$7),0,AND($K68&lt;=AC$7,$L68&lt;=AC$7),1,AND($K68&lt;=AC$7,$L68&gt;AC$7),((AC$7-$K68)/($L68-$K68)))</f>
        <v>0</v>
      </c>
      <c r="AE68" s="201">
        <f t="array" ref="AE68">_xlfn.IFS(AND($K68&gt;AD$7,$L68&gt;AD$7),0,AND($K68&lt;=AD$7,$L68&lt;=AD$7),1,AND($K68&lt;=AD$7,$L68&gt;AD$7),((AD$7-$K68)/($L68-$K68)))</f>
        <v>0</v>
      </c>
      <c r="AF68" s="201">
        <f t="array" ref="AF68">_xlfn.IFS(AND($K68&gt;AE$7,$L68&gt;AE$7),0,AND($K68&lt;=AE$7,$L68&lt;=AE$7),1,AND($K68&lt;=AE$7,$L68&gt;AE$7),((AE$7-$K68)/($L68-$K68)))</f>
        <v>0</v>
      </c>
      <c r="AG68" s="201">
        <f t="array" ref="AG68">_xlfn.IFS(AND($K68&gt;AF$7,$L68&gt;AF$7),0,AND($K68&lt;=AF$7,$L68&lt;=AF$7),1,AND($K68&lt;=AF$7,$L68&gt;AF$7),((AF$7-$K68)/($L68-$K68)))</f>
        <v>0</v>
      </c>
      <c r="AH68" s="201">
        <f t="array" ref="AH68">_xlfn.IFS(AND($K68&gt;AG$7,$L68&gt;AG$7),0,AND($K68&lt;=AG$7,$L68&lt;=AG$7),1,AND($K68&lt;=AG$7,$L68&gt;AG$7),((AG$7-$K68)/($L68-$K68)))</f>
        <v>0</v>
      </c>
      <c r="AI68" s="201">
        <f t="array" ref="AI68">_xlfn.IFS(AND($K68&gt;AH$7,$L68&gt;AH$7),0,AND($K68&lt;=AH$7,$L68&lt;=AH$7),1,AND($K68&lt;=AH$7,$L68&gt;AH$7),((AH$7-$K68)/($L68-$K68)))</f>
        <v>0</v>
      </c>
      <c r="AJ68" s="201">
        <f t="array" ref="AJ68">_xlfn.IFS(AND($K68&gt;AI$7,$L68&gt;AI$7),0,AND($K68&lt;=AI$7,$L68&lt;=AI$7),1,AND($K68&lt;=AI$7,$L68&gt;AI$7),((AI$7-$K68)/($L68-$K68)))</f>
        <v>0</v>
      </c>
      <c r="AK68" s="201">
        <f t="array" ref="AK68">_xlfn.IFS(AND($K68&gt;AJ$7,$L68&gt;AJ$7),0,AND($K68&lt;=AJ$7,$L68&lt;=AJ$7),1,AND($K68&lt;=AJ$7,$L68&gt;AJ$7),((AJ$7-$K68)/($L68-$K68)))</f>
        <v>0</v>
      </c>
      <c r="AL68" s="201">
        <f t="array" ref="AL68">_xlfn.IFS(AND($K68&gt;AK$7,$L68&gt;AK$7),0,AND($K68&lt;=AK$7,$L68&lt;=AK$7),1,AND($K68&lt;=AK$7,$L68&gt;AK$7),((AK$7-$K68)/($L68-$K68)))</f>
        <v>0</v>
      </c>
      <c r="AM68" s="201">
        <f t="array" ref="AM68">_xlfn.IFS(AND($K68&gt;AL$7,$L68&gt;AL$7),0,AND($K68&lt;=AL$7,$L68&lt;=AL$7),1,AND($K68&lt;=AL$7,$L68&gt;AL$7),((AL$7-$K68)/($L68-$K68)))</f>
        <v>0</v>
      </c>
      <c r="AN68" s="201">
        <f t="array" ref="AN68">_xlfn.IFS(AND($K68&gt;AM$7,$L68&gt;AM$7),0,AND($K68&lt;=AM$7,$L68&lt;=AM$7),1,AND($K68&lt;=AM$7,$L68&gt;AM$7),((AM$7-$K68)/($L68-$K68)))</f>
        <v>0</v>
      </c>
      <c r="AO68" s="201">
        <f t="array" ref="AO68">_xlfn.IFS(AND($K68&gt;AN$7,$L68&gt;AN$7),0,AND($K68&lt;=AN$7,$L68&lt;=AN$7),1,AND($K68&lt;=AN$7,$L68&gt;AN$7),((AN$7-$K68)/($L68-$K68)))</f>
        <v>0</v>
      </c>
      <c r="AP68" s="201">
        <f t="array" ref="AP68">_xlfn.IFS(AND($K68&gt;AO$7,$L68&gt;AO$7),0,AND($K68&lt;=AO$7,$L68&lt;=AO$7),1,AND($K68&lt;=AO$7,$L68&gt;AO$7),((AO$7-$K68)/($L68-$K68)))</f>
        <v>0</v>
      </c>
      <c r="AQ68" s="201">
        <f t="array" ref="AQ68">_xlfn.IFS(AND($K68&gt;AP$7,$L68&gt;AP$7),0,AND($K68&lt;=AP$7,$L68&lt;=AP$7),1,AND($K68&lt;=AP$7,$L68&gt;AP$7),((AP$7-$K68)/($L68-$K68)))</f>
        <v>0</v>
      </c>
      <c r="AR68" s="201">
        <f t="array" ref="AR68">_xlfn.IFS(AND($K68&gt;AQ$7,$L68&gt;AQ$7),0,AND($K68&lt;=AQ$7,$L68&lt;=AQ$7),1,AND($K68&lt;=AQ$7,$L68&gt;AQ$7),((AQ$7-$K68)/($L68-$K68)))</f>
        <v>0</v>
      </c>
      <c r="AS68" s="201">
        <f t="array" ref="AS68">_xlfn.IFS(AND($K68&gt;AR$7,$L68&gt;AR$7),0,AND($K68&lt;=AR$7,$L68&lt;=AR$7),1,AND($K68&lt;=AR$7,$L68&gt;AR$7),((AR$7-$K68)/($L68-$K68)))</f>
        <v>0</v>
      </c>
      <c r="AT68" s="201">
        <f t="array" ref="AT68">_xlfn.IFS(AND($K68&gt;AS$7,$L68&gt;AS$7),0,AND($K68&lt;=AS$7,$L68&lt;=AS$7),1,AND($K68&lt;=AS$7,$L68&gt;AS$7),((AS$7-$K68)/($L68-$K68)))</f>
        <v>0</v>
      </c>
      <c r="AU68" s="201">
        <f t="array" ref="AU68">_xlfn.IFS(AND($K68&gt;AT$7,$L68&gt;AT$7),0,AND($K68&lt;=AT$7,$L68&lt;=AT$7),1,AND($K68&lt;=AT$7,$L68&gt;AT$7),((AT$7-$K68)/($L68-$K68)))</f>
        <v>0</v>
      </c>
      <c r="AV68" s="201">
        <f t="array" ref="AV68">_xlfn.IFS(AND($K68&gt;AU$7,$L68&gt;AU$7),0,AND($K68&lt;=AU$7,$L68&lt;=AU$7),1,AND($K68&lt;=AU$7,$L68&gt;AU$7),((AU$7-$K68)/($L68-$K68)))</f>
        <v>0</v>
      </c>
      <c r="AW68" s="201">
        <f t="array" ref="AW68">_xlfn.IFS(AND($K68&gt;AV$7,$L68&gt;AV$7),0,AND($K68&lt;=AV$7,$L68&lt;=AV$7),1,AND($K68&lt;=AV$7,$L68&gt;AV$7),((AV$7-$K68)/($L68-$K68)))</f>
        <v>0</v>
      </c>
      <c r="AX68" s="201">
        <f t="array" ref="AX68">_xlfn.IFS(AND($K68&gt;AW$7,$L68&gt;AW$7),0,AND($K68&lt;=AW$7,$L68&lt;=AW$7),1,AND($K68&lt;=AW$7,$L68&gt;AW$7),((AW$7-$K68)/($L68-$K68)))</f>
        <v>0</v>
      </c>
      <c r="AY68" s="201">
        <f t="array" ref="AY68">_xlfn.IFS(AND($K68&gt;AX$7,$L68&gt;AX$7),0,AND($K68&lt;=AX$7,$L68&lt;=AX$7),1,AND($K68&lt;=AX$7,$L68&gt;AX$7),((AX$7-$K68)/($L68-$K68)))</f>
        <v>0</v>
      </c>
      <c r="AZ68" s="201">
        <f t="array" ref="AZ68">_xlfn.IFS(AND($K68&gt;AY$7,$L68&gt;AY$7),0,AND($K68&lt;=AY$7,$L68&lt;=AY$7),1,AND($K68&lt;=AY$7,$L68&gt;AY$7),((AY$7-$K68)/($L68-$K68)))</f>
        <v>0</v>
      </c>
      <c r="BA68" s="201">
        <f t="array" ref="BA68">_xlfn.IFS(AND($K68&gt;AZ$7,$L68&gt;AZ$7),0,AND($K68&lt;=AZ$7,$L68&lt;=AZ$7),1,AND($K68&lt;=AZ$7,$L68&gt;AZ$7),((AZ$7-$K68)/($L68-$K68)))</f>
        <v>0</v>
      </c>
      <c r="BB68" s="201">
        <f t="array" ref="BB68">_xlfn.IFS(AND($K68&gt;BA$7,$L68&gt;BA$7),0,AND($K68&lt;=BA$7,$L68&lt;=BA$7),1,AND($K68&lt;=BA$7,$L68&gt;BA$7),((BA$7-$K68)/($L68-$K68)))</f>
        <v>1</v>
      </c>
      <c r="BC68" s="201">
        <f t="array" ref="BC68">_xlfn.IFS(AND($K68&gt;BB$7,$L68&gt;BB$7),0,AND($K68&lt;=BB$7,$L68&lt;=BB$7),1,AND($K68&lt;=BB$7,$L68&gt;BB$7),((BB$7-$K68)/($L68-$K68)))</f>
        <v>1</v>
      </c>
      <c r="BD68" s="201">
        <f t="array" ref="BD68">_xlfn.IFS(AND($K68&gt;BC$7,$L68&gt;BC$7),0,AND($K68&lt;=BC$7,$L68&lt;=BC$7),1,AND($K68&lt;=BC$7,$L68&gt;BC$7),((BC$7-$K68)/($L68-$K68)))</f>
        <v>1</v>
      </c>
      <c r="BE68" s="201">
        <f t="array" ref="BE68">_xlfn.IFS(AND($K68&gt;BD$7,$L68&gt;BD$7),0,AND($K68&lt;=BD$7,$L68&lt;=BD$7),1,AND($K68&lt;=BD$7,$L68&gt;BD$7),((BD$7-$K68)/($L68-$K68)))</f>
        <v>1</v>
      </c>
      <c r="BF68" s="201">
        <f t="array" ref="BF68">_xlfn.IFS(AND($K68&gt;BE$7,$L68&gt;BE$7),0,AND($K68&lt;=BE$7,$L68&lt;=BE$7),1,AND($K68&lt;=BE$7,$L68&gt;BE$7),((BE$7-$K68)/($L68-$K68)))</f>
        <v>1</v>
      </c>
      <c r="BG68" s="201">
        <f t="array" ref="BG68">_xlfn.IFS(AND($K68&gt;BF$7,$L68&gt;BF$7),0,AND($K68&lt;=BF$7,$L68&lt;=BF$7),1,AND($K68&lt;=BF$7,$L68&gt;BF$7),((BF$7-$K68)/($L68-$K68)))</f>
        <v>1</v>
      </c>
      <c r="BH68" s="201">
        <f t="array" ref="BH68">_xlfn.IFS(AND($K68&gt;BG$7,$L68&gt;BG$7),0,AND($K68&lt;=BG$7,$L68&lt;=BG$7),1,AND($K68&lt;=BG$7,$L68&gt;BG$7),((BG$7-$K68)/($L68-$K68)))</f>
        <v>1</v>
      </c>
      <c r="BI68" s="201">
        <f t="array" ref="BI68">_xlfn.IFS(AND($K68&gt;BH$7,$L68&gt;BH$7),0,AND($K68&lt;=BH$7,$L68&lt;=BH$7),1,AND($K68&lt;=BH$7,$L68&gt;BH$7),((BH$7-$K68)/($L68-$K68)))</f>
        <v>1</v>
      </c>
      <c r="BJ68" s="201">
        <f t="array" ref="BJ68">_xlfn.IFS(AND($K68&gt;BI$7,$L68&gt;BI$7),0,AND($K68&lt;=BI$7,$L68&lt;=BI$7),1,AND($K68&lt;=BI$7,$L68&gt;BI$7),((BI$7-$K68)/($L68-$K68)))</f>
        <v>1</v>
      </c>
      <c r="BK68" s="201">
        <f t="array" ref="BK68">_xlfn.IFS(AND($K68&gt;BJ$7,$L68&gt;BJ$7),0,AND($K68&lt;=BJ$7,$L68&lt;=BJ$7),1,AND($K68&lt;=BJ$7,$L68&gt;BJ$7),((BJ$7-$K68)/($L68-$K68)))</f>
        <v>1</v>
      </c>
      <c r="BL68" s="201">
        <f t="array" ref="BL68">_xlfn.IFS(AND($K68&gt;BK$7,$L68&gt;BK$7),0,AND($K68&lt;=BK$7,$L68&lt;=BK$7),1,AND($K68&lt;=BK$7,$L68&gt;BK$7),((BK$7-$K68)/($L68-$K68)))</f>
        <v>1</v>
      </c>
      <c r="BM68" s="201">
        <f t="array" ref="BM68">_xlfn.IFS(AND($K68&gt;BL$7,$L68&gt;BL$7),0,AND($K68&lt;=BL$7,$L68&lt;=BL$7),1,AND($K68&lt;=BL$7,$L68&gt;BL$7),((BL$7-$K68)/($L68-$K68)))</f>
        <v>1</v>
      </c>
      <c r="BN68" s="201">
        <f t="array" ref="BN68">_xlfn.IFS(AND($K68&gt;BM$7,$L68&gt;BM$7),0,AND($K68&lt;=BM$7,$L68&lt;=BM$7),1,AND($K68&lt;=BM$7,$L68&gt;BM$7),((BM$7-$K68)/($L68-$K68)))</f>
        <v>1</v>
      </c>
    </row>
    <row r="69" spans="2:66" s="163" customFormat="1" ht="23.55" customHeight="1" x14ac:dyDescent="0.3">
      <c r="B69" s="166" t="s">
        <v>161</v>
      </c>
      <c r="C69" s="166" t="s">
        <v>186</v>
      </c>
      <c r="D69" s="177"/>
      <c r="E69" s="170" t="str">
        <f t="shared" si="30"/>
        <v>Desenvolvimento da Transformação dos Processos</v>
      </c>
      <c r="F69" s="174" t="str">
        <f t="shared" si="33"/>
        <v>Diagnóstico de Maturidade do Processo</v>
      </c>
      <c r="G69" s="166" t="str">
        <f t="shared" si="36"/>
        <v>Diagnóstico de Maturidade do Processo</v>
      </c>
      <c r="H69" s="197" t="s">
        <v>187</v>
      </c>
      <c r="I69" s="166">
        <v>45929</v>
      </c>
      <c r="J69" s="166">
        <v>45933</v>
      </c>
      <c r="K69" s="166">
        <v>45929</v>
      </c>
      <c r="L69" s="166">
        <v>45933</v>
      </c>
      <c r="M69" s="167"/>
      <c r="N69" s="167" t="str">
        <f t="array" ref="N69">_xlfn.IFS(L69&lt;$M$3,"Concluído",AND(K69&gt;=$M$3,I69&lt;$M$3,L69&gt;$M$3),"Em andamento",AND(L69&gt;=$M$3,J69&lt;$M$3),"Atrasado",AND(L69&gt;=$M$3,J69&gt;=$M$3,I69&gt;$M$3,K69&lt;=$M$3),"Em andamento",AND(L69&gt;=$M$3,J69&gt;=$M$3,I69&lt;=$M$3,K69&lt;=$M$3),"Em andamento",AND(K69&gt;$M$3,I69&gt;$M$3),"Não iniciado",AND(L69&gt;=$M$3,J69&gt;=$M$3,K69&gt;=$M$3,I69&lt;$M$3),"Atrasado",AND(L69&gt;=$M$3,J69&gt;=$M$3,K69&gt;=$M$3,I69&gt;$M$3),"Não iniciado",AND($I69&lt;=$M$3,$K69&gt;$M$3),"Atrasado")</f>
        <v>Não iniciado</v>
      </c>
      <c r="O69" s="167">
        <f t="array" ref="O69">_xlfn.IFS(N69="Não iniciado",0,N69="Em andamento",1,N69="Concluído",2,N69="Atrasado",3)</f>
        <v>0</v>
      </c>
      <c r="P69" s="169"/>
      <c r="Q69" s="152">
        <f t="array" ref="Q69">_xlfn.IFS(AND($I69&lt;$M$3,$J69&lt;$M$3),1,AND($I69&lt;$M$3,$J69&gt;=$M$3),0.5,AND($I69&gt;=$M$3,$J69&gt;=$M$3),0)</f>
        <v>0</v>
      </c>
      <c r="R69" s="152">
        <f t="array" ref="R69">_xlfn.IFS(AND($K69&lt;$M$3,$L69&lt;$M$3),1,AND($K69&lt;=$M$3,$L69&gt;=$M$3),0.5,AND($K69&gt;=$M$3,$L69&gt;=$M$3),0)</f>
        <v>0</v>
      </c>
      <c r="S69" s="201">
        <f t="array" ref="S69">_xlfn.IFS(AND($K69&gt;R$7,$L69&gt;R$7),0,AND($K69&lt;=R$7,$L69&lt;=R$7),1,AND($K69&lt;=R$7,$L69&gt;R$7),((R$7-$K69)/($L69-$K69)))</f>
        <v>0</v>
      </c>
      <c r="T69" s="201">
        <f t="array" ref="T69">_xlfn.IFS(AND($K69&gt;S$7,$L69&gt;S$7),0,AND($K69&lt;=S$7,$L69&lt;=S$7),1,AND($K69&lt;=S$7,$L69&gt;S$7),((S$7-$K69)/($L69-$K69)))</f>
        <v>0</v>
      </c>
      <c r="U69" s="201">
        <f t="array" ref="U69">_xlfn.IFS(AND($K69&gt;T$7,$L69&gt;T$7),0,AND($K69&lt;=T$7,$L69&lt;=T$7),1,AND($K69&lt;=T$7,$L69&gt;T$7),((T$7-$K69)/($L69-$K69)))</f>
        <v>0</v>
      </c>
      <c r="V69" s="201">
        <f t="array" ref="V69">_xlfn.IFS(AND($K69&gt;U$7,$L69&gt;U$7),0,AND($K69&lt;=U$7,$L69&lt;=U$7),1,AND($K69&lt;=U$7,$L69&gt;U$7),((U$7-$K69)/($L69-$K69)))</f>
        <v>0</v>
      </c>
      <c r="W69" s="201">
        <f t="array" ref="W69">_xlfn.IFS(AND($K69&gt;V$7,$L69&gt;V$7),0,AND($K69&lt;=V$7,$L69&lt;=V$7),1,AND($K69&lt;=V$7,$L69&gt;V$7),((V$7-$K69)/($L69-$K69)))</f>
        <v>0</v>
      </c>
      <c r="X69" s="201">
        <f t="array" ref="X69">_xlfn.IFS(AND($K69&gt;W$7,$L69&gt;W$7),0,AND($K69&lt;=W$7,$L69&lt;=W$7),1,AND($K69&lt;=W$7,$L69&gt;W$7),((W$7-$K69)/($L69-$K69)))</f>
        <v>0</v>
      </c>
      <c r="Y69" s="201">
        <f t="array" ref="Y69">_xlfn.IFS(AND($K69&gt;X$7,$L69&gt;X$7),0,AND($K69&lt;=X$7,$L69&lt;=X$7),1,AND($K69&lt;=X$7,$L69&gt;X$7),((X$7-$K69)/($L69-$K69)))</f>
        <v>0</v>
      </c>
      <c r="Z69" s="201">
        <f t="array" ref="Z69">_xlfn.IFS(AND($K69&gt;Y$7,$L69&gt;Y$7),0,AND($K69&lt;=Y$7,$L69&lt;=Y$7),1,AND($K69&lt;=Y$7,$L69&gt;Y$7),((Y$7-$K69)/($L69-$K69)))</f>
        <v>0</v>
      </c>
      <c r="AA69" s="201">
        <f t="array" ref="AA69">_xlfn.IFS(AND($K69&gt;Z$7,$L69&gt;Z$7),0,AND($K69&lt;=Z$7,$L69&lt;=Z$7),1,AND($K69&lt;=Z$7,$L69&gt;Z$7),((Z$7-$K69)/($L69-$K69)))</f>
        <v>0</v>
      </c>
      <c r="AB69" s="201">
        <f t="array" ref="AB69">_xlfn.IFS(AND($K69&gt;AA$7,$L69&gt;AA$7),0,AND($K69&lt;=AA$7,$L69&lt;=AA$7),1,AND($K69&lt;=AA$7,$L69&gt;AA$7),((AA$7-$K69)/($L69-$K69)))</f>
        <v>0</v>
      </c>
      <c r="AC69" s="201">
        <f t="array" ref="AC69">_xlfn.IFS(AND($K69&gt;AB$7,$L69&gt;AB$7),0,AND($K69&lt;=AB$7,$L69&lt;=AB$7),1,AND($K69&lt;=AB$7,$L69&gt;AB$7),((AB$7-$K69)/($L69-$K69)))</f>
        <v>0</v>
      </c>
      <c r="AD69" s="201">
        <f t="array" ref="AD69">_xlfn.IFS(AND($K69&gt;AC$7,$L69&gt;AC$7),0,AND($K69&lt;=AC$7,$L69&lt;=AC$7),1,AND($K69&lt;=AC$7,$L69&gt;AC$7),((AC$7-$K69)/($L69-$K69)))</f>
        <v>0</v>
      </c>
      <c r="AE69" s="201">
        <f t="array" ref="AE69">_xlfn.IFS(AND($K69&gt;AD$7,$L69&gt;AD$7),0,AND($K69&lt;=AD$7,$L69&lt;=AD$7),1,AND($K69&lt;=AD$7,$L69&gt;AD$7),((AD$7-$K69)/($L69-$K69)))</f>
        <v>0</v>
      </c>
      <c r="AF69" s="201">
        <f t="array" ref="AF69">_xlfn.IFS(AND($K69&gt;AE$7,$L69&gt;AE$7),0,AND($K69&lt;=AE$7,$L69&lt;=AE$7),1,AND($K69&lt;=AE$7,$L69&gt;AE$7),((AE$7-$K69)/($L69-$K69)))</f>
        <v>0</v>
      </c>
      <c r="AG69" s="201">
        <f t="array" ref="AG69">_xlfn.IFS(AND($K69&gt;AF$7,$L69&gt;AF$7),0,AND($K69&lt;=AF$7,$L69&lt;=AF$7),1,AND($K69&lt;=AF$7,$L69&gt;AF$7),((AF$7-$K69)/($L69-$K69)))</f>
        <v>0</v>
      </c>
      <c r="AH69" s="201">
        <f t="array" ref="AH69">_xlfn.IFS(AND($K69&gt;AG$7,$L69&gt;AG$7),0,AND($K69&lt;=AG$7,$L69&lt;=AG$7),1,AND($K69&lt;=AG$7,$L69&gt;AG$7),((AG$7-$K69)/($L69-$K69)))</f>
        <v>0</v>
      </c>
      <c r="AI69" s="201">
        <f t="array" ref="AI69">_xlfn.IFS(AND($K69&gt;AH$7,$L69&gt;AH$7),0,AND($K69&lt;=AH$7,$L69&lt;=AH$7),1,AND($K69&lt;=AH$7,$L69&gt;AH$7),((AH$7-$K69)/($L69-$K69)))</f>
        <v>0</v>
      </c>
      <c r="AJ69" s="201">
        <f t="array" ref="AJ69">_xlfn.IFS(AND($K69&gt;AI$7,$L69&gt;AI$7),0,AND($K69&lt;=AI$7,$L69&lt;=AI$7),1,AND($K69&lt;=AI$7,$L69&gt;AI$7),((AI$7-$K69)/($L69-$K69)))</f>
        <v>0</v>
      </c>
      <c r="AK69" s="201">
        <f t="array" ref="AK69">_xlfn.IFS(AND($K69&gt;AJ$7,$L69&gt;AJ$7),0,AND($K69&lt;=AJ$7,$L69&lt;=AJ$7),1,AND($K69&lt;=AJ$7,$L69&gt;AJ$7),((AJ$7-$K69)/($L69-$K69)))</f>
        <v>0</v>
      </c>
      <c r="AL69" s="201">
        <f t="array" ref="AL69">_xlfn.IFS(AND($K69&gt;AK$7,$L69&gt;AK$7),0,AND($K69&lt;=AK$7,$L69&lt;=AK$7),1,AND($K69&lt;=AK$7,$L69&gt;AK$7),((AK$7-$K69)/($L69-$K69)))</f>
        <v>0</v>
      </c>
      <c r="AM69" s="201">
        <f t="array" ref="AM69">_xlfn.IFS(AND($K69&gt;AL$7,$L69&gt;AL$7),0,AND($K69&lt;=AL$7,$L69&lt;=AL$7),1,AND($K69&lt;=AL$7,$L69&gt;AL$7),((AL$7-$K69)/($L69-$K69)))</f>
        <v>0</v>
      </c>
      <c r="AN69" s="201">
        <f t="array" ref="AN69">_xlfn.IFS(AND($K69&gt;AM$7,$L69&gt;AM$7),0,AND($K69&lt;=AM$7,$L69&lt;=AM$7),1,AND($K69&lt;=AM$7,$L69&gt;AM$7),((AM$7-$K69)/($L69-$K69)))</f>
        <v>0</v>
      </c>
      <c r="AO69" s="201">
        <f t="array" ref="AO69">_xlfn.IFS(AND($K69&gt;AN$7,$L69&gt;AN$7),0,AND($K69&lt;=AN$7,$L69&lt;=AN$7),1,AND($K69&lt;=AN$7,$L69&gt;AN$7),((AN$7-$K69)/($L69-$K69)))</f>
        <v>0</v>
      </c>
      <c r="AP69" s="201">
        <f t="array" ref="AP69">_xlfn.IFS(AND($K69&gt;AO$7,$L69&gt;AO$7),0,AND($K69&lt;=AO$7,$L69&lt;=AO$7),1,AND($K69&lt;=AO$7,$L69&gt;AO$7),((AO$7-$K69)/($L69-$K69)))</f>
        <v>0</v>
      </c>
      <c r="AQ69" s="201">
        <f t="array" ref="AQ69">_xlfn.IFS(AND($K69&gt;AP$7,$L69&gt;AP$7),0,AND($K69&lt;=AP$7,$L69&lt;=AP$7),1,AND($K69&lt;=AP$7,$L69&gt;AP$7),((AP$7-$K69)/($L69-$K69)))</f>
        <v>0</v>
      </c>
      <c r="AR69" s="201">
        <f t="array" ref="AR69">_xlfn.IFS(AND($K69&gt;AQ$7,$L69&gt;AQ$7),0,AND($K69&lt;=AQ$7,$L69&lt;=AQ$7),1,AND($K69&lt;=AQ$7,$L69&gt;AQ$7),((AQ$7-$K69)/($L69-$K69)))</f>
        <v>0</v>
      </c>
      <c r="AS69" s="201">
        <f t="array" ref="AS69">_xlfn.IFS(AND($K69&gt;AR$7,$L69&gt;AR$7),0,AND($K69&lt;=AR$7,$L69&lt;=AR$7),1,AND($K69&lt;=AR$7,$L69&gt;AR$7),((AR$7-$K69)/($L69-$K69)))</f>
        <v>0</v>
      </c>
      <c r="AT69" s="201">
        <f t="array" ref="AT69">_xlfn.IFS(AND($K69&gt;AS$7,$L69&gt;AS$7),0,AND($K69&lt;=AS$7,$L69&lt;=AS$7),1,AND($K69&lt;=AS$7,$L69&gt;AS$7),((AS$7-$K69)/($L69-$K69)))</f>
        <v>0</v>
      </c>
      <c r="AU69" s="201">
        <f t="array" ref="AU69">_xlfn.IFS(AND($K69&gt;AT$7,$L69&gt;AT$7),0,AND($K69&lt;=AT$7,$L69&lt;=AT$7),1,AND($K69&lt;=AT$7,$L69&gt;AT$7),((AT$7-$K69)/($L69-$K69)))</f>
        <v>0</v>
      </c>
      <c r="AV69" s="201">
        <f t="array" ref="AV69">_xlfn.IFS(AND($K69&gt;AU$7,$L69&gt;AU$7),0,AND($K69&lt;=AU$7,$L69&lt;=AU$7),1,AND($K69&lt;=AU$7,$L69&gt;AU$7),((AU$7-$K69)/($L69-$K69)))</f>
        <v>0</v>
      </c>
      <c r="AW69" s="201">
        <f t="array" ref="AW69">_xlfn.IFS(AND($K69&gt;AV$7,$L69&gt;AV$7),0,AND($K69&lt;=AV$7,$L69&lt;=AV$7),1,AND($K69&lt;=AV$7,$L69&gt;AV$7),((AV$7-$K69)/($L69-$K69)))</f>
        <v>0</v>
      </c>
      <c r="AX69" s="201">
        <f t="array" ref="AX69">_xlfn.IFS(AND($K69&gt;AW$7,$L69&gt;AW$7),0,AND($K69&lt;=AW$7,$L69&lt;=AW$7),1,AND($K69&lt;=AW$7,$L69&gt;AW$7),((AW$7-$K69)/($L69-$K69)))</f>
        <v>0</v>
      </c>
      <c r="AY69" s="201">
        <f t="array" ref="AY69">_xlfn.IFS(AND($K69&gt;AX$7,$L69&gt;AX$7),0,AND($K69&lt;=AX$7,$L69&lt;=AX$7),1,AND($K69&lt;=AX$7,$L69&gt;AX$7),((AX$7-$K69)/($L69-$K69)))</f>
        <v>0</v>
      </c>
      <c r="AZ69" s="201">
        <f t="array" ref="AZ69">_xlfn.IFS(AND($K69&gt;AY$7,$L69&gt;AY$7),0,AND($K69&lt;=AY$7,$L69&lt;=AY$7),1,AND($K69&lt;=AY$7,$L69&gt;AY$7),((AY$7-$K69)/($L69-$K69)))</f>
        <v>0</v>
      </c>
      <c r="BA69" s="201">
        <f t="array" ref="BA69">_xlfn.IFS(AND($K69&gt;AZ$7,$L69&gt;AZ$7),0,AND($K69&lt;=AZ$7,$L69&lt;=AZ$7),1,AND($K69&lt;=AZ$7,$L69&gt;AZ$7),((AZ$7-$K69)/($L69-$K69)))</f>
        <v>0</v>
      </c>
      <c r="BB69" s="201">
        <f t="array" ref="BB69">_xlfn.IFS(AND($K69&gt;BA$7,$L69&gt;BA$7),0,AND($K69&lt;=BA$7,$L69&lt;=BA$7),1,AND($K69&lt;=BA$7,$L69&gt;BA$7),((BA$7-$K69)/($L69-$K69)))</f>
        <v>1</v>
      </c>
      <c r="BC69" s="201">
        <f t="array" ref="BC69">_xlfn.IFS(AND($K69&gt;BB$7,$L69&gt;BB$7),0,AND($K69&lt;=BB$7,$L69&lt;=BB$7),1,AND($K69&lt;=BB$7,$L69&gt;BB$7),((BB$7-$K69)/($L69-$K69)))</f>
        <v>1</v>
      </c>
      <c r="BD69" s="201">
        <f t="array" ref="BD69">_xlfn.IFS(AND($K69&gt;BC$7,$L69&gt;BC$7),0,AND($K69&lt;=BC$7,$L69&lt;=BC$7),1,AND($K69&lt;=BC$7,$L69&gt;BC$7),((BC$7-$K69)/($L69-$K69)))</f>
        <v>1</v>
      </c>
      <c r="BE69" s="201">
        <f t="array" ref="BE69">_xlfn.IFS(AND($K69&gt;BD$7,$L69&gt;BD$7),0,AND($K69&lt;=BD$7,$L69&lt;=BD$7),1,AND($K69&lt;=BD$7,$L69&gt;BD$7),((BD$7-$K69)/($L69-$K69)))</f>
        <v>1</v>
      </c>
      <c r="BF69" s="201">
        <f t="array" ref="BF69">_xlfn.IFS(AND($K69&gt;BE$7,$L69&gt;BE$7),0,AND($K69&lt;=BE$7,$L69&lt;=BE$7),1,AND($K69&lt;=BE$7,$L69&gt;BE$7),((BE$7-$K69)/($L69-$K69)))</f>
        <v>1</v>
      </c>
      <c r="BG69" s="201">
        <f t="array" ref="BG69">_xlfn.IFS(AND($K69&gt;BF$7,$L69&gt;BF$7),0,AND($K69&lt;=BF$7,$L69&lt;=BF$7),1,AND($K69&lt;=BF$7,$L69&gt;BF$7),((BF$7-$K69)/($L69-$K69)))</f>
        <v>1</v>
      </c>
      <c r="BH69" s="201">
        <f t="array" ref="BH69">_xlfn.IFS(AND($K69&gt;BG$7,$L69&gt;BG$7),0,AND($K69&lt;=BG$7,$L69&lt;=BG$7),1,AND($K69&lt;=BG$7,$L69&gt;BG$7),((BG$7-$K69)/($L69-$K69)))</f>
        <v>1</v>
      </c>
      <c r="BI69" s="201">
        <f t="array" ref="BI69">_xlfn.IFS(AND($K69&gt;BH$7,$L69&gt;BH$7),0,AND($K69&lt;=BH$7,$L69&lt;=BH$7),1,AND($K69&lt;=BH$7,$L69&gt;BH$7),((BH$7-$K69)/($L69-$K69)))</f>
        <v>1</v>
      </c>
      <c r="BJ69" s="201">
        <f t="array" ref="BJ69">_xlfn.IFS(AND($K69&gt;BI$7,$L69&gt;BI$7),0,AND($K69&lt;=BI$7,$L69&lt;=BI$7),1,AND($K69&lt;=BI$7,$L69&gt;BI$7),((BI$7-$K69)/($L69-$K69)))</f>
        <v>1</v>
      </c>
      <c r="BK69" s="201">
        <f t="array" ref="BK69">_xlfn.IFS(AND($K69&gt;BJ$7,$L69&gt;BJ$7),0,AND($K69&lt;=BJ$7,$L69&lt;=BJ$7),1,AND($K69&lt;=BJ$7,$L69&gt;BJ$7),((BJ$7-$K69)/($L69-$K69)))</f>
        <v>1</v>
      </c>
      <c r="BL69" s="201">
        <f t="array" ref="BL69">_xlfn.IFS(AND($K69&gt;BK$7,$L69&gt;BK$7),0,AND($K69&lt;=BK$7,$L69&lt;=BK$7),1,AND($K69&lt;=BK$7,$L69&gt;BK$7),((BK$7-$K69)/($L69-$K69)))</f>
        <v>1</v>
      </c>
      <c r="BM69" s="201">
        <f t="array" ref="BM69">_xlfn.IFS(AND($K69&gt;BL$7,$L69&gt;BL$7),0,AND($K69&lt;=BL$7,$L69&lt;=BL$7),1,AND($K69&lt;=BL$7,$L69&gt;BL$7),((BL$7-$K69)/($L69-$K69)))</f>
        <v>1</v>
      </c>
      <c r="BN69" s="201">
        <f t="array" ref="BN69">_xlfn.IFS(AND($K69&gt;BM$7,$L69&gt;BM$7),0,AND($K69&lt;=BM$7,$L69&lt;=BM$7),1,AND($K69&lt;=BM$7,$L69&gt;BM$7),((BM$7-$K69)/($L69-$K69)))</f>
        <v>1</v>
      </c>
    </row>
    <row r="70" spans="2:66" s="163" customFormat="1" ht="23.55" customHeight="1" x14ac:dyDescent="0.3">
      <c r="B70" s="166" t="s">
        <v>161</v>
      </c>
      <c r="C70" s="166" t="s">
        <v>188</v>
      </c>
      <c r="D70" s="177"/>
      <c r="E70" s="170" t="str">
        <f t="shared" si="30"/>
        <v>Desenvolvimento da Transformação dos Processos</v>
      </c>
      <c r="F70" s="174" t="str">
        <f t="shared" si="33"/>
        <v>Diagnóstico de Maturidade do Processo</v>
      </c>
      <c r="G70" s="166" t="str">
        <f t="shared" si="36"/>
        <v>Diagnóstico de Maturidade do Processo</v>
      </c>
      <c r="H70" s="197" t="s">
        <v>189</v>
      </c>
      <c r="I70" s="166">
        <v>45957</v>
      </c>
      <c r="J70" s="166">
        <v>45961</v>
      </c>
      <c r="K70" s="166">
        <v>45957</v>
      </c>
      <c r="L70" s="166">
        <v>45961</v>
      </c>
      <c r="M70" s="167"/>
      <c r="N70" s="167" t="str">
        <f t="array" ref="N70">_xlfn.IFS(L70&lt;$M$3,"Concluído",AND(K70&gt;=$M$3,I70&lt;$M$3,L70&gt;$M$3),"Em andamento",AND(L70&gt;=$M$3,J70&lt;$M$3),"Atrasado",AND(L70&gt;=$M$3,J70&gt;=$M$3,I70&gt;$M$3,K70&lt;=$M$3),"Em andamento",AND(L70&gt;=$M$3,J70&gt;=$M$3,I70&lt;=$M$3,K70&lt;=$M$3),"Em andamento",AND(K70&gt;$M$3,I70&gt;$M$3),"Não iniciado",AND(L70&gt;=$M$3,J70&gt;=$M$3,K70&gt;=$M$3,I70&lt;$M$3),"Atrasado",AND(L70&gt;=$M$3,J70&gt;=$M$3,K70&gt;=$M$3,I70&gt;$M$3),"Não iniciado",AND($I70&lt;=$M$3,$K70&gt;$M$3),"Atrasado")</f>
        <v>Não iniciado</v>
      </c>
      <c r="O70" s="167">
        <f t="array" ref="O70">_xlfn.IFS(N70="Não iniciado",0,N70="Em andamento",1,N70="Concluído",2,N70="Atrasado",3)</f>
        <v>0</v>
      </c>
      <c r="P70" s="169"/>
      <c r="Q70" s="152">
        <f t="array" ref="Q70">_xlfn.IFS(AND($I70&lt;$M$3,$J70&lt;$M$3),1,AND($I70&lt;$M$3,$J70&gt;=$M$3),0.5,AND($I70&gt;=$M$3,$J70&gt;=$M$3),0)</f>
        <v>0</v>
      </c>
      <c r="R70" s="152">
        <f t="array" ref="R70">_xlfn.IFS(AND($K70&lt;$M$3,$L70&lt;$M$3),1,AND($K70&lt;=$M$3,$L70&gt;=$M$3),0.5,AND($K70&gt;=$M$3,$L70&gt;=$M$3),0)</f>
        <v>0</v>
      </c>
      <c r="S70" s="201">
        <f t="array" ref="S70">_xlfn.IFS(AND($K70&gt;R$7,$L70&gt;R$7),0,AND($K70&lt;=R$7,$L70&lt;=R$7),1,AND($K70&lt;=R$7,$L70&gt;R$7),((R$7-$K70)/($L70-$K70)))</f>
        <v>0</v>
      </c>
      <c r="T70" s="201">
        <f t="array" ref="T70">_xlfn.IFS(AND($K70&gt;S$7,$L70&gt;S$7),0,AND($K70&lt;=S$7,$L70&lt;=S$7),1,AND($K70&lt;=S$7,$L70&gt;S$7),((S$7-$K70)/($L70-$K70)))</f>
        <v>0</v>
      </c>
      <c r="U70" s="201">
        <f t="array" ref="U70">_xlfn.IFS(AND($K70&gt;T$7,$L70&gt;T$7),0,AND($K70&lt;=T$7,$L70&lt;=T$7),1,AND($K70&lt;=T$7,$L70&gt;T$7),((T$7-$K70)/($L70-$K70)))</f>
        <v>0</v>
      </c>
      <c r="V70" s="201">
        <f t="array" ref="V70">_xlfn.IFS(AND($K70&gt;U$7,$L70&gt;U$7),0,AND($K70&lt;=U$7,$L70&lt;=U$7),1,AND($K70&lt;=U$7,$L70&gt;U$7),((U$7-$K70)/($L70-$K70)))</f>
        <v>0</v>
      </c>
      <c r="W70" s="201">
        <f t="array" ref="W70">_xlfn.IFS(AND($K70&gt;V$7,$L70&gt;V$7),0,AND($K70&lt;=V$7,$L70&lt;=V$7),1,AND($K70&lt;=V$7,$L70&gt;V$7),((V$7-$K70)/($L70-$K70)))</f>
        <v>0</v>
      </c>
      <c r="X70" s="201">
        <f t="array" ref="X70">_xlfn.IFS(AND($K70&gt;W$7,$L70&gt;W$7),0,AND($K70&lt;=W$7,$L70&lt;=W$7),1,AND($K70&lt;=W$7,$L70&gt;W$7),((W$7-$K70)/($L70-$K70)))</f>
        <v>0</v>
      </c>
      <c r="Y70" s="201">
        <f t="array" ref="Y70">_xlfn.IFS(AND($K70&gt;X$7,$L70&gt;X$7),0,AND($K70&lt;=X$7,$L70&lt;=X$7),1,AND($K70&lt;=X$7,$L70&gt;X$7),((X$7-$K70)/($L70-$K70)))</f>
        <v>0</v>
      </c>
      <c r="Z70" s="201">
        <f t="array" ref="Z70">_xlfn.IFS(AND($K70&gt;Y$7,$L70&gt;Y$7),0,AND($K70&lt;=Y$7,$L70&lt;=Y$7),1,AND($K70&lt;=Y$7,$L70&gt;Y$7),((Y$7-$K70)/($L70-$K70)))</f>
        <v>0</v>
      </c>
      <c r="AA70" s="201">
        <f t="array" ref="AA70">_xlfn.IFS(AND($K70&gt;Z$7,$L70&gt;Z$7),0,AND($K70&lt;=Z$7,$L70&lt;=Z$7),1,AND($K70&lt;=Z$7,$L70&gt;Z$7),((Z$7-$K70)/($L70-$K70)))</f>
        <v>0</v>
      </c>
      <c r="AB70" s="201">
        <f t="array" ref="AB70">_xlfn.IFS(AND($K70&gt;AA$7,$L70&gt;AA$7),0,AND($K70&lt;=AA$7,$L70&lt;=AA$7),1,AND($K70&lt;=AA$7,$L70&gt;AA$7),((AA$7-$K70)/($L70-$K70)))</f>
        <v>0</v>
      </c>
      <c r="AC70" s="201">
        <f t="array" ref="AC70">_xlfn.IFS(AND($K70&gt;AB$7,$L70&gt;AB$7),0,AND($K70&lt;=AB$7,$L70&lt;=AB$7),1,AND($K70&lt;=AB$7,$L70&gt;AB$7),((AB$7-$K70)/($L70-$K70)))</f>
        <v>0</v>
      </c>
      <c r="AD70" s="201">
        <f t="array" ref="AD70">_xlfn.IFS(AND($K70&gt;AC$7,$L70&gt;AC$7),0,AND($K70&lt;=AC$7,$L70&lt;=AC$7),1,AND($K70&lt;=AC$7,$L70&gt;AC$7),((AC$7-$K70)/($L70-$K70)))</f>
        <v>0</v>
      </c>
      <c r="AE70" s="201">
        <f t="array" ref="AE70">_xlfn.IFS(AND($K70&gt;AD$7,$L70&gt;AD$7),0,AND($K70&lt;=AD$7,$L70&lt;=AD$7),1,AND($K70&lt;=AD$7,$L70&gt;AD$7),((AD$7-$K70)/($L70-$K70)))</f>
        <v>0</v>
      </c>
      <c r="AF70" s="201">
        <f t="array" ref="AF70">_xlfn.IFS(AND($K70&gt;AE$7,$L70&gt;AE$7),0,AND($K70&lt;=AE$7,$L70&lt;=AE$7),1,AND($K70&lt;=AE$7,$L70&gt;AE$7),((AE$7-$K70)/($L70-$K70)))</f>
        <v>0</v>
      </c>
      <c r="AG70" s="201">
        <f t="array" ref="AG70">_xlfn.IFS(AND($K70&gt;AF$7,$L70&gt;AF$7),0,AND($K70&lt;=AF$7,$L70&lt;=AF$7),1,AND($K70&lt;=AF$7,$L70&gt;AF$7),((AF$7-$K70)/($L70-$K70)))</f>
        <v>0</v>
      </c>
      <c r="AH70" s="201">
        <f t="array" ref="AH70">_xlfn.IFS(AND($K70&gt;AG$7,$L70&gt;AG$7),0,AND($K70&lt;=AG$7,$L70&lt;=AG$7),1,AND($K70&lt;=AG$7,$L70&gt;AG$7),((AG$7-$K70)/($L70-$K70)))</f>
        <v>0</v>
      </c>
      <c r="AI70" s="201">
        <f t="array" ref="AI70">_xlfn.IFS(AND($K70&gt;AH$7,$L70&gt;AH$7),0,AND($K70&lt;=AH$7,$L70&lt;=AH$7),1,AND($K70&lt;=AH$7,$L70&gt;AH$7),((AH$7-$K70)/($L70-$K70)))</f>
        <v>0</v>
      </c>
      <c r="AJ70" s="201">
        <f t="array" ref="AJ70">_xlfn.IFS(AND($K70&gt;AI$7,$L70&gt;AI$7),0,AND($K70&lt;=AI$7,$L70&lt;=AI$7),1,AND($K70&lt;=AI$7,$L70&gt;AI$7),((AI$7-$K70)/($L70-$K70)))</f>
        <v>0</v>
      </c>
      <c r="AK70" s="201">
        <f t="array" ref="AK70">_xlfn.IFS(AND($K70&gt;AJ$7,$L70&gt;AJ$7),0,AND($K70&lt;=AJ$7,$L70&lt;=AJ$7),1,AND($K70&lt;=AJ$7,$L70&gt;AJ$7),((AJ$7-$K70)/($L70-$K70)))</f>
        <v>0</v>
      </c>
      <c r="AL70" s="201">
        <f t="array" ref="AL70">_xlfn.IFS(AND($K70&gt;AK$7,$L70&gt;AK$7),0,AND($K70&lt;=AK$7,$L70&lt;=AK$7),1,AND($K70&lt;=AK$7,$L70&gt;AK$7),((AK$7-$K70)/($L70-$K70)))</f>
        <v>0</v>
      </c>
      <c r="AM70" s="201">
        <f t="array" ref="AM70">_xlfn.IFS(AND($K70&gt;AL$7,$L70&gt;AL$7),0,AND($K70&lt;=AL$7,$L70&lt;=AL$7),1,AND($K70&lt;=AL$7,$L70&gt;AL$7),((AL$7-$K70)/($L70-$K70)))</f>
        <v>0</v>
      </c>
      <c r="AN70" s="201">
        <f t="array" ref="AN70">_xlfn.IFS(AND($K70&gt;AM$7,$L70&gt;AM$7),0,AND($K70&lt;=AM$7,$L70&lt;=AM$7),1,AND($K70&lt;=AM$7,$L70&gt;AM$7),((AM$7-$K70)/($L70-$K70)))</f>
        <v>0</v>
      </c>
      <c r="AO70" s="201">
        <f t="array" ref="AO70">_xlfn.IFS(AND($K70&gt;AN$7,$L70&gt;AN$7),0,AND($K70&lt;=AN$7,$L70&lt;=AN$7),1,AND($K70&lt;=AN$7,$L70&gt;AN$7),((AN$7-$K70)/($L70-$K70)))</f>
        <v>0</v>
      </c>
      <c r="AP70" s="201">
        <f t="array" ref="AP70">_xlfn.IFS(AND($K70&gt;AO$7,$L70&gt;AO$7),0,AND($K70&lt;=AO$7,$L70&lt;=AO$7),1,AND($K70&lt;=AO$7,$L70&gt;AO$7),((AO$7-$K70)/($L70-$K70)))</f>
        <v>0</v>
      </c>
      <c r="AQ70" s="201">
        <f t="array" ref="AQ70">_xlfn.IFS(AND($K70&gt;AP$7,$L70&gt;AP$7),0,AND($K70&lt;=AP$7,$L70&lt;=AP$7),1,AND($K70&lt;=AP$7,$L70&gt;AP$7),((AP$7-$K70)/($L70-$K70)))</f>
        <v>0</v>
      </c>
      <c r="AR70" s="201">
        <f t="array" ref="AR70">_xlfn.IFS(AND($K70&gt;AQ$7,$L70&gt;AQ$7),0,AND($K70&lt;=AQ$7,$L70&lt;=AQ$7),1,AND($K70&lt;=AQ$7,$L70&gt;AQ$7),((AQ$7-$K70)/($L70-$K70)))</f>
        <v>0</v>
      </c>
      <c r="AS70" s="201">
        <f t="array" ref="AS70">_xlfn.IFS(AND($K70&gt;AR$7,$L70&gt;AR$7),0,AND($K70&lt;=AR$7,$L70&lt;=AR$7),1,AND($K70&lt;=AR$7,$L70&gt;AR$7),((AR$7-$K70)/($L70-$K70)))</f>
        <v>0</v>
      </c>
      <c r="AT70" s="201">
        <f t="array" ref="AT70">_xlfn.IFS(AND($K70&gt;AS$7,$L70&gt;AS$7),0,AND($K70&lt;=AS$7,$L70&lt;=AS$7),1,AND($K70&lt;=AS$7,$L70&gt;AS$7),((AS$7-$K70)/($L70-$K70)))</f>
        <v>0</v>
      </c>
      <c r="AU70" s="201">
        <f t="array" ref="AU70">_xlfn.IFS(AND($K70&gt;AT$7,$L70&gt;AT$7),0,AND($K70&lt;=AT$7,$L70&lt;=AT$7),1,AND($K70&lt;=AT$7,$L70&gt;AT$7),((AT$7-$K70)/($L70-$K70)))</f>
        <v>0</v>
      </c>
      <c r="AV70" s="201">
        <f t="array" ref="AV70">_xlfn.IFS(AND($K70&gt;AU$7,$L70&gt;AU$7),0,AND($K70&lt;=AU$7,$L70&lt;=AU$7),1,AND($K70&lt;=AU$7,$L70&gt;AU$7),((AU$7-$K70)/($L70-$K70)))</f>
        <v>0</v>
      </c>
      <c r="AW70" s="201">
        <f t="array" ref="AW70">_xlfn.IFS(AND($K70&gt;AV$7,$L70&gt;AV$7),0,AND($K70&lt;=AV$7,$L70&lt;=AV$7),1,AND($K70&lt;=AV$7,$L70&gt;AV$7),((AV$7-$K70)/($L70-$K70)))</f>
        <v>0</v>
      </c>
      <c r="AX70" s="201">
        <f t="array" ref="AX70">_xlfn.IFS(AND($K70&gt;AW$7,$L70&gt;AW$7),0,AND($K70&lt;=AW$7,$L70&lt;=AW$7),1,AND($K70&lt;=AW$7,$L70&gt;AW$7),((AW$7-$K70)/($L70-$K70)))</f>
        <v>0</v>
      </c>
      <c r="AY70" s="201">
        <f t="array" ref="AY70">_xlfn.IFS(AND($K70&gt;AX$7,$L70&gt;AX$7),0,AND($K70&lt;=AX$7,$L70&lt;=AX$7),1,AND($K70&lt;=AX$7,$L70&gt;AX$7),((AX$7-$K70)/($L70-$K70)))</f>
        <v>0</v>
      </c>
      <c r="AZ70" s="201">
        <f t="array" ref="AZ70">_xlfn.IFS(AND($K70&gt;AY$7,$L70&gt;AY$7),0,AND($K70&lt;=AY$7,$L70&lt;=AY$7),1,AND($K70&lt;=AY$7,$L70&gt;AY$7),((AY$7-$K70)/($L70-$K70)))</f>
        <v>0</v>
      </c>
      <c r="BA70" s="201">
        <f t="array" ref="BA70">_xlfn.IFS(AND($K70&gt;AZ$7,$L70&gt;AZ$7),0,AND($K70&lt;=AZ$7,$L70&lt;=AZ$7),1,AND($K70&lt;=AZ$7,$L70&gt;AZ$7),((AZ$7-$K70)/($L70-$K70)))</f>
        <v>0</v>
      </c>
      <c r="BB70" s="201">
        <f t="array" ref="BB70">_xlfn.IFS(AND($K70&gt;BA$7,$L70&gt;BA$7),0,AND($K70&lt;=BA$7,$L70&lt;=BA$7),1,AND($K70&lt;=BA$7,$L70&gt;BA$7),((BA$7-$K70)/($L70-$K70)))</f>
        <v>0</v>
      </c>
      <c r="BC70" s="201">
        <f t="array" ref="BC70">_xlfn.IFS(AND($K70&gt;BB$7,$L70&gt;BB$7),0,AND($K70&lt;=BB$7,$L70&lt;=BB$7),1,AND($K70&lt;=BB$7,$L70&gt;BB$7),((BB$7-$K70)/($L70-$K70)))</f>
        <v>0</v>
      </c>
      <c r="BD70" s="201">
        <f t="array" ref="BD70">_xlfn.IFS(AND($K70&gt;BC$7,$L70&gt;BC$7),0,AND($K70&lt;=BC$7,$L70&lt;=BC$7),1,AND($K70&lt;=BC$7,$L70&gt;BC$7),((BC$7-$K70)/($L70-$K70)))</f>
        <v>0</v>
      </c>
      <c r="BE70" s="201">
        <f t="array" ref="BE70">_xlfn.IFS(AND($K70&gt;BD$7,$L70&gt;BD$7),0,AND($K70&lt;=BD$7,$L70&lt;=BD$7),1,AND($K70&lt;=BD$7,$L70&gt;BD$7),((BD$7-$K70)/($L70-$K70)))</f>
        <v>0</v>
      </c>
      <c r="BF70" s="201">
        <f t="array" ref="BF70">_xlfn.IFS(AND($K70&gt;BE$7,$L70&gt;BE$7),0,AND($K70&lt;=BE$7,$L70&lt;=BE$7),1,AND($K70&lt;=BE$7,$L70&gt;BE$7),((BE$7-$K70)/($L70-$K70)))</f>
        <v>1</v>
      </c>
      <c r="BG70" s="201">
        <f t="array" ref="BG70">_xlfn.IFS(AND($K70&gt;BF$7,$L70&gt;BF$7),0,AND($K70&lt;=BF$7,$L70&lt;=BF$7),1,AND($K70&lt;=BF$7,$L70&gt;BF$7),((BF$7-$K70)/($L70-$K70)))</f>
        <v>1</v>
      </c>
      <c r="BH70" s="201">
        <f t="array" ref="BH70">_xlfn.IFS(AND($K70&gt;BG$7,$L70&gt;BG$7),0,AND($K70&lt;=BG$7,$L70&lt;=BG$7),1,AND($K70&lt;=BG$7,$L70&gt;BG$7),((BG$7-$K70)/($L70-$K70)))</f>
        <v>1</v>
      </c>
      <c r="BI70" s="201">
        <f t="array" ref="BI70">_xlfn.IFS(AND($K70&gt;BH$7,$L70&gt;BH$7),0,AND($K70&lt;=BH$7,$L70&lt;=BH$7),1,AND($K70&lt;=BH$7,$L70&gt;BH$7),((BH$7-$K70)/($L70-$K70)))</f>
        <v>1</v>
      </c>
      <c r="BJ70" s="201">
        <f t="array" ref="BJ70">_xlfn.IFS(AND($K70&gt;BI$7,$L70&gt;BI$7),0,AND($K70&lt;=BI$7,$L70&lt;=BI$7),1,AND($K70&lt;=BI$7,$L70&gt;BI$7),((BI$7-$K70)/($L70-$K70)))</f>
        <v>1</v>
      </c>
      <c r="BK70" s="201">
        <f t="array" ref="BK70">_xlfn.IFS(AND($K70&gt;BJ$7,$L70&gt;BJ$7),0,AND($K70&lt;=BJ$7,$L70&lt;=BJ$7),1,AND($K70&lt;=BJ$7,$L70&gt;BJ$7),((BJ$7-$K70)/($L70-$K70)))</f>
        <v>1</v>
      </c>
      <c r="BL70" s="201">
        <f t="array" ref="BL70">_xlfn.IFS(AND($K70&gt;BK$7,$L70&gt;BK$7),0,AND($K70&lt;=BK$7,$L70&lt;=BK$7),1,AND($K70&lt;=BK$7,$L70&gt;BK$7),((BK$7-$K70)/($L70-$K70)))</f>
        <v>1</v>
      </c>
      <c r="BM70" s="201">
        <f t="array" ref="BM70">_xlfn.IFS(AND($K70&gt;BL$7,$L70&gt;BL$7),0,AND($K70&lt;=BL$7,$L70&lt;=BL$7),1,AND($K70&lt;=BL$7,$L70&gt;BL$7),((BL$7-$K70)/($L70-$K70)))</f>
        <v>1</v>
      </c>
      <c r="BN70" s="201">
        <f t="array" ref="BN70">_xlfn.IFS(AND($K70&gt;BM$7,$L70&gt;BM$7),0,AND($K70&lt;=BM$7,$L70&lt;=BM$7),1,AND($K70&lt;=BM$7,$L70&gt;BM$7),((BM$7-$K70)/($L70-$K70)))</f>
        <v>1</v>
      </c>
    </row>
    <row r="71" spans="2:66" s="163" customFormat="1" ht="23.55" customHeight="1" x14ac:dyDescent="0.3">
      <c r="B71" s="166" t="s">
        <v>161</v>
      </c>
      <c r="C71" s="166" t="s">
        <v>190</v>
      </c>
      <c r="D71" s="177"/>
      <c r="E71" s="170" t="str">
        <f t="shared" si="30"/>
        <v>Desenvolvimento da Transformação dos Processos</v>
      </c>
      <c r="F71" s="174" t="str">
        <f t="shared" si="33"/>
        <v>Diagnóstico de Maturidade do Processo</v>
      </c>
      <c r="G71" s="166" t="str">
        <f t="shared" si="36"/>
        <v>Diagnóstico de Maturidade do Processo</v>
      </c>
      <c r="H71" s="197" t="s">
        <v>191</v>
      </c>
      <c r="I71" s="166">
        <v>45957</v>
      </c>
      <c r="J71" s="166">
        <v>45961</v>
      </c>
      <c r="K71" s="166">
        <v>45957</v>
      </c>
      <c r="L71" s="166">
        <v>45961</v>
      </c>
      <c r="M71" s="167"/>
      <c r="N71" s="167" t="str">
        <f t="array" ref="N71">_xlfn.IFS(L71&lt;$M$3,"Concluído",AND(K71&gt;=$M$3,I71&lt;$M$3,L71&gt;$M$3),"Em andamento",AND(L71&gt;=$M$3,J71&lt;$M$3),"Atrasado",AND(L71&gt;=$M$3,J71&gt;=$M$3,I71&gt;$M$3,K71&lt;=$M$3),"Em andamento",AND(L71&gt;=$M$3,J71&gt;=$M$3,I71&lt;=$M$3,K71&lt;=$M$3),"Em andamento",AND(K71&gt;$M$3,I71&gt;$M$3),"Não iniciado",AND(L71&gt;=$M$3,J71&gt;=$M$3,K71&gt;=$M$3,I71&lt;$M$3),"Atrasado",AND(L71&gt;=$M$3,J71&gt;=$M$3,K71&gt;=$M$3,I71&gt;$M$3),"Não iniciado",AND($I71&lt;=$M$3,$K71&gt;$M$3),"Atrasado")</f>
        <v>Não iniciado</v>
      </c>
      <c r="O71" s="167">
        <f t="array" ref="O71">_xlfn.IFS(N71="Não iniciado",0,N71="Em andamento",1,N71="Concluído",2,N71="Atrasado",3)</f>
        <v>0</v>
      </c>
      <c r="P71" s="169"/>
      <c r="Q71" s="152">
        <f t="array" ref="Q71">_xlfn.IFS(AND($I71&lt;$M$3,$J71&lt;$M$3),1,AND($I71&lt;$M$3,$J71&gt;=$M$3),0.5,AND($I71&gt;=$M$3,$J71&gt;=$M$3),0)</f>
        <v>0</v>
      </c>
      <c r="R71" s="152">
        <f t="array" ref="R71">_xlfn.IFS(AND($K71&lt;$M$3,$L71&lt;$M$3),1,AND($K71&lt;=$M$3,$L71&gt;=$M$3),0.5,AND($K71&gt;=$M$3,$L71&gt;=$M$3),0)</f>
        <v>0</v>
      </c>
      <c r="S71" s="201">
        <f t="array" ref="S71">_xlfn.IFS(AND($K71&gt;R$7,$L71&gt;R$7),0,AND($K71&lt;=R$7,$L71&lt;=R$7),1,AND($K71&lt;=R$7,$L71&gt;R$7),((R$7-$K71)/($L71-$K71)))</f>
        <v>0</v>
      </c>
      <c r="T71" s="201">
        <f t="array" ref="T71">_xlfn.IFS(AND($K71&gt;S$7,$L71&gt;S$7),0,AND($K71&lt;=S$7,$L71&lt;=S$7),1,AND($K71&lt;=S$7,$L71&gt;S$7),((S$7-$K71)/($L71-$K71)))</f>
        <v>0</v>
      </c>
      <c r="U71" s="201">
        <f t="array" ref="U71">_xlfn.IFS(AND($K71&gt;T$7,$L71&gt;T$7),0,AND($K71&lt;=T$7,$L71&lt;=T$7),1,AND($K71&lt;=T$7,$L71&gt;T$7),((T$7-$K71)/($L71-$K71)))</f>
        <v>0</v>
      </c>
      <c r="V71" s="201">
        <f t="array" ref="V71">_xlfn.IFS(AND($K71&gt;U$7,$L71&gt;U$7),0,AND($K71&lt;=U$7,$L71&lt;=U$7),1,AND($K71&lt;=U$7,$L71&gt;U$7),((U$7-$K71)/($L71-$K71)))</f>
        <v>0</v>
      </c>
      <c r="W71" s="201">
        <f t="array" ref="W71">_xlfn.IFS(AND($K71&gt;V$7,$L71&gt;V$7),0,AND($K71&lt;=V$7,$L71&lt;=V$7),1,AND($K71&lt;=V$7,$L71&gt;V$7),((V$7-$K71)/($L71-$K71)))</f>
        <v>0</v>
      </c>
      <c r="X71" s="201">
        <f t="array" ref="X71">_xlfn.IFS(AND($K71&gt;W$7,$L71&gt;W$7),0,AND($K71&lt;=W$7,$L71&lt;=W$7),1,AND($K71&lt;=W$7,$L71&gt;W$7),((W$7-$K71)/($L71-$K71)))</f>
        <v>0</v>
      </c>
      <c r="Y71" s="201">
        <f t="array" ref="Y71">_xlfn.IFS(AND($K71&gt;X$7,$L71&gt;X$7),0,AND($K71&lt;=X$7,$L71&lt;=X$7),1,AND($K71&lt;=X$7,$L71&gt;X$7),((X$7-$K71)/($L71-$K71)))</f>
        <v>0</v>
      </c>
      <c r="Z71" s="201">
        <f t="array" ref="Z71">_xlfn.IFS(AND($K71&gt;Y$7,$L71&gt;Y$7),0,AND($K71&lt;=Y$7,$L71&lt;=Y$7),1,AND($K71&lt;=Y$7,$L71&gt;Y$7),((Y$7-$K71)/($L71-$K71)))</f>
        <v>0</v>
      </c>
      <c r="AA71" s="201">
        <f t="array" ref="AA71">_xlfn.IFS(AND($K71&gt;Z$7,$L71&gt;Z$7),0,AND($K71&lt;=Z$7,$L71&lt;=Z$7),1,AND($K71&lt;=Z$7,$L71&gt;Z$7),((Z$7-$K71)/($L71-$K71)))</f>
        <v>0</v>
      </c>
      <c r="AB71" s="201">
        <f t="array" ref="AB71">_xlfn.IFS(AND($K71&gt;AA$7,$L71&gt;AA$7),0,AND($K71&lt;=AA$7,$L71&lt;=AA$7),1,AND($K71&lt;=AA$7,$L71&gt;AA$7),((AA$7-$K71)/($L71-$K71)))</f>
        <v>0</v>
      </c>
      <c r="AC71" s="201">
        <f t="array" ref="AC71">_xlfn.IFS(AND($K71&gt;AB$7,$L71&gt;AB$7),0,AND($K71&lt;=AB$7,$L71&lt;=AB$7),1,AND($K71&lt;=AB$7,$L71&gt;AB$7),((AB$7-$K71)/($L71-$K71)))</f>
        <v>0</v>
      </c>
      <c r="AD71" s="201">
        <f t="array" ref="AD71">_xlfn.IFS(AND($K71&gt;AC$7,$L71&gt;AC$7),0,AND($K71&lt;=AC$7,$L71&lt;=AC$7),1,AND($K71&lt;=AC$7,$L71&gt;AC$7),((AC$7-$K71)/($L71-$K71)))</f>
        <v>0</v>
      </c>
      <c r="AE71" s="201">
        <f t="array" ref="AE71">_xlfn.IFS(AND($K71&gt;AD$7,$L71&gt;AD$7),0,AND($K71&lt;=AD$7,$L71&lt;=AD$7),1,AND($K71&lt;=AD$7,$L71&gt;AD$7),((AD$7-$K71)/($L71-$K71)))</f>
        <v>0</v>
      </c>
      <c r="AF71" s="201">
        <f t="array" ref="AF71">_xlfn.IFS(AND($K71&gt;AE$7,$L71&gt;AE$7),0,AND($K71&lt;=AE$7,$L71&lt;=AE$7),1,AND($K71&lt;=AE$7,$L71&gt;AE$7),((AE$7-$K71)/($L71-$K71)))</f>
        <v>0</v>
      </c>
      <c r="AG71" s="201">
        <f t="array" ref="AG71">_xlfn.IFS(AND($K71&gt;AF$7,$L71&gt;AF$7),0,AND($K71&lt;=AF$7,$L71&lt;=AF$7),1,AND($K71&lt;=AF$7,$L71&gt;AF$7),((AF$7-$K71)/($L71-$K71)))</f>
        <v>0</v>
      </c>
      <c r="AH71" s="201">
        <f t="array" ref="AH71">_xlfn.IFS(AND($K71&gt;AG$7,$L71&gt;AG$7),0,AND($K71&lt;=AG$7,$L71&lt;=AG$7),1,AND($K71&lt;=AG$7,$L71&gt;AG$7),((AG$7-$K71)/($L71-$K71)))</f>
        <v>0</v>
      </c>
      <c r="AI71" s="201">
        <f t="array" ref="AI71">_xlfn.IFS(AND($K71&gt;AH$7,$L71&gt;AH$7),0,AND($K71&lt;=AH$7,$L71&lt;=AH$7),1,AND($K71&lt;=AH$7,$L71&gt;AH$7),((AH$7-$K71)/($L71-$K71)))</f>
        <v>0</v>
      </c>
      <c r="AJ71" s="201">
        <f t="array" ref="AJ71">_xlfn.IFS(AND($K71&gt;AI$7,$L71&gt;AI$7),0,AND($K71&lt;=AI$7,$L71&lt;=AI$7),1,AND($K71&lt;=AI$7,$L71&gt;AI$7),((AI$7-$K71)/($L71-$K71)))</f>
        <v>0</v>
      </c>
      <c r="AK71" s="201">
        <f t="array" ref="AK71">_xlfn.IFS(AND($K71&gt;AJ$7,$L71&gt;AJ$7),0,AND($K71&lt;=AJ$7,$L71&lt;=AJ$7),1,AND($K71&lt;=AJ$7,$L71&gt;AJ$7),((AJ$7-$K71)/($L71-$K71)))</f>
        <v>0</v>
      </c>
      <c r="AL71" s="201">
        <f t="array" ref="AL71">_xlfn.IFS(AND($K71&gt;AK$7,$L71&gt;AK$7),0,AND($K71&lt;=AK$7,$L71&lt;=AK$7),1,AND($K71&lt;=AK$7,$L71&gt;AK$7),((AK$7-$K71)/($L71-$K71)))</f>
        <v>0</v>
      </c>
      <c r="AM71" s="201">
        <f t="array" ref="AM71">_xlfn.IFS(AND($K71&gt;AL$7,$L71&gt;AL$7),0,AND($K71&lt;=AL$7,$L71&lt;=AL$7),1,AND($K71&lt;=AL$7,$L71&gt;AL$7),((AL$7-$K71)/($L71-$K71)))</f>
        <v>0</v>
      </c>
      <c r="AN71" s="201">
        <f t="array" ref="AN71">_xlfn.IFS(AND($K71&gt;AM$7,$L71&gt;AM$7),0,AND($K71&lt;=AM$7,$L71&lt;=AM$7),1,AND($K71&lt;=AM$7,$L71&gt;AM$7),((AM$7-$K71)/($L71-$K71)))</f>
        <v>0</v>
      </c>
      <c r="AO71" s="201">
        <f t="array" ref="AO71">_xlfn.IFS(AND($K71&gt;AN$7,$L71&gt;AN$7),0,AND($K71&lt;=AN$7,$L71&lt;=AN$7),1,AND($K71&lt;=AN$7,$L71&gt;AN$7),((AN$7-$K71)/($L71-$K71)))</f>
        <v>0</v>
      </c>
      <c r="AP71" s="201">
        <f t="array" ref="AP71">_xlfn.IFS(AND($K71&gt;AO$7,$L71&gt;AO$7),0,AND($K71&lt;=AO$7,$L71&lt;=AO$7),1,AND($K71&lt;=AO$7,$L71&gt;AO$7),((AO$7-$K71)/($L71-$K71)))</f>
        <v>0</v>
      </c>
      <c r="AQ71" s="201">
        <f t="array" ref="AQ71">_xlfn.IFS(AND($K71&gt;AP$7,$L71&gt;AP$7),0,AND($K71&lt;=AP$7,$L71&lt;=AP$7),1,AND($K71&lt;=AP$7,$L71&gt;AP$7),((AP$7-$K71)/($L71-$K71)))</f>
        <v>0</v>
      </c>
      <c r="AR71" s="201">
        <f t="array" ref="AR71">_xlfn.IFS(AND($K71&gt;AQ$7,$L71&gt;AQ$7),0,AND($K71&lt;=AQ$7,$L71&lt;=AQ$7),1,AND($K71&lt;=AQ$7,$L71&gt;AQ$7),((AQ$7-$K71)/($L71-$K71)))</f>
        <v>0</v>
      </c>
      <c r="AS71" s="201">
        <f t="array" ref="AS71">_xlfn.IFS(AND($K71&gt;AR$7,$L71&gt;AR$7),0,AND($K71&lt;=AR$7,$L71&lt;=AR$7),1,AND($K71&lt;=AR$7,$L71&gt;AR$7),((AR$7-$K71)/($L71-$K71)))</f>
        <v>0</v>
      </c>
      <c r="AT71" s="201">
        <f t="array" ref="AT71">_xlfn.IFS(AND($K71&gt;AS$7,$L71&gt;AS$7),0,AND($K71&lt;=AS$7,$L71&lt;=AS$7),1,AND($K71&lt;=AS$7,$L71&gt;AS$7),((AS$7-$K71)/($L71-$K71)))</f>
        <v>0</v>
      </c>
      <c r="AU71" s="201">
        <f t="array" ref="AU71">_xlfn.IFS(AND($K71&gt;AT$7,$L71&gt;AT$7),0,AND($K71&lt;=AT$7,$L71&lt;=AT$7),1,AND($K71&lt;=AT$7,$L71&gt;AT$7),((AT$7-$K71)/($L71-$K71)))</f>
        <v>0</v>
      </c>
      <c r="AV71" s="201">
        <f t="array" ref="AV71">_xlfn.IFS(AND($K71&gt;AU$7,$L71&gt;AU$7),0,AND($K71&lt;=AU$7,$L71&lt;=AU$7),1,AND($K71&lt;=AU$7,$L71&gt;AU$7),((AU$7-$K71)/($L71-$K71)))</f>
        <v>0</v>
      </c>
      <c r="AW71" s="201">
        <f t="array" ref="AW71">_xlfn.IFS(AND($K71&gt;AV$7,$L71&gt;AV$7),0,AND($K71&lt;=AV$7,$L71&lt;=AV$7),1,AND($K71&lt;=AV$7,$L71&gt;AV$7),((AV$7-$K71)/($L71-$K71)))</f>
        <v>0</v>
      </c>
      <c r="AX71" s="201">
        <f t="array" ref="AX71">_xlfn.IFS(AND($K71&gt;AW$7,$L71&gt;AW$7),0,AND($K71&lt;=AW$7,$L71&lt;=AW$7),1,AND($K71&lt;=AW$7,$L71&gt;AW$7),((AW$7-$K71)/($L71-$K71)))</f>
        <v>0</v>
      </c>
      <c r="AY71" s="201">
        <f t="array" ref="AY71">_xlfn.IFS(AND($K71&gt;AX$7,$L71&gt;AX$7),0,AND($K71&lt;=AX$7,$L71&lt;=AX$7),1,AND($K71&lt;=AX$7,$L71&gt;AX$7),((AX$7-$K71)/($L71-$K71)))</f>
        <v>0</v>
      </c>
      <c r="AZ71" s="201">
        <f t="array" ref="AZ71">_xlfn.IFS(AND($K71&gt;AY$7,$L71&gt;AY$7),0,AND($K71&lt;=AY$7,$L71&lt;=AY$7),1,AND($K71&lt;=AY$7,$L71&gt;AY$7),((AY$7-$K71)/($L71-$K71)))</f>
        <v>0</v>
      </c>
      <c r="BA71" s="201">
        <f t="array" ref="BA71">_xlfn.IFS(AND($K71&gt;AZ$7,$L71&gt;AZ$7),0,AND($K71&lt;=AZ$7,$L71&lt;=AZ$7),1,AND($K71&lt;=AZ$7,$L71&gt;AZ$7),((AZ$7-$K71)/($L71-$K71)))</f>
        <v>0</v>
      </c>
      <c r="BB71" s="201">
        <f t="array" ref="BB71">_xlfn.IFS(AND($K71&gt;BA$7,$L71&gt;BA$7),0,AND($K71&lt;=BA$7,$L71&lt;=BA$7),1,AND($K71&lt;=BA$7,$L71&gt;BA$7),((BA$7-$K71)/($L71-$K71)))</f>
        <v>0</v>
      </c>
      <c r="BC71" s="201">
        <f t="array" ref="BC71">_xlfn.IFS(AND($K71&gt;BB$7,$L71&gt;BB$7),0,AND($K71&lt;=BB$7,$L71&lt;=BB$7),1,AND($K71&lt;=BB$7,$L71&gt;BB$7),((BB$7-$K71)/($L71-$K71)))</f>
        <v>0</v>
      </c>
      <c r="BD71" s="201">
        <f t="array" ref="BD71">_xlfn.IFS(AND($K71&gt;BC$7,$L71&gt;BC$7),0,AND($K71&lt;=BC$7,$L71&lt;=BC$7),1,AND($K71&lt;=BC$7,$L71&gt;BC$7),((BC$7-$K71)/($L71-$K71)))</f>
        <v>0</v>
      </c>
      <c r="BE71" s="201">
        <f t="array" ref="BE71">_xlfn.IFS(AND($K71&gt;BD$7,$L71&gt;BD$7),0,AND($K71&lt;=BD$7,$L71&lt;=BD$7),1,AND($K71&lt;=BD$7,$L71&gt;BD$7),((BD$7-$K71)/($L71-$K71)))</f>
        <v>0</v>
      </c>
      <c r="BF71" s="201">
        <f t="array" ref="BF71">_xlfn.IFS(AND($K71&gt;BE$7,$L71&gt;BE$7),0,AND($K71&lt;=BE$7,$L71&lt;=BE$7),1,AND($K71&lt;=BE$7,$L71&gt;BE$7),((BE$7-$K71)/($L71-$K71)))</f>
        <v>1</v>
      </c>
      <c r="BG71" s="201">
        <f t="array" ref="BG71">_xlfn.IFS(AND($K71&gt;BF$7,$L71&gt;BF$7),0,AND($K71&lt;=BF$7,$L71&lt;=BF$7),1,AND($K71&lt;=BF$7,$L71&gt;BF$7),((BF$7-$K71)/($L71-$K71)))</f>
        <v>1</v>
      </c>
      <c r="BH71" s="201">
        <f t="array" ref="BH71">_xlfn.IFS(AND($K71&gt;BG$7,$L71&gt;BG$7),0,AND($K71&lt;=BG$7,$L71&lt;=BG$7),1,AND($K71&lt;=BG$7,$L71&gt;BG$7),((BG$7-$K71)/($L71-$K71)))</f>
        <v>1</v>
      </c>
      <c r="BI71" s="201">
        <f t="array" ref="BI71">_xlfn.IFS(AND($K71&gt;BH$7,$L71&gt;BH$7),0,AND($K71&lt;=BH$7,$L71&lt;=BH$7),1,AND($K71&lt;=BH$7,$L71&gt;BH$7),((BH$7-$K71)/($L71-$K71)))</f>
        <v>1</v>
      </c>
      <c r="BJ71" s="201">
        <f t="array" ref="BJ71">_xlfn.IFS(AND($K71&gt;BI$7,$L71&gt;BI$7),0,AND($K71&lt;=BI$7,$L71&lt;=BI$7),1,AND($K71&lt;=BI$7,$L71&gt;BI$7),((BI$7-$K71)/($L71-$K71)))</f>
        <v>1</v>
      </c>
      <c r="BK71" s="201">
        <f t="array" ref="BK71">_xlfn.IFS(AND($K71&gt;BJ$7,$L71&gt;BJ$7),0,AND($K71&lt;=BJ$7,$L71&lt;=BJ$7),1,AND($K71&lt;=BJ$7,$L71&gt;BJ$7),((BJ$7-$K71)/($L71-$K71)))</f>
        <v>1</v>
      </c>
      <c r="BL71" s="201">
        <f t="array" ref="BL71">_xlfn.IFS(AND($K71&gt;BK$7,$L71&gt;BK$7),0,AND($K71&lt;=BK$7,$L71&lt;=BK$7),1,AND($K71&lt;=BK$7,$L71&gt;BK$7),((BK$7-$K71)/($L71-$K71)))</f>
        <v>1</v>
      </c>
      <c r="BM71" s="201">
        <f t="array" ref="BM71">_xlfn.IFS(AND($K71&gt;BL$7,$L71&gt;BL$7),0,AND($K71&lt;=BL$7,$L71&lt;=BL$7),1,AND($K71&lt;=BL$7,$L71&gt;BL$7),((BL$7-$K71)/($L71-$K71)))</f>
        <v>1</v>
      </c>
      <c r="BN71" s="201">
        <f t="array" ref="BN71">_xlfn.IFS(AND($K71&gt;BM$7,$L71&gt;BM$7),0,AND($K71&lt;=BM$7,$L71&lt;=BM$7),1,AND($K71&lt;=BM$7,$L71&gt;BM$7),((BM$7-$K71)/($L71-$K71)))</f>
        <v>1</v>
      </c>
    </row>
    <row r="72" spans="2:66" s="163" customFormat="1" ht="23.55" customHeight="1" x14ac:dyDescent="0.3">
      <c r="B72" s="166" t="s">
        <v>161</v>
      </c>
      <c r="C72" s="166" t="s">
        <v>192</v>
      </c>
      <c r="D72" s="177"/>
      <c r="E72" s="170" t="str">
        <f t="shared" si="30"/>
        <v>Desenvolvimento da Transformação dos Processos</v>
      </c>
      <c r="F72" s="174" t="str">
        <f t="shared" si="33"/>
        <v>Diagnóstico de Maturidade do Processo</v>
      </c>
      <c r="G72" s="166" t="str">
        <f t="shared" si="36"/>
        <v>Diagnóstico de Maturidade do Processo</v>
      </c>
      <c r="H72" s="197" t="s">
        <v>193</v>
      </c>
      <c r="I72" s="166">
        <v>45957</v>
      </c>
      <c r="J72" s="166">
        <v>45961</v>
      </c>
      <c r="K72" s="166">
        <v>45957</v>
      </c>
      <c r="L72" s="166">
        <v>45961</v>
      </c>
      <c r="M72" s="167"/>
      <c r="N72" s="167" t="str">
        <f t="array" ref="N72">_xlfn.IFS(L72&lt;$M$3,"Concluído",AND(K72&gt;=$M$3,I72&lt;$M$3,L72&gt;$M$3),"Em andamento",AND(L72&gt;=$M$3,J72&lt;$M$3),"Atrasado",AND(L72&gt;=$M$3,J72&gt;=$M$3,I72&gt;$M$3,K72&lt;=$M$3),"Em andamento",AND(L72&gt;=$M$3,J72&gt;=$M$3,I72&lt;=$M$3,K72&lt;=$M$3),"Em andamento",AND(K72&gt;$M$3,I72&gt;$M$3),"Não iniciado",AND(L72&gt;=$M$3,J72&gt;=$M$3,K72&gt;=$M$3,I72&lt;$M$3),"Atrasado",AND(L72&gt;=$M$3,J72&gt;=$M$3,K72&gt;=$M$3,I72&gt;$M$3),"Não iniciado",AND($I72&lt;=$M$3,$K72&gt;$M$3),"Atrasado")</f>
        <v>Não iniciado</v>
      </c>
      <c r="O72" s="167">
        <f t="array" ref="O72">_xlfn.IFS(N72="Não iniciado",0,N72="Em andamento",1,N72="Concluído",2,N72="Atrasado",3)</f>
        <v>0</v>
      </c>
      <c r="P72" s="169"/>
      <c r="Q72" s="152">
        <f t="array" ref="Q72">_xlfn.IFS(AND($I72&lt;$M$3,$J72&lt;$M$3),1,AND($I72&lt;$M$3,$J72&gt;=$M$3),0.5,AND($I72&gt;=$M$3,$J72&gt;=$M$3),0)</f>
        <v>0</v>
      </c>
      <c r="R72" s="152">
        <f t="array" ref="R72">_xlfn.IFS(AND($K72&lt;$M$3,$L72&lt;$M$3),1,AND($K72&lt;=$M$3,$L72&gt;=$M$3),0.5,AND($K72&gt;=$M$3,$L72&gt;=$M$3),0)</f>
        <v>0</v>
      </c>
      <c r="S72" s="201">
        <f t="array" ref="S72">_xlfn.IFS(AND($K72&gt;R$7,$L72&gt;R$7),0,AND($K72&lt;=R$7,$L72&lt;=R$7),1,AND($K72&lt;=R$7,$L72&gt;R$7),((R$7-$K72)/($L72-$K72)))</f>
        <v>0</v>
      </c>
      <c r="T72" s="201">
        <f t="array" ref="T72">_xlfn.IFS(AND($K72&gt;S$7,$L72&gt;S$7),0,AND($K72&lt;=S$7,$L72&lt;=S$7),1,AND($K72&lt;=S$7,$L72&gt;S$7),((S$7-$K72)/($L72-$K72)))</f>
        <v>0</v>
      </c>
      <c r="U72" s="201">
        <f t="array" ref="U72">_xlfn.IFS(AND($K72&gt;T$7,$L72&gt;T$7),0,AND($K72&lt;=T$7,$L72&lt;=T$7),1,AND($K72&lt;=T$7,$L72&gt;T$7),((T$7-$K72)/($L72-$K72)))</f>
        <v>0</v>
      </c>
      <c r="V72" s="201">
        <f t="array" ref="V72">_xlfn.IFS(AND($K72&gt;U$7,$L72&gt;U$7),0,AND($K72&lt;=U$7,$L72&lt;=U$7),1,AND($K72&lt;=U$7,$L72&gt;U$7),((U$7-$K72)/($L72-$K72)))</f>
        <v>0</v>
      </c>
      <c r="W72" s="201">
        <f t="array" ref="W72">_xlfn.IFS(AND($K72&gt;V$7,$L72&gt;V$7),0,AND($K72&lt;=V$7,$L72&lt;=V$7),1,AND($K72&lt;=V$7,$L72&gt;V$7),((V$7-$K72)/($L72-$K72)))</f>
        <v>0</v>
      </c>
      <c r="X72" s="201">
        <f t="array" ref="X72">_xlfn.IFS(AND($K72&gt;W$7,$L72&gt;W$7),0,AND($K72&lt;=W$7,$L72&lt;=W$7),1,AND($K72&lt;=W$7,$L72&gt;W$7),((W$7-$K72)/($L72-$K72)))</f>
        <v>0</v>
      </c>
      <c r="Y72" s="201">
        <f t="array" ref="Y72">_xlfn.IFS(AND($K72&gt;X$7,$L72&gt;X$7),0,AND($K72&lt;=X$7,$L72&lt;=X$7),1,AND($K72&lt;=X$7,$L72&gt;X$7),((X$7-$K72)/($L72-$K72)))</f>
        <v>0</v>
      </c>
      <c r="Z72" s="201">
        <f t="array" ref="Z72">_xlfn.IFS(AND($K72&gt;Y$7,$L72&gt;Y$7),0,AND($K72&lt;=Y$7,$L72&lt;=Y$7),1,AND($K72&lt;=Y$7,$L72&gt;Y$7),((Y$7-$K72)/($L72-$K72)))</f>
        <v>0</v>
      </c>
      <c r="AA72" s="201">
        <f t="array" ref="AA72">_xlfn.IFS(AND($K72&gt;Z$7,$L72&gt;Z$7),0,AND($K72&lt;=Z$7,$L72&lt;=Z$7),1,AND($K72&lt;=Z$7,$L72&gt;Z$7),((Z$7-$K72)/($L72-$K72)))</f>
        <v>0</v>
      </c>
      <c r="AB72" s="201">
        <f t="array" ref="AB72">_xlfn.IFS(AND($K72&gt;AA$7,$L72&gt;AA$7),0,AND($K72&lt;=AA$7,$L72&lt;=AA$7),1,AND($K72&lt;=AA$7,$L72&gt;AA$7),((AA$7-$K72)/($L72-$K72)))</f>
        <v>0</v>
      </c>
      <c r="AC72" s="201">
        <f t="array" ref="AC72">_xlfn.IFS(AND($K72&gt;AB$7,$L72&gt;AB$7),0,AND($K72&lt;=AB$7,$L72&lt;=AB$7),1,AND($K72&lt;=AB$7,$L72&gt;AB$7),((AB$7-$K72)/($L72-$K72)))</f>
        <v>0</v>
      </c>
      <c r="AD72" s="201">
        <f t="array" ref="AD72">_xlfn.IFS(AND($K72&gt;AC$7,$L72&gt;AC$7),0,AND($K72&lt;=AC$7,$L72&lt;=AC$7),1,AND($K72&lt;=AC$7,$L72&gt;AC$7),((AC$7-$K72)/($L72-$K72)))</f>
        <v>0</v>
      </c>
      <c r="AE72" s="201">
        <f t="array" ref="AE72">_xlfn.IFS(AND($K72&gt;AD$7,$L72&gt;AD$7),0,AND($K72&lt;=AD$7,$L72&lt;=AD$7),1,AND($K72&lt;=AD$7,$L72&gt;AD$7),((AD$7-$K72)/($L72-$K72)))</f>
        <v>0</v>
      </c>
      <c r="AF72" s="201">
        <f t="array" ref="AF72">_xlfn.IFS(AND($K72&gt;AE$7,$L72&gt;AE$7),0,AND($K72&lt;=AE$7,$L72&lt;=AE$7),1,AND($K72&lt;=AE$7,$L72&gt;AE$7),((AE$7-$K72)/($L72-$K72)))</f>
        <v>0</v>
      </c>
      <c r="AG72" s="201">
        <f t="array" ref="AG72">_xlfn.IFS(AND($K72&gt;AF$7,$L72&gt;AF$7),0,AND($K72&lt;=AF$7,$L72&lt;=AF$7),1,AND($K72&lt;=AF$7,$L72&gt;AF$7),((AF$7-$K72)/($L72-$K72)))</f>
        <v>0</v>
      </c>
      <c r="AH72" s="201">
        <f t="array" ref="AH72">_xlfn.IFS(AND($K72&gt;AG$7,$L72&gt;AG$7),0,AND($K72&lt;=AG$7,$L72&lt;=AG$7),1,AND($K72&lt;=AG$7,$L72&gt;AG$7),((AG$7-$K72)/($L72-$K72)))</f>
        <v>0</v>
      </c>
      <c r="AI72" s="201">
        <f t="array" ref="AI72">_xlfn.IFS(AND($K72&gt;AH$7,$L72&gt;AH$7),0,AND($K72&lt;=AH$7,$L72&lt;=AH$7),1,AND($K72&lt;=AH$7,$L72&gt;AH$7),((AH$7-$K72)/($L72-$K72)))</f>
        <v>0</v>
      </c>
      <c r="AJ72" s="201">
        <f t="array" ref="AJ72">_xlfn.IFS(AND($K72&gt;AI$7,$L72&gt;AI$7),0,AND($K72&lt;=AI$7,$L72&lt;=AI$7),1,AND($K72&lt;=AI$7,$L72&gt;AI$7),((AI$7-$K72)/($L72-$K72)))</f>
        <v>0</v>
      </c>
      <c r="AK72" s="201">
        <f t="array" ref="AK72">_xlfn.IFS(AND($K72&gt;AJ$7,$L72&gt;AJ$7),0,AND($K72&lt;=AJ$7,$L72&lt;=AJ$7),1,AND($K72&lt;=AJ$7,$L72&gt;AJ$7),((AJ$7-$K72)/($L72-$K72)))</f>
        <v>0</v>
      </c>
      <c r="AL72" s="201">
        <f t="array" ref="AL72">_xlfn.IFS(AND($K72&gt;AK$7,$L72&gt;AK$7),0,AND($K72&lt;=AK$7,$L72&lt;=AK$7),1,AND($K72&lt;=AK$7,$L72&gt;AK$7),((AK$7-$K72)/($L72-$K72)))</f>
        <v>0</v>
      </c>
      <c r="AM72" s="201">
        <f t="array" ref="AM72">_xlfn.IFS(AND($K72&gt;AL$7,$L72&gt;AL$7),0,AND($K72&lt;=AL$7,$L72&lt;=AL$7),1,AND($K72&lt;=AL$7,$L72&gt;AL$7),((AL$7-$K72)/($L72-$K72)))</f>
        <v>0</v>
      </c>
      <c r="AN72" s="201">
        <f t="array" ref="AN72">_xlfn.IFS(AND($K72&gt;AM$7,$L72&gt;AM$7),0,AND($K72&lt;=AM$7,$L72&lt;=AM$7),1,AND($K72&lt;=AM$7,$L72&gt;AM$7),((AM$7-$K72)/($L72-$K72)))</f>
        <v>0</v>
      </c>
      <c r="AO72" s="201">
        <f t="array" ref="AO72">_xlfn.IFS(AND($K72&gt;AN$7,$L72&gt;AN$7),0,AND($K72&lt;=AN$7,$L72&lt;=AN$7),1,AND($K72&lt;=AN$7,$L72&gt;AN$7),((AN$7-$K72)/($L72-$K72)))</f>
        <v>0</v>
      </c>
      <c r="AP72" s="201">
        <f t="array" ref="AP72">_xlfn.IFS(AND($K72&gt;AO$7,$L72&gt;AO$7),0,AND($K72&lt;=AO$7,$L72&lt;=AO$7),1,AND($K72&lt;=AO$7,$L72&gt;AO$7),((AO$7-$K72)/($L72-$K72)))</f>
        <v>0</v>
      </c>
      <c r="AQ72" s="201">
        <f t="array" ref="AQ72">_xlfn.IFS(AND($K72&gt;AP$7,$L72&gt;AP$7),0,AND($K72&lt;=AP$7,$L72&lt;=AP$7),1,AND($K72&lt;=AP$7,$L72&gt;AP$7),((AP$7-$K72)/($L72-$K72)))</f>
        <v>0</v>
      </c>
      <c r="AR72" s="201">
        <f t="array" ref="AR72">_xlfn.IFS(AND($K72&gt;AQ$7,$L72&gt;AQ$7),0,AND($K72&lt;=AQ$7,$L72&lt;=AQ$7),1,AND($K72&lt;=AQ$7,$L72&gt;AQ$7),((AQ$7-$K72)/($L72-$K72)))</f>
        <v>0</v>
      </c>
      <c r="AS72" s="201">
        <f t="array" ref="AS72">_xlfn.IFS(AND($K72&gt;AR$7,$L72&gt;AR$7),0,AND($K72&lt;=AR$7,$L72&lt;=AR$7),1,AND($K72&lt;=AR$7,$L72&gt;AR$7),((AR$7-$K72)/($L72-$K72)))</f>
        <v>0</v>
      </c>
      <c r="AT72" s="201">
        <f t="array" ref="AT72">_xlfn.IFS(AND($K72&gt;AS$7,$L72&gt;AS$7),0,AND($K72&lt;=AS$7,$L72&lt;=AS$7),1,AND($K72&lt;=AS$7,$L72&gt;AS$7),((AS$7-$K72)/($L72-$K72)))</f>
        <v>0</v>
      </c>
      <c r="AU72" s="201">
        <f t="array" ref="AU72">_xlfn.IFS(AND($K72&gt;AT$7,$L72&gt;AT$7),0,AND($K72&lt;=AT$7,$L72&lt;=AT$7),1,AND($K72&lt;=AT$7,$L72&gt;AT$7),((AT$7-$K72)/($L72-$K72)))</f>
        <v>0</v>
      </c>
      <c r="AV72" s="201">
        <f t="array" ref="AV72">_xlfn.IFS(AND($K72&gt;AU$7,$L72&gt;AU$7),0,AND($K72&lt;=AU$7,$L72&lt;=AU$7),1,AND($K72&lt;=AU$7,$L72&gt;AU$7),((AU$7-$K72)/($L72-$K72)))</f>
        <v>0</v>
      </c>
      <c r="AW72" s="201">
        <f t="array" ref="AW72">_xlfn.IFS(AND($K72&gt;AV$7,$L72&gt;AV$7),0,AND($K72&lt;=AV$7,$L72&lt;=AV$7),1,AND($K72&lt;=AV$7,$L72&gt;AV$7),((AV$7-$K72)/($L72-$K72)))</f>
        <v>0</v>
      </c>
      <c r="AX72" s="201">
        <f t="array" ref="AX72">_xlfn.IFS(AND($K72&gt;AW$7,$L72&gt;AW$7),0,AND($K72&lt;=AW$7,$L72&lt;=AW$7),1,AND($K72&lt;=AW$7,$L72&gt;AW$7),((AW$7-$K72)/($L72-$K72)))</f>
        <v>0</v>
      </c>
      <c r="AY72" s="201">
        <f t="array" ref="AY72">_xlfn.IFS(AND($K72&gt;AX$7,$L72&gt;AX$7),0,AND($K72&lt;=AX$7,$L72&lt;=AX$7),1,AND($K72&lt;=AX$7,$L72&gt;AX$7),((AX$7-$K72)/($L72-$K72)))</f>
        <v>0</v>
      </c>
      <c r="AZ72" s="201">
        <f t="array" ref="AZ72">_xlfn.IFS(AND($K72&gt;AY$7,$L72&gt;AY$7),0,AND($K72&lt;=AY$7,$L72&lt;=AY$7),1,AND($K72&lt;=AY$7,$L72&gt;AY$7),((AY$7-$K72)/($L72-$K72)))</f>
        <v>0</v>
      </c>
      <c r="BA72" s="201">
        <f t="array" ref="BA72">_xlfn.IFS(AND($K72&gt;AZ$7,$L72&gt;AZ$7),0,AND($K72&lt;=AZ$7,$L72&lt;=AZ$7),1,AND($K72&lt;=AZ$7,$L72&gt;AZ$7),((AZ$7-$K72)/($L72-$K72)))</f>
        <v>0</v>
      </c>
      <c r="BB72" s="201">
        <f t="array" ref="BB72">_xlfn.IFS(AND($K72&gt;BA$7,$L72&gt;BA$7),0,AND($K72&lt;=BA$7,$L72&lt;=BA$7),1,AND($K72&lt;=BA$7,$L72&gt;BA$7),((BA$7-$K72)/($L72-$K72)))</f>
        <v>0</v>
      </c>
      <c r="BC72" s="201">
        <f t="array" ref="BC72">_xlfn.IFS(AND($K72&gt;BB$7,$L72&gt;BB$7),0,AND($K72&lt;=BB$7,$L72&lt;=BB$7),1,AND($K72&lt;=BB$7,$L72&gt;BB$7),((BB$7-$K72)/($L72-$K72)))</f>
        <v>0</v>
      </c>
      <c r="BD72" s="201">
        <f t="array" ref="BD72">_xlfn.IFS(AND($K72&gt;BC$7,$L72&gt;BC$7),0,AND($K72&lt;=BC$7,$L72&lt;=BC$7),1,AND($K72&lt;=BC$7,$L72&gt;BC$7),((BC$7-$K72)/($L72-$K72)))</f>
        <v>0</v>
      </c>
      <c r="BE72" s="201">
        <f t="array" ref="BE72">_xlfn.IFS(AND($K72&gt;BD$7,$L72&gt;BD$7),0,AND($K72&lt;=BD$7,$L72&lt;=BD$7),1,AND($K72&lt;=BD$7,$L72&gt;BD$7),((BD$7-$K72)/($L72-$K72)))</f>
        <v>0</v>
      </c>
      <c r="BF72" s="201">
        <f t="array" ref="BF72">_xlfn.IFS(AND($K72&gt;BE$7,$L72&gt;BE$7),0,AND($K72&lt;=BE$7,$L72&lt;=BE$7),1,AND($K72&lt;=BE$7,$L72&gt;BE$7),((BE$7-$K72)/($L72-$K72)))</f>
        <v>1</v>
      </c>
      <c r="BG72" s="201">
        <f t="array" ref="BG72">_xlfn.IFS(AND($K72&gt;BF$7,$L72&gt;BF$7),0,AND($K72&lt;=BF$7,$L72&lt;=BF$7),1,AND($K72&lt;=BF$7,$L72&gt;BF$7),((BF$7-$K72)/($L72-$K72)))</f>
        <v>1</v>
      </c>
      <c r="BH72" s="201">
        <f t="array" ref="BH72">_xlfn.IFS(AND($K72&gt;BG$7,$L72&gt;BG$7),0,AND($K72&lt;=BG$7,$L72&lt;=BG$7),1,AND($K72&lt;=BG$7,$L72&gt;BG$7),((BG$7-$K72)/($L72-$K72)))</f>
        <v>1</v>
      </c>
      <c r="BI72" s="201">
        <f t="array" ref="BI72">_xlfn.IFS(AND($K72&gt;BH$7,$L72&gt;BH$7),0,AND($K72&lt;=BH$7,$L72&lt;=BH$7),1,AND($K72&lt;=BH$7,$L72&gt;BH$7),((BH$7-$K72)/($L72-$K72)))</f>
        <v>1</v>
      </c>
      <c r="BJ72" s="201">
        <f t="array" ref="BJ72">_xlfn.IFS(AND($K72&gt;BI$7,$L72&gt;BI$7),0,AND($K72&lt;=BI$7,$L72&lt;=BI$7),1,AND($K72&lt;=BI$7,$L72&gt;BI$7),((BI$7-$K72)/($L72-$K72)))</f>
        <v>1</v>
      </c>
      <c r="BK72" s="201">
        <f t="array" ref="BK72">_xlfn.IFS(AND($K72&gt;BJ$7,$L72&gt;BJ$7),0,AND($K72&lt;=BJ$7,$L72&lt;=BJ$7),1,AND($K72&lt;=BJ$7,$L72&gt;BJ$7),((BJ$7-$K72)/($L72-$K72)))</f>
        <v>1</v>
      </c>
      <c r="BL72" s="201">
        <f t="array" ref="BL72">_xlfn.IFS(AND($K72&gt;BK$7,$L72&gt;BK$7),0,AND($K72&lt;=BK$7,$L72&lt;=BK$7),1,AND($K72&lt;=BK$7,$L72&gt;BK$7),((BK$7-$K72)/($L72-$K72)))</f>
        <v>1</v>
      </c>
      <c r="BM72" s="201">
        <f t="array" ref="BM72">_xlfn.IFS(AND($K72&gt;BL$7,$L72&gt;BL$7),0,AND($K72&lt;=BL$7,$L72&lt;=BL$7),1,AND($K72&lt;=BL$7,$L72&gt;BL$7),((BL$7-$K72)/($L72-$K72)))</f>
        <v>1</v>
      </c>
      <c r="BN72" s="201">
        <f t="array" ref="BN72">_xlfn.IFS(AND($K72&gt;BM$7,$L72&gt;BM$7),0,AND($K72&lt;=BM$7,$L72&lt;=BM$7),1,AND($K72&lt;=BM$7,$L72&gt;BM$7),((BM$7-$K72)/($L72-$K72)))</f>
        <v>1</v>
      </c>
    </row>
    <row r="73" spans="2:66" s="163" customFormat="1" ht="23.55" customHeight="1" x14ac:dyDescent="0.3">
      <c r="B73" s="166" t="s">
        <v>161</v>
      </c>
      <c r="C73" s="166" t="s">
        <v>194</v>
      </c>
      <c r="D73" s="177"/>
      <c r="E73" s="170" t="str">
        <f t="shared" si="30"/>
        <v>Desenvolvimento da Transformação dos Processos</v>
      </c>
      <c r="F73" s="174" t="str">
        <f t="shared" si="33"/>
        <v>Diagnóstico de Maturidade do Processo</v>
      </c>
      <c r="G73" s="166" t="str">
        <f t="shared" si="36"/>
        <v>Diagnóstico de Maturidade do Processo</v>
      </c>
      <c r="H73" s="197" t="s">
        <v>195</v>
      </c>
      <c r="I73" s="166">
        <v>45985</v>
      </c>
      <c r="J73" s="166">
        <v>45989</v>
      </c>
      <c r="K73" s="166">
        <v>45985</v>
      </c>
      <c r="L73" s="166">
        <v>45989</v>
      </c>
      <c r="M73" s="167"/>
      <c r="N73" s="167" t="str">
        <f t="array" ref="N73">_xlfn.IFS(L73&lt;$M$3,"Concluído",AND(K73&gt;=$M$3,I73&lt;$M$3,L73&gt;$M$3),"Em andamento",AND(L73&gt;=$M$3,J73&lt;$M$3),"Atrasado",AND(L73&gt;=$M$3,J73&gt;=$M$3,I73&gt;$M$3,K73&lt;=$M$3),"Em andamento",AND(L73&gt;=$M$3,J73&gt;=$M$3,I73&lt;=$M$3,K73&lt;=$M$3),"Em andamento",AND(K73&gt;$M$3,I73&gt;$M$3),"Não iniciado",AND(L73&gt;=$M$3,J73&gt;=$M$3,K73&gt;=$M$3,I73&lt;$M$3),"Atrasado",AND(L73&gt;=$M$3,J73&gt;=$M$3,K73&gt;=$M$3,I73&gt;$M$3),"Não iniciado",AND($I73&lt;=$M$3,$K73&gt;$M$3),"Atrasado")</f>
        <v>Não iniciado</v>
      </c>
      <c r="O73" s="167">
        <f t="array" ref="O73">_xlfn.IFS(N73="Não iniciado",0,N73="Em andamento",1,N73="Concluído",2,N73="Atrasado",3)</f>
        <v>0</v>
      </c>
      <c r="P73" s="169"/>
      <c r="Q73" s="152">
        <f t="array" ref="Q73">_xlfn.IFS(AND($I73&lt;$M$3,$J73&lt;$M$3),1,AND($I73&lt;$M$3,$J73&gt;=$M$3),0.5,AND($I73&gt;=$M$3,$J73&gt;=$M$3),0)</f>
        <v>0</v>
      </c>
      <c r="R73" s="152">
        <f t="array" ref="R73">_xlfn.IFS(AND($K73&lt;$M$3,$L73&lt;$M$3),1,AND($K73&lt;=$M$3,$L73&gt;=$M$3),0.5,AND($K73&gt;=$M$3,$L73&gt;=$M$3),0)</f>
        <v>0</v>
      </c>
      <c r="S73" s="201">
        <f t="array" ref="S73">_xlfn.IFS(AND($K73&gt;R$7,$L73&gt;R$7),0,AND($K73&lt;=R$7,$L73&lt;=R$7),1,AND($K73&lt;=R$7,$L73&gt;R$7),((R$7-$K73)/($L73-$K73)))</f>
        <v>0</v>
      </c>
      <c r="T73" s="201">
        <f t="array" ref="T73">_xlfn.IFS(AND($K73&gt;S$7,$L73&gt;S$7),0,AND($K73&lt;=S$7,$L73&lt;=S$7),1,AND($K73&lt;=S$7,$L73&gt;S$7),((S$7-$K73)/($L73-$K73)))</f>
        <v>0</v>
      </c>
      <c r="U73" s="201">
        <f t="array" ref="U73">_xlfn.IFS(AND($K73&gt;T$7,$L73&gt;T$7),0,AND($K73&lt;=T$7,$L73&lt;=T$7),1,AND($K73&lt;=T$7,$L73&gt;T$7),((T$7-$K73)/($L73-$K73)))</f>
        <v>0</v>
      </c>
      <c r="V73" s="201">
        <f t="array" ref="V73">_xlfn.IFS(AND($K73&gt;U$7,$L73&gt;U$7),0,AND($K73&lt;=U$7,$L73&lt;=U$7),1,AND($K73&lt;=U$7,$L73&gt;U$7),((U$7-$K73)/($L73-$K73)))</f>
        <v>0</v>
      </c>
      <c r="W73" s="201">
        <f t="array" ref="W73">_xlfn.IFS(AND($K73&gt;V$7,$L73&gt;V$7),0,AND($K73&lt;=V$7,$L73&lt;=V$7),1,AND($K73&lt;=V$7,$L73&gt;V$7),((V$7-$K73)/($L73-$K73)))</f>
        <v>0</v>
      </c>
      <c r="X73" s="201">
        <f t="array" ref="X73">_xlfn.IFS(AND($K73&gt;W$7,$L73&gt;W$7),0,AND($K73&lt;=W$7,$L73&lt;=W$7),1,AND($K73&lt;=W$7,$L73&gt;W$7),((W$7-$K73)/($L73-$K73)))</f>
        <v>0</v>
      </c>
      <c r="Y73" s="201">
        <f t="array" ref="Y73">_xlfn.IFS(AND($K73&gt;X$7,$L73&gt;X$7),0,AND($K73&lt;=X$7,$L73&lt;=X$7),1,AND($K73&lt;=X$7,$L73&gt;X$7),((X$7-$K73)/($L73-$K73)))</f>
        <v>0</v>
      </c>
      <c r="Z73" s="201">
        <f t="array" ref="Z73">_xlfn.IFS(AND($K73&gt;Y$7,$L73&gt;Y$7),0,AND($K73&lt;=Y$7,$L73&lt;=Y$7),1,AND($K73&lt;=Y$7,$L73&gt;Y$7),((Y$7-$K73)/($L73-$K73)))</f>
        <v>0</v>
      </c>
      <c r="AA73" s="201">
        <f t="array" ref="AA73">_xlfn.IFS(AND($K73&gt;Z$7,$L73&gt;Z$7),0,AND($K73&lt;=Z$7,$L73&lt;=Z$7),1,AND($K73&lt;=Z$7,$L73&gt;Z$7),((Z$7-$K73)/($L73-$K73)))</f>
        <v>0</v>
      </c>
      <c r="AB73" s="201">
        <f t="array" ref="AB73">_xlfn.IFS(AND($K73&gt;AA$7,$L73&gt;AA$7),0,AND($K73&lt;=AA$7,$L73&lt;=AA$7),1,AND($K73&lt;=AA$7,$L73&gt;AA$7),((AA$7-$K73)/($L73-$K73)))</f>
        <v>0</v>
      </c>
      <c r="AC73" s="201">
        <f t="array" ref="AC73">_xlfn.IFS(AND($K73&gt;AB$7,$L73&gt;AB$7),0,AND($K73&lt;=AB$7,$L73&lt;=AB$7),1,AND($K73&lt;=AB$7,$L73&gt;AB$7),((AB$7-$K73)/($L73-$K73)))</f>
        <v>0</v>
      </c>
      <c r="AD73" s="201">
        <f t="array" ref="AD73">_xlfn.IFS(AND($K73&gt;AC$7,$L73&gt;AC$7),0,AND($K73&lt;=AC$7,$L73&lt;=AC$7),1,AND($K73&lt;=AC$7,$L73&gt;AC$7),((AC$7-$K73)/($L73-$K73)))</f>
        <v>0</v>
      </c>
      <c r="AE73" s="201">
        <f t="array" ref="AE73">_xlfn.IFS(AND($K73&gt;AD$7,$L73&gt;AD$7),0,AND($K73&lt;=AD$7,$L73&lt;=AD$7),1,AND($K73&lt;=AD$7,$L73&gt;AD$7),((AD$7-$K73)/($L73-$K73)))</f>
        <v>0</v>
      </c>
      <c r="AF73" s="201">
        <f t="array" ref="AF73">_xlfn.IFS(AND($K73&gt;AE$7,$L73&gt;AE$7),0,AND($K73&lt;=AE$7,$L73&lt;=AE$7),1,AND($K73&lt;=AE$7,$L73&gt;AE$7),((AE$7-$K73)/($L73-$K73)))</f>
        <v>0</v>
      </c>
      <c r="AG73" s="201">
        <f t="array" ref="AG73">_xlfn.IFS(AND($K73&gt;AF$7,$L73&gt;AF$7),0,AND($K73&lt;=AF$7,$L73&lt;=AF$7),1,AND($K73&lt;=AF$7,$L73&gt;AF$7),((AF$7-$K73)/($L73-$K73)))</f>
        <v>0</v>
      </c>
      <c r="AH73" s="201">
        <f t="array" ref="AH73">_xlfn.IFS(AND($K73&gt;AG$7,$L73&gt;AG$7),0,AND($K73&lt;=AG$7,$L73&lt;=AG$7),1,AND($K73&lt;=AG$7,$L73&gt;AG$7),((AG$7-$K73)/($L73-$K73)))</f>
        <v>0</v>
      </c>
      <c r="AI73" s="201">
        <f t="array" ref="AI73">_xlfn.IFS(AND($K73&gt;AH$7,$L73&gt;AH$7),0,AND($K73&lt;=AH$7,$L73&lt;=AH$7),1,AND($K73&lt;=AH$7,$L73&gt;AH$7),((AH$7-$K73)/($L73-$K73)))</f>
        <v>0</v>
      </c>
      <c r="AJ73" s="201">
        <f t="array" ref="AJ73">_xlfn.IFS(AND($K73&gt;AI$7,$L73&gt;AI$7),0,AND($K73&lt;=AI$7,$L73&lt;=AI$7),1,AND($K73&lt;=AI$7,$L73&gt;AI$7),((AI$7-$K73)/($L73-$K73)))</f>
        <v>0</v>
      </c>
      <c r="AK73" s="201">
        <f t="array" ref="AK73">_xlfn.IFS(AND($K73&gt;AJ$7,$L73&gt;AJ$7),0,AND($K73&lt;=AJ$7,$L73&lt;=AJ$7),1,AND($K73&lt;=AJ$7,$L73&gt;AJ$7),((AJ$7-$K73)/($L73-$K73)))</f>
        <v>0</v>
      </c>
      <c r="AL73" s="201">
        <f t="array" ref="AL73">_xlfn.IFS(AND($K73&gt;AK$7,$L73&gt;AK$7),0,AND($K73&lt;=AK$7,$L73&lt;=AK$7),1,AND($K73&lt;=AK$7,$L73&gt;AK$7),((AK$7-$K73)/($L73-$K73)))</f>
        <v>0</v>
      </c>
      <c r="AM73" s="201">
        <f t="array" ref="AM73">_xlfn.IFS(AND($K73&gt;AL$7,$L73&gt;AL$7),0,AND($K73&lt;=AL$7,$L73&lt;=AL$7),1,AND($K73&lt;=AL$7,$L73&gt;AL$7),((AL$7-$K73)/($L73-$K73)))</f>
        <v>0</v>
      </c>
      <c r="AN73" s="201">
        <f t="array" ref="AN73">_xlfn.IFS(AND($K73&gt;AM$7,$L73&gt;AM$7),0,AND($K73&lt;=AM$7,$L73&lt;=AM$7),1,AND($K73&lt;=AM$7,$L73&gt;AM$7),((AM$7-$K73)/($L73-$K73)))</f>
        <v>0</v>
      </c>
      <c r="AO73" s="201">
        <f t="array" ref="AO73">_xlfn.IFS(AND($K73&gt;AN$7,$L73&gt;AN$7),0,AND($K73&lt;=AN$7,$L73&lt;=AN$7),1,AND($K73&lt;=AN$7,$L73&gt;AN$7),((AN$7-$K73)/($L73-$K73)))</f>
        <v>0</v>
      </c>
      <c r="AP73" s="201">
        <f t="array" ref="AP73">_xlfn.IFS(AND($K73&gt;AO$7,$L73&gt;AO$7),0,AND($K73&lt;=AO$7,$L73&lt;=AO$7),1,AND($K73&lt;=AO$7,$L73&gt;AO$7),((AO$7-$K73)/($L73-$K73)))</f>
        <v>0</v>
      </c>
      <c r="AQ73" s="201">
        <f t="array" ref="AQ73">_xlfn.IFS(AND($K73&gt;AP$7,$L73&gt;AP$7),0,AND($K73&lt;=AP$7,$L73&lt;=AP$7),1,AND($K73&lt;=AP$7,$L73&gt;AP$7),((AP$7-$K73)/($L73-$K73)))</f>
        <v>0</v>
      </c>
      <c r="AR73" s="201">
        <f t="array" ref="AR73">_xlfn.IFS(AND($K73&gt;AQ$7,$L73&gt;AQ$7),0,AND($K73&lt;=AQ$7,$L73&lt;=AQ$7),1,AND($K73&lt;=AQ$7,$L73&gt;AQ$7),((AQ$7-$K73)/($L73-$K73)))</f>
        <v>0</v>
      </c>
      <c r="AS73" s="201">
        <f t="array" ref="AS73">_xlfn.IFS(AND($K73&gt;AR$7,$L73&gt;AR$7),0,AND($K73&lt;=AR$7,$L73&lt;=AR$7),1,AND($K73&lt;=AR$7,$L73&gt;AR$7),((AR$7-$K73)/($L73-$K73)))</f>
        <v>0</v>
      </c>
      <c r="AT73" s="201">
        <f t="array" ref="AT73">_xlfn.IFS(AND($K73&gt;AS$7,$L73&gt;AS$7),0,AND($K73&lt;=AS$7,$L73&lt;=AS$7),1,AND($K73&lt;=AS$7,$L73&gt;AS$7),((AS$7-$K73)/($L73-$K73)))</f>
        <v>0</v>
      </c>
      <c r="AU73" s="201">
        <f t="array" ref="AU73">_xlfn.IFS(AND($K73&gt;AT$7,$L73&gt;AT$7),0,AND($K73&lt;=AT$7,$L73&lt;=AT$7),1,AND($K73&lt;=AT$7,$L73&gt;AT$7),((AT$7-$K73)/($L73-$K73)))</f>
        <v>0</v>
      </c>
      <c r="AV73" s="201">
        <f t="array" ref="AV73">_xlfn.IFS(AND($K73&gt;AU$7,$L73&gt;AU$7),0,AND($K73&lt;=AU$7,$L73&lt;=AU$7),1,AND($K73&lt;=AU$7,$L73&gt;AU$7),((AU$7-$K73)/($L73-$K73)))</f>
        <v>0</v>
      </c>
      <c r="AW73" s="201">
        <f t="array" ref="AW73">_xlfn.IFS(AND($K73&gt;AV$7,$L73&gt;AV$7),0,AND($K73&lt;=AV$7,$L73&lt;=AV$7),1,AND($K73&lt;=AV$7,$L73&gt;AV$7),((AV$7-$K73)/($L73-$K73)))</f>
        <v>0</v>
      </c>
      <c r="AX73" s="201">
        <f t="array" ref="AX73">_xlfn.IFS(AND($K73&gt;AW$7,$L73&gt;AW$7),0,AND($K73&lt;=AW$7,$L73&lt;=AW$7),1,AND($K73&lt;=AW$7,$L73&gt;AW$7),((AW$7-$K73)/($L73-$K73)))</f>
        <v>0</v>
      </c>
      <c r="AY73" s="201">
        <f t="array" ref="AY73">_xlfn.IFS(AND($K73&gt;AX$7,$L73&gt;AX$7),0,AND($K73&lt;=AX$7,$L73&lt;=AX$7),1,AND($K73&lt;=AX$7,$L73&gt;AX$7),((AX$7-$K73)/($L73-$K73)))</f>
        <v>0</v>
      </c>
      <c r="AZ73" s="201">
        <f t="array" ref="AZ73">_xlfn.IFS(AND($K73&gt;AY$7,$L73&gt;AY$7),0,AND($K73&lt;=AY$7,$L73&lt;=AY$7),1,AND($K73&lt;=AY$7,$L73&gt;AY$7),((AY$7-$K73)/($L73-$K73)))</f>
        <v>0</v>
      </c>
      <c r="BA73" s="201">
        <f t="array" ref="BA73">_xlfn.IFS(AND($K73&gt;AZ$7,$L73&gt;AZ$7),0,AND($K73&lt;=AZ$7,$L73&lt;=AZ$7),1,AND($K73&lt;=AZ$7,$L73&gt;AZ$7),((AZ$7-$K73)/($L73-$K73)))</f>
        <v>0</v>
      </c>
      <c r="BB73" s="201">
        <f t="array" ref="BB73">_xlfn.IFS(AND($K73&gt;BA$7,$L73&gt;BA$7),0,AND($K73&lt;=BA$7,$L73&lt;=BA$7),1,AND($K73&lt;=BA$7,$L73&gt;BA$7),((BA$7-$K73)/($L73-$K73)))</f>
        <v>0</v>
      </c>
      <c r="BC73" s="201">
        <f t="array" ref="BC73">_xlfn.IFS(AND($K73&gt;BB$7,$L73&gt;BB$7),0,AND($K73&lt;=BB$7,$L73&lt;=BB$7),1,AND($K73&lt;=BB$7,$L73&gt;BB$7),((BB$7-$K73)/($L73-$K73)))</f>
        <v>0</v>
      </c>
      <c r="BD73" s="201">
        <f t="array" ref="BD73">_xlfn.IFS(AND($K73&gt;BC$7,$L73&gt;BC$7),0,AND($K73&lt;=BC$7,$L73&lt;=BC$7),1,AND($K73&lt;=BC$7,$L73&gt;BC$7),((BC$7-$K73)/($L73-$K73)))</f>
        <v>0</v>
      </c>
      <c r="BE73" s="201">
        <f t="array" ref="BE73">_xlfn.IFS(AND($K73&gt;BD$7,$L73&gt;BD$7),0,AND($K73&lt;=BD$7,$L73&lt;=BD$7),1,AND($K73&lt;=BD$7,$L73&gt;BD$7),((BD$7-$K73)/($L73-$K73)))</f>
        <v>0</v>
      </c>
      <c r="BF73" s="201">
        <f t="array" ref="BF73">_xlfn.IFS(AND($K73&gt;BE$7,$L73&gt;BE$7),0,AND($K73&lt;=BE$7,$L73&lt;=BE$7),1,AND($K73&lt;=BE$7,$L73&gt;BE$7),((BE$7-$K73)/($L73-$K73)))</f>
        <v>0</v>
      </c>
      <c r="BG73" s="201">
        <f t="array" ref="BG73">_xlfn.IFS(AND($K73&gt;BF$7,$L73&gt;BF$7),0,AND($K73&lt;=BF$7,$L73&lt;=BF$7),1,AND($K73&lt;=BF$7,$L73&gt;BF$7),((BF$7-$K73)/($L73-$K73)))</f>
        <v>0</v>
      </c>
      <c r="BH73" s="201">
        <f t="array" ref="BH73">_xlfn.IFS(AND($K73&gt;BG$7,$L73&gt;BG$7),0,AND($K73&lt;=BG$7,$L73&lt;=BG$7),1,AND($K73&lt;=BG$7,$L73&gt;BG$7),((BG$7-$K73)/($L73-$K73)))</f>
        <v>0</v>
      </c>
      <c r="BI73" s="201">
        <f t="array" ref="BI73">_xlfn.IFS(AND($K73&gt;BH$7,$L73&gt;BH$7),0,AND($K73&lt;=BH$7,$L73&lt;=BH$7),1,AND($K73&lt;=BH$7,$L73&gt;BH$7),((BH$7-$K73)/($L73-$K73)))</f>
        <v>0</v>
      </c>
      <c r="BJ73" s="201">
        <f t="array" ref="BJ73">_xlfn.IFS(AND($K73&gt;BI$7,$L73&gt;BI$7),0,AND($K73&lt;=BI$7,$L73&lt;=BI$7),1,AND($K73&lt;=BI$7,$L73&gt;BI$7),((BI$7-$K73)/($L73-$K73)))</f>
        <v>1</v>
      </c>
      <c r="BK73" s="201">
        <f t="array" ref="BK73">_xlfn.IFS(AND($K73&gt;BJ$7,$L73&gt;BJ$7),0,AND($K73&lt;=BJ$7,$L73&lt;=BJ$7),1,AND($K73&lt;=BJ$7,$L73&gt;BJ$7),((BJ$7-$K73)/($L73-$K73)))</f>
        <v>1</v>
      </c>
      <c r="BL73" s="201">
        <f t="array" ref="BL73">_xlfn.IFS(AND($K73&gt;BK$7,$L73&gt;BK$7),0,AND($K73&lt;=BK$7,$L73&lt;=BK$7),1,AND($K73&lt;=BK$7,$L73&gt;BK$7),((BK$7-$K73)/($L73-$K73)))</f>
        <v>1</v>
      </c>
      <c r="BM73" s="201">
        <f t="array" ref="BM73">_xlfn.IFS(AND($K73&gt;BL$7,$L73&gt;BL$7),0,AND($K73&lt;=BL$7,$L73&lt;=BL$7),1,AND($K73&lt;=BL$7,$L73&gt;BL$7),((BL$7-$K73)/($L73-$K73)))</f>
        <v>1</v>
      </c>
      <c r="BN73" s="201">
        <f t="array" ref="BN73">_xlfn.IFS(AND($K73&gt;BM$7,$L73&gt;BM$7),0,AND($K73&lt;=BM$7,$L73&lt;=BM$7),1,AND($K73&lt;=BM$7,$L73&gt;BM$7),((BM$7-$K73)/($L73-$K73)))</f>
        <v>1</v>
      </c>
    </row>
    <row r="74" spans="2:66" s="163" customFormat="1" ht="23.55" customHeight="1" x14ac:dyDescent="0.3">
      <c r="B74" s="166" t="s">
        <v>161</v>
      </c>
      <c r="C74" s="166" t="s">
        <v>196</v>
      </c>
      <c r="D74" s="177"/>
      <c r="E74" s="170" t="str">
        <f t="shared" si="30"/>
        <v>Desenvolvimento da Transformação dos Processos</v>
      </c>
      <c r="F74" s="174" t="str">
        <f t="shared" si="33"/>
        <v>Diagnóstico de Maturidade do Processo</v>
      </c>
      <c r="G74" s="166" t="str">
        <f t="shared" si="36"/>
        <v>Diagnóstico de Maturidade do Processo</v>
      </c>
      <c r="H74" s="197" t="s">
        <v>197</v>
      </c>
      <c r="I74" s="166">
        <v>45985</v>
      </c>
      <c r="J74" s="166">
        <v>45989</v>
      </c>
      <c r="K74" s="166">
        <v>45985</v>
      </c>
      <c r="L74" s="166">
        <v>45989</v>
      </c>
      <c r="M74" s="167"/>
      <c r="N74" s="167" t="str">
        <f t="array" ref="N74">_xlfn.IFS(L74&lt;$M$3,"Concluído",AND(K74&gt;=$M$3,I74&lt;$M$3,L74&gt;$M$3),"Em andamento",AND(L74&gt;=$M$3,J74&lt;$M$3),"Atrasado",AND(L74&gt;=$M$3,J74&gt;=$M$3,I74&gt;$M$3,K74&lt;=$M$3),"Em andamento",AND(L74&gt;=$M$3,J74&gt;=$M$3,I74&lt;=$M$3,K74&lt;=$M$3),"Em andamento",AND(K74&gt;$M$3,I74&gt;$M$3),"Não iniciado",AND(L74&gt;=$M$3,J74&gt;=$M$3,K74&gt;=$M$3,I74&lt;$M$3),"Atrasado",AND(L74&gt;=$M$3,J74&gt;=$M$3,K74&gt;=$M$3,I74&gt;$M$3),"Não iniciado",AND($I74&lt;=$M$3,$K74&gt;$M$3),"Atrasado")</f>
        <v>Não iniciado</v>
      </c>
      <c r="O74" s="167">
        <f t="array" ref="O74">_xlfn.IFS(N74="Não iniciado",0,N74="Em andamento",1,N74="Concluído",2,N74="Atrasado",3)</f>
        <v>0</v>
      </c>
      <c r="P74" s="169"/>
      <c r="Q74" s="152">
        <f t="array" ref="Q74">_xlfn.IFS(AND($I74&lt;$M$3,$J74&lt;$M$3),1,AND($I74&lt;$M$3,$J74&gt;=$M$3),0.5,AND($I74&gt;=$M$3,$J74&gt;=$M$3),0)</f>
        <v>0</v>
      </c>
      <c r="R74" s="152">
        <f t="array" ref="R74">_xlfn.IFS(AND($K74&lt;$M$3,$L74&lt;$M$3),1,AND($K74&lt;=$M$3,$L74&gt;=$M$3),0.5,AND($K74&gt;=$M$3,$L74&gt;=$M$3),0)</f>
        <v>0</v>
      </c>
      <c r="S74" s="201">
        <f t="array" ref="S74">_xlfn.IFS(AND($K74&gt;R$7,$L74&gt;R$7),0,AND($K74&lt;=R$7,$L74&lt;=R$7),1,AND($K74&lt;=R$7,$L74&gt;R$7),((R$7-$K74)/($L74-$K74)))</f>
        <v>0</v>
      </c>
      <c r="T74" s="201">
        <f t="array" ref="T74">_xlfn.IFS(AND($K74&gt;S$7,$L74&gt;S$7),0,AND($K74&lt;=S$7,$L74&lt;=S$7),1,AND($K74&lt;=S$7,$L74&gt;S$7),((S$7-$K74)/($L74-$K74)))</f>
        <v>0</v>
      </c>
      <c r="U74" s="201">
        <f t="array" ref="U74">_xlfn.IFS(AND($K74&gt;T$7,$L74&gt;T$7),0,AND($K74&lt;=T$7,$L74&lt;=T$7),1,AND($K74&lt;=T$7,$L74&gt;T$7),((T$7-$K74)/($L74-$K74)))</f>
        <v>0</v>
      </c>
      <c r="V74" s="201">
        <f t="array" ref="V74">_xlfn.IFS(AND($K74&gt;U$7,$L74&gt;U$7),0,AND($K74&lt;=U$7,$L74&lt;=U$7),1,AND($K74&lt;=U$7,$L74&gt;U$7),((U$7-$K74)/($L74-$K74)))</f>
        <v>0</v>
      </c>
      <c r="W74" s="201">
        <f t="array" ref="W74">_xlfn.IFS(AND($K74&gt;V$7,$L74&gt;V$7),0,AND($K74&lt;=V$7,$L74&lt;=V$7),1,AND($K74&lt;=V$7,$L74&gt;V$7),((V$7-$K74)/($L74-$K74)))</f>
        <v>0</v>
      </c>
      <c r="X74" s="201">
        <f t="array" ref="X74">_xlfn.IFS(AND($K74&gt;W$7,$L74&gt;W$7),0,AND($K74&lt;=W$7,$L74&lt;=W$7),1,AND($K74&lt;=W$7,$L74&gt;W$7),((W$7-$K74)/($L74-$K74)))</f>
        <v>0</v>
      </c>
      <c r="Y74" s="201">
        <f t="array" ref="Y74">_xlfn.IFS(AND($K74&gt;X$7,$L74&gt;X$7),0,AND($K74&lt;=X$7,$L74&lt;=X$7),1,AND($K74&lt;=X$7,$L74&gt;X$7),((X$7-$K74)/($L74-$K74)))</f>
        <v>0</v>
      </c>
      <c r="Z74" s="201">
        <f t="array" ref="Z74">_xlfn.IFS(AND($K74&gt;Y$7,$L74&gt;Y$7),0,AND($K74&lt;=Y$7,$L74&lt;=Y$7),1,AND($K74&lt;=Y$7,$L74&gt;Y$7),((Y$7-$K74)/($L74-$K74)))</f>
        <v>0</v>
      </c>
      <c r="AA74" s="201">
        <f t="array" ref="AA74">_xlfn.IFS(AND($K74&gt;Z$7,$L74&gt;Z$7),0,AND($K74&lt;=Z$7,$L74&lt;=Z$7),1,AND($K74&lt;=Z$7,$L74&gt;Z$7),((Z$7-$K74)/($L74-$K74)))</f>
        <v>0</v>
      </c>
      <c r="AB74" s="201">
        <f t="array" ref="AB74">_xlfn.IFS(AND($K74&gt;AA$7,$L74&gt;AA$7),0,AND($K74&lt;=AA$7,$L74&lt;=AA$7),1,AND($K74&lt;=AA$7,$L74&gt;AA$7),((AA$7-$K74)/($L74-$K74)))</f>
        <v>0</v>
      </c>
      <c r="AC74" s="201">
        <f t="array" ref="AC74">_xlfn.IFS(AND($K74&gt;AB$7,$L74&gt;AB$7),0,AND($K74&lt;=AB$7,$L74&lt;=AB$7),1,AND($K74&lt;=AB$7,$L74&gt;AB$7),((AB$7-$K74)/($L74-$K74)))</f>
        <v>0</v>
      </c>
      <c r="AD74" s="201">
        <f t="array" ref="AD74">_xlfn.IFS(AND($K74&gt;AC$7,$L74&gt;AC$7),0,AND($K74&lt;=AC$7,$L74&lt;=AC$7),1,AND($K74&lt;=AC$7,$L74&gt;AC$7),((AC$7-$K74)/($L74-$K74)))</f>
        <v>0</v>
      </c>
      <c r="AE74" s="201">
        <f t="array" ref="AE74">_xlfn.IFS(AND($K74&gt;AD$7,$L74&gt;AD$7),0,AND($K74&lt;=AD$7,$L74&lt;=AD$7),1,AND($K74&lt;=AD$7,$L74&gt;AD$7),((AD$7-$K74)/($L74-$K74)))</f>
        <v>0</v>
      </c>
      <c r="AF74" s="201">
        <f t="array" ref="AF74">_xlfn.IFS(AND($K74&gt;AE$7,$L74&gt;AE$7),0,AND($K74&lt;=AE$7,$L74&lt;=AE$7),1,AND($K74&lt;=AE$7,$L74&gt;AE$7),((AE$7-$K74)/($L74-$K74)))</f>
        <v>0</v>
      </c>
      <c r="AG74" s="201">
        <f t="array" ref="AG74">_xlfn.IFS(AND($K74&gt;AF$7,$L74&gt;AF$7),0,AND($K74&lt;=AF$7,$L74&lt;=AF$7),1,AND($K74&lt;=AF$7,$L74&gt;AF$7),((AF$7-$K74)/($L74-$K74)))</f>
        <v>0</v>
      </c>
      <c r="AH74" s="201">
        <f t="array" ref="AH74">_xlfn.IFS(AND($K74&gt;AG$7,$L74&gt;AG$7),0,AND($K74&lt;=AG$7,$L74&lt;=AG$7),1,AND($K74&lt;=AG$7,$L74&gt;AG$7),((AG$7-$K74)/($L74-$K74)))</f>
        <v>0</v>
      </c>
      <c r="AI74" s="201">
        <f t="array" ref="AI74">_xlfn.IFS(AND($K74&gt;AH$7,$L74&gt;AH$7),0,AND($K74&lt;=AH$7,$L74&lt;=AH$7),1,AND($K74&lt;=AH$7,$L74&gt;AH$7),((AH$7-$K74)/($L74-$K74)))</f>
        <v>0</v>
      </c>
      <c r="AJ74" s="201">
        <f t="array" ref="AJ74">_xlfn.IFS(AND($K74&gt;AI$7,$L74&gt;AI$7),0,AND($K74&lt;=AI$7,$L74&lt;=AI$7),1,AND($K74&lt;=AI$7,$L74&gt;AI$7),((AI$7-$K74)/($L74-$K74)))</f>
        <v>0</v>
      </c>
      <c r="AK74" s="201">
        <f t="array" ref="AK74">_xlfn.IFS(AND($K74&gt;AJ$7,$L74&gt;AJ$7),0,AND($K74&lt;=AJ$7,$L74&lt;=AJ$7),1,AND($K74&lt;=AJ$7,$L74&gt;AJ$7),((AJ$7-$K74)/($L74-$K74)))</f>
        <v>0</v>
      </c>
      <c r="AL74" s="201">
        <f t="array" ref="AL74">_xlfn.IFS(AND($K74&gt;AK$7,$L74&gt;AK$7),0,AND($K74&lt;=AK$7,$L74&lt;=AK$7),1,AND($K74&lt;=AK$7,$L74&gt;AK$7),((AK$7-$K74)/($L74-$K74)))</f>
        <v>0</v>
      </c>
      <c r="AM74" s="201">
        <f t="array" ref="AM74">_xlfn.IFS(AND($K74&gt;AL$7,$L74&gt;AL$7),0,AND($K74&lt;=AL$7,$L74&lt;=AL$7),1,AND($K74&lt;=AL$7,$L74&gt;AL$7),((AL$7-$K74)/($L74-$K74)))</f>
        <v>0</v>
      </c>
      <c r="AN74" s="201">
        <f t="array" ref="AN74">_xlfn.IFS(AND($K74&gt;AM$7,$L74&gt;AM$7),0,AND($K74&lt;=AM$7,$L74&lt;=AM$7),1,AND($K74&lt;=AM$7,$L74&gt;AM$7),((AM$7-$K74)/($L74-$K74)))</f>
        <v>0</v>
      </c>
      <c r="AO74" s="201">
        <f t="array" ref="AO74">_xlfn.IFS(AND($K74&gt;AN$7,$L74&gt;AN$7),0,AND($K74&lt;=AN$7,$L74&lt;=AN$7),1,AND($K74&lt;=AN$7,$L74&gt;AN$7),((AN$7-$K74)/($L74-$K74)))</f>
        <v>0</v>
      </c>
      <c r="AP74" s="201">
        <f t="array" ref="AP74">_xlfn.IFS(AND($K74&gt;AO$7,$L74&gt;AO$7),0,AND($K74&lt;=AO$7,$L74&lt;=AO$7),1,AND($K74&lt;=AO$7,$L74&gt;AO$7),((AO$7-$K74)/($L74-$K74)))</f>
        <v>0</v>
      </c>
      <c r="AQ74" s="201">
        <f t="array" ref="AQ74">_xlfn.IFS(AND($K74&gt;AP$7,$L74&gt;AP$7),0,AND($K74&lt;=AP$7,$L74&lt;=AP$7),1,AND($K74&lt;=AP$7,$L74&gt;AP$7),((AP$7-$K74)/($L74-$K74)))</f>
        <v>0</v>
      </c>
      <c r="AR74" s="201">
        <f t="array" ref="AR74">_xlfn.IFS(AND($K74&gt;AQ$7,$L74&gt;AQ$7),0,AND($K74&lt;=AQ$7,$L74&lt;=AQ$7),1,AND($K74&lt;=AQ$7,$L74&gt;AQ$7),((AQ$7-$K74)/($L74-$K74)))</f>
        <v>0</v>
      </c>
      <c r="AS74" s="201">
        <f t="array" ref="AS74">_xlfn.IFS(AND($K74&gt;AR$7,$L74&gt;AR$7),0,AND($K74&lt;=AR$7,$L74&lt;=AR$7),1,AND($K74&lt;=AR$7,$L74&gt;AR$7),((AR$7-$K74)/($L74-$K74)))</f>
        <v>0</v>
      </c>
      <c r="AT74" s="201">
        <f t="array" ref="AT74">_xlfn.IFS(AND($K74&gt;AS$7,$L74&gt;AS$7),0,AND($K74&lt;=AS$7,$L74&lt;=AS$7),1,AND($K74&lt;=AS$7,$L74&gt;AS$7),((AS$7-$K74)/($L74-$K74)))</f>
        <v>0</v>
      </c>
      <c r="AU74" s="201">
        <f t="array" ref="AU74">_xlfn.IFS(AND($K74&gt;AT$7,$L74&gt;AT$7),0,AND($K74&lt;=AT$7,$L74&lt;=AT$7),1,AND($K74&lt;=AT$7,$L74&gt;AT$7),((AT$7-$K74)/($L74-$K74)))</f>
        <v>0</v>
      </c>
      <c r="AV74" s="201">
        <f t="array" ref="AV74">_xlfn.IFS(AND($K74&gt;AU$7,$L74&gt;AU$7),0,AND($K74&lt;=AU$7,$L74&lt;=AU$7),1,AND($K74&lt;=AU$7,$L74&gt;AU$7),((AU$7-$K74)/($L74-$K74)))</f>
        <v>0</v>
      </c>
      <c r="AW74" s="201">
        <f t="array" ref="AW74">_xlfn.IFS(AND($K74&gt;AV$7,$L74&gt;AV$7),0,AND($K74&lt;=AV$7,$L74&lt;=AV$7),1,AND($K74&lt;=AV$7,$L74&gt;AV$7),((AV$7-$K74)/($L74-$K74)))</f>
        <v>0</v>
      </c>
      <c r="AX74" s="201">
        <f t="array" ref="AX74">_xlfn.IFS(AND($K74&gt;AW$7,$L74&gt;AW$7),0,AND($K74&lt;=AW$7,$L74&lt;=AW$7),1,AND($K74&lt;=AW$7,$L74&gt;AW$7),((AW$7-$K74)/($L74-$K74)))</f>
        <v>0</v>
      </c>
      <c r="AY74" s="201">
        <f t="array" ref="AY74">_xlfn.IFS(AND($K74&gt;AX$7,$L74&gt;AX$7),0,AND($K74&lt;=AX$7,$L74&lt;=AX$7),1,AND($K74&lt;=AX$7,$L74&gt;AX$7),((AX$7-$K74)/($L74-$K74)))</f>
        <v>0</v>
      </c>
      <c r="AZ74" s="201">
        <f t="array" ref="AZ74">_xlfn.IFS(AND($K74&gt;AY$7,$L74&gt;AY$7),0,AND($K74&lt;=AY$7,$L74&lt;=AY$7),1,AND($K74&lt;=AY$7,$L74&gt;AY$7),((AY$7-$K74)/($L74-$K74)))</f>
        <v>0</v>
      </c>
      <c r="BA74" s="201">
        <f t="array" ref="BA74">_xlfn.IFS(AND($K74&gt;AZ$7,$L74&gt;AZ$7),0,AND($K74&lt;=AZ$7,$L74&lt;=AZ$7),1,AND($K74&lt;=AZ$7,$L74&gt;AZ$7),((AZ$7-$K74)/($L74-$K74)))</f>
        <v>0</v>
      </c>
      <c r="BB74" s="201">
        <f t="array" ref="BB74">_xlfn.IFS(AND($K74&gt;BA$7,$L74&gt;BA$7),0,AND($K74&lt;=BA$7,$L74&lt;=BA$7),1,AND($K74&lt;=BA$7,$L74&gt;BA$7),((BA$7-$K74)/($L74-$K74)))</f>
        <v>0</v>
      </c>
      <c r="BC74" s="201">
        <f t="array" ref="BC74">_xlfn.IFS(AND($K74&gt;BB$7,$L74&gt;BB$7),0,AND($K74&lt;=BB$7,$L74&lt;=BB$7),1,AND($K74&lt;=BB$7,$L74&gt;BB$7),((BB$7-$K74)/($L74-$K74)))</f>
        <v>0</v>
      </c>
      <c r="BD74" s="201">
        <f t="array" ref="BD74">_xlfn.IFS(AND($K74&gt;BC$7,$L74&gt;BC$7),0,AND($K74&lt;=BC$7,$L74&lt;=BC$7),1,AND($K74&lt;=BC$7,$L74&gt;BC$7),((BC$7-$K74)/($L74-$K74)))</f>
        <v>0</v>
      </c>
      <c r="BE74" s="201">
        <f t="array" ref="BE74">_xlfn.IFS(AND($K74&gt;BD$7,$L74&gt;BD$7),0,AND($K74&lt;=BD$7,$L74&lt;=BD$7),1,AND($K74&lt;=BD$7,$L74&gt;BD$7),((BD$7-$K74)/($L74-$K74)))</f>
        <v>0</v>
      </c>
      <c r="BF74" s="201">
        <f t="array" ref="BF74">_xlfn.IFS(AND($K74&gt;BE$7,$L74&gt;BE$7),0,AND($K74&lt;=BE$7,$L74&lt;=BE$7),1,AND($K74&lt;=BE$7,$L74&gt;BE$7),((BE$7-$K74)/($L74-$K74)))</f>
        <v>0</v>
      </c>
      <c r="BG74" s="201">
        <f t="array" ref="BG74">_xlfn.IFS(AND($K74&gt;BF$7,$L74&gt;BF$7),0,AND($K74&lt;=BF$7,$L74&lt;=BF$7),1,AND($K74&lt;=BF$7,$L74&gt;BF$7),((BF$7-$K74)/($L74-$K74)))</f>
        <v>0</v>
      </c>
      <c r="BH74" s="201">
        <f t="array" ref="BH74">_xlfn.IFS(AND($K74&gt;BG$7,$L74&gt;BG$7),0,AND($K74&lt;=BG$7,$L74&lt;=BG$7),1,AND($K74&lt;=BG$7,$L74&gt;BG$7),((BG$7-$K74)/($L74-$K74)))</f>
        <v>0</v>
      </c>
      <c r="BI74" s="201">
        <f t="array" ref="BI74">_xlfn.IFS(AND($K74&gt;BH$7,$L74&gt;BH$7),0,AND($K74&lt;=BH$7,$L74&lt;=BH$7),1,AND($K74&lt;=BH$7,$L74&gt;BH$7),((BH$7-$K74)/($L74-$K74)))</f>
        <v>0</v>
      </c>
      <c r="BJ74" s="201">
        <f t="array" ref="BJ74">_xlfn.IFS(AND($K74&gt;BI$7,$L74&gt;BI$7),0,AND($K74&lt;=BI$7,$L74&lt;=BI$7),1,AND($K74&lt;=BI$7,$L74&gt;BI$7),((BI$7-$K74)/($L74-$K74)))</f>
        <v>1</v>
      </c>
      <c r="BK74" s="201">
        <f t="array" ref="BK74">_xlfn.IFS(AND($K74&gt;BJ$7,$L74&gt;BJ$7),0,AND($K74&lt;=BJ$7,$L74&lt;=BJ$7),1,AND($K74&lt;=BJ$7,$L74&gt;BJ$7),((BJ$7-$K74)/($L74-$K74)))</f>
        <v>1</v>
      </c>
      <c r="BL74" s="201">
        <f t="array" ref="BL74">_xlfn.IFS(AND($K74&gt;BK$7,$L74&gt;BK$7),0,AND($K74&lt;=BK$7,$L74&lt;=BK$7),1,AND($K74&lt;=BK$7,$L74&gt;BK$7),((BK$7-$K74)/($L74-$K74)))</f>
        <v>1</v>
      </c>
      <c r="BM74" s="201">
        <f t="array" ref="BM74">_xlfn.IFS(AND($K74&gt;BL$7,$L74&gt;BL$7),0,AND($K74&lt;=BL$7,$L74&lt;=BL$7),1,AND($K74&lt;=BL$7,$L74&gt;BL$7),((BL$7-$K74)/($L74-$K74)))</f>
        <v>1</v>
      </c>
      <c r="BN74" s="201">
        <f t="array" ref="BN74">_xlfn.IFS(AND($K74&gt;BM$7,$L74&gt;BM$7),0,AND($K74&lt;=BM$7,$L74&lt;=BM$7),1,AND($K74&lt;=BM$7,$L74&gt;BM$7),((BM$7-$K74)/($L74-$K74)))</f>
        <v>1</v>
      </c>
    </row>
    <row r="75" spans="2:66" s="163" customFormat="1" ht="23.55" customHeight="1" x14ac:dyDescent="0.3">
      <c r="B75" s="166" t="s">
        <v>161</v>
      </c>
      <c r="C75" s="166" t="s">
        <v>198</v>
      </c>
      <c r="D75" s="177"/>
      <c r="E75" s="170" t="str">
        <f t="shared" si="30"/>
        <v>Desenvolvimento da Transformação dos Processos</v>
      </c>
      <c r="F75" s="174" t="str">
        <f t="shared" si="33"/>
        <v>Diagnóstico de Maturidade do Processo</v>
      </c>
      <c r="G75" s="166" t="str">
        <f t="shared" si="36"/>
        <v>Diagnóstico de Maturidade do Processo</v>
      </c>
      <c r="H75" s="197" t="s">
        <v>199</v>
      </c>
      <c r="I75" s="166">
        <v>45985</v>
      </c>
      <c r="J75" s="166">
        <v>45989</v>
      </c>
      <c r="K75" s="166">
        <v>45985</v>
      </c>
      <c r="L75" s="166">
        <v>45989</v>
      </c>
      <c r="M75" s="167"/>
      <c r="N75" s="167" t="str">
        <f t="array" ref="N75">_xlfn.IFS(L75&lt;$M$3,"Concluído",AND(K75&gt;=$M$3,I75&lt;$M$3,L75&gt;$M$3),"Em andamento",AND(L75&gt;=$M$3,J75&lt;$M$3),"Atrasado",AND(L75&gt;=$M$3,J75&gt;=$M$3,I75&gt;$M$3,K75&lt;=$M$3),"Em andamento",AND(L75&gt;=$M$3,J75&gt;=$M$3,I75&lt;=$M$3,K75&lt;=$M$3),"Em andamento",AND(K75&gt;$M$3,I75&gt;$M$3),"Não iniciado",AND(L75&gt;=$M$3,J75&gt;=$M$3,K75&gt;=$M$3,I75&lt;$M$3),"Atrasado",AND(L75&gt;=$M$3,J75&gt;=$M$3,K75&gt;=$M$3,I75&gt;$M$3),"Não iniciado",AND($I75&lt;=$M$3,$K75&gt;$M$3),"Atrasado")</f>
        <v>Não iniciado</v>
      </c>
      <c r="O75" s="167">
        <f t="array" ref="O75">_xlfn.IFS(N75="Não iniciado",0,N75="Em andamento",1,N75="Concluído",2,N75="Atrasado",3)</f>
        <v>0</v>
      </c>
      <c r="P75" s="169"/>
      <c r="Q75" s="152">
        <f t="array" ref="Q75">_xlfn.IFS(AND($I75&lt;$M$3,$J75&lt;$M$3),1,AND($I75&lt;$M$3,$J75&gt;=$M$3),0.5,AND($I75&gt;=$M$3,$J75&gt;=$M$3),0)</f>
        <v>0</v>
      </c>
      <c r="R75" s="152">
        <f t="array" ref="R75">_xlfn.IFS(AND($K75&lt;$M$3,$L75&lt;$M$3),1,AND($K75&lt;=$M$3,$L75&gt;=$M$3),0.5,AND($K75&gt;=$M$3,$L75&gt;=$M$3),0)</f>
        <v>0</v>
      </c>
      <c r="S75" s="201">
        <f t="array" ref="S75">_xlfn.IFS(AND($K75&gt;R$7,$L75&gt;R$7),0,AND($K75&lt;=R$7,$L75&lt;=R$7),1,AND($K75&lt;=R$7,$L75&gt;R$7),((R$7-$K75)/($L75-$K75)))</f>
        <v>0</v>
      </c>
      <c r="T75" s="201">
        <f t="array" ref="T75">_xlfn.IFS(AND($K75&gt;S$7,$L75&gt;S$7),0,AND($K75&lt;=S$7,$L75&lt;=S$7),1,AND($K75&lt;=S$7,$L75&gt;S$7),((S$7-$K75)/($L75-$K75)))</f>
        <v>0</v>
      </c>
      <c r="U75" s="201">
        <f t="array" ref="U75">_xlfn.IFS(AND($K75&gt;T$7,$L75&gt;T$7),0,AND($K75&lt;=T$7,$L75&lt;=T$7),1,AND($K75&lt;=T$7,$L75&gt;T$7),((T$7-$K75)/($L75-$K75)))</f>
        <v>0</v>
      </c>
      <c r="V75" s="201">
        <f t="array" ref="V75">_xlfn.IFS(AND($K75&gt;U$7,$L75&gt;U$7),0,AND($K75&lt;=U$7,$L75&lt;=U$7),1,AND($K75&lt;=U$7,$L75&gt;U$7),((U$7-$K75)/($L75-$K75)))</f>
        <v>0</v>
      </c>
      <c r="W75" s="201">
        <f t="array" ref="W75">_xlfn.IFS(AND($K75&gt;V$7,$L75&gt;V$7),0,AND($K75&lt;=V$7,$L75&lt;=V$7),1,AND($K75&lt;=V$7,$L75&gt;V$7),((V$7-$K75)/($L75-$K75)))</f>
        <v>0</v>
      </c>
      <c r="X75" s="201">
        <f t="array" ref="X75">_xlfn.IFS(AND($K75&gt;W$7,$L75&gt;W$7),0,AND($K75&lt;=W$7,$L75&lt;=W$7),1,AND($K75&lt;=W$7,$L75&gt;W$7),((W$7-$K75)/($L75-$K75)))</f>
        <v>0</v>
      </c>
      <c r="Y75" s="201">
        <f t="array" ref="Y75">_xlfn.IFS(AND($K75&gt;X$7,$L75&gt;X$7),0,AND($K75&lt;=X$7,$L75&lt;=X$7),1,AND($K75&lt;=X$7,$L75&gt;X$7),((X$7-$K75)/($L75-$K75)))</f>
        <v>0</v>
      </c>
      <c r="Z75" s="201">
        <f t="array" ref="Z75">_xlfn.IFS(AND($K75&gt;Y$7,$L75&gt;Y$7),0,AND($K75&lt;=Y$7,$L75&lt;=Y$7),1,AND($K75&lt;=Y$7,$L75&gt;Y$7),((Y$7-$K75)/($L75-$K75)))</f>
        <v>0</v>
      </c>
      <c r="AA75" s="201">
        <f t="array" ref="AA75">_xlfn.IFS(AND($K75&gt;Z$7,$L75&gt;Z$7),0,AND($K75&lt;=Z$7,$L75&lt;=Z$7),1,AND($K75&lt;=Z$7,$L75&gt;Z$7),((Z$7-$K75)/($L75-$K75)))</f>
        <v>0</v>
      </c>
      <c r="AB75" s="201">
        <f t="array" ref="AB75">_xlfn.IFS(AND($K75&gt;AA$7,$L75&gt;AA$7),0,AND($K75&lt;=AA$7,$L75&lt;=AA$7),1,AND($K75&lt;=AA$7,$L75&gt;AA$7),((AA$7-$K75)/($L75-$K75)))</f>
        <v>0</v>
      </c>
      <c r="AC75" s="201">
        <f t="array" ref="AC75">_xlfn.IFS(AND($K75&gt;AB$7,$L75&gt;AB$7),0,AND($K75&lt;=AB$7,$L75&lt;=AB$7),1,AND($K75&lt;=AB$7,$L75&gt;AB$7),((AB$7-$K75)/($L75-$K75)))</f>
        <v>0</v>
      </c>
      <c r="AD75" s="201">
        <f t="array" ref="AD75">_xlfn.IFS(AND($K75&gt;AC$7,$L75&gt;AC$7),0,AND($K75&lt;=AC$7,$L75&lt;=AC$7),1,AND($K75&lt;=AC$7,$L75&gt;AC$7),((AC$7-$K75)/($L75-$K75)))</f>
        <v>0</v>
      </c>
      <c r="AE75" s="201">
        <f t="array" ref="AE75">_xlfn.IFS(AND($K75&gt;AD$7,$L75&gt;AD$7),0,AND($K75&lt;=AD$7,$L75&lt;=AD$7),1,AND($K75&lt;=AD$7,$L75&gt;AD$7),((AD$7-$K75)/($L75-$K75)))</f>
        <v>0</v>
      </c>
      <c r="AF75" s="201">
        <f t="array" ref="AF75">_xlfn.IFS(AND($K75&gt;AE$7,$L75&gt;AE$7),0,AND($K75&lt;=AE$7,$L75&lt;=AE$7),1,AND($K75&lt;=AE$7,$L75&gt;AE$7),((AE$7-$K75)/($L75-$K75)))</f>
        <v>0</v>
      </c>
      <c r="AG75" s="201">
        <f t="array" ref="AG75">_xlfn.IFS(AND($K75&gt;AF$7,$L75&gt;AF$7),0,AND($K75&lt;=AF$7,$L75&lt;=AF$7),1,AND($K75&lt;=AF$7,$L75&gt;AF$7),((AF$7-$K75)/($L75-$K75)))</f>
        <v>0</v>
      </c>
      <c r="AH75" s="201">
        <f t="array" ref="AH75">_xlfn.IFS(AND($K75&gt;AG$7,$L75&gt;AG$7),0,AND($K75&lt;=AG$7,$L75&lt;=AG$7),1,AND($K75&lt;=AG$7,$L75&gt;AG$7),((AG$7-$K75)/($L75-$K75)))</f>
        <v>0</v>
      </c>
      <c r="AI75" s="201">
        <f t="array" ref="AI75">_xlfn.IFS(AND($K75&gt;AH$7,$L75&gt;AH$7),0,AND($K75&lt;=AH$7,$L75&lt;=AH$7),1,AND($K75&lt;=AH$7,$L75&gt;AH$7),((AH$7-$K75)/($L75-$K75)))</f>
        <v>0</v>
      </c>
      <c r="AJ75" s="201">
        <f t="array" ref="AJ75">_xlfn.IFS(AND($K75&gt;AI$7,$L75&gt;AI$7),0,AND($K75&lt;=AI$7,$L75&lt;=AI$7),1,AND($K75&lt;=AI$7,$L75&gt;AI$7),((AI$7-$K75)/($L75-$K75)))</f>
        <v>0</v>
      </c>
      <c r="AK75" s="201">
        <f t="array" ref="AK75">_xlfn.IFS(AND($K75&gt;AJ$7,$L75&gt;AJ$7),0,AND($K75&lt;=AJ$7,$L75&lt;=AJ$7),1,AND($K75&lt;=AJ$7,$L75&gt;AJ$7),((AJ$7-$K75)/($L75-$K75)))</f>
        <v>0</v>
      </c>
      <c r="AL75" s="201">
        <f t="array" ref="AL75">_xlfn.IFS(AND($K75&gt;AK$7,$L75&gt;AK$7),0,AND($K75&lt;=AK$7,$L75&lt;=AK$7),1,AND($K75&lt;=AK$7,$L75&gt;AK$7),((AK$7-$K75)/($L75-$K75)))</f>
        <v>0</v>
      </c>
      <c r="AM75" s="201">
        <f t="array" ref="AM75">_xlfn.IFS(AND($K75&gt;AL$7,$L75&gt;AL$7),0,AND($K75&lt;=AL$7,$L75&lt;=AL$7),1,AND($K75&lt;=AL$7,$L75&gt;AL$7),((AL$7-$K75)/($L75-$K75)))</f>
        <v>0</v>
      </c>
      <c r="AN75" s="201">
        <f t="array" ref="AN75">_xlfn.IFS(AND($K75&gt;AM$7,$L75&gt;AM$7),0,AND($K75&lt;=AM$7,$L75&lt;=AM$7),1,AND($K75&lt;=AM$7,$L75&gt;AM$7),((AM$7-$K75)/($L75-$K75)))</f>
        <v>0</v>
      </c>
      <c r="AO75" s="201">
        <f t="array" ref="AO75">_xlfn.IFS(AND($K75&gt;AN$7,$L75&gt;AN$7),0,AND($K75&lt;=AN$7,$L75&lt;=AN$7),1,AND($K75&lt;=AN$7,$L75&gt;AN$7),((AN$7-$K75)/($L75-$K75)))</f>
        <v>0</v>
      </c>
      <c r="AP75" s="201">
        <f t="array" ref="AP75">_xlfn.IFS(AND($K75&gt;AO$7,$L75&gt;AO$7),0,AND($K75&lt;=AO$7,$L75&lt;=AO$7),1,AND($K75&lt;=AO$7,$L75&gt;AO$7),((AO$7-$K75)/($L75-$K75)))</f>
        <v>0</v>
      </c>
      <c r="AQ75" s="201">
        <f t="array" ref="AQ75">_xlfn.IFS(AND($K75&gt;AP$7,$L75&gt;AP$7),0,AND($K75&lt;=AP$7,$L75&lt;=AP$7),1,AND($K75&lt;=AP$7,$L75&gt;AP$7),((AP$7-$K75)/($L75-$K75)))</f>
        <v>0</v>
      </c>
      <c r="AR75" s="201">
        <f t="array" ref="AR75">_xlfn.IFS(AND($K75&gt;AQ$7,$L75&gt;AQ$7),0,AND($K75&lt;=AQ$7,$L75&lt;=AQ$7),1,AND($K75&lt;=AQ$7,$L75&gt;AQ$7),((AQ$7-$K75)/($L75-$K75)))</f>
        <v>0</v>
      </c>
      <c r="AS75" s="201">
        <f t="array" ref="AS75">_xlfn.IFS(AND($K75&gt;AR$7,$L75&gt;AR$7),0,AND($K75&lt;=AR$7,$L75&lt;=AR$7),1,AND($K75&lt;=AR$7,$L75&gt;AR$7),((AR$7-$K75)/($L75-$K75)))</f>
        <v>0</v>
      </c>
      <c r="AT75" s="201">
        <f t="array" ref="AT75">_xlfn.IFS(AND($K75&gt;AS$7,$L75&gt;AS$7),0,AND($K75&lt;=AS$7,$L75&lt;=AS$7),1,AND($K75&lt;=AS$7,$L75&gt;AS$7),((AS$7-$K75)/($L75-$K75)))</f>
        <v>0</v>
      </c>
      <c r="AU75" s="201">
        <f t="array" ref="AU75">_xlfn.IFS(AND($K75&gt;AT$7,$L75&gt;AT$7),0,AND($K75&lt;=AT$7,$L75&lt;=AT$7),1,AND($K75&lt;=AT$7,$L75&gt;AT$7),((AT$7-$K75)/($L75-$K75)))</f>
        <v>0</v>
      </c>
      <c r="AV75" s="201">
        <f t="array" ref="AV75">_xlfn.IFS(AND($K75&gt;AU$7,$L75&gt;AU$7),0,AND($K75&lt;=AU$7,$L75&lt;=AU$7),1,AND($K75&lt;=AU$7,$L75&gt;AU$7),((AU$7-$K75)/($L75-$K75)))</f>
        <v>0</v>
      </c>
      <c r="AW75" s="201">
        <f t="array" ref="AW75">_xlfn.IFS(AND($K75&gt;AV$7,$L75&gt;AV$7),0,AND($K75&lt;=AV$7,$L75&lt;=AV$7),1,AND($K75&lt;=AV$7,$L75&gt;AV$7),((AV$7-$K75)/($L75-$K75)))</f>
        <v>0</v>
      </c>
      <c r="AX75" s="201">
        <f t="array" ref="AX75">_xlfn.IFS(AND($K75&gt;AW$7,$L75&gt;AW$7),0,AND($K75&lt;=AW$7,$L75&lt;=AW$7),1,AND($K75&lt;=AW$7,$L75&gt;AW$7),((AW$7-$K75)/($L75-$K75)))</f>
        <v>0</v>
      </c>
      <c r="AY75" s="201">
        <f t="array" ref="AY75">_xlfn.IFS(AND($K75&gt;AX$7,$L75&gt;AX$7),0,AND($K75&lt;=AX$7,$L75&lt;=AX$7),1,AND($K75&lt;=AX$7,$L75&gt;AX$7),((AX$7-$K75)/($L75-$K75)))</f>
        <v>0</v>
      </c>
      <c r="AZ75" s="201">
        <f t="array" ref="AZ75">_xlfn.IFS(AND($K75&gt;AY$7,$L75&gt;AY$7),0,AND($K75&lt;=AY$7,$L75&lt;=AY$7),1,AND($K75&lt;=AY$7,$L75&gt;AY$7),((AY$7-$K75)/($L75-$K75)))</f>
        <v>0</v>
      </c>
      <c r="BA75" s="201">
        <f t="array" ref="BA75">_xlfn.IFS(AND($K75&gt;AZ$7,$L75&gt;AZ$7),0,AND($K75&lt;=AZ$7,$L75&lt;=AZ$7),1,AND($K75&lt;=AZ$7,$L75&gt;AZ$7),((AZ$7-$K75)/($L75-$K75)))</f>
        <v>0</v>
      </c>
      <c r="BB75" s="201">
        <f t="array" ref="BB75">_xlfn.IFS(AND($K75&gt;BA$7,$L75&gt;BA$7),0,AND($K75&lt;=BA$7,$L75&lt;=BA$7),1,AND($K75&lt;=BA$7,$L75&gt;BA$7),((BA$7-$K75)/($L75-$K75)))</f>
        <v>0</v>
      </c>
      <c r="BC75" s="201">
        <f t="array" ref="BC75">_xlfn.IFS(AND($K75&gt;BB$7,$L75&gt;BB$7),0,AND($K75&lt;=BB$7,$L75&lt;=BB$7),1,AND($K75&lt;=BB$7,$L75&gt;BB$7),((BB$7-$K75)/($L75-$K75)))</f>
        <v>0</v>
      </c>
      <c r="BD75" s="201">
        <f t="array" ref="BD75">_xlfn.IFS(AND($K75&gt;BC$7,$L75&gt;BC$7),0,AND($K75&lt;=BC$7,$L75&lt;=BC$7),1,AND($K75&lt;=BC$7,$L75&gt;BC$7),((BC$7-$K75)/($L75-$K75)))</f>
        <v>0</v>
      </c>
      <c r="BE75" s="201">
        <f t="array" ref="BE75">_xlfn.IFS(AND($K75&gt;BD$7,$L75&gt;BD$7),0,AND($K75&lt;=BD$7,$L75&lt;=BD$7),1,AND($K75&lt;=BD$7,$L75&gt;BD$7),((BD$7-$K75)/($L75-$K75)))</f>
        <v>0</v>
      </c>
      <c r="BF75" s="201">
        <f t="array" ref="BF75">_xlfn.IFS(AND($K75&gt;BE$7,$L75&gt;BE$7),0,AND($K75&lt;=BE$7,$L75&lt;=BE$7),1,AND($K75&lt;=BE$7,$L75&gt;BE$7),((BE$7-$K75)/($L75-$K75)))</f>
        <v>0</v>
      </c>
      <c r="BG75" s="201">
        <f t="array" ref="BG75">_xlfn.IFS(AND($K75&gt;BF$7,$L75&gt;BF$7),0,AND($K75&lt;=BF$7,$L75&lt;=BF$7),1,AND($K75&lt;=BF$7,$L75&gt;BF$7),((BF$7-$K75)/($L75-$K75)))</f>
        <v>0</v>
      </c>
      <c r="BH75" s="201">
        <f t="array" ref="BH75">_xlfn.IFS(AND($K75&gt;BG$7,$L75&gt;BG$7),0,AND($K75&lt;=BG$7,$L75&lt;=BG$7),1,AND($K75&lt;=BG$7,$L75&gt;BG$7),((BG$7-$K75)/($L75-$K75)))</f>
        <v>0</v>
      </c>
      <c r="BI75" s="201">
        <f t="array" ref="BI75">_xlfn.IFS(AND($K75&gt;BH$7,$L75&gt;BH$7),0,AND($K75&lt;=BH$7,$L75&lt;=BH$7),1,AND($K75&lt;=BH$7,$L75&gt;BH$7),((BH$7-$K75)/($L75-$K75)))</f>
        <v>0</v>
      </c>
      <c r="BJ75" s="201">
        <f t="array" ref="BJ75">_xlfn.IFS(AND($K75&gt;BI$7,$L75&gt;BI$7),0,AND($K75&lt;=BI$7,$L75&lt;=BI$7),1,AND($K75&lt;=BI$7,$L75&gt;BI$7),((BI$7-$K75)/($L75-$K75)))</f>
        <v>1</v>
      </c>
      <c r="BK75" s="201">
        <f t="array" ref="BK75">_xlfn.IFS(AND($K75&gt;BJ$7,$L75&gt;BJ$7),0,AND($K75&lt;=BJ$7,$L75&lt;=BJ$7),1,AND($K75&lt;=BJ$7,$L75&gt;BJ$7),((BJ$7-$K75)/($L75-$K75)))</f>
        <v>1</v>
      </c>
      <c r="BL75" s="201">
        <f t="array" ref="BL75">_xlfn.IFS(AND($K75&gt;BK$7,$L75&gt;BK$7),0,AND($K75&lt;=BK$7,$L75&lt;=BK$7),1,AND($K75&lt;=BK$7,$L75&gt;BK$7),((BK$7-$K75)/($L75-$K75)))</f>
        <v>1</v>
      </c>
      <c r="BM75" s="201">
        <f t="array" ref="BM75">_xlfn.IFS(AND($K75&gt;BL$7,$L75&gt;BL$7),0,AND($K75&lt;=BL$7,$L75&lt;=BL$7),1,AND($K75&lt;=BL$7,$L75&gt;BL$7),((BL$7-$K75)/($L75-$K75)))</f>
        <v>1</v>
      </c>
      <c r="BN75" s="201">
        <f t="array" ref="BN75">_xlfn.IFS(AND($K75&gt;BM$7,$L75&gt;BM$7),0,AND($K75&lt;=BM$7,$L75&lt;=BM$7),1,AND($K75&lt;=BM$7,$L75&gt;BM$7),((BM$7-$K75)/($L75-$K75)))</f>
        <v>1</v>
      </c>
    </row>
    <row r="76" spans="2:66" x14ac:dyDescent="0.3">
      <c r="B76" s="170" t="str">
        <f t="array" ref="B76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3</v>
      </c>
      <c r="C76" s="170" t="s">
        <v>200</v>
      </c>
      <c r="D76" s="177" t="str">
        <f>$H$11</f>
        <v>Arquitetura de projetos GERDAU</v>
      </c>
      <c r="E76" s="170" t="str">
        <f t="shared" si="30"/>
        <v>Desenvolvimento da Transformação dos Processos</v>
      </c>
      <c r="F76" s="170" t="s">
        <v>74</v>
      </c>
      <c r="G76" s="170" t="s">
        <v>74</v>
      </c>
      <c r="H76" s="194" t="s">
        <v>201</v>
      </c>
      <c r="I76" s="170">
        <f>I77</f>
        <v>45736</v>
      </c>
      <c r="J76" s="170">
        <f>J77</f>
        <v>45996</v>
      </c>
      <c r="K76" s="170">
        <f>K77</f>
        <v>45736</v>
      </c>
      <c r="L76" s="170">
        <f>L77</f>
        <v>45996</v>
      </c>
      <c r="M76" s="171"/>
      <c r="N76" s="171" t="str">
        <f t="array" ref="N76">_xlfn.IFS(L76&lt;$M$3,"Concluído",AND(K76&gt;=$M$3,I76&lt;$M$3,L76&gt;$M$3),"Em andamento",AND(L76&gt;=$M$3,J76&lt;$M$3),"Atrasado",AND(L76&gt;=$M$3,J76&gt;=$M$3,I76&gt;$M$3,K76&lt;=$M$3),"Em andamento",AND(L76&gt;=$M$3,J76&gt;=$M$3,I76&lt;=$M$3,K76&lt;=$M$3),"Em andamento",AND(K76&gt;$M$3,I76&gt;$M$3),"Não iniciado",AND(L76&gt;=$M$3,J76&gt;=$M$3,K76&gt;=$M$3,I76&lt;$M$3),"Atrasado",AND(L76&gt;=$M$3,J76&gt;=$M$3,K76&gt;=$M$3,I76&gt;$M$3),"Não iniciado",AND($I76&lt;=$M$3,$K76&gt;$M$3),"Atrasado")</f>
        <v>Em andamento</v>
      </c>
      <c r="O76" s="171">
        <f t="array" ref="O76">_xlfn.IFS(N76="Não iniciado",0,N76="Em andamento",1,N76="Concluído",2,N76="Atrasado",3)</f>
        <v>1</v>
      </c>
      <c r="P76" s="172"/>
      <c r="Q76" s="173">
        <f t="shared" ref="Q76:AV76" si="37">Q77</f>
        <v>0.5</v>
      </c>
      <c r="R76" s="173">
        <f t="shared" si="37"/>
        <v>0.5</v>
      </c>
      <c r="S76" s="173">
        <f t="shared" si="37"/>
        <v>0</v>
      </c>
      <c r="T76" s="173">
        <f t="shared" si="37"/>
        <v>0</v>
      </c>
      <c r="U76" s="173">
        <f t="shared" si="37"/>
        <v>0</v>
      </c>
      <c r="V76" s="173">
        <f t="shared" si="37"/>
        <v>0</v>
      </c>
      <c r="W76" s="173">
        <f t="shared" si="37"/>
        <v>0</v>
      </c>
      <c r="X76" s="173">
        <f t="shared" si="37"/>
        <v>0</v>
      </c>
      <c r="Y76" s="173">
        <f t="shared" si="37"/>
        <v>0</v>
      </c>
      <c r="Z76" s="173">
        <f t="shared" si="37"/>
        <v>1.6666666666666666E-2</v>
      </c>
      <c r="AA76" s="173">
        <f t="shared" si="37"/>
        <v>0.1</v>
      </c>
      <c r="AB76" s="173">
        <f t="shared" si="37"/>
        <v>0.1</v>
      </c>
      <c r="AC76" s="173">
        <f t="shared" si="37"/>
        <v>0.1</v>
      </c>
      <c r="AD76" s="173">
        <f t="shared" si="37"/>
        <v>0.1</v>
      </c>
      <c r="AE76" s="173">
        <f t="shared" si="37"/>
        <v>0.13030303030303031</v>
      </c>
      <c r="AF76" s="173">
        <f t="shared" si="37"/>
        <v>0.23469387755102039</v>
      </c>
      <c r="AG76" s="173">
        <f t="shared" si="37"/>
        <v>0.23945578231292516</v>
      </c>
      <c r="AH76" s="173">
        <f t="shared" si="37"/>
        <v>0.24421768707482994</v>
      </c>
      <c r="AI76" s="173">
        <f t="shared" si="37"/>
        <v>0.24897959183673468</v>
      </c>
      <c r="AJ76" s="173">
        <f t="shared" si="37"/>
        <v>0.25953859804791485</v>
      </c>
      <c r="AK76" s="173">
        <f t="shared" si="37"/>
        <v>0.27444543034605146</v>
      </c>
      <c r="AL76" s="173">
        <f t="shared" si="37"/>
        <v>0.3893522626441881</v>
      </c>
      <c r="AM76" s="173">
        <f t="shared" si="37"/>
        <v>0.4</v>
      </c>
      <c r="AN76" s="173">
        <f t="shared" si="37"/>
        <v>0.4</v>
      </c>
      <c r="AO76" s="173">
        <f t="shared" si="37"/>
        <v>0.4</v>
      </c>
      <c r="AP76" s="173">
        <f t="shared" si="37"/>
        <v>0.5</v>
      </c>
      <c r="AQ76" s="173">
        <f t="shared" si="37"/>
        <v>0.5</v>
      </c>
      <c r="AR76" s="173">
        <f t="shared" si="37"/>
        <v>0.5</v>
      </c>
      <c r="AS76" s="173">
        <f t="shared" si="37"/>
        <v>0.5</v>
      </c>
      <c r="AT76" s="173">
        <f t="shared" si="37"/>
        <v>0.5</v>
      </c>
      <c r="AU76" s="173">
        <f t="shared" si="37"/>
        <v>0.6</v>
      </c>
      <c r="AV76" s="173">
        <f t="shared" si="37"/>
        <v>0.6</v>
      </c>
      <c r="AW76" s="173">
        <f t="shared" ref="AW76:BN76" si="38">AW77</f>
        <v>0.6</v>
      </c>
      <c r="AX76" s="173">
        <f t="shared" si="38"/>
        <v>0.6</v>
      </c>
      <c r="AY76" s="173">
        <f t="shared" si="38"/>
        <v>0.7</v>
      </c>
      <c r="AZ76" s="173">
        <f t="shared" si="38"/>
        <v>0.7</v>
      </c>
      <c r="BA76" s="173">
        <f t="shared" si="38"/>
        <v>0.7</v>
      </c>
      <c r="BB76" s="173">
        <f t="shared" si="38"/>
        <v>0.7</v>
      </c>
      <c r="BC76" s="173">
        <f t="shared" si="38"/>
        <v>0.8</v>
      </c>
      <c r="BD76" s="173">
        <f t="shared" si="38"/>
        <v>0.8</v>
      </c>
      <c r="BE76" s="173">
        <f t="shared" si="38"/>
        <v>0.8</v>
      </c>
      <c r="BF76" s="173">
        <f t="shared" si="38"/>
        <v>0.8</v>
      </c>
      <c r="BG76" s="173">
        <f t="shared" si="38"/>
        <v>0.9</v>
      </c>
      <c r="BH76" s="173">
        <f t="shared" si="38"/>
        <v>0.9</v>
      </c>
      <c r="BI76" s="173">
        <f t="shared" si="38"/>
        <v>0.9</v>
      </c>
      <c r="BJ76" s="173">
        <f t="shared" si="38"/>
        <v>0.9</v>
      </c>
      <c r="BK76" s="173">
        <f t="shared" si="38"/>
        <v>1</v>
      </c>
      <c r="BL76" s="173">
        <f t="shared" si="38"/>
        <v>1</v>
      </c>
      <c r="BM76" s="173">
        <f t="shared" si="38"/>
        <v>1</v>
      </c>
      <c r="BN76" s="173">
        <f t="shared" si="38"/>
        <v>1</v>
      </c>
    </row>
    <row r="77" spans="2:66" ht="15" customHeight="1" x14ac:dyDescent="0.3">
      <c r="B77" s="174" t="str">
        <f t="array" ref="B77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77" s="174" t="s">
        <v>202</v>
      </c>
      <c r="D77" s="177"/>
      <c r="E77" s="170" t="str">
        <f t="shared" si="30"/>
        <v>Desenvolvimento da Transformação dos Processos</v>
      </c>
      <c r="F77" s="174" t="str">
        <f t="shared" ref="F77:F107" si="39">$H$76</f>
        <v>Modelagem To Be</v>
      </c>
      <c r="G77" s="174"/>
      <c r="H77" s="195" t="s">
        <v>201</v>
      </c>
      <c r="I77" s="174">
        <f>MIN(I78:I107)</f>
        <v>45736</v>
      </c>
      <c r="J77" s="174">
        <f>MAX(J78:J107)</f>
        <v>45996</v>
      </c>
      <c r="K77" s="174">
        <f>MIN(K78:K107)</f>
        <v>45736</v>
      </c>
      <c r="L77" s="174">
        <f>MAX(L78:L107)</f>
        <v>45996</v>
      </c>
      <c r="M77" s="175"/>
      <c r="N77" s="175" t="str">
        <f t="array" ref="N77">_xlfn.IFS(L77&lt;$M$3,"Concluído",AND(K77&gt;=$M$3,I77&lt;$M$3,L77&gt;$M$3),"Em andamento",AND(L77&gt;=$M$3,J77&lt;$M$3),"Atrasado",AND(L77&gt;=$M$3,J77&gt;=$M$3,I77&gt;$M$3,K77&lt;=$M$3),"Em andamento",AND(L77&gt;=$M$3,J77&gt;=$M$3,I77&lt;=$M$3,K77&lt;=$M$3),"Em andamento",AND(K77&gt;$M$3,I77&gt;$M$3),"Não iniciado",AND(L77&gt;=$M$3,J77&gt;=$M$3,K77&gt;=$M$3,I77&lt;$M$3),"Atrasado",AND(L77&gt;=$M$3,J77&gt;=$M$3,K77&gt;=$M$3,I77&gt;$M$3),"Não iniciado",AND($I77&lt;=$M$3,$K77&gt;$M$3),"Atrasado")</f>
        <v>Em andamento</v>
      </c>
      <c r="O77" s="175">
        <f t="array" ref="O77">_xlfn.IFS(N77="Não iniciado",0,N77="Em andamento",1,N77="Concluído",2,N77="Atrasado",3)</f>
        <v>1</v>
      </c>
      <c r="P77" s="176"/>
      <c r="Q77" s="156">
        <f t="shared" ref="Q77:AV77" si="40">AVERAGE(Q78:Q107)</f>
        <v>0.5</v>
      </c>
      <c r="R77" s="156">
        <f t="shared" si="40"/>
        <v>0.5</v>
      </c>
      <c r="S77" s="205">
        <f t="shared" si="40"/>
        <v>0</v>
      </c>
      <c r="T77" s="205">
        <f t="shared" si="40"/>
        <v>0</v>
      </c>
      <c r="U77" s="205">
        <f t="shared" si="40"/>
        <v>0</v>
      </c>
      <c r="V77" s="205">
        <f t="shared" si="40"/>
        <v>0</v>
      </c>
      <c r="W77" s="205">
        <f t="shared" si="40"/>
        <v>0</v>
      </c>
      <c r="X77" s="205">
        <f t="shared" si="40"/>
        <v>0</v>
      </c>
      <c r="Y77" s="205">
        <f t="shared" si="40"/>
        <v>0</v>
      </c>
      <c r="Z77" s="205">
        <f t="shared" si="40"/>
        <v>1.6666666666666666E-2</v>
      </c>
      <c r="AA77" s="205">
        <f t="shared" si="40"/>
        <v>0.1</v>
      </c>
      <c r="AB77" s="205">
        <f t="shared" si="40"/>
        <v>0.1</v>
      </c>
      <c r="AC77" s="205">
        <f t="shared" si="40"/>
        <v>0.1</v>
      </c>
      <c r="AD77" s="205">
        <f t="shared" si="40"/>
        <v>0.1</v>
      </c>
      <c r="AE77" s="205">
        <f t="shared" si="40"/>
        <v>0.13030303030303031</v>
      </c>
      <c r="AF77" s="205">
        <f t="shared" si="40"/>
        <v>0.23469387755102039</v>
      </c>
      <c r="AG77" s="205">
        <f t="shared" si="40"/>
        <v>0.23945578231292516</v>
      </c>
      <c r="AH77" s="205">
        <f t="shared" si="40"/>
        <v>0.24421768707482994</v>
      </c>
      <c r="AI77" s="205">
        <f t="shared" si="40"/>
        <v>0.24897959183673468</v>
      </c>
      <c r="AJ77" s="205">
        <f t="shared" si="40"/>
        <v>0.25953859804791485</v>
      </c>
      <c r="AK77" s="205">
        <f t="shared" si="40"/>
        <v>0.27444543034605146</v>
      </c>
      <c r="AL77" s="205">
        <f t="shared" si="40"/>
        <v>0.3893522626441881</v>
      </c>
      <c r="AM77" s="205">
        <f t="shared" si="40"/>
        <v>0.4</v>
      </c>
      <c r="AN77" s="205">
        <f t="shared" si="40"/>
        <v>0.4</v>
      </c>
      <c r="AO77" s="205">
        <f t="shared" si="40"/>
        <v>0.4</v>
      </c>
      <c r="AP77" s="205">
        <f t="shared" si="40"/>
        <v>0.5</v>
      </c>
      <c r="AQ77" s="205">
        <f t="shared" si="40"/>
        <v>0.5</v>
      </c>
      <c r="AR77" s="205">
        <f t="shared" si="40"/>
        <v>0.5</v>
      </c>
      <c r="AS77" s="205">
        <f t="shared" si="40"/>
        <v>0.5</v>
      </c>
      <c r="AT77" s="205">
        <f t="shared" si="40"/>
        <v>0.5</v>
      </c>
      <c r="AU77" s="205">
        <f t="shared" si="40"/>
        <v>0.6</v>
      </c>
      <c r="AV77" s="205">
        <f t="shared" si="40"/>
        <v>0.6</v>
      </c>
      <c r="AW77" s="205">
        <f t="shared" ref="AW77:BN77" si="41">AVERAGE(AW78:AW107)</f>
        <v>0.6</v>
      </c>
      <c r="AX77" s="205">
        <f t="shared" si="41"/>
        <v>0.6</v>
      </c>
      <c r="AY77" s="205">
        <f t="shared" si="41"/>
        <v>0.7</v>
      </c>
      <c r="AZ77" s="205">
        <f t="shared" si="41"/>
        <v>0.7</v>
      </c>
      <c r="BA77" s="205">
        <f t="shared" si="41"/>
        <v>0.7</v>
      </c>
      <c r="BB77" s="205">
        <f t="shared" si="41"/>
        <v>0.7</v>
      </c>
      <c r="BC77" s="205">
        <f t="shared" si="41"/>
        <v>0.8</v>
      </c>
      <c r="BD77" s="205">
        <f t="shared" si="41"/>
        <v>0.8</v>
      </c>
      <c r="BE77" s="205">
        <f t="shared" si="41"/>
        <v>0.8</v>
      </c>
      <c r="BF77" s="205">
        <f t="shared" si="41"/>
        <v>0.8</v>
      </c>
      <c r="BG77" s="205">
        <f t="shared" si="41"/>
        <v>0.9</v>
      </c>
      <c r="BH77" s="205">
        <f t="shared" si="41"/>
        <v>0.9</v>
      </c>
      <c r="BI77" s="205">
        <f t="shared" si="41"/>
        <v>0.9</v>
      </c>
      <c r="BJ77" s="205">
        <f t="shared" si="41"/>
        <v>0.9</v>
      </c>
      <c r="BK77" s="205">
        <f t="shared" si="41"/>
        <v>1</v>
      </c>
      <c r="BL77" s="205">
        <f t="shared" si="41"/>
        <v>1</v>
      </c>
      <c r="BM77" s="205">
        <f t="shared" si="41"/>
        <v>1</v>
      </c>
      <c r="BN77" s="205">
        <f t="shared" si="41"/>
        <v>1</v>
      </c>
    </row>
    <row r="78" spans="2:66" s="163" customFormat="1" ht="27.6" customHeight="1" collapsed="1" x14ac:dyDescent="0.3">
      <c r="B78" s="166" t="str">
        <f t="array" ref="B78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78" s="166" t="s">
        <v>203</v>
      </c>
      <c r="D78" s="177"/>
      <c r="E78" s="170" t="str">
        <f t="shared" ref="E78:E109" si="42">$H$45</f>
        <v>Desenvolvimento da Transformação dos Processos</v>
      </c>
      <c r="F78" s="174" t="str">
        <f t="shared" si="39"/>
        <v>Modelagem To Be</v>
      </c>
      <c r="G78" s="166" t="str">
        <f t="shared" ref="G78:G107" si="43">$H$77</f>
        <v>Modelagem To Be</v>
      </c>
      <c r="H78" s="197" t="s">
        <v>204</v>
      </c>
      <c r="I78" s="166">
        <v>45736</v>
      </c>
      <c r="J78" s="40">
        <v>45744</v>
      </c>
      <c r="K78" s="166">
        <v>45736</v>
      </c>
      <c r="L78" s="40">
        <v>45744</v>
      </c>
      <c r="M78" s="167"/>
      <c r="N78" s="167" t="str">
        <f t="array" ref="N78">_xlfn.IFS(L78&lt;$M$3,"Concluído",AND(K78&gt;=$M$3,I78&lt;$M$3,L78&gt;$M$3),"Em andamento",AND(L78&gt;=$M$3,J78&lt;$M$3),"Atrasado",AND(L78&gt;=$M$3,J78&gt;=$M$3,I78&gt;$M$3,K78&lt;=$M$3),"Em andamento",AND(L78&gt;=$M$3,J78&gt;=$M$3,I78&lt;=$M$3,K78&lt;=$M$3),"Em andamento",AND(K78&gt;$M$3,I78&gt;$M$3),"Não iniciado",AND(L78&gt;=$M$3,J78&gt;=$M$3,K78&gt;=$M$3,I78&lt;$M$3),"Atrasado",AND(L78&gt;=$M$3,J78&gt;=$M$3,K78&gt;=$M$3,I78&gt;$M$3),"Não iniciado",AND($I78&lt;=$M$3,$K78&gt;$M$3),"Atrasado")</f>
        <v>Concluído</v>
      </c>
      <c r="O78" s="167">
        <f t="array" ref="O78">_xlfn.IFS(N78="Não iniciado",0,N78="Em andamento",1,N78="Concluído",2,N78="Atrasado",3)</f>
        <v>2</v>
      </c>
      <c r="P78" s="169"/>
      <c r="Q78" s="152">
        <f t="array" ref="Q78">_xlfn.IFS(AND($I78&lt;$M$3,$J78&lt;$M$3),1,AND($I78&lt;$M$3,$J78&gt;=$M$3),0.5,AND($I78&gt;=$M$3,$J78&gt;=$M$3),0)</f>
        <v>1</v>
      </c>
      <c r="R78" s="152">
        <f t="array" ref="R78">_xlfn.IFS(AND($K78&lt;$M$3,$L78&lt;$M$3),1,AND($K78&lt;=$M$3,$L78&gt;=$M$3),0.5,AND($K78&gt;=$M$3,$L78&gt;=$M$3),0)</f>
        <v>1</v>
      </c>
      <c r="S78" s="201">
        <f t="array" ref="S78">_xlfn.IFS(AND($K78&gt;R$7,$L78&gt;R$7),0,AND($K78&lt;=R$7,$L78&lt;=R$7),1,AND($K78&lt;=R$7,$L78&gt;R$7),((R$7-$K78)/($L78-$K78)))</f>
        <v>0</v>
      </c>
      <c r="T78" s="201">
        <f t="array" ref="T78">_xlfn.IFS(AND($K78&gt;S$7,$L78&gt;S$7),0,AND($K78&lt;=S$7,$L78&lt;=S$7),1,AND($K78&lt;=S$7,$L78&gt;S$7),((S$7-$K78)/($L78-$K78)))</f>
        <v>0</v>
      </c>
      <c r="U78" s="201">
        <f t="array" ref="U78">_xlfn.IFS(AND($K78&gt;T$7,$L78&gt;T$7),0,AND($K78&lt;=T$7,$L78&lt;=T$7),1,AND($K78&lt;=T$7,$L78&gt;T$7),((T$7-$K78)/($L78-$K78)))</f>
        <v>0</v>
      </c>
      <c r="V78" s="201">
        <f t="array" ref="V78">_xlfn.IFS(AND($K78&gt;U$7,$L78&gt;U$7),0,AND($K78&lt;=U$7,$L78&lt;=U$7),1,AND($K78&lt;=U$7,$L78&gt;U$7),((U$7-$K78)/($L78-$K78)))</f>
        <v>0</v>
      </c>
      <c r="W78" s="201">
        <f t="array" ref="W78">_xlfn.IFS(AND($K78&gt;V$7,$L78&gt;V$7),0,AND($K78&lt;=V$7,$L78&lt;=V$7),1,AND($K78&lt;=V$7,$L78&gt;V$7),((V$7-$K78)/($L78-$K78)))</f>
        <v>0</v>
      </c>
      <c r="X78" s="201">
        <f t="array" ref="X78">_xlfn.IFS(AND($K78&gt;W$7,$L78&gt;W$7),0,AND($K78&lt;=W$7,$L78&lt;=W$7),1,AND($K78&lt;=W$7,$L78&gt;W$7),((W$7-$K78)/($L78-$K78)))</f>
        <v>0</v>
      </c>
      <c r="Y78" s="201">
        <f t="array" ref="Y78">_xlfn.IFS(AND($K78&gt;X$7,$L78&gt;X$7),0,AND($K78&lt;=X$7,$L78&lt;=X$7),1,AND($K78&lt;=X$7,$L78&gt;X$7),((X$7-$K78)/($L78-$K78)))</f>
        <v>0</v>
      </c>
      <c r="Z78" s="201">
        <f t="array" ref="Z78">_xlfn.IFS(AND($K78&gt;Y$7,$L78&gt;Y$7),0,AND($K78&lt;=Y$7,$L78&lt;=Y$7),1,AND($K78&lt;=Y$7,$L78&gt;Y$7),((Y$7-$K78)/($L78-$K78)))</f>
        <v>0.25</v>
      </c>
      <c r="AA78" s="201">
        <f t="array" ref="AA78">_xlfn.IFS(AND($K78&gt;Z$7,$L78&gt;Z$7),0,AND($K78&lt;=Z$7,$L78&lt;=Z$7),1,AND($K78&lt;=Z$7,$L78&gt;Z$7),((Z$7-$K78)/($L78-$K78)))</f>
        <v>1</v>
      </c>
      <c r="AB78" s="201">
        <f t="array" ref="AB78">_xlfn.IFS(AND($K78&gt;AA$7,$L78&gt;AA$7),0,AND($K78&lt;=AA$7,$L78&lt;=AA$7),1,AND($K78&lt;=AA$7,$L78&gt;AA$7),((AA$7-$K78)/($L78-$K78)))</f>
        <v>1</v>
      </c>
      <c r="AC78" s="201">
        <f t="array" ref="AC78">_xlfn.IFS(AND($K78&gt;AB$7,$L78&gt;AB$7),0,AND($K78&lt;=AB$7,$L78&lt;=AB$7),1,AND($K78&lt;=AB$7,$L78&gt;AB$7),((AB$7-$K78)/($L78-$K78)))</f>
        <v>1</v>
      </c>
      <c r="AD78" s="201">
        <f t="array" ref="AD78">_xlfn.IFS(AND($K78&gt;AC$7,$L78&gt;AC$7),0,AND($K78&lt;=AC$7,$L78&lt;=AC$7),1,AND($K78&lt;=AC$7,$L78&gt;AC$7),((AC$7-$K78)/($L78-$K78)))</f>
        <v>1</v>
      </c>
      <c r="AE78" s="201">
        <f t="array" ref="AE78">_xlfn.IFS(AND($K78&gt;AD$7,$L78&gt;AD$7),0,AND($K78&lt;=AD$7,$L78&lt;=AD$7),1,AND($K78&lt;=AD$7,$L78&gt;AD$7),((AD$7-$K78)/($L78-$K78)))</f>
        <v>1</v>
      </c>
      <c r="AF78" s="201">
        <f t="array" ref="AF78">_xlfn.IFS(AND($K78&gt;AE$7,$L78&gt;AE$7),0,AND($K78&lt;=AE$7,$L78&lt;=AE$7),1,AND($K78&lt;=AE$7,$L78&gt;AE$7),((AE$7-$K78)/($L78-$K78)))</f>
        <v>1</v>
      </c>
      <c r="AG78" s="201">
        <f t="array" ref="AG78">_xlfn.IFS(AND($K78&gt;AF$7,$L78&gt;AF$7),0,AND($K78&lt;=AF$7,$L78&lt;=AF$7),1,AND($K78&lt;=AF$7,$L78&gt;AF$7),((AF$7-$K78)/($L78-$K78)))</f>
        <v>1</v>
      </c>
      <c r="AH78" s="201">
        <f t="array" ref="AH78">_xlfn.IFS(AND($K78&gt;AG$7,$L78&gt;AG$7),0,AND($K78&lt;=AG$7,$L78&lt;=AG$7),1,AND($K78&lt;=AG$7,$L78&gt;AG$7),((AG$7-$K78)/($L78-$K78)))</f>
        <v>1</v>
      </c>
      <c r="AI78" s="201">
        <f t="array" ref="AI78">_xlfn.IFS(AND($K78&gt;AH$7,$L78&gt;AH$7),0,AND($K78&lt;=AH$7,$L78&lt;=AH$7),1,AND($K78&lt;=AH$7,$L78&gt;AH$7),((AH$7-$K78)/($L78-$K78)))</f>
        <v>1</v>
      </c>
      <c r="AJ78" s="201">
        <f t="array" ref="AJ78">_xlfn.IFS(AND($K78&gt;AI$7,$L78&gt;AI$7),0,AND($K78&lt;=AI$7,$L78&lt;=AI$7),1,AND($K78&lt;=AI$7,$L78&gt;AI$7),((AI$7-$K78)/($L78-$K78)))</f>
        <v>1</v>
      </c>
      <c r="AK78" s="201">
        <f t="array" ref="AK78">_xlfn.IFS(AND($K78&gt;AJ$7,$L78&gt;AJ$7),0,AND($K78&lt;=AJ$7,$L78&lt;=AJ$7),1,AND($K78&lt;=AJ$7,$L78&gt;AJ$7),((AJ$7-$K78)/($L78-$K78)))</f>
        <v>1</v>
      </c>
      <c r="AL78" s="201">
        <f t="array" ref="AL78">_xlfn.IFS(AND($K78&gt;AK$7,$L78&gt;AK$7),0,AND($K78&lt;=AK$7,$L78&lt;=AK$7),1,AND($K78&lt;=AK$7,$L78&gt;AK$7),((AK$7-$K78)/($L78-$K78)))</f>
        <v>1</v>
      </c>
      <c r="AM78" s="201">
        <f t="array" ref="AM78">_xlfn.IFS(AND($K78&gt;AL$7,$L78&gt;AL$7),0,AND($K78&lt;=AL$7,$L78&lt;=AL$7),1,AND($K78&lt;=AL$7,$L78&gt;AL$7),((AL$7-$K78)/($L78-$K78)))</f>
        <v>1</v>
      </c>
      <c r="AN78" s="201">
        <f t="array" ref="AN78">_xlfn.IFS(AND($K78&gt;AM$7,$L78&gt;AM$7),0,AND($K78&lt;=AM$7,$L78&lt;=AM$7),1,AND($K78&lt;=AM$7,$L78&gt;AM$7),((AM$7-$K78)/($L78-$K78)))</f>
        <v>1</v>
      </c>
      <c r="AO78" s="201">
        <f t="array" ref="AO78">_xlfn.IFS(AND($K78&gt;AN$7,$L78&gt;AN$7),0,AND($K78&lt;=AN$7,$L78&lt;=AN$7),1,AND($K78&lt;=AN$7,$L78&gt;AN$7),((AN$7-$K78)/($L78-$K78)))</f>
        <v>1</v>
      </c>
      <c r="AP78" s="201">
        <f t="array" ref="AP78">_xlfn.IFS(AND($K78&gt;AO$7,$L78&gt;AO$7),0,AND($K78&lt;=AO$7,$L78&lt;=AO$7),1,AND($K78&lt;=AO$7,$L78&gt;AO$7),((AO$7-$K78)/($L78-$K78)))</f>
        <v>1</v>
      </c>
      <c r="AQ78" s="201">
        <f t="array" ref="AQ78">_xlfn.IFS(AND($K78&gt;AP$7,$L78&gt;AP$7),0,AND($K78&lt;=AP$7,$L78&lt;=AP$7),1,AND($K78&lt;=AP$7,$L78&gt;AP$7),((AP$7-$K78)/($L78-$K78)))</f>
        <v>1</v>
      </c>
      <c r="AR78" s="201">
        <f t="array" ref="AR78">_xlfn.IFS(AND($K78&gt;AQ$7,$L78&gt;AQ$7),0,AND($K78&lt;=AQ$7,$L78&lt;=AQ$7),1,AND($K78&lt;=AQ$7,$L78&gt;AQ$7),((AQ$7-$K78)/($L78-$K78)))</f>
        <v>1</v>
      </c>
      <c r="AS78" s="201">
        <f t="array" ref="AS78">_xlfn.IFS(AND($K78&gt;AR$7,$L78&gt;AR$7),0,AND($K78&lt;=AR$7,$L78&lt;=AR$7),1,AND($K78&lt;=AR$7,$L78&gt;AR$7),((AR$7-$K78)/($L78-$K78)))</f>
        <v>1</v>
      </c>
      <c r="AT78" s="201">
        <f t="array" ref="AT78">_xlfn.IFS(AND($K78&gt;AS$7,$L78&gt;AS$7),0,AND($K78&lt;=AS$7,$L78&lt;=AS$7),1,AND($K78&lt;=AS$7,$L78&gt;AS$7),((AS$7-$K78)/($L78-$K78)))</f>
        <v>1</v>
      </c>
      <c r="AU78" s="201">
        <f t="array" ref="AU78">_xlfn.IFS(AND($K78&gt;AT$7,$L78&gt;AT$7),0,AND($K78&lt;=AT$7,$L78&lt;=AT$7),1,AND($K78&lt;=AT$7,$L78&gt;AT$7),((AT$7-$K78)/($L78-$K78)))</f>
        <v>1</v>
      </c>
      <c r="AV78" s="201">
        <f t="array" ref="AV78">_xlfn.IFS(AND($K78&gt;AU$7,$L78&gt;AU$7),0,AND($K78&lt;=AU$7,$L78&lt;=AU$7),1,AND($K78&lt;=AU$7,$L78&gt;AU$7),((AU$7-$K78)/($L78-$K78)))</f>
        <v>1</v>
      </c>
      <c r="AW78" s="201">
        <f t="array" ref="AW78">_xlfn.IFS(AND($K78&gt;AV$7,$L78&gt;AV$7),0,AND($K78&lt;=AV$7,$L78&lt;=AV$7),1,AND($K78&lt;=AV$7,$L78&gt;AV$7),((AV$7-$K78)/($L78-$K78)))</f>
        <v>1</v>
      </c>
      <c r="AX78" s="201">
        <f t="array" ref="AX78">_xlfn.IFS(AND($K78&gt;AW$7,$L78&gt;AW$7),0,AND($K78&lt;=AW$7,$L78&lt;=AW$7),1,AND($K78&lt;=AW$7,$L78&gt;AW$7),((AW$7-$K78)/($L78-$K78)))</f>
        <v>1</v>
      </c>
      <c r="AY78" s="201">
        <f t="array" ref="AY78">_xlfn.IFS(AND($K78&gt;AX$7,$L78&gt;AX$7),0,AND($K78&lt;=AX$7,$L78&lt;=AX$7),1,AND($K78&lt;=AX$7,$L78&gt;AX$7),((AX$7-$K78)/($L78-$K78)))</f>
        <v>1</v>
      </c>
      <c r="AZ78" s="201">
        <f t="array" ref="AZ78">_xlfn.IFS(AND($K78&gt;AY$7,$L78&gt;AY$7),0,AND($K78&lt;=AY$7,$L78&lt;=AY$7),1,AND($K78&lt;=AY$7,$L78&gt;AY$7),((AY$7-$K78)/($L78-$K78)))</f>
        <v>1</v>
      </c>
      <c r="BA78" s="201">
        <f t="array" ref="BA78">_xlfn.IFS(AND($K78&gt;AZ$7,$L78&gt;AZ$7),0,AND($K78&lt;=AZ$7,$L78&lt;=AZ$7),1,AND($K78&lt;=AZ$7,$L78&gt;AZ$7),((AZ$7-$K78)/($L78-$K78)))</f>
        <v>1</v>
      </c>
      <c r="BB78" s="201">
        <f t="array" ref="BB78">_xlfn.IFS(AND($K78&gt;BA$7,$L78&gt;BA$7),0,AND($K78&lt;=BA$7,$L78&lt;=BA$7),1,AND($K78&lt;=BA$7,$L78&gt;BA$7),((BA$7-$K78)/($L78-$K78)))</f>
        <v>1</v>
      </c>
      <c r="BC78" s="201">
        <f t="array" ref="BC78">_xlfn.IFS(AND($K78&gt;BB$7,$L78&gt;BB$7),0,AND($K78&lt;=BB$7,$L78&lt;=BB$7),1,AND($K78&lt;=BB$7,$L78&gt;BB$7),((BB$7-$K78)/($L78-$K78)))</f>
        <v>1</v>
      </c>
      <c r="BD78" s="201">
        <f t="array" ref="BD78">_xlfn.IFS(AND($K78&gt;BC$7,$L78&gt;BC$7),0,AND($K78&lt;=BC$7,$L78&lt;=BC$7),1,AND($K78&lt;=BC$7,$L78&gt;BC$7),((BC$7-$K78)/($L78-$K78)))</f>
        <v>1</v>
      </c>
      <c r="BE78" s="201">
        <f t="array" ref="BE78">_xlfn.IFS(AND($K78&gt;BD$7,$L78&gt;BD$7),0,AND($K78&lt;=BD$7,$L78&lt;=BD$7),1,AND($K78&lt;=BD$7,$L78&gt;BD$7),((BD$7-$K78)/($L78-$K78)))</f>
        <v>1</v>
      </c>
      <c r="BF78" s="201">
        <f t="array" ref="BF78">_xlfn.IFS(AND($K78&gt;BE$7,$L78&gt;BE$7),0,AND($K78&lt;=BE$7,$L78&lt;=BE$7),1,AND($K78&lt;=BE$7,$L78&gt;BE$7),((BE$7-$K78)/($L78-$K78)))</f>
        <v>1</v>
      </c>
      <c r="BG78" s="201">
        <f t="array" ref="BG78">_xlfn.IFS(AND($K78&gt;BF$7,$L78&gt;BF$7),0,AND($K78&lt;=BF$7,$L78&lt;=BF$7),1,AND($K78&lt;=BF$7,$L78&gt;BF$7),((BF$7-$K78)/($L78-$K78)))</f>
        <v>1</v>
      </c>
      <c r="BH78" s="201">
        <f t="array" ref="BH78">_xlfn.IFS(AND($K78&gt;BG$7,$L78&gt;BG$7),0,AND($K78&lt;=BG$7,$L78&lt;=BG$7),1,AND($K78&lt;=BG$7,$L78&gt;BG$7),((BG$7-$K78)/($L78-$K78)))</f>
        <v>1</v>
      </c>
      <c r="BI78" s="201">
        <f t="array" ref="BI78">_xlfn.IFS(AND($K78&gt;BH$7,$L78&gt;BH$7),0,AND($K78&lt;=BH$7,$L78&lt;=BH$7),1,AND($K78&lt;=BH$7,$L78&gt;BH$7),((BH$7-$K78)/($L78-$K78)))</f>
        <v>1</v>
      </c>
      <c r="BJ78" s="201">
        <f t="array" ref="BJ78">_xlfn.IFS(AND($K78&gt;BI$7,$L78&gt;BI$7),0,AND($K78&lt;=BI$7,$L78&lt;=BI$7),1,AND($K78&lt;=BI$7,$L78&gt;BI$7),((BI$7-$K78)/($L78-$K78)))</f>
        <v>1</v>
      </c>
      <c r="BK78" s="201">
        <f t="array" ref="BK78">_xlfn.IFS(AND($K78&gt;BJ$7,$L78&gt;BJ$7),0,AND($K78&lt;=BJ$7,$L78&lt;=BJ$7),1,AND($K78&lt;=BJ$7,$L78&gt;BJ$7),((BJ$7-$K78)/($L78-$K78)))</f>
        <v>1</v>
      </c>
      <c r="BL78" s="201">
        <f t="array" ref="BL78">_xlfn.IFS(AND($K78&gt;BK$7,$L78&gt;BK$7),0,AND($K78&lt;=BK$7,$L78&lt;=BK$7),1,AND($K78&lt;=BK$7,$L78&gt;BK$7),((BK$7-$K78)/($L78-$K78)))</f>
        <v>1</v>
      </c>
      <c r="BM78" s="201">
        <f t="array" ref="BM78">_xlfn.IFS(AND($K78&gt;BL$7,$L78&gt;BL$7),0,AND($K78&lt;=BL$7,$L78&lt;=BL$7),1,AND($K78&lt;=BL$7,$L78&gt;BL$7),((BL$7-$K78)/($L78-$K78)))</f>
        <v>1</v>
      </c>
      <c r="BN78" s="201">
        <f t="array" ref="BN78">_xlfn.IFS(AND($K78&gt;BM$7,$L78&gt;BM$7),0,AND($K78&lt;=BM$7,$L78&lt;=BM$7),1,AND($K78&lt;=BM$7,$L78&gt;BM$7),((BM$7-$K78)/($L78-$K78)))</f>
        <v>1</v>
      </c>
    </row>
    <row r="79" spans="2:66" s="163" customFormat="1" ht="27.6" customHeight="1" collapsed="1" x14ac:dyDescent="0.3">
      <c r="B79" s="166" t="str">
        <f t="array" ref="B79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79" s="166" t="s">
        <v>205</v>
      </c>
      <c r="D79" s="177"/>
      <c r="E79" s="170" t="str">
        <f t="shared" si="42"/>
        <v>Desenvolvimento da Transformação dos Processos</v>
      </c>
      <c r="F79" s="174" t="str">
        <f t="shared" si="39"/>
        <v>Modelagem To Be</v>
      </c>
      <c r="G79" s="166" t="str">
        <f t="shared" si="43"/>
        <v>Modelagem To Be</v>
      </c>
      <c r="H79" s="197" t="s">
        <v>206</v>
      </c>
      <c r="I79" s="166">
        <v>45740</v>
      </c>
      <c r="J79" s="40">
        <v>45744</v>
      </c>
      <c r="K79" s="166">
        <v>45740</v>
      </c>
      <c r="L79" s="40">
        <v>45744</v>
      </c>
      <c r="M79" s="167"/>
      <c r="N79" s="167" t="str">
        <f t="array" ref="N79">_xlfn.IFS(L79&lt;$M$3,"Concluído",AND(K79&gt;=$M$3,I79&lt;$M$3,L79&gt;$M$3),"Em andamento",AND(L79&gt;=$M$3,J79&lt;$M$3),"Atrasado",AND(L79&gt;=$M$3,J79&gt;=$M$3,I79&gt;$M$3,K79&lt;=$M$3),"Em andamento",AND(L79&gt;=$M$3,J79&gt;=$M$3,I79&lt;=$M$3,K79&lt;=$M$3),"Em andamento",AND(K79&gt;$M$3,I79&gt;$M$3),"Não iniciado",AND(L79&gt;=$M$3,J79&gt;=$M$3,K79&gt;=$M$3,I79&lt;$M$3),"Atrasado",AND(L79&gt;=$M$3,J79&gt;=$M$3,K79&gt;=$M$3,I79&gt;$M$3),"Não iniciado",AND($I79&lt;=$M$3,$K79&gt;$M$3),"Atrasado")</f>
        <v>Concluído</v>
      </c>
      <c r="O79" s="167">
        <f t="array" ref="O79">_xlfn.IFS(N79="Não iniciado",0,N79="Em andamento",1,N79="Concluído",2,N79="Atrasado",3)</f>
        <v>2</v>
      </c>
      <c r="P79" s="169"/>
      <c r="Q79" s="152">
        <f t="array" ref="Q79">_xlfn.IFS(AND($I79&lt;$M$3,$J79&lt;$M$3),1,AND($I79&lt;$M$3,$J79&gt;=$M$3),0.5,AND($I79&gt;=$M$3,$J79&gt;=$M$3),0)</f>
        <v>1</v>
      </c>
      <c r="R79" s="152">
        <f t="array" ref="R79">_xlfn.IFS(AND($K79&lt;$M$3,$L79&lt;$M$3),1,AND($K79&lt;=$M$3,$L79&gt;=$M$3),0.5,AND($K79&gt;=$M$3,$L79&gt;=$M$3),0)</f>
        <v>1</v>
      </c>
      <c r="S79" s="201">
        <f t="array" ref="S79">_xlfn.IFS(AND($K79&gt;R$7,$L79&gt;R$7),0,AND($K79&lt;=R$7,$L79&lt;=R$7),1,AND($K79&lt;=R$7,$L79&gt;R$7),((R$7-$K79)/($L79-$K79)))</f>
        <v>0</v>
      </c>
      <c r="T79" s="201">
        <f t="array" ref="T79">_xlfn.IFS(AND($K79&gt;S$7,$L79&gt;S$7),0,AND($K79&lt;=S$7,$L79&lt;=S$7),1,AND($K79&lt;=S$7,$L79&gt;S$7),((S$7-$K79)/($L79-$K79)))</f>
        <v>0</v>
      </c>
      <c r="U79" s="201">
        <f t="array" ref="U79">_xlfn.IFS(AND($K79&gt;T$7,$L79&gt;T$7),0,AND($K79&lt;=T$7,$L79&lt;=T$7),1,AND($K79&lt;=T$7,$L79&gt;T$7),((T$7-$K79)/($L79-$K79)))</f>
        <v>0</v>
      </c>
      <c r="V79" s="201">
        <f t="array" ref="V79">_xlfn.IFS(AND($K79&gt;U$7,$L79&gt;U$7),0,AND($K79&lt;=U$7,$L79&lt;=U$7),1,AND($K79&lt;=U$7,$L79&gt;U$7),((U$7-$K79)/($L79-$K79)))</f>
        <v>0</v>
      </c>
      <c r="W79" s="201">
        <f t="array" ref="W79">_xlfn.IFS(AND($K79&gt;V$7,$L79&gt;V$7),0,AND($K79&lt;=V$7,$L79&lt;=V$7),1,AND($K79&lt;=V$7,$L79&gt;V$7),((V$7-$K79)/($L79-$K79)))</f>
        <v>0</v>
      </c>
      <c r="X79" s="201">
        <f t="array" ref="X79">_xlfn.IFS(AND($K79&gt;W$7,$L79&gt;W$7),0,AND($K79&lt;=W$7,$L79&lt;=W$7),1,AND($K79&lt;=W$7,$L79&gt;W$7),((W$7-$K79)/($L79-$K79)))</f>
        <v>0</v>
      </c>
      <c r="Y79" s="201">
        <f t="array" ref="Y79">_xlfn.IFS(AND($K79&gt;X$7,$L79&gt;X$7),0,AND($K79&lt;=X$7,$L79&lt;=X$7),1,AND($K79&lt;=X$7,$L79&gt;X$7),((X$7-$K79)/($L79-$K79)))</f>
        <v>0</v>
      </c>
      <c r="Z79" s="201">
        <f t="array" ref="Z79">_xlfn.IFS(AND($K79&gt;Y$7,$L79&gt;Y$7),0,AND($K79&lt;=Y$7,$L79&lt;=Y$7),1,AND($K79&lt;=Y$7,$L79&gt;Y$7),((Y$7-$K79)/($L79-$K79)))</f>
        <v>0</v>
      </c>
      <c r="AA79" s="201">
        <f t="array" ref="AA79">_xlfn.IFS(AND($K79&gt;Z$7,$L79&gt;Z$7),0,AND($K79&lt;=Z$7,$L79&lt;=Z$7),1,AND($K79&lt;=Z$7,$L79&gt;Z$7),((Z$7-$K79)/($L79-$K79)))</f>
        <v>1</v>
      </c>
      <c r="AB79" s="201">
        <f t="array" ref="AB79">_xlfn.IFS(AND($K79&gt;AA$7,$L79&gt;AA$7),0,AND($K79&lt;=AA$7,$L79&lt;=AA$7),1,AND($K79&lt;=AA$7,$L79&gt;AA$7),((AA$7-$K79)/($L79-$K79)))</f>
        <v>1</v>
      </c>
      <c r="AC79" s="201">
        <f t="array" ref="AC79">_xlfn.IFS(AND($K79&gt;AB$7,$L79&gt;AB$7),0,AND($K79&lt;=AB$7,$L79&lt;=AB$7),1,AND($K79&lt;=AB$7,$L79&gt;AB$7),((AB$7-$K79)/($L79-$K79)))</f>
        <v>1</v>
      </c>
      <c r="AD79" s="201">
        <f t="array" ref="AD79">_xlfn.IFS(AND($K79&gt;AC$7,$L79&gt;AC$7),0,AND($K79&lt;=AC$7,$L79&lt;=AC$7),1,AND($K79&lt;=AC$7,$L79&gt;AC$7),((AC$7-$K79)/($L79-$K79)))</f>
        <v>1</v>
      </c>
      <c r="AE79" s="201">
        <f t="array" ref="AE79">_xlfn.IFS(AND($K79&gt;AD$7,$L79&gt;AD$7),0,AND($K79&lt;=AD$7,$L79&lt;=AD$7),1,AND($K79&lt;=AD$7,$L79&gt;AD$7),((AD$7-$K79)/($L79-$K79)))</f>
        <v>1</v>
      </c>
      <c r="AF79" s="201">
        <f t="array" ref="AF79">_xlfn.IFS(AND($K79&gt;AE$7,$L79&gt;AE$7),0,AND($K79&lt;=AE$7,$L79&lt;=AE$7),1,AND($K79&lt;=AE$7,$L79&gt;AE$7),((AE$7-$K79)/($L79-$K79)))</f>
        <v>1</v>
      </c>
      <c r="AG79" s="201">
        <f t="array" ref="AG79">_xlfn.IFS(AND($K79&gt;AF$7,$L79&gt;AF$7),0,AND($K79&lt;=AF$7,$L79&lt;=AF$7),1,AND($K79&lt;=AF$7,$L79&gt;AF$7),((AF$7-$K79)/($L79-$K79)))</f>
        <v>1</v>
      </c>
      <c r="AH79" s="201">
        <f t="array" ref="AH79">_xlfn.IFS(AND($K79&gt;AG$7,$L79&gt;AG$7),0,AND($K79&lt;=AG$7,$L79&lt;=AG$7),1,AND($K79&lt;=AG$7,$L79&gt;AG$7),((AG$7-$K79)/($L79-$K79)))</f>
        <v>1</v>
      </c>
      <c r="AI79" s="201">
        <f t="array" ref="AI79">_xlfn.IFS(AND($K79&gt;AH$7,$L79&gt;AH$7),0,AND($K79&lt;=AH$7,$L79&lt;=AH$7),1,AND($K79&lt;=AH$7,$L79&gt;AH$7),((AH$7-$K79)/($L79-$K79)))</f>
        <v>1</v>
      </c>
      <c r="AJ79" s="201">
        <f t="array" ref="AJ79">_xlfn.IFS(AND($K79&gt;AI$7,$L79&gt;AI$7),0,AND($K79&lt;=AI$7,$L79&lt;=AI$7),1,AND($K79&lt;=AI$7,$L79&gt;AI$7),((AI$7-$K79)/($L79-$K79)))</f>
        <v>1</v>
      </c>
      <c r="AK79" s="201">
        <f t="array" ref="AK79">_xlfn.IFS(AND($K79&gt;AJ$7,$L79&gt;AJ$7),0,AND($K79&lt;=AJ$7,$L79&lt;=AJ$7),1,AND($K79&lt;=AJ$7,$L79&gt;AJ$7),((AJ$7-$K79)/($L79-$K79)))</f>
        <v>1</v>
      </c>
      <c r="AL79" s="201">
        <f t="array" ref="AL79">_xlfn.IFS(AND($K79&gt;AK$7,$L79&gt;AK$7),0,AND($K79&lt;=AK$7,$L79&lt;=AK$7),1,AND($K79&lt;=AK$7,$L79&gt;AK$7),((AK$7-$K79)/($L79-$K79)))</f>
        <v>1</v>
      </c>
      <c r="AM79" s="201">
        <f t="array" ref="AM79">_xlfn.IFS(AND($K79&gt;AL$7,$L79&gt;AL$7),0,AND($K79&lt;=AL$7,$L79&lt;=AL$7),1,AND($K79&lt;=AL$7,$L79&gt;AL$7),((AL$7-$K79)/($L79-$K79)))</f>
        <v>1</v>
      </c>
      <c r="AN79" s="201">
        <f t="array" ref="AN79">_xlfn.IFS(AND($K79&gt;AM$7,$L79&gt;AM$7),0,AND($K79&lt;=AM$7,$L79&lt;=AM$7),1,AND($K79&lt;=AM$7,$L79&gt;AM$7),((AM$7-$K79)/($L79-$K79)))</f>
        <v>1</v>
      </c>
      <c r="AO79" s="201">
        <f t="array" ref="AO79">_xlfn.IFS(AND($K79&gt;AN$7,$L79&gt;AN$7),0,AND($K79&lt;=AN$7,$L79&lt;=AN$7),1,AND($K79&lt;=AN$7,$L79&gt;AN$7),((AN$7-$K79)/($L79-$K79)))</f>
        <v>1</v>
      </c>
      <c r="AP79" s="201">
        <f t="array" ref="AP79">_xlfn.IFS(AND($K79&gt;AO$7,$L79&gt;AO$7),0,AND($K79&lt;=AO$7,$L79&lt;=AO$7),1,AND($K79&lt;=AO$7,$L79&gt;AO$7),((AO$7-$K79)/($L79-$K79)))</f>
        <v>1</v>
      </c>
      <c r="AQ79" s="201">
        <f t="array" ref="AQ79">_xlfn.IFS(AND($K79&gt;AP$7,$L79&gt;AP$7),0,AND($K79&lt;=AP$7,$L79&lt;=AP$7),1,AND($K79&lt;=AP$7,$L79&gt;AP$7),((AP$7-$K79)/($L79-$K79)))</f>
        <v>1</v>
      </c>
      <c r="AR79" s="201">
        <f t="array" ref="AR79">_xlfn.IFS(AND($K79&gt;AQ$7,$L79&gt;AQ$7),0,AND($K79&lt;=AQ$7,$L79&lt;=AQ$7),1,AND($K79&lt;=AQ$7,$L79&gt;AQ$7),((AQ$7-$K79)/($L79-$K79)))</f>
        <v>1</v>
      </c>
      <c r="AS79" s="201">
        <f t="array" ref="AS79">_xlfn.IFS(AND($K79&gt;AR$7,$L79&gt;AR$7),0,AND($K79&lt;=AR$7,$L79&lt;=AR$7),1,AND($K79&lt;=AR$7,$L79&gt;AR$7),((AR$7-$K79)/($L79-$K79)))</f>
        <v>1</v>
      </c>
      <c r="AT79" s="201">
        <f t="array" ref="AT79">_xlfn.IFS(AND($K79&gt;AS$7,$L79&gt;AS$7),0,AND($K79&lt;=AS$7,$L79&lt;=AS$7),1,AND($K79&lt;=AS$7,$L79&gt;AS$7),((AS$7-$K79)/($L79-$K79)))</f>
        <v>1</v>
      </c>
      <c r="AU79" s="201">
        <f t="array" ref="AU79">_xlfn.IFS(AND($K79&gt;AT$7,$L79&gt;AT$7),0,AND($K79&lt;=AT$7,$L79&lt;=AT$7),1,AND($K79&lt;=AT$7,$L79&gt;AT$7),((AT$7-$K79)/($L79-$K79)))</f>
        <v>1</v>
      </c>
      <c r="AV79" s="201">
        <f t="array" ref="AV79">_xlfn.IFS(AND($K79&gt;AU$7,$L79&gt;AU$7),0,AND($K79&lt;=AU$7,$L79&lt;=AU$7),1,AND($K79&lt;=AU$7,$L79&gt;AU$7),((AU$7-$K79)/($L79-$K79)))</f>
        <v>1</v>
      </c>
      <c r="AW79" s="201">
        <f t="array" ref="AW79">_xlfn.IFS(AND($K79&gt;AV$7,$L79&gt;AV$7),0,AND($K79&lt;=AV$7,$L79&lt;=AV$7),1,AND($K79&lt;=AV$7,$L79&gt;AV$7),((AV$7-$K79)/($L79-$K79)))</f>
        <v>1</v>
      </c>
      <c r="AX79" s="201">
        <f t="array" ref="AX79">_xlfn.IFS(AND($K79&gt;AW$7,$L79&gt;AW$7),0,AND($K79&lt;=AW$7,$L79&lt;=AW$7),1,AND($K79&lt;=AW$7,$L79&gt;AW$7),((AW$7-$K79)/($L79-$K79)))</f>
        <v>1</v>
      </c>
      <c r="AY79" s="201">
        <f t="array" ref="AY79">_xlfn.IFS(AND($K79&gt;AX$7,$L79&gt;AX$7),0,AND($K79&lt;=AX$7,$L79&lt;=AX$7),1,AND($K79&lt;=AX$7,$L79&gt;AX$7),((AX$7-$K79)/($L79-$K79)))</f>
        <v>1</v>
      </c>
      <c r="AZ79" s="201">
        <f t="array" ref="AZ79">_xlfn.IFS(AND($K79&gt;AY$7,$L79&gt;AY$7),0,AND($K79&lt;=AY$7,$L79&lt;=AY$7),1,AND($K79&lt;=AY$7,$L79&gt;AY$7),((AY$7-$K79)/($L79-$K79)))</f>
        <v>1</v>
      </c>
      <c r="BA79" s="201">
        <f t="array" ref="BA79">_xlfn.IFS(AND($K79&gt;AZ$7,$L79&gt;AZ$7),0,AND($K79&lt;=AZ$7,$L79&lt;=AZ$7),1,AND($K79&lt;=AZ$7,$L79&gt;AZ$7),((AZ$7-$K79)/($L79-$K79)))</f>
        <v>1</v>
      </c>
      <c r="BB79" s="201">
        <f t="array" ref="BB79">_xlfn.IFS(AND($K79&gt;BA$7,$L79&gt;BA$7),0,AND($K79&lt;=BA$7,$L79&lt;=BA$7),1,AND($K79&lt;=BA$7,$L79&gt;BA$7),((BA$7-$K79)/($L79-$K79)))</f>
        <v>1</v>
      </c>
      <c r="BC79" s="201">
        <f t="array" ref="BC79">_xlfn.IFS(AND($K79&gt;BB$7,$L79&gt;BB$7),0,AND($K79&lt;=BB$7,$L79&lt;=BB$7),1,AND($K79&lt;=BB$7,$L79&gt;BB$7),((BB$7-$K79)/($L79-$K79)))</f>
        <v>1</v>
      </c>
      <c r="BD79" s="201">
        <f t="array" ref="BD79">_xlfn.IFS(AND($K79&gt;BC$7,$L79&gt;BC$7),0,AND($K79&lt;=BC$7,$L79&lt;=BC$7),1,AND($K79&lt;=BC$7,$L79&gt;BC$7),((BC$7-$K79)/($L79-$K79)))</f>
        <v>1</v>
      </c>
      <c r="BE79" s="201">
        <f t="array" ref="BE79">_xlfn.IFS(AND($K79&gt;BD$7,$L79&gt;BD$7),0,AND($K79&lt;=BD$7,$L79&lt;=BD$7),1,AND($K79&lt;=BD$7,$L79&gt;BD$7),((BD$7-$K79)/($L79-$K79)))</f>
        <v>1</v>
      </c>
      <c r="BF79" s="201">
        <f t="array" ref="BF79">_xlfn.IFS(AND($K79&gt;BE$7,$L79&gt;BE$7),0,AND($K79&lt;=BE$7,$L79&lt;=BE$7),1,AND($K79&lt;=BE$7,$L79&gt;BE$7),((BE$7-$K79)/($L79-$K79)))</f>
        <v>1</v>
      </c>
      <c r="BG79" s="201">
        <f t="array" ref="BG79">_xlfn.IFS(AND($K79&gt;BF$7,$L79&gt;BF$7),0,AND($K79&lt;=BF$7,$L79&lt;=BF$7),1,AND($K79&lt;=BF$7,$L79&gt;BF$7),((BF$7-$K79)/($L79-$K79)))</f>
        <v>1</v>
      </c>
      <c r="BH79" s="201">
        <f t="array" ref="BH79">_xlfn.IFS(AND($K79&gt;BG$7,$L79&gt;BG$7),0,AND($K79&lt;=BG$7,$L79&lt;=BG$7),1,AND($K79&lt;=BG$7,$L79&gt;BG$7),((BG$7-$K79)/($L79-$K79)))</f>
        <v>1</v>
      </c>
      <c r="BI79" s="201">
        <f t="array" ref="BI79">_xlfn.IFS(AND($K79&gt;BH$7,$L79&gt;BH$7),0,AND($K79&lt;=BH$7,$L79&lt;=BH$7),1,AND($K79&lt;=BH$7,$L79&gt;BH$7),((BH$7-$K79)/($L79-$K79)))</f>
        <v>1</v>
      </c>
      <c r="BJ79" s="201">
        <f t="array" ref="BJ79">_xlfn.IFS(AND($K79&gt;BI$7,$L79&gt;BI$7),0,AND($K79&lt;=BI$7,$L79&lt;=BI$7),1,AND($K79&lt;=BI$7,$L79&gt;BI$7),((BI$7-$K79)/($L79-$K79)))</f>
        <v>1</v>
      </c>
      <c r="BK79" s="201">
        <f t="array" ref="BK79">_xlfn.IFS(AND($K79&gt;BJ$7,$L79&gt;BJ$7),0,AND($K79&lt;=BJ$7,$L79&lt;=BJ$7),1,AND($K79&lt;=BJ$7,$L79&gt;BJ$7),((BJ$7-$K79)/($L79-$K79)))</f>
        <v>1</v>
      </c>
      <c r="BL79" s="201">
        <f t="array" ref="BL79">_xlfn.IFS(AND($K79&gt;BK$7,$L79&gt;BK$7),0,AND($K79&lt;=BK$7,$L79&lt;=BK$7),1,AND($K79&lt;=BK$7,$L79&gt;BK$7),((BK$7-$K79)/($L79-$K79)))</f>
        <v>1</v>
      </c>
      <c r="BM79" s="201">
        <f t="array" ref="BM79">_xlfn.IFS(AND($K79&gt;BL$7,$L79&gt;BL$7),0,AND($K79&lt;=BL$7,$L79&lt;=BL$7),1,AND($K79&lt;=BL$7,$L79&gt;BL$7),((BL$7-$K79)/($L79-$K79)))</f>
        <v>1</v>
      </c>
      <c r="BN79" s="201">
        <f t="array" ref="BN79">_xlfn.IFS(AND($K79&gt;BM$7,$L79&gt;BM$7),0,AND($K79&lt;=BM$7,$L79&lt;=BM$7),1,AND($K79&lt;=BM$7,$L79&gt;BM$7),((BM$7-$K79)/($L79-$K79)))</f>
        <v>1</v>
      </c>
    </row>
    <row r="80" spans="2:66" s="163" customFormat="1" ht="27.6" customHeight="1" collapsed="1" x14ac:dyDescent="0.3">
      <c r="B80" s="166" t="str">
        <f t="array" ref="B80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80" s="166" t="s">
        <v>207</v>
      </c>
      <c r="D80" s="177"/>
      <c r="E80" s="170" t="str">
        <f t="shared" si="42"/>
        <v>Desenvolvimento da Transformação dos Processos</v>
      </c>
      <c r="F80" s="174" t="str">
        <f t="shared" si="39"/>
        <v>Modelagem To Be</v>
      </c>
      <c r="G80" s="166" t="str">
        <f t="shared" si="43"/>
        <v>Modelagem To Be</v>
      </c>
      <c r="H80" s="197" t="s">
        <v>208</v>
      </c>
      <c r="I80" s="166">
        <v>45736</v>
      </c>
      <c r="J80" s="40">
        <v>45744</v>
      </c>
      <c r="K80" s="166">
        <v>45736</v>
      </c>
      <c r="L80" s="40">
        <v>45744</v>
      </c>
      <c r="M80" s="167"/>
      <c r="N80" s="167" t="str">
        <f t="array" ref="N80">_xlfn.IFS(L80&lt;$M$3,"Concluído",AND(K80&gt;=$M$3,I80&lt;$M$3,L80&gt;$M$3),"Em andamento",AND(L80&gt;=$M$3,J80&lt;$M$3),"Atrasado",AND(L80&gt;=$M$3,J80&gt;=$M$3,I80&gt;$M$3,K80&lt;=$M$3),"Em andamento",AND(L80&gt;=$M$3,J80&gt;=$M$3,I80&lt;=$M$3,K80&lt;=$M$3),"Em andamento",AND(K80&gt;$M$3,I80&gt;$M$3),"Não iniciado",AND(L80&gt;=$M$3,J80&gt;=$M$3,K80&gt;=$M$3,I80&lt;$M$3),"Atrasado",AND(L80&gt;=$M$3,J80&gt;=$M$3,K80&gt;=$M$3,I80&gt;$M$3),"Não iniciado",AND($I80&lt;=$M$3,$K80&gt;$M$3),"Atrasado")</f>
        <v>Concluído</v>
      </c>
      <c r="O80" s="167">
        <f t="array" ref="O80">_xlfn.IFS(N80="Não iniciado",0,N80="Em andamento",1,N80="Concluído",2,N80="Atrasado",3)</f>
        <v>2</v>
      </c>
      <c r="P80" s="169"/>
      <c r="Q80" s="152">
        <f t="array" ref="Q80">_xlfn.IFS(AND($I80&lt;$M$3,$J80&lt;$M$3),1,AND($I80&lt;$M$3,$J80&gt;=$M$3),0.5,AND($I80&gt;=$M$3,$J80&gt;=$M$3),0)</f>
        <v>1</v>
      </c>
      <c r="R80" s="152">
        <f t="array" ref="R80">_xlfn.IFS(AND($K80&lt;$M$3,$L80&lt;$M$3),1,AND($K80&lt;=$M$3,$L80&gt;=$M$3),0.5,AND($K80&gt;=$M$3,$L80&gt;=$M$3),0)</f>
        <v>1</v>
      </c>
      <c r="S80" s="201">
        <f t="array" ref="S80">_xlfn.IFS(AND($K80&gt;R$7,$L80&gt;R$7),0,AND($K80&lt;=R$7,$L80&lt;=R$7),1,AND($K80&lt;=R$7,$L80&gt;R$7),((R$7-$K80)/($L80-$K80)))</f>
        <v>0</v>
      </c>
      <c r="T80" s="201">
        <f t="array" ref="T80">_xlfn.IFS(AND($K80&gt;S$7,$L80&gt;S$7),0,AND($K80&lt;=S$7,$L80&lt;=S$7),1,AND($K80&lt;=S$7,$L80&gt;S$7),((S$7-$K80)/($L80-$K80)))</f>
        <v>0</v>
      </c>
      <c r="U80" s="201">
        <f t="array" ref="U80">_xlfn.IFS(AND($K80&gt;T$7,$L80&gt;T$7),0,AND($K80&lt;=T$7,$L80&lt;=T$7),1,AND($K80&lt;=T$7,$L80&gt;T$7),((T$7-$K80)/($L80-$K80)))</f>
        <v>0</v>
      </c>
      <c r="V80" s="201">
        <f t="array" ref="V80">_xlfn.IFS(AND($K80&gt;U$7,$L80&gt;U$7),0,AND($K80&lt;=U$7,$L80&lt;=U$7),1,AND($K80&lt;=U$7,$L80&gt;U$7),((U$7-$K80)/($L80-$K80)))</f>
        <v>0</v>
      </c>
      <c r="W80" s="201">
        <f t="array" ref="W80">_xlfn.IFS(AND($K80&gt;V$7,$L80&gt;V$7),0,AND($K80&lt;=V$7,$L80&lt;=V$7),1,AND($K80&lt;=V$7,$L80&gt;V$7),((V$7-$K80)/($L80-$K80)))</f>
        <v>0</v>
      </c>
      <c r="X80" s="201">
        <f t="array" ref="X80">_xlfn.IFS(AND($K80&gt;W$7,$L80&gt;W$7),0,AND($K80&lt;=W$7,$L80&lt;=W$7),1,AND($K80&lt;=W$7,$L80&gt;W$7),((W$7-$K80)/($L80-$K80)))</f>
        <v>0</v>
      </c>
      <c r="Y80" s="201">
        <f t="array" ref="Y80">_xlfn.IFS(AND($K80&gt;X$7,$L80&gt;X$7),0,AND($K80&lt;=X$7,$L80&lt;=X$7),1,AND($K80&lt;=X$7,$L80&gt;X$7),((X$7-$K80)/($L80-$K80)))</f>
        <v>0</v>
      </c>
      <c r="Z80" s="201">
        <f t="array" ref="Z80">_xlfn.IFS(AND($K80&gt;Y$7,$L80&gt;Y$7),0,AND($K80&lt;=Y$7,$L80&lt;=Y$7),1,AND($K80&lt;=Y$7,$L80&gt;Y$7),((Y$7-$K80)/($L80-$K80)))</f>
        <v>0.25</v>
      </c>
      <c r="AA80" s="201">
        <f t="array" ref="AA80">_xlfn.IFS(AND($K80&gt;Z$7,$L80&gt;Z$7),0,AND($K80&lt;=Z$7,$L80&lt;=Z$7),1,AND($K80&lt;=Z$7,$L80&gt;Z$7),((Z$7-$K80)/($L80-$K80)))</f>
        <v>1</v>
      </c>
      <c r="AB80" s="201">
        <f t="array" ref="AB80">_xlfn.IFS(AND($K80&gt;AA$7,$L80&gt;AA$7),0,AND($K80&lt;=AA$7,$L80&lt;=AA$7),1,AND($K80&lt;=AA$7,$L80&gt;AA$7),((AA$7-$K80)/($L80-$K80)))</f>
        <v>1</v>
      </c>
      <c r="AC80" s="201">
        <f t="array" ref="AC80">_xlfn.IFS(AND($K80&gt;AB$7,$L80&gt;AB$7),0,AND($K80&lt;=AB$7,$L80&lt;=AB$7),1,AND($K80&lt;=AB$7,$L80&gt;AB$7),((AB$7-$K80)/($L80-$K80)))</f>
        <v>1</v>
      </c>
      <c r="AD80" s="201">
        <f t="array" ref="AD80">_xlfn.IFS(AND($K80&gt;AC$7,$L80&gt;AC$7),0,AND($K80&lt;=AC$7,$L80&lt;=AC$7),1,AND($K80&lt;=AC$7,$L80&gt;AC$7),((AC$7-$K80)/($L80-$K80)))</f>
        <v>1</v>
      </c>
      <c r="AE80" s="201">
        <f t="array" ref="AE80">_xlfn.IFS(AND($K80&gt;AD$7,$L80&gt;AD$7),0,AND($K80&lt;=AD$7,$L80&lt;=AD$7),1,AND($K80&lt;=AD$7,$L80&gt;AD$7),((AD$7-$K80)/($L80-$K80)))</f>
        <v>1</v>
      </c>
      <c r="AF80" s="201">
        <f t="array" ref="AF80">_xlfn.IFS(AND($K80&gt;AE$7,$L80&gt;AE$7),0,AND($K80&lt;=AE$7,$L80&lt;=AE$7),1,AND($K80&lt;=AE$7,$L80&gt;AE$7),((AE$7-$K80)/($L80-$K80)))</f>
        <v>1</v>
      </c>
      <c r="AG80" s="201">
        <f t="array" ref="AG80">_xlfn.IFS(AND($K80&gt;AF$7,$L80&gt;AF$7),0,AND($K80&lt;=AF$7,$L80&lt;=AF$7),1,AND($K80&lt;=AF$7,$L80&gt;AF$7),((AF$7-$K80)/($L80-$K80)))</f>
        <v>1</v>
      </c>
      <c r="AH80" s="201">
        <f t="array" ref="AH80">_xlfn.IFS(AND($K80&gt;AG$7,$L80&gt;AG$7),0,AND($K80&lt;=AG$7,$L80&lt;=AG$7),1,AND($K80&lt;=AG$7,$L80&gt;AG$7),((AG$7-$K80)/($L80-$K80)))</f>
        <v>1</v>
      </c>
      <c r="AI80" s="201">
        <f t="array" ref="AI80">_xlfn.IFS(AND($K80&gt;AH$7,$L80&gt;AH$7),0,AND($K80&lt;=AH$7,$L80&lt;=AH$7),1,AND($K80&lt;=AH$7,$L80&gt;AH$7),((AH$7-$K80)/($L80-$K80)))</f>
        <v>1</v>
      </c>
      <c r="AJ80" s="201">
        <f t="array" ref="AJ80">_xlfn.IFS(AND($K80&gt;AI$7,$L80&gt;AI$7),0,AND($K80&lt;=AI$7,$L80&lt;=AI$7),1,AND($K80&lt;=AI$7,$L80&gt;AI$7),((AI$7-$K80)/($L80-$K80)))</f>
        <v>1</v>
      </c>
      <c r="AK80" s="201">
        <f t="array" ref="AK80">_xlfn.IFS(AND($K80&gt;AJ$7,$L80&gt;AJ$7),0,AND($K80&lt;=AJ$7,$L80&lt;=AJ$7),1,AND($K80&lt;=AJ$7,$L80&gt;AJ$7),((AJ$7-$K80)/($L80-$K80)))</f>
        <v>1</v>
      </c>
      <c r="AL80" s="201">
        <f t="array" ref="AL80">_xlfn.IFS(AND($K80&gt;AK$7,$L80&gt;AK$7),0,AND($K80&lt;=AK$7,$L80&lt;=AK$7),1,AND($K80&lt;=AK$7,$L80&gt;AK$7),((AK$7-$K80)/($L80-$K80)))</f>
        <v>1</v>
      </c>
      <c r="AM80" s="201">
        <f t="array" ref="AM80">_xlfn.IFS(AND($K80&gt;AL$7,$L80&gt;AL$7),0,AND($K80&lt;=AL$7,$L80&lt;=AL$7),1,AND($K80&lt;=AL$7,$L80&gt;AL$7),((AL$7-$K80)/($L80-$K80)))</f>
        <v>1</v>
      </c>
      <c r="AN80" s="201">
        <f t="array" ref="AN80">_xlfn.IFS(AND($K80&gt;AM$7,$L80&gt;AM$7),0,AND($K80&lt;=AM$7,$L80&lt;=AM$7),1,AND($K80&lt;=AM$7,$L80&gt;AM$7),((AM$7-$K80)/($L80-$K80)))</f>
        <v>1</v>
      </c>
      <c r="AO80" s="201">
        <f t="array" ref="AO80">_xlfn.IFS(AND($K80&gt;AN$7,$L80&gt;AN$7),0,AND($K80&lt;=AN$7,$L80&lt;=AN$7),1,AND($K80&lt;=AN$7,$L80&gt;AN$7),((AN$7-$K80)/($L80-$K80)))</f>
        <v>1</v>
      </c>
      <c r="AP80" s="201">
        <f t="array" ref="AP80">_xlfn.IFS(AND($K80&gt;AO$7,$L80&gt;AO$7),0,AND($K80&lt;=AO$7,$L80&lt;=AO$7),1,AND($K80&lt;=AO$7,$L80&gt;AO$7),((AO$7-$K80)/($L80-$K80)))</f>
        <v>1</v>
      </c>
      <c r="AQ80" s="201">
        <f t="array" ref="AQ80">_xlfn.IFS(AND($K80&gt;AP$7,$L80&gt;AP$7),0,AND($K80&lt;=AP$7,$L80&lt;=AP$7),1,AND($K80&lt;=AP$7,$L80&gt;AP$7),((AP$7-$K80)/($L80-$K80)))</f>
        <v>1</v>
      </c>
      <c r="AR80" s="201">
        <f t="array" ref="AR80">_xlfn.IFS(AND($K80&gt;AQ$7,$L80&gt;AQ$7),0,AND($K80&lt;=AQ$7,$L80&lt;=AQ$7),1,AND($K80&lt;=AQ$7,$L80&gt;AQ$7),((AQ$7-$K80)/($L80-$K80)))</f>
        <v>1</v>
      </c>
      <c r="AS80" s="201">
        <f t="array" ref="AS80">_xlfn.IFS(AND($K80&gt;AR$7,$L80&gt;AR$7),0,AND($K80&lt;=AR$7,$L80&lt;=AR$7),1,AND($K80&lt;=AR$7,$L80&gt;AR$7),((AR$7-$K80)/($L80-$K80)))</f>
        <v>1</v>
      </c>
      <c r="AT80" s="201">
        <f t="array" ref="AT80">_xlfn.IFS(AND($K80&gt;AS$7,$L80&gt;AS$7),0,AND($K80&lt;=AS$7,$L80&lt;=AS$7),1,AND($K80&lt;=AS$7,$L80&gt;AS$7),((AS$7-$K80)/($L80-$K80)))</f>
        <v>1</v>
      </c>
      <c r="AU80" s="201">
        <f t="array" ref="AU80">_xlfn.IFS(AND($K80&gt;AT$7,$L80&gt;AT$7),0,AND($K80&lt;=AT$7,$L80&lt;=AT$7),1,AND($K80&lt;=AT$7,$L80&gt;AT$7),((AT$7-$K80)/($L80-$K80)))</f>
        <v>1</v>
      </c>
      <c r="AV80" s="201">
        <f t="array" ref="AV80">_xlfn.IFS(AND($K80&gt;AU$7,$L80&gt;AU$7),0,AND($K80&lt;=AU$7,$L80&lt;=AU$7),1,AND($K80&lt;=AU$7,$L80&gt;AU$7),((AU$7-$K80)/($L80-$K80)))</f>
        <v>1</v>
      </c>
      <c r="AW80" s="201">
        <f t="array" ref="AW80">_xlfn.IFS(AND($K80&gt;AV$7,$L80&gt;AV$7),0,AND($K80&lt;=AV$7,$L80&lt;=AV$7),1,AND($K80&lt;=AV$7,$L80&gt;AV$7),((AV$7-$K80)/($L80-$K80)))</f>
        <v>1</v>
      </c>
      <c r="AX80" s="201">
        <f t="array" ref="AX80">_xlfn.IFS(AND($K80&gt;AW$7,$L80&gt;AW$7),0,AND($K80&lt;=AW$7,$L80&lt;=AW$7),1,AND($K80&lt;=AW$7,$L80&gt;AW$7),((AW$7-$K80)/($L80-$K80)))</f>
        <v>1</v>
      </c>
      <c r="AY80" s="201">
        <f t="array" ref="AY80">_xlfn.IFS(AND($K80&gt;AX$7,$L80&gt;AX$7),0,AND($K80&lt;=AX$7,$L80&lt;=AX$7),1,AND($K80&lt;=AX$7,$L80&gt;AX$7),((AX$7-$K80)/($L80-$K80)))</f>
        <v>1</v>
      </c>
      <c r="AZ80" s="201">
        <f t="array" ref="AZ80">_xlfn.IFS(AND($K80&gt;AY$7,$L80&gt;AY$7),0,AND($K80&lt;=AY$7,$L80&lt;=AY$7),1,AND($K80&lt;=AY$7,$L80&gt;AY$7),((AY$7-$K80)/($L80-$K80)))</f>
        <v>1</v>
      </c>
      <c r="BA80" s="201">
        <f t="array" ref="BA80">_xlfn.IFS(AND($K80&gt;AZ$7,$L80&gt;AZ$7),0,AND($K80&lt;=AZ$7,$L80&lt;=AZ$7),1,AND($K80&lt;=AZ$7,$L80&gt;AZ$7),((AZ$7-$K80)/($L80-$K80)))</f>
        <v>1</v>
      </c>
      <c r="BB80" s="201">
        <f t="array" ref="BB80">_xlfn.IFS(AND($K80&gt;BA$7,$L80&gt;BA$7),0,AND($K80&lt;=BA$7,$L80&lt;=BA$7),1,AND($K80&lt;=BA$7,$L80&gt;BA$7),((BA$7-$K80)/($L80-$K80)))</f>
        <v>1</v>
      </c>
      <c r="BC80" s="201">
        <f t="array" ref="BC80">_xlfn.IFS(AND($K80&gt;BB$7,$L80&gt;BB$7),0,AND($K80&lt;=BB$7,$L80&lt;=BB$7),1,AND($K80&lt;=BB$7,$L80&gt;BB$7),((BB$7-$K80)/($L80-$K80)))</f>
        <v>1</v>
      </c>
      <c r="BD80" s="201">
        <f t="array" ref="BD80">_xlfn.IFS(AND($K80&gt;BC$7,$L80&gt;BC$7),0,AND($K80&lt;=BC$7,$L80&lt;=BC$7),1,AND($K80&lt;=BC$7,$L80&gt;BC$7),((BC$7-$K80)/($L80-$K80)))</f>
        <v>1</v>
      </c>
      <c r="BE80" s="201">
        <f t="array" ref="BE80">_xlfn.IFS(AND($K80&gt;BD$7,$L80&gt;BD$7),0,AND($K80&lt;=BD$7,$L80&lt;=BD$7),1,AND($K80&lt;=BD$7,$L80&gt;BD$7),((BD$7-$K80)/($L80-$K80)))</f>
        <v>1</v>
      </c>
      <c r="BF80" s="201">
        <f t="array" ref="BF80">_xlfn.IFS(AND($K80&gt;BE$7,$L80&gt;BE$7),0,AND($K80&lt;=BE$7,$L80&lt;=BE$7),1,AND($K80&lt;=BE$7,$L80&gt;BE$7),((BE$7-$K80)/($L80-$K80)))</f>
        <v>1</v>
      </c>
      <c r="BG80" s="201">
        <f t="array" ref="BG80">_xlfn.IFS(AND($K80&gt;BF$7,$L80&gt;BF$7),0,AND($K80&lt;=BF$7,$L80&lt;=BF$7),1,AND($K80&lt;=BF$7,$L80&gt;BF$7),((BF$7-$K80)/($L80-$K80)))</f>
        <v>1</v>
      </c>
      <c r="BH80" s="201">
        <f t="array" ref="BH80">_xlfn.IFS(AND($K80&gt;BG$7,$L80&gt;BG$7),0,AND($K80&lt;=BG$7,$L80&lt;=BG$7),1,AND($K80&lt;=BG$7,$L80&gt;BG$7),((BG$7-$K80)/($L80-$K80)))</f>
        <v>1</v>
      </c>
      <c r="BI80" s="201">
        <f t="array" ref="BI80">_xlfn.IFS(AND($K80&gt;BH$7,$L80&gt;BH$7),0,AND($K80&lt;=BH$7,$L80&lt;=BH$7),1,AND($K80&lt;=BH$7,$L80&gt;BH$7),((BH$7-$K80)/($L80-$K80)))</f>
        <v>1</v>
      </c>
      <c r="BJ80" s="201">
        <f t="array" ref="BJ80">_xlfn.IFS(AND($K80&gt;BI$7,$L80&gt;BI$7),0,AND($K80&lt;=BI$7,$L80&lt;=BI$7),1,AND($K80&lt;=BI$7,$L80&gt;BI$7),((BI$7-$K80)/($L80-$K80)))</f>
        <v>1</v>
      </c>
      <c r="BK80" s="201">
        <f t="array" ref="BK80">_xlfn.IFS(AND($K80&gt;BJ$7,$L80&gt;BJ$7),0,AND($K80&lt;=BJ$7,$L80&lt;=BJ$7),1,AND($K80&lt;=BJ$7,$L80&gt;BJ$7),((BJ$7-$K80)/($L80-$K80)))</f>
        <v>1</v>
      </c>
      <c r="BL80" s="201">
        <f t="array" ref="BL80">_xlfn.IFS(AND($K80&gt;BK$7,$L80&gt;BK$7),0,AND($K80&lt;=BK$7,$L80&lt;=BK$7),1,AND($K80&lt;=BK$7,$L80&gt;BK$7),((BK$7-$K80)/($L80-$K80)))</f>
        <v>1</v>
      </c>
      <c r="BM80" s="201">
        <f t="array" ref="BM80">_xlfn.IFS(AND($K80&gt;BL$7,$L80&gt;BL$7),0,AND($K80&lt;=BL$7,$L80&lt;=BL$7),1,AND($K80&lt;=BL$7,$L80&gt;BL$7),((BL$7-$K80)/($L80-$K80)))</f>
        <v>1</v>
      </c>
      <c r="BN80" s="201">
        <f t="array" ref="BN80">_xlfn.IFS(AND($K80&gt;BM$7,$L80&gt;BM$7),0,AND($K80&lt;=BM$7,$L80&lt;=BM$7),1,AND($K80&lt;=BM$7,$L80&gt;BM$7),((BM$7-$K80)/($L80-$K80)))</f>
        <v>1</v>
      </c>
    </row>
    <row r="81" spans="2:66" s="163" customFormat="1" ht="27.6" customHeight="1" collapsed="1" x14ac:dyDescent="0.3">
      <c r="B81" s="166" t="str">
        <f t="array" ref="B81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81" s="166" t="s">
        <v>209</v>
      </c>
      <c r="D81" s="177"/>
      <c r="E81" s="170" t="str">
        <f t="shared" si="42"/>
        <v>Desenvolvimento da Transformação dos Processos</v>
      </c>
      <c r="F81" s="174" t="str">
        <f t="shared" si="39"/>
        <v>Modelagem To Be</v>
      </c>
      <c r="G81" s="166" t="str">
        <f t="shared" si="43"/>
        <v>Modelagem To Be</v>
      </c>
      <c r="H81" s="197" t="s">
        <v>210</v>
      </c>
      <c r="I81" s="166">
        <v>45775</v>
      </c>
      <c r="J81" s="40">
        <v>45779</v>
      </c>
      <c r="K81" s="166">
        <v>45775</v>
      </c>
      <c r="L81" s="40">
        <v>45779</v>
      </c>
      <c r="M81" s="167"/>
      <c r="N81" s="167" t="str">
        <f t="array" ref="N81">_xlfn.IFS(L81&lt;$M$3,"Concluído",AND(K81&gt;=$M$3,I81&lt;$M$3,L81&gt;$M$3),"Em andamento",AND(L81&gt;=$M$3,J81&lt;$M$3),"Atrasado",AND(L81&gt;=$M$3,J81&gt;=$M$3,I81&gt;$M$3,K81&lt;=$M$3),"Em andamento",AND(L81&gt;=$M$3,J81&gt;=$M$3,I81&lt;=$M$3,K81&lt;=$M$3),"Em andamento",AND(K81&gt;$M$3,I81&gt;$M$3),"Não iniciado",AND(L81&gt;=$M$3,J81&gt;=$M$3,K81&gt;=$M$3,I81&lt;$M$3),"Atrasado",AND(L81&gt;=$M$3,J81&gt;=$M$3,K81&gt;=$M$3,I81&gt;$M$3),"Não iniciado",AND($I81&lt;=$M$3,$K81&gt;$M$3),"Atrasado")</f>
        <v>Concluído</v>
      </c>
      <c r="O81" s="167">
        <f t="array" ref="O81">_xlfn.IFS(N81="Não iniciado",0,N81="Em andamento",1,N81="Concluído",2,N81="Atrasado",3)</f>
        <v>2</v>
      </c>
      <c r="P81" s="169"/>
      <c r="Q81" s="152">
        <f t="array" ref="Q81">_xlfn.IFS(AND($I81&lt;$M$3,$J81&lt;$M$3),1,AND($I81&lt;$M$3,$J81&gt;=$M$3),0.5,AND($I81&gt;=$M$3,$J81&gt;=$M$3),0)</f>
        <v>1</v>
      </c>
      <c r="R81" s="152">
        <f t="array" ref="R81">_xlfn.IFS(AND($K81&lt;$M$3,$L81&lt;$M$3),1,AND($K81&lt;=$M$3,$L81&gt;=$M$3),0.5,AND($K81&gt;=$M$3,$L81&gt;=$M$3),0)</f>
        <v>1</v>
      </c>
      <c r="S81" s="201">
        <f t="array" ref="S81">_xlfn.IFS(AND($K81&gt;R$7,$L81&gt;R$7),0,AND($K81&lt;=R$7,$L81&lt;=R$7),1,AND($K81&lt;=R$7,$L81&gt;R$7),((R$7-$K81)/($L81-$K81)))</f>
        <v>0</v>
      </c>
      <c r="T81" s="201">
        <f t="array" ref="T81">_xlfn.IFS(AND($K81&gt;S$7,$L81&gt;S$7),0,AND($K81&lt;=S$7,$L81&lt;=S$7),1,AND($K81&lt;=S$7,$L81&gt;S$7),((S$7-$K81)/($L81-$K81)))</f>
        <v>0</v>
      </c>
      <c r="U81" s="201">
        <f t="array" ref="U81">_xlfn.IFS(AND($K81&gt;T$7,$L81&gt;T$7),0,AND($K81&lt;=T$7,$L81&lt;=T$7),1,AND($K81&lt;=T$7,$L81&gt;T$7),((T$7-$K81)/($L81-$K81)))</f>
        <v>0</v>
      </c>
      <c r="V81" s="201">
        <f t="array" ref="V81">_xlfn.IFS(AND($K81&gt;U$7,$L81&gt;U$7),0,AND($K81&lt;=U$7,$L81&lt;=U$7),1,AND($K81&lt;=U$7,$L81&gt;U$7),((U$7-$K81)/($L81-$K81)))</f>
        <v>0</v>
      </c>
      <c r="W81" s="201">
        <f t="array" ref="W81">_xlfn.IFS(AND($K81&gt;V$7,$L81&gt;V$7),0,AND($K81&lt;=V$7,$L81&lt;=V$7),1,AND($K81&lt;=V$7,$L81&gt;V$7),((V$7-$K81)/($L81-$K81)))</f>
        <v>0</v>
      </c>
      <c r="X81" s="201">
        <f t="array" ref="X81">_xlfn.IFS(AND($K81&gt;W$7,$L81&gt;W$7),0,AND($K81&lt;=W$7,$L81&lt;=W$7),1,AND($K81&lt;=W$7,$L81&gt;W$7),((W$7-$K81)/($L81-$K81)))</f>
        <v>0</v>
      </c>
      <c r="Y81" s="201">
        <f t="array" ref="Y81">_xlfn.IFS(AND($K81&gt;X$7,$L81&gt;X$7),0,AND($K81&lt;=X$7,$L81&lt;=X$7),1,AND($K81&lt;=X$7,$L81&gt;X$7),((X$7-$K81)/($L81-$K81)))</f>
        <v>0</v>
      </c>
      <c r="Z81" s="201">
        <f t="array" ref="Z81">_xlfn.IFS(AND($K81&gt;Y$7,$L81&gt;Y$7),0,AND($K81&lt;=Y$7,$L81&lt;=Y$7),1,AND($K81&lt;=Y$7,$L81&gt;Y$7),((Y$7-$K81)/($L81-$K81)))</f>
        <v>0</v>
      </c>
      <c r="AA81" s="201">
        <f t="array" ref="AA81">_xlfn.IFS(AND($K81&gt;Z$7,$L81&gt;Z$7),0,AND($K81&lt;=Z$7,$L81&lt;=Z$7),1,AND($K81&lt;=Z$7,$L81&gt;Z$7),((Z$7-$K81)/($L81-$K81)))</f>
        <v>0</v>
      </c>
      <c r="AB81" s="201">
        <f t="array" ref="AB81">_xlfn.IFS(AND($K81&gt;AA$7,$L81&gt;AA$7),0,AND($K81&lt;=AA$7,$L81&lt;=AA$7),1,AND($K81&lt;=AA$7,$L81&gt;AA$7),((AA$7-$K81)/($L81-$K81)))</f>
        <v>0</v>
      </c>
      <c r="AC81" s="201">
        <f t="array" ref="AC81">_xlfn.IFS(AND($K81&gt;AB$7,$L81&gt;AB$7),0,AND($K81&lt;=AB$7,$L81&lt;=AB$7),1,AND($K81&lt;=AB$7,$L81&gt;AB$7),((AB$7-$K81)/($L81-$K81)))</f>
        <v>0</v>
      </c>
      <c r="AD81" s="201">
        <f t="array" ref="AD81">_xlfn.IFS(AND($K81&gt;AC$7,$L81&gt;AC$7),0,AND($K81&lt;=AC$7,$L81&lt;=AC$7),1,AND($K81&lt;=AC$7,$L81&gt;AC$7),((AC$7-$K81)/($L81-$K81)))</f>
        <v>0</v>
      </c>
      <c r="AE81" s="201">
        <f t="array" ref="AE81">_xlfn.IFS(AND($K81&gt;AD$7,$L81&gt;AD$7),0,AND($K81&lt;=AD$7,$L81&lt;=AD$7),1,AND($K81&lt;=AD$7,$L81&gt;AD$7),((AD$7-$K81)/($L81-$K81)))</f>
        <v>0</v>
      </c>
      <c r="AF81" s="201">
        <f t="array" ref="AF81">_xlfn.IFS(AND($K81&gt;AE$7,$L81&gt;AE$7),0,AND($K81&lt;=AE$7,$L81&lt;=AE$7),1,AND($K81&lt;=AE$7,$L81&gt;AE$7),((AE$7-$K81)/($L81-$K81)))</f>
        <v>1</v>
      </c>
      <c r="AG81" s="201">
        <f t="array" ref="AG81">_xlfn.IFS(AND($K81&gt;AF$7,$L81&gt;AF$7),0,AND($K81&lt;=AF$7,$L81&lt;=AF$7),1,AND($K81&lt;=AF$7,$L81&gt;AF$7),((AF$7-$K81)/($L81-$K81)))</f>
        <v>1</v>
      </c>
      <c r="AH81" s="201">
        <f t="array" ref="AH81">_xlfn.IFS(AND($K81&gt;AG$7,$L81&gt;AG$7),0,AND($K81&lt;=AG$7,$L81&lt;=AG$7),1,AND($K81&lt;=AG$7,$L81&gt;AG$7),((AG$7-$K81)/($L81-$K81)))</f>
        <v>1</v>
      </c>
      <c r="AI81" s="201">
        <f t="array" ref="AI81">_xlfn.IFS(AND($K81&gt;AH$7,$L81&gt;AH$7),0,AND($K81&lt;=AH$7,$L81&lt;=AH$7),1,AND($K81&lt;=AH$7,$L81&gt;AH$7),((AH$7-$K81)/($L81-$K81)))</f>
        <v>1</v>
      </c>
      <c r="AJ81" s="201">
        <f t="array" ref="AJ81">_xlfn.IFS(AND($K81&gt;AI$7,$L81&gt;AI$7),0,AND($K81&lt;=AI$7,$L81&lt;=AI$7),1,AND($K81&lt;=AI$7,$L81&gt;AI$7),((AI$7-$K81)/($L81-$K81)))</f>
        <v>1</v>
      </c>
      <c r="AK81" s="201">
        <f t="array" ref="AK81">_xlfn.IFS(AND($K81&gt;AJ$7,$L81&gt;AJ$7),0,AND($K81&lt;=AJ$7,$L81&lt;=AJ$7),1,AND($K81&lt;=AJ$7,$L81&gt;AJ$7),((AJ$7-$K81)/($L81-$K81)))</f>
        <v>1</v>
      </c>
      <c r="AL81" s="201">
        <f t="array" ref="AL81">_xlfn.IFS(AND($K81&gt;AK$7,$L81&gt;AK$7),0,AND($K81&lt;=AK$7,$L81&lt;=AK$7),1,AND($K81&lt;=AK$7,$L81&gt;AK$7),((AK$7-$K81)/($L81-$K81)))</f>
        <v>1</v>
      </c>
      <c r="AM81" s="201">
        <f t="array" ref="AM81">_xlfn.IFS(AND($K81&gt;AL$7,$L81&gt;AL$7),0,AND($K81&lt;=AL$7,$L81&lt;=AL$7),1,AND($K81&lt;=AL$7,$L81&gt;AL$7),((AL$7-$K81)/($L81-$K81)))</f>
        <v>1</v>
      </c>
      <c r="AN81" s="201">
        <f t="array" ref="AN81">_xlfn.IFS(AND($K81&gt;AM$7,$L81&gt;AM$7),0,AND($K81&lt;=AM$7,$L81&lt;=AM$7),1,AND($K81&lt;=AM$7,$L81&gt;AM$7),((AM$7-$K81)/($L81-$K81)))</f>
        <v>1</v>
      </c>
      <c r="AO81" s="201">
        <f t="array" ref="AO81">_xlfn.IFS(AND($K81&gt;AN$7,$L81&gt;AN$7),0,AND($K81&lt;=AN$7,$L81&lt;=AN$7),1,AND($K81&lt;=AN$7,$L81&gt;AN$7),((AN$7-$K81)/($L81-$K81)))</f>
        <v>1</v>
      </c>
      <c r="AP81" s="201">
        <f t="array" ref="AP81">_xlfn.IFS(AND($K81&gt;AO$7,$L81&gt;AO$7),0,AND($K81&lt;=AO$7,$L81&lt;=AO$7),1,AND($K81&lt;=AO$7,$L81&gt;AO$7),((AO$7-$K81)/($L81-$K81)))</f>
        <v>1</v>
      </c>
      <c r="AQ81" s="201">
        <f t="array" ref="AQ81">_xlfn.IFS(AND($K81&gt;AP$7,$L81&gt;AP$7),0,AND($K81&lt;=AP$7,$L81&lt;=AP$7),1,AND($K81&lt;=AP$7,$L81&gt;AP$7),((AP$7-$K81)/($L81-$K81)))</f>
        <v>1</v>
      </c>
      <c r="AR81" s="201">
        <f t="array" ref="AR81">_xlfn.IFS(AND($K81&gt;AQ$7,$L81&gt;AQ$7),0,AND($K81&lt;=AQ$7,$L81&lt;=AQ$7),1,AND($K81&lt;=AQ$7,$L81&gt;AQ$7),((AQ$7-$K81)/($L81-$K81)))</f>
        <v>1</v>
      </c>
      <c r="AS81" s="201">
        <f t="array" ref="AS81">_xlfn.IFS(AND($K81&gt;AR$7,$L81&gt;AR$7),0,AND($K81&lt;=AR$7,$L81&lt;=AR$7),1,AND($K81&lt;=AR$7,$L81&gt;AR$7),((AR$7-$K81)/($L81-$K81)))</f>
        <v>1</v>
      </c>
      <c r="AT81" s="201">
        <f t="array" ref="AT81">_xlfn.IFS(AND($K81&gt;AS$7,$L81&gt;AS$7),0,AND($K81&lt;=AS$7,$L81&lt;=AS$7),1,AND($K81&lt;=AS$7,$L81&gt;AS$7),((AS$7-$K81)/($L81-$K81)))</f>
        <v>1</v>
      </c>
      <c r="AU81" s="201">
        <f t="array" ref="AU81">_xlfn.IFS(AND($K81&gt;AT$7,$L81&gt;AT$7),0,AND($K81&lt;=AT$7,$L81&lt;=AT$7),1,AND($K81&lt;=AT$7,$L81&gt;AT$7),((AT$7-$K81)/($L81-$K81)))</f>
        <v>1</v>
      </c>
      <c r="AV81" s="201">
        <f t="array" ref="AV81">_xlfn.IFS(AND($K81&gt;AU$7,$L81&gt;AU$7),0,AND($K81&lt;=AU$7,$L81&lt;=AU$7),1,AND($K81&lt;=AU$7,$L81&gt;AU$7),((AU$7-$K81)/($L81-$K81)))</f>
        <v>1</v>
      </c>
      <c r="AW81" s="201">
        <f t="array" ref="AW81">_xlfn.IFS(AND($K81&gt;AV$7,$L81&gt;AV$7),0,AND($K81&lt;=AV$7,$L81&lt;=AV$7),1,AND($K81&lt;=AV$7,$L81&gt;AV$7),((AV$7-$K81)/($L81-$K81)))</f>
        <v>1</v>
      </c>
      <c r="AX81" s="201">
        <f t="array" ref="AX81">_xlfn.IFS(AND($K81&gt;AW$7,$L81&gt;AW$7),0,AND($K81&lt;=AW$7,$L81&lt;=AW$7),1,AND($K81&lt;=AW$7,$L81&gt;AW$7),((AW$7-$K81)/($L81-$K81)))</f>
        <v>1</v>
      </c>
      <c r="AY81" s="201">
        <f t="array" ref="AY81">_xlfn.IFS(AND($K81&gt;AX$7,$L81&gt;AX$7),0,AND($K81&lt;=AX$7,$L81&lt;=AX$7),1,AND($K81&lt;=AX$7,$L81&gt;AX$7),((AX$7-$K81)/($L81-$K81)))</f>
        <v>1</v>
      </c>
      <c r="AZ81" s="201">
        <f t="array" ref="AZ81">_xlfn.IFS(AND($K81&gt;AY$7,$L81&gt;AY$7),0,AND($K81&lt;=AY$7,$L81&lt;=AY$7),1,AND($K81&lt;=AY$7,$L81&gt;AY$7),((AY$7-$K81)/($L81-$K81)))</f>
        <v>1</v>
      </c>
      <c r="BA81" s="201">
        <f t="array" ref="BA81">_xlfn.IFS(AND($K81&gt;AZ$7,$L81&gt;AZ$7),0,AND($K81&lt;=AZ$7,$L81&lt;=AZ$7),1,AND($K81&lt;=AZ$7,$L81&gt;AZ$7),((AZ$7-$K81)/($L81-$K81)))</f>
        <v>1</v>
      </c>
      <c r="BB81" s="201">
        <f t="array" ref="BB81">_xlfn.IFS(AND($K81&gt;BA$7,$L81&gt;BA$7),0,AND($K81&lt;=BA$7,$L81&lt;=BA$7),1,AND($K81&lt;=BA$7,$L81&gt;BA$7),((BA$7-$K81)/($L81-$K81)))</f>
        <v>1</v>
      </c>
      <c r="BC81" s="201">
        <f t="array" ref="BC81">_xlfn.IFS(AND($K81&gt;BB$7,$L81&gt;BB$7),0,AND($K81&lt;=BB$7,$L81&lt;=BB$7),1,AND($K81&lt;=BB$7,$L81&gt;BB$7),((BB$7-$K81)/($L81-$K81)))</f>
        <v>1</v>
      </c>
      <c r="BD81" s="201">
        <f t="array" ref="BD81">_xlfn.IFS(AND($K81&gt;BC$7,$L81&gt;BC$7),0,AND($K81&lt;=BC$7,$L81&lt;=BC$7),1,AND($K81&lt;=BC$7,$L81&gt;BC$7),((BC$7-$K81)/($L81-$K81)))</f>
        <v>1</v>
      </c>
      <c r="BE81" s="201">
        <f t="array" ref="BE81">_xlfn.IFS(AND($K81&gt;BD$7,$L81&gt;BD$7),0,AND($K81&lt;=BD$7,$L81&lt;=BD$7),1,AND($K81&lt;=BD$7,$L81&gt;BD$7),((BD$7-$K81)/($L81-$K81)))</f>
        <v>1</v>
      </c>
      <c r="BF81" s="201">
        <f t="array" ref="BF81">_xlfn.IFS(AND($K81&gt;BE$7,$L81&gt;BE$7),0,AND($K81&lt;=BE$7,$L81&lt;=BE$7),1,AND($K81&lt;=BE$7,$L81&gt;BE$7),((BE$7-$K81)/($L81-$K81)))</f>
        <v>1</v>
      </c>
      <c r="BG81" s="201">
        <f t="array" ref="BG81">_xlfn.IFS(AND($K81&gt;BF$7,$L81&gt;BF$7),0,AND($K81&lt;=BF$7,$L81&lt;=BF$7),1,AND($K81&lt;=BF$7,$L81&gt;BF$7),((BF$7-$K81)/($L81-$K81)))</f>
        <v>1</v>
      </c>
      <c r="BH81" s="201">
        <f t="array" ref="BH81">_xlfn.IFS(AND($K81&gt;BG$7,$L81&gt;BG$7),0,AND($K81&lt;=BG$7,$L81&lt;=BG$7),1,AND($K81&lt;=BG$7,$L81&gt;BG$7),((BG$7-$K81)/($L81-$K81)))</f>
        <v>1</v>
      </c>
      <c r="BI81" s="201">
        <f t="array" ref="BI81">_xlfn.IFS(AND($K81&gt;BH$7,$L81&gt;BH$7),0,AND($K81&lt;=BH$7,$L81&lt;=BH$7),1,AND($K81&lt;=BH$7,$L81&gt;BH$7),((BH$7-$K81)/($L81-$K81)))</f>
        <v>1</v>
      </c>
      <c r="BJ81" s="201">
        <f t="array" ref="BJ81">_xlfn.IFS(AND($K81&gt;BI$7,$L81&gt;BI$7),0,AND($K81&lt;=BI$7,$L81&lt;=BI$7),1,AND($K81&lt;=BI$7,$L81&gt;BI$7),((BI$7-$K81)/($L81-$K81)))</f>
        <v>1</v>
      </c>
      <c r="BK81" s="201">
        <f t="array" ref="BK81">_xlfn.IFS(AND($K81&gt;BJ$7,$L81&gt;BJ$7),0,AND($K81&lt;=BJ$7,$L81&lt;=BJ$7),1,AND($K81&lt;=BJ$7,$L81&gt;BJ$7),((BJ$7-$K81)/($L81-$K81)))</f>
        <v>1</v>
      </c>
      <c r="BL81" s="201">
        <f t="array" ref="BL81">_xlfn.IFS(AND($K81&gt;BK$7,$L81&gt;BK$7),0,AND($K81&lt;=BK$7,$L81&lt;=BK$7),1,AND($K81&lt;=BK$7,$L81&gt;BK$7),((BK$7-$K81)/($L81-$K81)))</f>
        <v>1</v>
      </c>
      <c r="BM81" s="201">
        <f t="array" ref="BM81">_xlfn.IFS(AND($K81&gt;BL$7,$L81&gt;BL$7),0,AND($K81&lt;=BL$7,$L81&lt;=BL$7),1,AND($K81&lt;=BL$7,$L81&gt;BL$7),((BL$7-$K81)/($L81-$K81)))</f>
        <v>1</v>
      </c>
      <c r="BN81" s="201">
        <f t="array" ref="BN81">_xlfn.IFS(AND($K81&gt;BM$7,$L81&gt;BM$7),0,AND($K81&lt;=BM$7,$L81&lt;=BM$7),1,AND($K81&lt;=BM$7,$L81&gt;BM$7),((BM$7-$K81)/($L81-$K81)))</f>
        <v>1</v>
      </c>
    </row>
    <row r="82" spans="2:66" s="163" customFormat="1" ht="27.6" customHeight="1" collapsed="1" x14ac:dyDescent="0.3">
      <c r="B82" s="166" t="str">
        <f t="array" ref="B82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82" s="166" t="s">
        <v>211</v>
      </c>
      <c r="D82" s="177"/>
      <c r="E82" s="170" t="str">
        <f t="shared" si="42"/>
        <v>Desenvolvimento da Transformação dos Processos</v>
      </c>
      <c r="F82" s="174" t="str">
        <f t="shared" si="39"/>
        <v>Modelagem To Be</v>
      </c>
      <c r="G82" s="166" t="str">
        <f t="shared" si="43"/>
        <v>Modelagem To Be</v>
      </c>
      <c r="H82" s="197" t="s">
        <v>212</v>
      </c>
      <c r="I82" s="166">
        <v>45768</v>
      </c>
      <c r="J82" s="40">
        <v>45779</v>
      </c>
      <c r="K82" s="166">
        <v>45768</v>
      </c>
      <c r="L82" s="40">
        <v>45779</v>
      </c>
      <c r="M82" s="167"/>
      <c r="N82" s="167" t="str">
        <f t="array" ref="N82">_xlfn.IFS(L82&lt;$M$3,"Concluído",AND(K82&gt;=$M$3,I82&lt;$M$3,L82&gt;$M$3),"Em andamento",AND(L82&gt;=$M$3,J82&lt;$M$3),"Atrasado",AND(L82&gt;=$M$3,J82&gt;=$M$3,I82&gt;$M$3,K82&lt;=$M$3),"Em andamento",AND(L82&gt;=$M$3,J82&gt;=$M$3,I82&lt;=$M$3,K82&lt;=$M$3),"Em andamento",AND(K82&gt;$M$3,I82&gt;$M$3),"Não iniciado",AND(L82&gt;=$M$3,J82&gt;=$M$3,K82&gt;=$M$3,I82&lt;$M$3),"Atrasado",AND(L82&gt;=$M$3,J82&gt;=$M$3,K82&gt;=$M$3,I82&gt;$M$3),"Não iniciado",AND($I82&lt;=$M$3,$K82&gt;$M$3),"Atrasado")</f>
        <v>Concluído</v>
      </c>
      <c r="O82" s="167">
        <f t="array" ref="O82">_xlfn.IFS(N82="Não iniciado",0,N82="Em andamento",1,N82="Concluído",2,N82="Atrasado",3)</f>
        <v>2</v>
      </c>
      <c r="P82" s="169"/>
      <c r="Q82" s="152">
        <f t="array" ref="Q82">_xlfn.IFS(AND($I82&lt;$M$3,$J82&lt;$M$3),1,AND($I82&lt;$M$3,$J82&gt;=$M$3),0.5,AND($I82&gt;=$M$3,$J82&gt;=$M$3),0)</f>
        <v>1</v>
      </c>
      <c r="R82" s="152">
        <f t="array" ref="R82">_xlfn.IFS(AND($K82&lt;$M$3,$L82&lt;$M$3),1,AND($K82&lt;=$M$3,$L82&gt;=$M$3),0.5,AND($K82&gt;=$M$3,$L82&gt;=$M$3),0)</f>
        <v>1</v>
      </c>
      <c r="S82" s="201">
        <f t="array" ref="S82">_xlfn.IFS(AND($K82&gt;R$7,$L82&gt;R$7),0,AND($K82&lt;=R$7,$L82&lt;=R$7),1,AND($K82&lt;=R$7,$L82&gt;R$7),((R$7-$K82)/($L82-$K82)))</f>
        <v>0</v>
      </c>
      <c r="T82" s="201">
        <f t="array" ref="T82">_xlfn.IFS(AND($K82&gt;S$7,$L82&gt;S$7),0,AND($K82&lt;=S$7,$L82&lt;=S$7),1,AND($K82&lt;=S$7,$L82&gt;S$7),((S$7-$K82)/($L82-$K82)))</f>
        <v>0</v>
      </c>
      <c r="U82" s="201">
        <f t="array" ref="U82">_xlfn.IFS(AND($K82&gt;T$7,$L82&gt;T$7),0,AND($K82&lt;=T$7,$L82&lt;=T$7),1,AND($K82&lt;=T$7,$L82&gt;T$7),((T$7-$K82)/($L82-$K82)))</f>
        <v>0</v>
      </c>
      <c r="V82" s="201">
        <f t="array" ref="V82">_xlfn.IFS(AND($K82&gt;U$7,$L82&gt;U$7),0,AND($K82&lt;=U$7,$L82&lt;=U$7),1,AND($K82&lt;=U$7,$L82&gt;U$7),((U$7-$K82)/($L82-$K82)))</f>
        <v>0</v>
      </c>
      <c r="W82" s="201">
        <f t="array" ref="W82">_xlfn.IFS(AND($K82&gt;V$7,$L82&gt;V$7),0,AND($K82&lt;=V$7,$L82&lt;=V$7),1,AND($K82&lt;=V$7,$L82&gt;V$7),((V$7-$K82)/($L82-$K82)))</f>
        <v>0</v>
      </c>
      <c r="X82" s="201">
        <f t="array" ref="X82">_xlfn.IFS(AND($K82&gt;W$7,$L82&gt;W$7),0,AND($K82&lt;=W$7,$L82&lt;=W$7),1,AND($K82&lt;=W$7,$L82&gt;W$7),((W$7-$K82)/($L82-$K82)))</f>
        <v>0</v>
      </c>
      <c r="Y82" s="201">
        <f t="array" ref="Y82">_xlfn.IFS(AND($K82&gt;X$7,$L82&gt;X$7),0,AND($K82&lt;=X$7,$L82&lt;=X$7),1,AND($K82&lt;=X$7,$L82&gt;X$7),((X$7-$K82)/($L82-$K82)))</f>
        <v>0</v>
      </c>
      <c r="Z82" s="201">
        <f t="array" ref="Z82">_xlfn.IFS(AND($K82&gt;Y$7,$L82&gt;Y$7),0,AND($K82&lt;=Y$7,$L82&lt;=Y$7),1,AND($K82&lt;=Y$7,$L82&gt;Y$7),((Y$7-$K82)/($L82-$K82)))</f>
        <v>0</v>
      </c>
      <c r="AA82" s="201">
        <f t="array" ref="AA82">_xlfn.IFS(AND($K82&gt;Z$7,$L82&gt;Z$7),0,AND($K82&lt;=Z$7,$L82&lt;=Z$7),1,AND($K82&lt;=Z$7,$L82&gt;Z$7),((Z$7-$K82)/($L82-$K82)))</f>
        <v>0</v>
      </c>
      <c r="AB82" s="201">
        <f t="array" ref="AB82">_xlfn.IFS(AND($K82&gt;AA$7,$L82&gt;AA$7),0,AND($K82&lt;=AA$7,$L82&lt;=AA$7),1,AND($K82&lt;=AA$7,$L82&gt;AA$7),((AA$7-$K82)/($L82-$K82)))</f>
        <v>0</v>
      </c>
      <c r="AC82" s="201">
        <f t="array" ref="AC82">_xlfn.IFS(AND($K82&gt;AB$7,$L82&gt;AB$7),0,AND($K82&lt;=AB$7,$L82&lt;=AB$7),1,AND($K82&lt;=AB$7,$L82&gt;AB$7),((AB$7-$K82)/($L82-$K82)))</f>
        <v>0</v>
      </c>
      <c r="AD82" s="201">
        <f t="array" ref="AD82">_xlfn.IFS(AND($K82&gt;AC$7,$L82&gt;AC$7),0,AND($K82&lt;=AC$7,$L82&lt;=AC$7),1,AND($K82&lt;=AC$7,$L82&gt;AC$7),((AC$7-$K82)/($L82-$K82)))</f>
        <v>0</v>
      </c>
      <c r="AE82" s="201">
        <f t="array" ref="AE82">_xlfn.IFS(AND($K82&gt;AD$7,$L82&gt;AD$7),0,AND($K82&lt;=AD$7,$L82&lt;=AD$7),1,AND($K82&lt;=AD$7,$L82&gt;AD$7),((AD$7-$K82)/($L82-$K82)))</f>
        <v>0.45454545454545453</v>
      </c>
      <c r="AF82" s="201">
        <f t="array" ref="AF82">_xlfn.IFS(AND($K82&gt;AE$7,$L82&gt;AE$7),0,AND($K82&lt;=AE$7,$L82&lt;=AE$7),1,AND($K82&lt;=AE$7,$L82&gt;AE$7),((AE$7-$K82)/($L82-$K82)))</f>
        <v>1</v>
      </c>
      <c r="AG82" s="201">
        <f t="array" ref="AG82">_xlfn.IFS(AND($K82&gt;AF$7,$L82&gt;AF$7),0,AND($K82&lt;=AF$7,$L82&lt;=AF$7),1,AND($K82&lt;=AF$7,$L82&gt;AF$7),((AF$7-$K82)/($L82-$K82)))</f>
        <v>1</v>
      </c>
      <c r="AH82" s="201">
        <f t="array" ref="AH82">_xlfn.IFS(AND($K82&gt;AG$7,$L82&gt;AG$7),0,AND($K82&lt;=AG$7,$L82&lt;=AG$7),1,AND($K82&lt;=AG$7,$L82&gt;AG$7),((AG$7-$K82)/($L82-$K82)))</f>
        <v>1</v>
      </c>
      <c r="AI82" s="201">
        <f t="array" ref="AI82">_xlfn.IFS(AND($K82&gt;AH$7,$L82&gt;AH$7),0,AND($K82&lt;=AH$7,$L82&lt;=AH$7),1,AND($K82&lt;=AH$7,$L82&gt;AH$7),((AH$7-$K82)/($L82-$K82)))</f>
        <v>1</v>
      </c>
      <c r="AJ82" s="201">
        <f t="array" ref="AJ82">_xlfn.IFS(AND($K82&gt;AI$7,$L82&gt;AI$7),0,AND($K82&lt;=AI$7,$L82&lt;=AI$7),1,AND($K82&lt;=AI$7,$L82&gt;AI$7),((AI$7-$K82)/($L82-$K82)))</f>
        <v>1</v>
      </c>
      <c r="AK82" s="201">
        <f t="array" ref="AK82">_xlfn.IFS(AND($K82&gt;AJ$7,$L82&gt;AJ$7),0,AND($K82&lt;=AJ$7,$L82&lt;=AJ$7),1,AND($K82&lt;=AJ$7,$L82&gt;AJ$7),((AJ$7-$K82)/($L82-$K82)))</f>
        <v>1</v>
      </c>
      <c r="AL82" s="201">
        <f t="array" ref="AL82">_xlfn.IFS(AND($K82&gt;AK$7,$L82&gt;AK$7),0,AND($K82&lt;=AK$7,$L82&lt;=AK$7),1,AND($K82&lt;=AK$7,$L82&gt;AK$7),((AK$7-$K82)/($L82-$K82)))</f>
        <v>1</v>
      </c>
      <c r="AM82" s="201">
        <f t="array" ref="AM82">_xlfn.IFS(AND($K82&gt;AL$7,$L82&gt;AL$7),0,AND($K82&lt;=AL$7,$L82&lt;=AL$7),1,AND($K82&lt;=AL$7,$L82&gt;AL$7),((AL$7-$K82)/($L82-$K82)))</f>
        <v>1</v>
      </c>
      <c r="AN82" s="201">
        <f t="array" ref="AN82">_xlfn.IFS(AND($K82&gt;AM$7,$L82&gt;AM$7),0,AND($K82&lt;=AM$7,$L82&lt;=AM$7),1,AND($K82&lt;=AM$7,$L82&gt;AM$7),((AM$7-$K82)/($L82-$K82)))</f>
        <v>1</v>
      </c>
      <c r="AO82" s="201">
        <f t="array" ref="AO82">_xlfn.IFS(AND($K82&gt;AN$7,$L82&gt;AN$7),0,AND($K82&lt;=AN$7,$L82&lt;=AN$7),1,AND($K82&lt;=AN$7,$L82&gt;AN$7),((AN$7-$K82)/($L82-$K82)))</f>
        <v>1</v>
      </c>
      <c r="AP82" s="201">
        <f t="array" ref="AP82">_xlfn.IFS(AND($K82&gt;AO$7,$L82&gt;AO$7),0,AND($K82&lt;=AO$7,$L82&lt;=AO$7),1,AND($K82&lt;=AO$7,$L82&gt;AO$7),((AO$7-$K82)/($L82-$K82)))</f>
        <v>1</v>
      </c>
      <c r="AQ82" s="201">
        <f t="array" ref="AQ82">_xlfn.IFS(AND($K82&gt;AP$7,$L82&gt;AP$7),0,AND($K82&lt;=AP$7,$L82&lt;=AP$7),1,AND($K82&lt;=AP$7,$L82&gt;AP$7),((AP$7-$K82)/($L82-$K82)))</f>
        <v>1</v>
      </c>
      <c r="AR82" s="201">
        <f t="array" ref="AR82">_xlfn.IFS(AND($K82&gt;AQ$7,$L82&gt;AQ$7),0,AND($K82&lt;=AQ$7,$L82&lt;=AQ$7),1,AND($K82&lt;=AQ$7,$L82&gt;AQ$7),((AQ$7-$K82)/($L82-$K82)))</f>
        <v>1</v>
      </c>
      <c r="AS82" s="201">
        <f t="array" ref="AS82">_xlfn.IFS(AND($K82&gt;AR$7,$L82&gt;AR$7),0,AND($K82&lt;=AR$7,$L82&lt;=AR$7),1,AND($K82&lt;=AR$7,$L82&gt;AR$7),((AR$7-$K82)/($L82-$K82)))</f>
        <v>1</v>
      </c>
      <c r="AT82" s="201">
        <f t="array" ref="AT82">_xlfn.IFS(AND($K82&gt;AS$7,$L82&gt;AS$7),0,AND($K82&lt;=AS$7,$L82&lt;=AS$7),1,AND($K82&lt;=AS$7,$L82&gt;AS$7),((AS$7-$K82)/($L82-$K82)))</f>
        <v>1</v>
      </c>
      <c r="AU82" s="201">
        <f t="array" ref="AU82">_xlfn.IFS(AND($K82&gt;AT$7,$L82&gt;AT$7),0,AND($K82&lt;=AT$7,$L82&lt;=AT$7),1,AND($K82&lt;=AT$7,$L82&gt;AT$7),((AT$7-$K82)/($L82-$K82)))</f>
        <v>1</v>
      </c>
      <c r="AV82" s="201">
        <f t="array" ref="AV82">_xlfn.IFS(AND($K82&gt;AU$7,$L82&gt;AU$7),0,AND($K82&lt;=AU$7,$L82&lt;=AU$7),1,AND($K82&lt;=AU$7,$L82&gt;AU$7),((AU$7-$K82)/($L82-$K82)))</f>
        <v>1</v>
      </c>
      <c r="AW82" s="201">
        <f t="array" ref="AW82">_xlfn.IFS(AND($K82&gt;AV$7,$L82&gt;AV$7),0,AND($K82&lt;=AV$7,$L82&lt;=AV$7),1,AND($K82&lt;=AV$7,$L82&gt;AV$7),((AV$7-$K82)/($L82-$K82)))</f>
        <v>1</v>
      </c>
      <c r="AX82" s="201">
        <f t="array" ref="AX82">_xlfn.IFS(AND($K82&gt;AW$7,$L82&gt;AW$7),0,AND($K82&lt;=AW$7,$L82&lt;=AW$7),1,AND($K82&lt;=AW$7,$L82&gt;AW$7),((AW$7-$K82)/($L82-$K82)))</f>
        <v>1</v>
      </c>
      <c r="AY82" s="201">
        <f t="array" ref="AY82">_xlfn.IFS(AND($K82&gt;AX$7,$L82&gt;AX$7),0,AND($K82&lt;=AX$7,$L82&lt;=AX$7),1,AND($K82&lt;=AX$7,$L82&gt;AX$7),((AX$7-$K82)/($L82-$K82)))</f>
        <v>1</v>
      </c>
      <c r="AZ82" s="201">
        <f t="array" ref="AZ82">_xlfn.IFS(AND($K82&gt;AY$7,$L82&gt;AY$7),0,AND($K82&lt;=AY$7,$L82&lt;=AY$7),1,AND($K82&lt;=AY$7,$L82&gt;AY$7),((AY$7-$K82)/($L82-$K82)))</f>
        <v>1</v>
      </c>
      <c r="BA82" s="201">
        <f t="array" ref="BA82">_xlfn.IFS(AND($K82&gt;AZ$7,$L82&gt;AZ$7),0,AND($K82&lt;=AZ$7,$L82&lt;=AZ$7),1,AND($K82&lt;=AZ$7,$L82&gt;AZ$7),((AZ$7-$K82)/($L82-$K82)))</f>
        <v>1</v>
      </c>
      <c r="BB82" s="201">
        <f t="array" ref="BB82">_xlfn.IFS(AND($K82&gt;BA$7,$L82&gt;BA$7),0,AND($K82&lt;=BA$7,$L82&lt;=BA$7),1,AND($K82&lt;=BA$7,$L82&gt;BA$7),((BA$7-$K82)/($L82-$K82)))</f>
        <v>1</v>
      </c>
      <c r="BC82" s="201">
        <f t="array" ref="BC82">_xlfn.IFS(AND($K82&gt;BB$7,$L82&gt;BB$7),0,AND($K82&lt;=BB$7,$L82&lt;=BB$7),1,AND($K82&lt;=BB$7,$L82&gt;BB$7),((BB$7-$K82)/($L82-$K82)))</f>
        <v>1</v>
      </c>
      <c r="BD82" s="201">
        <f t="array" ref="BD82">_xlfn.IFS(AND($K82&gt;BC$7,$L82&gt;BC$7),0,AND($K82&lt;=BC$7,$L82&lt;=BC$7),1,AND($K82&lt;=BC$7,$L82&gt;BC$7),((BC$7-$K82)/($L82-$K82)))</f>
        <v>1</v>
      </c>
      <c r="BE82" s="201">
        <f t="array" ref="BE82">_xlfn.IFS(AND($K82&gt;BD$7,$L82&gt;BD$7),0,AND($K82&lt;=BD$7,$L82&lt;=BD$7),1,AND($K82&lt;=BD$7,$L82&gt;BD$7),((BD$7-$K82)/($L82-$K82)))</f>
        <v>1</v>
      </c>
      <c r="BF82" s="201">
        <f t="array" ref="BF82">_xlfn.IFS(AND($K82&gt;BE$7,$L82&gt;BE$7),0,AND($K82&lt;=BE$7,$L82&lt;=BE$7),1,AND($K82&lt;=BE$7,$L82&gt;BE$7),((BE$7-$K82)/($L82-$K82)))</f>
        <v>1</v>
      </c>
      <c r="BG82" s="201">
        <f t="array" ref="BG82">_xlfn.IFS(AND($K82&gt;BF$7,$L82&gt;BF$7),0,AND($K82&lt;=BF$7,$L82&lt;=BF$7),1,AND($K82&lt;=BF$7,$L82&gt;BF$7),((BF$7-$K82)/($L82-$K82)))</f>
        <v>1</v>
      </c>
      <c r="BH82" s="201">
        <f t="array" ref="BH82">_xlfn.IFS(AND($K82&gt;BG$7,$L82&gt;BG$7),0,AND($K82&lt;=BG$7,$L82&lt;=BG$7),1,AND($K82&lt;=BG$7,$L82&gt;BG$7),((BG$7-$K82)/($L82-$K82)))</f>
        <v>1</v>
      </c>
      <c r="BI82" s="201">
        <f t="array" ref="BI82">_xlfn.IFS(AND($K82&gt;BH$7,$L82&gt;BH$7),0,AND($K82&lt;=BH$7,$L82&lt;=BH$7),1,AND($K82&lt;=BH$7,$L82&gt;BH$7),((BH$7-$K82)/($L82-$K82)))</f>
        <v>1</v>
      </c>
      <c r="BJ82" s="201">
        <f t="array" ref="BJ82">_xlfn.IFS(AND($K82&gt;BI$7,$L82&gt;BI$7),0,AND($K82&lt;=BI$7,$L82&lt;=BI$7),1,AND($K82&lt;=BI$7,$L82&gt;BI$7),((BI$7-$K82)/($L82-$K82)))</f>
        <v>1</v>
      </c>
      <c r="BK82" s="201">
        <f t="array" ref="BK82">_xlfn.IFS(AND($K82&gt;BJ$7,$L82&gt;BJ$7),0,AND($K82&lt;=BJ$7,$L82&lt;=BJ$7),1,AND($K82&lt;=BJ$7,$L82&gt;BJ$7),((BJ$7-$K82)/($L82-$K82)))</f>
        <v>1</v>
      </c>
      <c r="BL82" s="201">
        <f t="array" ref="BL82">_xlfn.IFS(AND($K82&gt;BK$7,$L82&gt;BK$7),0,AND($K82&lt;=BK$7,$L82&lt;=BK$7),1,AND($K82&lt;=BK$7,$L82&gt;BK$7),((BK$7-$K82)/($L82-$K82)))</f>
        <v>1</v>
      </c>
      <c r="BM82" s="201">
        <f t="array" ref="BM82">_xlfn.IFS(AND($K82&gt;BL$7,$L82&gt;BL$7),0,AND($K82&lt;=BL$7,$L82&lt;=BL$7),1,AND($K82&lt;=BL$7,$L82&gt;BL$7),((BL$7-$K82)/($L82-$K82)))</f>
        <v>1</v>
      </c>
      <c r="BN82" s="201">
        <f t="array" ref="BN82">_xlfn.IFS(AND($K82&gt;BM$7,$L82&gt;BM$7),0,AND($K82&lt;=BM$7,$L82&lt;=BM$7),1,AND($K82&lt;=BM$7,$L82&gt;BM$7),((BM$7-$K82)/($L82-$K82)))</f>
        <v>1</v>
      </c>
    </row>
    <row r="83" spans="2:66" s="163" customFormat="1" ht="27.6" customHeight="1" collapsed="1" x14ac:dyDescent="0.3">
      <c r="B83" s="166" t="str">
        <f t="array" ref="B83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83" s="166" t="s">
        <v>213</v>
      </c>
      <c r="D83" s="177"/>
      <c r="E83" s="170" t="str">
        <f t="shared" si="42"/>
        <v>Desenvolvimento da Transformação dos Processos</v>
      </c>
      <c r="F83" s="174" t="str">
        <f t="shared" si="39"/>
        <v>Modelagem To Be</v>
      </c>
      <c r="G83" s="166" t="str">
        <f t="shared" si="43"/>
        <v>Modelagem To Be</v>
      </c>
      <c r="H83" s="197" t="s">
        <v>214</v>
      </c>
      <c r="I83" s="166">
        <v>45775</v>
      </c>
      <c r="J83" s="40">
        <v>45779</v>
      </c>
      <c r="K83" s="166">
        <v>45775</v>
      </c>
      <c r="L83" s="40">
        <v>45779</v>
      </c>
      <c r="M83" s="167"/>
      <c r="N83" s="167" t="str">
        <f t="array" ref="N83">_xlfn.IFS(L83&lt;$M$3,"Concluído",AND(K83&gt;=$M$3,I83&lt;$M$3,L83&gt;$M$3),"Em andamento",AND(L83&gt;=$M$3,J83&lt;$M$3),"Atrasado",AND(L83&gt;=$M$3,J83&gt;=$M$3,I83&gt;$M$3,K83&lt;=$M$3),"Em andamento",AND(L83&gt;=$M$3,J83&gt;=$M$3,I83&lt;=$M$3,K83&lt;=$M$3),"Em andamento",AND(K83&gt;$M$3,I83&gt;$M$3),"Não iniciado",AND(L83&gt;=$M$3,J83&gt;=$M$3,K83&gt;=$M$3,I83&lt;$M$3),"Atrasado",AND(L83&gt;=$M$3,J83&gt;=$M$3,K83&gt;=$M$3,I83&gt;$M$3),"Não iniciado",AND($I83&lt;=$M$3,$K83&gt;$M$3),"Atrasado")</f>
        <v>Concluído</v>
      </c>
      <c r="O83" s="167">
        <f t="array" ref="O83">_xlfn.IFS(N83="Não iniciado",0,N83="Em andamento",1,N83="Concluído",2,N83="Atrasado",3)</f>
        <v>2</v>
      </c>
      <c r="P83" s="169"/>
      <c r="Q83" s="152">
        <f t="array" ref="Q83">_xlfn.IFS(AND($I83&lt;$M$3,$J83&lt;$M$3),1,AND($I83&lt;$M$3,$J83&gt;=$M$3),0.5,AND($I83&gt;=$M$3,$J83&gt;=$M$3),0)</f>
        <v>1</v>
      </c>
      <c r="R83" s="152">
        <f t="array" ref="R83">_xlfn.IFS(AND($K83&lt;$M$3,$L83&lt;$M$3),1,AND($K83&lt;=$M$3,$L83&gt;=$M$3),0.5,AND($K83&gt;=$M$3,$L83&gt;=$M$3),0)</f>
        <v>1</v>
      </c>
      <c r="S83" s="201">
        <f t="array" ref="S83">_xlfn.IFS(AND($K83&gt;R$7,$L83&gt;R$7),0,AND($K83&lt;=R$7,$L83&lt;=R$7),1,AND($K83&lt;=R$7,$L83&gt;R$7),((R$7-$K83)/($L83-$K83)))</f>
        <v>0</v>
      </c>
      <c r="T83" s="201">
        <f t="array" ref="T83">_xlfn.IFS(AND($K83&gt;S$7,$L83&gt;S$7),0,AND($K83&lt;=S$7,$L83&lt;=S$7),1,AND($K83&lt;=S$7,$L83&gt;S$7),((S$7-$K83)/($L83-$K83)))</f>
        <v>0</v>
      </c>
      <c r="U83" s="201">
        <f t="array" ref="U83">_xlfn.IFS(AND($K83&gt;T$7,$L83&gt;T$7),0,AND($K83&lt;=T$7,$L83&lt;=T$7),1,AND($K83&lt;=T$7,$L83&gt;T$7),((T$7-$K83)/($L83-$K83)))</f>
        <v>0</v>
      </c>
      <c r="V83" s="201">
        <f t="array" ref="V83">_xlfn.IFS(AND($K83&gt;U$7,$L83&gt;U$7),0,AND($K83&lt;=U$7,$L83&lt;=U$7),1,AND($K83&lt;=U$7,$L83&gt;U$7),((U$7-$K83)/($L83-$K83)))</f>
        <v>0</v>
      </c>
      <c r="W83" s="201">
        <f t="array" ref="W83">_xlfn.IFS(AND($K83&gt;V$7,$L83&gt;V$7),0,AND($K83&lt;=V$7,$L83&lt;=V$7),1,AND($K83&lt;=V$7,$L83&gt;V$7),((V$7-$K83)/($L83-$K83)))</f>
        <v>0</v>
      </c>
      <c r="X83" s="201">
        <f t="array" ref="X83">_xlfn.IFS(AND($K83&gt;W$7,$L83&gt;W$7),0,AND($K83&lt;=W$7,$L83&lt;=W$7),1,AND($K83&lt;=W$7,$L83&gt;W$7),((W$7-$K83)/($L83-$K83)))</f>
        <v>0</v>
      </c>
      <c r="Y83" s="201">
        <f t="array" ref="Y83">_xlfn.IFS(AND($K83&gt;X$7,$L83&gt;X$7),0,AND($K83&lt;=X$7,$L83&lt;=X$7),1,AND($K83&lt;=X$7,$L83&gt;X$7),((X$7-$K83)/($L83-$K83)))</f>
        <v>0</v>
      </c>
      <c r="Z83" s="201">
        <f t="array" ref="Z83">_xlfn.IFS(AND($K83&gt;Y$7,$L83&gt;Y$7),0,AND($K83&lt;=Y$7,$L83&lt;=Y$7),1,AND($K83&lt;=Y$7,$L83&gt;Y$7),((Y$7-$K83)/($L83-$K83)))</f>
        <v>0</v>
      </c>
      <c r="AA83" s="201">
        <f t="array" ref="AA83">_xlfn.IFS(AND($K83&gt;Z$7,$L83&gt;Z$7),0,AND($K83&lt;=Z$7,$L83&lt;=Z$7),1,AND($K83&lt;=Z$7,$L83&gt;Z$7),((Z$7-$K83)/($L83-$K83)))</f>
        <v>0</v>
      </c>
      <c r="AB83" s="201">
        <f t="array" ref="AB83">_xlfn.IFS(AND($K83&gt;AA$7,$L83&gt;AA$7),0,AND($K83&lt;=AA$7,$L83&lt;=AA$7),1,AND($K83&lt;=AA$7,$L83&gt;AA$7),((AA$7-$K83)/($L83-$K83)))</f>
        <v>0</v>
      </c>
      <c r="AC83" s="201">
        <f t="array" ref="AC83">_xlfn.IFS(AND($K83&gt;AB$7,$L83&gt;AB$7),0,AND($K83&lt;=AB$7,$L83&lt;=AB$7),1,AND($K83&lt;=AB$7,$L83&gt;AB$7),((AB$7-$K83)/($L83-$K83)))</f>
        <v>0</v>
      </c>
      <c r="AD83" s="201">
        <f t="array" ref="AD83">_xlfn.IFS(AND($K83&gt;AC$7,$L83&gt;AC$7),0,AND($K83&lt;=AC$7,$L83&lt;=AC$7),1,AND($K83&lt;=AC$7,$L83&gt;AC$7),((AC$7-$K83)/($L83-$K83)))</f>
        <v>0</v>
      </c>
      <c r="AE83" s="201">
        <f t="array" ref="AE83">_xlfn.IFS(AND($K83&gt;AD$7,$L83&gt;AD$7),0,AND($K83&lt;=AD$7,$L83&lt;=AD$7),1,AND($K83&lt;=AD$7,$L83&gt;AD$7),((AD$7-$K83)/($L83-$K83)))</f>
        <v>0</v>
      </c>
      <c r="AF83" s="201">
        <f t="array" ref="AF83">_xlfn.IFS(AND($K83&gt;AE$7,$L83&gt;AE$7),0,AND($K83&lt;=AE$7,$L83&lt;=AE$7),1,AND($K83&lt;=AE$7,$L83&gt;AE$7),((AE$7-$K83)/($L83-$K83)))</f>
        <v>1</v>
      </c>
      <c r="AG83" s="201">
        <f t="array" ref="AG83">_xlfn.IFS(AND($K83&gt;AF$7,$L83&gt;AF$7),0,AND($K83&lt;=AF$7,$L83&lt;=AF$7),1,AND($K83&lt;=AF$7,$L83&gt;AF$7),((AF$7-$K83)/($L83-$K83)))</f>
        <v>1</v>
      </c>
      <c r="AH83" s="201">
        <f t="array" ref="AH83">_xlfn.IFS(AND($K83&gt;AG$7,$L83&gt;AG$7),0,AND($K83&lt;=AG$7,$L83&lt;=AG$7),1,AND($K83&lt;=AG$7,$L83&gt;AG$7),((AG$7-$K83)/($L83-$K83)))</f>
        <v>1</v>
      </c>
      <c r="AI83" s="201">
        <f t="array" ref="AI83">_xlfn.IFS(AND($K83&gt;AH$7,$L83&gt;AH$7),0,AND($K83&lt;=AH$7,$L83&lt;=AH$7),1,AND($K83&lt;=AH$7,$L83&gt;AH$7),((AH$7-$K83)/($L83-$K83)))</f>
        <v>1</v>
      </c>
      <c r="AJ83" s="201">
        <f t="array" ref="AJ83">_xlfn.IFS(AND($K83&gt;AI$7,$L83&gt;AI$7),0,AND($K83&lt;=AI$7,$L83&lt;=AI$7),1,AND($K83&lt;=AI$7,$L83&gt;AI$7),((AI$7-$K83)/($L83-$K83)))</f>
        <v>1</v>
      </c>
      <c r="AK83" s="201">
        <f t="array" ref="AK83">_xlfn.IFS(AND($K83&gt;AJ$7,$L83&gt;AJ$7),0,AND($K83&lt;=AJ$7,$L83&lt;=AJ$7),1,AND($K83&lt;=AJ$7,$L83&gt;AJ$7),((AJ$7-$K83)/($L83-$K83)))</f>
        <v>1</v>
      </c>
      <c r="AL83" s="201">
        <f t="array" ref="AL83">_xlfn.IFS(AND($K83&gt;AK$7,$L83&gt;AK$7),0,AND($K83&lt;=AK$7,$L83&lt;=AK$7),1,AND($K83&lt;=AK$7,$L83&gt;AK$7),((AK$7-$K83)/($L83-$K83)))</f>
        <v>1</v>
      </c>
      <c r="AM83" s="201">
        <f t="array" ref="AM83">_xlfn.IFS(AND($K83&gt;AL$7,$L83&gt;AL$7),0,AND($K83&lt;=AL$7,$L83&lt;=AL$7),1,AND($K83&lt;=AL$7,$L83&gt;AL$7),((AL$7-$K83)/($L83-$K83)))</f>
        <v>1</v>
      </c>
      <c r="AN83" s="201">
        <f t="array" ref="AN83">_xlfn.IFS(AND($K83&gt;AM$7,$L83&gt;AM$7),0,AND($K83&lt;=AM$7,$L83&lt;=AM$7),1,AND($K83&lt;=AM$7,$L83&gt;AM$7),((AM$7-$K83)/($L83-$K83)))</f>
        <v>1</v>
      </c>
      <c r="AO83" s="201">
        <f t="array" ref="AO83">_xlfn.IFS(AND($K83&gt;AN$7,$L83&gt;AN$7),0,AND($K83&lt;=AN$7,$L83&lt;=AN$7),1,AND($K83&lt;=AN$7,$L83&gt;AN$7),((AN$7-$K83)/($L83-$K83)))</f>
        <v>1</v>
      </c>
      <c r="AP83" s="201">
        <f t="array" ref="AP83">_xlfn.IFS(AND($K83&gt;AO$7,$L83&gt;AO$7),0,AND($K83&lt;=AO$7,$L83&lt;=AO$7),1,AND($K83&lt;=AO$7,$L83&gt;AO$7),((AO$7-$K83)/($L83-$K83)))</f>
        <v>1</v>
      </c>
      <c r="AQ83" s="201">
        <f t="array" ref="AQ83">_xlfn.IFS(AND($K83&gt;AP$7,$L83&gt;AP$7),0,AND($K83&lt;=AP$7,$L83&lt;=AP$7),1,AND($K83&lt;=AP$7,$L83&gt;AP$7),((AP$7-$K83)/($L83-$K83)))</f>
        <v>1</v>
      </c>
      <c r="AR83" s="201">
        <f t="array" ref="AR83">_xlfn.IFS(AND($K83&gt;AQ$7,$L83&gt;AQ$7),0,AND($K83&lt;=AQ$7,$L83&lt;=AQ$7),1,AND($K83&lt;=AQ$7,$L83&gt;AQ$7),((AQ$7-$K83)/($L83-$K83)))</f>
        <v>1</v>
      </c>
      <c r="AS83" s="201">
        <f t="array" ref="AS83">_xlfn.IFS(AND($K83&gt;AR$7,$L83&gt;AR$7),0,AND($K83&lt;=AR$7,$L83&lt;=AR$7),1,AND($K83&lt;=AR$7,$L83&gt;AR$7),((AR$7-$K83)/($L83-$K83)))</f>
        <v>1</v>
      </c>
      <c r="AT83" s="201">
        <f t="array" ref="AT83">_xlfn.IFS(AND($K83&gt;AS$7,$L83&gt;AS$7),0,AND($K83&lt;=AS$7,$L83&lt;=AS$7),1,AND($K83&lt;=AS$7,$L83&gt;AS$7),((AS$7-$K83)/($L83-$K83)))</f>
        <v>1</v>
      </c>
      <c r="AU83" s="201">
        <f t="array" ref="AU83">_xlfn.IFS(AND($K83&gt;AT$7,$L83&gt;AT$7),0,AND($K83&lt;=AT$7,$L83&lt;=AT$7),1,AND($K83&lt;=AT$7,$L83&gt;AT$7),((AT$7-$K83)/($L83-$K83)))</f>
        <v>1</v>
      </c>
      <c r="AV83" s="201">
        <f t="array" ref="AV83">_xlfn.IFS(AND($K83&gt;AU$7,$L83&gt;AU$7),0,AND($K83&lt;=AU$7,$L83&lt;=AU$7),1,AND($K83&lt;=AU$7,$L83&gt;AU$7),((AU$7-$K83)/($L83-$K83)))</f>
        <v>1</v>
      </c>
      <c r="AW83" s="201">
        <f t="array" ref="AW83">_xlfn.IFS(AND($K83&gt;AV$7,$L83&gt;AV$7),0,AND($K83&lt;=AV$7,$L83&lt;=AV$7),1,AND($K83&lt;=AV$7,$L83&gt;AV$7),((AV$7-$K83)/($L83-$K83)))</f>
        <v>1</v>
      </c>
      <c r="AX83" s="201">
        <f t="array" ref="AX83">_xlfn.IFS(AND($K83&gt;AW$7,$L83&gt;AW$7),0,AND($K83&lt;=AW$7,$L83&lt;=AW$7),1,AND($K83&lt;=AW$7,$L83&gt;AW$7),((AW$7-$K83)/($L83-$K83)))</f>
        <v>1</v>
      </c>
      <c r="AY83" s="201">
        <f t="array" ref="AY83">_xlfn.IFS(AND($K83&gt;AX$7,$L83&gt;AX$7),0,AND($K83&lt;=AX$7,$L83&lt;=AX$7),1,AND($K83&lt;=AX$7,$L83&gt;AX$7),((AX$7-$K83)/($L83-$K83)))</f>
        <v>1</v>
      </c>
      <c r="AZ83" s="201">
        <f t="array" ref="AZ83">_xlfn.IFS(AND($K83&gt;AY$7,$L83&gt;AY$7),0,AND($K83&lt;=AY$7,$L83&lt;=AY$7),1,AND($K83&lt;=AY$7,$L83&gt;AY$7),((AY$7-$K83)/($L83-$K83)))</f>
        <v>1</v>
      </c>
      <c r="BA83" s="201">
        <f t="array" ref="BA83">_xlfn.IFS(AND($K83&gt;AZ$7,$L83&gt;AZ$7),0,AND($K83&lt;=AZ$7,$L83&lt;=AZ$7),1,AND($K83&lt;=AZ$7,$L83&gt;AZ$7),((AZ$7-$K83)/($L83-$K83)))</f>
        <v>1</v>
      </c>
      <c r="BB83" s="201">
        <f t="array" ref="BB83">_xlfn.IFS(AND($K83&gt;BA$7,$L83&gt;BA$7),0,AND($K83&lt;=BA$7,$L83&lt;=BA$7),1,AND($K83&lt;=BA$7,$L83&gt;BA$7),((BA$7-$K83)/($L83-$K83)))</f>
        <v>1</v>
      </c>
      <c r="BC83" s="201">
        <f t="array" ref="BC83">_xlfn.IFS(AND($K83&gt;BB$7,$L83&gt;BB$7),0,AND($K83&lt;=BB$7,$L83&lt;=BB$7),1,AND($K83&lt;=BB$7,$L83&gt;BB$7),((BB$7-$K83)/($L83-$K83)))</f>
        <v>1</v>
      </c>
      <c r="BD83" s="201">
        <f t="array" ref="BD83">_xlfn.IFS(AND($K83&gt;BC$7,$L83&gt;BC$7),0,AND($K83&lt;=BC$7,$L83&lt;=BC$7),1,AND($K83&lt;=BC$7,$L83&gt;BC$7),((BC$7-$K83)/($L83-$K83)))</f>
        <v>1</v>
      </c>
      <c r="BE83" s="201">
        <f t="array" ref="BE83">_xlfn.IFS(AND($K83&gt;BD$7,$L83&gt;BD$7),0,AND($K83&lt;=BD$7,$L83&lt;=BD$7),1,AND($K83&lt;=BD$7,$L83&gt;BD$7),((BD$7-$K83)/($L83-$K83)))</f>
        <v>1</v>
      </c>
      <c r="BF83" s="201">
        <f t="array" ref="BF83">_xlfn.IFS(AND($K83&gt;BE$7,$L83&gt;BE$7),0,AND($K83&lt;=BE$7,$L83&lt;=BE$7),1,AND($K83&lt;=BE$7,$L83&gt;BE$7),((BE$7-$K83)/($L83-$K83)))</f>
        <v>1</v>
      </c>
      <c r="BG83" s="201">
        <f t="array" ref="BG83">_xlfn.IFS(AND($K83&gt;BF$7,$L83&gt;BF$7),0,AND($K83&lt;=BF$7,$L83&lt;=BF$7),1,AND($K83&lt;=BF$7,$L83&gt;BF$7),((BF$7-$K83)/($L83-$K83)))</f>
        <v>1</v>
      </c>
      <c r="BH83" s="201">
        <f t="array" ref="BH83">_xlfn.IFS(AND($K83&gt;BG$7,$L83&gt;BG$7),0,AND($K83&lt;=BG$7,$L83&lt;=BG$7),1,AND($K83&lt;=BG$7,$L83&gt;BG$7),((BG$7-$K83)/($L83-$K83)))</f>
        <v>1</v>
      </c>
      <c r="BI83" s="201">
        <f t="array" ref="BI83">_xlfn.IFS(AND($K83&gt;BH$7,$L83&gt;BH$7),0,AND($K83&lt;=BH$7,$L83&lt;=BH$7),1,AND($K83&lt;=BH$7,$L83&gt;BH$7),((BH$7-$K83)/($L83-$K83)))</f>
        <v>1</v>
      </c>
      <c r="BJ83" s="201">
        <f t="array" ref="BJ83">_xlfn.IFS(AND($K83&gt;BI$7,$L83&gt;BI$7),0,AND($K83&lt;=BI$7,$L83&lt;=BI$7),1,AND($K83&lt;=BI$7,$L83&gt;BI$7),((BI$7-$K83)/($L83-$K83)))</f>
        <v>1</v>
      </c>
      <c r="BK83" s="201">
        <f t="array" ref="BK83">_xlfn.IFS(AND($K83&gt;BJ$7,$L83&gt;BJ$7),0,AND($K83&lt;=BJ$7,$L83&lt;=BJ$7),1,AND($K83&lt;=BJ$7,$L83&gt;BJ$7),((BJ$7-$K83)/($L83-$K83)))</f>
        <v>1</v>
      </c>
      <c r="BL83" s="201">
        <f t="array" ref="BL83">_xlfn.IFS(AND($K83&gt;BK$7,$L83&gt;BK$7),0,AND($K83&lt;=BK$7,$L83&lt;=BK$7),1,AND($K83&lt;=BK$7,$L83&gt;BK$7),((BK$7-$K83)/($L83-$K83)))</f>
        <v>1</v>
      </c>
      <c r="BM83" s="201">
        <f t="array" ref="BM83">_xlfn.IFS(AND($K83&gt;BL$7,$L83&gt;BL$7),0,AND($K83&lt;=BL$7,$L83&lt;=BL$7),1,AND($K83&lt;=BL$7,$L83&gt;BL$7),((BL$7-$K83)/($L83-$K83)))</f>
        <v>1</v>
      </c>
      <c r="BN83" s="201">
        <f t="array" ref="BN83">_xlfn.IFS(AND($K83&gt;BM$7,$L83&gt;BM$7),0,AND($K83&lt;=BM$7,$L83&lt;=BM$7),1,AND($K83&lt;=BM$7,$L83&gt;BM$7),((BM$7-$K83)/($L83-$K83)))</f>
        <v>1</v>
      </c>
    </row>
    <row r="84" spans="2:66" s="163" customFormat="1" ht="27.6" customHeight="1" x14ac:dyDescent="0.3">
      <c r="B84" s="166" t="str">
        <f t="array" ref="B84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84" s="166" t="s">
        <v>215</v>
      </c>
      <c r="D84" s="177"/>
      <c r="E84" s="170" t="str">
        <f t="shared" si="42"/>
        <v>Desenvolvimento da Transformação dos Processos</v>
      </c>
      <c r="F84" s="174" t="str">
        <f t="shared" si="39"/>
        <v>Modelagem To Be</v>
      </c>
      <c r="G84" s="166" t="str">
        <f t="shared" si="43"/>
        <v>Modelagem To Be</v>
      </c>
      <c r="H84" s="197" t="s">
        <v>216</v>
      </c>
      <c r="I84" s="166">
        <v>45768</v>
      </c>
      <c r="J84" s="40">
        <v>45779</v>
      </c>
      <c r="K84" s="166">
        <v>45768</v>
      </c>
      <c r="L84" s="40">
        <v>45779</v>
      </c>
      <c r="M84" s="167"/>
      <c r="N84" s="167" t="str">
        <f t="array" ref="N84">_xlfn.IFS(L84&lt;$M$3,"Concluído",AND(K84&gt;=$M$3,I84&lt;$M$3,L84&gt;$M$3),"Em andamento",AND(L84&gt;=$M$3,J84&lt;$M$3),"Atrasado",AND(L84&gt;=$M$3,J84&gt;=$M$3,I84&gt;$M$3,K84&lt;=$M$3),"Em andamento",AND(L84&gt;=$M$3,J84&gt;=$M$3,I84&lt;=$M$3,K84&lt;=$M$3),"Em andamento",AND(K84&gt;$M$3,I84&gt;$M$3),"Não iniciado",AND(L84&gt;=$M$3,J84&gt;=$M$3,K84&gt;=$M$3,I84&lt;$M$3),"Atrasado",AND(L84&gt;=$M$3,J84&gt;=$M$3,K84&gt;=$M$3,I84&gt;$M$3),"Não iniciado",AND($I84&lt;=$M$3,$K84&gt;$M$3),"Atrasado")</f>
        <v>Concluído</v>
      </c>
      <c r="O84" s="167">
        <f t="array" ref="O84">_xlfn.IFS(N84="Não iniciado",0,N84="Em andamento",1,N84="Concluído",2,N84="Atrasado",3)</f>
        <v>2</v>
      </c>
      <c r="P84" s="169"/>
      <c r="Q84" s="152">
        <f t="array" ref="Q84">_xlfn.IFS(AND($I84&lt;$M$3,$J84&lt;$M$3),1,AND($I84&lt;$M$3,$J84&gt;=$M$3),0.5,AND($I84&gt;=$M$3,$J84&gt;=$M$3),0)</f>
        <v>1</v>
      </c>
      <c r="R84" s="152">
        <f t="array" ref="R84">_xlfn.IFS(AND($K84&lt;$M$3,$L84&lt;$M$3),1,AND($K84&lt;=$M$3,$L84&gt;=$M$3),0.5,AND($K84&gt;=$M$3,$L84&gt;=$M$3),0)</f>
        <v>1</v>
      </c>
      <c r="S84" s="201">
        <f t="array" ref="S84">_xlfn.IFS(AND($K84&gt;R$7,$L84&gt;R$7),0,AND($K84&lt;=R$7,$L84&lt;=R$7),1,AND($K84&lt;=R$7,$L84&gt;R$7),((R$7-$K84)/($L84-$K84)))</f>
        <v>0</v>
      </c>
      <c r="T84" s="201">
        <f t="array" ref="T84">_xlfn.IFS(AND($K84&gt;S$7,$L84&gt;S$7),0,AND($K84&lt;=S$7,$L84&lt;=S$7),1,AND($K84&lt;=S$7,$L84&gt;S$7),((S$7-$K84)/($L84-$K84)))</f>
        <v>0</v>
      </c>
      <c r="U84" s="201">
        <f t="array" ref="U84">_xlfn.IFS(AND($K84&gt;T$7,$L84&gt;T$7),0,AND($K84&lt;=T$7,$L84&lt;=T$7),1,AND($K84&lt;=T$7,$L84&gt;T$7),((T$7-$K84)/($L84-$K84)))</f>
        <v>0</v>
      </c>
      <c r="V84" s="201">
        <f t="array" ref="V84">_xlfn.IFS(AND($K84&gt;U$7,$L84&gt;U$7),0,AND($K84&lt;=U$7,$L84&lt;=U$7),1,AND($K84&lt;=U$7,$L84&gt;U$7),((U$7-$K84)/($L84-$K84)))</f>
        <v>0</v>
      </c>
      <c r="W84" s="201">
        <f t="array" ref="W84">_xlfn.IFS(AND($K84&gt;V$7,$L84&gt;V$7),0,AND($K84&lt;=V$7,$L84&lt;=V$7),1,AND($K84&lt;=V$7,$L84&gt;V$7),((V$7-$K84)/($L84-$K84)))</f>
        <v>0</v>
      </c>
      <c r="X84" s="201">
        <f t="array" ref="X84">_xlfn.IFS(AND($K84&gt;W$7,$L84&gt;W$7),0,AND($K84&lt;=W$7,$L84&lt;=W$7),1,AND($K84&lt;=W$7,$L84&gt;W$7),((W$7-$K84)/($L84-$K84)))</f>
        <v>0</v>
      </c>
      <c r="Y84" s="201">
        <f t="array" ref="Y84">_xlfn.IFS(AND($K84&gt;X$7,$L84&gt;X$7),0,AND($K84&lt;=X$7,$L84&lt;=X$7),1,AND($K84&lt;=X$7,$L84&gt;X$7),((X$7-$K84)/($L84-$K84)))</f>
        <v>0</v>
      </c>
      <c r="Z84" s="201">
        <f t="array" ref="Z84">_xlfn.IFS(AND($K84&gt;Y$7,$L84&gt;Y$7),0,AND($K84&lt;=Y$7,$L84&lt;=Y$7),1,AND($K84&lt;=Y$7,$L84&gt;Y$7),((Y$7-$K84)/($L84-$K84)))</f>
        <v>0</v>
      </c>
      <c r="AA84" s="201">
        <f t="array" ref="AA84">_xlfn.IFS(AND($K84&gt;Z$7,$L84&gt;Z$7),0,AND($K84&lt;=Z$7,$L84&lt;=Z$7),1,AND($K84&lt;=Z$7,$L84&gt;Z$7),((Z$7-$K84)/($L84-$K84)))</f>
        <v>0</v>
      </c>
      <c r="AB84" s="201">
        <f t="array" ref="AB84">_xlfn.IFS(AND($K84&gt;AA$7,$L84&gt;AA$7),0,AND($K84&lt;=AA$7,$L84&lt;=AA$7),1,AND($K84&lt;=AA$7,$L84&gt;AA$7),((AA$7-$K84)/($L84-$K84)))</f>
        <v>0</v>
      </c>
      <c r="AC84" s="201">
        <f t="array" ref="AC84">_xlfn.IFS(AND($K84&gt;AB$7,$L84&gt;AB$7),0,AND($K84&lt;=AB$7,$L84&lt;=AB$7),1,AND($K84&lt;=AB$7,$L84&gt;AB$7),((AB$7-$K84)/($L84-$K84)))</f>
        <v>0</v>
      </c>
      <c r="AD84" s="201">
        <f t="array" ref="AD84">_xlfn.IFS(AND($K84&gt;AC$7,$L84&gt;AC$7),0,AND($K84&lt;=AC$7,$L84&lt;=AC$7),1,AND($K84&lt;=AC$7,$L84&gt;AC$7),((AC$7-$K84)/($L84-$K84)))</f>
        <v>0</v>
      </c>
      <c r="AE84" s="201">
        <f t="array" ref="AE84">_xlfn.IFS(AND($K84&gt;AD$7,$L84&gt;AD$7),0,AND($K84&lt;=AD$7,$L84&lt;=AD$7),1,AND($K84&lt;=AD$7,$L84&gt;AD$7),((AD$7-$K84)/($L84-$K84)))</f>
        <v>0.45454545454545453</v>
      </c>
      <c r="AF84" s="201">
        <f t="array" ref="AF84">_xlfn.IFS(AND($K84&gt;AE$7,$L84&gt;AE$7),0,AND($K84&lt;=AE$7,$L84&lt;=AE$7),1,AND($K84&lt;=AE$7,$L84&gt;AE$7),((AE$7-$K84)/($L84-$K84)))</f>
        <v>1</v>
      </c>
      <c r="AG84" s="201">
        <f t="array" ref="AG84">_xlfn.IFS(AND($K84&gt;AF$7,$L84&gt;AF$7),0,AND($K84&lt;=AF$7,$L84&lt;=AF$7),1,AND($K84&lt;=AF$7,$L84&gt;AF$7),((AF$7-$K84)/($L84-$K84)))</f>
        <v>1</v>
      </c>
      <c r="AH84" s="201">
        <f t="array" ref="AH84">_xlfn.IFS(AND($K84&gt;AG$7,$L84&gt;AG$7),0,AND($K84&lt;=AG$7,$L84&lt;=AG$7),1,AND($K84&lt;=AG$7,$L84&gt;AG$7),((AG$7-$K84)/($L84-$K84)))</f>
        <v>1</v>
      </c>
      <c r="AI84" s="201">
        <f t="array" ref="AI84">_xlfn.IFS(AND($K84&gt;AH$7,$L84&gt;AH$7),0,AND($K84&lt;=AH$7,$L84&lt;=AH$7),1,AND($K84&lt;=AH$7,$L84&gt;AH$7),((AH$7-$K84)/($L84-$K84)))</f>
        <v>1</v>
      </c>
      <c r="AJ84" s="201">
        <f t="array" ref="AJ84">_xlfn.IFS(AND($K84&gt;AI$7,$L84&gt;AI$7),0,AND($K84&lt;=AI$7,$L84&lt;=AI$7),1,AND($K84&lt;=AI$7,$L84&gt;AI$7),((AI$7-$K84)/($L84-$K84)))</f>
        <v>1</v>
      </c>
      <c r="AK84" s="201">
        <f t="array" ref="AK84">_xlfn.IFS(AND($K84&gt;AJ$7,$L84&gt;AJ$7),0,AND($K84&lt;=AJ$7,$L84&lt;=AJ$7),1,AND($K84&lt;=AJ$7,$L84&gt;AJ$7),((AJ$7-$K84)/($L84-$K84)))</f>
        <v>1</v>
      </c>
      <c r="AL84" s="201">
        <f t="array" ref="AL84">_xlfn.IFS(AND($K84&gt;AK$7,$L84&gt;AK$7),0,AND($K84&lt;=AK$7,$L84&lt;=AK$7),1,AND($K84&lt;=AK$7,$L84&gt;AK$7),((AK$7-$K84)/($L84-$K84)))</f>
        <v>1</v>
      </c>
      <c r="AM84" s="201">
        <f t="array" ref="AM84">_xlfn.IFS(AND($K84&gt;AL$7,$L84&gt;AL$7),0,AND($K84&lt;=AL$7,$L84&lt;=AL$7),1,AND($K84&lt;=AL$7,$L84&gt;AL$7),((AL$7-$K84)/($L84-$K84)))</f>
        <v>1</v>
      </c>
      <c r="AN84" s="201">
        <f t="array" ref="AN84">_xlfn.IFS(AND($K84&gt;AM$7,$L84&gt;AM$7),0,AND($K84&lt;=AM$7,$L84&lt;=AM$7),1,AND($K84&lt;=AM$7,$L84&gt;AM$7),((AM$7-$K84)/($L84-$K84)))</f>
        <v>1</v>
      </c>
      <c r="AO84" s="201">
        <f t="array" ref="AO84">_xlfn.IFS(AND($K84&gt;AN$7,$L84&gt;AN$7),0,AND($K84&lt;=AN$7,$L84&lt;=AN$7),1,AND($K84&lt;=AN$7,$L84&gt;AN$7),((AN$7-$K84)/($L84-$K84)))</f>
        <v>1</v>
      </c>
      <c r="AP84" s="201">
        <f t="array" ref="AP84">_xlfn.IFS(AND($K84&gt;AO$7,$L84&gt;AO$7),0,AND($K84&lt;=AO$7,$L84&lt;=AO$7),1,AND($K84&lt;=AO$7,$L84&gt;AO$7),((AO$7-$K84)/($L84-$K84)))</f>
        <v>1</v>
      </c>
      <c r="AQ84" s="201">
        <f t="array" ref="AQ84">_xlfn.IFS(AND($K84&gt;AP$7,$L84&gt;AP$7),0,AND($K84&lt;=AP$7,$L84&lt;=AP$7),1,AND($K84&lt;=AP$7,$L84&gt;AP$7),((AP$7-$K84)/($L84-$K84)))</f>
        <v>1</v>
      </c>
      <c r="AR84" s="201">
        <f t="array" ref="AR84">_xlfn.IFS(AND($K84&gt;AQ$7,$L84&gt;AQ$7),0,AND($K84&lt;=AQ$7,$L84&lt;=AQ$7),1,AND($K84&lt;=AQ$7,$L84&gt;AQ$7),((AQ$7-$K84)/($L84-$K84)))</f>
        <v>1</v>
      </c>
      <c r="AS84" s="201">
        <f t="array" ref="AS84">_xlfn.IFS(AND($K84&gt;AR$7,$L84&gt;AR$7),0,AND($K84&lt;=AR$7,$L84&lt;=AR$7),1,AND($K84&lt;=AR$7,$L84&gt;AR$7),((AR$7-$K84)/($L84-$K84)))</f>
        <v>1</v>
      </c>
      <c r="AT84" s="201">
        <f t="array" ref="AT84">_xlfn.IFS(AND($K84&gt;AS$7,$L84&gt;AS$7),0,AND($K84&lt;=AS$7,$L84&lt;=AS$7),1,AND($K84&lt;=AS$7,$L84&gt;AS$7),((AS$7-$K84)/($L84-$K84)))</f>
        <v>1</v>
      </c>
      <c r="AU84" s="201">
        <f t="array" ref="AU84">_xlfn.IFS(AND($K84&gt;AT$7,$L84&gt;AT$7),0,AND($K84&lt;=AT$7,$L84&lt;=AT$7),1,AND($K84&lt;=AT$7,$L84&gt;AT$7),((AT$7-$K84)/($L84-$K84)))</f>
        <v>1</v>
      </c>
      <c r="AV84" s="201">
        <f t="array" ref="AV84">_xlfn.IFS(AND($K84&gt;AU$7,$L84&gt;AU$7),0,AND($K84&lt;=AU$7,$L84&lt;=AU$7),1,AND($K84&lt;=AU$7,$L84&gt;AU$7),((AU$7-$K84)/($L84-$K84)))</f>
        <v>1</v>
      </c>
      <c r="AW84" s="201">
        <f t="array" ref="AW84">_xlfn.IFS(AND($K84&gt;AV$7,$L84&gt;AV$7),0,AND($K84&lt;=AV$7,$L84&lt;=AV$7),1,AND($K84&lt;=AV$7,$L84&gt;AV$7),((AV$7-$K84)/($L84-$K84)))</f>
        <v>1</v>
      </c>
      <c r="AX84" s="201">
        <f t="array" ref="AX84">_xlfn.IFS(AND($K84&gt;AW$7,$L84&gt;AW$7),0,AND($K84&lt;=AW$7,$L84&lt;=AW$7),1,AND($K84&lt;=AW$7,$L84&gt;AW$7),((AW$7-$K84)/($L84-$K84)))</f>
        <v>1</v>
      </c>
      <c r="AY84" s="201">
        <f t="array" ref="AY84">_xlfn.IFS(AND($K84&gt;AX$7,$L84&gt;AX$7),0,AND($K84&lt;=AX$7,$L84&lt;=AX$7),1,AND($K84&lt;=AX$7,$L84&gt;AX$7),((AX$7-$K84)/($L84-$K84)))</f>
        <v>1</v>
      </c>
      <c r="AZ84" s="201">
        <f t="array" ref="AZ84">_xlfn.IFS(AND($K84&gt;AY$7,$L84&gt;AY$7),0,AND($K84&lt;=AY$7,$L84&lt;=AY$7),1,AND($K84&lt;=AY$7,$L84&gt;AY$7),((AY$7-$K84)/($L84-$K84)))</f>
        <v>1</v>
      </c>
      <c r="BA84" s="201">
        <f t="array" ref="BA84">_xlfn.IFS(AND($K84&gt;AZ$7,$L84&gt;AZ$7),0,AND($K84&lt;=AZ$7,$L84&lt;=AZ$7),1,AND($K84&lt;=AZ$7,$L84&gt;AZ$7),((AZ$7-$K84)/($L84-$K84)))</f>
        <v>1</v>
      </c>
      <c r="BB84" s="201">
        <f t="array" ref="BB84">_xlfn.IFS(AND($K84&gt;BA$7,$L84&gt;BA$7),0,AND($K84&lt;=BA$7,$L84&lt;=BA$7),1,AND($K84&lt;=BA$7,$L84&gt;BA$7),((BA$7-$K84)/($L84-$K84)))</f>
        <v>1</v>
      </c>
      <c r="BC84" s="201">
        <f t="array" ref="BC84">_xlfn.IFS(AND($K84&gt;BB$7,$L84&gt;BB$7),0,AND($K84&lt;=BB$7,$L84&lt;=BB$7),1,AND($K84&lt;=BB$7,$L84&gt;BB$7),((BB$7-$K84)/($L84-$K84)))</f>
        <v>1</v>
      </c>
      <c r="BD84" s="201">
        <f t="array" ref="BD84">_xlfn.IFS(AND($K84&gt;BC$7,$L84&gt;BC$7),0,AND($K84&lt;=BC$7,$L84&lt;=BC$7),1,AND($K84&lt;=BC$7,$L84&gt;BC$7),((BC$7-$K84)/($L84-$K84)))</f>
        <v>1</v>
      </c>
      <c r="BE84" s="201">
        <f t="array" ref="BE84">_xlfn.IFS(AND($K84&gt;BD$7,$L84&gt;BD$7),0,AND($K84&lt;=BD$7,$L84&lt;=BD$7),1,AND($K84&lt;=BD$7,$L84&gt;BD$7),((BD$7-$K84)/($L84-$K84)))</f>
        <v>1</v>
      </c>
      <c r="BF84" s="201">
        <f t="array" ref="BF84">_xlfn.IFS(AND($K84&gt;BE$7,$L84&gt;BE$7),0,AND($K84&lt;=BE$7,$L84&lt;=BE$7),1,AND($K84&lt;=BE$7,$L84&gt;BE$7),((BE$7-$K84)/($L84-$K84)))</f>
        <v>1</v>
      </c>
      <c r="BG84" s="201">
        <f t="array" ref="BG84">_xlfn.IFS(AND($K84&gt;BF$7,$L84&gt;BF$7),0,AND($K84&lt;=BF$7,$L84&lt;=BF$7),1,AND($K84&lt;=BF$7,$L84&gt;BF$7),((BF$7-$K84)/($L84-$K84)))</f>
        <v>1</v>
      </c>
      <c r="BH84" s="201">
        <f t="array" ref="BH84">_xlfn.IFS(AND($K84&gt;BG$7,$L84&gt;BG$7),0,AND($K84&lt;=BG$7,$L84&lt;=BG$7),1,AND($K84&lt;=BG$7,$L84&gt;BG$7),((BG$7-$K84)/($L84-$K84)))</f>
        <v>1</v>
      </c>
      <c r="BI84" s="201">
        <f t="array" ref="BI84">_xlfn.IFS(AND($K84&gt;BH$7,$L84&gt;BH$7),0,AND($K84&lt;=BH$7,$L84&lt;=BH$7),1,AND($K84&lt;=BH$7,$L84&gt;BH$7),((BH$7-$K84)/($L84-$K84)))</f>
        <v>1</v>
      </c>
      <c r="BJ84" s="201">
        <f t="array" ref="BJ84">_xlfn.IFS(AND($K84&gt;BI$7,$L84&gt;BI$7),0,AND($K84&lt;=BI$7,$L84&lt;=BI$7),1,AND($K84&lt;=BI$7,$L84&gt;BI$7),((BI$7-$K84)/($L84-$K84)))</f>
        <v>1</v>
      </c>
      <c r="BK84" s="201">
        <f t="array" ref="BK84">_xlfn.IFS(AND($K84&gt;BJ$7,$L84&gt;BJ$7),0,AND($K84&lt;=BJ$7,$L84&lt;=BJ$7),1,AND($K84&lt;=BJ$7,$L84&gt;BJ$7),((BJ$7-$K84)/($L84-$K84)))</f>
        <v>1</v>
      </c>
      <c r="BL84" s="201">
        <f t="array" ref="BL84">_xlfn.IFS(AND($K84&gt;BK$7,$L84&gt;BK$7),0,AND($K84&lt;=BK$7,$L84&lt;=BK$7),1,AND($K84&lt;=BK$7,$L84&gt;BK$7),((BK$7-$K84)/($L84-$K84)))</f>
        <v>1</v>
      </c>
      <c r="BM84" s="201">
        <f t="array" ref="BM84">_xlfn.IFS(AND($K84&gt;BL$7,$L84&gt;BL$7),0,AND($K84&lt;=BL$7,$L84&lt;=BL$7),1,AND($K84&lt;=BL$7,$L84&gt;BL$7),((BL$7-$K84)/($L84-$K84)))</f>
        <v>1</v>
      </c>
      <c r="BN84" s="201">
        <f t="array" ref="BN84">_xlfn.IFS(AND($K84&gt;BM$7,$L84&gt;BM$7),0,AND($K84&lt;=BM$7,$L84&lt;=BM$7),1,AND($K84&lt;=BM$7,$L84&gt;BM$7),((BM$7-$K84)/($L84-$K84)))</f>
        <v>1</v>
      </c>
    </row>
    <row r="85" spans="2:66" s="163" customFormat="1" ht="23.55" customHeight="1" x14ac:dyDescent="0.3">
      <c r="B85" s="166" t="str">
        <f t="array" ref="B85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85" s="166" t="s">
        <v>217</v>
      </c>
      <c r="D85" s="177"/>
      <c r="E85" s="170" t="str">
        <f t="shared" si="42"/>
        <v>Desenvolvimento da Transformação dos Processos</v>
      </c>
      <c r="F85" s="174" t="str">
        <f t="shared" si="39"/>
        <v>Modelagem To Be</v>
      </c>
      <c r="G85" s="166" t="str">
        <f t="shared" si="43"/>
        <v>Modelagem To Be</v>
      </c>
      <c r="H85" s="197" t="s">
        <v>218</v>
      </c>
      <c r="I85" s="166">
        <v>45778</v>
      </c>
      <c r="J85" s="40">
        <v>45792</v>
      </c>
      <c r="K85" s="166">
        <v>45778</v>
      </c>
      <c r="L85" s="40">
        <v>45827</v>
      </c>
      <c r="M85" s="167"/>
      <c r="N85" s="167" t="str">
        <f t="array" ref="N85">_xlfn.IFS(L85&lt;$M$3,"Concluído",AND(K85&gt;=$M$3,I85&lt;$M$3,L85&gt;$M$3),"Em andamento",AND(L85&gt;=$M$3,J85&lt;$M$3),"Atrasado",AND(L85&gt;=$M$3,J85&gt;=$M$3,I85&gt;$M$3,K85&lt;=$M$3),"Em andamento",AND(L85&gt;=$M$3,J85&gt;=$M$3,I85&lt;=$M$3,K85&lt;=$M$3),"Em andamento",AND(K85&gt;$M$3,I85&gt;$M$3),"Não iniciado",AND(L85&gt;=$M$3,J85&gt;=$M$3,K85&gt;=$M$3,I85&lt;$M$3),"Atrasado",AND(L85&gt;=$M$3,J85&gt;=$M$3,K85&gt;=$M$3,I85&gt;$M$3),"Não iniciado",AND($I85&lt;=$M$3,$K85&gt;$M$3),"Atrasado")</f>
        <v>Concluído</v>
      </c>
      <c r="O85" s="167">
        <f t="array" ref="O85">_xlfn.IFS(N85="Não iniciado",0,N85="Em andamento",1,N85="Concluído",2,N85="Atrasado",3)</f>
        <v>2</v>
      </c>
      <c r="P85" s="169"/>
      <c r="Q85" s="152">
        <f t="array" ref="Q85">_xlfn.IFS(AND($I85&lt;$M$3,$J85&lt;$M$3),1,AND($I85&lt;$M$3,$J85&gt;=$M$3),0.5,AND($I85&gt;=$M$3,$J85&gt;=$M$3),0)</f>
        <v>1</v>
      </c>
      <c r="R85" s="152">
        <f t="array" ref="R85">_xlfn.IFS(AND($K85&lt;$M$3,$L85&lt;$M$3),1,AND($K85&lt;=$M$3,$L85&gt;=$M$3),0.5,AND($K85&gt;=$M$3,$L85&gt;=$M$3),0)</f>
        <v>1</v>
      </c>
      <c r="S85" s="201">
        <f t="array" ref="S85">_xlfn.IFS(AND($K85&gt;R$7,$L85&gt;R$7),0,AND($K85&lt;=R$7,$L85&lt;=R$7),1,AND($K85&lt;=R$7,$L85&gt;R$7),((R$7-$K85)/($L85-$K85)))</f>
        <v>0</v>
      </c>
      <c r="T85" s="201">
        <f t="array" ref="T85">_xlfn.IFS(AND($K85&gt;S$7,$L85&gt;S$7),0,AND($K85&lt;=S$7,$L85&lt;=S$7),1,AND($K85&lt;=S$7,$L85&gt;S$7),((S$7-$K85)/($L85-$K85)))</f>
        <v>0</v>
      </c>
      <c r="U85" s="201">
        <f t="array" ref="U85">_xlfn.IFS(AND($K85&gt;T$7,$L85&gt;T$7),0,AND($K85&lt;=T$7,$L85&lt;=T$7),1,AND($K85&lt;=T$7,$L85&gt;T$7),((T$7-$K85)/($L85-$K85)))</f>
        <v>0</v>
      </c>
      <c r="V85" s="201">
        <f t="array" ref="V85">_xlfn.IFS(AND($K85&gt;U$7,$L85&gt;U$7),0,AND($K85&lt;=U$7,$L85&lt;=U$7),1,AND($K85&lt;=U$7,$L85&gt;U$7),((U$7-$K85)/($L85-$K85)))</f>
        <v>0</v>
      </c>
      <c r="W85" s="201">
        <f t="array" ref="W85">_xlfn.IFS(AND($K85&gt;V$7,$L85&gt;V$7),0,AND($K85&lt;=V$7,$L85&lt;=V$7),1,AND($K85&lt;=V$7,$L85&gt;V$7),((V$7-$K85)/($L85-$K85)))</f>
        <v>0</v>
      </c>
      <c r="X85" s="201">
        <f t="array" ref="X85">_xlfn.IFS(AND($K85&gt;W$7,$L85&gt;W$7),0,AND($K85&lt;=W$7,$L85&lt;=W$7),1,AND($K85&lt;=W$7,$L85&gt;W$7),((W$7-$K85)/($L85-$K85)))</f>
        <v>0</v>
      </c>
      <c r="Y85" s="201">
        <f t="array" ref="Y85">_xlfn.IFS(AND($K85&gt;X$7,$L85&gt;X$7),0,AND($K85&lt;=X$7,$L85&lt;=X$7),1,AND($K85&lt;=X$7,$L85&gt;X$7),((X$7-$K85)/($L85-$K85)))</f>
        <v>0</v>
      </c>
      <c r="Z85" s="201">
        <f t="array" ref="Z85">_xlfn.IFS(AND($K85&gt;Y$7,$L85&gt;Y$7),0,AND($K85&lt;=Y$7,$L85&lt;=Y$7),1,AND($K85&lt;=Y$7,$L85&gt;Y$7),((Y$7-$K85)/($L85-$K85)))</f>
        <v>0</v>
      </c>
      <c r="AA85" s="201">
        <f t="array" ref="AA85">_xlfn.IFS(AND($K85&gt;Z$7,$L85&gt;Z$7),0,AND($K85&lt;=Z$7,$L85&lt;=Z$7),1,AND($K85&lt;=Z$7,$L85&gt;Z$7),((Z$7-$K85)/($L85-$K85)))</f>
        <v>0</v>
      </c>
      <c r="AB85" s="201">
        <f t="array" ref="AB85">_xlfn.IFS(AND($K85&gt;AA$7,$L85&gt;AA$7),0,AND($K85&lt;=AA$7,$L85&lt;=AA$7),1,AND($K85&lt;=AA$7,$L85&gt;AA$7),((AA$7-$K85)/($L85-$K85)))</f>
        <v>0</v>
      </c>
      <c r="AC85" s="201">
        <f t="array" ref="AC85">_xlfn.IFS(AND($K85&gt;AB$7,$L85&gt;AB$7),0,AND($K85&lt;=AB$7,$L85&lt;=AB$7),1,AND($K85&lt;=AB$7,$L85&gt;AB$7),((AB$7-$K85)/($L85-$K85)))</f>
        <v>0</v>
      </c>
      <c r="AD85" s="201">
        <f t="array" ref="AD85">_xlfn.IFS(AND($K85&gt;AC$7,$L85&gt;AC$7),0,AND($K85&lt;=AC$7,$L85&lt;=AC$7),1,AND($K85&lt;=AC$7,$L85&gt;AC$7),((AC$7-$K85)/($L85-$K85)))</f>
        <v>0</v>
      </c>
      <c r="AE85" s="201">
        <f t="array" ref="AE85">_xlfn.IFS(AND($K85&gt;AD$7,$L85&gt;AD$7),0,AND($K85&lt;=AD$7,$L85&lt;=AD$7),1,AND($K85&lt;=AD$7,$L85&gt;AD$7),((AD$7-$K85)/($L85-$K85)))</f>
        <v>0</v>
      </c>
      <c r="AF85" s="201">
        <f t="array" ref="AF85">_xlfn.IFS(AND($K85&gt;AE$7,$L85&gt;AE$7),0,AND($K85&lt;=AE$7,$L85&lt;=AE$7),1,AND($K85&lt;=AE$7,$L85&gt;AE$7),((AE$7-$K85)/($L85-$K85)))</f>
        <v>4.0816326530612242E-2</v>
      </c>
      <c r="AG85" s="201">
        <f t="array" ref="AG85">_xlfn.IFS(AND($K85&gt;AF$7,$L85&gt;AF$7),0,AND($K85&lt;=AF$7,$L85&lt;=AF$7),1,AND($K85&lt;=AF$7,$L85&gt;AF$7),((AF$7-$K85)/($L85-$K85)))</f>
        <v>0.18367346938775511</v>
      </c>
      <c r="AH85" s="201">
        <f t="array" ref="AH85">_xlfn.IFS(AND($K85&gt;AG$7,$L85&gt;AG$7),0,AND($K85&lt;=AG$7,$L85&lt;=AG$7),1,AND($K85&lt;=AG$7,$L85&gt;AG$7),((AG$7-$K85)/($L85-$K85)))</f>
        <v>0.32653061224489793</v>
      </c>
      <c r="AI85" s="201">
        <f t="array" ref="AI85">_xlfn.IFS(AND($K85&gt;AH$7,$L85&gt;AH$7),0,AND($K85&lt;=AH$7,$L85&lt;=AH$7),1,AND($K85&lt;=AH$7,$L85&gt;AH$7),((AH$7-$K85)/($L85-$K85)))</f>
        <v>0.46938775510204084</v>
      </c>
      <c r="AJ85" s="201">
        <f t="array" ref="AJ85">_xlfn.IFS(AND($K85&gt;AI$7,$L85&gt;AI$7),0,AND($K85&lt;=AI$7,$L85&lt;=AI$7),1,AND($K85&lt;=AI$7,$L85&gt;AI$7),((AI$7-$K85)/($L85-$K85)))</f>
        <v>0.61224489795918369</v>
      </c>
      <c r="AK85" s="201">
        <f t="array" ref="AK85">_xlfn.IFS(AND($K85&gt;AJ$7,$L85&gt;AJ$7),0,AND($K85&lt;=AJ$7,$L85&lt;=AJ$7),1,AND($K85&lt;=AJ$7,$L85&gt;AJ$7),((AJ$7-$K85)/($L85-$K85)))</f>
        <v>0.75510204081632648</v>
      </c>
      <c r="AL85" s="201">
        <f t="array" ref="AL85">_xlfn.IFS(AND($K85&gt;AK$7,$L85&gt;AK$7),0,AND($K85&lt;=AK$7,$L85&lt;=AK$7),1,AND($K85&lt;=AK$7,$L85&gt;AK$7),((AK$7-$K85)/($L85-$K85)))</f>
        <v>0.89795918367346939</v>
      </c>
      <c r="AM85" s="201">
        <f t="array" ref="AM85">_xlfn.IFS(AND($K85&gt;AL$7,$L85&gt;AL$7),0,AND($K85&lt;=AL$7,$L85&lt;=AL$7),1,AND($K85&lt;=AL$7,$L85&gt;AL$7),((AL$7-$K85)/($L85-$K85)))</f>
        <v>1</v>
      </c>
      <c r="AN85" s="201">
        <f t="array" ref="AN85">_xlfn.IFS(AND($K85&gt;AM$7,$L85&gt;AM$7),0,AND($K85&lt;=AM$7,$L85&lt;=AM$7),1,AND($K85&lt;=AM$7,$L85&gt;AM$7),((AM$7-$K85)/($L85-$K85)))</f>
        <v>1</v>
      </c>
      <c r="AO85" s="201">
        <f t="array" ref="AO85">_xlfn.IFS(AND($K85&gt;AN$7,$L85&gt;AN$7),0,AND($K85&lt;=AN$7,$L85&lt;=AN$7),1,AND($K85&lt;=AN$7,$L85&gt;AN$7),((AN$7-$K85)/($L85-$K85)))</f>
        <v>1</v>
      </c>
      <c r="AP85" s="201">
        <f t="array" ref="AP85">_xlfn.IFS(AND($K85&gt;AO$7,$L85&gt;AO$7),0,AND($K85&lt;=AO$7,$L85&lt;=AO$7),1,AND($K85&lt;=AO$7,$L85&gt;AO$7),((AO$7-$K85)/($L85-$K85)))</f>
        <v>1</v>
      </c>
      <c r="AQ85" s="201">
        <f t="array" ref="AQ85">_xlfn.IFS(AND($K85&gt;AP$7,$L85&gt;AP$7),0,AND($K85&lt;=AP$7,$L85&lt;=AP$7),1,AND($K85&lt;=AP$7,$L85&gt;AP$7),((AP$7-$K85)/($L85-$K85)))</f>
        <v>1</v>
      </c>
      <c r="AR85" s="201">
        <f t="array" ref="AR85">_xlfn.IFS(AND($K85&gt;AQ$7,$L85&gt;AQ$7),0,AND($K85&lt;=AQ$7,$L85&lt;=AQ$7),1,AND($K85&lt;=AQ$7,$L85&gt;AQ$7),((AQ$7-$K85)/($L85-$K85)))</f>
        <v>1</v>
      </c>
      <c r="AS85" s="201">
        <f t="array" ref="AS85">_xlfn.IFS(AND($K85&gt;AR$7,$L85&gt;AR$7),0,AND($K85&lt;=AR$7,$L85&lt;=AR$7),1,AND($K85&lt;=AR$7,$L85&gt;AR$7),((AR$7-$K85)/($L85-$K85)))</f>
        <v>1</v>
      </c>
      <c r="AT85" s="201">
        <f t="array" ref="AT85">_xlfn.IFS(AND($K85&gt;AS$7,$L85&gt;AS$7),0,AND($K85&lt;=AS$7,$L85&lt;=AS$7),1,AND($K85&lt;=AS$7,$L85&gt;AS$7),((AS$7-$K85)/($L85-$K85)))</f>
        <v>1</v>
      </c>
      <c r="AU85" s="201">
        <f t="array" ref="AU85">_xlfn.IFS(AND($K85&gt;AT$7,$L85&gt;AT$7),0,AND($K85&lt;=AT$7,$L85&lt;=AT$7),1,AND($K85&lt;=AT$7,$L85&gt;AT$7),((AT$7-$K85)/($L85-$K85)))</f>
        <v>1</v>
      </c>
      <c r="AV85" s="201">
        <f t="array" ref="AV85">_xlfn.IFS(AND($K85&gt;AU$7,$L85&gt;AU$7),0,AND($K85&lt;=AU$7,$L85&lt;=AU$7),1,AND($K85&lt;=AU$7,$L85&gt;AU$7),((AU$7-$K85)/($L85-$K85)))</f>
        <v>1</v>
      </c>
      <c r="AW85" s="201">
        <f t="array" ref="AW85">_xlfn.IFS(AND($K85&gt;AV$7,$L85&gt;AV$7),0,AND($K85&lt;=AV$7,$L85&lt;=AV$7),1,AND($K85&lt;=AV$7,$L85&gt;AV$7),((AV$7-$K85)/($L85-$K85)))</f>
        <v>1</v>
      </c>
      <c r="AX85" s="201">
        <f t="array" ref="AX85">_xlfn.IFS(AND($K85&gt;AW$7,$L85&gt;AW$7),0,AND($K85&lt;=AW$7,$L85&lt;=AW$7),1,AND($K85&lt;=AW$7,$L85&gt;AW$7),((AW$7-$K85)/($L85-$K85)))</f>
        <v>1</v>
      </c>
      <c r="AY85" s="201">
        <f t="array" ref="AY85">_xlfn.IFS(AND($K85&gt;AX$7,$L85&gt;AX$7),0,AND($K85&lt;=AX$7,$L85&lt;=AX$7),1,AND($K85&lt;=AX$7,$L85&gt;AX$7),((AX$7-$K85)/($L85-$K85)))</f>
        <v>1</v>
      </c>
      <c r="AZ85" s="201">
        <f t="array" ref="AZ85">_xlfn.IFS(AND($K85&gt;AY$7,$L85&gt;AY$7),0,AND($K85&lt;=AY$7,$L85&lt;=AY$7),1,AND($K85&lt;=AY$7,$L85&gt;AY$7),((AY$7-$K85)/($L85-$K85)))</f>
        <v>1</v>
      </c>
      <c r="BA85" s="201">
        <f t="array" ref="BA85">_xlfn.IFS(AND($K85&gt;AZ$7,$L85&gt;AZ$7),0,AND($K85&lt;=AZ$7,$L85&lt;=AZ$7),1,AND($K85&lt;=AZ$7,$L85&gt;AZ$7),((AZ$7-$K85)/($L85-$K85)))</f>
        <v>1</v>
      </c>
      <c r="BB85" s="201">
        <f t="array" ref="BB85">_xlfn.IFS(AND($K85&gt;BA$7,$L85&gt;BA$7),0,AND($K85&lt;=BA$7,$L85&lt;=BA$7),1,AND($K85&lt;=BA$7,$L85&gt;BA$7),((BA$7-$K85)/($L85-$K85)))</f>
        <v>1</v>
      </c>
      <c r="BC85" s="201">
        <f t="array" ref="BC85">_xlfn.IFS(AND($K85&gt;BB$7,$L85&gt;BB$7),0,AND($K85&lt;=BB$7,$L85&lt;=BB$7),1,AND($K85&lt;=BB$7,$L85&gt;BB$7),((BB$7-$K85)/($L85-$K85)))</f>
        <v>1</v>
      </c>
      <c r="BD85" s="201">
        <f t="array" ref="BD85">_xlfn.IFS(AND($K85&gt;BC$7,$L85&gt;BC$7),0,AND($K85&lt;=BC$7,$L85&lt;=BC$7),1,AND($K85&lt;=BC$7,$L85&gt;BC$7),((BC$7-$K85)/($L85-$K85)))</f>
        <v>1</v>
      </c>
      <c r="BE85" s="201">
        <f t="array" ref="BE85">_xlfn.IFS(AND($K85&gt;BD$7,$L85&gt;BD$7),0,AND($K85&lt;=BD$7,$L85&lt;=BD$7),1,AND($K85&lt;=BD$7,$L85&gt;BD$7),((BD$7-$K85)/($L85-$K85)))</f>
        <v>1</v>
      </c>
      <c r="BF85" s="201">
        <f t="array" ref="BF85">_xlfn.IFS(AND($K85&gt;BE$7,$L85&gt;BE$7),0,AND($K85&lt;=BE$7,$L85&lt;=BE$7),1,AND($K85&lt;=BE$7,$L85&gt;BE$7),((BE$7-$K85)/($L85-$K85)))</f>
        <v>1</v>
      </c>
      <c r="BG85" s="201">
        <f t="array" ref="BG85">_xlfn.IFS(AND($K85&gt;BF$7,$L85&gt;BF$7),0,AND($K85&lt;=BF$7,$L85&lt;=BF$7),1,AND($K85&lt;=BF$7,$L85&gt;BF$7),((BF$7-$K85)/($L85-$K85)))</f>
        <v>1</v>
      </c>
      <c r="BH85" s="201">
        <f t="array" ref="BH85">_xlfn.IFS(AND($K85&gt;BG$7,$L85&gt;BG$7),0,AND($K85&lt;=BG$7,$L85&lt;=BG$7),1,AND($K85&lt;=BG$7,$L85&gt;BG$7),((BG$7-$K85)/($L85-$K85)))</f>
        <v>1</v>
      </c>
      <c r="BI85" s="201">
        <f t="array" ref="BI85">_xlfn.IFS(AND($K85&gt;BH$7,$L85&gt;BH$7),0,AND($K85&lt;=BH$7,$L85&lt;=BH$7),1,AND($K85&lt;=BH$7,$L85&gt;BH$7),((BH$7-$K85)/($L85-$K85)))</f>
        <v>1</v>
      </c>
      <c r="BJ85" s="201">
        <f t="array" ref="BJ85">_xlfn.IFS(AND($K85&gt;BI$7,$L85&gt;BI$7),0,AND($K85&lt;=BI$7,$L85&lt;=BI$7),1,AND($K85&lt;=BI$7,$L85&gt;BI$7),((BI$7-$K85)/($L85-$K85)))</f>
        <v>1</v>
      </c>
      <c r="BK85" s="201">
        <f t="array" ref="BK85">_xlfn.IFS(AND($K85&gt;BJ$7,$L85&gt;BJ$7),0,AND($K85&lt;=BJ$7,$L85&lt;=BJ$7),1,AND($K85&lt;=BJ$7,$L85&gt;BJ$7),((BJ$7-$K85)/($L85-$K85)))</f>
        <v>1</v>
      </c>
      <c r="BL85" s="201">
        <f t="array" ref="BL85">_xlfn.IFS(AND($K85&gt;BK$7,$L85&gt;BK$7),0,AND($K85&lt;=BK$7,$L85&lt;=BK$7),1,AND($K85&lt;=BK$7,$L85&gt;BK$7),((BK$7-$K85)/($L85-$K85)))</f>
        <v>1</v>
      </c>
      <c r="BM85" s="201">
        <f t="array" ref="BM85">_xlfn.IFS(AND($K85&gt;BL$7,$L85&gt;BL$7),0,AND($K85&lt;=BL$7,$L85&lt;=BL$7),1,AND($K85&lt;=BL$7,$L85&gt;BL$7),((BL$7-$K85)/($L85-$K85)))</f>
        <v>1</v>
      </c>
      <c r="BN85" s="201">
        <f t="array" ref="BN85">_xlfn.IFS(AND($K85&gt;BM$7,$L85&gt;BM$7),0,AND($K85&lt;=BM$7,$L85&lt;=BM$7),1,AND($K85&lt;=BM$7,$L85&gt;BM$7),((BM$7-$K85)/($L85-$K85)))</f>
        <v>1</v>
      </c>
    </row>
    <row r="86" spans="2:66" s="163" customFormat="1" x14ac:dyDescent="0.3">
      <c r="B86" s="166" t="str">
        <f t="array" ref="B86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86" s="166" t="s">
        <v>219</v>
      </c>
      <c r="D86" s="177"/>
      <c r="E86" s="170" t="str">
        <f t="shared" si="42"/>
        <v>Desenvolvimento da Transformação dos Processos</v>
      </c>
      <c r="F86" s="174" t="str">
        <f t="shared" si="39"/>
        <v>Modelagem To Be</v>
      </c>
      <c r="G86" s="166" t="str">
        <f t="shared" si="43"/>
        <v>Modelagem To Be</v>
      </c>
      <c r="H86" s="197" t="s">
        <v>220</v>
      </c>
      <c r="I86" s="166">
        <v>45792</v>
      </c>
      <c r="J86" s="166">
        <v>45808</v>
      </c>
      <c r="K86" s="166">
        <v>45804</v>
      </c>
      <c r="L86" s="166">
        <v>45827</v>
      </c>
      <c r="M86" s="167"/>
      <c r="N86" s="167" t="str">
        <f t="array" ref="N86">_xlfn.IFS(L86&lt;$M$3,"Concluído",AND(K86&gt;=$M$3,I86&lt;$M$3,L86&gt;$M$3),"Em andamento",AND(L86&gt;=$M$3,J86&lt;$M$3),"Atrasado",AND(L86&gt;=$M$3,J86&gt;=$M$3,I86&gt;$M$3,K86&lt;=$M$3),"Em andamento",AND(L86&gt;=$M$3,J86&gt;=$M$3,I86&lt;=$M$3,K86&lt;=$M$3),"Em andamento",AND(K86&gt;$M$3,I86&gt;$M$3),"Não iniciado",AND(L86&gt;=$M$3,J86&gt;=$M$3,K86&gt;=$M$3,I86&lt;$M$3),"Atrasado",AND(L86&gt;=$M$3,J86&gt;=$M$3,K86&gt;=$M$3,I86&gt;$M$3),"Não iniciado",AND($I86&lt;=$M$3,$K86&gt;$M$3),"Atrasado")</f>
        <v>Concluído</v>
      </c>
      <c r="O86" s="167">
        <f t="array" ref="O86">_xlfn.IFS(N86="Não iniciado",0,N86="Em andamento",1,N86="Concluído",2,N86="Atrasado",3)</f>
        <v>2</v>
      </c>
      <c r="P86" s="169"/>
      <c r="Q86" s="152">
        <f t="array" ref="Q86">_xlfn.IFS(AND($I86&lt;$M$3,$J86&lt;$M$3),1,AND($I86&lt;$M$3,$J86&gt;=$M$3),0.5,AND($I86&gt;=$M$3,$J86&gt;=$M$3),0)</f>
        <v>1</v>
      </c>
      <c r="R86" s="152">
        <f t="array" ref="R86">_xlfn.IFS(AND($K86&lt;$M$3,$L86&lt;$M$3),1,AND($K86&lt;=$M$3,$L86&gt;=$M$3),0.5,AND($K86&gt;=$M$3,$L86&gt;=$M$3),0)</f>
        <v>1</v>
      </c>
      <c r="S86" s="201">
        <f t="array" ref="S86">_xlfn.IFS(AND($K86&gt;R$7,$L86&gt;R$7),0,AND($K86&lt;=R$7,$L86&lt;=R$7),1,AND($K86&lt;=R$7,$L86&gt;R$7),((R$7-$K86)/($L86-$K86)))</f>
        <v>0</v>
      </c>
      <c r="T86" s="201">
        <f t="array" ref="T86">_xlfn.IFS(AND($K86&gt;S$7,$L86&gt;S$7),0,AND($K86&lt;=S$7,$L86&lt;=S$7),1,AND($K86&lt;=S$7,$L86&gt;S$7),((S$7-$K86)/($L86-$K86)))</f>
        <v>0</v>
      </c>
      <c r="U86" s="201">
        <f t="array" ref="U86">_xlfn.IFS(AND($K86&gt;T$7,$L86&gt;T$7),0,AND($K86&lt;=T$7,$L86&lt;=T$7),1,AND($K86&lt;=T$7,$L86&gt;T$7),((T$7-$K86)/($L86-$K86)))</f>
        <v>0</v>
      </c>
      <c r="V86" s="201">
        <f t="array" ref="V86">_xlfn.IFS(AND($K86&gt;U$7,$L86&gt;U$7),0,AND($K86&lt;=U$7,$L86&lt;=U$7),1,AND($K86&lt;=U$7,$L86&gt;U$7),((U$7-$K86)/($L86-$K86)))</f>
        <v>0</v>
      </c>
      <c r="W86" s="201">
        <f t="array" ref="W86">_xlfn.IFS(AND($K86&gt;V$7,$L86&gt;V$7),0,AND($K86&lt;=V$7,$L86&lt;=V$7),1,AND($K86&lt;=V$7,$L86&gt;V$7),((V$7-$K86)/($L86-$K86)))</f>
        <v>0</v>
      </c>
      <c r="X86" s="201">
        <f t="array" ref="X86">_xlfn.IFS(AND($K86&gt;W$7,$L86&gt;W$7),0,AND($K86&lt;=W$7,$L86&lt;=W$7),1,AND($K86&lt;=W$7,$L86&gt;W$7),((W$7-$K86)/($L86-$K86)))</f>
        <v>0</v>
      </c>
      <c r="Y86" s="201">
        <f t="array" ref="Y86">_xlfn.IFS(AND($K86&gt;X$7,$L86&gt;X$7),0,AND($K86&lt;=X$7,$L86&lt;=X$7),1,AND($K86&lt;=X$7,$L86&gt;X$7),((X$7-$K86)/($L86-$K86)))</f>
        <v>0</v>
      </c>
      <c r="Z86" s="201">
        <f t="array" ref="Z86">_xlfn.IFS(AND($K86&gt;Y$7,$L86&gt;Y$7),0,AND($K86&lt;=Y$7,$L86&lt;=Y$7),1,AND($K86&lt;=Y$7,$L86&gt;Y$7),((Y$7-$K86)/($L86-$K86)))</f>
        <v>0</v>
      </c>
      <c r="AA86" s="201">
        <f t="array" ref="AA86">_xlfn.IFS(AND($K86&gt;Z$7,$L86&gt;Z$7),0,AND($K86&lt;=Z$7,$L86&lt;=Z$7),1,AND($K86&lt;=Z$7,$L86&gt;Z$7),((Z$7-$K86)/($L86-$K86)))</f>
        <v>0</v>
      </c>
      <c r="AB86" s="201">
        <f t="array" ref="AB86">_xlfn.IFS(AND($K86&gt;AA$7,$L86&gt;AA$7),0,AND($K86&lt;=AA$7,$L86&lt;=AA$7),1,AND($K86&lt;=AA$7,$L86&gt;AA$7),((AA$7-$K86)/($L86-$K86)))</f>
        <v>0</v>
      </c>
      <c r="AC86" s="201">
        <f t="array" ref="AC86">_xlfn.IFS(AND($K86&gt;AB$7,$L86&gt;AB$7),0,AND($K86&lt;=AB$7,$L86&lt;=AB$7),1,AND($K86&lt;=AB$7,$L86&gt;AB$7),((AB$7-$K86)/($L86-$K86)))</f>
        <v>0</v>
      </c>
      <c r="AD86" s="201">
        <f t="array" ref="AD86">_xlfn.IFS(AND($K86&gt;AC$7,$L86&gt;AC$7),0,AND($K86&lt;=AC$7,$L86&lt;=AC$7),1,AND($K86&lt;=AC$7,$L86&gt;AC$7),((AC$7-$K86)/($L86-$K86)))</f>
        <v>0</v>
      </c>
      <c r="AE86" s="201">
        <f t="array" ref="AE86">_xlfn.IFS(AND($K86&gt;AD$7,$L86&gt;AD$7),0,AND($K86&lt;=AD$7,$L86&lt;=AD$7),1,AND($K86&lt;=AD$7,$L86&gt;AD$7),((AD$7-$K86)/($L86-$K86)))</f>
        <v>0</v>
      </c>
      <c r="AF86" s="201">
        <f t="array" ref="AF86">_xlfn.IFS(AND($K86&gt;AE$7,$L86&gt;AE$7),0,AND($K86&lt;=AE$7,$L86&lt;=AE$7),1,AND($K86&lt;=AE$7,$L86&gt;AE$7),((AE$7-$K86)/($L86-$K86)))</f>
        <v>0</v>
      </c>
      <c r="AG86" s="201">
        <f t="array" ref="AG86">_xlfn.IFS(AND($K86&gt;AF$7,$L86&gt;AF$7),0,AND($K86&lt;=AF$7,$L86&lt;=AF$7),1,AND($K86&lt;=AF$7,$L86&gt;AF$7),((AF$7-$K86)/($L86-$K86)))</f>
        <v>0</v>
      </c>
      <c r="AH86" s="201">
        <f t="array" ref="AH86">_xlfn.IFS(AND($K86&gt;AG$7,$L86&gt;AG$7),0,AND($K86&lt;=AG$7,$L86&lt;=AG$7),1,AND($K86&lt;=AG$7,$L86&gt;AG$7),((AG$7-$K86)/($L86-$K86)))</f>
        <v>0</v>
      </c>
      <c r="AI86" s="201">
        <f t="array" ref="AI86">_xlfn.IFS(AND($K86&gt;AH$7,$L86&gt;AH$7),0,AND($K86&lt;=AH$7,$L86&lt;=AH$7),1,AND($K86&lt;=AH$7,$L86&gt;AH$7),((AH$7-$K86)/($L86-$K86)))</f>
        <v>0</v>
      </c>
      <c r="AJ86" s="201">
        <f t="array" ref="AJ86">_xlfn.IFS(AND($K86&gt;AI$7,$L86&gt;AI$7),0,AND($K86&lt;=AI$7,$L86&lt;=AI$7),1,AND($K86&lt;=AI$7,$L86&gt;AI$7),((AI$7-$K86)/($L86-$K86)))</f>
        <v>0.17391304347826086</v>
      </c>
      <c r="AK86" s="201">
        <f t="array" ref="AK86">_xlfn.IFS(AND($K86&gt;AJ$7,$L86&gt;AJ$7),0,AND($K86&lt;=AJ$7,$L86&lt;=AJ$7),1,AND($K86&lt;=AJ$7,$L86&gt;AJ$7),((AJ$7-$K86)/($L86-$K86)))</f>
        <v>0.47826086956521741</v>
      </c>
      <c r="AL86" s="201">
        <f t="array" ref="AL86">_xlfn.IFS(AND($K86&gt;AK$7,$L86&gt;AK$7),0,AND($K86&lt;=AK$7,$L86&lt;=AK$7),1,AND($K86&lt;=AK$7,$L86&gt;AK$7),((AK$7-$K86)/($L86-$K86)))</f>
        <v>0.78260869565217395</v>
      </c>
      <c r="AM86" s="201">
        <f t="array" ref="AM86">_xlfn.IFS(AND($K86&gt;AL$7,$L86&gt;AL$7),0,AND($K86&lt;=AL$7,$L86&lt;=AL$7),1,AND($K86&lt;=AL$7,$L86&gt;AL$7),((AL$7-$K86)/($L86-$K86)))</f>
        <v>1</v>
      </c>
      <c r="AN86" s="201">
        <f t="array" ref="AN86">_xlfn.IFS(AND($K86&gt;AM$7,$L86&gt;AM$7),0,AND($K86&lt;=AM$7,$L86&lt;=AM$7),1,AND($K86&lt;=AM$7,$L86&gt;AM$7),((AM$7-$K86)/($L86-$K86)))</f>
        <v>1</v>
      </c>
      <c r="AO86" s="201">
        <f t="array" ref="AO86">_xlfn.IFS(AND($K86&gt;AN$7,$L86&gt;AN$7),0,AND($K86&lt;=AN$7,$L86&lt;=AN$7),1,AND($K86&lt;=AN$7,$L86&gt;AN$7),((AN$7-$K86)/($L86-$K86)))</f>
        <v>1</v>
      </c>
      <c r="AP86" s="201">
        <f t="array" ref="AP86">_xlfn.IFS(AND($K86&gt;AO$7,$L86&gt;AO$7),0,AND($K86&lt;=AO$7,$L86&lt;=AO$7),1,AND($K86&lt;=AO$7,$L86&gt;AO$7),((AO$7-$K86)/($L86-$K86)))</f>
        <v>1</v>
      </c>
      <c r="AQ86" s="201">
        <f t="array" ref="AQ86">_xlfn.IFS(AND($K86&gt;AP$7,$L86&gt;AP$7),0,AND($K86&lt;=AP$7,$L86&lt;=AP$7),1,AND($K86&lt;=AP$7,$L86&gt;AP$7),((AP$7-$K86)/($L86-$K86)))</f>
        <v>1</v>
      </c>
      <c r="AR86" s="201">
        <f t="array" ref="AR86">_xlfn.IFS(AND($K86&gt;AQ$7,$L86&gt;AQ$7),0,AND($K86&lt;=AQ$7,$L86&lt;=AQ$7),1,AND($K86&lt;=AQ$7,$L86&gt;AQ$7),((AQ$7-$K86)/($L86-$K86)))</f>
        <v>1</v>
      </c>
      <c r="AS86" s="201">
        <f t="array" ref="AS86">_xlfn.IFS(AND($K86&gt;AR$7,$L86&gt;AR$7),0,AND($K86&lt;=AR$7,$L86&lt;=AR$7),1,AND($K86&lt;=AR$7,$L86&gt;AR$7),((AR$7-$K86)/($L86-$K86)))</f>
        <v>1</v>
      </c>
      <c r="AT86" s="201">
        <f t="array" ref="AT86">_xlfn.IFS(AND($K86&gt;AS$7,$L86&gt;AS$7),0,AND($K86&lt;=AS$7,$L86&lt;=AS$7),1,AND($K86&lt;=AS$7,$L86&gt;AS$7),((AS$7-$K86)/($L86-$K86)))</f>
        <v>1</v>
      </c>
      <c r="AU86" s="201">
        <f t="array" ref="AU86">_xlfn.IFS(AND($K86&gt;AT$7,$L86&gt;AT$7),0,AND($K86&lt;=AT$7,$L86&lt;=AT$7),1,AND($K86&lt;=AT$7,$L86&gt;AT$7),((AT$7-$K86)/($L86-$K86)))</f>
        <v>1</v>
      </c>
      <c r="AV86" s="201">
        <f t="array" ref="AV86">_xlfn.IFS(AND($K86&gt;AU$7,$L86&gt;AU$7),0,AND($K86&lt;=AU$7,$L86&lt;=AU$7),1,AND($K86&lt;=AU$7,$L86&gt;AU$7),((AU$7-$K86)/($L86-$K86)))</f>
        <v>1</v>
      </c>
      <c r="AW86" s="201">
        <f t="array" ref="AW86">_xlfn.IFS(AND($K86&gt;AV$7,$L86&gt;AV$7),0,AND($K86&lt;=AV$7,$L86&lt;=AV$7),1,AND($K86&lt;=AV$7,$L86&gt;AV$7),((AV$7-$K86)/($L86-$K86)))</f>
        <v>1</v>
      </c>
      <c r="AX86" s="201">
        <f t="array" ref="AX86">_xlfn.IFS(AND($K86&gt;AW$7,$L86&gt;AW$7),0,AND($K86&lt;=AW$7,$L86&lt;=AW$7),1,AND($K86&lt;=AW$7,$L86&gt;AW$7),((AW$7-$K86)/($L86-$K86)))</f>
        <v>1</v>
      </c>
      <c r="AY86" s="201">
        <f t="array" ref="AY86">_xlfn.IFS(AND($K86&gt;AX$7,$L86&gt;AX$7),0,AND($K86&lt;=AX$7,$L86&lt;=AX$7),1,AND($K86&lt;=AX$7,$L86&gt;AX$7),((AX$7-$K86)/($L86-$K86)))</f>
        <v>1</v>
      </c>
      <c r="AZ86" s="201">
        <f t="array" ref="AZ86">_xlfn.IFS(AND($K86&gt;AY$7,$L86&gt;AY$7),0,AND($K86&lt;=AY$7,$L86&lt;=AY$7),1,AND($K86&lt;=AY$7,$L86&gt;AY$7),((AY$7-$K86)/($L86-$K86)))</f>
        <v>1</v>
      </c>
      <c r="BA86" s="201">
        <f t="array" ref="BA86">_xlfn.IFS(AND($K86&gt;AZ$7,$L86&gt;AZ$7),0,AND($K86&lt;=AZ$7,$L86&lt;=AZ$7),1,AND($K86&lt;=AZ$7,$L86&gt;AZ$7),((AZ$7-$K86)/($L86-$K86)))</f>
        <v>1</v>
      </c>
      <c r="BB86" s="201">
        <f t="array" ref="BB86">_xlfn.IFS(AND($K86&gt;BA$7,$L86&gt;BA$7),0,AND($K86&lt;=BA$7,$L86&lt;=BA$7),1,AND($K86&lt;=BA$7,$L86&gt;BA$7),((BA$7-$K86)/($L86-$K86)))</f>
        <v>1</v>
      </c>
      <c r="BC86" s="201">
        <f t="array" ref="BC86">_xlfn.IFS(AND($K86&gt;BB$7,$L86&gt;BB$7),0,AND($K86&lt;=BB$7,$L86&lt;=BB$7),1,AND($K86&lt;=BB$7,$L86&gt;BB$7),((BB$7-$K86)/($L86-$K86)))</f>
        <v>1</v>
      </c>
      <c r="BD86" s="201">
        <f t="array" ref="BD86">_xlfn.IFS(AND($K86&gt;BC$7,$L86&gt;BC$7),0,AND($K86&lt;=BC$7,$L86&lt;=BC$7),1,AND($K86&lt;=BC$7,$L86&gt;BC$7),((BC$7-$K86)/($L86-$K86)))</f>
        <v>1</v>
      </c>
      <c r="BE86" s="201">
        <f t="array" ref="BE86">_xlfn.IFS(AND($K86&gt;BD$7,$L86&gt;BD$7),0,AND($K86&lt;=BD$7,$L86&lt;=BD$7),1,AND($K86&lt;=BD$7,$L86&gt;BD$7),((BD$7-$K86)/($L86-$K86)))</f>
        <v>1</v>
      </c>
      <c r="BF86" s="201">
        <f t="array" ref="BF86">_xlfn.IFS(AND($K86&gt;BE$7,$L86&gt;BE$7),0,AND($K86&lt;=BE$7,$L86&lt;=BE$7),1,AND($K86&lt;=BE$7,$L86&gt;BE$7),((BE$7-$K86)/($L86-$K86)))</f>
        <v>1</v>
      </c>
      <c r="BG86" s="201">
        <f t="array" ref="BG86">_xlfn.IFS(AND($K86&gt;BF$7,$L86&gt;BF$7),0,AND($K86&lt;=BF$7,$L86&lt;=BF$7),1,AND($K86&lt;=BF$7,$L86&gt;BF$7),((BF$7-$K86)/($L86-$K86)))</f>
        <v>1</v>
      </c>
      <c r="BH86" s="201">
        <f t="array" ref="BH86">_xlfn.IFS(AND($K86&gt;BG$7,$L86&gt;BG$7),0,AND($K86&lt;=BG$7,$L86&lt;=BG$7),1,AND($K86&lt;=BG$7,$L86&gt;BG$7),((BG$7-$K86)/($L86-$K86)))</f>
        <v>1</v>
      </c>
      <c r="BI86" s="201">
        <f t="array" ref="BI86">_xlfn.IFS(AND($K86&gt;BH$7,$L86&gt;BH$7),0,AND($K86&lt;=BH$7,$L86&lt;=BH$7),1,AND($K86&lt;=BH$7,$L86&gt;BH$7),((BH$7-$K86)/($L86-$K86)))</f>
        <v>1</v>
      </c>
      <c r="BJ86" s="201">
        <f t="array" ref="BJ86">_xlfn.IFS(AND($K86&gt;BI$7,$L86&gt;BI$7),0,AND($K86&lt;=BI$7,$L86&lt;=BI$7),1,AND($K86&lt;=BI$7,$L86&gt;BI$7),((BI$7-$K86)/($L86-$K86)))</f>
        <v>1</v>
      </c>
      <c r="BK86" s="201">
        <f t="array" ref="BK86">_xlfn.IFS(AND($K86&gt;BJ$7,$L86&gt;BJ$7),0,AND($K86&lt;=BJ$7,$L86&lt;=BJ$7),1,AND($K86&lt;=BJ$7,$L86&gt;BJ$7),((BJ$7-$K86)/($L86-$K86)))</f>
        <v>1</v>
      </c>
      <c r="BL86" s="201">
        <f t="array" ref="BL86">_xlfn.IFS(AND($K86&gt;BK$7,$L86&gt;BK$7),0,AND($K86&lt;=BK$7,$L86&lt;=BK$7),1,AND($K86&lt;=BK$7,$L86&gt;BK$7),((BK$7-$K86)/($L86-$K86)))</f>
        <v>1</v>
      </c>
      <c r="BM86" s="201">
        <f t="array" ref="BM86">_xlfn.IFS(AND($K86&gt;BL$7,$L86&gt;BL$7),0,AND($K86&lt;=BL$7,$L86&lt;=BL$7),1,AND($K86&lt;=BL$7,$L86&gt;BL$7),((BL$7-$K86)/($L86-$K86)))</f>
        <v>1</v>
      </c>
      <c r="BN86" s="201">
        <f t="array" ref="BN86">_xlfn.IFS(AND($K86&gt;BM$7,$L86&gt;BM$7),0,AND($K86&lt;=BM$7,$L86&lt;=BM$7),1,AND($K86&lt;=BM$7,$L86&gt;BM$7),((BM$7-$K86)/($L86-$K86)))</f>
        <v>1</v>
      </c>
    </row>
    <row r="87" spans="2:66" s="163" customFormat="1" x14ac:dyDescent="0.3">
      <c r="B87" s="166" t="s">
        <v>161</v>
      </c>
      <c r="C87" s="166" t="s">
        <v>221</v>
      </c>
      <c r="D87" s="177"/>
      <c r="E87" s="170" t="str">
        <f t="shared" si="42"/>
        <v>Desenvolvimento da Transformação dos Processos</v>
      </c>
      <c r="F87" s="174" t="str">
        <f t="shared" si="39"/>
        <v>Modelagem To Be</v>
      </c>
      <c r="G87" s="166" t="str">
        <f t="shared" si="43"/>
        <v>Modelagem To Be</v>
      </c>
      <c r="H87" s="197" t="s">
        <v>222</v>
      </c>
      <c r="I87" s="166">
        <v>45817</v>
      </c>
      <c r="J87" s="166">
        <v>45821</v>
      </c>
      <c r="K87" s="166">
        <v>45817</v>
      </c>
      <c r="L87" s="166">
        <v>45821</v>
      </c>
      <c r="M87" s="167"/>
      <c r="N87" s="167" t="str">
        <f t="array" ref="N87">_xlfn.IFS(L87&lt;$M$3,"Concluído",AND(K87&gt;=$M$3,I87&lt;$M$3,L87&gt;$M$3),"Em andamento",AND(L87&gt;=$M$3,J87&lt;$M$3),"Atrasado",AND(L87&gt;=$M$3,J87&gt;=$M$3,I87&gt;$M$3,K87&lt;=$M$3),"Em andamento",AND(L87&gt;=$M$3,J87&gt;=$M$3,I87&lt;=$M$3,K87&lt;=$M$3),"Em andamento",AND(K87&gt;$M$3,I87&gt;$M$3),"Não iniciado",AND(L87&gt;=$M$3,J87&gt;=$M$3,K87&gt;=$M$3,I87&lt;$M$3),"Atrasado",AND(L87&gt;=$M$3,J87&gt;=$M$3,K87&gt;=$M$3,I87&gt;$M$3),"Não iniciado",AND($I87&lt;=$M$3,$K87&gt;$M$3),"Atrasado")</f>
        <v>Concluído</v>
      </c>
      <c r="O87" s="167">
        <f t="array" ref="O87">_xlfn.IFS(N87="Não iniciado",0,N87="Em andamento",1,N87="Concluído",2,N87="Atrasado",3)</f>
        <v>2</v>
      </c>
      <c r="P87" s="169"/>
      <c r="Q87" s="152">
        <f t="array" ref="Q87">_xlfn.IFS(AND($I87&lt;$M$3,$J87&lt;$M$3),1,AND($I87&lt;$M$3,$J87&gt;=$M$3),0.5,AND($I87&gt;=$M$3,$J87&gt;=$M$3),0)</f>
        <v>1</v>
      </c>
      <c r="R87" s="152">
        <f t="array" ref="R87">_xlfn.IFS(AND($K87&lt;$M$3,$L87&lt;$M$3),1,AND($K87&lt;=$M$3,$L87&gt;=$M$3),0.5,AND($K87&gt;=$M$3,$L87&gt;=$M$3),0)</f>
        <v>1</v>
      </c>
      <c r="S87" s="201">
        <f t="array" ref="S87">_xlfn.IFS(AND($K87&gt;R$7,$L87&gt;R$7),0,AND($K87&lt;=R$7,$L87&lt;=R$7),1,AND($K87&lt;=R$7,$L87&gt;R$7),((R$7-$K87)/($L87-$K87)))</f>
        <v>0</v>
      </c>
      <c r="T87" s="201">
        <f t="array" ref="T87">_xlfn.IFS(AND($K87&gt;S$7,$L87&gt;S$7),0,AND($K87&lt;=S$7,$L87&lt;=S$7),1,AND($K87&lt;=S$7,$L87&gt;S$7),((S$7-$K87)/($L87-$K87)))</f>
        <v>0</v>
      </c>
      <c r="U87" s="201">
        <f t="array" ref="U87">_xlfn.IFS(AND($K87&gt;T$7,$L87&gt;T$7),0,AND($K87&lt;=T$7,$L87&lt;=T$7),1,AND($K87&lt;=T$7,$L87&gt;T$7),((T$7-$K87)/($L87-$K87)))</f>
        <v>0</v>
      </c>
      <c r="V87" s="201">
        <f t="array" ref="V87">_xlfn.IFS(AND($K87&gt;U$7,$L87&gt;U$7),0,AND($K87&lt;=U$7,$L87&lt;=U$7),1,AND($K87&lt;=U$7,$L87&gt;U$7),((U$7-$K87)/($L87-$K87)))</f>
        <v>0</v>
      </c>
      <c r="W87" s="201">
        <f t="array" ref="W87">_xlfn.IFS(AND($K87&gt;V$7,$L87&gt;V$7),0,AND($K87&lt;=V$7,$L87&lt;=V$7),1,AND($K87&lt;=V$7,$L87&gt;V$7),((V$7-$K87)/($L87-$K87)))</f>
        <v>0</v>
      </c>
      <c r="X87" s="201">
        <f t="array" ref="X87">_xlfn.IFS(AND($K87&gt;W$7,$L87&gt;W$7),0,AND($K87&lt;=W$7,$L87&lt;=W$7),1,AND($K87&lt;=W$7,$L87&gt;W$7),((W$7-$K87)/($L87-$K87)))</f>
        <v>0</v>
      </c>
      <c r="Y87" s="201">
        <f t="array" ref="Y87">_xlfn.IFS(AND($K87&gt;X$7,$L87&gt;X$7),0,AND($K87&lt;=X$7,$L87&lt;=X$7),1,AND($K87&lt;=X$7,$L87&gt;X$7),((X$7-$K87)/($L87-$K87)))</f>
        <v>0</v>
      </c>
      <c r="Z87" s="201">
        <f t="array" ref="Z87">_xlfn.IFS(AND($K87&gt;Y$7,$L87&gt;Y$7),0,AND($K87&lt;=Y$7,$L87&lt;=Y$7),1,AND($K87&lt;=Y$7,$L87&gt;Y$7),((Y$7-$K87)/($L87-$K87)))</f>
        <v>0</v>
      </c>
      <c r="AA87" s="201">
        <f t="array" ref="AA87">_xlfn.IFS(AND($K87&gt;Z$7,$L87&gt;Z$7),0,AND($K87&lt;=Z$7,$L87&lt;=Z$7),1,AND($K87&lt;=Z$7,$L87&gt;Z$7),((Z$7-$K87)/($L87-$K87)))</f>
        <v>0</v>
      </c>
      <c r="AB87" s="201">
        <f t="array" ref="AB87">_xlfn.IFS(AND($K87&gt;AA$7,$L87&gt;AA$7),0,AND($K87&lt;=AA$7,$L87&lt;=AA$7),1,AND($K87&lt;=AA$7,$L87&gt;AA$7),((AA$7-$K87)/($L87-$K87)))</f>
        <v>0</v>
      </c>
      <c r="AC87" s="201">
        <f t="array" ref="AC87">_xlfn.IFS(AND($K87&gt;AB$7,$L87&gt;AB$7),0,AND($K87&lt;=AB$7,$L87&lt;=AB$7),1,AND($K87&lt;=AB$7,$L87&gt;AB$7),((AB$7-$K87)/($L87-$K87)))</f>
        <v>0</v>
      </c>
      <c r="AD87" s="201">
        <f t="array" ref="AD87">_xlfn.IFS(AND($K87&gt;AC$7,$L87&gt;AC$7),0,AND($K87&lt;=AC$7,$L87&lt;=AC$7),1,AND($K87&lt;=AC$7,$L87&gt;AC$7),((AC$7-$K87)/($L87-$K87)))</f>
        <v>0</v>
      </c>
      <c r="AE87" s="201">
        <f t="array" ref="AE87">_xlfn.IFS(AND($K87&gt;AD$7,$L87&gt;AD$7),0,AND($K87&lt;=AD$7,$L87&lt;=AD$7),1,AND($K87&lt;=AD$7,$L87&gt;AD$7),((AD$7-$K87)/($L87-$K87)))</f>
        <v>0</v>
      </c>
      <c r="AF87" s="201">
        <f t="array" ref="AF87">_xlfn.IFS(AND($K87&gt;AE$7,$L87&gt;AE$7),0,AND($K87&lt;=AE$7,$L87&lt;=AE$7),1,AND($K87&lt;=AE$7,$L87&gt;AE$7),((AE$7-$K87)/($L87-$K87)))</f>
        <v>0</v>
      </c>
      <c r="AG87" s="201">
        <f t="array" ref="AG87">_xlfn.IFS(AND($K87&gt;AF$7,$L87&gt;AF$7),0,AND($K87&lt;=AF$7,$L87&lt;=AF$7),1,AND($K87&lt;=AF$7,$L87&gt;AF$7),((AF$7-$K87)/($L87-$K87)))</f>
        <v>0</v>
      </c>
      <c r="AH87" s="201">
        <f t="array" ref="AH87">_xlfn.IFS(AND($K87&gt;AG$7,$L87&gt;AG$7),0,AND($K87&lt;=AG$7,$L87&lt;=AG$7),1,AND($K87&lt;=AG$7,$L87&gt;AG$7),((AG$7-$K87)/($L87-$K87)))</f>
        <v>0</v>
      </c>
      <c r="AI87" s="201">
        <f t="array" ref="AI87">_xlfn.IFS(AND($K87&gt;AH$7,$L87&gt;AH$7),0,AND($K87&lt;=AH$7,$L87&lt;=AH$7),1,AND($K87&lt;=AH$7,$L87&gt;AH$7),((AH$7-$K87)/($L87-$K87)))</f>
        <v>0</v>
      </c>
      <c r="AJ87" s="201">
        <f t="array" ref="AJ87">_xlfn.IFS(AND($K87&gt;AI$7,$L87&gt;AI$7),0,AND($K87&lt;=AI$7,$L87&lt;=AI$7),1,AND($K87&lt;=AI$7,$L87&gt;AI$7),((AI$7-$K87)/($L87-$K87)))</f>
        <v>0</v>
      </c>
      <c r="AK87" s="201">
        <f t="array" ref="AK87">_xlfn.IFS(AND($K87&gt;AJ$7,$L87&gt;AJ$7),0,AND($K87&lt;=AJ$7,$L87&lt;=AJ$7),1,AND($K87&lt;=AJ$7,$L87&gt;AJ$7),((AJ$7-$K87)/($L87-$K87)))</f>
        <v>0</v>
      </c>
      <c r="AL87" s="201">
        <f t="array" ref="AL87">_xlfn.IFS(AND($K87&gt;AK$7,$L87&gt;AK$7),0,AND($K87&lt;=AK$7,$L87&lt;=AK$7),1,AND($K87&lt;=AK$7,$L87&gt;AK$7),((AK$7-$K87)/($L87-$K87)))</f>
        <v>1</v>
      </c>
      <c r="AM87" s="201">
        <f t="array" ref="AM87">_xlfn.IFS(AND($K87&gt;AL$7,$L87&gt;AL$7),0,AND($K87&lt;=AL$7,$L87&lt;=AL$7),1,AND($K87&lt;=AL$7,$L87&gt;AL$7),((AL$7-$K87)/($L87-$K87)))</f>
        <v>1</v>
      </c>
      <c r="AN87" s="201">
        <f t="array" ref="AN87">_xlfn.IFS(AND($K87&gt;AM$7,$L87&gt;AM$7),0,AND($K87&lt;=AM$7,$L87&lt;=AM$7),1,AND($K87&lt;=AM$7,$L87&gt;AM$7),((AM$7-$K87)/($L87-$K87)))</f>
        <v>1</v>
      </c>
      <c r="AO87" s="201">
        <f t="array" ref="AO87">_xlfn.IFS(AND($K87&gt;AN$7,$L87&gt;AN$7),0,AND($K87&lt;=AN$7,$L87&lt;=AN$7),1,AND($K87&lt;=AN$7,$L87&gt;AN$7),((AN$7-$K87)/($L87-$K87)))</f>
        <v>1</v>
      </c>
      <c r="AP87" s="201">
        <f t="array" ref="AP87">_xlfn.IFS(AND($K87&gt;AO$7,$L87&gt;AO$7),0,AND($K87&lt;=AO$7,$L87&lt;=AO$7),1,AND($K87&lt;=AO$7,$L87&gt;AO$7),((AO$7-$K87)/($L87-$K87)))</f>
        <v>1</v>
      </c>
      <c r="AQ87" s="201">
        <f t="array" ref="AQ87">_xlfn.IFS(AND($K87&gt;AP$7,$L87&gt;AP$7),0,AND($K87&lt;=AP$7,$L87&lt;=AP$7),1,AND($K87&lt;=AP$7,$L87&gt;AP$7),((AP$7-$K87)/($L87-$K87)))</f>
        <v>1</v>
      </c>
      <c r="AR87" s="201">
        <f t="array" ref="AR87">_xlfn.IFS(AND($K87&gt;AQ$7,$L87&gt;AQ$7),0,AND($K87&lt;=AQ$7,$L87&lt;=AQ$7),1,AND($K87&lt;=AQ$7,$L87&gt;AQ$7),((AQ$7-$K87)/($L87-$K87)))</f>
        <v>1</v>
      </c>
      <c r="AS87" s="201">
        <f t="array" ref="AS87">_xlfn.IFS(AND($K87&gt;AR$7,$L87&gt;AR$7),0,AND($K87&lt;=AR$7,$L87&lt;=AR$7),1,AND($K87&lt;=AR$7,$L87&gt;AR$7),((AR$7-$K87)/($L87-$K87)))</f>
        <v>1</v>
      </c>
      <c r="AT87" s="201">
        <f t="array" ref="AT87">_xlfn.IFS(AND($K87&gt;AS$7,$L87&gt;AS$7),0,AND($K87&lt;=AS$7,$L87&lt;=AS$7),1,AND($K87&lt;=AS$7,$L87&gt;AS$7),((AS$7-$K87)/($L87-$K87)))</f>
        <v>1</v>
      </c>
      <c r="AU87" s="201">
        <f t="array" ref="AU87">_xlfn.IFS(AND($K87&gt;AT$7,$L87&gt;AT$7),0,AND($K87&lt;=AT$7,$L87&lt;=AT$7),1,AND($K87&lt;=AT$7,$L87&gt;AT$7),((AT$7-$K87)/($L87-$K87)))</f>
        <v>1</v>
      </c>
      <c r="AV87" s="201">
        <f t="array" ref="AV87">_xlfn.IFS(AND($K87&gt;AU$7,$L87&gt;AU$7),0,AND($K87&lt;=AU$7,$L87&lt;=AU$7),1,AND($K87&lt;=AU$7,$L87&gt;AU$7),((AU$7-$K87)/($L87-$K87)))</f>
        <v>1</v>
      </c>
      <c r="AW87" s="201">
        <f t="array" ref="AW87">_xlfn.IFS(AND($K87&gt;AV$7,$L87&gt;AV$7),0,AND($K87&lt;=AV$7,$L87&lt;=AV$7),1,AND($K87&lt;=AV$7,$L87&gt;AV$7),((AV$7-$K87)/($L87-$K87)))</f>
        <v>1</v>
      </c>
      <c r="AX87" s="201">
        <f t="array" ref="AX87">_xlfn.IFS(AND($K87&gt;AW$7,$L87&gt;AW$7),0,AND($K87&lt;=AW$7,$L87&lt;=AW$7),1,AND($K87&lt;=AW$7,$L87&gt;AW$7),((AW$7-$K87)/($L87-$K87)))</f>
        <v>1</v>
      </c>
      <c r="AY87" s="201">
        <f t="array" ref="AY87">_xlfn.IFS(AND($K87&gt;AX$7,$L87&gt;AX$7),0,AND($K87&lt;=AX$7,$L87&lt;=AX$7),1,AND($K87&lt;=AX$7,$L87&gt;AX$7),((AX$7-$K87)/($L87-$K87)))</f>
        <v>1</v>
      </c>
      <c r="AZ87" s="201">
        <f t="array" ref="AZ87">_xlfn.IFS(AND($K87&gt;AY$7,$L87&gt;AY$7),0,AND($K87&lt;=AY$7,$L87&lt;=AY$7),1,AND($K87&lt;=AY$7,$L87&gt;AY$7),((AY$7-$K87)/($L87-$K87)))</f>
        <v>1</v>
      </c>
      <c r="BA87" s="201">
        <f t="array" ref="BA87">_xlfn.IFS(AND($K87&gt;AZ$7,$L87&gt;AZ$7),0,AND($K87&lt;=AZ$7,$L87&lt;=AZ$7),1,AND($K87&lt;=AZ$7,$L87&gt;AZ$7),((AZ$7-$K87)/($L87-$K87)))</f>
        <v>1</v>
      </c>
      <c r="BB87" s="201">
        <f t="array" ref="BB87">_xlfn.IFS(AND($K87&gt;BA$7,$L87&gt;BA$7),0,AND($K87&lt;=BA$7,$L87&lt;=BA$7),1,AND($K87&lt;=BA$7,$L87&gt;BA$7),((BA$7-$K87)/($L87-$K87)))</f>
        <v>1</v>
      </c>
      <c r="BC87" s="201">
        <f t="array" ref="BC87">_xlfn.IFS(AND($K87&gt;BB$7,$L87&gt;BB$7),0,AND($K87&lt;=BB$7,$L87&lt;=BB$7),1,AND($K87&lt;=BB$7,$L87&gt;BB$7),((BB$7-$K87)/($L87-$K87)))</f>
        <v>1</v>
      </c>
      <c r="BD87" s="201">
        <f t="array" ref="BD87">_xlfn.IFS(AND($K87&gt;BC$7,$L87&gt;BC$7),0,AND($K87&lt;=BC$7,$L87&lt;=BC$7),1,AND($K87&lt;=BC$7,$L87&gt;BC$7),((BC$7-$K87)/($L87-$K87)))</f>
        <v>1</v>
      </c>
      <c r="BE87" s="201">
        <f t="array" ref="BE87">_xlfn.IFS(AND($K87&gt;BD$7,$L87&gt;BD$7),0,AND($K87&lt;=BD$7,$L87&lt;=BD$7),1,AND($K87&lt;=BD$7,$L87&gt;BD$7),((BD$7-$K87)/($L87-$K87)))</f>
        <v>1</v>
      </c>
      <c r="BF87" s="201">
        <f t="array" ref="BF87">_xlfn.IFS(AND($K87&gt;BE$7,$L87&gt;BE$7),0,AND($K87&lt;=BE$7,$L87&lt;=BE$7),1,AND($K87&lt;=BE$7,$L87&gt;BE$7),((BE$7-$K87)/($L87-$K87)))</f>
        <v>1</v>
      </c>
      <c r="BG87" s="201">
        <f t="array" ref="BG87">_xlfn.IFS(AND($K87&gt;BF$7,$L87&gt;BF$7),0,AND($K87&lt;=BF$7,$L87&lt;=BF$7),1,AND($K87&lt;=BF$7,$L87&gt;BF$7),((BF$7-$K87)/($L87-$K87)))</f>
        <v>1</v>
      </c>
      <c r="BH87" s="201">
        <f t="array" ref="BH87">_xlfn.IFS(AND($K87&gt;BG$7,$L87&gt;BG$7),0,AND($K87&lt;=BG$7,$L87&lt;=BG$7),1,AND($K87&lt;=BG$7,$L87&gt;BG$7),((BG$7-$K87)/($L87-$K87)))</f>
        <v>1</v>
      </c>
      <c r="BI87" s="201">
        <f t="array" ref="BI87">_xlfn.IFS(AND($K87&gt;BH$7,$L87&gt;BH$7),0,AND($K87&lt;=BH$7,$L87&lt;=BH$7),1,AND($K87&lt;=BH$7,$L87&gt;BH$7),((BH$7-$K87)/($L87-$K87)))</f>
        <v>1</v>
      </c>
      <c r="BJ87" s="201">
        <f t="array" ref="BJ87">_xlfn.IFS(AND($K87&gt;BI$7,$L87&gt;BI$7),0,AND($K87&lt;=BI$7,$L87&lt;=BI$7),1,AND($K87&lt;=BI$7,$L87&gt;BI$7),((BI$7-$K87)/($L87-$K87)))</f>
        <v>1</v>
      </c>
      <c r="BK87" s="201">
        <f t="array" ref="BK87">_xlfn.IFS(AND($K87&gt;BJ$7,$L87&gt;BJ$7),0,AND($K87&lt;=BJ$7,$L87&lt;=BJ$7),1,AND($K87&lt;=BJ$7,$L87&gt;BJ$7),((BJ$7-$K87)/($L87-$K87)))</f>
        <v>1</v>
      </c>
      <c r="BL87" s="201">
        <f t="array" ref="BL87">_xlfn.IFS(AND($K87&gt;BK$7,$L87&gt;BK$7),0,AND($K87&lt;=BK$7,$L87&lt;=BK$7),1,AND($K87&lt;=BK$7,$L87&gt;BK$7),((BK$7-$K87)/($L87-$K87)))</f>
        <v>1</v>
      </c>
      <c r="BM87" s="201">
        <f t="array" ref="BM87">_xlfn.IFS(AND($K87&gt;BL$7,$L87&gt;BL$7),0,AND($K87&lt;=BL$7,$L87&lt;=BL$7),1,AND($K87&lt;=BL$7,$L87&gt;BL$7),((BL$7-$K87)/($L87-$K87)))</f>
        <v>1</v>
      </c>
      <c r="BN87" s="201">
        <f t="array" ref="BN87">_xlfn.IFS(AND($K87&gt;BM$7,$L87&gt;BM$7),0,AND($K87&lt;=BM$7,$L87&lt;=BM$7),1,AND($K87&lt;=BM$7,$L87&gt;BM$7),((BM$7-$K87)/($L87-$K87)))</f>
        <v>1</v>
      </c>
    </row>
    <row r="88" spans="2:66" s="163" customFormat="1" ht="27.6" customHeight="1" x14ac:dyDescent="0.3">
      <c r="B88" s="166" t="s">
        <v>161</v>
      </c>
      <c r="C88" s="166" t="s">
        <v>223</v>
      </c>
      <c r="D88" s="177"/>
      <c r="E88" s="170" t="str">
        <f t="shared" si="42"/>
        <v>Desenvolvimento da Transformação dos Processos</v>
      </c>
      <c r="F88" s="174" t="str">
        <f t="shared" si="39"/>
        <v>Modelagem To Be</v>
      </c>
      <c r="G88" s="166" t="str">
        <f t="shared" si="43"/>
        <v>Modelagem To Be</v>
      </c>
      <c r="H88" s="197" t="s">
        <v>224</v>
      </c>
      <c r="I88" s="166">
        <v>45817</v>
      </c>
      <c r="J88" s="166">
        <v>45821</v>
      </c>
      <c r="K88" s="166">
        <v>45817</v>
      </c>
      <c r="L88" s="166">
        <v>45821</v>
      </c>
      <c r="M88" s="167"/>
      <c r="N88" s="167" t="str">
        <f t="array" ref="N88">_xlfn.IFS(L88&lt;$M$3,"Concluído",AND(K88&gt;=$M$3,I88&lt;$M$3,L88&gt;$M$3),"Em andamento",AND(L88&gt;=$M$3,J88&lt;$M$3),"Atrasado",AND(L88&gt;=$M$3,J88&gt;=$M$3,I88&gt;$M$3,K88&lt;=$M$3),"Em andamento",AND(L88&gt;=$M$3,J88&gt;=$M$3,I88&lt;=$M$3,K88&lt;=$M$3),"Em andamento",AND(K88&gt;$M$3,I88&gt;$M$3),"Não iniciado",AND(L88&gt;=$M$3,J88&gt;=$M$3,K88&gt;=$M$3,I88&lt;$M$3),"Atrasado",AND(L88&gt;=$M$3,J88&gt;=$M$3,K88&gt;=$M$3,I88&gt;$M$3),"Não iniciado",AND($I88&lt;=$M$3,$K88&gt;$M$3),"Atrasado")</f>
        <v>Concluído</v>
      </c>
      <c r="O88" s="167">
        <f t="array" ref="O88">_xlfn.IFS(N88="Não iniciado",0,N88="Em andamento",1,N88="Concluído",2,N88="Atrasado",3)</f>
        <v>2</v>
      </c>
      <c r="P88" s="169"/>
      <c r="Q88" s="152">
        <f t="array" ref="Q88">_xlfn.IFS(AND($I88&lt;$M$3,$J88&lt;$M$3),1,AND($I88&lt;$M$3,$J88&gt;=$M$3),0.5,AND($I88&gt;=$M$3,$J88&gt;=$M$3),0)</f>
        <v>1</v>
      </c>
      <c r="R88" s="152">
        <f t="array" ref="R88">_xlfn.IFS(AND($K88&lt;$M$3,$L88&lt;$M$3),1,AND($K88&lt;=$M$3,$L88&gt;=$M$3),0.5,AND($K88&gt;=$M$3,$L88&gt;=$M$3),0)</f>
        <v>1</v>
      </c>
      <c r="S88" s="201">
        <f t="array" ref="S88">_xlfn.IFS(AND($K88&gt;R$7,$L88&gt;R$7),0,AND($K88&lt;=R$7,$L88&lt;=R$7),1,AND($K88&lt;=R$7,$L88&gt;R$7),((R$7-$K88)/($L88-$K88)))</f>
        <v>0</v>
      </c>
      <c r="T88" s="201">
        <f t="array" ref="T88">_xlfn.IFS(AND($K88&gt;S$7,$L88&gt;S$7),0,AND($K88&lt;=S$7,$L88&lt;=S$7),1,AND($K88&lt;=S$7,$L88&gt;S$7),((S$7-$K88)/($L88-$K88)))</f>
        <v>0</v>
      </c>
      <c r="U88" s="201">
        <f t="array" ref="U88">_xlfn.IFS(AND($K88&gt;T$7,$L88&gt;T$7),0,AND($K88&lt;=T$7,$L88&lt;=T$7),1,AND($K88&lt;=T$7,$L88&gt;T$7),((T$7-$K88)/($L88-$K88)))</f>
        <v>0</v>
      </c>
      <c r="V88" s="201">
        <f t="array" ref="V88">_xlfn.IFS(AND($K88&gt;U$7,$L88&gt;U$7),0,AND($K88&lt;=U$7,$L88&lt;=U$7),1,AND($K88&lt;=U$7,$L88&gt;U$7),((U$7-$K88)/($L88-$K88)))</f>
        <v>0</v>
      </c>
      <c r="W88" s="201">
        <f t="array" ref="W88">_xlfn.IFS(AND($K88&gt;V$7,$L88&gt;V$7),0,AND($K88&lt;=V$7,$L88&lt;=V$7),1,AND($K88&lt;=V$7,$L88&gt;V$7),((V$7-$K88)/($L88-$K88)))</f>
        <v>0</v>
      </c>
      <c r="X88" s="201">
        <f t="array" ref="X88">_xlfn.IFS(AND($K88&gt;W$7,$L88&gt;W$7),0,AND($K88&lt;=W$7,$L88&lt;=W$7),1,AND($K88&lt;=W$7,$L88&gt;W$7),((W$7-$K88)/($L88-$K88)))</f>
        <v>0</v>
      </c>
      <c r="Y88" s="201">
        <f t="array" ref="Y88">_xlfn.IFS(AND($K88&gt;X$7,$L88&gt;X$7),0,AND($K88&lt;=X$7,$L88&lt;=X$7),1,AND($K88&lt;=X$7,$L88&gt;X$7),((X$7-$K88)/($L88-$K88)))</f>
        <v>0</v>
      </c>
      <c r="Z88" s="201">
        <f t="array" ref="Z88">_xlfn.IFS(AND($K88&gt;Y$7,$L88&gt;Y$7),0,AND($K88&lt;=Y$7,$L88&lt;=Y$7),1,AND($K88&lt;=Y$7,$L88&gt;Y$7),((Y$7-$K88)/($L88-$K88)))</f>
        <v>0</v>
      </c>
      <c r="AA88" s="201">
        <f t="array" ref="AA88">_xlfn.IFS(AND($K88&gt;Z$7,$L88&gt;Z$7),0,AND($K88&lt;=Z$7,$L88&lt;=Z$7),1,AND($K88&lt;=Z$7,$L88&gt;Z$7),((Z$7-$K88)/($L88-$K88)))</f>
        <v>0</v>
      </c>
      <c r="AB88" s="201">
        <f t="array" ref="AB88">_xlfn.IFS(AND($K88&gt;AA$7,$L88&gt;AA$7),0,AND($K88&lt;=AA$7,$L88&lt;=AA$7),1,AND($K88&lt;=AA$7,$L88&gt;AA$7),((AA$7-$K88)/($L88-$K88)))</f>
        <v>0</v>
      </c>
      <c r="AC88" s="201">
        <f t="array" ref="AC88">_xlfn.IFS(AND($K88&gt;AB$7,$L88&gt;AB$7),0,AND($K88&lt;=AB$7,$L88&lt;=AB$7),1,AND($K88&lt;=AB$7,$L88&gt;AB$7),((AB$7-$K88)/($L88-$K88)))</f>
        <v>0</v>
      </c>
      <c r="AD88" s="201">
        <f t="array" ref="AD88">_xlfn.IFS(AND($K88&gt;AC$7,$L88&gt;AC$7),0,AND($K88&lt;=AC$7,$L88&lt;=AC$7),1,AND($K88&lt;=AC$7,$L88&gt;AC$7),((AC$7-$K88)/($L88-$K88)))</f>
        <v>0</v>
      </c>
      <c r="AE88" s="201">
        <f t="array" ref="AE88">_xlfn.IFS(AND($K88&gt;AD$7,$L88&gt;AD$7),0,AND($K88&lt;=AD$7,$L88&lt;=AD$7),1,AND($K88&lt;=AD$7,$L88&gt;AD$7),((AD$7-$K88)/($L88-$K88)))</f>
        <v>0</v>
      </c>
      <c r="AF88" s="201">
        <f t="array" ref="AF88">_xlfn.IFS(AND($K88&gt;AE$7,$L88&gt;AE$7),0,AND($K88&lt;=AE$7,$L88&lt;=AE$7),1,AND($K88&lt;=AE$7,$L88&gt;AE$7),((AE$7-$K88)/($L88-$K88)))</f>
        <v>0</v>
      </c>
      <c r="AG88" s="201">
        <f t="array" ref="AG88">_xlfn.IFS(AND($K88&gt;AF$7,$L88&gt;AF$7),0,AND($K88&lt;=AF$7,$L88&lt;=AF$7),1,AND($K88&lt;=AF$7,$L88&gt;AF$7),((AF$7-$K88)/($L88-$K88)))</f>
        <v>0</v>
      </c>
      <c r="AH88" s="201">
        <f t="array" ref="AH88">_xlfn.IFS(AND($K88&gt;AG$7,$L88&gt;AG$7),0,AND($K88&lt;=AG$7,$L88&lt;=AG$7),1,AND($K88&lt;=AG$7,$L88&gt;AG$7),((AG$7-$K88)/($L88-$K88)))</f>
        <v>0</v>
      </c>
      <c r="AI88" s="201">
        <f t="array" ref="AI88">_xlfn.IFS(AND($K88&gt;AH$7,$L88&gt;AH$7),0,AND($K88&lt;=AH$7,$L88&lt;=AH$7),1,AND($K88&lt;=AH$7,$L88&gt;AH$7),((AH$7-$K88)/($L88-$K88)))</f>
        <v>0</v>
      </c>
      <c r="AJ88" s="201">
        <f t="array" ref="AJ88">_xlfn.IFS(AND($K88&gt;AI$7,$L88&gt;AI$7),0,AND($K88&lt;=AI$7,$L88&lt;=AI$7),1,AND($K88&lt;=AI$7,$L88&gt;AI$7),((AI$7-$K88)/($L88-$K88)))</f>
        <v>0</v>
      </c>
      <c r="AK88" s="201">
        <f t="array" ref="AK88">_xlfn.IFS(AND($K88&gt;AJ$7,$L88&gt;AJ$7),0,AND($K88&lt;=AJ$7,$L88&lt;=AJ$7),1,AND($K88&lt;=AJ$7,$L88&gt;AJ$7),((AJ$7-$K88)/($L88-$K88)))</f>
        <v>0</v>
      </c>
      <c r="AL88" s="201">
        <f t="array" ref="AL88">_xlfn.IFS(AND($K88&gt;AK$7,$L88&gt;AK$7),0,AND($K88&lt;=AK$7,$L88&lt;=AK$7),1,AND($K88&lt;=AK$7,$L88&gt;AK$7),((AK$7-$K88)/($L88-$K88)))</f>
        <v>1</v>
      </c>
      <c r="AM88" s="201">
        <f t="array" ref="AM88">_xlfn.IFS(AND($K88&gt;AL$7,$L88&gt;AL$7),0,AND($K88&lt;=AL$7,$L88&lt;=AL$7),1,AND($K88&lt;=AL$7,$L88&gt;AL$7),((AL$7-$K88)/($L88-$K88)))</f>
        <v>1</v>
      </c>
      <c r="AN88" s="201">
        <f t="array" ref="AN88">_xlfn.IFS(AND($K88&gt;AM$7,$L88&gt;AM$7),0,AND($K88&lt;=AM$7,$L88&lt;=AM$7),1,AND($K88&lt;=AM$7,$L88&gt;AM$7),((AM$7-$K88)/($L88-$K88)))</f>
        <v>1</v>
      </c>
      <c r="AO88" s="201">
        <f t="array" ref="AO88">_xlfn.IFS(AND($K88&gt;AN$7,$L88&gt;AN$7),0,AND($K88&lt;=AN$7,$L88&lt;=AN$7),1,AND($K88&lt;=AN$7,$L88&gt;AN$7),((AN$7-$K88)/($L88-$K88)))</f>
        <v>1</v>
      </c>
      <c r="AP88" s="201">
        <f t="array" ref="AP88">_xlfn.IFS(AND($K88&gt;AO$7,$L88&gt;AO$7),0,AND($K88&lt;=AO$7,$L88&lt;=AO$7),1,AND($K88&lt;=AO$7,$L88&gt;AO$7),((AO$7-$K88)/($L88-$K88)))</f>
        <v>1</v>
      </c>
      <c r="AQ88" s="201">
        <f t="array" ref="AQ88">_xlfn.IFS(AND($K88&gt;AP$7,$L88&gt;AP$7),0,AND($K88&lt;=AP$7,$L88&lt;=AP$7),1,AND($K88&lt;=AP$7,$L88&gt;AP$7),((AP$7-$K88)/($L88-$K88)))</f>
        <v>1</v>
      </c>
      <c r="AR88" s="201">
        <f t="array" ref="AR88">_xlfn.IFS(AND($K88&gt;AQ$7,$L88&gt;AQ$7),0,AND($K88&lt;=AQ$7,$L88&lt;=AQ$7),1,AND($K88&lt;=AQ$7,$L88&gt;AQ$7),((AQ$7-$K88)/($L88-$K88)))</f>
        <v>1</v>
      </c>
      <c r="AS88" s="201">
        <f t="array" ref="AS88">_xlfn.IFS(AND($K88&gt;AR$7,$L88&gt;AR$7),0,AND($K88&lt;=AR$7,$L88&lt;=AR$7),1,AND($K88&lt;=AR$7,$L88&gt;AR$7),((AR$7-$K88)/($L88-$K88)))</f>
        <v>1</v>
      </c>
      <c r="AT88" s="201">
        <f t="array" ref="AT88">_xlfn.IFS(AND($K88&gt;AS$7,$L88&gt;AS$7),0,AND($K88&lt;=AS$7,$L88&lt;=AS$7),1,AND($K88&lt;=AS$7,$L88&gt;AS$7),((AS$7-$K88)/($L88-$K88)))</f>
        <v>1</v>
      </c>
      <c r="AU88" s="201">
        <f t="array" ref="AU88">_xlfn.IFS(AND($K88&gt;AT$7,$L88&gt;AT$7),0,AND($K88&lt;=AT$7,$L88&lt;=AT$7),1,AND($K88&lt;=AT$7,$L88&gt;AT$7),((AT$7-$K88)/($L88-$K88)))</f>
        <v>1</v>
      </c>
      <c r="AV88" s="201">
        <f t="array" ref="AV88">_xlfn.IFS(AND($K88&gt;AU$7,$L88&gt;AU$7),0,AND($K88&lt;=AU$7,$L88&lt;=AU$7),1,AND($K88&lt;=AU$7,$L88&gt;AU$7),((AU$7-$K88)/($L88-$K88)))</f>
        <v>1</v>
      </c>
      <c r="AW88" s="201">
        <f t="array" ref="AW88">_xlfn.IFS(AND($K88&gt;AV$7,$L88&gt;AV$7),0,AND($K88&lt;=AV$7,$L88&lt;=AV$7),1,AND($K88&lt;=AV$7,$L88&gt;AV$7),((AV$7-$K88)/($L88-$K88)))</f>
        <v>1</v>
      </c>
      <c r="AX88" s="201">
        <f t="array" ref="AX88">_xlfn.IFS(AND($K88&gt;AW$7,$L88&gt;AW$7),0,AND($K88&lt;=AW$7,$L88&lt;=AW$7),1,AND($K88&lt;=AW$7,$L88&gt;AW$7),((AW$7-$K88)/($L88-$K88)))</f>
        <v>1</v>
      </c>
      <c r="AY88" s="201">
        <f t="array" ref="AY88">_xlfn.IFS(AND($K88&gt;AX$7,$L88&gt;AX$7),0,AND($K88&lt;=AX$7,$L88&lt;=AX$7),1,AND($K88&lt;=AX$7,$L88&gt;AX$7),((AX$7-$K88)/($L88-$K88)))</f>
        <v>1</v>
      </c>
      <c r="AZ88" s="201">
        <f t="array" ref="AZ88">_xlfn.IFS(AND($K88&gt;AY$7,$L88&gt;AY$7),0,AND($K88&lt;=AY$7,$L88&lt;=AY$7),1,AND($K88&lt;=AY$7,$L88&gt;AY$7),((AY$7-$K88)/($L88-$K88)))</f>
        <v>1</v>
      </c>
      <c r="BA88" s="201">
        <f t="array" ref="BA88">_xlfn.IFS(AND($K88&gt;AZ$7,$L88&gt;AZ$7),0,AND($K88&lt;=AZ$7,$L88&lt;=AZ$7),1,AND($K88&lt;=AZ$7,$L88&gt;AZ$7),((AZ$7-$K88)/($L88-$K88)))</f>
        <v>1</v>
      </c>
      <c r="BB88" s="201">
        <f t="array" ref="BB88">_xlfn.IFS(AND($K88&gt;BA$7,$L88&gt;BA$7),0,AND($K88&lt;=BA$7,$L88&lt;=BA$7),1,AND($K88&lt;=BA$7,$L88&gt;BA$7),((BA$7-$K88)/($L88-$K88)))</f>
        <v>1</v>
      </c>
      <c r="BC88" s="201">
        <f t="array" ref="BC88">_xlfn.IFS(AND($K88&gt;BB$7,$L88&gt;BB$7),0,AND($K88&lt;=BB$7,$L88&lt;=BB$7),1,AND($K88&lt;=BB$7,$L88&gt;BB$7),((BB$7-$K88)/($L88-$K88)))</f>
        <v>1</v>
      </c>
      <c r="BD88" s="201">
        <f t="array" ref="BD88">_xlfn.IFS(AND($K88&gt;BC$7,$L88&gt;BC$7),0,AND($K88&lt;=BC$7,$L88&lt;=BC$7),1,AND($K88&lt;=BC$7,$L88&gt;BC$7),((BC$7-$K88)/($L88-$K88)))</f>
        <v>1</v>
      </c>
      <c r="BE88" s="201">
        <f t="array" ref="BE88">_xlfn.IFS(AND($K88&gt;BD$7,$L88&gt;BD$7),0,AND($K88&lt;=BD$7,$L88&lt;=BD$7),1,AND($K88&lt;=BD$7,$L88&gt;BD$7),((BD$7-$K88)/($L88-$K88)))</f>
        <v>1</v>
      </c>
      <c r="BF88" s="201">
        <f t="array" ref="BF88">_xlfn.IFS(AND($K88&gt;BE$7,$L88&gt;BE$7),0,AND($K88&lt;=BE$7,$L88&lt;=BE$7),1,AND($K88&lt;=BE$7,$L88&gt;BE$7),((BE$7-$K88)/($L88-$K88)))</f>
        <v>1</v>
      </c>
      <c r="BG88" s="201">
        <f t="array" ref="BG88">_xlfn.IFS(AND($K88&gt;BF$7,$L88&gt;BF$7),0,AND($K88&lt;=BF$7,$L88&lt;=BF$7),1,AND($K88&lt;=BF$7,$L88&gt;BF$7),((BF$7-$K88)/($L88-$K88)))</f>
        <v>1</v>
      </c>
      <c r="BH88" s="201">
        <f t="array" ref="BH88">_xlfn.IFS(AND($K88&gt;BG$7,$L88&gt;BG$7),0,AND($K88&lt;=BG$7,$L88&lt;=BG$7),1,AND($K88&lt;=BG$7,$L88&gt;BG$7),((BG$7-$K88)/($L88-$K88)))</f>
        <v>1</v>
      </c>
      <c r="BI88" s="201">
        <f t="array" ref="BI88">_xlfn.IFS(AND($K88&gt;BH$7,$L88&gt;BH$7),0,AND($K88&lt;=BH$7,$L88&lt;=BH$7),1,AND($K88&lt;=BH$7,$L88&gt;BH$7),((BH$7-$K88)/($L88-$K88)))</f>
        <v>1</v>
      </c>
      <c r="BJ88" s="201">
        <f t="array" ref="BJ88">_xlfn.IFS(AND($K88&gt;BI$7,$L88&gt;BI$7),0,AND($K88&lt;=BI$7,$L88&lt;=BI$7),1,AND($K88&lt;=BI$7,$L88&gt;BI$7),((BI$7-$K88)/($L88-$K88)))</f>
        <v>1</v>
      </c>
      <c r="BK88" s="201">
        <f t="array" ref="BK88">_xlfn.IFS(AND($K88&gt;BJ$7,$L88&gt;BJ$7),0,AND($K88&lt;=BJ$7,$L88&lt;=BJ$7),1,AND($K88&lt;=BJ$7,$L88&gt;BJ$7),((BJ$7-$K88)/($L88-$K88)))</f>
        <v>1</v>
      </c>
      <c r="BL88" s="201">
        <f t="array" ref="BL88">_xlfn.IFS(AND($K88&gt;BK$7,$L88&gt;BK$7),0,AND($K88&lt;=BK$7,$L88&lt;=BK$7),1,AND($K88&lt;=BK$7,$L88&gt;BK$7),((BK$7-$K88)/($L88-$K88)))</f>
        <v>1</v>
      </c>
      <c r="BM88" s="201">
        <f t="array" ref="BM88">_xlfn.IFS(AND($K88&gt;BL$7,$L88&gt;BL$7),0,AND($K88&lt;=BL$7,$L88&lt;=BL$7),1,AND($K88&lt;=BL$7,$L88&gt;BL$7),((BL$7-$K88)/($L88-$K88)))</f>
        <v>1</v>
      </c>
      <c r="BN88" s="201">
        <f t="array" ref="BN88">_xlfn.IFS(AND($K88&gt;BM$7,$L88&gt;BM$7),0,AND($K88&lt;=BM$7,$L88&lt;=BM$7),1,AND($K88&lt;=BM$7,$L88&gt;BM$7),((BM$7-$K88)/($L88-$K88)))</f>
        <v>1</v>
      </c>
    </row>
    <row r="89" spans="2:66" s="163" customFormat="1" ht="27.6" customHeight="1" x14ac:dyDescent="0.3">
      <c r="B89" s="166" t="s">
        <v>161</v>
      </c>
      <c r="C89" s="166" t="s">
        <v>225</v>
      </c>
      <c r="D89" s="177"/>
      <c r="E89" s="170" t="str">
        <f t="shared" si="42"/>
        <v>Desenvolvimento da Transformação dos Processos</v>
      </c>
      <c r="F89" s="174" t="str">
        <f t="shared" si="39"/>
        <v>Modelagem To Be</v>
      </c>
      <c r="G89" s="166" t="str">
        <f t="shared" si="43"/>
        <v>Modelagem To Be</v>
      </c>
      <c r="H89" s="197" t="s">
        <v>226</v>
      </c>
      <c r="I89" s="166">
        <v>45817</v>
      </c>
      <c r="J89" s="166">
        <v>45821</v>
      </c>
      <c r="K89" s="166">
        <v>45817</v>
      </c>
      <c r="L89" s="166">
        <v>45821</v>
      </c>
      <c r="M89" s="167"/>
      <c r="N89" s="167" t="str">
        <f t="array" ref="N89">_xlfn.IFS(L89&lt;$M$3,"Concluído",AND(K89&gt;=$M$3,I89&lt;$M$3,L89&gt;$M$3),"Em andamento",AND(L89&gt;=$M$3,J89&lt;$M$3),"Atrasado",AND(L89&gt;=$M$3,J89&gt;=$M$3,I89&gt;$M$3,K89&lt;=$M$3),"Em andamento",AND(L89&gt;=$M$3,J89&gt;=$M$3,I89&lt;=$M$3,K89&lt;=$M$3),"Em andamento",AND(K89&gt;$M$3,I89&gt;$M$3),"Não iniciado",AND(L89&gt;=$M$3,J89&gt;=$M$3,K89&gt;=$M$3,I89&lt;$M$3),"Atrasado",AND(L89&gt;=$M$3,J89&gt;=$M$3,K89&gt;=$M$3,I89&gt;$M$3),"Não iniciado",AND($I89&lt;=$M$3,$K89&gt;$M$3),"Atrasado")</f>
        <v>Concluído</v>
      </c>
      <c r="O89" s="167">
        <f t="array" ref="O89">_xlfn.IFS(N89="Não iniciado",0,N89="Em andamento",1,N89="Concluído",2,N89="Atrasado",3)</f>
        <v>2</v>
      </c>
      <c r="P89" s="169"/>
      <c r="Q89" s="152">
        <f t="array" ref="Q89">_xlfn.IFS(AND($I89&lt;$M$3,$J89&lt;$M$3),1,AND($I89&lt;$M$3,$J89&gt;=$M$3),0.5,AND($I89&gt;=$M$3,$J89&gt;=$M$3),0)</f>
        <v>1</v>
      </c>
      <c r="R89" s="152">
        <f t="array" ref="R89">_xlfn.IFS(AND($K89&lt;$M$3,$L89&lt;$M$3),1,AND($K89&lt;=$M$3,$L89&gt;=$M$3),0.5,AND($K89&gt;=$M$3,$L89&gt;=$M$3),0)</f>
        <v>1</v>
      </c>
      <c r="S89" s="201">
        <f t="array" ref="S89">_xlfn.IFS(AND($K89&gt;R$7,$L89&gt;R$7),0,AND($K89&lt;=R$7,$L89&lt;=R$7),1,AND($K89&lt;=R$7,$L89&gt;R$7),((R$7-$K89)/($L89-$K89)))</f>
        <v>0</v>
      </c>
      <c r="T89" s="201">
        <f t="array" ref="T89">_xlfn.IFS(AND($K89&gt;S$7,$L89&gt;S$7),0,AND($K89&lt;=S$7,$L89&lt;=S$7),1,AND($K89&lt;=S$7,$L89&gt;S$7),((S$7-$K89)/($L89-$K89)))</f>
        <v>0</v>
      </c>
      <c r="U89" s="201">
        <f t="array" ref="U89">_xlfn.IFS(AND($K89&gt;T$7,$L89&gt;T$7),0,AND($K89&lt;=T$7,$L89&lt;=T$7),1,AND($K89&lt;=T$7,$L89&gt;T$7),((T$7-$K89)/($L89-$K89)))</f>
        <v>0</v>
      </c>
      <c r="V89" s="201">
        <f t="array" ref="V89">_xlfn.IFS(AND($K89&gt;U$7,$L89&gt;U$7),0,AND($K89&lt;=U$7,$L89&lt;=U$7),1,AND($K89&lt;=U$7,$L89&gt;U$7),((U$7-$K89)/($L89-$K89)))</f>
        <v>0</v>
      </c>
      <c r="W89" s="201">
        <f t="array" ref="W89">_xlfn.IFS(AND($K89&gt;V$7,$L89&gt;V$7),0,AND($K89&lt;=V$7,$L89&lt;=V$7),1,AND($K89&lt;=V$7,$L89&gt;V$7),((V$7-$K89)/($L89-$K89)))</f>
        <v>0</v>
      </c>
      <c r="X89" s="201">
        <f t="array" ref="X89">_xlfn.IFS(AND($K89&gt;W$7,$L89&gt;W$7),0,AND($K89&lt;=W$7,$L89&lt;=W$7),1,AND($K89&lt;=W$7,$L89&gt;W$7),((W$7-$K89)/($L89-$K89)))</f>
        <v>0</v>
      </c>
      <c r="Y89" s="201">
        <f t="array" ref="Y89">_xlfn.IFS(AND($K89&gt;X$7,$L89&gt;X$7),0,AND($K89&lt;=X$7,$L89&lt;=X$7),1,AND($K89&lt;=X$7,$L89&gt;X$7),((X$7-$K89)/($L89-$K89)))</f>
        <v>0</v>
      </c>
      <c r="Z89" s="201">
        <f t="array" ref="Z89">_xlfn.IFS(AND($K89&gt;Y$7,$L89&gt;Y$7),0,AND($K89&lt;=Y$7,$L89&lt;=Y$7),1,AND($K89&lt;=Y$7,$L89&gt;Y$7),((Y$7-$K89)/($L89-$K89)))</f>
        <v>0</v>
      </c>
      <c r="AA89" s="201">
        <f t="array" ref="AA89">_xlfn.IFS(AND($K89&gt;Z$7,$L89&gt;Z$7),0,AND($K89&lt;=Z$7,$L89&lt;=Z$7),1,AND($K89&lt;=Z$7,$L89&gt;Z$7),((Z$7-$K89)/($L89-$K89)))</f>
        <v>0</v>
      </c>
      <c r="AB89" s="201">
        <f t="array" ref="AB89">_xlfn.IFS(AND($K89&gt;AA$7,$L89&gt;AA$7),0,AND($K89&lt;=AA$7,$L89&lt;=AA$7),1,AND($K89&lt;=AA$7,$L89&gt;AA$7),((AA$7-$K89)/($L89-$K89)))</f>
        <v>0</v>
      </c>
      <c r="AC89" s="201">
        <f t="array" ref="AC89">_xlfn.IFS(AND($K89&gt;AB$7,$L89&gt;AB$7),0,AND($K89&lt;=AB$7,$L89&lt;=AB$7),1,AND($K89&lt;=AB$7,$L89&gt;AB$7),((AB$7-$K89)/($L89-$K89)))</f>
        <v>0</v>
      </c>
      <c r="AD89" s="201">
        <f t="array" ref="AD89">_xlfn.IFS(AND($K89&gt;AC$7,$L89&gt;AC$7),0,AND($K89&lt;=AC$7,$L89&lt;=AC$7),1,AND($K89&lt;=AC$7,$L89&gt;AC$7),((AC$7-$K89)/($L89-$K89)))</f>
        <v>0</v>
      </c>
      <c r="AE89" s="201">
        <f t="array" ref="AE89">_xlfn.IFS(AND($K89&gt;AD$7,$L89&gt;AD$7),0,AND($K89&lt;=AD$7,$L89&lt;=AD$7),1,AND($K89&lt;=AD$7,$L89&gt;AD$7),((AD$7-$K89)/($L89-$K89)))</f>
        <v>0</v>
      </c>
      <c r="AF89" s="201">
        <f t="array" ref="AF89">_xlfn.IFS(AND($K89&gt;AE$7,$L89&gt;AE$7),0,AND($K89&lt;=AE$7,$L89&lt;=AE$7),1,AND($K89&lt;=AE$7,$L89&gt;AE$7),((AE$7-$K89)/($L89-$K89)))</f>
        <v>0</v>
      </c>
      <c r="AG89" s="201">
        <f t="array" ref="AG89">_xlfn.IFS(AND($K89&gt;AF$7,$L89&gt;AF$7),0,AND($K89&lt;=AF$7,$L89&lt;=AF$7),1,AND($K89&lt;=AF$7,$L89&gt;AF$7),((AF$7-$K89)/($L89-$K89)))</f>
        <v>0</v>
      </c>
      <c r="AH89" s="201">
        <f t="array" ref="AH89">_xlfn.IFS(AND($K89&gt;AG$7,$L89&gt;AG$7),0,AND($K89&lt;=AG$7,$L89&lt;=AG$7),1,AND($K89&lt;=AG$7,$L89&gt;AG$7),((AG$7-$K89)/($L89-$K89)))</f>
        <v>0</v>
      </c>
      <c r="AI89" s="201">
        <f t="array" ref="AI89">_xlfn.IFS(AND($K89&gt;AH$7,$L89&gt;AH$7),0,AND($K89&lt;=AH$7,$L89&lt;=AH$7),1,AND($K89&lt;=AH$7,$L89&gt;AH$7),((AH$7-$K89)/($L89-$K89)))</f>
        <v>0</v>
      </c>
      <c r="AJ89" s="201">
        <f t="array" ref="AJ89">_xlfn.IFS(AND($K89&gt;AI$7,$L89&gt;AI$7),0,AND($K89&lt;=AI$7,$L89&lt;=AI$7),1,AND($K89&lt;=AI$7,$L89&gt;AI$7),((AI$7-$K89)/($L89-$K89)))</f>
        <v>0</v>
      </c>
      <c r="AK89" s="201">
        <f t="array" ref="AK89">_xlfn.IFS(AND($K89&gt;AJ$7,$L89&gt;AJ$7),0,AND($K89&lt;=AJ$7,$L89&lt;=AJ$7),1,AND($K89&lt;=AJ$7,$L89&gt;AJ$7),((AJ$7-$K89)/($L89-$K89)))</f>
        <v>0</v>
      </c>
      <c r="AL89" s="201">
        <f t="array" ref="AL89">_xlfn.IFS(AND($K89&gt;AK$7,$L89&gt;AK$7),0,AND($K89&lt;=AK$7,$L89&lt;=AK$7),1,AND($K89&lt;=AK$7,$L89&gt;AK$7),((AK$7-$K89)/($L89-$K89)))</f>
        <v>1</v>
      </c>
      <c r="AM89" s="201">
        <f t="array" ref="AM89">_xlfn.IFS(AND($K89&gt;AL$7,$L89&gt;AL$7),0,AND($K89&lt;=AL$7,$L89&lt;=AL$7),1,AND($K89&lt;=AL$7,$L89&gt;AL$7),((AL$7-$K89)/($L89-$K89)))</f>
        <v>1</v>
      </c>
      <c r="AN89" s="201">
        <f t="array" ref="AN89">_xlfn.IFS(AND($K89&gt;AM$7,$L89&gt;AM$7),0,AND($K89&lt;=AM$7,$L89&lt;=AM$7),1,AND($K89&lt;=AM$7,$L89&gt;AM$7),((AM$7-$K89)/($L89-$K89)))</f>
        <v>1</v>
      </c>
      <c r="AO89" s="201">
        <f t="array" ref="AO89">_xlfn.IFS(AND($K89&gt;AN$7,$L89&gt;AN$7),0,AND($K89&lt;=AN$7,$L89&lt;=AN$7),1,AND($K89&lt;=AN$7,$L89&gt;AN$7),((AN$7-$K89)/($L89-$K89)))</f>
        <v>1</v>
      </c>
      <c r="AP89" s="201">
        <f t="array" ref="AP89">_xlfn.IFS(AND($K89&gt;AO$7,$L89&gt;AO$7),0,AND($K89&lt;=AO$7,$L89&lt;=AO$7),1,AND($K89&lt;=AO$7,$L89&gt;AO$7),((AO$7-$K89)/($L89-$K89)))</f>
        <v>1</v>
      </c>
      <c r="AQ89" s="201">
        <f t="array" ref="AQ89">_xlfn.IFS(AND($K89&gt;AP$7,$L89&gt;AP$7),0,AND($K89&lt;=AP$7,$L89&lt;=AP$7),1,AND($K89&lt;=AP$7,$L89&gt;AP$7),((AP$7-$K89)/($L89-$K89)))</f>
        <v>1</v>
      </c>
      <c r="AR89" s="201">
        <f t="array" ref="AR89">_xlfn.IFS(AND($K89&gt;AQ$7,$L89&gt;AQ$7),0,AND($K89&lt;=AQ$7,$L89&lt;=AQ$7),1,AND($K89&lt;=AQ$7,$L89&gt;AQ$7),((AQ$7-$K89)/($L89-$K89)))</f>
        <v>1</v>
      </c>
      <c r="AS89" s="201">
        <f t="array" ref="AS89">_xlfn.IFS(AND($K89&gt;AR$7,$L89&gt;AR$7),0,AND($K89&lt;=AR$7,$L89&lt;=AR$7),1,AND($K89&lt;=AR$7,$L89&gt;AR$7),((AR$7-$K89)/($L89-$K89)))</f>
        <v>1</v>
      </c>
      <c r="AT89" s="201">
        <f t="array" ref="AT89">_xlfn.IFS(AND($K89&gt;AS$7,$L89&gt;AS$7),0,AND($K89&lt;=AS$7,$L89&lt;=AS$7),1,AND($K89&lt;=AS$7,$L89&gt;AS$7),((AS$7-$K89)/($L89-$K89)))</f>
        <v>1</v>
      </c>
      <c r="AU89" s="201">
        <f t="array" ref="AU89">_xlfn.IFS(AND($K89&gt;AT$7,$L89&gt;AT$7),0,AND($K89&lt;=AT$7,$L89&lt;=AT$7),1,AND($K89&lt;=AT$7,$L89&gt;AT$7),((AT$7-$K89)/($L89-$K89)))</f>
        <v>1</v>
      </c>
      <c r="AV89" s="201">
        <f t="array" ref="AV89">_xlfn.IFS(AND($K89&gt;AU$7,$L89&gt;AU$7),0,AND($K89&lt;=AU$7,$L89&lt;=AU$7),1,AND($K89&lt;=AU$7,$L89&gt;AU$7),((AU$7-$K89)/($L89-$K89)))</f>
        <v>1</v>
      </c>
      <c r="AW89" s="201">
        <f t="array" ref="AW89">_xlfn.IFS(AND($K89&gt;AV$7,$L89&gt;AV$7),0,AND($K89&lt;=AV$7,$L89&lt;=AV$7),1,AND($K89&lt;=AV$7,$L89&gt;AV$7),((AV$7-$K89)/($L89-$K89)))</f>
        <v>1</v>
      </c>
      <c r="AX89" s="201">
        <f t="array" ref="AX89">_xlfn.IFS(AND($K89&gt;AW$7,$L89&gt;AW$7),0,AND($K89&lt;=AW$7,$L89&lt;=AW$7),1,AND($K89&lt;=AW$7,$L89&gt;AW$7),((AW$7-$K89)/($L89-$K89)))</f>
        <v>1</v>
      </c>
      <c r="AY89" s="201">
        <f t="array" ref="AY89">_xlfn.IFS(AND($K89&gt;AX$7,$L89&gt;AX$7),0,AND($K89&lt;=AX$7,$L89&lt;=AX$7),1,AND($K89&lt;=AX$7,$L89&gt;AX$7),((AX$7-$K89)/($L89-$K89)))</f>
        <v>1</v>
      </c>
      <c r="AZ89" s="201">
        <f t="array" ref="AZ89">_xlfn.IFS(AND($K89&gt;AY$7,$L89&gt;AY$7),0,AND($K89&lt;=AY$7,$L89&lt;=AY$7),1,AND($K89&lt;=AY$7,$L89&gt;AY$7),((AY$7-$K89)/($L89-$K89)))</f>
        <v>1</v>
      </c>
      <c r="BA89" s="201">
        <f t="array" ref="BA89">_xlfn.IFS(AND($K89&gt;AZ$7,$L89&gt;AZ$7),0,AND($K89&lt;=AZ$7,$L89&lt;=AZ$7),1,AND($K89&lt;=AZ$7,$L89&gt;AZ$7),((AZ$7-$K89)/($L89-$K89)))</f>
        <v>1</v>
      </c>
      <c r="BB89" s="201">
        <f t="array" ref="BB89">_xlfn.IFS(AND($K89&gt;BA$7,$L89&gt;BA$7),0,AND($K89&lt;=BA$7,$L89&lt;=BA$7),1,AND($K89&lt;=BA$7,$L89&gt;BA$7),((BA$7-$K89)/($L89-$K89)))</f>
        <v>1</v>
      </c>
      <c r="BC89" s="201">
        <f t="array" ref="BC89">_xlfn.IFS(AND($K89&gt;BB$7,$L89&gt;BB$7),0,AND($K89&lt;=BB$7,$L89&lt;=BB$7),1,AND($K89&lt;=BB$7,$L89&gt;BB$7),((BB$7-$K89)/($L89-$K89)))</f>
        <v>1</v>
      </c>
      <c r="BD89" s="201">
        <f t="array" ref="BD89">_xlfn.IFS(AND($K89&gt;BC$7,$L89&gt;BC$7),0,AND($K89&lt;=BC$7,$L89&lt;=BC$7),1,AND($K89&lt;=BC$7,$L89&gt;BC$7),((BC$7-$K89)/($L89-$K89)))</f>
        <v>1</v>
      </c>
      <c r="BE89" s="201">
        <f t="array" ref="BE89">_xlfn.IFS(AND($K89&gt;BD$7,$L89&gt;BD$7),0,AND($K89&lt;=BD$7,$L89&lt;=BD$7),1,AND($K89&lt;=BD$7,$L89&gt;BD$7),((BD$7-$K89)/($L89-$K89)))</f>
        <v>1</v>
      </c>
      <c r="BF89" s="201">
        <f t="array" ref="BF89">_xlfn.IFS(AND($K89&gt;BE$7,$L89&gt;BE$7),0,AND($K89&lt;=BE$7,$L89&lt;=BE$7),1,AND($K89&lt;=BE$7,$L89&gt;BE$7),((BE$7-$K89)/($L89-$K89)))</f>
        <v>1</v>
      </c>
      <c r="BG89" s="201">
        <f t="array" ref="BG89">_xlfn.IFS(AND($K89&gt;BF$7,$L89&gt;BF$7),0,AND($K89&lt;=BF$7,$L89&lt;=BF$7),1,AND($K89&lt;=BF$7,$L89&gt;BF$7),((BF$7-$K89)/($L89-$K89)))</f>
        <v>1</v>
      </c>
      <c r="BH89" s="201">
        <f t="array" ref="BH89">_xlfn.IFS(AND($K89&gt;BG$7,$L89&gt;BG$7),0,AND($K89&lt;=BG$7,$L89&lt;=BG$7),1,AND($K89&lt;=BG$7,$L89&gt;BG$7),((BG$7-$K89)/($L89-$K89)))</f>
        <v>1</v>
      </c>
      <c r="BI89" s="201">
        <f t="array" ref="BI89">_xlfn.IFS(AND($K89&gt;BH$7,$L89&gt;BH$7),0,AND($K89&lt;=BH$7,$L89&lt;=BH$7),1,AND($K89&lt;=BH$7,$L89&gt;BH$7),((BH$7-$K89)/($L89-$K89)))</f>
        <v>1</v>
      </c>
      <c r="BJ89" s="201">
        <f t="array" ref="BJ89">_xlfn.IFS(AND($K89&gt;BI$7,$L89&gt;BI$7),0,AND($K89&lt;=BI$7,$L89&lt;=BI$7),1,AND($K89&lt;=BI$7,$L89&gt;BI$7),((BI$7-$K89)/($L89-$K89)))</f>
        <v>1</v>
      </c>
      <c r="BK89" s="201">
        <f t="array" ref="BK89">_xlfn.IFS(AND($K89&gt;BJ$7,$L89&gt;BJ$7),0,AND($K89&lt;=BJ$7,$L89&lt;=BJ$7),1,AND($K89&lt;=BJ$7,$L89&gt;BJ$7),((BJ$7-$K89)/($L89-$K89)))</f>
        <v>1</v>
      </c>
      <c r="BL89" s="201">
        <f t="array" ref="BL89">_xlfn.IFS(AND($K89&gt;BK$7,$L89&gt;BK$7),0,AND($K89&lt;=BK$7,$L89&lt;=BK$7),1,AND($K89&lt;=BK$7,$L89&gt;BK$7),((BK$7-$K89)/($L89-$K89)))</f>
        <v>1</v>
      </c>
      <c r="BM89" s="201">
        <f t="array" ref="BM89">_xlfn.IFS(AND($K89&gt;BL$7,$L89&gt;BL$7),0,AND($K89&lt;=BL$7,$L89&lt;=BL$7),1,AND($K89&lt;=BL$7,$L89&gt;BL$7),((BL$7-$K89)/($L89-$K89)))</f>
        <v>1</v>
      </c>
      <c r="BN89" s="201">
        <f t="array" ref="BN89">_xlfn.IFS(AND($K89&gt;BM$7,$L89&gt;BM$7),0,AND($K89&lt;=BM$7,$L89&lt;=BM$7),1,AND($K89&lt;=BM$7,$L89&gt;BM$7),((BM$7-$K89)/($L89-$K89)))</f>
        <v>1</v>
      </c>
    </row>
    <row r="90" spans="2:66" s="163" customFormat="1" x14ac:dyDescent="0.3">
      <c r="B90" s="166" t="s">
        <v>161</v>
      </c>
      <c r="C90" s="166" t="s">
        <v>227</v>
      </c>
      <c r="D90" s="177"/>
      <c r="E90" s="170" t="str">
        <f t="shared" si="42"/>
        <v>Desenvolvimento da Transformação dos Processos</v>
      </c>
      <c r="F90" s="174" t="str">
        <f t="shared" si="39"/>
        <v>Modelagem To Be</v>
      </c>
      <c r="G90" s="166" t="str">
        <f t="shared" si="43"/>
        <v>Modelagem To Be</v>
      </c>
      <c r="H90" s="197" t="s">
        <v>228</v>
      </c>
      <c r="I90" s="166">
        <v>45845</v>
      </c>
      <c r="J90" s="166">
        <v>45849</v>
      </c>
      <c r="K90" s="166">
        <v>45845</v>
      </c>
      <c r="L90" s="166">
        <v>45849</v>
      </c>
      <c r="M90" s="167"/>
      <c r="N90" s="167" t="str">
        <f t="array" ref="N90">_xlfn.IFS(L90&lt;$M$3,"Concluído",AND(K90&gt;=$M$3,I90&lt;$M$3,L90&gt;$M$3),"Em andamento",AND(L90&gt;=$M$3,J90&lt;$M$3),"Atrasado",AND(L90&gt;=$M$3,J90&gt;=$M$3,I90&gt;$M$3,K90&lt;=$M$3),"Em andamento",AND(L90&gt;=$M$3,J90&gt;=$M$3,I90&lt;=$M$3,K90&lt;=$M$3),"Em andamento",AND(K90&gt;$M$3,I90&gt;$M$3),"Não iniciado",AND(L90&gt;=$M$3,J90&gt;=$M$3,K90&gt;=$M$3,I90&lt;$M$3),"Atrasado",AND(L90&gt;=$M$3,J90&gt;=$M$3,K90&gt;=$M$3,I90&gt;$M$3),"Não iniciado",AND($I90&lt;=$M$3,$K90&gt;$M$3),"Atrasado")</f>
        <v>Concluído</v>
      </c>
      <c r="O90" s="167">
        <f t="array" ref="O90">_xlfn.IFS(N90="Não iniciado",0,N90="Em andamento",1,N90="Concluído",2,N90="Atrasado",3)</f>
        <v>2</v>
      </c>
      <c r="P90" s="169"/>
      <c r="Q90" s="152">
        <f t="array" ref="Q90">_xlfn.IFS(AND($I90&lt;$M$3,$J90&lt;$M$3),1,AND($I90&lt;$M$3,$J90&gt;=$M$3),0.5,AND($I90&gt;=$M$3,$J90&gt;=$M$3),0)</f>
        <v>1</v>
      </c>
      <c r="R90" s="152">
        <f t="array" ref="R90">_xlfn.IFS(AND($K90&lt;$M$3,$L90&lt;$M$3),1,AND($K90&lt;=$M$3,$L90&gt;=$M$3),0.5,AND($K90&gt;=$M$3,$L90&gt;=$M$3),0)</f>
        <v>1</v>
      </c>
      <c r="S90" s="201">
        <f t="array" ref="S90">_xlfn.IFS(AND($K90&gt;R$7,$L90&gt;R$7),0,AND($K90&lt;=R$7,$L90&lt;=R$7),1,AND($K90&lt;=R$7,$L90&gt;R$7),((R$7-$K90)/($L90-$K90)))</f>
        <v>0</v>
      </c>
      <c r="T90" s="201">
        <f t="array" ref="T90">_xlfn.IFS(AND($K90&gt;S$7,$L90&gt;S$7),0,AND($K90&lt;=S$7,$L90&lt;=S$7),1,AND($K90&lt;=S$7,$L90&gt;S$7),((S$7-$K90)/($L90-$K90)))</f>
        <v>0</v>
      </c>
      <c r="U90" s="201">
        <f t="array" ref="U90">_xlfn.IFS(AND($K90&gt;T$7,$L90&gt;T$7),0,AND($K90&lt;=T$7,$L90&lt;=T$7),1,AND($K90&lt;=T$7,$L90&gt;T$7),((T$7-$K90)/($L90-$K90)))</f>
        <v>0</v>
      </c>
      <c r="V90" s="201">
        <f t="array" ref="V90">_xlfn.IFS(AND($K90&gt;U$7,$L90&gt;U$7),0,AND($K90&lt;=U$7,$L90&lt;=U$7),1,AND($K90&lt;=U$7,$L90&gt;U$7),((U$7-$K90)/($L90-$K90)))</f>
        <v>0</v>
      </c>
      <c r="W90" s="201">
        <f t="array" ref="W90">_xlfn.IFS(AND($K90&gt;V$7,$L90&gt;V$7),0,AND($K90&lt;=V$7,$L90&lt;=V$7),1,AND($K90&lt;=V$7,$L90&gt;V$7),((V$7-$K90)/($L90-$K90)))</f>
        <v>0</v>
      </c>
      <c r="X90" s="201">
        <f t="array" ref="X90">_xlfn.IFS(AND($K90&gt;W$7,$L90&gt;W$7),0,AND($K90&lt;=W$7,$L90&lt;=W$7),1,AND($K90&lt;=W$7,$L90&gt;W$7),((W$7-$K90)/($L90-$K90)))</f>
        <v>0</v>
      </c>
      <c r="Y90" s="201">
        <f t="array" ref="Y90">_xlfn.IFS(AND($K90&gt;X$7,$L90&gt;X$7),0,AND($K90&lt;=X$7,$L90&lt;=X$7),1,AND($K90&lt;=X$7,$L90&gt;X$7),((X$7-$K90)/($L90-$K90)))</f>
        <v>0</v>
      </c>
      <c r="Z90" s="201">
        <f t="array" ref="Z90">_xlfn.IFS(AND($K90&gt;Y$7,$L90&gt;Y$7),0,AND($K90&lt;=Y$7,$L90&lt;=Y$7),1,AND($K90&lt;=Y$7,$L90&gt;Y$7),((Y$7-$K90)/($L90-$K90)))</f>
        <v>0</v>
      </c>
      <c r="AA90" s="201">
        <f t="array" ref="AA90">_xlfn.IFS(AND($K90&gt;Z$7,$L90&gt;Z$7),0,AND($K90&lt;=Z$7,$L90&lt;=Z$7),1,AND($K90&lt;=Z$7,$L90&gt;Z$7),((Z$7-$K90)/($L90-$K90)))</f>
        <v>0</v>
      </c>
      <c r="AB90" s="201">
        <f t="array" ref="AB90">_xlfn.IFS(AND($K90&gt;AA$7,$L90&gt;AA$7),0,AND($K90&lt;=AA$7,$L90&lt;=AA$7),1,AND($K90&lt;=AA$7,$L90&gt;AA$7),((AA$7-$K90)/($L90-$K90)))</f>
        <v>0</v>
      </c>
      <c r="AC90" s="201">
        <f t="array" ref="AC90">_xlfn.IFS(AND($K90&gt;AB$7,$L90&gt;AB$7),0,AND($K90&lt;=AB$7,$L90&lt;=AB$7),1,AND($K90&lt;=AB$7,$L90&gt;AB$7),((AB$7-$K90)/($L90-$K90)))</f>
        <v>0</v>
      </c>
      <c r="AD90" s="201">
        <f t="array" ref="AD90">_xlfn.IFS(AND($K90&gt;AC$7,$L90&gt;AC$7),0,AND($K90&lt;=AC$7,$L90&lt;=AC$7),1,AND($K90&lt;=AC$7,$L90&gt;AC$7),((AC$7-$K90)/($L90-$K90)))</f>
        <v>0</v>
      </c>
      <c r="AE90" s="201">
        <f t="array" ref="AE90">_xlfn.IFS(AND($K90&gt;AD$7,$L90&gt;AD$7),0,AND($K90&lt;=AD$7,$L90&lt;=AD$7),1,AND($K90&lt;=AD$7,$L90&gt;AD$7),((AD$7-$K90)/($L90-$K90)))</f>
        <v>0</v>
      </c>
      <c r="AF90" s="201">
        <f t="array" ref="AF90">_xlfn.IFS(AND($K90&gt;AE$7,$L90&gt;AE$7),0,AND($K90&lt;=AE$7,$L90&lt;=AE$7),1,AND($K90&lt;=AE$7,$L90&gt;AE$7),((AE$7-$K90)/($L90-$K90)))</f>
        <v>0</v>
      </c>
      <c r="AG90" s="201">
        <f t="array" ref="AG90">_xlfn.IFS(AND($K90&gt;AF$7,$L90&gt;AF$7),0,AND($K90&lt;=AF$7,$L90&lt;=AF$7),1,AND($K90&lt;=AF$7,$L90&gt;AF$7),((AF$7-$K90)/($L90-$K90)))</f>
        <v>0</v>
      </c>
      <c r="AH90" s="201">
        <f t="array" ref="AH90">_xlfn.IFS(AND($K90&gt;AG$7,$L90&gt;AG$7),0,AND($K90&lt;=AG$7,$L90&lt;=AG$7),1,AND($K90&lt;=AG$7,$L90&gt;AG$7),((AG$7-$K90)/($L90-$K90)))</f>
        <v>0</v>
      </c>
      <c r="AI90" s="201">
        <f t="array" ref="AI90">_xlfn.IFS(AND($K90&gt;AH$7,$L90&gt;AH$7),0,AND($K90&lt;=AH$7,$L90&lt;=AH$7),1,AND($K90&lt;=AH$7,$L90&gt;AH$7),((AH$7-$K90)/($L90-$K90)))</f>
        <v>0</v>
      </c>
      <c r="AJ90" s="201">
        <f t="array" ref="AJ90">_xlfn.IFS(AND($K90&gt;AI$7,$L90&gt;AI$7),0,AND($K90&lt;=AI$7,$L90&lt;=AI$7),1,AND($K90&lt;=AI$7,$L90&gt;AI$7),((AI$7-$K90)/($L90-$K90)))</f>
        <v>0</v>
      </c>
      <c r="AK90" s="201">
        <f t="array" ref="AK90">_xlfn.IFS(AND($K90&gt;AJ$7,$L90&gt;AJ$7),0,AND($K90&lt;=AJ$7,$L90&lt;=AJ$7),1,AND($K90&lt;=AJ$7,$L90&gt;AJ$7),((AJ$7-$K90)/($L90-$K90)))</f>
        <v>0</v>
      </c>
      <c r="AL90" s="201">
        <f t="array" ref="AL90">_xlfn.IFS(AND($K90&gt;AK$7,$L90&gt;AK$7),0,AND($K90&lt;=AK$7,$L90&lt;=AK$7),1,AND($K90&lt;=AK$7,$L90&gt;AK$7),((AK$7-$K90)/($L90-$K90)))</f>
        <v>0</v>
      </c>
      <c r="AM90" s="201">
        <f t="array" ref="AM90">_xlfn.IFS(AND($K90&gt;AL$7,$L90&gt;AL$7),0,AND($K90&lt;=AL$7,$L90&lt;=AL$7),1,AND($K90&lt;=AL$7,$L90&gt;AL$7),((AL$7-$K90)/($L90-$K90)))</f>
        <v>0</v>
      </c>
      <c r="AN90" s="201">
        <f t="array" ref="AN90">_xlfn.IFS(AND($K90&gt;AM$7,$L90&gt;AM$7),0,AND($K90&lt;=AM$7,$L90&lt;=AM$7),1,AND($K90&lt;=AM$7,$L90&gt;AM$7),((AM$7-$K90)/($L90-$K90)))</f>
        <v>0</v>
      </c>
      <c r="AO90" s="201">
        <f t="array" ref="AO90">_xlfn.IFS(AND($K90&gt;AN$7,$L90&gt;AN$7),0,AND($K90&lt;=AN$7,$L90&lt;=AN$7),1,AND($K90&lt;=AN$7,$L90&gt;AN$7),((AN$7-$K90)/($L90-$K90)))</f>
        <v>0</v>
      </c>
      <c r="AP90" s="201">
        <f t="array" ref="AP90">_xlfn.IFS(AND($K90&gt;AO$7,$L90&gt;AO$7),0,AND($K90&lt;=AO$7,$L90&lt;=AO$7),1,AND($K90&lt;=AO$7,$L90&gt;AO$7),((AO$7-$K90)/($L90-$K90)))</f>
        <v>1</v>
      </c>
      <c r="AQ90" s="201">
        <f t="array" ref="AQ90">_xlfn.IFS(AND($K90&gt;AP$7,$L90&gt;AP$7),0,AND($K90&lt;=AP$7,$L90&lt;=AP$7),1,AND($K90&lt;=AP$7,$L90&gt;AP$7),((AP$7-$K90)/($L90-$K90)))</f>
        <v>1</v>
      </c>
      <c r="AR90" s="201">
        <f t="array" ref="AR90">_xlfn.IFS(AND($K90&gt;AQ$7,$L90&gt;AQ$7),0,AND($K90&lt;=AQ$7,$L90&lt;=AQ$7),1,AND($K90&lt;=AQ$7,$L90&gt;AQ$7),((AQ$7-$K90)/($L90-$K90)))</f>
        <v>1</v>
      </c>
      <c r="AS90" s="201">
        <f t="array" ref="AS90">_xlfn.IFS(AND($K90&gt;AR$7,$L90&gt;AR$7),0,AND($K90&lt;=AR$7,$L90&lt;=AR$7),1,AND($K90&lt;=AR$7,$L90&gt;AR$7),((AR$7-$K90)/($L90-$K90)))</f>
        <v>1</v>
      </c>
      <c r="AT90" s="201">
        <f t="array" ref="AT90">_xlfn.IFS(AND($K90&gt;AS$7,$L90&gt;AS$7),0,AND($K90&lt;=AS$7,$L90&lt;=AS$7),1,AND($K90&lt;=AS$7,$L90&gt;AS$7),((AS$7-$K90)/($L90-$K90)))</f>
        <v>1</v>
      </c>
      <c r="AU90" s="201">
        <f t="array" ref="AU90">_xlfn.IFS(AND($K90&gt;AT$7,$L90&gt;AT$7),0,AND($K90&lt;=AT$7,$L90&lt;=AT$7),1,AND($K90&lt;=AT$7,$L90&gt;AT$7),((AT$7-$K90)/($L90-$K90)))</f>
        <v>1</v>
      </c>
      <c r="AV90" s="201">
        <f t="array" ref="AV90">_xlfn.IFS(AND($K90&gt;AU$7,$L90&gt;AU$7),0,AND($K90&lt;=AU$7,$L90&lt;=AU$7),1,AND($K90&lt;=AU$7,$L90&gt;AU$7),((AU$7-$K90)/($L90-$K90)))</f>
        <v>1</v>
      </c>
      <c r="AW90" s="201">
        <f t="array" ref="AW90">_xlfn.IFS(AND($K90&gt;AV$7,$L90&gt;AV$7),0,AND($K90&lt;=AV$7,$L90&lt;=AV$7),1,AND($K90&lt;=AV$7,$L90&gt;AV$7),((AV$7-$K90)/($L90-$K90)))</f>
        <v>1</v>
      </c>
      <c r="AX90" s="201">
        <f t="array" ref="AX90">_xlfn.IFS(AND($K90&gt;AW$7,$L90&gt;AW$7),0,AND($K90&lt;=AW$7,$L90&lt;=AW$7),1,AND($K90&lt;=AW$7,$L90&gt;AW$7),((AW$7-$K90)/($L90-$K90)))</f>
        <v>1</v>
      </c>
      <c r="AY90" s="201">
        <f t="array" ref="AY90">_xlfn.IFS(AND($K90&gt;AX$7,$L90&gt;AX$7),0,AND($K90&lt;=AX$7,$L90&lt;=AX$7),1,AND($K90&lt;=AX$7,$L90&gt;AX$7),((AX$7-$K90)/($L90-$K90)))</f>
        <v>1</v>
      </c>
      <c r="AZ90" s="201">
        <f t="array" ref="AZ90">_xlfn.IFS(AND($K90&gt;AY$7,$L90&gt;AY$7),0,AND($K90&lt;=AY$7,$L90&lt;=AY$7),1,AND($K90&lt;=AY$7,$L90&gt;AY$7),((AY$7-$K90)/($L90-$K90)))</f>
        <v>1</v>
      </c>
      <c r="BA90" s="201">
        <f t="array" ref="BA90">_xlfn.IFS(AND($K90&gt;AZ$7,$L90&gt;AZ$7),0,AND($K90&lt;=AZ$7,$L90&lt;=AZ$7),1,AND($K90&lt;=AZ$7,$L90&gt;AZ$7),((AZ$7-$K90)/($L90-$K90)))</f>
        <v>1</v>
      </c>
      <c r="BB90" s="201">
        <f t="array" ref="BB90">_xlfn.IFS(AND($K90&gt;BA$7,$L90&gt;BA$7),0,AND($K90&lt;=BA$7,$L90&lt;=BA$7),1,AND($K90&lt;=BA$7,$L90&gt;BA$7),((BA$7-$K90)/($L90-$K90)))</f>
        <v>1</v>
      </c>
      <c r="BC90" s="201">
        <f t="array" ref="BC90">_xlfn.IFS(AND($K90&gt;BB$7,$L90&gt;BB$7),0,AND($K90&lt;=BB$7,$L90&lt;=BB$7),1,AND($K90&lt;=BB$7,$L90&gt;BB$7),((BB$7-$K90)/($L90-$K90)))</f>
        <v>1</v>
      </c>
      <c r="BD90" s="201">
        <f t="array" ref="BD90">_xlfn.IFS(AND($K90&gt;BC$7,$L90&gt;BC$7),0,AND($K90&lt;=BC$7,$L90&lt;=BC$7),1,AND($K90&lt;=BC$7,$L90&gt;BC$7),((BC$7-$K90)/($L90-$K90)))</f>
        <v>1</v>
      </c>
      <c r="BE90" s="201">
        <f t="array" ref="BE90">_xlfn.IFS(AND($K90&gt;BD$7,$L90&gt;BD$7),0,AND($K90&lt;=BD$7,$L90&lt;=BD$7),1,AND($K90&lt;=BD$7,$L90&gt;BD$7),((BD$7-$K90)/($L90-$K90)))</f>
        <v>1</v>
      </c>
      <c r="BF90" s="201">
        <f t="array" ref="BF90">_xlfn.IFS(AND($K90&gt;BE$7,$L90&gt;BE$7),0,AND($K90&lt;=BE$7,$L90&lt;=BE$7),1,AND($K90&lt;=BE$7,$L90&gt;BE$7),((BE$7-$K90)/($L90-$K90)))</f>
        <v>1</v>
      </c>
      <c r="BG90" s="201">
        <f t="array" ref="BG90">_xlfn.IFS(AND($K90&gt;BF$7,$L90&gt;BF$7),0,AND($K90&lt;=BF$7,$L90&lt;=BF$7),1,AND($K90&lt;=BF$7,$L90&gt;BF$7),((BF$7-$K90)/($L90-$K90)))</f>
        <v>1</v>
      </c>
      <c r="BH90" s="201">
        <f t="array" ref="BH90">_xlfn.IFS(AND($K90&gt;BG$7,$L90&gt;BG$7),0,AND($K90&lt;=BG$7,$L90&lt;=BG$7),1,AND($K90&lt;=BG$7,$L90&gt;BG$7),((BG$7-$K90)/($L90-$K90)))</f>
        <v>1</v>
      </c>
      <c r="BI90" s="201">
        <f t="array" ref="BI90">_xlfn.IFS(AND($K90&gt;BH$7,$L90&gt;BH$7),0,AND($K90&lt;=BH$7,$L90&lt;=BH$7),1,AND($K90&lt;=BH$7,$L90&gt;BH$7),((BH$7-$K90)/($L90-$K90)))</f>
        <v>1</v>
      </c>
      <c r="BJ90" s="201">
        <f t="array" ref="BJ90">_xlfn.IFS(AND($K90&gt;BI$7,$L90&gt;BI$7),0,AND($K90&lt;=BI$7,$L90&lt;=BI$7),1,AND($K90&lt;=BI$7,$L90&gt;BI$7),((BI$7-$K90)/($L90-$K90)))</f>
        <v>1</v>
      </c>
      <c r="BK90" s="201">
        <f t="array" ref="BK90">_xlfn.IFS(AND($K90&gt;BJ$7,$L90&gt;BJ$7),0,AND($K90&lt;=BJ$7,$L90&lt;=BJ$7),1,AND($K90&lt;=BJ$7,$L90&gt;BJ$7),((BJ$7-$K90)/($L90-$K90)))</f>
        <v>1</v>
      </c>
      <c r="BL90" s="201">
        <f t="array" ref="BL90">_xlfn.IFS(AND($K90&gt;BK$7,$L90&gt;BK$7),0,AND($K90&lt;=BK$7,$L90&lt;=BK$7),1,AND($K90&lt;=BK$7,$L90&gt;BK$7),((BK$7-$K90)/($L90-$K90)))</f>
        <v>1</v>
      </c>
      <c r="BM90" s="201">
        <f t="array" ref="BM90">_xlfn.IFS(AND($K90&gt;BL$7,$L90&gt;BL$7),0,AND($K90&lt;=BL$7,$L90&lt;=BL$7),1,AND($K90&lt;=BL$7,$L90&gt;BL$7),((BL$7-$K90)/($L90-$K90)))</f>
        <v>1</v>
      </c>
      <c r="BN90" s="201">
        <f t="array" ref="BN90">_xlfn.IFS(AND($K90&gt;BM$7,$L90&gt;BM$7),0,AND($K90&lt;=BM$7,$L90&lt;=BM$7),1,AND($K90&lt;=BM$7,$L90&gt;BM$7),((BM$7-$K90)/($L90-$K90)))</f>
        <v>1</v>
      </c>
    </row>
    <row r="91" spans="2:66" s="163" customFormat="1" x14ac:dyDescent="0.3">
      <c r="B91" s="166" t="s">
        <v>161</v>
      </c>
      <c r="C91" s="166" t="s">
        <v>229</v>
      </c>
      <c r="D91" s="177"/>
      <c r="E91" s="170" t="str">
        <f t="shared" si="42"/>
        <v>Desenvolvimento da Transformação dos Processos</v>
      </c>
      <c r="F91" s="174" t="str">
        <f t="shared" si="39"/>
        <v>Modelagem To Be</v>
      </c>
      <c r="G91" s="166" t="str">
        <f t="shared" si="43"/>
        <v>Modelagem To Be</v>
      </c>
      <c r="H91" s="197" t="s">
        <v>230</v>
      </c>
      <c r="I91" s="166">
        <v>45845</v>
      </c>
      <c r="J91" s="166">
        <v>45849</v>
      </c>
      <c r="K91" s="166">
        <v>45845</v>
      </c>
      <c r="L91" s="166">
        <v>45849</v>
      </c>
      <c r="M91" s="167"/>
      <c r="N91" s="167" t="str">
        <f t="array" ref="N91">_xlfn.IFS(L91&lt;$M$3,"Concluído",AND(K91&gt;=$M$3,I91&lt;$M$3,L91&gt;$M$3),"Em andamento",AND(L91&gt;=$M$3,J91&lt;$M$3),"Atrasado",AND(L91&gt;=$M$3,J91&gt;=$M$3,I91&gt;$M$3,K91&lt;=$M$3),"Em andamento",AND(L91&gt;=$M$3,J91&gt;=$M$3,I91&lt;=$M$3,K91&lt;=$M$3),"Em andamento",AND(K91&gt;$M$3,I91&gt;$M$3),"Não iniciado",AND(L91&gt;=$M$3,J91&gt;=$M$3,K91&gt;=$M$3,I91&lt;$M$3),"Atrasado",AND(L91&gt;=$M$3,J91&gt;=$M$3,K91&gt;=$M$3,I91&gt;$M$3),"Não iniciado",AND($I91&lt;=$M$3,$K91&gt;$M$3),"Atrasado")</f>
        <v>Concluído</v>
      </c>
      <c r="O91" s="167">
        <f t="array" ref="O91">_xlfn.IFS(N91="Não iniciado",0,N91="Em andamento",1,N91="Concluído",2,N91="Atrasado",3)</f>
        <v>2</v>
      </c>
      <c r="P91" s="169"/>
      <c r="Q91" s="152">
        <f t="array" ref="Q91">_xlfn.IFS(AND($I91&lt;$M$3,$J91&lt;$M$3),1,AND($I91&lt;$M$3,$J91&gt;=$M$3),0.5,AND($I91&gt;=$M$3,$J91&gt;=$M$3),0)</f>
        <v>1</v>
      </c>
      <c r="R91" s="152">
        <f t="array" ref="R91">_xlfn.IFS(AND($K91&lt;$M$3,$L91&lt;$M$3),1,AND($K91&lt;=$M$3,$L91&gt;=$M$3),0.5,AND($K91&gt;=$M$3,$L91&gt;=$M$3),0)</f>
        <v>1</v>
      </c>
      <c r="S91" s="201">
        <f t="array" ref="S91">_xlfn.IFS(AND($K91&gt;R$7,$L91&gt;R$7),0,AND($K91&lt;=R$7,$L91&lt;=R$7),1,AND($K91&lt;=R$7,$L91&gt;R$7),((R$7-$K91)/($L91-$K91)))</f>
        <v>0</v>
      </c>
      <c r="T91" s="201">
        <f t="array" ref="T91">_xlfn.IFS(AND($K91&gt;S$7,$L91&gt;S$7),0,AND($K91&lt;=S$7,$L91&lt;=S$7),1,AND($K91&lt;=S$7,$L91&gt;S$7),((S$7-$K91)/($L91-$K91)))</f>
        <v>0</v>
      </c>
      <c r="U91" s="201">
        <f t="array" ref="U91">_xlfn.IFS(AND($K91&gt;T$7,$L91&gt;T$7),0,AND($K91&lt;=T$7,$L91&lt;=T$7),1,AND($K91&lt;=T$7,$L91&gt;T$7),((T$7-$K91)/($L91-$K91)))</f>
        <v>0</v>
      </c>
      <c r="V91" s="201">
        <f t="array" ref="V91">_xlfn.IFS(AND($K91&gt;U$7,$L91&gt;U$7),0,AND($K91&lt;=U$7,$L91&lt;=U$7),1,AND($K91&lt;=U$7,$L91&gt;U$7),((U$7-$K91)/($L91-$K91)))</f>
        <v>0</v>
      </c>
      <c r="W91" s="201">
        <f t="array" ref="W91">_xlfn.IFS(AND($K91&gt;V$7,$L91&gt;V$7),0,AND($K91&lt;=V$7,$L91&lt;=V$7),1,AND($K91&lt;=V$7,$L91&gt;V$7),((V$7-$K91)/($L91-$K91)))</f>
        <v>0</v>
      </c>
      <c r="X91" s="201">
        <f t="array" ref="X91">_xlfn.IFS(AND($K91&gt;W$7,$L91&gt;W$7),0,AND($K91&lt;=W$7,$L91&lt;=W$7),1,AND($K91&lt;=W$7,$L91&gt;W$7),((W$7-$K91)/($L91-$K91)))</f>
        <v>0</v>
      </c>
      <c r="Y91" s="201">
        <f t="array" ref="Y91">_xlfn.IFS(AND($K91&gt;X$7,$L91&gt;X$7),0,AND($K91&lt;=X$7,$L91&lt;=X$7),1,AND($K91&lt;=X$7,$L91&gt;X$7),((X$7-$K91)/($L91-$K91)))</f>
        <v>0</v>
      </c>
      <c r="Z91" s="201">
        <f t="array" ref="Z91">_xlfn.IFS(AND($K91&gt;Y$7,$L91&gt;Y$7),0,AND($K91&lt;=Y$7,$L91&lt;=Y$7),1,AND($K91&lt;=Y$7,$L91&gt;Y$7),((Y$7-$K91)/($L91-$K91)))</f>
        <v>0</v>
      </c>
      <c r="AA91" s="201">
        <f t="array" ref="AA91">_xlfn.IFS(AND($K91&gt;Z$7,$L91&gt;Z$7),0,AND($K91&lt;=Z$7,$L91&lt;=Z$7),1,AND($K91&lt;=Z$7,$L91&gt;Z$7),((Z$7-$K91)/($L91-$K91)))</f>
        <v>0</v>
      </c>
      <c r="AB91" s="201">
        <f t="array" ref="AB91">_xlfn.IFS(AND($K91&gt;AA$7,$L91&gt;AA$7),0,AND($K91&lt;=AA$7,$L91&lt;=AA$7),1,AND($K91&lt;=AA$7,$L91&gt;AA$7),((AA$7-$K91)/($L91-$K91)))</f>
        <v>0</v>
      </c>
      <c r="AC91" s="201">
        <f t="array" ref="AC91">_xlfn.IFS(AND($K91&gt;AB$7,$L91&gt;AB$7),0,AND($K91&lt;=AB$7,$L91&lt;=AB$7),1,AND($K91&lt;=AB$7,$L91&gt;AB$7),((AB$7-$K91)/($L91-$K91)))</f>
        <v>0</v>
      </c>
      <c r="AD91" s="201">
        <f t="array" ref="AD91">_xlfn.IFS(AND($K91&gt;AC$7,$L91&gt;AC$7),0,AND($K91&lt;=AC$7,$L91&lt;=AC$7),1,AND($K91&lt;=AC$7,$L91&gt;AC$7),((AC$7-$K91)/($L91-$K91)))</f>
        <v>0</v>
      </c>
      <c r="AE91" s="201">
        <f t="array" ref="AE91">_xlfn.IFS(AND($K91&gt;AD$7,$L91&gt;AD$7),0,AND($K91&lt;=AD$7,$L91&lt;=AD$7),1,AND($K91&lt;=AD$7,$L91&gt;AD$7),((AD$7-$K91)/($L91-$K91)))</f>
        <v>0</v>
      </c>
      <c r="AF91" s="201">
        <f t="array" ref="AF91">_xlfn.IFS(AND($K91&gt;AE$7,$L91&gt;AE$7),0,AND($K91&lt;=AE$7,$L91&lt;=AE$7),1,AND($K91&lt;=AE$7,$L91&gt;AE$7),((AE$7-$K91)/($L91-$K91)))</f>
        <v>0</v>
      </c>
      <c r="AG91" s="201">
        <f t="array" ref="AG91">_xlfn.IFS(AND($K91&gt;AF$7,$L91&gt;AF$7),0,AND($K91&lt;=AF$7,$L91&lt;=AF$7),1,AND($K91&lt;=AF$7,$L91&gt;AF$7),((AF$7-$K91)/($L91-$K91)))</f>
        <v>0</v>
      </c>
      <c r="AH91" s="201">
        <f t="array" ref="AH91">_xlfn.IFS(AND($K91&gt;AG$7,$L91&gt;AG$7),0,AND($K91&lt;=AG$7,$L91&lt;=AG$7),1,AND($K91&lt;=AG$7,$L91&gt;AG$7),((AG$7-$K91)/($L91-$K91)))</f>
        <v>0</v>
      </c>
      <c r="AI91" s="201">
        <f t="array" ref="AI91">_xlfn.IFS(AND($K91&gt;AH$7,$L91&gt;AH$7),0,AND($K91&lt;=AH$7,$L91&lt;=AH$7),1,AND($K91&lt;=AH$7,$L91&gt;AH$7),((AH$7-$K91)/($L91-$K91)))</f>
        <v>0</v>
      </c>
      <c r="AJ91" s="201">
        <f t="array" ref="AJ91">_xlfn.IFS(AND($K91&gt;AI$7,$L91&gt;AI$7),0,AND($K91&lt;=AI$7,$L91&lt;=AI$7),1,AND($K91&lt;=AI$7,$L91&gt;AI$7),((AI$7-$K91)/($L91-$K91)))</f>
        <v>0</v>
      </c>
      <c r="AK91" s="201">
        <f t="array" ref="AK91">_xlfn.IFS(AND($K91&gt;AJ$7,$L91&gt;AJ$7),0,AND($K91&lt;=AJ$7,$L91&lt;=AJ$7),1,AND($K91&lt;=AJ$7,$L91&gt;AJ$7),((AJ$7-$K91)/($L91-$K91)))</f>
        <v>0</v>
      </c>
      <c r="AL91" s="201">
        <f t="array" ref="AL91">_xlfn.IFS(AND($K91&gt;AK$7,$L91&gt;AK$7),0,AND($K91&lt;=AK$7,$L91&lt;=AK$7),1,AND($K91&lt;=AK$7,$L91&gt;AK$7),((AK$7-$K91)/($L91-$K91)))</f>
        <v>0</v>
      </c>
      <c r="AM91" s="201">
        <f t="array" ref="AM91">_xlfn.IFS(AND($K91&gt;AL$7,$L91&gt;AL$7),0,AND($K91&lt;=AL$7,$L91&lt;=AL$7),1,AND($K91&lt;=AL$7,$L91&gt;AL$7),((AL$7-$K91)/($L91-$K91)))</f>
        <v>0</v>
      </c>
      <c r="AN91" s="201">
        <f t="array" ref="AN91">_xlfn.IFS(AND($K91&gt;AM$7,$L91&gt;AM$7),0,AND($K91&lt;=AM$7,$L91&lt;=AM$7),1,AND($K91&lt;=AM$7,$L91&gt;AM$7),((AM$7-$K91)/($L91-$K91)))</f>
        <v>0</v>
      </c>
      <c r="AO91" s="201">
        <f t="array" ref="AO91">_xlfn.IFS(AND($K91&gt;AN$7,$L91&gt;AN$7),0,AND($K91&lt;=AN$7,$L91&lt;=AN$7),1,AND($K91&lt;=AN$7,$L91&gt;AN$7),((AN$7-$K91)/($L91-$K91)))</f>
        <v>0</v>
      </c>
      <c r="AP91" s="201">
        <f t="array" ref="AP91">_xlfn.IFS(AND($K91&gt;AO$7,$L91&gt;AO$7),0,AND($K91&lt;=AO$7,$L91&lt;=AO$7),1,AND($K91&lt;=AO$7,$L91&gt;AO$7),((AO$7-$K91)/($L91-$K91)))</f>
        <v>1</v>
      </c>
      <c r="AQ91" s="201">
        <f t="array" ref="AQ91">_xlfn.IFS(AND($K91&gt;AP$7,$L91&gt;AP$7),0,AND($K91&lt;=AP$7,$L91&lt;=AP$7),1,AND($K91&lt;=AP$7,$L91&gt;AP$7),((AP$7-$K91)/($L91-$K91)))</f>
        <v>1</v>
      </c>
      <c r="AR91" s="201">
        <f t="array" ref="AR91">_xlfn.IFS(AND($K91&gt;AQ$7,$L91&gt;AQ$7),0,AND($K91&lt;=AQ$7,$L91&lt;=AQ$7),1,AND($K91&lt;=AQ$7,$L91&gt;AQ$7),((AQ$7-$K91)/($L91-$K91)))</f>
        <v>1</v>
      </c>
      <c r="AS91" s="201">
        <f t="array" ref="AS91">_xlfn.IFS(AND($K91&gt;AR$7,$L91&gt;AR$7),0,AND($K91&lt;=AR$7,$L91&lt;=AR$7),1,AND($K91&lt;=AR$7,$L91&gt;AR$7),((AR$7-$K91)/($L91-$K91)))</f>
        <v>1</v>
      </c>
      <c r="AT91" s="201">
        <f t="array" ref="AT91">_xlfn.IFS(AND($K91&gt;AS$7,$L91&gt;AS$7),0,AND($K91&lt;=AS$7,$L91&lt;=AS$7),1,AND($K91&lt;=AS$7,$L91&gt;AS$7),((AS$7-$K91)/($L91-$K91)))</f>
        <v>1</v>
      </c>
      <c r="AU91" s="201">
        <f t="array" ref="AU91">_xlfn.IFS(AND($K91&gt;AT$7,$L91&gt;AT$7),0,AND($K91&lt;=AT$7,$L91&lt;=AT$7),1,AND($K91&lt;=AT$7,$L91&gt;AT$7),((AT$7-$K91)/($L91-$K91)))</f>
        <v>1</v>
      </c>
      <c r="AV91" s="201">
        <f t="array" ref="AV91">_xlfn.IFS(AND($K91&gt;AU$7,$L91&gt;AU$7),0,AND($K91&lt;=AU$7,$L91&lt;=AU$7),1,AND($K91&lt;=AU$7,$L91&gt;AU$7),((AU$7-$K91)/($L91-$K91)))</f>
        <v>1</v>
      </c>
      <c r="AW91" s="201">
        <f t="array" ref="AW91">_xlfn.IFS(AND($K91&gt;AV$7,$L91&gt;AV$7),0,AND($K91&lt;=AV$7,$L91&lt;=AV$7),1,AND($K91&lt;=AV$7,$L91&gt;AV$7),((AV$7-$K91)/($L91-$K91)))</f>
        <v>1</v>
      </c>
      <c r="AX91" s="201">
        <f t="array" ref="AX91">_xlfn.IFS(AND($K91&gt;AW$7,$L91&gt;AW$7),0,AND($K91&lt;=AW$7,$L91&lt;=AW$7),1,AND($K91&lt;=AW$7,$L91&gt;AW$7),((AW$7-$K91)/($L91-$K91)))</f>
        <v>1</v>
      </c>
      <c r="AY91" s="201">
        <f t="array" ref="AY91">_xlfn.IFS(AND($K91&gt;AX$7,$L91&gt;AX$7),0,AND($K91&lt;=AX$7,$L91&lt;=AX$7),1,AND($K91&lt;=AX$7,$L91&gt;AX$7),((AX$7-$K91)/($L91-$K91)))</f>
        <v>1</v>
      </c>
      <c r="AZ91" s="201">
        <f t="array" ref="AZ91">_xlfn.IFS(AND($K91&gt;AY$7,$L91&gt;AY$7),0,AND($K91&lt;=AY$7,$L91&lt;=AY$7),1,AND($K91&lt;=AY$7,$L91&gt;AY$7),((AY$7-$K91)/($L91-$K91)))</f>
        <v>1</v>
      </c>
      <c r="BA91" s="201">
        <f t="array" ref="BA91">_xlfn.IFS(AND($K91&gt;AZ$7,$L91&gt;AZ$7),0,AND($K91&lt;=AZ$7,$L91&lt;=AZ$7),1,AND($K91&lt;=AZ$7,$L91&gt;AZ$7),((AZ$7-$K91)/($L91-$K91)))</f>
        <v>1</v>
      </c>
      <c r="BB91" s="201">
        <f t="array" ref="BB91">_xlfn.IFS(AND($K91&gt;BA$7,$L91&gt;BA$7),0,AND($K91&lt;=BA$7,$L91&lt;=BA$7),1,AND($K91&lt;=BA$7,$L91&gt;BA$7),((BA$7-$K91)/($L91-$K91)))</f>
        <v>1</v>
      </c>
      <c r="BC91" s="201">
        <f t="array" ref="BC91">_xlfn.IFS(AND($K91&gt;BB$7,$L91&gt;BB$7),0,AND($K91&lt;=BB$7,$L91&lt;=BB$7),1,AND($K91&lt;=BB$7,$L91&gt;BB$7),((BB$7-$K91)/($L91-$K91)))</f>
        <v>1</v>
      </c>
      <c r="BD91" s="201">
        <f t="array" ref="BD91">_xlfn.IFS(AND($K91&gt;BC$7,$L91&gt;BC$7),0,AND($K91&lt;=BC$7,$L91&lt;=BC$7),1,AND($K91&lt;=BC$7,$L91&gt;BC$7),((BC$7-$K91)/($L91-$K91)))</f>
        <v>1</v>
      </c>
      <c r="BE91" s="201">
        <f t="array" ref="BE91">_xlfn.IFS(AND($K91&gt;BD$7,$L91&gt;BD$7),0,AND($K91&lt;=BD$7,$L91&lt;=BD$7),1,AND($K91&lt;=BD$7,$L91&gt;BD$7),((BD$7-$K91)/($L91-$K91)))</f>
        <v>1</v>
      </c>
      <c r="BF91" s="201">
        <f t="array" ref="BF91">_xlfn.IFS(AND($K91&gt;BE$7,$L91&gt;BE$7),0,AND($K91&lt;=BE$7,$L91&lt;=BE$7),1,AND($K91&lt;=BE$7,$L91&gt;BE$7),((BE$7-$K91)/($L91-$K91)))</f>
        <v>1</v>
      </c>
      <c r="BG91" s="201">
        <f t="array" ref="BG91">_xlfn.IFS(AND($K91&gt;BF$7,$L91&gt;BF$7),0,AND($K91&lt;=BF$7,$L91&lt;=BF$7),1,AND($K91&lt;=BF$7,$L91&gt;BF$7),((BF$7-$K91)/($L91-$K91)))</f>
        <v>1</v>
      </c>
      <c r="BH91" s="201">
        <f t="array" ref="BH91">_xlfn.IFS(AND($K91&gt;BG$7,$L91&gt;BG$7),0,AND($K91&lt;=BG$7,$L91&lt;=BG$7),1,AND($K91&lt;=BG$7,$L91&gt;BG$7),((BG$7-$K91)/($L91-$K91)))</f>
        <v>1</v>
      </c>
      <c r="BI91" s="201">
        <f t="array" ref="BI91">_xlfn.IFS(AND($K91&gt;BH$7,$L91&gt;BH$7),0,AND($K91&lt;=BH$7,$L91&lt;=BH$7),1,AND($K91&lt;=BH$7,$L91&gt;BH$7),((BH$7-$K91)/($L91-$K91)))</f>
        <v>1</v>
      </c>
      <c r="BJ91" s="201">
        <f t="array" ref="BJ91">_xlfn.IFS(AND($K91&gt;BI$7,$L91&gt;BI$7),0,AND($K91&lt;=BI$7,$L91&lt;=BI$7),1,AND($K91&lt;=BI$7,$L91&gt;BI$7),((BI$7-$K91)/($L91-$K91)))</f>
        <v>1</v>
      </c>
      <c r="BK91" s="201">
        <f t="array" ref="BK91">_xlfn.IFS(AND($K91&gt;BJ$7,$L91&gt;BJ$7),0,AND($K91&lt;=BJ$7,$L91&lt;=BJ$7),1,AND($K91&lt;=BJ$7,$L91&gt;BJ$7),((BJ$7-$K91)/($L91-$K91)))</f>
        <v>1</v>
      </c>
      <c r="BL91" s="201">
        <f t="array" ref="BL91">_xlfn.IFS(AND($K91&gt;BK$7,$L91&gt;BK$7),0,AND($K91&lt;=BK$7,$L91&lt;=BK$7),1,AND($K91&lt;=BK$7,$L91&gt;BK$7),((BK$7-$K91)/($L91-$K91)))</f>
        <v>1</v>
      </c>
      <c r="BM91" s="201">
        <f t="array" ref="BM91">_xlfn.IFS(AND($K91&gt;BL$7,$L91&gt;BL$7),0,AND($K91&lt;=BL$7,$L91&lt;=BL$7),1,AND($K91&lt;=BL$7,$L91&gt;BL$7),((BL$7-$K91)/($L91-$K91)))</f>
        <v>1</v>
      </c>
      <c r="BN91" s="201">
        <f t="array" ref="BN91">_xlfn.IFS(AND($K91&gt;BM$7,$L91&gt;BM$7),0,AND($K91&lt;=BM$7,$L91&lt;=BM$7),1,AND($K91&lt;=BM$7,$L91&gt;BM$7),((BM$7-$K91)/($L91-$K91)))</f>
        <v>1</v>
      </c>
    </row>
    <row r="92" spans="2:66" s="163" customFormat="1" ht="27.6" customHeight="1" x14ac:dyDescent="0.3">
      <c r="B92" s="166" t="s">
        <v>161</v>
      </c>
      <c r="C92" s="166" t="s">
        <v>231</v>
      </c>
      <c r="D92" s="177"/>
      <c r="E92" s="170" t="str">
        <f t="shared" si="42"/>
        <v>Desenvolvimento da Transformação dos Processos</v>
      </c>
      <c r="F92" s="174" t="str">
        <f t="shared" si="39"/>
        <v>Modelagem To Be</v>
      </c>
      <c r="G92" s="166" t="str">
        <f t="shared" si="43"/>
        <v>Modelagem To Be</v>
      </c>
      <c r="H92" s="197" t="s">
        <v>232</v>
      </c>
      <c r="I92" s="166">
        <v>45845</v>
      </c>
      <c r="J92" s="166">
        <v>45849</v>
      </c>
      <c r="K92" s="166">
        <v>45845</v>
      </c>
      <c r="L92" s="166">
        <v>45849</v>
      </c>
      <c r="M92" s="167"/>
      <c r="N92" s="167" t="str">
        <f t="array" ref="N92">_xlfn.IFS(L92&lt;$M$3,"Concluído",AND(K92&gt;=$M$3,I92&lt;$M$3,L92&gt;$M$3),"Em andamento",AND(L92&gt;=$M$3,J92&lt;$M$3),"Atrasado",AND(L92&gt;=$M$3,J92&gt;=$M$3,I92&gt;$M$3,K92&lt;=$M$3),"Em andamento",AND(L92&gt;=$M$3,J92&gt;=$M$3,I92&lt;=$M$3,K92&lt;=$M$3),"Em andamento",AND(K92&gt;$M$3,I92&gt;$M$3),"Não iniciado",AND(L92&gt;=$M$3,J92&gt;=$M$3,K92&gt;=$M$3,I92&lt;$M$3),"Atrasado",AND(L92&gt;=$M$3,J92&gt;=$M$3,K92&gt;=$M$3,I92&gt;$M$3),"Não iniciado",AND($I92&lt;=$M$3,$K92&gt;$M$3),"Atrasado")</f>
        <v>Concluído</v>
      </c>
      <c r="O92" s="167">
        <f t="array" ref="O92">_xlfn.IFS(N92="Não iniciado",0,N92="Em andamento",1,N92="Concluído",2,N92="Atrasado",3)</f>
        <v>2</v>
      </c>
      <c r="P92" s="169"/>
      <c r="Q92" s="152">
        <f t="array" ref="Q92">_xlfn.IFS(AND($I92&lt;$M$3,$J92&lt;$M$3),1,AND($I92&lt;$M$3,$J92&gt;=$M$3),0.5,AND($I92&gt;=$M$3,$J92&gt;=$M$3),0)</f>
        <v>1</v>
      </c>
      <c r="R92" s="152">
        <f t="array" ref="R92">_xlfn.IFS(AND($K92&lt;$M$3,$L92&lt;$M$3),1,AND($K92&lt;=$M$3,$L92&gt;=$M$3),0.5,AND($K92&gt;=$M$3,$L92&gt;=$M$3),0)</f>
        <v>1</v>
      </c>
      <c r="S92" s="201">
        <f t="array" ref="S92">_xlfn.IFS(AND($K92&gt;R$7,$L92&gt;R$7),0,AND($K92&lt;=R$7,$L92&lt;=R$7),1,AND($K92&lt;=R$7,$L92&gt;R$7),((R$7-$K92)/($L92-$K92)))</f>
        <v>0</v>
      </c>
      <c r="T92" s="201">
        <f t="array" ref="T92">_xlfn.IFS(AND($K92&gt;S$7,$L92&gt;S$7),0,AND($K92&lt;=S$7,$L92&lt;=S$7),1,AND($K92&lt;=S$7,$L92&gt;S$7),((S$7-$K92)/($L92-$K92)))</f>
        <v>0</v>
      </c>
      <c r="U92" s="201">
        <f t="array" ref="U92">_xlfn.IFS(AND($K92&gt;T$7,$L92&gt;T$7),0,AND($K92&lt;=T$7,$L92&lt;=T$7),1,AND($K92&lt;=T$7,$L92&gt;T$7),((T$7-$K92)/($L92-$K92)))</f>
        <v>0</v>
      </c>
      <c r="V92" s="201">
        <f t="array" ref="V92">_xlfn.IFS(AND($K92&gt;U$7,$L92&gt;U$7),0,AND($K92&lt;=U$7,$L92&lt;=U$7),1,AND($K92&lt;=U$7,$L92&gt;U$7),((U$7-$K92)/($L92-$K92)))</f>
        <v>0</v>
      </c>
      <c r="W92" s="201">
        <f t="array" ref="W92">_xlfn.IFS(AND($K92&gt;V$7,$L92&gt;V$7),0,AND($K92&lt;=V$7,$L92&lt;=V$7),1,AND($K92&lt;=V$7,$L92&gt;V$7),((V$7-$K92)/($L92-$K92)))</f>
        <v>0</v>
      </c>
      <c r="X92" s="201">
        <f t="array" ref="X92">_xlfn.IFS(AND($K92&gt;W$7,$L92&gt;W$7),0,AND($K92&lt;=W$7,$L92&lt;=W$7),1,AND($K92&lt;=W$7,$L92&gt;W$7),((W$7-$K92)/($L92-$K92)))</f>
        <v>0</v>
      </c>
      <c r="Y92" s="201">
        <f t="array" ref="Y92">_xlfn.IFS(AND($K92&gt;X$7,$L92&gt;X$7),0,AND($K92&lt;=X$7,$L92&lt;=X$7),1,AND($K92&lt;=X$7,$L92&gt;X$7),((X$7-$K92)/($L92-$K92)))</f>
        <v>0</v>
      </c>
      <c r="Z92" s="201">
        <f t="array" ref="Z92">_xlfn.IFS(AND($K92&gt;Y$7,$L92&gt;Y$7),0,AND($K92&lt;=Y$7,$L92&lt;=Y$7),1,AND($K92&lt;=Y$7,$L92&gt;Y$7),((Y$7-$K92)/($L92-$K92)))</f>
        <v>0</v>
      </c>
      <c r="AA92" s="201">
        <f t="array" ref="AA92">_xlfn.IFS(AND($K92&gt;Z$7,$L92&gt;Z$7),0,AND($K92&lt;=Z$7,$L92&lt;=Z$7),1,AND($K92&lt;=Z$7,$L92&gt;Z$7),((Z$7-$K92)/($L92-$K92)))</f>
        <v>0</v>
      </c>
      <c r="AB92" s="201">
        <f t="array" ref="AB92">_xlfn.IFS(AND($K92&gt;AA$7,$L92&gt;AA$7),0,AND($K92&lt;=AA$7,$L92&lt;=AA$7),1,AND($K92&lt;=AA$7,$L92&gt;AA$7),((AA$7-$K92)/($L92-$K92)))</f>
        <v>0</v>
      </c>
      <c r="AC92" s="201">
        <f t="array" ref="AC92">_xlfn.IFS(AND($K92&gt;AB$7,$L92&gt;AB$7),0,AND($K92&lt;=AB$7,$L92&lt;=AB$7),1,AND($K92&lt;=AB$7,$L92&gt;AB$7),((AB$7-$K92)/($L92-$K92)))</f>
        <v>0</v>
      </c>
      <c r="AD92" s="201">
        <f t="array" ref="AD92">_xlfn.IFS(AND($K92&gt;AC$7,$L92&gt;AC$7),0,AND($K92&lt;=AC$7,$L92&lt;=AC$7),1,AND($K92&lt;=AC$7,$L92&gt;AC$7),((AC$7-$K92)/($L92-$K92)))</f>
        <v>0</v>
      </c>
      <c r="AE92" s="201">
        <f t="array" ref="AE92">_xlfn.IFS(AND($K92&gt;AD$7,$L92&gt;AD$7),0,AND($K92&lt;=AD$7,$L92&lt;=AD$7),1,AND($K92&lt;=AD$7,$L92&gt;AD$7),((AD$7-$K92)/($L92-$K92)))</f>
        <v>0</v>
      </c>
      <c r="AF92" s="201">
        <f t="array" ref="AF92">_xlfn.IFS(AND($K92&gt;AE$7,$L92&gt;AE$7),0,AND($K92&lt;=AE$7,$L92&lt;=AE$7),1,AND($K92&lt;=AE$7,$L92&gt;AE$7),((AE$7-$K92)/($L92-$K92)))</f>
        <v>0</v>
      </c>
      <c r="AG92" s="201">
        <f t="array" ref="AG92">_xlfn.IFS(AND($K92&gt;AF$7,$L92&gt;AF$7),0,AND($K92&lt;=AF$7,$L92&lt;=AF$7),1,AND($K92&lt;=AF$7,$L92&gt;AF$7),((AF$7-$K92)/($L92-$K92)))</f>
        <v>0</v>
      </c>
      <c r="AH92" s="201">
        <f t="array" ref="AH92">_xlfn.IFS(AND($K92&gt;AG$7,$L92&gt;AG$7),0,AND($K92&lt;=AG$7,$L92&lt;=AG$7),1,AND($K92&lt;=AG$7,$L92&gt;AG$7),((AG$7-$K92)/($L92-$K92)))</f>
        <v>0</v>
      </c>
      <c r="AI92" s="201">
        <f t="array" ref="AI92">_xlfn.IFS(AND($K92&gt;AH$7,$L92&gt;AH$7),0,AND($K92&lt;=AH$7,$L92&lt;=AH$7),1,AND($K92&lt;=AH$7,$L92&gt;AH$7),((AH$7-$K92)/($L92-$K92)))</f>
        <v>0</v>
      </c>
      <c r="AJ92" s="201">
        <f t="array" ref="AJ92">_xlfn.IFS(AND($K92&gt;AI$7,$L92&gt;AI$7),0,AND($K92&lt;=AI$7,$L92&lt;=AI$7),1,AND($K92&lt;=AI$7,$L92&gt;AI$7),((AI$7-$K92)/($L92-$K92)))</f>
        <v>0</v>
      </c>
      <c r="AK92" s="201">
        <f t="array" ref="AK92">_xlfn.IFS(AND($K92&gt;AJ$7,$L92&gt;AJ$7),0,AND($K92&lt;=AJ$7,$L92&lt;=AJ$7),1,AND($K92&lt;=AJ$7,$L92&gt;AJ$7),((AJ$7-$K92)/($L92-$K92)))</f>
        <v>0</v>
      </c>
      <c r="AL92" s="201">
        <f t="array" ref="AL92">_xlfn.IFS(AND($K92&gt;AK$7,$L92&gt;AK$7),0,AND($K92&lt;=AK$7,$L92&lt;=AK$7),1,AND($K92&lt;=AK$7,$L92&gt;AK$7),((AK$7-$K92)/($L92-$K92)))</f>
        <v>0</v>
      </c>
      <c r="AM92" s="201">
        <f t="array" ref="AM92">_xlfn.IFS(AND($K92&gt;AL$7,$L92&gt;AL$7),0,AND($K92&lt;=AL$7,$L92&lt;=AL$7),1,AND($K92&lt;=AL$7,$L92&gt;AL$7),((AL$7-$K92)/($L92-$K92)))</f>
        <v>0</v>
      </c>
      <c r="AN92" s="201">
        <f t="array" ref="AN92">_xlfn.IFS(AND($K92&gt;AM$7,$L92&gt;AM$7),0,AND($K92&lt;=AM$7,$L92&lt;=AM$7),1,AND($K92&lt;=AM$7,$L92&gt;AM$7),((AM$7-$K92)/($L92-$K92)))</f>
        <v>0</v>
      </c>
      <c r="AO92" s="201">
        <f t="array" ref="AO92">_xlfn.IFS(AND($K92&gt;AN$7,$L92&gt;AN$7),0,AND($K92&lt;=AN$7,$L92&lt;=AN$7),1,AND($K92&lt;=AN$7,$L92&gt;AN$7),((AN$7-$K92)/($L92-$K92)))</f>
        <v>0</v>
      </c>
      <c r="AP92" s="201">
        <f t="array" ref="AP92">_xlfn.IFS(AND($K92&gt;AO$7,$L92&gt;AO$7),0,AND($K92&lt;=AO$7,$L92&lt;=AO$7),1,AND($K92&lt;=AO$7,$L92&gt;AO$7),((AO$7-$K92)/($L92-$K92)))</f>
        <v>1</v>
      </c>
      <c r="AQ92" s="201">
        <f t="array" ref="AQ92">_xlfn.IFS(AND($K92&gt;AP$7,$L92&gt;AP$7),0,AND($K92&lt;=AP$7,$L92&lt;=AP$7),1,AND($K92&lt;=AP$7,$L92&gt;AP$7),((AP$7-$K92)/($L92-$K92)))</f>
        <v>1</v>
      </c>
      <c r="AR92" s="201">
        <f t="array" ref="AR92">_xlfn.IFS(AND($K92&gt;AQ$7,$L92&gt;AQ$7),0,AND($K92&lt;=AQ$7,$L92&lt;=AQ$7),1,AND($K92&lt;=AQ$7,$L92&gt;AQ$7),((AQ$7-$K92)/($L92-$K92)))</f>
        <v>1</v>
      </c>
      <c r="AS92" s="201">
        <f t="array" ref="AS92">_xlfn.IFS(AND($K92&gt;AR$7,$L92&gt;AR$7),0,AND($K92&lt;=AR$7,$L92&lt;=AR$7),1,AND($K92&lt;=AR$7,$L92&gt;AR$7),((AR$7-$K92)/($L92-$K92)))</f>
        <v>1</v>
      </c>
      <c r="AT92" s="201">
        <f t="array" ref="AT92">_xlfn.IFS(AND($K92&gt;AS$7,$L92&gt;AS$7),0,AND($K92&lt;=AS$7,$L92&lt;=AS$7),1,AND($K92&lt;=AS$7,$L92&gt;AS$7),((AS$7-$K92)/($L92-$K92)))</f>
        <v>1</v>
      </c>
      <c r="AU92" s="201">
        <f t="array" ref="AU92">_xlfn.IFS(AND($K92&gt;AT$7,$L92&gt;AT$7),0,AND($K92&lt;=AT$7,$L92&lt;=AT$7),1,AND($K92&lt;=AT$7,$L92&gt;AT$7),((AT$7-$K92)/($L92-$K92)))</f>
        <v>1</v>
      </c>
      <c r="AV92" s="201">
        <f t="array" ref="AV92">_xlfn.IFS(AND($K92&gt;AU$7,$L92&gt;AU$7),0,AND($K92&lt;=AU$7,$L92&lt;=AU$7),1,AND($K92&lt;=AU$7,$L92&gt;AU$7),((AU$7-$K92)/($L92-$K92)))</f>
        <v>1</v>
      </c>
      <c r="AW92" s="201">
        <f t="array" ref="AW92">_xlfn.IFS(AND($K92&gt;AV$7,$L92&gt;AV$7),0,AND($K92&lt;=AV$7,$L92&lt;=AV$7),1,AND($K92&lt;=AV$7,$L92&gt;AV$7),((AV$7-$K92)/($L92-$K92)))</f>
        <v>1</v>
      </c>
      <c r="AX92" s="201">
        <f t="array" ref="AX92">_xlfn.IFS(AND($K92&gt;AW$7,$L92&gt;AW$7),0,AND($K92&lt;=AW$7,$L92&lt;=AW$7),1,AND($K92&lt;=AW$7,$L92&gt;AW$7),((AW$7-$K92)/($L92-$K92)))</f>
        <v>1</v>
      </c>
      <c r="AY92" s="201">
        <f t="array" ref="AY92">_xlfn.IFS(AND($K92&gt;AX$7,$L92&gt;AX$7),0,AND($K92&lt;=AX$7,$L92&lt;=AX$7),1,AND($K92&lt;=AX$7,$L92&gt;AX$7),((AX$7-$K92)/($L92-$K92)))</f>
        <v>1</v>
      </c>
      <c r="AZ92" s="201">
        <f t="array" ref="AZ92">_xlfn.IFS(AND($K92&gt;AY$7,$L92&gt;AY$7),0,AND($K92&lt;=AY$7,$L92&lt;=AY$7),1,AND($K92&lt;=AY$7,$L92&gt;AY$7),((AY$7-$K92)/($L92-$K92)))</f>
        <v>1</v>
      </c>
      <c r="BA92" s="201">
        <f t="array" ref="BA92">_xlfn.IFS(AND($K92&gt;AZ$7,$L92&gt;AZ$7),0,AND($K92&lt;=AZ$7,$L92&lt;=AZ$7),1,AND($K92&lt;=AZ$7,$L92&gt;AZ$7),((AZ$7-$K92)/($L92-$K92)))</f>
        <v>1</v>
      </c>
      <c r="BB92" s="201">
        <f t="array" ref="BB92">_xlfn.IFS(AND($K92&gt;BA$7,$L92&gt;BA$7),0,AND($K92&lt;=BA$7,$L92&lt;=BA$7),1,AND($K92&lt;=BA$7,$L92&gt;BA$7),((BA$7-$K92)/($L92-$K92)))</f>
        <v>1</v>
      </c>
      <c r="BC92" s="201">
        <f t="array" ref="BC92">_xlfn.IFS(AND($K92&gt;BB$7,$L92&gt;BB$7),0,AND($K92&lt;=BB$7,$L92&lt;=BB$7),1,AND($K92&lt;=BB$7,$L92&gt;BB$7),((BB$7-$K92)/($L92-$K92)))</f>
        <v>1</v>
      </c>
      <c r="BD92" s="201">
        <f t="array" ref="BD92">_xlfn.IFS(AND($K92&gt;BC$7,$L92&gt;BC$7),0,AND($K92&lt;=BC$7,$L92&lt;=BC$7),1,AND($K92&lt;=BC$7,$L92&gt;BC$7),((BC$7-$K92)/($L92-$K92)))</f>
        <v>1</v>
      </c>
      <c r="BE92" s="201">
        <f t="array" ref="BE92">_xlfn.IFS(AND($K92&gt;BD$7,$L92&gt;BD$7),0,AND($K92&lt;=BD$7,$L92&lt;=BD$7),1,AND($K92&lt;=BD$7,$L92&gt;BD$7),((BD$7-$K92)/($L92-$K92)))</f>
        <v>1</v>
      </c>
      <c r="BF92" s="201">
        <f t="array" ref="BF92">_xlfn.IFS(AND($K92&gt;BE$7,$L92&gt;BE$7),0,AND($K92&lt;=BE$7,$L92&lt;=BE$7),1,AND($K92&lt;=BE$7,$L92&gt;BE$7),((BE$7-$K92)/($L92-$K92)))</f>
        <v>1</v>
      </c>
      <c r="BG92" s="201">
        <f t="array" ref="BG92">_xlfn.IFS(AND($K92&gt;BF$7,$L92&gt;BF$7),0,AND($K92&lt;=BF$7,$L92&lt;=BF$7),1,AND($K92&lt;=BF$7,$L92&gt;BF$7),((BF$7-$K92)/($L92-$K92)))</f>
        <v>1</v>
      </c>
      <c r="BH92" s="201">
        <f t="array" ref="BH92">_xlfn.IFS(AND($K92&gt;BG$7,$L92&gt;BG$7),0,AND($K92&lt;=BG$7,$L92&lt;=BG$7),1,AND($K92&lt;=BG$7,$L92&gt;BG$7),((BG$7-$K92)/($L92-$K92)))</f>
        <v>1</v>
      </c>
      <c r="BI92" s="201">
        <f t="array" ref="BI92">_xlfn.IFS(AND($K92&gt;BH$7,$L92&gt;BH$7),0,AND($K92&lt;=BH$7,$L92&lt;=BH$7),1,AND($K92&lt;=BH$7,$L92&gt;BH$7),((BH$7-$K92)/($L92-$K92)))</f>
        <v>1</v>
      </c>
      <c r="BJ92" s="201">
        <f t="array" ref="BJ92">_xlfn.IFS(AND($K92&gt;BI$7,$L92&gt;BI$7),0,AND($K92&lt;=BI$7,$L92&lt;=BI$7),1,AND($K92&lt;=BI$7,$L92&gt;BI$7),((BI$7-$K92)/($L92-$K92)))</f>
        <v>1</v>
      </c>
      <c r="BK92" s="201">
        <f t="array" ref="BK92">_xlfn.IFS(AND($K92&gt;BJ$7,$L92&gt;BJ$7),0,AND($K92&lt;=BJ$7,$L92&lt;=BJ$7),1,AND($K92&lt;=BJ$7,$L92&gt;BJ$7),((BJ$7-$K92)/($L92-$K92)))</f>
        <v>1</v>
      </c>
      <c r="BL92" s="201">
        <f t="array" ref="BL92">_xlfn.IFS(AND($K92&gt;BK$7,$L92&gt;BK$7),0,AND($K92&lt;=BK$7,$L92&lt;=BK$7),1,AND($K92&lt;=BK$7,$L92&gt;BK$7),((BK$7-$K92)/($L92-$K92)))</f>
        <v>1</v>
      </c>
      <c r="BM92" s="201">
        <f t="array" ref="BM92">_xlfn.IFS(AND($K92&gt;BL$7,$L92&gt;BL$7),0,AND($K92&lt;=BL$7,$L92&lt;=BL$7),1,AND($K92&lt;=BL$7,$L92&gt;BL$7),((BL$7-$K92)/($L92-$K92)))</f>
        <v>1</v>
      </c>
      <c r="BN92" s="201">
        <f t="array" ref="BN92">_xlfn.IFS(AND($K92&gt;BM$7,$L92&gt;BM$7),0,AND($K92&lt;=BM$7,$L92&lt;=BM$7),1,AND($K92&lt;=BM$7,$L92&gt;BM$7),((BM$7-$K92)/($L92-$K92)))</f>
        <v>1</v>
      </c>
    </row>
    <row r="93" spans="2:66" s="163" customFormat="1" ht="27.6" customHeight="1" x14ac:dyDescent="0.3">
      <c r="B93" s="166" t="s">
        <v>161</v>
      </c>
      <c r="C93" s="166" t="s">
        <v>233</v>
      </c>
      <c r="D93" s="177"/>
      <c r="E93" s="170" t="str">
        <f t="shared" si="42"/>
        <v>Desenvolvimento da Transformação dos Processos</v>
      </c>
      <c r="F93" s="174" t="str">
        <f t="shared" si="39"/>
        <v>Modelagem To Be</v>
      </c>
      <c r="G93" s="166" t="str">
        <f t="shared" si="43"/>
        <v>Modelagem To Be</v>
      </c>
      <c r="H93" s="197" t="s">
        <v>234</v>
      </c>
      <c r="I93" s="166">
        <v>45880</v>
      </c>
      <c r="J93" s="166">
        <v>45884</v>
      </c>
      <c r="K93" s="166">
        <v>45880</v>
      </c>
      <c r="L93" s="166">
        <v>45884</v>
      </c>
      <c r="M93" s="167"/>
      <c r="N93" s="167" t="str">
        <f t="array" ref="N93">_xlfn.IFS(L93&lt;$M$3,"Concluído",AND(K93&gt;=$M$3,I93&lt;$M$3,L93&gt;$M$3),"Em andamento",AND(L93&gt;=$M$3,J93&lt;$M$3),"Atrasado",AND(L93&gt;=$M$3,J93&gt;=$M$3,I93&gt;$M$3,K93&lt;=$M$3),"Em andamento",AND(L93&gt;=$M$3,J93&gt;=$M$3,I93&lt;=$M$3,K93&lt;=$M$3),"Em andamento",AND(K93&gt;$M$3,I93&gt;$M$3),"Não iniciado",AND(L93&gt;=$M$3,J93&gt;=$M$3,K93&gt;=$M$3,I93&lt;$M$3),"Atrasado",AND(L93&gt;=$M$3,J93&gt;=$M$3,K93&gt;=$M$3,I93&gt;$M$3),"Não iniciado",AND($I93&lt;=$M$3,$K93&gt;$M$3),"Atrasado")</f>
        <v>Não iniciado</v>
      </c>
      <c r="O93" s="167">
        <f t="array" ref="O93">_xlfn.IFS(N93="Não iniciado",0,N93="Em andamento",1,N93="Concluído",2,N93="Atrasado",3)</f>
        <v>0</v>
      </c>
      <c r="P93" s="169"/>
      <c r="Q93" s="152">
        <f t="array" ref="Q93">_xlfn.IFS(AND($I93&lt;$M$3,$J93&lt;$M$3),1,AND($I93&lt;$M$3,$J93&gt;=$M$3),0.5,AND($I93&gt;=$M$3,$J93&gt;=$M$3),0)</f>
        <v>0</v>
      </c>
      <c r="R93" s="152">
        <f t="array" ref="R93">_xlfn.IFS(AND($K93&lt;$M$3,$L93&lt;$M$3),1,AND($K93&lt;=$M$3,$L93&gt;=$M$3),0.5,AND($K93&gt;=$M$3,$L93&gt;=$M$3),0)</f>
        <v>0</v>
      </c>
      <c r="S93" s="201">
        <f t="array" ref="S93">_xlfn.IFS(AND($K93&gt;R$7,$L93&gt;R$7),0,AND($K93&lt;=R$7,$L93&lt;=R$7),1,AND($K93&lt;=R$7,$L93&gt;R$7),((R$7-$K93)/($L93-$K93)))</f>
        <v>0</v>
      </c>
      <c r="T93" s="201">
        <f t="array" ref="T93">_xlfn.IFS(AND($K93&gt;S$7,$L93&gt;S$7),0,AND($K93&lt;=S$7,$L93&lt;=S$7),1,AND($K93&lt;=S$7,$L93&gt;S$7),((S$7-$K93)/($L93-$K93)))</f>
        <v>0</v>
      </c>
      <c r="U93" s="201">
        <f t="array" ref="U93">_xlfn.IFS(AND($K93&gt;T$7,$L93&gt;T$7),0,AND($K93&lt;=T$7,$L93&lt;=T$7),1,AND($K93&lt;=T$7,$L93&gt;T$7),((T$7-$K93)/($L93-$K93)))</f>
        <v>0</v>
      </c>
      <c r="V93" s="201">
        <f t="array" ref="V93">_xlfn.IFS(AND($K93&gt;U$7,$L93&gt;U$7),0,AND($K93&lt;=U$7,$L93&lt;=U$7),1,AND($K93&lt;=U$7,$L93&gt;U$7),((U$7-$K93)/($L93-$K93)))</f>
        <v>0</v>
      </c>
      <c r="W93" s="201">
        <f t="array" ref="W93">_xlfn.IFS(AND($K93&gt;V$7,$L93&gt;V$7),0,AND($K93&lt;=V$7,$L93&lt;=V$7),1,AND($K93&lt;=V$7,$L93&gt;V$7),((V$7-$K93)/($L93-$K93)))</f>
        <v>0</v>
      </c>
      <c r="X93" s="201">
        <f t="array" ref="X93">_xlfn.IFS(AND($K93&gt;W$7,$L93&gt;W$7),0,AND($K93&lt;=W$7,$L93&lt;=W$7),1,AND($K93&lt;=W$7,$L93&gt;W$7),((W$7-$K93)/($L93-$K93)))</f>
        <v>0</v>
      </c>
      <c r="Y93" s="201">
        <f t="array" ref="Y93">_xlfn.IFS(AND($K93&gt;X$7,$L93&gt;X$7),0,AND($K93&lt;=X$7,$L93&lt;=X$7),1,AND($K93&lt;=X$7,$L93&gt;X$7),((X$7-$K93)/($L93-$K93)))</f>
        <v>0</v>
      </c>
      <c r="Z93" s="201">
        <f t="array" ref="Z93">_xlfn.IFS(AND($K93&gt;Y$7,$L93&gt;Y$7),0,AND($K93&lt;=Y$7,$L93&lt;=Y$7),1,AND($K93&lt;=Y$7,$L93&gt;Y$7),((Y$7-$K93)/($L93-$K93)))</f>
        <v>0</v>
      </c>
      <c r="AA93" s="201">
        <f t="array" ref="AA93">_xlfn.IFS(AND($K93&gt;Z$7,$L93&gt;Z$7),0,AND($K93&lt;=Z$7,$L93&lt;=Z$7),1,AND($K93&lt;=Z$7,$L93&gt;Z$7),((Z$7-$K93)/($L93-$K93)))</f>
        <v>0</v>
      </c>
      <c r="AB93" s="201">
        <f t="array" ref="AB93">_xlfn.IFS(AND($K93&gt;AA$7,$L93&gt;AA$7),0,AND($K93&lt;=AA$7,$L93&lt;=AA$7),1,AND($K93&lt;=AA$7,$L93&gt;AA$7),((AA$7-$K93)/($L93-$K93)))</f>
        <v>0</v>
      </c>
      <c r="AC93" s="201">
        <f t="array" ref="AC93">_xlfn.IFS(AND($K93&gt;AB$7,$L93&gt;AB$7),0,AND($K93&lt;=AB$7,$L93&lt;=AB$7),1,AND($K93&lt;=AB$7,$L93&gt;AB$7),((AB$7-$K93)/($L93-$K93)))</f>
        <v>0</v>
      </c>
      <c r="AD93" s="201">
        <f t="array" ref="AD93">_xlfn.IFS(AND($K93&gt;AC$7,$L93&gt;AC$7),0,AND($K93&lt;=AC$7,$L93&lt;=AC$7),1,AND($K93&lt;=AC$7,$L93&gt;AC$7),((AC$7-$K93)/($L93-$K93)))</f>
        <v>0</v>
      </c>
      <c r="AE93" s="201">
        <f t="array" ref="AE93">_xlfn.IFS(AND($K93&gt;AD$7,$L93&gt;AD$7),0,AND($K93&lt;=AD$7,$L93&lt;=AD$7),1,AND($K93&lt;=AD$7,$L93&gt;AD$7),((AD$7-$K93)/($L93-$K93)))</f>
        <v>0</v>
      </c>
      <c r="AF93" s="201">
        <f t="array" ref="AF93">_xlfn.IFS(AND($K93&gt;AE$7,$L93&gt;AE$7),0,AND($K93&lt;=AE$7,$L93&lt;=AE$7),1,AND($K93&lt;=AE$7,$L93&gt;AE$7),((AE$7-$K93)/($L93-$K93)))</f>
        <v>0</v>
      </c>
      <c r="AG93" s="201">
        <f t="array" ref="AG93">_xlfn.IFS(AND($K93&gt;AF$7,$L93&gt;AF$7),0,AND($K93&lt;=AF$7,$L93&lt;=AF$7),1,AND($K93&lt;=AF$7,$L93&gt;AF$7),((AF$7-$K93)/($L93-$K93)))</f>
        <v>0</v>
      </c>
      <c r="AH93" s="201">
        <f t="array" ref="AH93">_xlfn.IFS(AND($K93&gt;AG$7,$L93&gt;AG$7),0,AND($K93&lt;=AG$7,$L93&lt;=AG$7),1,AND($K93&lt;=AG$7,$L93&gt;AG$7),((AG$7-$K93)/($L93-$K93)))</f>
        <v>0</v>
      </c>
      <c r="AI93" s="201">
        <f t="array" ref="AI93">_xlfn.IFS(AND($K93&gt;AH$7,$L93&gt;AH$7),0,AND($K93&lt;=AH$7,$L93&lt;=AH$7),1,AND($K93&lt;=AH$7,$L93&gt;AH$7),((AH$7-$K93)/($L93-$K93)))</f>
        <v>0</v>
      </c>
      <c r="AJ93" s="201">
        <f t="array" ref="AJ93">_xlfn.IFS(AND($K93&gt;AI$7,$L93&gt;AI$7),0,AND($K93&lt;=AI$7,$L93&lt;=AI$7),1,AND($K93&lt;=AI$7,$L93&gt;AI$7),((AI$7-$K93)/($L93-$K93)))</f>
        <v>0</v>
      </c>
      <c r="AK93" s="201">
        <f t="array" ref="AK93">_xlfn.IFS(AND($K93&gt;AJ$7,$L93&gt;AJ$7),0,AND($K93&lt;=AJ$7,$L93&lt;=AJ$7),1,AND($K93&lt;=AJ$7,$L93&gt;AJ$7),((AJ$7-$K93)/($L93-$K93)))</f>
        <v>0</v>
      </c>
      <c r="AL93" s="201">
        <f t="array" ref="AL93">_xlfn.IFS(AND($K93&gt;AK$7,$L93&gt;AK$7),0,AND($K93&lt;=AK$7,$L93&lt;=AK$7),1,AND($K93&lt;=AK$7,$L93&gt;AK$7),((AK$7-$K93)/($L93-$K93)))</f>
        <v>0</v>
      </c>
      <c r="AM93" s="201">
        <f t="array" ref="AM93">_xlfn.IFS(AND($K93&gt;AL$7,$L93&gt;AL$7),0,AND($K93&lt;=AL$7,$L93&lt;=AL$7),1,AND($K93&lt;=AL$7,$L93&gt;AL$7),((AL$7-$K93)/($L93-$K93)))</f>
        <v>0</v>
      </c>
      <c r="AN93" s="201">
        <f t="array" ref="AN93">_xlfn.IFS(AND($K93&gt;AM$7,$L93&gt;AM$7),0,AND($K93&lt;=AM$7,$L93&lt;=AM$7),1,AND($K93&lt;=AM$7,$L93&gt;AM$7),((AM$7-$K93)/($L93-$K93)))</f>
        <v>0</v>
      </c>
      <c r="AO93" s="201">
        <f t="array" ref="AO93">_xlfn.IFS(AND($K93&gt;AN$7,$L93&gt;AN$7),0,AND($K93&lt;=AN$7,$L93&lt;=AN$7),1,AND($K93&lt;=AN$7,$L93&gt;AN$7),((AN$7-$K93)/($L93-$K93)))</f>
        <v>0</v>
      </c>
      <c r="AP93" s="201">
        <f t="array" ref="AP93">_xlfn.IFS(AND($K93&gt;AO$7,$L93&gt;AO$7),0,AND($K93&lt;=AO$7,$L93&lt;=AO$7),1,AND($K93&lt;=AO$7,$L93&gt;AO$7),((AO$7-$K93)/($L93-$K93)))</f>
        <v>0</v>
      </c>
      <c r="AQ93" s="201">
        <f t="array" ref="AQ93">_xlfn.IFS(AND($K93&gt;AP$7,$L93&gt;AP$7),0,AND($K93&lt;=AP$7,$L93&lt;=AP$7),1,AND($K93&lt;=AP$7,$L93&gt;AP$7),((AP$7-$K93)/($L93-$K93)))</f>
        <v>0</v>
      </c>
      <c r="AR93" s="201">
        <f t="array" ref="AR93">_xlfn.IFS(AND($K93&gt;AQ$7,$L93&gt;AQ$7),0,AND($K93&lt;=AQ$7,$L93&lt;=AQ$7),1,AND($K93&lt;=AQ$7,$L93&gt;AQ$7),((AQ$7-$K93)/($L93-$K93)))</f>
        <v>0</v>
      </c>
      <c r="AS93" s="201">
        <f t="array" ref="AS93">_xlfn.IFS(AND($K93&gt;AR$7,$L93&gt;AR$7),0,AND($K93&lt;=AR$7,$L93&lt;=AR$7),1,AND($K93&lt;=AR$7,$L93&gt;AR$7),((AR$7-$K93)/($L93-$K93)))</f>
        <v>0</v>
      </c>
      <c r="AT93" s="201">
        <f t="array" ref="AT93">_xlfn.IFS(AND($K93&gt;AS$7,$L93&gt;AS$7),0,AND($K93&lt;=AS$7,$L93&lt;=AS$7),1,AND($K93&lt;=AS$7,$L93&gt;AS$7),((AS$7-$K93)/($L93-$K93)))</f>
        <v>0</v>
      </c>
      <c r="AU93" s="201">
        <f t="array" ref="AU93">_xlfn.IFS(AND($K93&gt;AT$7,$L93&gt;AT$7),0,AND($K93&lt;=AT$7,$L93&lt;=AT$7),1,AND($K93&lt;=AT$7,$L93&gt;AT$7),((AT$7-$K93)/($L93-$K93)))</f>
        <v>1</v>
      </c>
      <c r="AV93" s="201">
        <f t="array" ref="AV93">_xlfn.IFS(AND($K93&gt;AU$7,$L93&gt;AU$7),0,AND($K93&lt;=AU$7,$L93&lt;=AU$7),1,AND($K93&lt;=AU$7,$L93&gt;AU$7),((AU$7-$K93)/($L93-$K93)))</f>
        <v>1</v>
      </c>
      <c r="AW93" s="201">
        <f t="array" ref="AW93">_xlfn.IFS(AND($K93&gt;AV$7,$L93&gt;AV$7),0,AND($K93&lt;=AV$7,$L93&lt;=AV$7),1,AND($K93&lt;=AV$7,$L93&gt;AV$7),((AV$7-$K93)/($L93-$K93)))</f>
        <v>1</v>
      </c>
      <c r="AX93" s="201">
        <f t="array" ref="AX93">_xlfn.IFS(AND($K93&gt;AW$7,$L93&gt;AW$7),0,AND($K93&lt;=AW$7,$L93&lt;=AW$7),1,AND($K93&lt;=AW$7,$L93&gt;AW$7),((AW$7-$K93)/($L93-$K93)))</f>
        <v>1</v>
      </c>
      <c r="AY93" s="201">
        <f t="array" ref="AY93">_xlfn.IFS(AND($K93&gt;AX$7,$L93&gt;AX$7),0,AND($K93&lt;=AX$7,$L93&lt;=AX$7),1,AND($K93&lt;=AX$7,$L93&gt;AX$7),((AX$7-$K93)/($L93-$K93)))</f>
        <v>1</v>
      </c>
      <c r="AZ93" s="201">
        <f t="array" ref="AZ93">_xlfn.IFS(AND($K93&gt;AY$7,$L93&gt;AY$7),0,AND($K93&lt;=AY$7,$L93&lt;=AY$7),1,AND($K93&lt;=AY$7,$L93&gt;AY$7),((AY$7-$K93)/($L93-$K93)))</f>
        <v>1</v>
      </c>
      <c r="BA93" s="201">
        <f t="array" ref="BA93">_xlfn.IFS(AND($K93&gt;AZ$7,$L93&gt;AZ$7),0,AND($K93&lt;=AZ$7,$L93&lt;=AZ$7),1,AND($K93&lt;=AZ$7,$L93&gt;AZ$7),((AZ$7-$K93)/($L93-$K93)))</f>
        <v>1</v>
      </c>
      <c r="BB93" s="201">
        <f t="array" ref="BB93">_xlfn.IFS(AND($K93&gt;BA$7,$L93&gt;BA$7),0,AND($K93&lt;=BA$7,$L93&lt;=BA$7),1,AND($K93&lt;=BA$7,$L93&gt;BA$7),((BA$7-$K93)/($L93-$K93)))</f>
        <v>1</v>
      </c>
      <c r="BC93" s="201">
        <f t="array" ref="BC93">_xlfn.IFS(AND($K93&gt;BB$7,$L93&gt;BB$7),0,AND($K93&lt;=BB$7,$L93&lt;=BB$7),1,AND($K93&lt;=BB$7,$L93&gt;BB$7),((BB$7-$K93)/($L93-$K93)))</f>
        <v>1</v>
      </c>
      <c r="BD93" s="201">
        <f t="array" ref="BD93">_xlfn.IFS(AND($K93&gt;BC$7,$L93&gt;BC$7),0,AND($K93&lt;=BC$7,$L93&lt;=BC$7),1,AND($K93&lt;=BC$7,$L93&gt;BC$7),((BC$7-$K93)/($L93-$K93)))</f>
        <v>1</v>
      </c>
      <c r="BE93" s="201">
        <f t="array" ref="BE93">_xlfn.IFS(AND($K93&gt;BD$7,$L93&gt;BD$7),0,AND($K93&lt;=BD$7,$L93&lt;=BD$7),1,AND($K93&lt;=BD$7,$L93&gt;BD$7),((BD$7-$K93)/($L93-$K93)))</f>
        <v>1</v>
      </c>
      <c r="BF93" s="201">
        <f t="array" ref="BF93">_xlfn.IFS(AND($K93&gt;BE$7,$L93&gt;BE$7),0,AND($K93&lt;=BE$7,$L93&lt;=BE$7),1,AND($K93&lt;=BE$7,$L93&gt;BE$7),((BE$7-$K93)/($L93-$K93)))</f>
        <v>1</v>
      </c>
      <c r="BG93" s="201">
        <f t="array" ref="BG93">_xlfn.IFS(AND($K93&gt;BF$7,$L93&gt;BF$7),0,AND($K93&lt;=BF$7,$L93&lt;=BF$7),1,AND($K93&lt;=BF$7,$L93&gt;BF$7),((BF$7-$K93)/($L93-$K93)))</f>
        <v>1</v>
      </c>
      <c r="BH93" s="201">
        <f t="array" ref="BH93">_xlfn.IFS(AND($K93&gt;BG$7,$L93&gt;BG$7),0,AND($K93&lt;=BG$7,$L93&lt;=BG$7),1,AND($K93&lt;=BG$7,$L93&gt;BG$7),((BG$7-$K93)/($L93-$K93)))</f>
        <v>1</v>
      </c>
      <c r="BI93" s="201">
        <f t="array" ref="BI93">_xlfn.IFS(AND($K93&gt;BH$7,$L93&gt;BH$7),0,AND($K93&lt;=BH$7,$L93&lt;=BH$7),1,AND($K93&lt;=BH$7,$L93&gt;BH$7),((BH$7-$K93)/($L93-$K93)))</f>
        <v>1</v>
      </c>
      <c r="BJ93" s="201">
        <f t="array" ref="BJ93">_xlfn.IFS(AND($K93&gt;BI$7,$L93&gt;BI$7),0,AND($K93&lt;=BI$7,$L93&lt;=BI$7),1,AND($K93&lt;=BI$7,$L93&gt;BI$7),((BI$7-$K93)/($L93-$K93)))</f>
        <v>1</v>
      </c>
      <c r="BK93" s="201">
        <f t="array" ref="BK93">_xlfn.IFS(AND($K93&gt;BJ$7,$L93&gt;BJ$7),0,AND($K93&lt;=BJ$7,$L93&lt;=BJ$7),1,AND($K93&lt;=BJ$7,$L93&gt;BJ$7),((BJ$7-$K93)/($L93-$K93)))</f>
        <v>1</v>
      </c>
      <c r="BL93" s="201">
        <f t="array" ref="BL93">_xlfn.IFS(AND($K93&gt;BK$7,$L93&gt;BK$7),0,AND($K93&lt;=BK$7,$L93&lt;=BK$7),1,AND($K93&lt;=BK$7,$L93&gt;BK$7),((BK$7-$K93)/($L93-$K93)))</f>
        <v>1</v>
      </c>
      <c r="BM93" s="201">
        <f t="array" ref="BM93">_xlfn.IFS(AND($K93&gt;BL$7,$L93&gt;BL$7),0,AND($K93&lt;=BL$7,$L93&lt;=BL$7),1,AND($K93&lt;=BL$7,$L93&gt;BL$7),((BL$7-$K93)/($L93-$K93)))</f>
        <v>1</v>
      </c>
      <c r="BN93" s="201">
        <f t="array" ref="BN93">_xlfn.IFS(AND($K93&gt;BM$7,$L93&gt;BM$7),0,AND($K93&lt;=BM$7,$L93&lt;=BM$7),1,AND($K93&lt;=BM$7,$L93&gt;BM$7),((BM$7-$K93)/($L93-$K93)))</f>
        <v>1</v>
      </c>
    </row>
    <row r="94" spans="2:66" s="163" customFormat="1" ht="27.6" customHeight="1" x14ac:dyDescent="0.3">
      <c r="B94" s="166" t="s">
        <v>161</v>
      </c>
      <c r="C94" s="166" t="s">
        <v>235</v>
      </c>
      <c r="D94" s="177"/>
      <c r="E94" s="170" t="str">
        <f t="shared" si="42"/>
        <v>Desenvolvimento da Transformação dos Processos</v>
      </c>
      <c r="F94" s="174" t="str">
        <f t="shared" si="39"/>
        <v>Modelagem To Be</v>
      </c>
      <c r="G94" s="166" t="str">
        <f t="shared" si="43"/>
        <v>Modelagem To Be</v>
      </c>
      <c r="H94" s="197" t="s">
        <v>236</v>
      </c>
      <c r="I94" s="166">
        <v>45880</v>
      </c>
      <c r="J94" s="166">
        <v>45884</v>
      </c>
      <c r="K94" s="166">
        <v>45880</v>
      </c>
      <c r="L94" s="166">
        <v>45884</v>
      </c>
      <c r="M94" s="167"/>
      <c r="N94" s="167" t="str">
        <f t="array" ref="N94">_xlfn.IFS(L94&lt;$M$3,"Concluído",AND(K94&gt;=$M$3,I94&lt;$M$3,L94&gt;$M$3),"Em andamento",AND(L94&gt;=$M$3,J94&lt;$M$3),"Atrasado",AND(L94&gt;=$M$3,J94&gt;=$M$3,I94&gt;$M$3,K94&lt;=$M$3),"Em andamento",AND(L94&gt;=$M$3,J94&gt;=$M$3,I94&lt;=$M$3,K94&lt;=$M$3),"Em andamento",AND(K94&gt;$M$3,I94&gt;$M$3),"Não iniciado",AND(L94&gt;=$M$3,J94&gt;=$M$3,K94&gt;=$M$3,I94&lt;$M$3),"Atrasado",AND(L94&gt;=$M$3,J94&gt;=$M$3,K94&gt;=$M$3,I94&gt;$M$3),"Não iniciado",AND($I94&lt;=$M$3,$K94&gt;$M$3),"Atrasado")</f>
        <v>Não iniciado</v>
      </c>
      <c r="O94" s="167">
        <f t="array" ref="O94">_xlfn.IFS(N94="Não iniciado",0,N94="Em andamento",1,N94="Concluído",2,N94="Atrasado",3)</f>
        <v>0</v>
      </c>
      <c r="P94" s="169"/>
      <c r="Q94" s="152">
        <f t="array" ref="Q94">_xlfn.IFS(AND($I94&lt;$M$3,$J94&lt;$M$3),1,AND($I94&lt;$M$3,$J94&gt;=$M$3),0.5,AND($I94&gt;=$M$3,$J94&gt;=$M$3),0)</f>
        <v>0</v>
      </c>
      <c r="R94" s="152">
        <f t="array" ref="R94">_xlfn.IFS(AND($K94&lt;$M$3,$L94&lt;$M$3),1,AND($K94&lt;=$M$3,$L94&gt;=$M$3),0.5,AND($K94&gt;=$M$3,$L94&gt;=$M$3),0)</f>
        <v>0</v>
      </c>
      <c r="S94" s="201">
        <f t="array" ref="S94">_xlfn.IFS(AND($K94&gt;R$7,$L94&gt;R$7),0,AND($K94&lt;=R$7,$L94&lt;=R$7),1,AND($K94&lt;=R$7,$L94&gt;R$7),((R$7-$K94)/($L94-$K94)))</f>
        <v>0</v>
      </c>
      <c r="T94" s="201">
        <f t="array" ref="T94">_xlfn.IFS(AND($K94&gt;S$7,$L94&gt;S$7),0,AND($K94&lt;=S$7,$L94&lt;=S$7),1,AND($K94&lt;=S$7,$L94&gt;S$7),((S$7-$K94)/($L94-$K94)))</f>
        <v>0</v>
      </c>
      <c r="U94" s="201">
        <f t="array" ref="U94">_xlfn.IFS(AND($K94&gt;T$7,$L94&gt;T$7),0,AND($K94&lt;=T$7,$L94&lt;=T$7),1,AND($K94&lt;=T$7,$L94&gt;T$7),((T$7-$K94)/($L94-$K94)))</f>
        <v>0</v>
      </c>
      <c r="V94" s="201">
        <f t="array" ref="V94">_xlfn.IFS(AND($K94&gt;U$7,$L94&gt;U$7),0,AND($K94&lt;=U$7,$L94&lt;=U$7),1,AND($K94&lt;=U$7,$L94&gt;U$7),((U$7-$K94)/($L94-$K94)))</f>
        <v>0</v>
      </c>
      <c r="W94" s="201">
        <f t="array" ref="W94">_xlfn.IFS(AND($K94&gt;V$7,$L94&gt;V$7),0,AND($K94&lt;=V$7,$L94&lt;=V$7),1,AND($K94&lt;=V$7,$L94&gt;V$7),((V$7-$K94)/($L94-$K94)))</f>
        <v>0</v>
      </c>
      <c r="X94" s="201">
        <f t="array" ref="X94">_xlfn.IFS(AND($K94&gt;W$7,$L94&gt;W$7),0,AND($K94&lt;=W$7,$L94&lt;=W$7),1,AND($K94&lt;=W$7,$L94&gt;W$7),((W$7-$K94)/($L94-$K94)))</f>
        <v>0</v>
      </c>
      <c r="Y94" s="201">
        <f t="array" ref="Y94">_xlfn.IFS(AND($K94&gt;X$7,$L94&gt;X$7),0,AND($K94&lt;=X$7,$L94&lt;=X$7),1,AND($K94&lt;=X$7,$L94&gt;X$7),((X$7-$K94)/($L94-$K94)))</f>
        <v>0</v>
      </c>
      <c r="Z94" s="201">
        <f t="array" ref="Z94">_xlfn.IFS(AND($K94&gt;Y$7,$L94&gt;Y$7),0,AND($K94&lt;=Y$7,$L94&lt;=Y$7),1,AND($K94&lt;=Y$7,$L94&gt;Y$7),((Y$7-$K94)/($L94-$K94)))</f>
        <v>0</v>
      </c>
      <c r="AA94" s="201">
        <f t="array" ref="AA94">_xlfn.IFS(AND($K94&gt;Z$7,$L94&gt;Z$7),0,AND($K94&lt;=Z$7,$L94&lt;=Z$7),1,AND($K94&lt;=Z$7,$L94&gt;Z$7),((Z$7-$K94)/($L94-$K94)))</f>
        <v>0</v>
      </c>
      <c r="AB94" s="201">
        <f t="array" ref="AB94">_xlfn.IFS(AND($K94&gt;AA$7,$L94&gt;AA$7),0,AND($K94&lt;=AA$7,$L94&lt;=AA$7),1,AND($K94&lt;=AA$7,$L94&gt;AA$7),((AA$7-$K94)/($L94-$K94)))</f>
        <v>0</v>
      </c>
      <c r="AC94" s="201">
        <f t="array" ref="AC94">_xlfn.IFS(AND($K94&gt;AB$7,$L94&gt;AB$7),0,AND($K94&lt;=AB$7,$L94&lt;=AB$7),1,AND($K94&lt;=AB$7,$L94&gt;AB$7),((AB$7-$K94)/($L94-$K94)))</f>
        <v>0</v>
      </c>
      <c r="AD94" s="201">
        <f t="array" ref="AD94">_xlfn.IFS(AND($K94&gt;AC$7,$L94&gt;AC$7),0,AND($K94&lt;=AC$7,$L94&lt;=AC$7),1,AND($K94&lt;=AC$7,$L94&gt;AC$7),((AC$7-$K94)/($L94-$K94)))</f>
        <v>0</v>
      </c>
      <c r="AE94" s="201">
        <f t="array" ref="AE94">_xlfn.IFS(AND($K94&gt;AD$7,$L94&gt;AD$7),0,AND($K94&lt;=AD$7,$L94&lt;=AD$7),1,AND($K94&lt;=AD$7,$L94&gt;AD$7),((AD$7-$K94)/($L94-$K94)))</f>
        <v>0</v>
      </c>
      <c r="AF94" s="201">
        <f t="array" ref="AF94">_xlfn.IFS(AND($K94&gt;AE$7,$L94&gt;AE$7),0,AND($K94&lt;=AE$7,$L94&lt;=AE$7),1,AND($K94&lt;=AE$7,$L94&gt;AE$7),((AE$7-$K94)/($L94-$K94)))</f>
        <v>0</v>
      </c>
      <c r="AG94" s="201">
        <f t="array" ref="AG94">_xlfn.IFS(AND($K94&gt;AF$7,$L94&gt;AF$7),0,AND($K94&lt;=AF$7,$L94&lt;=AF$7),1,AND($K94&lt;=AF$7,$L94&gt;AF$7),((AF$7-$K94)/($L94-$K94)))</f>
        <v>0</v>
      </c>
      <c r="AH94" s="201">
        <f t="array" ref="AH94">_xlfn.IFS(AND($K94&gt;AG$7,$L94&gt;AG$7),0,AND($K94&lt;=AG$7,$L94&lt;=AG$7),1,AND($K94&lt;=AG$7,$L94&gt;AG$7),((AG$7-$K94)/($L94-$K94)))</f>
        <v>0</v>
      </c>
      <c r="AI94" s="201">
        <f t="array" ref="AI94">_xlfn.IFS(AND($K94&gt;AH$7,$L94&gt;AH$7),0,AND($K94&lt;=AH$7,$L94&lt;=AH$7),1,AND($K94&lt;=AH$7,$L94&gt;AH$7),((AH$7-$K94)/($L94-$K94)))</f>
        <v>0</v>
      </c>
      <c r="AJ94" s="201">
        <f t="array" ref="AJ94">_xlfn.IFS(AND($K94&gt;AI$7,$L94&gt;AI$7),0,AND($K94&lt;=AI$7,$L94&lt;=AI$7),1,AND($K94&lt;=AI$7,$L94&gt;AI$7),((AI$7-$K94)/($L94-$K94)))</f>
        <v>0</v>
      </c>
      <c r="AK94" s="201">
        <f t="array" ref="AK94">_xlfn.IFS(AND($K94&gt;AJ$7,$L94&gt;AJ$7),0,AND($K94&lt;=AJ$7,$L94&lt;=AJ$7),1,AND($K94&lt;=AJ$7,$L94&gt;AJ$7),((AJ$7-$K94)/($L94-$K94)))</f>
        <v>0</v>
      </c>
      <c r="AL94" s="201">
        <f t="array" ref="AL94">_xlfn.IFS(AND($K94&gt;AK$7,$L94&gt;AK$7),0,AND($K94&lt;=AK$7,$L94&lt;=AK$7),1,AND($K94&lt;=AK$7,$L94&gt;AK$7),((AK$7-$K94)/($L94-$K94)))</f>
        <v>0</v>
      </c>
      <c r="AM94" s="201">
        <f t="array" ref="AM94">_xlfn.IFS(AND($K94&gt;AL$7,$L94&gt;AL$7),0,AND($K94&lt;=AL$7,$L94&lt;=AL$7),1,AND($K94&lt;=AL$7,$L94&gt;AL$7),((AL$7-$K94)/($L94-$K94)))</f>
        <v>0</v>
      </c>
      <c r="AN94" s="201">
        <f t="array" ref="AN94">_xlfn.IFS(AND($K94&gt;AM$7,$L94&gt;AM$7),0,AND($K94&lt;=AM$7,$L94&lt;=AM$7),1,AND($K94&lt;=AM$7,$L94&gt;AM$7),((AM$7-$K94)/($L94-$K94)))</f>
        <v>0</v>
      </c>
      <c r="AO94" s="201">
        <f t="array" ref="AO94">_xlfn.IFS(AND($K94&gt;AN$7,$L94&gt;AN$7),0,AND($K94&lt;=AN$7,$L94&lt;=AN$7),1,AND($K94&lt;=AN$7,$L94&gt;AN$7),((AN$7-$K94)/($L94-$K94)))</f>
        <v>0</v>
      </c>
      <c r="AP94" s="201">
        <f t="array" ref="AP94">_xlfn.IFS(AND($K94&gt;AO$7,$L94&gt;AO$7),0,AND($K94&lt;=AO$7,$L94&lt;=AO$7),1,AND($K94&lt;=AO$7,$L94&gt;AO$7),((AO$7-$K94)/($L94-$K94)))</f>
        <v>0</v>
      </c>
      <c r="AQ94" s="201">
        <f t="array" ref="AQ94">_xlfn.IFS(AND($K94&gt;AP$7,$L94&gt;AP$7),0,AND($K94&lt;=AP$7,$L94&lt;=AP$7),1,AND($K94&lt;=AP$7,$L94&gt;AP$7),((AP$7-$K94)/($L94-$K94)))</f>
        <v>0</v>
      </c>
      <c r="AR94" s="201">
        <f t="array" ref="AR94">_xlfn.IFS(AND($K94&gt;AQ$7,$L94&gt;AQ$7),0,AND($K94&lt;=AQ$7,$L94&lt;=AQ$7),1,AND($K94&lt;=AQ$7,$L94&gt;AQ$7),((AQ$7-$K94)/($L94-$K94)))</f>
        <v>0</v>
      </c>
      <c r="AS94" s="201">
        <f t="array" ref="AS94">_xlfn.IFS(AND($K94&gt;AR$7,$L94&gt;AR$7),0,AND($K94&lt;=AR$7,$L94&lt;=AR$7),1,AND($K94&lt;=AR$7,$L94&gt;AR$7),((AR$7-$K94)/($L94-$K94)))</f>
        <v>0</v>
      </c>
      <c r="AT94" s="201">
        <f t="array" ref="AT94">_xlfn.IFS(AND($K94&gt;AS$7,$L94&gt;AS$7),0,AND($K94&lt;=AS$7,$L94&lt;=AS$7),1,AND($K94&lt;=AS$7,$L94&gt;AS$7),((AS$7-$K94)/($L94-$K94)))</f>
        <v>0</v>
      </c>
      <c r="AU94" s="201">
        <f t="array" ref="AU94">_xlfn.IFS(AND($K94&gt;AT$7,$L94&gt;AT$7),0,AND($K94&lt;=AT$7,$L94&lt;=AT$7),1,AND($K94&lt;=AT$7,$L94&gt;AT$7),((AT$7-$K94)/($L94-$K94)))</f>
        <v>1</v>
      </c>
      <c r="AV94" s="201">
        <f t="array" ref="AV94">_xlfn.IFS(AND($K94&gt;AU$7,$L94&gt;AU$7),0,AND($K94&lt;=AU$7,$L94&lt;=AU$7),1,AND($K94&lt;=AU$7,$L94&gt;AU$7),((AU$7-$K94)/($L94-$K94)))</f>
        <v>1</v>
      </c>
      <c r="AW94" s="201">
        <f t="array" ref="AW94">_xlfn.IFS(AND($K94&gt;AV$7,$L94&gt;AV$7),0,AND($K94&lt;=AV$7,$L94&lt;=AV$7),1,AND($K94&lt;=AV$7,$L94&gt;AV$7),((AV$7-$K94)/($L94-$K94)))</f>
        <v>1</v>
      </c>
      <c r="AX94" s="201">
        <f t="array" ref="AX94">_xlfn.IFS(AND($K94&gt;AW$7,$L94&gt;AW$7),0,AND($K94&lt;=AW$7,$L94&lt;=AW$7),1,AND($K94&lt;=AW$7,$L94&gt;AW$7),((AW$7-$K94)/($L94-$K94)))</f>
        <v>1</v>
      </c>
      <c r="AY94" s="201">
        <f t="array" ref="AY94">_xlfn.IFS(AND($K94&gt;AX$7,$L94&gt;AX$7),0,AND($K94&lt;=AX$7,$L94&lt;=AX$7),1,AND($K94&lt;=AX$7,$L94&gt;AX$7),((AX$7-$K94)/($L94-$K94)))</f>
        <v>1</v>
      </c>
      <c r="AZ94" s="201">
        <f t="array" ref="AZ94">_xlfn.IFS(AND($K94&gt;AY$7,$L94&gt;AY$7),0,AND($K94&lt;=AY$7,$L94&lt;=AY$7),1,AND($K94&lt;=AY$7,$L94&gt;AY$7),((AY$7-$K94)/($L94-$K94)))</f>
        <v>1</v>
      </c>
      <c r="BA94" s="201">
        <f t="array" ref="BA94">_xlfn.IFS(AND($K94&gt;AZ$7,$L94&gt;AZ$7),0,AND($K94&lt;=AZ$7,$L94&lt;=AZ$7),1,AND($K94&lt;=AZ$7,$L94&gt;AZ$7),((AZ$7-$K94)/($L94-$K94)))</f>
        <v>1</v>
      </c>
      <c r="BB94" s="201">
        <f t="array" ref="BB94">_xlfn.IFS(AND($K94&gt;BA$7,$L94&gt;BA$7),0,AND($K94&lt;=BA$7,$L94&lt;=BA$7),1,AND($K94&lt;=BA$7,$L94&gt;BA$7),((BA$7-$K94)/($L94-$K94)))</f>
        <v>1</v>
      </c>
      <c r="BC94" s="201">
        <f t="array" ref="BC94">_xlfn.IFS(AND($K94&gt;BB$7,$L94&gt;BB$7),0,AND($K94&lt;=BB$7,$L94&lt;=BB$7),1,AND($K94&lt;=BB$7,$L94&gt;BB$7),((BB$7-$K94)/($L94-$K94)))</f>
        <v>1</v>
      </c>
      <c r="BD94" s="201">
        <f t="array" ref="BD94">_xlfn.IFS(AND($K94&gt;BC$7,$L94&gt;BC$7),0,AND($K94&lt;=BC$7,$L94&lt;=BC$7),1,AND($K94&lt;=BC$7,$L94&gt;BC$7),((BC$7-$K94)/($L94-$K94)))</f>
        <v>1</v>
      </c>
      <c r="BE94" s="201">
        <f t="array" ref="BE94">_xlfn.IFS(AND($K94&gt;BD$7,$L94&gt;BD$7),0,AND($K94&lt;=BD$7,$L94&lt;=BD$7),1,AND($K94&lt;=BD$7,$L94&gt;BD$7),((BD$7-$K94)/($L94-$K94)))</f>
        <v>1</v>
      </c>
      <c r="BF94" s="201">
        <f t="array" ref="BF94">_xlfn.IFS(AND($K94&gt;BE$7,$L94&gt;BE$7),0,AND($K94&lt;=BE$7,$L94&lt;=BE$7),1,AND($K94&lt;=BE$7,$L94&gt;BE$7),((BE$7-$K94)/($L94-$K94)))</f>
        <v>1</v>
      </c>
      <c r="BG94" s="201">
        <f t="array" ref="BG94">_xlfn.IFS(AND($K94&gt;BF$7,$L94&gt;BF$7),0,AND($K94&lt;=BF$7,$L94&lt;=BF$7),1,AND($K94&lt;=BF$7,$L94&gt;BF$7),((BF$7-$K94)/($L94-$K94)))</f>
        <v>1</v>
      </c>
      <c r="BH94" s="201">
        <f t="array" ref="BH94">_xlfn.IFS(AND($K94&gt;BG$7,$L94&gt;BG$7),0,AND($K94&lt;=BG$7,$L94&lt;=BG$7),1,AND($K94&lt;=BG$7,$L94&gt;BG$7),((BG$7-$K94)/($L94-$K94)))</f>
        <v>1</v>
      </c>
      <c r="BI94" s="201">
        <f t="array" ref="BI94">_xlfn.IFS(AND($K94&gt;BH$7,$L94&gt;BH$7),0,AND($K94&lt;=BH$7,$L94&lt;=BH$7),1,AND($K94&lt;=BH$7,$L94&gt;BH$7),((BH$7-$K94)/($L94-$K94)))</f>
        <v>1</v>
      </c>
      <c r="BJ94" s="201">
        <f t="array" ref="BJ94">_xlfn.IFS(AND($K94&gt;BI$7,$L94&gt;BI$7),0,AND($K94&lt;=BI$7,$L94&lt;=BI$7),1,AND($K94&lt;=BI$7,$L94&gt;BI$7),((BI$7-$K94)/($L94-$K94)))</f>
        <v>1</v>
      </c>
      <c r="BK94" s="201">
        <f t="array" ref="BK94">_xlfn.IFS(AND($K94&gt;BJ$7,$L94&gt;BJ$7),0,AND($K94&lt;=BJ$7,$L94&lt;=BJ$7),1,AND($K94&lt;=BJ$7,$L94&gt;BJ$7),((BJ$7-$K94)/($L94-$K94)))</f>
        <v>1</v>
      </c>
      <c r="BL94" s="201">
        <f t="array" ref="BL94">_xlfn.IFS(AND($K94&gt;BK$7,$L94&gt;BK$7),0,AND($K94&lt;=BK$7,$L94&lt;=BK$7),1,AND($K94&lt;=BK$7,$L94&gt;BK$7),((BK$7-$K94)/($L94-$K94)))</f>
        <v>1</v>
      </c>
      <c r="BM94" s="201">
        <f t="array" ref="BM94">_xlfn.IFS(AND($K94&gt;BL$7,$L94&gt;BL$7),0,AND($K94&lt;=BL$7,$L94&lt;=BL$7),1,AND($K94&lt;=BL$7,$L94&gt;BL$7),((BL$7-$K94)/($L94-$K94)))</f>
        <v>1</v>
      </c>
      <c r="BN94" s="201">
        <f t="array" ref="BN94">_xlfn.IFS(AND($K94&gt;BM$7,$L94&gt;BM$7),0,AND($K94&lt;=BM$7,$L94&lt;=BM$7),1,AND($K94&lt;=BM$7,$L94&gt;BM$7),((BM$7-$K94)/($L94-$K94)))</f>
        <v>1</v>
      </c>
    </row>
    <row r="95" spans="2:66" s="163" customFormat="1" x14ac:dyDescent="0.3">
      <c r="B95" s="166" t="s">
        <v>161</v>
      </c>
      <c r="C95" s="166" t="s">
        <v>237</v>
      </c>
      <c r="D95" s="177"/>
      <c r="E95" s="170" t="str">
        <f t="shared" si="42"/>
        <v>Desenvolvimento da Transformação dos Processos</v>
      </c>
      <c r="F95" s="174" t="str">
        <f t="shared" si="39"/>
        <v>Modelagem To Be</v>
      </c>
      <c r="G95" s="166" t="str">
        <f t="shared" si="43"/>
        <v>Modelagem To Be</v>
      </c>
      <c r="H95" s="197" t="s">
        <v>238</v>
      </c>
      <c r="I95" s="166">
        <v>45880</v>
      </c>
      <c r="J95" s="166">
        <v>45884</v>
      </c>
      <c r="K95" s="166">
        <v>45880</v>
      </c>
      <c r="L95" s="166">
        <v>45884</v>
      </c>
      <c r="M95" s="167"/>
      <c r="N95" s="167" t="str">
        <f t="array" ref="N95">_xlfn.IFS(L95&lt;$M$3,"Concluído",AND(K95&gt;=$M$3,I95&lt;$M$3,L95&gt;$M$3),"Em andamento",AND(L95&gt;=$M$3,J95&lt;$M$3),"Atrasado",AND(L95&gt;=$M$3,J95&gt;=$M$3,I95&gt;$M$3,K95&lt;=$M$3),"Em andamento",AND(L95&gt;=$M$3,J95&gt;=$M$3,I95&lt;=$M$3,K95&lt;=$M$3),"Em andamento",AND(K95&gt;$M$3,I95&gt;$M$3),"Não iniciado",AND(L95&gt;=$M$3,J95&gt;=$M$3,K95&gt;=$M$3,I95&lt;$M$3),"Atrasado",AND(L95&gt;=$M$3,J95&gt;=$M$3,K95&gt;=$M$3,I95&gt;$M$3),"Não iniciado",AND($I95&lt;=$M$3,$K95&gt;$M$3),"Atrasado")</f>
        <v>Não iniciado</v>
      </c>
      <c r="O95" s="167">
        <f t="array" ref="O95">_xlfn.IFS(N95="Não iniciado",0,N95="Em andamento",1,N95="Concluído",2,N95="Atrasado",3)</f>
        <v>0</v>
      </c>
      <c r="P95" s="169"/>
      <c r="Q95" s="152">
        <f t="array" ref="Q95">_xlfn.IFS(AND($I95&lt;$M$3,$J95&lt;$M$3),1,AND($I95&lt;$M$3,$J95&gt;=$M$3),0.5,AND($I95&gt;=$M$3,$J95&gt;=$M$3),0)</f>
        <v>0</v>
      </c>
      <c r="R95" s="152">
        <f t="array" ref="R95">_xlfn.IFS(AND($K95&lt;$M$3,$L95&lt;$M$3),1,AND($K95&lt;=$M$3,$L95&gt;=$M$3),0.5,AND($K95&gt;=$M$3,$L95&gt;=$M$3),0)</f>
        <v>0</v>
      </c>
      <c r="S95" s="201">
        <f t="array" ref="S95">_xlfn.IFS(AND($K95&gt;R$7,$L95&gt;R$7),0,AND($K95&lt;=R$7,$L95&lt;=R$7),1,AND($K95&lt;=R$7,$L95&gt;R$7),((R$7-$K95)/($L95-$K95)))</f>
        <v>0</v>
      </c>
      <c r="T95" s="201">
        <f t="array" ref="T95">_xlfn.IFS(AND($K95&gt;S$7,$L95&gt;S$7),0,AND($K95&lt;=S$7,$L95&lt;=S$7),1,AND($K95&lt;=S$7,$L95&gt;S$7),((S$7-$K95)/($L95-$K95)))</f>
        <v>0</v>
      </c>
      <c r="U95" s="201">
        <f t="array" ref="U95">_xlfn.IFS(AND($K95&gt;T$7,$L95&gt;T$7),0,AND($K95&lt;=T$7,$L95&lt;=T$7),1,AND($K95&lt;=T$7,$L95&gt;T$7),((T$7-$K95)/($L95-$K95)))</f>
        <v>0</v>
      </c>
      <c r="V95" s="201">
        <f t="array" ref="V95">_xlfn.IFS(AND($K95&gt;U$7,$L95&gt;U$7),0,AND($K95&lt;=U$7,$L95&lt;=U$7),1,AND($K95&lt;=U$7,$L95&gt;U$7),((U$7-$K95)/($L95-$K95)))</f>
        <v>0</v>
      </c>
      <c r="W95" s="201">
        <f t="array" ref="W95">_xlfn.IFS(AND($K95&gt;V$7,$L95&gt;V$7),0,AND($K95&lt;=V$7,$L95&lt;=V$7),1,AND($K95&lt;=V$7,$L95&gt;V$7),((V$7-$K95)/($L95-$K95)))</f>
        <v>0</v>
      </c>
      <c r="X95" s="201">
        <f t="array" ref="X95">_xlfn.IFS(AND($K95&gt;W$7,$L95&gt;W$7),0,AND($K95&lt;=W$7,$L95&lt;=W$7),1,AND($K95&lt;=W$7,$L95&gt;W$7),((W$7-$K95)/($L95-$K95)))</f>
        <v>0</v>
      </c>
      <c r="Y95" s="201">
        <f t="array" ref="Y95">_xlfn.IFS(AND($K95&gt;X$7,$L95&gt;X$7),0,AND($K95&lt;=X$7,$L95&lt;=X$7),1,AND($K95&lt;=X$7,$L95&gt;X$7),((X$7-$K95)/($L95-$K95)))</f>
        <v>0</v>
      </c>
      <c r="Z95" s="201">
        <f t="array" ref="Z95">_xlfn.IFS(AND($K95&gt;Y$7,$L95&gt;Y$7),0,AND($K95&lt;=Y$7,$L95&lt;=Y$7),1,AND($K95&lt;=Y$7,$L95&gt;Y$7),((Y$7-$K95)/($L95-$K95)))</f>
        <v>0</v>
      </c>
      <c r="AA95" s="201">
        <f t="array" ref="AA95">_xlfn.IFS(AND($K95&gt;Z$7,$L95&gt;Z$7),0,AND($K95&lt;=Z$7,$L95&lt;=Z$7),1,AND($K95&lt;=Z$7,$L95&gt;Z$7),((Z$7-$K95)/($L95-$K95)))</f>
        <v>0</v>
      </c>
      <c r="AB95" s="201">
        <f t="array" ref="AB95">_xlfn.IFS(AND($K95&gt;AA$7,$L95&gt;AA$7),0,AND($K95&lt;=AA$7,$L95&lt;=AA$7),1,AND($K95&lt;=AA$7,$L95&gt;AA$7),((AA$7-$K95)/($L95-$K95)))</f>
        <v>0</v>
      </c>
      <c r="AC95" s="201">
        <f t="array" ref="AC95">_xlfn.IFS(AND($K95&gt;AB$7,$L95&gt;AB$7),0,AND($K95&lt;=AB$7,$L95&lt;=AB$7),1,AND($K95&lt;=AB$7,$L95&gt;AB$7),((AB$7-$K95)/($L95-$K95)))</f>
        <v>0</v>
      </c>
      <c r="AD95" s="201">
        <f t="array" ref="AD95">_xlfn.IFS(AND($K95&gt;AC$7,$L95&gt;AC$7),0,AND($K95&lt;=AC$7,$L95&lt;=AC$7),1,AND($K95&lt;=AC$7,$L95&gt;AC$7),((AC$7-$K95)/($L95-$K95)))</f>
        <v>0</v>
      </c>
      <c r="AE95" s="201">
        <f t="array" ref="AE95">_xlfn.IFS(AND($K95&gt;AD$7,$L95&gt;AD$7),0,AND($K95&lt;=AD$7,$L95&lt;=AD$7),1,AND($K95&lt;=AD$7,$L95&gt;AD$7),((AD$7-$K95)/($L95-$K95)))</f>
        <v>0</v>
      </c>
      <c r="AF95" s="201">
        <f t="array" ref="AF95">_xlfn.IFS(AND($K95&gt;AE$7,$L95&gt;AE$7),0,AND($K95&lt;=AE$7,$L95&lt;=AE$7),1,AND($K95&lt;=AE$7,$L95&gt;AE$7),((AE$7-$K95)/($L95-$K95)))</f>
        <v>0</v>
      </c>
      <c r="AG95" s="201">
        <f t="array" ref="AG95">_xlfn.IFS(AND($K95&gt;AF$7,$L95&gt;AF$7),0,AND($K95&lt;=AF$7,$L95&lt;=AF$7),1,AND($K95&lt;=AF$7,$L95&gt;AF$7),((AF$7-$K95)/($L95-$K95)))</f>
        <v>0</v>
      </c>
      <c r="AH95" s="201">
        <f t="array" ref="AH95">_xlfn.IFS(AND($K95&gt;AG$7,$L95&gt;AG$7),0,AND($K95&lt;=AG$7,$L95&lt;=AG$7),1,AND($K95&lt;=AG$7,$L95&gt;AG$7),((AG$7-$K95)/($L95-$K95)))</f>
        <v>0</v>
      </c>
      <c r="AI95" s="201">
        <f t="array" ref="AI95">_xlfn.IFS(AND($K95&gt;AH$7,$L95&gt;AH$7),0,AND($K95&lt;=AH$7,$L95&lt;=AH$7),1,AND($K95&lt;=AH$7,$L95&gt;AH$7),((AH$7-$K95)/($L95-$K95)))</f>
        <v>0</v>
      </c>
      <c r="AJ95" s="201">
        <f t="array" ref="AJ95">_xlfn.IFS(AND($K95&gt;AI$7,$L95&gt;AI$7),0,AND($K95&lt;=AI$7,$L95&lt;=AI$7),1,AND($K95&lt;=AI$7,$L95&gt;AI$7),((AI$7-$K95)/($L95-$K95)))</f>
        <v>0</v>
      </c>
      <c r="AK95" s="201">
        <f t="array" ref="AK95">_xlfn.IFS(AND($K95&gt;AJ$7,$L95&gt;AJ$7),0,AND($K95&lt;=AJ$7,$L95&lt;=AJ$7),1,AND($K95&lt;=AJ$7,$L95&gt;AJ$7),((AJ$7-$K95)/($L95-$K95)))</f>
        <v>0</v>
      </c>
      <c r="AL95" s="201">
        <f t="array" ref="AL95">_xlfn.IFS(AND($K95&gt;AK$7,$L95&gt;AK$7),0,AND($K95&lt;=AK$7,$L95&lt;=AK$7),1,AND($K95&lt;=AK$7,$L95&gt;AK$7),((AK$7-$K95)/($L95-$K95)))</f>
        <v>0</v>
      </c>
      <c r="AM95" s="201">
        <f t="array" ref="AM95">_xlfn.IFS(AND($K95&gt;AL$7,$L95&gt;AL$7),0,AND($K95&lt;=AL$7,$L95&lt;=AL$7),1,AND($K95&lt;=AL$7,$L95&gt;AL$7),((AL$7-$K95)/($L95-$K95)))</f>
        <v>0</v>
      </c>
      <c r="AN95" s="201">
        <f t="array" ref="AN95">_xlfn.IFS(AND($K95&gt;AM$7,$L95&gt;AM$7),0,AND($K95&lt;=AM$7,$L95&lt;=AM$7),1,AND($K95&lt;=AM$7,$L95&gt;AM$7),((AM$7-$K95)/($L95-$K95)))</f>
        <v>0</v>
      </c>
      <c r="AO95" s="201">
        <f t="array" ref="AO95">_xlfn.IFS(AND($K95&gt;AN$7,$L95&gt;AN$7),0,AND($K95&lt;=AN$7,$L95&lt;=AN$7),1,AND($K95&lt;=AN$7,$L95&gt;AN$7),((AN$7-$K95)/($L95-$K95)))</f>
        <v>0</v>
      </c>
      <c r="AP95" s="201">
        <f t="array" ref="AP95">_xlfn.IFS(AND($K95&gt;AO$7,$L95&gt;AO$7),0,AND($K95&lt;=AO$7,$L95&lt;=AO$7),1,AND($K95&lt;=AO$7,$L95&gt;AO$7),((AO$7-$K95)/($L95-$K95)))</f>
        <v>0</v>
      </c>
      <c r="AQ95" s="201">
        <f t="array" ref="AQ95">_xlfn.IFS(AND($K95&gt;AP$7,$L95&gt;AP$7),0,AND($K95&lt;=AP$7,$L95&lt;=AP$7),1,AND($K95&lt;=AP$7,$L95&gt;AP$7),((AP$7-$K95)/($L95-$K95)))</f>
        <v>0</v>
      </c>
      <c r="AR95" s="201">
        <f t="array" ref="AR95">_xlfn.IFS(AND($K95&gt;AQ$7,$L95&gt;AQ$7),0,AND($K95&lt;=AQ$7,$L95&lt;=AQ$7),1,AND($K95&lt;=AQ$7,$L95&gt;AQ$7),((AQ$7-$K95)/($L95-$K95)))</f>
        <v>0</v>
      </c>
      <c r="AS95" s="201">
        <f t="array" ref="AS95">_xlfn.IFS(AND($K95&gt;AR$7,$L95&gt;AR$7),0,AND($K95&lt;=AR$7,$L95&lt;=AR$7),1,AND($K95&lt;=AR$7,$L95&gt;AR$7),((AR$7-$K95)/($L95-$K95)))</f>
        <v>0</v>
      </c>
      <c r="AT95" s="201">
        <f t="array" ref="AT95">_xlfn.IFS(AND($K95&gt;AS$7,$L95&gt;AS$7),0,AND($K95&lt;=AS$7,$L95&lt;=AS$7),1,AND($K95&lt;=AS$7,$L95&gt;AS$7),((AS$7-$K95)/($L95-$K95)))</f>
        <v>0</v>
      </c>
      <c r="AU95" s="201">
        <f t="array" ref="AU95">_xlfn.IFS(AND($K95&gt;AT$7,$L95&gt;AT$7),0,AND($K95&lt;=AT$7,$L95&lt;=AT$7),1,AND($K95&lt;=AT$7,$L95&gt;AT$7),((AT$7-$K95)/($L95-$K95)))</f>
        <v>1</v>
      </c>
      <c r="AV95" s="201">
        <f t="array" ref="AV95">_xlfn.IFS(AND($K95&gt;AU$7,$L95&gt;AU$7),0,AND($K95&lt;=AU$7,$L95&lt;=AU$7),1,AND($K95&lt;=AU$7,$L95&gt;AU$7),((AU$7-$K95)/($L95-$K95)))</f>
        <v>1</v>
      </c>
      <c r="AW95" s="201">
        <f t="array" ref="AW95">_xlfn.IFS(AND($K95&gt;AV$7,$L95&gt;AV$7),0,AND($K95&lt;=AV$7,$L95&lt;=AV$7),1,AND($K95&lt;=AV$7,$L95&gt;AV$7),((AV$7-$K95)/($L95-$K95)))</f>
        <v>1</v>
      </c>
      <c r="AX95" s="201">
        <f t="array" ref="AX95">_xlfn.IFS(AND($K95&gt;AW$7,$L95&gt;AW$7),0,AND($K95&lt;=AW$7,$L95&lt;=AW$7),1,AND($K95&lt;=AW$7,$L95&gt;AW$7),((AW$7-$K95)/($L95-$K95)))</f>
        <v>1</v>
      </c>
      <c r="AY95" s="201">
        <f t="array" ref="AY95">_xlfn.IFS(AND($K95&gt;AX$7,$L95&gt;AX$7),0,AND($K95&lt;=AX$7,$L95&lt;=AX$7),1,AND($K95&lt;=AX$7,$L95&gt;AX$7),((AX$7-$K95)/($L95-$K95)))</f>
        <v>1</v>
      </c>
      <c r="AZ95" s="201">
        <f t="array" ref="AZ95">_xlfn.IFS(AND($K95&gt;AY$7,$L95&gt;AY$7),0,AND($K95&lt;=AY$7,$L95&lt;=AY$7),1,AND($K95&lt;=AY$7,$L95&gt;AY$7),((AY$7-$K95)/($L95-$K95)))</f>
        <v>1</v>
      </c>
      <c r="BA95" s="201">
        <f t="array" ref="BA95">_xlfn.IFS(AND($K95&gt;AZ$7,$L95&gt;AZ$7),0,AND($K95&lt;=AZ$7,$L95&lt;=AZ$7),1,AND($K95&lt;=AZ$7,$L95&gt;AZ$7),((AZ$7-$K95)/($L95-$K95)))</f>
        <v>1</v>
      </c>
      <c r="BB95" s="201">
        <f t="array" ref="BB95">_xlfn.IFS(AND($K95&gt;BA$7,$L95&gt;BA$7),0,AND($K95&lt;=BA$7,$L95&lt;=BA$7),1,AND($K95&lt;=BA$7,$L95&gt;BA$7),((BA$7-$K95)/($L95-$K95)))</f>
        <v>1</v>
      </c>
      <c r="BC95" s="201">
        <f t="array" ref="BC95">_xlfn.IFS(AND($K95&gt;BB$7,$L95&gt;BB$7),0,AND($K95&lt;=BB$7,$L95&lt;=BB$7),1,AND($K95&lt;=BB$7,$L95&gt;BB$7),((BB$7-$K95)/($L95-$K95)))</f>
        <v>1</v>
      </c>
      <c r="BD95" s="201">
        <f t="array" ref="BD95">_xlfn.IFS(AND($K95&gt;BC$7,$L95&gt;BC$7),0,AND($K95&lt;=BC$7,$L95&lt;=BC$7),1,AND($K95&lt;=BC$7,$L95&gt;BC$7),((BC$7-$K95)/($L95-$K95)))</f>
        <v>1</v>
      </c>
      <c r="BE95" s="201">
        <f t="array" ref="BE95">_xlfn.IFS(AND($K95&gt;BD$7,$L95&gt;BD$7),0,AND($K95&lt;=BD$7,$L95&lt;=BD$7),1,AND($K95&lt;=BD$7,$L95&gt;BD$7),((BD$7-$K95)/($L95-$K95)))</f>
        <v>1</v>
      </c>
      <c r="BF95" s="201">
        <f t="array" ref="BF95">_xlfn.IFS(AND($K95&gt;BE$7,$L95&gt;BE$7),0,AND($K95&lt;=BE$7,$L95&lt;=BE$7),1,AND($K95&lt;=BE$7,$L95&gt;BE$7),((BE$7-$K95)/($L95-$K95)))</f>
        <v>1</v>
      </c>
      <c r="BG95" s="201">
        <f t="array" ref="BG95">_xlfn.IFS(AND($K95&gt;BF$7,$L95&gt;BF$7),0,AND($K95&lt;=BF$7,$L95&lt;=BF$7),1,AND($K95&lt;=BF$7,$L95&gt;BF$7),((BF$7-$K95)/($L95-$K95)))</f>
        <v>1</v>
      </c>
      <c r="BH95" s="201">
        <f t="array" ref="BH95">_xlfn.IFS(AND($K95&gt;BG$7,$L95&gt;BG$7),0,AND($K95&lt;=BG$7,$L95&lt;=BG$7),1,AND($K95&lt;=BG$7,$L95&gt;BG$7),((BG$7-$K95)/($L95-$K95)))</f>
        <v>1</v>
      </c>
      <c r="BI95" s="201">
        <f t="array" ref="BI95">_xlfn.IFS(AND($K95&gt;BH$7,$L95&gt;BH$7),0,AND($K95&lt;=BH$7,$L95&lt;=BH$7),1,AND($K95&lt;=BH$7,$L95&gt;BH$7),((BH$7-$K95)/($L95-$K95)))</f>
        <v>1</v>
      </c>
      <c r="BJ95" s="201">
        <f t="array" ref="BJ95">_xlfn.IFS(AND($K95&gt;BI$7,$L95&gt;BI$7),0,AND($K95&lt;=BI$7,$L95&lt;=BI$7),1,AND($K95&lt;=BI$7,$L95&gt;BI$7),((BI$7-$K95)/($L95-$K95)))</f>
        <v>1</v>
      </c>
      <c r="BK95" s="201">
        <f t="array" ref="BK95">_xlfn.IFS(AND($K95&gt;BJ$7,$L95&gt;BJ$7),0,AND($K95&lt;=BJ$7,$L95&lt;=BJ$7),1,AND($K95&lt;=BJ$7,$L95&gt;BJ$7),((BJ$7-$K95)/($L95-$K95)))</f>
        <v>1</v>
      </c>
      <c r="BL95" s="201">
        <f t="array" ref="BL95">_xlfn.IFS(AND($K95&gt;BK$7,$L95&gt;BK$7),0,AND($K95&lt;=BK$7,$L95&lt;=BK$7),1,AND($K95&lt;=BK$7,$L95&gt;BK$7),((BK$7-$K95)/($L95-$K95)))</f>
        <v>1</v>
      </c>
      <c r="BM95" s="201">
        <f t="array" ref="BM95">_xlfn.IFS(AND($K95&gt;BL$7,$L95&gt;BL$7),0,AND($K95&lt;=BL$7,$L95&lt;=BL$7),1,AND($K95&lt;=BL$7,$L95&gt;BL$7),((BL$7-$K95)/($L95-$K95)))</f>
        <v>1</v>
      </c>
      <c r="BN95" s="201">
        <f t="array" ref="BN95">_xlfn.IFS(AND($K95&gt;BM$7,$L95&gt;BM$7),0,AND($K95&lt;=BM$7,$L95&lt;=BM$7),1,AND($K95&lt;=BM$7,$L95&gt;BM$7),((BM$7-$K95)/($L95-$K95)))</f>
        <v>1</v>
      </c>
    </row>
    <row r="96" spans="2:66" s="163" customFormat="1" ht="27.6" customHeight="1" x14ac:dyDescent="0.3">
      <c r="B96" s="166" t="s">
        <v>161</v>
      </c>
      <c r="C96" s="166" t="s">
        <v>239</v>
      </c>
      <c r="D96" s="177"/>
      <c r="E96" s="170" t="str">
        <f t="shared" si="42"/>
        <v>Desenvolvimento da Transformação dos Processos</v>
      </c>
      <c r="F96" s="174" t="str">
        <f t="shared" si="39"/>
        <v>Modelagem To Be</v>
      </c>
      <c r="G96" s="166" t="str">
        <f t="shared" si="43"/>
        <v>Modelagem To Be</v>
      </c>
      <c r="H96" s="197" t="s">
        <v>240</v>
      </c>
      <c r="I96" s="166">
        <v>45908</v>
      </c>
      <c r="J96" s="166">
        <v>45912</v>
      </c>
      <c r="K96" s="166">
        <v>45908</v>
      </c>
      <c r="L96" s="166">
        <v>45912</v>
      </c>
      <c r="M96" s="167"/>
      <c r="N96" s="167" t="str">
        <f t="array" ref="N96">_xlfn.IFS(L96&lt;$M$3,"Concluído",AND(K96&gt;=$M$3,I96&lt;$M$3,L96&gt;$M$3),"Em andamento",AND(L96&gt;=$M$3,J96&lt;$M$3),"Atrasado",AND(L96&gt;=$M$3,J96&gt;=$M$3,I96&gt;$M$3,K96&lt;=$M$3),"Em andamento",AND(L96&gt;=$M$3,J96&gt;=$M$3,I96&lt;=$M$3,K96&lt;=$M$3),"Em andamento",AND(K96&gt;$M$3,I96&gt;$M$3),"Não iniciado",AND(L96&gt;=$M$3,J96&gt;=$M$3,K96&gt;=$M$3,I96&lt;$M$3),"Atrasado",AND(L96&gt;=$M$3,J96&gt;=$M$3,K96&gt;=$M$3,I96&gt;$M$3),"Não iniciado",AND($I96&lt;=$M$3,$K96&gt;$M$3),"Atrasado")</f>
        <v>Não iniciado</v>
      </c>
      <c r="O96" s="167">
        <f t="array" ref="O96">_xlfn.IFS(N96="Não iniciado",0,N96="Em andamento",1,N96="Concluído",2,N96="Atrasado",3)</f>
        <v>0</v>
      </c>
      <c r="P96" s="169"/>
      <c r="Q96" s="152">
        <f t="array" ref="Q96">_xlfn.IFS(AND($I96&lt;$M$3,$J96&lt;$M$3),1,AND($I96&lt;$M$3,$J96&gt;=$M$3),0.5,AND($I96&gt;=$M$3,$J96&gt;=$M$3),0)</f>
        <v>0</v>
      </c>
      <c r="R96" s="152">
        <f t="array" ref="R96">_xlfn.IFS(AND($K96&lt;$M$3,$L96&lt;$M$3),1,AND($K96&lt;=$M$3,$L96&gt;=$M$3),0.5,AND($K96&gt;=$M$3,$L96&gt;=$M$3),0)</f>
        <v>0</v>
      </c>
      <c r="S96" s="201">
        <f t="array" ref="S96">_xlfn.IFS(AND($K96&gt;R$7,$L96&gt;R$7),0,AND($K96&lt;=R$7,$L96&lt;=R$7),1,AND($K96&lt;=R$7,$L96&gt;R$7),((R$7-$K96)/($L96-$K96)))</f>
        <v>0</v>
      </c>
      <c r="T96" s="201">
        <f t="array" ref="T96">_xlfn.IFS(AND($K96&gt;S$7,$L96&gt;S$7),0,AND($K96&lt;=S$7,$L96&lt;=S$7),1,AND($K96&lt;=S$7,$L96&gt;S$7),((S$7-$K96)/($L96-$K96)))</f>
        <v>0</v>
      </c>
      <c r="U96" s="201">
        <f t="array" ref="U96">_xlfn.IFS(AND($K96&gt;T$7,$L96&gt;T$7),0,AND($K96&lt;=T$7,$L96&lt;=T$7),1,AND($K96&lt;=T$7,$L96&gt;T$7),((T$7-$K96)/($L96-$K96)))</f>
        <v>0</v>
      </c>
      <c r="V96" s="201">
        <f t="array" ref="V96">_xlfn.IFS(AND($K96&gt;U$7,$L96&gt;U$7),0,AND($K96&lt;=U$7,$L96&lt;=U$7),1,AND($K96&lt;=U$7,$L96&gt;U$7),((U$7-$K96)/($L96-$K96)))</f>
        <v>0</v>
      </c>
      <c r="W96" s="201">
        <f t="array" ref="W96">_xlfn.IFS(AND($K96&gt;V$7,$L96&gt;V$7),0,AND($K96&lt;=V$7,$L96&lt;=V$7),1,AND($K96&lt;=V$7,$L96&gt;V$7),((V$7-$K96)/($L96-$K96)))</f>
        <v>0</v>
      </c>
      <c r="X96" s="201">
        <f t="array" ref="X96">_xlfn.IFS(AND($K96&gt;W$7,$L96&gt;W$7),0,AND($K96&lt;=W$7,$L96&lt;=W$7),1,AND($K96&lt;=W$7,$L96&gt;W$7),((W$7-$K96)/($L96-$K96)))</f>
        <v>0</v>
      </c>
      <c r="Y96" s="201">
        <f t="array" ref="Y96">_xlfn.IFS(AND($K96&gt;X$7,$L96&gt;X$7),0,AND($K96&lt;=X$7,$L96&lt;=X$7),1,AND($K96&lt;=X$7,$L96&gt;X$7),((X$7-$K96)/($L96-$K96)))</f>
        <v>0</v>
      </c>
      <c r="Z96" s="201">
        <f t="array" ref="Z96">_xlfn.IFS(AND($K96&gt;Y$7,$L96&gt;Y$7),0,AND($K96&lt;=Y$7,$L96&lt;=Y$7),1,AND($K96&lt;=Y$7,$L96&gt;Y$7),((Y$7-$K96)/($L96-$K96)))</f>
        <v>0</v>
      </c>
      <c r="AA96" s="201">
        <f t="array" ref="AA96">_xlfn.IFS(AND($K96&gt;Z$7,$L96&gt;Z$7),0,AND($K96&lt;=Z$7,$L96&lt;=Z$7),1,AND($K96&lt;=Z$7,$L96&gt;Z$7),((Z$7-$K96)/($L96-$K96)))</f>
        <v>0</v>
      </c>
      <c r="AB96" s="201">
        <f t="array" ref="AB96">_xlfn.IFS(AND($K96&gt;AA$7,$L96&gt;AA$7),0,AND($K96&lt;=AA$7,$L96&lt;=AA$7),1,AND($K96&lt;=AA$7,$L96&gt;AA$7),((AA$7-$K96)/($L96-$K96)))</f>
        <v>0</v>
      </c>
      <c r="AC96" s="201">
        <f t="array" ref="AC96">_xlfn.IFS(AND($K96&gt;AB$7,$L96&gt;AB$7),0,AND($K96&lt;=AB$7,$L96&lt;=AB$7),1,AND($K96&lt;=AB$7,$L96&gt;AB$7),((AB$7-$K96)/($L96-$K96)))</f>
        <v>0</v>
      </c>
      <c r="AD96" s="201">
        <f t="array" ref="AD96">_xlfn.IFS(AND($K96&gt;AC$7,$L96&gt;AC$7),0,AND($K96&lt;=AC$7,$L96&lt;=AC$7),1,AND($K96&lt;=AC$7,$L96&gt;AC$7),((AC$7-$K96)/($L96-$K96)))</f>
        <v>0</v>
      </c>
      <c r="AE96" s="201">
        <f t="array" ref="AE96">_xlfn.IFS(AND($K96&gt;AD$7,$L96&gt;AD$7),0,AND($K96&lt;=AD$7,$L96&lt;=AD$7),1,AND($K96&lt;=AD$7,$L96&gt;AD$7),((AD$7-$K96)/($L96-$K96)))</f>
        <v>0</v>
      </c>
      <c r="AF96" s="201">
        <f t="array" ref="AF96">_xlfn.IFS(AND($K96&gt;AE$7,$L96&gt;AE$7),0,AND($K96&lt;=AE$7,$L96&lt;=AE$7),1,AND($K96&lt;=AE$7,$L96&gt;AE$7),((AE$7-$K96)/($L96-$K96)))</f>
        <v>0</v>
      </c>
      <c r="AG96" s="201">
        <f t="array" ref="AG96">_xlfn.IFS(AND($K96&gt;AF$7,$L96&gt;AF$7),0,AND($K96&lt;=AF$7,$L96&lt;=AF$7),1,AND($K96&lt;=AF$7,$L96&gt;AF$7),((AF$7-$K96)/($L96-$K96)))</f>
        <v>0</v>
      </c>
      <c r="AH96" s="201">
        <f t="array" ref="AH96">_xlfn.IFS(AND($K96&gt;AG$7,$L96&gt;AG$7),0,AND($K96&lt;=AG$7,$L96&lt;=AG$7),1,AND($K96&lt;=AG$7,$L96&gt;AG$7),((AG$7-$K96)/($L96-$K96)))</f>
        <v>0</v>
      </c>
      <c r="AI96" s="201">
        <f t="array" ref="AI96">_xlfn.IFS(AND($K96&gt;AH$7,$L96&gt;AH$7),0,AND($K96&lt;=AH$7,$L96&lt;=AH$7),1,AND($K96&lt;=AH$7,$L96&gt;AH$7),((AH$7-$K96)/($L96-$K96)))</f>
        <v>0</v>
      </c>
      <c r="AJ96" s="201">
        <f t="array" ref="AJ96">_xlfn.IFS(AND($K96&gt;AI$7,$L96&gt;AI$7),0,AND($K96&lt;=AI$7,$L96&lt;=AI$7),1,AND($K96&lt;=AI$7,$L96&gt;AI$7),((AI$7-$K96)/($L96-$K96)))</f>
        <v>0</v>
      </c>
      <c r="AK96" s="201">
        <f t="array" ref="AK96">_xlfn.IFS(AND($K96&gt;AJ$7,$L96&gt;AJ$7),0,AND($K96&lt;=AJ$7,$L96&lt;=AJ$7),1,AND($K96&lt;=AJ$7,$L96&gt;AJ$7),((AJ$7-$K96)/($L96-$K96)))</f>
        <v>0</v>
      </c>
      <c r="AL96" s="201">
        <f t="array" ref="AL96">_xlfn.IFS(AND($K96&gt;AK$7,$L96&gt;AK$7),0,AND($K96&lt;=AK$7,$L96&lt;=AK$7),1,AND($K96&lt;=AK$7,$L96&gt;AK$7),((AK$7-$K96)/($L96-$K96)))</f>
        <v>0</v>
      </c>
      <c r="AM96" s="201">
        <f t="array" ref="AM96">_xlfn.IFS(AND($K96&gt;AL$7,$L96&gt;AL$7),0,AND($K96&lt;=AL$7,$L96&lt;=AL$7),1,AND($K96&lt;=AL$7,$L96&gt;AL$7),((AL$7-$K96)/($L96-$K96)))</f>
        <v>0</v>
      </c>
      <c r="AN96" s="201">
        <f t="array" ref="AN96">_xlfn.IFS(AND($K96&gt;AM$7,$L96&gt;AM$7),0,AND($K96&lt;=AM$7,$L96&lt;=AM$7),1,AND($K96&lt;=AM$7,$L96&gt;AM$7),((AM$7-$K96)/($L96-$K96)))</f>
        <v>0</v>
      </c>
      <c r="AO96" s="201">
        <f t="array" ref="AO96">_xlfn.IFS(AND($K96&gt;AN$7,$L96&gt;AN$7),0,AND($K96&lt;=AN$7,$L96&lt;=AN$7),1,AND($K96&lt;=AN$7,$L96&gt;AN$7),((AN$7-$K96)/($L96-$K96)))</f>
        <v>0</v>
      </c>
      <c r="AP96" s="201">
        <f t="array" ref="AP96">_xlfn.IFS(AND($K96&gt;AO$7,$L96&gt;AO$7),0,AND($K96&lt;=AO$7,$L96&lt;=AO$7),1,AND($K96&lt;=AO$7,$L96&gt;AO$7),((AO$7-$K96)/($L96-$K96)))</f>
        <v>0</v>
      </c>
      <c r="AQ96" s="201">
        <f t="array" ref="AQ96">_xlfn.IFS(AND($K96&gt;AP$7,$L96&gt;AP$7),0,AND($K96&lt;=AP$7,$L96&lt;=AP$7),1,AND($K96&lt;=AP$7,$L96&gt;AP$7),((AP$7-$K96)/($L96-$K96)))</f>
        <v>0</v>
      </c>
      <c r="AR96" s="201">
        <f t="array" ref="AR96">_xlfn.IFS(AND($K96&gt;AQ$7,$L96&gt;AQ$7),0,AND($K96&lt;=AQ$7,$L96&lt;=AQ$7),1,AND($K96&lt;=AQ$7,$L96&gt;AQ$7),((AQ$7-$K96)/($L96-$K96)))</f>
        <v>0</v>
      </c>
      <c r="AS96" s="201">
        <f t="array" ref="AS96">_xlfn.IFS(AND($K96&gt;AR$7,$L96&gt;AR$7),0,AND($K96&lt;=AR$7,$L96&lt;=AR$7),1,AND($K96&lt;=AR$7,$L96&gt;AR$7),((AR$7-$K96)/($L96-$K96)))</f>
        <v>0</v>
      </c>
      <c r="AT96" s="201">
        <f t="array" ref="AT96">_xlfn.IFS(AND($K96&gt;AS$7,$L96&gt;AS$7),0,AND($K96&lt;=AS$7,$L96&lt;=AS$7),1,AND($K96&lt;=AS$7,$L96&gt;AS$7),((AS$7-$K96)/($L96-$K96)))</f>
        <v>0</v>
      </c>
      <c r="AU96" s="201">
        <f t="array" ref="AU96">_xlfn.IFS(AND($K96&gt;AT$7,$L96&gt;AT$7),0,AND($K96&lt;=AT$7,$L96&lt;=AT$7),1,AND($K96&lt;=AT$7,$L96&gt;AT$7),((AT$7-$K96)/($L96-$K96)))</f>
        <v>0</v>
      </c>
      <c r="AV96" s="201">
        <f t="array" ref="AV96">_xlfn.IFS(AND($K96&gt;AU$7,$L96&gt;AU$7),0,AND($K96&lt;=AU$7,$L96&lt;=AU$7),1,AND($K96&lt;=AU$7,$L96&gt;AU$7),((AU$7-$K96)/($L96-$K96)))</f>
        <v>0</v>
      </c>
      <c r="AW96" s="201">
        <f t="array" ref="AW96">_xlfn.IFS(AND($K96&gt;AV$7,$L96&gt;AV$7),0,AND($K96&lt;=AV$7,$L96&lt;=AV$7),1,AND($K96&lt;=AV$7,$L96&gt;AV$7),((AV$7-$K96)/($L96-$K96)))</f>
        <v>0</v>
      </c>
      <c r="AX96" s="201">
        <f t="array" ref="AX96">_xlfn.IFS(AND($K96&gt;AW$7,$L96&gt;AW$7),0,AND($K96&lt;=AW$7,$L96&lt;=AW$7),1,AND($K96&lt;=AW$7,$L96&gt;AW$7),((AW$7-$K96)/($L96-$K96)))</f>
        <v>0</v>
      </c>
      <c r="AY96" s="201">
        <f t="array" ref="AY96">_xlfn.IFS(AND($K96&gt;AX$7,$L96&gt;AX$7),0,AND($K96&lt;=AX$7,$L96&lt;=AX$7),1,AND($K96&lt;=AX$7,$L96&gt;AX$7),((AX$7-$K96)/($L96-$K96)))</f>
        <v>1</v>
      </c>
      <c r="AZ96" s="201">
        <f t="array" ref="AZ96">_xlfn.IFS(AND($K96&gt;AY$7,$L96&gt;AY$7),0,AND($K96&lt;=AY$7,$L96&lt;=AY$7),1,AND($K96&lt;=AY$7,$L96&gt;AY$7),((AY$7-$K96)/($L96-$K96)))</f>
        <v>1</v>
      </c>
      <c r="BA96" s="201">
        <f t="array" ref="BA96">_xlfn.IFS(AND($K96&gt;AZ$7,$L96&gt;AZ$7),0,AND($K96&lt;=AZ$7,$L96&lt;=AZ$7),1,AND($K96&lt;=AZ$7,$L96&gt;AZ$7),((AZ$7-$K96)/($L96-$K96)))</f>
        <v>1</v>
      </c>
      <c r="BB96" s="201">
        <f t="array" ref="BB96">_xlfn.IFS(AND($K96&gt;BA$7,$L96&gt;BA$7),0,AND($K96&lt;=BA$7,$L96&lt;=BA$7),1,AND($K96&lt;=BA$7,$L96&gt;BA$7),((BA$7-$K96)/($L96-$K96)))</f>
        <v>1</v>
      </c>
      <c r="BC96" s="201">
        <f t="array" ref="BC96">_xlfn.IFS(AND($K96&gt;BB$7,$L96&gt;BB$7),0,AND($K96&lt;=BB$7,$L96&lt;=BB$7),1,AND($K96&lt;=BB$7,$L96&gt;BB$7),((BB$7-$K96)/($L96-$K96)))</f>
        <v>1</v>
      </c>
      <c r="BD96" s="201">
        <f t="array" ref="BD96">_xlfn.IFS(AND($K96&gt;BC$7,$L96&gt;BC$7),0,AND($K96&lt;=BC$7,$L96&lt;=BC$7),1,AND($K96&lt;=BC$7,$L96&gt;BC$7),((BC$7-$K96)/($L96-$K96)))</f>
        <v>1</v>
      </c>
      <c r="BE96" s="201">
        <f t="array" ref="BE96">_xlfn.IFS(AND($K96&gt;BD$7,$L96&gt;BD$7),0,AND($K96&lt;=BD$7,$L96&lt;=BD$7),1,AND($K96&lt;=BD$7,$L96&gt;BD$7),((BD$7-$K96)/($L96-$K96)))</f>
        <v>1</v>
      </c>
      <c r="BF96" s="201">
        <f t="array" ref="BF96">_xlfn.IFS(AND($K96&gt;BE$7,$L96&gt;BE$7),0,AND($K96&lt;=BE$7,$L96&lt;=BE$7),1,AND($K96&lt;=BE$7,$L96&gt;BE$7),((BE$7-$K96)/($L96-$K96)))</f>
        <v>1</v>
      </c>
      <c r="BG96" s="201">
        <f t="array" ref="BG96">_xlfn.IFS(AND($K96&gt;BF$7,$L96&gt;BF$7),0,AND($K96&lt;=BF$7,$L96&lt;=BF$7),1,AND($K96&lt;=BF$7,$L96&gt;BF$7),((BF$7-$K96)/($L96-$K96)))</f>
        <v>1</v>
      </c>
      <c r="BH96" s="201">
        <f t="array" ref="BH96">_xlfn.IFS(AND($K96&gt;BG$7,$L96&gt;BG$7),0,AND($K96&lt;=BG$7,$L96&lt;=BG$7),1,AND($K96&lt;=BG$7,$L96&gt;BG$7),((BG$7-$K96)/($L96-$K96)))</f>
        <v>1</v>
      </c>
      <c r="BI96" s="201">
        <f t="array" ref="BI96">_xlfn.IFS(AND($K96&gt;BH$7,$L96&gt;BH$7),0,AND($K96&lt;=BH$7,$L96&lt;=BH$7),1,AND($K96&lt;=BH$7,$L96&gt;BH$7),((BH$7-$K96)/($L96-$K96)))</f>
        <v>1</v>
      </c>
      <c r="BJ96" s="201">
        <f t="array" ref="BJ96">_xlfn.IFS(AND($K96&gt;BI$7,$L96&gt;BI$7),0,AND($K96&lt;=BI$7,$L96&lt;=BI$7),1,AND($K96&lt;=BI$7,$L96&gt;BI$7),((BI$7-$K96)/($L96-$K96)))</f>
        <v>1</v>
      </c>
      <c r="BK96" s="201">
        <f t="array" ref="BK96">_xlfn.IFS(AND($K96&gt;BJ$7,$L96&gt;BJ$7),0,AND($K96&lt;=BJ$7,$L96&lt;=BJ$7),1,AND($K96&lt;=BJ$7,$L96&gt;BJ$7),((BJ$7-$K96)/($L96-$K96)))</f>
        <v>1</v>
      </c>
      <c r="BL96" s="201">
        <f t="array" ref="BL96">_xlfn.IFS(AND($K96&gt;BK$7,$L96&gt;BK$7),0,AND($K96&lt;=BK$7,$L96&lt;=BK$7),1,AND($K96&lt;=BK$7,$L96&gt;BK$7),((BK$7-$K96)/($L96-$K96)))</f>
        <v>1</v>
      </c>
      <c r="BM96" s="201">
        <f t="array" ref="BM96">_xlfn.IFS(AND($K96&gt;BL$7,$L96&gt;BL$7),0,AND($K96&lt;=BL$7,$L96&lt;=BL$7),1,AND($K96&lt;=BL$7,$L96&gt;BL$7),((BL$7-$K96)/($L96-$K96)))</f>
        <v>1</v>
      </c>
      <c r="BN96" s="201">
        <f t="array" ref="BN96">_xlfn.IFS(AND($K96&gt;BM$7,$L96&gt;BM$7),0,AND($K96&lt;=BM$7,$L96&lt;=BM$7),1,AND($K96&lt;=BM$7,$L96&gt;BM$7),((BM$7-$K96)/($L96-$K96)))</f>
        <v>1</v>
      </c>
    </row>
    <row r="97" spans="2:66" s="163" customFormat="1" ht="27.6" customHeight="1" x14ac:dyDescent="0.3">
      <c r="B97" s="166" t="s">
        <v>161</v>
      </c>
      <c r="C97" s="166" t="s">
        <v>241</v>
      </c>
      <c r="D97" s="177"/>
      <c r="E97" s="170" t="str">
        <f t="shared" si="42"/>
        <v>Desenvolvimento da Transformação dos Processos</v>
      </c>
      <c r="F97" s="174" t="str">
        <f t="shared" si="39"/>
        <v>Modelagem To Be</v>
      </c>
      <c r="G97" s="166" t="str">
        <f t="shared" si="43"/>
        <v>Modelagem To Be</v>
      </c>
      <c r="H97" s="197" t="s">
        <v>242</v>
      </c>
      <c r="I97" s="166">
        <v>45908</v>
      </c>
      <c r="J97" s="166">
        <v>45912</v>
      </c>
      <c r="K97" s="166">
        <v>45908</v>
      </c>
      <c r="L97" s="166">
        <v>45912</v>
      </c>
      <c r="M97" s="167"/>
      <c r="N97" s="167" t="str">
        <f t="array" ref="N97">_xlfn.IFS(L97&lt;$M$3,"Concluído",AND(K97&gt;=$M$3,I97&lt;$M$3,L97&gt;$M$3),"Em andamento",AND(L97&gt;=$M$3,J97&lt;$M$3),"Atrasado",AND(L97&gt;=$M$3,J97&gt;=$M$3,I97&gt;$M$3,K97&lt;=$M$3),"Em andamento",AND(L97&gt;=$M$3,J97&gt;=$M$3,I97&lt;=$M$3,K97&lt;=$M$3),"Em andamento",AND(K97&gt;$M$3,I97&gt;$M$3),"Não iniciado",AND(L97&gt;=$M$3,J97&gt;=$M$3,K97&gt;=$M$3,I97&lt;$M$3),"Atrasado",AND(L97&gt;=$M$3,J97&gt;=$M$3,K97&gt;=$M$3,I97&gt;$M$3),"Não iniciado",AND($I97&lt;=$M$3,$K97&gt;$M$3),"Atrasado")</f>
        <v>Não iniciado</v>
      </c>
      <c r="O97" s="167">
        <f t="array" ref="O97">_xlfn.IFS(N97="Não iniciado",0,N97="Em andamento",1,N97="Concluído",2,N97="Atrasado",3)</f>
        <v>0</v>
      </c>
      <c r="P97" s="169"/>
      <c r="Q97" s="152">
        <f t="array" ref="Q97">_xlfn.IFS(AND($I97&lt;$M$3,$J97&lt;$M$3),1,AND($I97&lt;$M$3,$J97&gt;=$M$3),0.5,AND($I97&gt;=$M$3,$J97&gt;=$M$3),0)</f>
        <v>0</v>
      </c>
      <c r="R97" s="152">
        <f t="array" ref="R97">_xlfn.IFS(AND($K97&lt;$M$3,$L97&lt;$M$3),1,AND($K97&lt;=$M$3,$L97&gt;=$M$3),0.5,AND($K97&gt;=$M$3,$L97&gt;=$M$3),0)</f>
        <v>0</v>
      </c>
      <c r="S97" s="201">
        <f t="array" ref="S97">_xlfn.IFS(AND($K97&gt;R$7,$L97&gt;R$7),0,AND($K97&lt;=R$7,$L97&lt;=R$7),1,AND($K97&lt;=R$7,$L97&gt;R$7),((R$7-$K97)/($L97-$K97)))</f>
        <v>0</v>
      </c>
      <c r="T97" s="201">
        <f t="array" ref="T97">_xlfn.IFS(AND($K97&gt;S$7,$L97&gt;S$7),0,AND($K97&lt;=S$7,$L97&lt;=S$7),1,AND($K97&lt;=S$7,$L97&gt;S$7),((S$7-$K97)/($L97-$K97)))</f>
        <v>0</v>
      </c>
      <c r="U97" s="201">
        <f t="array" ref="U97">_xlfn.IFS(AND($K97&gt;T$7,$L97&gt;T$7),0,AND($K97&lt;=T$7,$L97&lt;=T$7),1,AND($K97&lt;=T$7,$L97&gt;T$7),((T$7-$K97)/($L97-$K97)))</f>
        <v>0</v>
      </c>
      <c r="V97" s="201">
        <f t="array" ref="V97">_xlfn.IFS(AND($K97&gt;U$7,$L97&gt;U$7),0,AND($K97&lt;=U$7,$L97&lt;=U$7),1,AND($K97&lt;=U$7,$L97&gt;U$7),((U$7-$K97)/($L97-$K97)))</f>
        <v>0</v>
      </c>
      <c r="W97" s="201">
        <f t="array" ref="W97">_xlfn.IFS(AND($K97&gt;V$7,$L97&gt;V$7),0,AND($K97&lt;=V$7,$L97&lt;=V$7),1,AND($K97&lt;=V$7,$L97&gt;V$7),((V$7-$K97)/($L97-$K97)))</f>
        <v>0</v>
      </c>
      <c r="X97" s="201">
        <f t="array" ref="X97">_xlfn.IFS(AND($K97&gt;W$7,$L97&gt;W$7),0,AND($K97&lt;=W$7,$L97&lt;=W$7),1,AND($K97&lt;=W$7,$L97&gt;W$7),((W$7-$K97)/($L97-$K97)))</f>
        <v>0</v>
      </c>
      <c r="Y97" s="201">
        <f t="array" ref="Y97">_xlfn.IFS(AND($K97&gt;X$7,$L97&gt;X$7),0,AND($K97&lt;=X$7,$L97&lt;=X$7),1,AND($K97&lt;=X$7,$L97&gt;X$7),((X$7-$K97)/($L97-$K97)))</f>
        <v>0</v>
      </c>
      <c r="Z97" s="201">
        <f t="array" ref="Z97">_xlfn.IFS(AND($K97&gt;Y$7,$L97&gt;Y$7),0,AND($K97&lt;=Y$7,$L97&lt;=Y$7),1,AND($K97&lt;=Y$7,$L97&gt;Y$7),((Y$7-$K97)/($L97-$K97)))</f>
        <v>0</v>
      </c>
      <c r="AA97" s="201">
        <f t="array" ref="AA97">_xlfn.IFS(AND($K97&gt;Z$7,$L97&gt;Z$7),0,AND($K97&lt;=Z$7,$L97&lt;=Z$7),1,AND($K97&lt;=Z$7,$L97&gt;Z$7),((Z$7-$K97)/($L97-$K97)))</f>
        <v>0</v>
      </c>
      <c r="AB97" s="201">
        <f t="array" ref="AB97">_xlfn.IFS(AND($K97&gt;AA$7,$L97&gt;AA$7),0,AND($K97&lt;=AA$7,$L97&lt;=AA$7),1,AND($K97&lt;=AA$7,$L97&gt;AA$7),((AA$7-$K97)/($L97-$K97)))</f>
        <v>0</v>
      </c>
      <c r="AC97" s="201">
        <f t="array" ref="AC97">_xlfn.IFS(AND($K97&gt;AB$7,$L97&gt;AB$7),0,AND($K97&lt;=AB$7,$L97&lt;=AB$7),1,AND($K97&lt;=AB$7,$L97&gt;AB$7),((AB$7-$K97)/($L97-$K97)))</f>
        <v>0</v>
      </c>
      <c r="AD97" s="201">
        <f t="array" ref="AD97">_xlfn.IFS(AND($K97&gt;AC$7,$L97&gt;AC$7),0,AND($K97&lt;=AC$7,$L97&lt;=AC$7),1,AND($K97&lt;=AC$7,$L97&gt;AC$7),((AC$7-$K97)/($L97-$K97)))</f>
        <v>0</v>
      </c>
      <c r="AE97" s="201">
        <f t="array" ref="AE97">_xlfn.IFS(AND($K97&gt;AD$7,$L97&gt;AD$7),0,AND($K97&lt;=AD$7,$L97&lt;=AD$7),1,AND($K97&lt;=AD$7,$L97&gt;AD$7),((AD$7-$K97)/($L97-$K97)))</f>
        <v>0</v>
      </c>
      <c r="AF97" s="201">
        <f t="array" ref="AF97">_xlfn.IFS(AND($K97&gt;AE$7,$L97&gt;AE$7),0,AND($K97&lt;=AE$7,$L97&lt;=AE$7),1,AND($K97&lt;=AE$7,$L97&gt;AE$7),((AE$7-$K97)/($L97-$K97)))</f>
        <v>0</v>
      </c>
      <c r="AG97" s="201">
        <f t="array" ref="AG97">_xlfn.IFS(AND($K97&gt;AF$7,$L97&gt;AF$7),0,AND($K97&lt;=AF$7,$L97&lt;=AF$7),1,AND($K97&lt;=AF$7,$L97&gt;AF$7),((AF$7-$K97)/($L97-$K97)))</f>
        <v>0</v>
      </c>
      <c r="AH97" s="201">
        <f t="array" ref="AH97">_xlfn.IFS(AND($K97&gt;AG$7,$L97&gt;AG$7),0,AND($K97&lt;=AG$7,$L97&lt;=AG$7),1,AND($K97&lt;=AG$7,$L97&gt;AG$7),((AG$7-$K97)/($L97-$K97)))</f>
        <v>0</v>
      </c>
      <c r="AI97" s="201">
        <f t="array" ref="AI97">_xlfn.IFS(AND($K97&gt;AH$7,$L97&gt;AH$7),0,AND($K97&lt;=AH$7,$L97&lt;=AH$7),1,AND($K97&lt;=AH$7,$L97&gt;AH$7),((AH$7-$K97)/($L97-$K97)))</f>
        <v>0</v>
      </c>
      <c r="AJ97" s="201">
        <f t="array" ref="AJ97">_xlfn.IFS(AND($K97&gt;AI$7,$L97&gt;AI$7),0,AND($K97&lt;=AI$7,$L97&lt;=AI$7),1,AND($K97&lt;=AI$7,$L97&gt;AI$7),((AI$7-$K97)/($L97-$K97)))</f>
        <v>0</v>
      </c>
      <c r="AK97" s="201">
        <f t="array" ref="AK97">_xlfn.IFS(AND($K97&gt;AJ$7,$L97&gt;AJ$7),0,AND($K97&lt;=AJ$7,$L97&lt;=AJ$7),1,AND($K97&lt;=AJ$7,$L97&gt;AJ$7),((AJ$7-$K97)/($L97-$K97)))</f>
        <v>0</v>
      </c>
      <c r="AL97" s="201">
        <f t="array" ref="AL97">_xlfn.IFS(AND($K97&gt;AK$7,$L97&gt;AK$7),0,AND($K97&lt;=AK$7,$L97&lt;=AK$7),1,AND($K97&lt;=AK$7,$L97&gt;AK$7),((AK$7-$K97)/($L97-$K97)))</f>
        <v>0</v>
      </c>
      <c r="AM97" s="201">
        <f t="array" ref="AM97">_xlfn.IFS(AND($K97&gt;AL$7,$L97&gt;AL$7),0,AND($K97&lt;=AL$7,$L97&lt;=AL$7),1,AND($K97&lt;=AL$7,$L97&gt;AL$7),((AL$7-$K97)/($L97-$K97)))</f>
        <v>0</v>
      </c>
      <c r="AN97" s="201">
        <f t="array" ref="AN97">_xlfn.IFS(AND($K97&gt;AM$7,$L97&gt;AM$7),0,AND($K97&lt;=AM$7,$L97&lt;=AM$7),1,AND($K97&lt;=AM$7,$L97&gt;AM$7),((AM$7-$K97)/($L97-$K97)))</f>
        <v>0</v>
      </c>
      <c r="AO97" s="201">
        <f t="array" ref="AO97">_xlfn.IFS(AND($K97&gt;AN$7,$L97&gt;AN$7),0,AND($K97&lt;=AN$7,$L97&lt;=AN$7),1,AND($K97&lt;=AN$7,$L97&gt;AN$7),((AN$7-$K97)/($L97-$K97)))</f>
        <v>0</v>
      </c>
      <c r="AP97" s="201">
        <f t="array" ref="AP97">_xlfn.IFS(AND($K97&gt;AO$7,$L97&gt;AO$7),0,AND($K97&lt;=AO$7,$L97&lt;=AO$7),1,AND($K97&lt;=AO$7,$L97&gt;AO$7),((AO$7-$K97)/($L97-$K97)))</f>
        <v>0</v>
      </c>
      <c r="AQ97" s="201">
        <f t="array" ref="AQ97">_xlfn.IFS(AND($K97&gt;AP$7,$L97&gt;AP$7),0,AND($K97&lt;=AP$7,$L97&lt;=AP$7),1,AND($K97&lt;=AP$7,$L97&gt;AP$7),((AP$7-$K97)/($L97-$K97)))</f>
        <v>0</v>
      </c>
      <c r="AR97" s="201">
        <f t="array" ref="AR97">_xlfn.IFS(AND($K97&gt;AQ$7,$L97&gt;AQ$7),0,AND($K97&lt;=AQ$7,$L97&lt;=AQ$7),1,AND($K97&lt;=AQ$7,$L97&gt;AQ$7),((AQ$7-$K97)/($L97-$K97)))</f>
        <v>0</v>
      </c>
      <c r="AS97" s="201">
        <f t="array" ref="AS97">_xlfn.IFS(AND($K97&gt;AR$7,$L97&gt;AR$7),0,AND($K97&lt;=AR$7,$L97&lt;=AR$7),1,AND($K97&lt;=AR$7,$L97&gt;AR$7),((AR$7-$K97)/($L97-$K97)))</f>
        <v>0</v>
      </c>
      <c r="AT97" s="201">
        <f t="array" ref="AT97">_xlfn.IFS(AND($K97&gt;AS$7,$L97&gt;AS$7),0,AND($K97&lt;=AS$7,$L97&lt;=AS$7),1,AND($K97&lt;=AS$7,$L97&gt;AS$7),((AS$7-$K97)/($L97-$K97)))</f>
        <v>0</v>
      </c>
      <c r="AU97" s="201">
        <f t="array" ref="AU97">_xlfn.IFS(AND($K97&gt;AT$7,$L97&gt;AT$7),0,AND($K97&lt;=AT$7,$L97&lt;=AT$7),1,AND($K97&lt;=AT$7,$L97&gt;AT$7),((AT$7-$K97)/($L97-$K97)))</f>
        <v>0</v>
      </c>
      <c r="AV97" s="201">
        <f t="array" ref="AV97">_xlfn.IFS(AND($K97&gt;AU$7,$L97&gt;AU$7),0,AND($K97&lt;=AU$7,$L97&lt;=AU$7),1,AND($K97&lt;=AU$7,$L97&gt;AU$7),((AU$7-$K97)/($L97-$K97)))</f>
        <v>0</v>
      </c>
      <c r="AW97" s="201">
        <f t="array" ref="AW97">_xlfn.IFS(AND($K97&gt;AV$7,$L97&gt;AV$7),0,AND($K97&lt;=AV$7,$L97&lt;=AV$7),1,AND($K97&lt;=AV$7,$L97&gt;AV$7),((AV$7-$K97)/($L97-$K97)))</f>
        <v>0</v>
      </c>
      <c r="AX97" s="201">
        <f t="array" ref="AX97">_xlfn.IFS(AND($K97&gt;AW$7,$L97&gt;AW$7),0,AND($K97&lt;=AW$7,$L97&lt;=AW$7),1,AND($K97&lt;=AW$7,$L97&gt;AW$7),((AW$7-$K97)/($L97-$K97)))</f>
        <v>0</v>
      </c>
      <c r="AY97" s="201">
        <f t="array" ref="AY97">_xlfn.IFS(AND($K97&gt;AX$7,$L97&gt;AX$7),0,AND($K97&lt;=AX$7,$L97&lt;=AX$7),1,AND($K97&lt;=AX$7,$L97&gt;AX$7),((AX$7-$K97)/($L97-$K97)))</f>
        <v>1</v>
      </c>
      <c r="AZ97" s="201">
        <f t="array" ref="AZ97">_xlfn.IFS(AND($K97&gt;AY$7,$L97&gt;AY$7),0,AND($K97&lt;=AY$7,$L97&lt;=AY$7),1,AND($K97&lt;=AY$7,$L97&gt;AY$7),((AY$7-$K97)/($L97-$K97)))</f>
        <v>1</v>
      </c>
      <c r="BA97" s="201">
        <f t="array" ref="BA97">_xlfn.IFS(AND($K97&gt;AZ$7,$L97&gt;AZ$7),0,AND($K97&lt;=AZ$7,$L97&lt;=AZ$7),1,AND($K97&lt;=AZ$7,$L97&gt;AZ$7),((AZ$7-$K97)/($L97-$K97)))</f>
        <v>1</v>
      </c>
      <c r="BB97" s="201">
        <f t="array" ref="BB97">_xlfn.IFS(AND($K97&gt;BA$7,$L97&gt;BA$7),0,AND($K97&lt;=BA$7,$L97&lt;=BA$7),1,AND($K97&lt;=BA$7,$L97&gt;BA$7),((BA$7-$K97)/($L97-$K97)))</f>
        <v>1</v>
      </c>
      <c r="BC97" s="201">
        <f t="array" ref="BC97">_xlfn.IFS(AND($K97&gt;BB$7,$L97&gt;BB$7),0,AND($K97&lt;=BB$7,$L97&lt;=BB$7),1,AND($K97&lt;=BB$7,$L97&gt;BB$7),((BB$7-$K97)/($L97-$K97)))</f>
        <v>1</v>
      </c>
      <c r="BD97" s="201">
        <f t="array" ref="BD97">_xlfn.IFS(AND($K97&gt;BC$7,$L97&gt;BC$7),0,AND($K97&lt;=BC$7,$L97&lt;=BC$7),1,AND($K97&lt;=BC$7,$L97&gt;BC$7),((BC$7-$K97)/($L97-$K97)))</f>
        <v>1</v>
      </c>
      <c r="BE97" s="201">
        <f t="array" ref="BE97">_xlfn.IFS(AND($K97&gt;BD$7,$L97&gt;BD$7),0,AND($K97&lt;=BD$7,$L97&lt;=BD$7),1,AND($K97&lt;=BD$7,$L97&gt;BD$7),((BD$7-$K97)/($L97-$K97)))</f>
        <v>1</v>
      </c>
      <c r="BF97" s="201">
        <f t="array" ref="BF97">_xlfn.IFS(AND($K97&gt;BE$7,$L97&gt;BE$7),0,AND($K97&lt;=BE$7,$L97&lt;=BE$7),1,AND($K97&lt;=BE$7,$L97&gt;BE$7),((BE$7-$K97)/($L97-$K97)))</f>
        <v>1</v>
      </c>
      <c r="BG97" s="201">
        <f t="array" ref="BG97">_xlfn.IFS(AND($K97&gt;BF$7,$L97&gt;BF$7),0,AND($K97&lt;=BF$7,$L97&lt;=BF$7),1,AND($K97&lt;=BF$7,$L97&gt;BF$7),((BF$7-$K97)/($L97-$K97)))</f>
        <v>1</v>
      </c>
      <c r="BH97" s="201">
        <f t="array" ref="BH97">_xlfn.IFS(AND($K97&gt;BG$7,$L97&gt;BG$7),0,AND($K97&lt;=BG$7,$L97&lt;=BG$7),1,AND($K97&lt;=BG$7,$L97&gt;BG$7),((BG$7-$K97)/($L97-$K97)))</f>
        <v>1</v>
      </c>
      <c r="BI97" s="201">
        <f t="array" ref="BI97">_xlfn.IFS(AND($K97&gt;BH$7,$L97&gt;BH$7),0,AND($K97&lt;=BH$7,$L97&lt;=BH$7),1,AND($K97&lt;=BH$7,$L97&gt;BH$7),((BH$7-$K97)/($L97-$K97)))</f>
        <v>1</v>
      </c>
      <c r="BJ97" s="201">
        <f t="array" ref="BJ97">_xlfn.IFS(AND($K97&gt;BI$7,$L97&gt;BI$7),0,AND($K97&lt;=BI$7,$L97&lt;=BI$7),1,AND($K97&lt;=BI$7,$L97&gt;BI$7),((BI$7-$K97)/($L97-$K97)))</f>
        <v>1</v>
      </c>
      <c r="BK97" s="201">
        <f t="array" ref="BK97">_xlfn.IFS(AND($K97&gt;BJ$7,$L97&gt;BJ$7),0,AND($K97&lt;=BJ$7,$L97&lt;=BJ$7),1,AND($K97&lt;=BJ$7,$L97&gt;BJ$7),((BJ$7-$K97)/($L97-$K97)))</f>
        <v>1</v>
      </c>
      <c r="BL97" s="201">
        <f t="array" ref="BL97">_xlfn.IFS(AND($K97&gt;BK$7,$L97&gt;BK$7),0,AND($K97&lt;=BK$7,$L97&lt;=BK$7),1,AND($K97&lt;=BK$7,$L97&gt;BK$7),((BK$7-$K97)/($L97-$K97)))</f>
        <v>1</v>
      </c>
      <c r="BM97" s="201">
        <f t="array" ref="BM97">_xlfn.IFS(AND($K97&gt;BL$7,$L97&gt;BL$7),0,AND($K97&lt;=BL$7,$L97&lt;=BL$7),1,AND($K97&lt;=BL$7,$L97&gt;BL$7),((BL$7-$K97)/($L97-$K97)))</f>
        <v>1</v>
      </c>
      <c r="BN97" s="201">
        <f t="array" ref="BN97">_xlfn.IFS(AND($K97&gt;BM$7,$L97&gt;BM$7),0,AND($K97&lt;=BM$7,$L97&lt;=BM$7),1,AND($K97&lt;=BM$7,$L97&gt;BM$7),((BM$7-$K97)/($L97-$K97)))</f>
        <v>1</v>
      </c>
    </row>
    <row r="98" spans="2:66" s="163" customFormat="1" ht="27.6" customHeight="1" x14ac:dyDescent="0.3">
      <c r="B98" s="166" t="s">
        <v>161</v>
      </c>
      <c r="C98" s="166" t="s">
        <v>243</v>
      </c>
      <c r="D98" s="177"/>
      <c r="E98" s="170" t="str">
        <f t="shared" si="42"/>
        <v>Desenvolvimento da Transformação dos Processos</v>
      </c>
      <c r="F98" s="174" t="str">
        <f t="shared" si="39"/>
        <v>Modelagem To Be</v>
      </c>
      <c r="G98" s="166" t="str">
        <f t="shared" si="43"/>
        <v>Modelagem To Be</v>
      </c>
      <c r="H98" s="197" t="s">
        <v>244</v>
      </c>
      <c r="I98" s="166">
        <v>45908</v>
      </c>
      <c r="J98" s="166">
        <v>45912</v>
      </c>
      <c r="K98" s="166">
        <v>45908</v>
      </c>
      <c r="L98" s="166">
        <v>45912</v>
      </c>
      <c r="M98" s="167"/>
      <c r="N98" s="167" t="str">
        <f t="array" ref="N98">_xlfn.IFS(L98&lt;$M$3,"Concluído",AND(K98&gt;=$M$3,I98&lt;$M$3,L98&gt;$M$3),"Em andamento",AND(L98&gt;=$M$3,J98&lt;$M$3),"Atrasado",AND(L98&gt;=$M$3,J98&gt;=$M$3,I98&gt;$M$3,K98&lt;=$M$3),"Em andamento",AND(L98&gt;=$M$3,J98&gt;=$M$3,I98&lt;=$M$3,K98&lt;=$M$3),"Em andamento",AND(K98&gt;$M$3,I98&gt;$M$3),"Não iniciado",AND(L98&gt;=$M$3,J98&gt;=$M$3,K98&gt;=$M$3,I98&lt;$M$3),"Atrasado",AND(L98&gt;=$M$3,J98&gt;=$M$3,K98&gt;=$M$3,I98&gt;$M$3),"Não iniciado",AND($I98&lt;=$M$3,$K98&gt;$M$3),"Atrasado")</f>
        <v>Não iniciado</v>
      </c>
      <c r="O98" s="167">
        <f t="array" ref="O98">_xlfn.IFS(N98="Não iniciado",0,N98="Em andamento",1,N98="Concluído",2,N98="Atrasado",3)</f>
        <v>0</v>
      </c>
      <c r="P98" s="169"/>
      <c r="Q98" s="152">
        <f t="array" ref="Q98">_xlfn.IFS(AND($I98&lt;$M$3,$J98&lt;$M$3),1,AND($I98&lt;$M$3,$J98&gt;=$M$3),0.5,AND($I98&gt;=$M$3,$J98&gt;=$M$3),0)</f>
        <v>0</v>
      </c>
      <c r="R98" s="152">
        <f t="array" ref="R98">_xlfn.IFS(AND($K98&lt;$M$3,$L98&lt;$M$3),1,AND($K98&lt;=$M$3,$L98&gt;=$M$3),0.5,AND($K98&gt;=$M$3,$L98&gt;=$M$3),0)</f>
        <v>0</v>
      </c>
      <c r="S98" s="201">
        <f t="array" ref="S98">_xlfn.IFS(AND($K98&gt;R$7,$L98&gt;R$7),0,AND($K98&lt;=R$7,$L98&lt;=R$7),1,AND($K98&lt;=R$7,$L98&gt;R$7),((R$7-$K98)/($L98-$K98)))</f>
        <v>0</v>
      </c>
      <c r="T98" s="201">
        <f t="array" ref="T98">_xlfn.IFS(AND($K98&gt;S$7,$L98&gt;S$7),0,AND($K98&lt;=S$7,$L98&lt;=S$7),1,AND($K98&lt;=S$7,$L98&gt;S$7),((S$7-$K98)/($L98-$K98)))</f>
        <v>0</v>
      </c>
      <c r="U98" s="201">
        <f t="array" ref="U98">_xlfn.IFS(AND($K98&gt;T$7,$L98&gt;T$7),0,AND($K98&lt;=T$7,$L98&lt;=T$7),1,AND($K98&lt;=T$7,$L98&gt;T$7),((T$7-$K98)/($L98-$K98)))</f>
        <v>0</v>
      </c>
      <c r="V98" s="201">
        <f t="array" ref="V98">_xlfn.IFS(AND($K98&gt;U$7,$L98&gt;U$7),0,AND($K98&lt;=U$7,$L98&lt;=U$7),1,AND($K98&lt;=U$7,$L98&gt;U$7),((U$7-$K98)/($L98-$K98)))</f>
        <v>0</v>
      </c>
      <c r="W98" s="201">
        <f t="array" ref="W98">_xlfn.IFS(AND($K98&gt;V$7,$L98&gt;V$7),0,AND($K98&lt;=V$7,$L98&lt;=V$7),1,AND($K98&lt;=V$7,$L98&gt;V$7),((V$7-$K98)/($L98-$K98)))</f>
        <v>0</v>
      </c>
      <c r="X98" s="201">
        <f t="array" ref="X98">_xlfn.IFS(AND($K98&gt;W$7,$L98&gt;W$7),0,AND($K98&lt;=W$7,$L98&lt;=W$7),1,AND($K98&lt;=W$7,$L98&gt;W$7),((W$7-$K98)/($L98-$K98)))</f>
        <v>0</v>
      </c>
      <c r="Y98" s="201">
        <f t="array" ref="Y98">_xlfn.IFS(AND($K98&gt;X$7,$L98&gt;X$7),0,AND($K98&lt;=X$7,$L98&lt;=X$7),1,AND($K98&lt;=X$7,$L98&gt;X$7),((X$7-$K98)/($L98-$K98)))</f>
        <v>0</v>
      </c>
      <c r="Z98" s="201">
        <f t="array" ref="Z98">_xlfn.IFS(AND($K98&gt;Y$7,$L98&gt;Y$7),0,AND($K98&lt;=Y$7,$L98&lt;=Y$7),1,AND($K98&lt;=Y$7,$L98&gt;Y$7),((Y$7-$K98)/($L98-$K98)))</f>
        <v>0</v>
      </c>
      <c r="AA98" s="201">
        <f t="array" ref="AA98">_xlfn.IFS(AND($K98&gt;Z$7,$L98&gt;Z$7),0,AND($K98&lt;=Z$7,$L98&lt;=Z$7),1,AND($K98&lt;=Z$7,$L98&gt;Z$7),((Z$7-$K98)/($L98-$K98)))</f>
        <v>0</v>
      </c>
      <c r="AB98" s="201">
        <f t="array" ref="AB98">_xlfn.IFS(AND($K98&gt;AA$7,$L98&gt;AA$7),0,AND($K98&lt;=AA$7,$L98&lt;=AA$7),1,AND($K98&lt;=AA$7,$L98&gt;AA$7),((AA$7-$K98)/($L98-$K98)))</f>
        <v>0</v>
      </c>
      <c r="AC98" s="201">
        <f t="array" ref="AC98">_xlfn.IFS(AND($K98&gt;AB$7,$L98&gt;AB$7),0,AND($K98&lt;=AB$7,$L98&lt;=AB$7),1,AND($K98&lt;=AB$7,$L98&gt;AB$7),((AB$7-$K98)/($L98-$K98)))</f>
        <v>0</v>
      </c>
      <c r="AD98" s="201">
        <f t="array" ref="AD98">_xlfn.IFS(AND($K98&gt;AC$7,$L98&gt;AC$7),0,AND($K98&lt;=AC$7,$L98&lt;=AC$7),1,AND($K98&lt;=AC$7,$L98&gt;AC$7),((AC$7-$K98)/($L98-$K98)))</f>
        <v>0</v>
      </c>
      <c r="AE98" s="201">
        <f t="array" ref="AE98">_xlfn.IFS(AND($K98&gt;AD$7,$L98&gt;AD$7),0,AND($K98&lt;=AD$7,$L98&lt;=AD$7),1,AND($K98&lt;=AD$7,$L98&gt;AD$7),((AD$7-$K98)/($L98-$K98)))</f>
        <v>0</v>
      </c>
      <c r="AF98" s="201">
        <f t="array" ref="AF98">_xlfn.IFS(AND($K98&gt;AE$7,$L98&gt;AE$7),0,AND($K98&lt;=AE$7,$L98&lt;=AE$7),1,AND($K98&lt;=AE$7,$L98&gt;AE$7),((AE$7-$K98)/($L98-$K98)))</f>
        <v>0</v>
      </c>
      <c r="AG98" s="201">
        <f t="array" ref="AG98">_xlfn.IFS(AND($K98&gt;AF$7,$L98&gt;AF$7),0,AND($K98&lt;=AF$7,$L98&lt;=AF$7),1,AND($K98&lt;=AF$7,$L98&gt;AF$7),((AF$7-$K98)/($L98-$K98)))</f>
        <v>0</v>
      </c>
      <c r="AH98" s="201">
        <f t="array" ref="AH98">_xlfn.IFS(AND($K98&gt;AG$7,$L98&gt;AG$7),0,AND($K98&lt;=AG$7,$L98&lt;=AG$7),1,AND($K98&lt;=AG$7,$L98&gt;AG$7),((AG$7-$K98)/($L98-$K98)))</f>
        <v>0</v>
      </c>
      <c r="AI98" s="201">
        <f t="array" ref="AI98">_xlfn.IFS(AND($K98&gt;AH$7,$L98&gt;AH$7),0,AND($K98&lt;=AH$7,$L98&lt;=AH$7),1,AND($K98&lt;=AH$7,$L98&gt;AH$7),((AH$7-$K98)/($L98-$K98)))</f>
        <v>0</v>
      </c>
      <c r="AJ98" s="201">
        <f t="array" ref="AJ98">_xlfn.IFS(AND($K98&gt;AI$7,$L98&gt;AI$7),0,AND($K98&lt;=AI$7,$L98&lt;=AI$7),1,AND($K98&lt;=AI$7,$L98&gt;AI$7),((AI$7-$K98)/($L98-$K98)))</f>
        <v>0</v>
      </c>
      <c r="AK98" s="201">
        <f t="array" ref="AK98">_xlfn.IFS(AND($K98&gt;AJ$7,$L98&gt;AJ$7),0,AND($K98&lt;=AJ$7,$L98&lt;=AJ$7),1,AND($K98&lt;=AJ$7,$L98&gt;AJ$7),((AJ$7-$K98)/($L98-$K98)))</f>
        <v>0</v>
      </c>
      <c r="AL98" s="201">
        <f t="array" ref="AL98">_xlfn.IFS(AND($K98&gt;AK$7,$L98&gt;AK$7),0,AND($K98&lt;=AK$7,$L98&lt;=AK$7),1,AND($K98&lt;=AK$7,$L98&gt;AK$7),((AK$7-$K98)/($L98-$K98)))</f>
        <v>0</v>
      </c>
      <c r="AM98" s="201">
        <f t="array" ref="AM98">_xlfn.IFS(AND($K98&gt;AL$7,$L98&gt;AL$7),0,AND($K98&lt;=AL$7,$L98&lt;=AL$7),1,AND($K98&lt;=AL$7,$L98&gt;AL$7),((AL$7-$K98)/($L98-$K98)))</f>
        <v>0</v>
      </c>
      <c r="AN98" s="201">
        <f t="array" ref="AN98">_xlfn.IFS(AND($K98&gt;AM$7,$L98&gt;AM$7),0,AND($K98&lt;=AM$7,$L98&lt;=AM$7),1,AND($K98&lt;=AM$7,$L98&gt;AM$7),((AM$7-$K98)/($L98-$K98)))</f>
        <v>0</v>
      </c>
      <c r="AO98" s="201">
        <f t="array" ref="AO98">_xlfn.IFS(AND($K98&gt;AN$7,$L98&gt;AN$7),0,AND($K98&lt;=AN$7,$L98&lt;=AN$7),1,AND($K98&lt;=AN$7,$L98&gt;AN$7),((AN$7-$K98)/($L98-$K98)))</f>
        <v>0</v>
      </c>
      <c r="AP98" s="201">
        <f t="array" ref="AP98">_xlfn.IFS(AND($K98&gt;AO$7,$L98&gt;AO$7),0,AND($K98&lt;=AO$7,$L98&lt;=AO$7),1,AND($K98&lt;=AO$7,$L98&gt;AO$7),((AO$7-$K98)/($L98-$K98)))</f>
        <v>0</v>
      </c>
      <c r="AQ98" s="201">
        <f t="array" ref="AQ98">_xlfn.IFS(AND($K98&gt;AP$7,$L98&gt;AP$7),0,AND($K98&lt;=AP$7,$L98&lt;=AP$7),1,AND($K98&lt;=AP$7,$L98&gt;AP$7),((AP$7-$K98)/($L98-$K98)))</f>
        <v>0</v>
      </c>
      <c r="AR98" s="201">
        <f t="array" ref="AR98">_xlfn.IFS(AND($K98&gt;AQ$7,$L98&gt;AQ$7),0,AND($K98&lt;=AQ$7,$L98&lt;=AQ$7),1,AND($K98&lt;=AQ$7,$L98&gt;AQ$7),((AQ$7-$K98)/($L98-$K98)))</f>
        <v>0</v>
      </c>
      <c r="AS98" s="201">
        <f t="array" ref="AS98">_xlfn.IFS(AND($K98&gt;AR$7,$L98&gt;AR$7),0,AND($K98&lt;=AR$7,$L98&lt;=AR$7),1,AND($K98&lt;=AR$7,$L98&gt;AR$7),((AR$7-$K98)/($L98-$K98)))</f>
        <v>0</v>
      </c>
      <c r="AT98" s="201">
        <f t="array" ref="AT98">_xlfn.IFS(AND($K98&gt;AS$7,$L98&gt;AS$7),0,AND($K98&lt;=AS$7,$L98&lt;=AS$7),1,AND($K98&lt;=AS$7,$L98&gt;AS$7),((AS$7-$K98)/($L98-$K98)))</f>
        <v>0</v>
      </c>
      <c r="AU98" s="201">
        <f t="array" ref="AU98">_xlfn.IFS(AND($K98&gt;AT$7,$L98&gt;AT$7),0,AND($K98&lt;=AT$7,$L98&lt;=AT$7),1,AND($K98&lt;=AT$7,$L98&gt;AT$7),((AT$7-$K98)/($L98-$K98)))</f>
        <v>0</v>
      </c>
      <c r="AV98" s="201">
        <f t="array" ref="AV98">_xlfn.IFS(AND($K98&gt;AU$7,$L98&gt;AU$7),0,AND($K98&lt;=AU$7,$L98&lt;=AU$7),1,AND($K98&lt;=AU$7,$L98&gt;AU$7),((AU$7-$K98)/($L98-$K98)))</f>
        <v>0</v>
      </c>
      <c r="AW98" s="201">
        <f t="array" ref="AW98">_xlfn.IFS(AND($K98&gt;AV$7,$L98&gt;AV$7),0,AND($K98&lt;=AV$7,$L98&lt;=AV$7),1,AND($K98&lt;=AV$7,$L98&gt;AV$7),((AV$7-$K98)/($L98-$K98)))</f>
        <v>0</v>
      </c>
      <c r="AX98" s="201">
        <f t="array" ref="AX98">_xlfn.IFS(AND($K98&gt;AW$7,$L98&gt;AW$7),0,AND($K98&lt;=AW$7,$L98&lt;=AW$7),1,AND($K98&lt;=AW$7,$L98&gt;AW$7),((AW$7-$K98)/($L98-$K98)))</f>
        <v>0</v>
      </c>
      <c r="AY98" s="201">
        <f t="array" ref="AY98">_xlfn.IFS(AND($K98&gt;AX$7,$L98&gt;AX$7),0,AND($K98&lt;=AX$7,$L98&lt;=AX$7),1,AND($K98&lt;=AX$7,$L98&gt;AX$7),((AX$7-$K98)/($L98-$K98)))</f>
        <v>1</v>
      </c>
      <c r="AZ98" s="201">
        <f t="array" ref="AZ98">_xlfn.IFS(AND($K98&gt;AY$7,$L98&gt;AY$7),0,AND($K98&lt;=AY$7,$L98&lt;=AY$7),1,AND($K98&lt;=AY$7,$L98&gt;AY$7),((AY$7-$K98)/($L98-$K98)))</f>
        <v>1</v>
      </c>
      <c r="BA98" s="201">
        <f t="array" ref="BA98">_xlfn.IFS(AND($K98&gt;AZ$7,$L98&gt;AZ$7),0,AND($K98&lt;=AZ$7,$L98&lt;=AZ$7),1,AND($K98&lt;=AZ$7,$L98&gt;AZ$7),((AZ$7-$K98)/($L98-$K98)))</f>
        <v>1</v>
      </c>
      <c r="BB98" s="201">
        <f t="array" ref="BB98">_xlfn.IFS(AND($K98&gt;BA$7,$L98&gt;BA$7),0,AND($K98&lt;=BA$7,$L98&lt;=BA$7),1,AND($K98&lt;=BA$7,$L98&gt;BA$7),((BA$7-$K98)/($L98-$K98)))</f>
        <v>1</v>
      </c>
      <c r="BC98" s="201">
        <f t="array" ref="BC98">_xlfn.IFS(AND($K98&gt;BB$7,$L98&gt;BB$7),0,AND($K98&lt;=BB$7,$L98&lt;=BB$7),1,AND($K98&lt;=BB$7,$L98&gt;BB$7),((BB$7-$K98)/($L98-$K98)))</f>
        <v>1</v>
      </c>
      <c r="BD98" s="201">
        <f t="array" ref="BD98">_xlfn.IFS(AND($K98&gt;BC$7,$L98&gt;BC$7),0,AND($K98&lt;=BC$7,$L98&lt;=BC$7),1,AND($K98&lt;=BC$7,$L98&gt;BC$7),((BC$7-$K98)/($L98-$K98)))</f>
        <v>1</v>
      </c>
      <c r="BE98" s="201">
        <f t="array" ref="BE98">_xlfn.IFS(AND($K98&gt;BD$7,$L98&gt;BD$7),0,AND($K98&lt;=BD$7,$L98&lt;=BD$7),1,AND($K98&lt;=BD$7,$L98&gt;BD$7),((BD$7-$K98)/($L98-$K98)))</f>
        <v>1</v>
      </c>
      <c r="BF98" s="201">
        <f t="array" ref="BF98">_xlfn.IFS(AND($K98&gt;BE$7,$L98&gt;BE$7),0,AND($K98&lt;=BE$7,$L98&lt;=BE$7),1,AND($K98&lt;=BE$7,$L98&gt;BE$7),((BE$7-$K98)/($L98-$K98)))</f>
        <v>1</v>
      </c>
      <c r="BG98" s="201">
        <f t="array" ref="BG98">_xlfn.IFS(AND($K98&gt;BF$7,$L98&gt;BF$7),0,AND($K98&lt;=BF$7,$L98&lt;=BF$7),1,AND($K98&lt;=BF$7,$L98&gt;BF$7),((BF$7-$K98)/($L98-$K98)))</f>
        <v>1</v>
      </c>
      <c r="BH98" s="201">
        <f t="array" ref="BH98">_xlfn.IFS(AND($K98&gt;BG$7,$L98&gt;BG$7),0,AND($K98&lt;=BG$7,$L98&lt;=BG$7),1,AND($K98&lt;=BG$7,$L98&gt;BG$7),((BG$7-$K98)/($L98-$K98)))</f>
        <v>1</v>
      </c>
      <c r="BI98" s="201">
        <f t="array" ref="BI98">_xlfn.IFS(AND($K98&gt;BH$7,$L98&gt;BH$7),0,AND($K98&lt;=BH$7,$L98&lt;=BH$7),1,AND($K98&lt;=BH$7,$L98&gt;BH$7),((BH$7-$K98)/($L98-$K98)))</f>
        <v>1</v>
      </c>
      <c r="BJ98" s="201">
        <f t="array" ref="BJ98">_xlfn.IFS(AND($K98&gt;BI$7,$L98&gt;BI$7),0,AND($K98&lt;=BI$7,$L98&lt;=BI$7),1,AND($K98&lt;=BI$7,$L98&gt;BI$7),((BI$7-$K98)/($L98-$K98)))</f>
        <v>1</v>
      </c>
      <c r="BK98" s="201">
        <f t="array" ref="BK98">_xlfn.IFS(AND($K98&gt;BJ$7,$L98&gt;BJ$7),0,AND($K98&lt;=BJ$7,$L98&lt;=BJ$7),1,AND($K98&lt;=BJ$7,$L98&gt;BJ$7),((BJ$7-$K98)/($L98-$K98)))</f>
        <v>1</v>
      </c>
      <c r="BL98" s="201">
        <f t="array" ref="BL98">_xlfn.IFS(AND($K98&gt;BK$7,$L98&gt;BK$7),0,AND($K98&lt;=BK$7,$L98&lt;=BK$7),1,AND($K98&lt;=BK$7,$L98&gt;BK$7),((BK$7-$K98)/($L98-$K98)))</f>
        <v>1</v>
      </c>
      <c r="BM98" s="201">
        <f t="array" ref="BM98">_xlfn.IFS(AND($K98&gt;BL$7,$L98&gt;BL$7),0,AND($K98&lt;=BL$7,$L98&lt;=BL$7),1,AND($K98&lt;=BL$7,$L98&gt;BL$7),((BL$7-$K98)/($L98-$K98)))</f>
        <v>1</v>
      </c>
      <c r="BN98" s="201">
        <f t="array" ref="BN98">_xlfn.IFS(AND($K98&gt;BM$7,$L98&gt;BM$7),0,AND($K98&lt;=BM$7,$L98&lt;=BM$7),1,AND($K98&lt;=BM$7,$L98&gt;BM$7),((BM$7-$K98)/($L98-$K98)))</f>
        <v>1</v>
      </c>
    </row>
    <row r="99" spans="2:66" s="163" customFormat="1" ht="27.6" customHeight="1" x14ac:dyDescent="0.3">
      <c r="B99" s="166" t="s">
        <v>161</v>
      </c>
      <c r="C99" s="166" t="s">
        <v>245</v>
      </c>
      <c r="D99" s="177"/>
      <c r="E99" s="170" t="str">
        <f t="shared" si="42"/>
        <v>Desenvolvimento da Transformação dos Processos</v>
      </c>
      <c r="F99" s="174" t="str">
        <f t="shared" si="39"/>
        <v>Modelagem To Be</v>
      </c>
      <c r="G99" s="166" t="str">
        <f t="shared" si="43"/>
        <v>Modelagem To Be</v>
      </c>
      <c r="H99" s="197" t="s">
        <v>246</v>
      </c>
      <c r="I99" s="166">
        <v>45936</v>
      </c>
      <c r="J99" s="166">
        <v>45940</v>
      </c>
      <c r="K99" s="166">
        <v>45936</v>
      </c>
      <c r="L99" s="166">
        <v>45940</v>
      </c>
      <c r="M99" s="167"/>
      <c r="N99" s="167" t="str">
        <f t="array" ref="N99">_xlfn.IFS(L99&lt;$M$3,"Concluído",AND(K99&gt;=$M$3,I99&lt;$M$3,L99&gt;$M$3),"Em andamento",AND(L99&gt;=$M$3,J99&lt;$M$3),"Atrasado",AND(L99&gt;=$M$3,J99&gt;=$M$3,I99&gt;$M$3,K99&lt;=$M$3),"Em andamento",AND(L99&gt;=$M$3,J99&gt;=$M$3,I99&lt;=$M$3,K99&lt;=$M$3),"Em andamento",AND(K99&gt;$M$3,I99&gt;$M$3),"Não iniciado",AND(L99&gt;=$M$3,J99&gt;=$M$3,K99&gt;=$M$3,I99&lt;$M$3),"Atrasado",AND(L99&gt;=$M$3,J99&gt;=$M$3,K99&gt;=$M$3,I99&gt;$M$3),"Não iniciado",AND($I99&lt;=$M$3,$K99&gt;$M$3),"Atrasado")</f>
        <v>Não iniciado</v>
      </c>
      <c r="O99" s="167">
        <f t="array" ref="O99">_xlfn.IFS(N99="Não iniciado",0,N99="Em andamento",1,N99="Concluído",2,N99="Atrasado",3)</f>
        <v>0</v>
      </c>
      <c r="P99" s="169"/>
      <c r="Q99" s="152">
        <f t="array" ref="Q99">_xlfn.IFS(AND($I99&lt;$M$3,$J99&lt;$M$3),1,AND($I99&lt;$M$3,$J99&gt;=$M$3),0.5,AND($I99&gt;=$M$3,$J99&gt;=$M$3),0)</f>
        <v>0</v>
      </c>
      <c r="R99" s="152">
        <f t="array" ref="R99">_xlfn.IFS(AND($K99&lt;$M$3,$L99&lt;$M$3),1,AND($K99&lt;=$M$3,$L99&gt;=$M$3),0.5,AND($K99&gt;=$M$3,$L99&gt;=$M$3),0)</f>
        <v>0</v>
      </c>
      <c r="S99" s="201">
        <f t="array" ref="S99">_xlfn.IFS(AND($K99&gt;R$7,$L99&gt;R$7),0,AND($K99&lt;=R$7,$L99&lt;=R$7),1,AND($K99&lt;=R$7,$L99&gt;R$7),((R$7-$K99)/($L99-$K99)))</f>
        <v>0</v>
      </c>
      <c r="T99" s="201">
        <f t="array" ref="T99">_xlfn.IFS(AND($K99&gt;S$7,$L99&gt;S$7),0,AND($K99&lt;=S$7,$L99&lt;=S$7),1,AND($K99&lt;=S$7,$L99&gt;S$7),((S$7-$K99)/($L99-$K99)))</f>
        <v>0</v>
      </c>
      <c r="U99" s="201">
        <f t="array" ref="U99">_xlfn.IFS(AND($K99&gt;T$7,$L99&gt;T$7),0,AND($K99&lt;=T$7,$L99&lt;=T$7),1,AND($K99&lt;=T$7,$L99&gt;T$7),((T$7-$K99)/($L99-$K99)))</f>
        <v>0</v>
      </c>
      <c r="V99" s="201">
        <f t="array" ref="V99">_xlfn.IFS(AND($K99&gt;U$7,$L99&gt;U$7),0,AND($K99&lt;=U$7,$L99&lt;=U$7),1,AND($K99&lt;=U$7,$L99&gt;U$7),((U$7-$K99)/($L99-$K99)))</f>
        <v>0</v>
      </c>
      <c r="W99" s="201">
        <f t="array" ref="W99">_xlfn.IFS(AND($K99&gt;V$7,$L99&gt;V$7),0,AND($K99&lt;=V$7,$L99&lt;=V$7),1,AND($K99&lt;=V$7,$L99&gt;V$7),((V$7-$K99)/($L99-$K99)))</f>
        <v>0</v>
      </c>
      <c r="X99" s="201">
        <f t="array" ref="X99">_xlfn.IFS(AND($K99&gt;W$7,$L99&gt;W$7),0,AND($K99&lt;=W$7,$L99&lt;=W$7),1,AND($K99&lt;=W$7,$L99&gt;W$7),((W$7-$K99)/($L99-$K99)))</f>
        <v>0</v>
      </c>
      <c r="Y99" s="201">
        <f t="array" ref="Y99">_xlfn.IFS(AND($K99&gt;X$7,$L99&gt;X$7),0,AND($K99&lt;=X$7,$L99&lt;=X$7),1,AND($K99&lt;=X$7,$L99&gt;X$7),((X$7-$K99)/($L99-$K99)))</f>
        <v>0</v>
      </c>
      <c r="Z99" s="201">
        <f t="array" ref="Z99">_xlfn.IFS(AND($K99&gt;Y$7,$L99&gt;Y$7),0,AND($K99&lt;=Y$7,$L99&lt;=Y$7),1,AND($K99&lt;=Y$7,$L99&gt;Y$7),((Y$7-$K99)/($L99-$K99)))</f>
        <v>0</v>
      </c>
      <c r="AA99" s="201">
        <f t="array" ref="AA99">_xlfn.IFS(AND($K99&gt;Z$7,$L99&gt;Z$7),0,AND($K99&lt;=Z$7,$L99&lt;=Z$7),1,AND($K99&lt;=Z$7,$L99&gt;Z$7),((Z$7-$K99)/($L99-$K99)))</f>
        <v>0</v>
      </c>
      <c r="AB99" s="201">
        <f t="array" ref="AB99">_xlfn.IFS(AND($K99&gt;AA$7,$L99&gt;AA$7),0,AND($K99&lt;=AA$7,$L99&lt;=AA$7),1,AND($K99&lt;=AA$7,$L99&gt;AA$7),((AA$7-$K99)/($L99-$K99)))</f>
        <v>0</v>
      </c>
      <c r="AC99" s="201">
        <f t="array" ref="AC99">_xlfn.IFS(AND($K99&gt;AB$7,$L99&gt;AB$7),0,AND($K99&lt;=AB$7,$L99&lt;=AB$7),1,AND($K99&lt;=AB$7,$L99&gt;AB$7),((AB$7-$K99)/($L99-$K99)))</f>
        <v>0</v>
      </c>
      <c r="AD99" s="201">
        <f t="array" ref="AD99">_xlfn.IFS(AND($K99&gt;AC$7,$L99&gt;AC$7),0,AND($K99&lt;=AC$7,$L99&lt;=AC$7),1,AND($K99&lt;=AC$7,$L99&gt;AC$7),((AC$7-$K99)/($L99-$K99)))</f>
        <v>0</v>
      </c>
      <c r="AE99" s="201">
        <f t="array" ref="AE99">_xlfn.IFS(AND($K99&gt;AD$7,$L99&gt;AD$7),0,AND($K99&lt;=AD$7,$L99&lt;=AD$7),1,AND($K99&lt;=AD$7,$L99&gt;AD$7),((AD$7-$K99)/($L99-$K99)))</f>
        <v>0</v>
      </c>
      <c r="AF99" s="201">
        <f t="array" ref="AF99">_xlfn.IFS(AND($K99&gt;AE$7,$L99&gt;AE$7),0,AND($K99&lt;=AE$7,$L99&lt;=AE$7),1,AND($K99&lt;=AE$7,$L99&gt;AE$7),((AE$7-$K99)/($L99-$K99)))</f>
        <v>0</v>
      </c>
      <c r="AG99" s="201">
        <f t="array" ref="AG99">_xlfn.IFS(AND($K99&gt;AF$7,$L99&gt;AF$7),0,AND($K99&lt;=AF$7,$L99&lt;=AF$7),1,AND($K99&lt;=AF$7,$L99&gt;AF$7),((AF$7-$K99)/($L99-$K99)))</f>
        <v>0</v>
      </c>
      <c r="AH99" s="201">
        <f t="array" ref="AH99">_xlfn.IFS(AND($K99&gt;AG$7,$L99&gt;AG$7),0,AND($K99&lt;=AG$7,$L99&lt;=AG$7),1,AND($K99&lt;=AG$7,$L99&gt;AG$7),((AG$7-$K99)/($L99-$K99)))</f>
        <v>0</v>
      </c>
      <c r="AI99" s="201">
        <f t="array" ref="AI99">_xlfn.IFS(AND($K99&gt;AH$7,$L99&gt;AH$7),0,AND($K99&lt;=AH$7,$L99&lt;=AH$7),1,AND($K99&lt;=AH$7,$L99&gt;AH$7),((AH$7-$K99)/($L99-$K99)))</f>
        <v>0</v>
      </c>
      <c r="AJ99" s="201">
        <f t="array" ref="AJ99">_xlfn.IFS(AND($K99&gt;AI$7,$L99&gt;AI$7),0,AND($K99&lt;=AI$7,$L99&lt;=AI$7),1,AND($K99&lt;=AI$7,$L99&gt;AI$7),((AI$7-$K99)/($L99-$K99)))</f>
        <v>0</v>
      </c>
      <c r="AK99" s="201">
        <f t="array" ref="AK99">_xlfn.IFS(AND($K99&gt;AJ$7,$L99&gt;AJ$7),0,AND($K99&lt;=AJ$7,$L99&lt;=AJ$7),1,AND($K99&lt;=AJ$7,$L99&gt;AJ$7),((AJ$7-$K99)/($L99-$K99)))</f>
        <v>0</v>
      </c>
      <c r="AL99" s="201">
        <f t="array" ref="AL99">_xlfn.IFS(AND($K99&gt;AK$7,$L99&gt;AK$7),0,AND($K99&lt;=AK$7,$L99&lt;=AK$7),1,AND($K99&lt;=AK$7,$L99&gt;AK$7),((AK$7-$K99)/($L99-$K99)))</f>
        <v>0</v>
      </c>
      <c r="AM99" s="201">
        <f t="array" ref="AM99">_xlfn.IFS(AND($K99&gt;AL$7,$L99&gt;AL$7),0,AND($K99&lt;=AL$7,$L99&lt;=AL$7),1,AND($K99&lt;=AL$7,$L99&gt;AL$7),((AL$7-$K99)/($L99-$K99)))</f>
        <v>0</v>
      </c>
      <c r="AN99" s="201">
        <f t="array" ref="AN99">_xlfn.IFS(AND($K99&gt;AM$7,$L99&gt;AM$7),0,AND($K99&lt;=AM$7,$L99&lt;=AM$7),1,AND($K99&lt;=AM$7,$L99&gt;AM$7),((AM$7-$K99)/($L99-$K99)))</f>
        <v>0</v>
      </c>
      <c r="AO99" s="201">
        <f t="array" ref="AO99">_xlfn.IFS(AND($K99&gt;AN$7,$L99&gt;AN$7),0,AND($K99&lt;=AN$7,$L99&lt;=AN$7),1,AND($K99&lt;=AN$7,$L99&gt;AN$7),((AN$7-$K99)/($L99-$K99)))</f>
        <v>0</v>
      </c>
      <c r="AP99" s="201">
        <f t="array" ref="AP99">_xlfn.IFS(AND($K99&gt;AO$7,$L99&gt;AO$7),0,AND($K99&lt;=AO$7,$L99&lt;=AO$7),1,AND($K99&lt;=AO$7,$L99&gt;AO$7),((AO$7-$K99)/($L99-$K99)))</f>
        <v>0</v>
      </c>
      <c r="AQ99" s="201">
        <f t="array" ref="AQ99">_xlfn.IFS(AND($K99&gt;AP$7,$L99&gt;AP$7),0,AND($K99&lt;=AP$7,$L99&lt;=AP$7),1,AND($K99&lt;=AP$7,$L99&gt;AP$7),((AP$7-$K99)/($L99-$K99)))</f>
        <v>0</v>
      </c>
      <c r="AR99" s="201">
        <f t="array" ref="AR99">_xlfn.IFS(AND($K99&gt;AQ$7,$L99&gt;AQ$7),0,AND($K99&lt;=AQ$7,$L99&lt;=AQ$7),1,AND($K99&lt;=AQ$7,$L99&gt;AQ$7),((AQ$7-$K99)/($L99-$K99)))</f>
        <v>0</v>
      </c>
      <c r="AS99" s="201">
        <f t="array" ref="AS99">_xlfn.IFS(AND($K99&gt;AR$7,$L99&gt;AR$7),0,AND($K99&lt;=AR$7,$L99&lt;=AR$7),1,AND($K99&lt;=AR$7,$L99&gt;AR$7),((AR$7-$K99)/($L99-$K99)))</f>
        <v>0</v>
      </c>
      <c r="AT99" s="201">
        <f t="array" ref="AT99">_xlfn.IFS(AND($K99&gt;AS$7,$L99&gt;AS$7),0,AND($K99&lt;=AS$7,$L99&lt;=AS$7),1,AND($K99&lt;=AS$7,$L99&gt;AS$7),((AS$7-$K99)/($L99-$K99)))</f>
        <v>0</v>
      </c>
      <c r="AU99" s="201">
        <f t="array" ref="AU99">_xlfn.IFS(AND($K99&gt;AT$7,$L99&gt;AT$7),0,AND($K99&lt;=AT$7,$L99&lt;=AT$7),1,AND($K99&lt;=AT$7,$L99&gt;AT$7),((AT$7-$K99)/($L99-$K99)))</f>
        <v>0</v>
      </c>
      <c r="AV99" s="201">
        <f t="array" ref="AV99">_xlfn.IFS(AND($K99&gt;AU$7,$L99&gt;AU$7),0,AND($K99&lt;=AU$7,$L99&lt;=AU$7),1,AND($K99&lt;=AU$7,$L99&gt;AU$7),((AU$7-$K99)/($L99-$K99)))</f>
        <v>0</v>
      </c>
      <c r="AW99" s="201">
        <f t="array" ref="AW99">_xlfn.IFS(AND($K99&gt;AV$7,$L99&gt;AV$7),0,AND($K99&lt;=AV$7,$L99&lt;=AV$7),1,AND($K99&lt;=AV$7,$L99&gt;AV$7),((AV$7-$K99)/($L99-$K99)))</f>
        <v>0</v>
      </c>
      <c r="AX99" s="201">
        <f t="array" ref="AX99">_xlfn.IFS(AND($K99&gt;AW$7,$L99&gt;AW$7),0,AND($K99&lt;=AW$7,$L99&lt;=AW$7),1,AND($K99&lt;=AW$7,$L99&gt;AW$7),((AW$7-$K99)/($L99-$K99)))</f>
        <v>0</v>
      </c>
      <c r="AY99" s="201">
        <f t="array" ref="AY99">_xlfn.IFS(AND($K99&gt;AX$7,$L99&gt;AX$7),0,AND($K99&lt;=AX$7,$L99&lt;=AX$7),1,AND($K99&lt;=AX$7,$L99&gt;AX$7),((AX$7-$K99)/($L99-$K99)))</f>
        <v>0</v>
      </c>
      <c r="AZ99" s="201">
        <f t="array" ref="AZ99">_xlfn.IFS(AND($K99&gt;AY$7,$L99&gt;AY$7),0,AND($K99&lt;=AY$7,$L99&lt;=AY$7),1,AND($K99&lt;=AY$7,$L99&gt;AY$7),((AY$7-$K99)/($L99-$K99)))</f>
        <v>0</v>
      </c>
      <c r="BA99" s="201">
        <f t="array" ref="BA99">_xlfn.IFS(AND($K99&gt;AZ$7,$L99&gt;AZ$7),0,AND($K99&lt;=AZ$7,$L99&lt;=AZ$7),1,AND($K99&lt;=AZ$7,$L99&gt;AZ$7),((AZ$7-$K99)/($L99-$K99)))</f>
        <v>0</v>
      </c>
      <c r="BB99" s="201">
        <f t="array" ref="BB99">_xlfn.IFS(AND($K99&gt;BA$7,$L99&gt;BA$7),0,AND($K99&lt;=BA$7,$L99&lt;=BA$7),1,AND($K99&lt;=BA$7,$L99&gt;BA$7),((BA$7-$K99)/($L99-$K99)))</f>
        <v>0</v>
      </c>
      <c r="BC99" s="201">
        <f t="array" ref="BC99">_xlfn.IFS(AND($K99&gt;BB$7,$L99&gt;BB$7),0,AND($K99&lt;=BB$7,$L99&lt;=BB$7),1,AND($K99&lt;=BB$7,$L99&gt;BB$7),((BB$7-$K99)/($L99-$K99)))</f>
        <v>1</v>
      </c>
      <c r="BD99" s="201">
        <f t="array" ref="BD99">_xlfn.IFS(AND($K99&gt;BC$7,$L99&gt;BC$7),0,AND($K99&lt;=BC$7,$L99&lt;=BC$7),1,AND($K99&lt;=BC$7,$L99&gt;BC$7),((BC$7-$K99)/($L99-$K99)))</f>
        <v>1</v>
      </c>
      <c r="BE99" s="201">
        <f t="array" ref="BE99">_xlfn.IFS(AND($K99&gt;BD$7,$L99&gt;BD$7),0,AND($K99&lt;=BD$7,$L99&lt;=BD$7),1,AND($K99&lt;=BD$7,$L99&gt;BD$7),((BD$7-$K99)/($L99-$K99)))</f>
        <v>1</v>
      </c>
      <c r="BF99" s="201">
        <f t="array" ref="BF99">_xlfn.IFS(AND($K99&gt;BE$7,$L99&gt;BE$7),0,AND($K99&lt;=BE$7,$L99&lt;=BE$7),1,AND($K99&lt;=BE$7,$L99&gt;BE$7),((BE$7-$K99)/($L99-$K99)))</f>
        <v>1</v>
      </c>
      <c r="BG99" s="201">
        <f t="array" ref="BG99">_xlfn.IFS(AND($K99&gt;BF$7,$L99&gt;BF$7),0,AND($K99&lt;=BF$7,$L99&lt;=BF$7),1,AND($K99&lt;=BF$7,$L99&gt;BF$7),((BF$7-$K99)/($L99-$K99)))</f>
        <v>1</v>
      </c>
      <c r="BH99" s="201">
        <f t="array" ref="BH99">_xlfn.IFS(AND($K99&gt;BG$7,$L99&gt;BG$7),0,AND($K99&lt;=BG$7,$L99&lt;=BG$7),1,AND($K99&lt;=BG$7,$L99&gt;BG$7),((BG$7-$K99)/($L99-$K99)))</f>
        <v>1</v>
      </c>
      <c r="BI99" s="201">
        <f t="array" ref="BI99">_xlfn.IFS(AND($K99&gt;BH$7,$L99&gt;BH$7),0,AND($K99&lt;=BH$7,$L99&lt;=BH$7),1,AND($K99&lt;=BH$7,$L99&gt;BH$7),((BH$7-$K99)/($L99-$K99)))</f>
        <v>1</v>
      </c>
      <c r="BJ99" s="201">
        <f t="array" ref="BJ99">_xlfn.IFS(AND($K99&gt;BI$7,$L99&gt;BI$7),0,AND($K99&lt;=BI$7,$L99&lt;=BI$7),1,AND($K99&lt;=BI$7,$L99&gt;BI$7),((BI$7-$K99)/($L99-$K99)))</f>
        <v>1</v>
      </c>
      <c r="BK99" s="201">
        <f t="array" ref="BK99">_xlfn.IFS(AND($K99&gt;BJ$7,$L99&gt;BJ$7),0,AND($K99&lt;=BJ$7,$L99&lt;=BJ$7),1,AND($K99&lt;=BJ$7,$L99&gt;BJ$7),((BJ$7-$K99)/($L99-$K99)))</f>
        <v>1</v>
      </c>
      <c r="BL99" s="201">
        <f t="array" ref="BL99">_xlfn.IFS(AND($K99&gt;BK$7,$L99&gt;BK$7),0,AND($K99&lt;=BK$7,$L99&lt;=BK$7),1,AND($K99&lt;=BK$7,$L99&gt;BK$7),((BK$7-$K99)/($L99-$K99)))</f>
        <v>1</v>
      </c>
      <c r="BM99" s="201">
        <f t="array" ref="BM99">_xlfn.IFS(AND($K99&gt;BL$7,$L99&gt;BL$7),0,AND($K99&lt;=BL$7,$L99&lt;=BL$7),1,AND($K99&lt;=BL$7,$L99&gt;BL$7),((BL$7-$K99)/($L99-$K99)))</f>
        <v>1</v>
      </c>
      <c r="BN99" s="201">
        <f t="array" ref="BN99">_xlfn.IFS(AND($K99&gt;BM$7,$L99&gt;BM$7),0,AND($K99&lt;=BM$7,$L99&lt;=BM$7),1,AND($K99&lt;=BM$7,$L99&gt;BM$7),((BM$7-$K99)/($L99-$K99)))</f>
        <v>1</v>
      </c>
    </row>
    <row r="100" spans="2:66" s="163" customFormat="1" ht="27.6" customHeight="1" x14ac:dyDescent="0.3">
      <c r="B100" s="166" t="s">
        <v>161</v>
      </c>
      <c r="C100" s="166" t="s">
        <v>247</v>
      </c>
      <c r="D100" s="177"/>
      <c r="E100" s="170" t="str">
        <f t="shared" si="42"/>
        <v>Desenvolvimento da Transformação dos Processos</v>
      </c>
      <c r="F100" s="174" t="str">
        <f t="shared" si="39"/>
        <v>Modelagem To Be</v>
      </c>
      <c r="G100" s="166" t="str">
        <f t="shared" si="43"/>
        <v>Modelagem To Be</v>
      </c>
      <c r="H100" s="197" t="s">
        <v>248</v>
      </c>
      <c r="I100" s="166">
        <v>45936</v>
      </c>
      <c r="J100" s="166">
        <v>45940</v>
      </c>
      <c r="K100" s="166">
        <v>45936</v>
      </c>
      <c r="L100" s="166">
        <v>45940</v>
      </c>
      <c r="M100" s="167"/>
      <c r="N100" s="167" t="str">
        <f t="array" ref="N100">_xlfn.IFS(L100&lt;$M$3,"Concluído",AND(K100&gt;=$M$3,I100&lt;$M$3,L100&gt;$M$3),"Em andamento",AND(L100&gt;=$M$3,J100&lt;$M$3),"Atrasado",AND(L100&gt;=$M$3,J100&gt;=$M$3,I100&gt;$M$3,K100&lt;=$M$3),"Em andamento",AND(L100&gt;=$M$3,J100&gt;=$M$3,I100&lt;=$M$3,K100&lt;=$M$3),"Em andamento",AND(K100&gt;$M$3,I100&gt;$M$3),"Não iniciado",AND(L100&gt;=$M$3,J100&gt;=$M$3,K100&gt;=$M$3,I100&lt;$M$3),"Atrasado",AND(L100&gt;=$M$3,J100&gt;=$M$3,K100&gt;=$M$3,I100&gt;$M$3),"Não iniciado",AND($I100&lt;=$M$3,$K100&gt;$M$3),"Atrasado")</f>
        <v>Não iniciado</v>
      </c>
      <c r="O100" s="167">
        <f t="array" ref="O100">_xlfn.IFS(N100="Não iniciado",0,N100="Em andamento",1,N100="Concluído",2,N100="Atrasado",3)</f>
        <v>0</v>
      </c>
      <c r="P100" s="169"/>
      <c r="Q100" s="152">
        <f t="array" ref="Q100">_xlfn.IFS(AND($I100&lt;$M$3,$J100&lt;$M$3),1,AND($I100&lt;$M$3,$J100&gt;=$M$3),0.5,AND($I100&gt;=$M$3,$J100&gt;=$M$3),0)</f>
        <v>0</v>
      </c>
      <c r="R100" s="152">
        <f t="array" ref="R100">_xlfn.IFS(AND($K100&lt;$M$3,$L100&lt;$M$3),1,AND($K100&lt;=$M$3,$L100&gt;=$M$3),0.5,AND($K100&gt;=$M$3,$L100&gt;=$M$3),0)</f>
        <v>0</v>
      </c>
      <c r="S100" s="201">
        <f t="array" ref="S100">_xlfn.IFS(AND($K100&gt;R$7,$L100&gt;R$7),0,AND($K100&lt;=R$7,$L100&lt;=R$7),1,AND($K100&lt;=R$7,$L100&gt;R$7),((R$7-$K100)/($L100-$K100)))</f>
        <v>0</v>
      </c>
      <c r="T100" s="201">
        <f t="array" ref="T100">_xlfn.IFS(AND($K100&gt;S$7,$L100&gt;S$7),0,AND($K100&lt;=S$7,$L100&lt;=S$7),1,AND($K100&lt;=S$7,$L100&gt;S$7),((S$7-$K100)/($L100-$K100)))</f>
        <v>0</v>
      </c>
      <c r="U100" s="201">
        <f t="array" ref="U100">_xlfn.IFS(AND($K100&gt;T$7,$L100&gt;T$7),0,AND($K100&lt;=T$7,$L100&lt;=T$7),1,AND($K100&lt;=T$7,$L100&gt;T$7),((T$7-$K100)/($L100-$K100)))</f>
        <v>0</v>
      </c>
      <c r="V100" s="201">
        <f t="array" ref="V100">_xlfn.IFS(AND($K100&gt;U$7,$L100&gt;U$7),0,AND($K100&lt;=U$7,$L100&lt;=U$7),1,AND($K100&lt;=U$7,$L100&gt;U$7),((U$7-$K100)/($L100-$K100)))</f>
        <v>0</v>
      </c>
      <c r="W100" s="201">
        <f t="array" ref="W100">_xlfn.IFS(AND($K100&gt;V$7,$L100&gt;V$7),0,AND($K100&lt;=V$7,$L100&lt;=V$7),1,AND($K100&lt;=V$7,$L100&gt;V$7),((V$7-$K100)/($L100-$K100)))</f>
        <v>0</v>
      </c>
      <c r="X100" s="201">
        <f t="array" ref="X100">_xlfn.IFS(AND($K100&gt;W$7,$L100&gt;W$7),0,AND($K100&lt;=W$7,$L100&lt;=W$7),1,AND($K100&lt;=W$7,$L100&gt;W$7),((W$7-$K100)/($L100-$K100)))</f>
        <v>0</v>
      </c>
      <c r="Y100" s="201">
        <f t="array" ref="Y100">_xlfn.IFS(AND($K100&gt;X$7,$L100&gt;X$7),0,AND($K100&lt;=X$7,$L100&lt;=X$7),1,AND($K100&lt;=X$7,$L100&gt;X$7),((X$7-$K100)/($L100-$K100)))</f>
        <v>0</v>
      </c>
      <c r="Z100" s="201">
        <f t="array" ref="Z100">_xlfn.IFS(AND($K100&gt;Y$7,$L100&gt;Y$7),0,AND($K100&lt;=Y$7,$L100&lt;=Y$7),1,AND($K100&lt;=Y$7,$L100&gt;Y$7),((Y$7-$K100)/($L100-$K100)))</f>
        <v>0</v>
      </c>
      <c r="AA100" s="201">
        <f t="array" ref="AA100">_xlfn.IFS(AND($K100&gt;Z$7,$L100&gt;Z$7),0,AND($K100&lt;=Z$7,$L100&lt;=Z$7),1,AND($K100&lt;=Z$7,$L100&gt;Z$7),((Z$7-$K100)/($L100-$K100)))</f>
        <v>0</v>
      </c>
      <c r="AB100" s="201">
        <f t="array" ref="AB100">_xlfn.IFS(AND($K100&gt;AA$7,$L100&gt;AA$7),0,AND($K100&lt;=AA$7,$L100&lt;=AA$7),1,AND($K100&lt;=AA$7,$L100&gt;AA$7),((AA$7-$K100)/($L100-$K100)))</f>
        <v>0</v>
      </c>
      <c r="AC100" s="201">
        <f t="array" ref="AC100">_xlfn.IFS(AND($K100&gt;AB$7,$L100&gt;AB$7),0,AND($K100&lt;=AB$7,$L100&lt;=AB$7),1,AND($K100&lt;=AB$7,$L100&gt;AB$7),((AB$7-$K100)/($L100-$K100)))</f>
        <v>0</v>
      </c>
      <c r="AD100" s="201">
        <f t="array" ref="AD100">_xlfn.IFS(AND($K100&gt;AC$7,$L100&gt;AC$7),0,AND($K100&lt;=AC$7,$L100&lt;=AC$7),1,AND($K100&lt;=AC$7,$L100&gt;AC$7),((AC$7-$K100)/($L100-$K100)))</f>
        <v>0</v>
      </c>
      <c r="AE100" s="201">
        <f t="array" ref="AE100">_xlfn.IFS(AND($K100&gt;AD$7,$L100&gt;AD$7),0,AND($K100&lt;=AD$7,$L100&lt;=AD$7),1,AND($K100&lt;=AD$7,$L100&gt;AD$7),((AD$7-$K100)/($L100-$K100)))</f>
        <v>0</v>
      </c>
      <c r="AF100" s="201">
        <f t="array" ref="AF100">_xlfn.IFS(AND($K100&gt;AE$7,$L100&gt;AE$7),0,AND($K100&lt;=AE$7,$L100&lt;=AE$7),1,AND($K100&lt;=AE$7,$L100&gt;AE$7),((AE$7-$K100)/($L100-$K100)))</f>
        <v>0</v>
      </c>
      <c r="AG100" s="201">
        <f t="array" ref="AG100">_xlfn.IFS(AND($K100&gt;AF$7,$L100&gt;AF$7),0,AND($K100&lt;=AF$7,$L100&lt;=AF$7),1,AND($K100&lt;=AF$7,$L100&gt;AF$7),((AF$7-$K100)/($L100-$K100)))</f>
        <v>0</v>
      </c>
      <c r="AH100" s="201">
        <f t="array" ref="AH100">_xlfn.IFS(AND($K100&gt;AG$7,$L100&gt;AG$7),0,AND($K100&lt;=AG$7,$L100&lt;=AG$7),1,AND($K100&lt;=AG$7,$L100&gt;AG$7),((AG$7-$K100)/($L100-$K100)))</f>
        <v>0</v>
      </c>
      <c r="AI100" s="201">
        <f t="array" ref="AI100">_xlfn.IFS(AND($K100&gt;AH$7,$L100&gt;AH$7),0,AND($K100&lt;=AH$7,$L100&lt;=AH$7),1,AND($K100&lt;=AH$7,$L100&gt;AH$7),((AH$7-$K100)/($L100-$K100)))</f>
        <v>0</v>
      </c>
      <c r="AJ100" s="201">
        <f t="array" ref="AJ100">_xlfn.IFS(AND($K100&gt;AI$7,$L100&gt;AI$7),0,AND($K100&lt;=AI$7,$L100&lt;=AI$7),1,AND($K100&lt;=AI$7,$L100&gt;AI$7),((AI$7-$K100)/($L100-$K100)))</f>
        <v>0</v>
      </c>
      <c r="AK100" s="201">
        <f t="array" ref="AK100">_xlfn.IFS(AND($K100&gt;AJ$7,$L100&gt;AJ$7),0,AND($K100&lt;=AJ$7,$L100&lt;=AJ$7),1,AND($K100&lt;=AJ$7,$L100&gt;AJ$7),((AJ$7-$K100)/($L100-$K100)))</f>
        <v>0</v>
      </c>
      <c r="AL100" s="201">
        <f t="array" ref="AL100">_xlfn.IFS(AND($K100&gt;AK$7,$L100&gt;AK$7),0,AND($K100&lt;=AK$7,$L100&lt;=AK$7),1,AND($K100&lt;=AK$7,$L100&gt;AK$7),((AK$7-$K100)/($L100-$K100)))</f>
        <v>0</v>
      </c>
      <c r="AM100" s="201">
        <f t="array" ref="AM100">_xlfn.IFS(AND($K100&gt;AL$7,$L100&gt;AL$7),0,AND($K100&lt;=AL$7,$L100&lt;=AL$7),1,AND($K100&lt;=AL$7,$L100&gt;AL$7),((AL$7-$K100)/($L100-$K100)))</f>
        <v>0</v>
      </c>
      <c r="AN100" s="201">
        <f t="array" ref="AN100">_xlfn.IFS(AND($K100&gt;AM$7,$L100&gt;AM$7),0,AND($K100&lt;=AM$7,$L100&lt;=AM$7),1,AND($K100&lt;=AM$7,$L100&gt;AM$7),((AM$7-$K100)/($L100-$K100)))</f>
        <v>0</v>
      </c>
      <c r="AO100" s="201">
        <f t="array" ref="AO100">_xlfn.IFS(AND($K100&gt;AN$7,$L100&gt;AN$7),0,AND($K100&lt;=AN$7,$L100&lt;=AN$7),1,AND($K100&lt;=AN$7,$L100&gt;AN$7),((AN$7-$K100)/($L100-$K100)))</f>
        <v>0</v>
      </c>
      <c r="AP100" s="201">
        <f t="array" ref="AP100">_xlfn.IFS(AND($K100&gt;AO$7,$L100&gt;AO$7),0,AND($K100&lt;=AO$7,$L100&lt;=AO$7),1,AND($K100&lt;=AO$7,$L100&gt;AO$7),((AO$7-$K100)/($L100-$K100)))</f>
        <v>0</v>
      </c>
      <c r="AQ100" s="201">
        <f t="array" ref="AQ100">_xlfn.IFS(AND($K100&gt;AP$7,$L100&gt;AP$7),0,AND($K100&lt;=AP$7,$L100&lt;=AP$7),1,AND($K100&lt;=AP$7,$L100&gt;AP$7),((AP$7-$K100)/($L100-$K100)))</f>
        <v>0</v>
      </c>
      <c r="AR100" s="201">
        <f t="array" ref="AR100">_xlfn.IFS(AND($K100&gt;AQ$7,$L100&gt;AQ$7),0,AND($K100&lt;=AQ$7,$L100&lt;=AQ$7),1,AND($K100&lt;=AQ$7,$L100&gt;AQ$7),((AQ$7-$K100)/($L100-$K100)))</f>
        <v>0</v>
      </c>
      <c r="AS100" s="201">
        <f t="array" ref="AS100">_xlfn.IFS(AND($K100&gt;AR$7,$L100&gt;AR$7),0,AND($K100&lt;=AR$7,$L100&lt;=AR$7),1,AND($K100&lt;=AR$7,$L100&gt;AR$7),((AR$7-$K100)/($L100-$K100)))</f>
        <v>0</v>
      </c>
      <c r="AT100" s="201">
        <f t="array" ref="AT100">_xlfn.IFS(AND($K100&gt;AS$7,$L100&gt;AS$7),0,AND($K100&lt;=AS$7,$L100&lt;=AS$7),1,AND($K100&lt;=AS$7,$L100&gt;AS$7),((AS$7-$K100)/($L100-$K100)))</f>
        <v>0</v>
      </c>
      <c r="AU100" s="201">
        <f t="array" ref="AU100">_xlfn.IFS(AND($K100&gt;AT$7,$L100&gt;AT$7),0,AND($K100&lt;=AT$7,$L100&lt;=AT$7),1,AND($K100&lt;=AT$7,$L100&gt;AT$7),((AT$7-$K100)/($L100-$K100)))</f>
        <v>0</v>
      </c>
      <c r="AV100" s="201">
        <f t="array" ref="AV100">_xlfn.IFS(AND($K100&gt;AU$7,$L100&gt;AU$7),0,AND($K100&lt;=AU$7,$L100&lt;=AU$7),1,AND($K100&lt;=AU$7,$L100&gt;AU$7),((AU$7-$K100)/($L100-$K100)))</f>
        <v>0</v>
      </c>
      <c r="AW100" s="201">
        <f t="array" ref="AW100">_xlfn.IFS(AND($K100&gt;AV$7,$L100&gt;AV$7),0,AND($K100&lt;=AV$7,$L100&lt;=AV$7),1,AND($K100&lt;=AV$7,$L100&gt;AV$7),((AV$7-$K100)/($L100-$K100)))</f>
        <v>0</v>
      </c>
      <c r="AX100" s="201">
        <f t="array" ref="AX100">_xlfn.IFS(AND($K100&gt;AW$7,$L100&gt;AW$7),0,AND($K100&lt;=AW$7,$L100&lt;=AW$7),1,AND($K100&lt;=AW$7,$L100&gt;AW$7),((AW$7-$K100)/($L100-$K100)))</f>
        <v>0</v>
      </c>
      <c r="AY100" s="201">
        <f t="array" ref="AY100">_xlfn.IFS(AND($K100&gt;AX$7,$L100&gt;AX$7),0,AND($K100&lt;=AX$7,$L100&lt;=AX$7),1,AND($K100&lt;=AX$7,$L100&gt;AX$7),((AX$7-$K100)/($L100-$K100)))</f>
        <v>0</v>
      </c>
      <c r="AZ100" s="201">
        <f t="array" ref="AZ100">_xlfn.IFS(AND($K100&gt;AY$7,$L100&gt;AY$7),0,AND($K100&lt;=AY$7,$L100&lt;=AY$7),1,AND($K100&lt;=AY$7,$L100&gt;AY$7),((AY$7-$K100)/($L100-$K100)))</f>
        <v>0</v>
      </c>
      <c r="BA100" s="201">
        <f t="array" ref="BA100">_xlfn.IFS(AND($K100&gt;AZ$7,$L100&gt;AZ$7),0,AND($K100&lt;=AZ$7,$L100&lt;=AZ$7),1,AND($K100&lt;=AZ$7,$L100&gt;AZ$7),((AZ$7-$K100)/($L100-$K100)))</f>
        <v>0</v>
      </c>
      <c r="BB100" s="201">
        <f t="array" ref="BB100">_xlfn.IFS(AND($K100&gt;BA$7,$L100&gt;BA$7),0,AND($K100&lt;=BA$7,$L100&lt;=BA$7),1,AND($K100&lt;=BA$7,$L100&gt;BA$7),((BA$7-$K100)/($L100-$K100)))</f>
        <v>0</v>
      </c>
      <c r="BC100" s="201">
        <f t="array" ref="BC100">_xlfn.IFS(AND($K100&gt;BB$7,$L100&gt;BB$7),0,AND($K100&lt;=BB$7,$L100&lt;=BB$7),1,AND($K100&lt;=BB$7,$L100&gt;BB$7),((BB$7-$K100)/($L100-$K100)))</f>
        <v>1</v>
      </c>
      <c r="BD100" s="201">
        <f t="array" ref="BD100">_xlfn.IFS(AND($K100&gt;BC$7,$L100&gt;BC$7),0,AND($K100&lt;=BC$7,$L100&lt;=BC$7),1,AND($K100&lt;=BC$7,$L100&gt;BC$7),((BC$7-$K100)/($L100-$K100)))</f>
        <v>1</v>
      </c>
      <c r="BE100" s="201">
        <f t="array" ref="BE100">_xlfn.IFS(AND($K100&gt;BD$7,$L100&gt;BD$7),0,AND($K100&lt;=BD$7,$L100&lt;=BD$7),1,AND($K100&lt;=BD$7,$L100&gt;BD$7),((BD$7-$K100)/($L100-$K100)))</f>
        <v>1</v>
      </c>
      <c r="BF100" s="201">
        <f t="array" ref="BF100">_xlfn.IFS(AND($K100&gt;BE$7,$L100&gt;BE$7),0,AND($K100&lt;=BE$7,$L100&lt;=BE$7),1,AND($K100&lt;=BE$7,$L100&gt;BE$7),((BE$7-$K100)/($L100-$K100)))</f>
        <v>1</v>
      </c>
      <c r="BG100" s="201">
        <f t="array" ref="BG100">_xlfn.IFS(AND($K100&gt;BF$7,$L100&gt;BF$7),0,AND($K100&lt;=BF$7,$L100&lt;=BF$7),1,AND($K100&lt;=BF$7,$L100&gt;BF$7),((BF$7-$K100)/($L100-$K100)))</f>
        <v>1</v>
      </c>
      <c r="BH100" s="201">
        <f t="array" ref="BH100">_xlfn.IFS(AND($K100&gt;BG$7,$L100&gt;BG$7),0,AND($K100&lt;=BG$7,$L100&lt;=BG$7),1,AND($K100&lt;=BG$7,$L100&gt;BG$7),((BG$7-$K100)/($L100-$K100)))</f>
        <v>1</v>
      </c>
      <c r="BI100" s="201">
        <f t="array" ref="BI100">_xlfn.IFS(AND($K100&gt;BH$7,$L100&gt;BH$7),0,AND($K100&lt;=BH$7,$L100&lt;=BH$7),1,AND($K100&lt;=BH$7,$L100&gt;BH$7),((BH$7-$K100)/($L100-$K100)))</f>
        <v>1</v>
      </c>
      <c r="BJ100" s="201">
        <f t="array" ref="BJ100">_xlfn.IFS(AND($K100&gt;BI$7,$L100&gt;BI$7),0,AND($K100&lt;=BI$7,$L100&lt;=BI$7),1,AND($K100&lt;=BI$7,$L100&gt;BI$7),((BI$7-$K100)/($L100-$K100)))</f>
        <v>1</v>
      </c>
      <c r="BK100" s="201">
        <f t="array" ref="BK100">_xlfn.IFS(AND($K100&gt;BJ$7,$L100&gt;BJ$7),0,AND($K100&lt;=BJ$7,$L100&lt;=BJ$7),1,AND($K100&lt;=BJ$7,$L100&gt;BJ$7),((BJ$7-$K100)/($L100-$K100)))</f>
        <v>1</v>
      </c>
      <c r="BL100" s="201">
        <f t="array" ref="BL100">_xlfn.IFS(AND($K100&gt;BK$7,$L100&gt;BK$7),0,AND($K100&lt;=BK$7,$L100&lt;=BK$7),1,AND($K100&lt;=BK$7,$L100&gt;BK$7),((BK$7-$K100)/($L100-$K100)))</f>
        <v>1</v>
      </c>
      <c r="BM100" s="201">
        <f t="array" ref="BM100">_xlfn.IFS(AND($K100&gt;BL$7,$L100&gt;BL$7),0,AND($K100&lt;=BL$7,$L100&lt;=BL$7),1,AND($K100&lt;=BL$7,$L100&gt;BL$7),((BL$7-$K100)/($L100-$K100)))</f>
        <v>1</v>
      </c>
      <c r="BN100" s="201">
        <f t="array" ref="BN100">_xlfn.IFS(AND($K100&gt;BM$7,$L100&gt;BM$7),0,AND($K100&lt;=BM$7,$L100&lt;=BM$7),1,AND($K100&lt;=BM$7,$L100&gt;BM$7),((BM$7-$K100)/($L100-$K100)))</f>
        <v>1</v>
      </c>
    </row>
    <row r="101" spans="2:66" s="163" customFormat="1" ht="27.6" customHeight="1" x14ac:dyDescent="0.3">
      <c r="B101" s="166" t="s">
        <v>161</v>
      </c>
      <c r="C101" s="166" t="s">
        <v>249</v>
      </c>
      <c r="D101" s="177"/>
      <c r="E101" s="170" t="str">
        <f t="shared" si="42"/>
        <v>Desenvolvimento da Transformação dos Processos</v>
      </c>
      <c r="F101" s="174" t="str">
        <f t="shared" si="39"/>
        <v>Modelagem To Be</v>
      </c>
      <c r="G101" s="166" t="str">
        <f t="shared" si="43"/>
        <v>Modelagem To Be</v>
      </c>
      <c r="H101" s="197" t="s">
        <v>250</v>
      </c>
      <c r="I101" s="166">
        <v>45936</v>
      </c>
      <c r="J101" s="166">
        <v>45940</v>
      </c>
      <c r="K101" s="166">
        <v>45936</v>
      </c>
      <c r="L101" s="166">
        <v>45940</v>
      </c>
      <c r="M101" s="167"/>
      <c r="N101" s="167" t="str">
        <f t="array" ref="N101">_xlfn.IFS(L101&lt;$M$3,"Concluído",AND(K101&gt;=$M$3,I101&lt;$M$3,L101&gt;$M$3),"Em andamento",AND(L101&gt;=$M$3,J101&lt;$M$3),"Atrasado",AND(L101&gt;=$M$3,J101&gt;=$M$3,I101&gt;$M$3,K101&lt;=$M$3),"Em andamento",AND(L101&gt;=$M$3,J101&gt;=$M$3,I101&lt;=$M$3,K101&lt;=$M$3),"Em andamento",AND(K101&gt;$M$3,I101&gt;$M$3),"Não iniciado",AND(L101&gt;=$M$3,J101&gt;=$M$3,K101&gt;=$M$3,I101&lt;$M$3),"Atrasado",AND(L101&gt;=$M$3,J101&gt;=$M$3,K101&gt;=$M$3,I101&gt;$M$3),"Não iniciado",AND($I101&lt;=$M$3,$K101&gt;$M$3),"Atrasado")</f>
        <v>Não iniciado</v>
      </c>
      <c r="O101" s="167">
        <f t="array" ref="O101">_xlfn.IFS(N101="Não iniciado",0,N101="Em andamento",1,N101="Concluído",2,N101="Atrasado",3)</f>
        <v>0</v>
      </c>
      <c r="P101" s="169"/>
      <c r="Q101" s="152">
        <f t="array" ref="Q101">_xlfn.IFS(AND($I101&lt;$M$3,$J101&lt;$M$3),1,AND($I101&lt;$M$3,$J101&gt;=$M$3),0.5,AND($I101&gt;=$M$3,$J101&gt;=$M$3),0)</f>
        <v>0</v>
      </c>
      <c r="R101" s="152">
        <f t="array" ref="R101">_xlfn.IFS(AND($K101&lt;$M$3,$L101&lt;$M$3),1,AND($K101&lt;=$M$3,$L101&gt;=$M$3),0.5,AND($K101&gt;=$M$3,$L101&gt;=$M$3),0)</f>
        <v>0</v>
      </c>
      <c r="S101" s="201">
        <f t="array" ref="S101">_xlfn.IFS(AND($K101&gt;R$7,$L101&gt;R$7),0,AND($K101&lt;=R$7,$L101&lt;=R$7),1,AND($K101&lt;=R$7,$L101&gt;R$7),((R$7-$K101)/($L101-$K101)))</f>
        <v>0</v>
      </c>
      <c r="T101" s="201">
        <f t="array" ref="T101">_xlfn.IFS(AND($K101&gt;S$7,$L101&gt;S$7),0,AND($K101&lt;=S$7,$L101&lt;=S$7),1,AND($K101&lt;=S$7,$L101&gt;S$7),((S$7-$K101)/($L101-$K101)))</f>
        <v>0</v>
      </c>
      <c r="U101" s="201">
        <f t="array" ref="U101">_xlfn.IFS(AND($K101&gt;T$7,$L101&gt;T$7),0,AND($K101&lt;=T$7,$L101&lt;=T$7),1,AND($K101&lt;=T$7,$L101&gt;T$7),((T$7-$K101)/($L101-$K101)))</f>
        <v>0</v>
      </c>
      <c r="V101" s="201">
        <f t="array" ref="V101">_xlfn.IFS(AND($K101&gt;U$7,$L101&gt;U$7),0,AND($K101&lt;=U$7,$L101&lt;=U$7),1,AND($K101&lt;=U$7,$L101&gt;U$7),((U$7-$K101)/($L101-$K101)))</f>
        <v>0</v>
      </c>
      <c r="W101" s="201">
        <f t="array" ref="W101">_xlfn.IFS(AND($K101&gt;V$7,$L101&gt;V$7),0,AND($K101&lt;=V$7,$L101&lt;=V$7),1,AND($K101&lt;=V$7,$L101&gt;V$7),((V$7-$K101)/($L101-$K101)))</f>
        <v>0</v>
      </c>
      <c r="X101" s="201">
        <f t="array" ref="X101">_xlfn.IFS(AND($K101&gt;W$7,$L101&gt;W$7),0,AND($K101&lt;=W$7,$L101&lt;=W$7),1,AND($K101&lt;=W$7,$L101&gt;W$7),((W$7-$K101)/($L101-$K101)))</f>
        <v>0</v>
      </c>
      <c r="Y101" s="201">
        <f t="array" ref="Y101">_xlfn.IFS(AND($K101&gt;X$7,$L101&gt;X$7),0,AND($K101&lt;=X$7,$L101&lt;=X$7),1,AND($K101&lt;=X$7,$L101&gt;X$7),((X$7-$K101)/($L101-$K101)))</f>
        <v>0</v>
      </c>
      <c r="Z101" s="201">
        <f t="array" ref="Z101">_xlfn.IFS(AND($K101&gt;Y$7,$L101&gt;Y$7),0,AND($K101&lt;=Y$7,$L101&lt;=Y$7),1,AND($K101&lt;=Y$7,$L101&gt;Y$7),((Y$7-$K101)/($L101-$K101)))</f>
        <v>0</v>
      </c>
      <c r="AA101" s="201">
        <f t="array" ref="AA101">_xlfn.IFS(AND($K101&gt;Z$7,$L101&gt;Z$7),0,AND($K101&lt;=Z$7,$L101&lt;=Z$7),1,AND($K101&lt;=Z$7,$L101&gt;Z$7),((Z$7-$K101)/($L101-$K101)))</f>
        <v>0</v>
      </c>
      <c r="AB101" s="201">
        <f t="array" ref="AB101">_xlfn.IFS(AND($K101&gt;AA$7,$L101&gt;AA$7),0,AND($K101&lt;=AA$7,$L101&lt;=AA$7),1,AND($K101&lt;=AA$7,$L101&gt;AA$7),((AA$7-$K101)/($L101-$K101)))</f>
        <v>0</v>
      </c>
      <c r="AC101" s="201">
        <f t="array" ref="AC101">_xlfn.IFS(AND($K101&gt;AB$7,$L101&gt;AB$7),0,AND($K101&lt;=AB$7,$L101&lt;=AB$7),1,AND($K101&lt;=AB$7,$L101&gt;AB$7),((AB$7-$K101)/($L101-$K101)))</f>
        <v>0</v>
      </c>
      <c r="AD101" s="201">
        <f t="array" ref="AD101">_xlfn.IFS(AND($K101&gt;AC$7,$L101&gt;AC$7),0,AND($K101&lt;=AC$7,$L101&lt;=AC$7),1,AND($K101&lt;=AC$7,$L101&gt;AC$7),((AC$7-$K101)/($L101-$K101)))</f>
        <v>0</v>
      </c>
      <c r="AE101" s="201">
        <f t="array" ref="AE101">_xlfn.IFS(AND($K101&gt;AD$7,$L101&gt;AD$7),0,AND($K101&lt;=AD$7,$L101&lt;=AD$7),1,AND($K101&lt;=AD$7,$L101&gt;AD$7),((AD$7-$K101)/($L101-$K101)))</f>
        <v>0</v>
      </c>
      <c r="AF101" s="201">
        <f t="array" ref="AF101">_xlfn.IFS(AND($K101&gt;AE$7,$L101&gt;AE$7),0,AND($K101&lt;=AE$7,$L101&lt;=AE$7),1,AND($K101&lt;=AE$7,$L101&gt;AE$7),((AE$7-$K101)/($L101-$K101)))</f>
        <v>0</v>
      </c>
      <c r="AG101" s="201">
        <f t="array" ref="AG101">_xlfn.IFS(AND($K101&gt;AF$7,$L101&gt;AF$7),0,AND($K101&lt;=AF$7,$L101&lt;=AF$7),1,AND($K101&lt;=AF$7,$L101&gt;AF$7),((AF$7-$K101)/($L101-$K101)))</f>
        <v>0</v>
      </c>
      <c r="AH101" s="201">
        <f t="array" ref="AH101">_xlfn.IFS(AND($K101&gt;AG$7,$L101&gt;AG$7),0,AND($K101&lt;=AG$7,$L101&lt;=AG$7),1,AND($K101&lt;=AG$7,$L101&gt;AG$7),((AG$7-$K101)/($L101-$K101)))</f>
        <v>0</v>
      </c>
      <c r="AI101" s="201">
        <f t="array" ref="AI101">_xlfn.IFS(AND($K101&gt;AH$7,$L101&gt;AH$7),0,AND($K101&lt;=AH$7,$L101&lt;=AH$7),1,AND($K101&lt;=AH$7,$L101&gt;AH$7),((AH$7-$K101)/($L101-$K101)))</f>
        <v>0</v>
      </c>
      <c r="AJ101" s="201">
        <f t="array" ref="AJ101">_xlfn.IFS(AND($K101&gt;AI$7,$L101&gt;AI$7),0,AND($K101&lt;=AI$7,$L101&lt;=AI$7),1,AND($K101&lt;=AI$7,$L101&gt;AI$7),((AI$7-$K101)/($L101-$K101)))</f>
        <v>0</v>
      </c>
      <c r="AK101" s="201">
        <f t="array" ref="AK101">_xlfn.IFS(AND($K101&gt;AJ$7,$L101&gt;AJ$7),0,AND($K101&lt;=AJ$7,$L101&lt;=AJ$7),1,AND($K101&lt;=AJ$7,$L101&gt;AJ$7),((AJ$7-$K101)/($L101-$K101)))</f>
        <v>0</v>
      </c>
      <c r="AL101" s="201">
        <f t="array" ref="AL101">_xlfn.IFS(AND($K101&gt;AK$7,$L101&gt;AK$7),0,AND($K101&lt;=AK$7,$L101&lt;=AK$7),1,AND($K101&lt;=AK$7,$L101&gt;AK$7),((AK$7-$K101)/($L101-$K101)))</f>
        <v>0</v>
      </c>
      <c r="AM101" s="201">
        <f t="array" ref="AM101">_xlfn.IFS(AND($K101&gt;AL$7,$L101&gt;AL$7),0,AND($K101&lt;=AL$7,$L101&lt;=AL$7),1,AND($K101&lt;=AL$7,$L101&gt;AL$7),((AL$7-$K101)/($L101-$K101)))</f>
        <v>0</v>
      </c>
      <c r="AN101" s="201">
        <f t="array" ref="AN101">_xlfn.IFS(AND($K101&gt;AM$7,$L101&gt;AM$7),0,AND($K101&lt;=AM$7,$L101&lt;=AM$7),1,AND($K101&lt;=AM$7,$L101&gt;AM$7),((AM$7-$K101)/($L101-$K101)))</f>
        <v>0</v>
      </c>
      <c r="AO101" s="201">
        <f t="array" ref="AO101">_xlfn.IFS(AND($K101&gt;AN$7,$L101&gt;AN$7),0,AND($K101&lt;=AN$7,$L101&lt;=AN$7),1,AND($K101&lt;=AN$7,$L101&gt;AN$7),((AN$7-$K101)/($L101-$K101)))</f>
        <v>0</v>
      </c>
      <c r="AP101" s="201">
        <f t="array" ref="AP101">_xlfn.IFS(AND($K101&gt;AO$7,$L101&gt;AO$7),0,AND($K101&lt;=AO$7,$L101&lt;=AO$7),1,AND($K101&lt;=AO$7,$L101&gt;AO$7),((AO$7-$K101)/($L101-$K101)))</f>
        <v>0</v>
      </c>
      <c r="AQ101" s="201">
        <f t="array" ref="AQ101">_xlfn.IFS(AND($K101&gt;AP$7,$L101&gt;AP$7),0,AND($K101&lt;=AP$7,$L101&lt;=AP$7),1,AND($K101&lt;=AP$7,$L101&gt;AP$7),((AP$7-$K101)/($L101-$K101)))</f>
        <v>0</v>
      </c>
      <c r="AR101" s="201">
        <f t="array" ref="AR101">_xlfn.IFS(AND($K101&gt;AQ$7,$L101&gt;AQ$7),0,AND($K101&lt;=AQ$7,$L101&lt;=AQ$7),1,AND($K101&lt;=AQ$7,$L101&gt;AQ$7),((AQ$7-$K101)/($L101-$K101)))</f>
        <v>0</v>
      </c>
      <c r="AS101" s="201">
        <f t="array" ref="AS101">_xlfn.IFS(AND($K101&gt;AR$7,$L101&gt;AR$7),0,AND($K101&lt;=AR$7,$L101&lt;=AR$7),1,AND($K101&lt;=AR$7,$L101&gt;AR$7),((AR$7-$K101)/($L101-$K101)))</f>
        <v>0</v>
      </c>
      <c r="AT101" s="201">
        <f t="array" ref="AT101">_xlfn.IFS(AND($K101&gt;AS$7,$L101&gt;AS$7),0,AND($K101&lt;=AS$7,$L101&lt;=AS$7),1,AND($K101&lt;=AS$7,$L101&gt;AS$7),((AS$7-$K101)/($L101-$K101)))</f>
        <v>0</v>
      </c>
      <c r="AU101" s="201">
        <f t="array" ref="AU101">_xlfn.IFS(AND($K101&gt;AT$7,$L101&gt;AT$7),0,AND($K101&lt;=AT$7,$L101&lt;=AT$7),1,AND($K101&lt;=AT$7,$L101&gt;AT$7),((AT$7-$K101)/($L101-$K101)))</f>
        <v>0</v>
      </c>
      <c r="AV101" s="201">
        <f t="array" ref="AV101">_xlfn.IFS(AND($K101&gt;AU$7,$L101&gt;AU$7),0,AND($K101&lt;=AU$7,$L101&lt;=AU$7),1,AND($K101&lt;=AU$7,$L101&gt;AU$7),((AU$7-$K101)/($L101-$K101)))</f>
        <v>0</v>
      </c>
      <c r="AW101" s="201">
        <f t="array" ref="AW101">_xlfn.IFS(AND($K101&gt;AV$7,$L101&gt;AV$7),0,AND($K101&lt;=AV$7,$L101&lt;=AV$7),1,AND($K101&lt;=AV$7,$L101&gt;AV$7),((AV$7-$K101)/($L101-$K101)))</f>
        <v>0</v>
      </c>
      <c r="AX101" s="201">
        <f t="array" ref="AX101">_xlfn.IFS(AND($K101&gt;AW$7,$L101&gt;AW$7),0,AND($K101&lt;=AW$7,$L101&lt;=AW$7),1,AND($K101&lt;=AW$7,$L101&gt;AW$7),((AW$7-$K101)/($L101-$K101)))</f>
        <v>0</v>
      </c>
      <c r="AY101" s="201">
        <f t="array" ref="AY101">_xlfn.IFS(AND($K101&gt;AX$7,$L101&gt;AX$7),0,AND($K101&lt;=AX$7,$L101&lt;=AX$7),1,AND($K101&lt;=AX$7,$L101&gt;AX$7),((AX$7-$K101)/($L101-$K101)))</f>
        <v>0</v>
      </c>
      <c r="AZ101" s="201">
        <f t="array" ref="AZ101">_xlfn.IFS(AND($K101&gt;AY$7,$L101&gt;AY$7),0,AND($K101&lt;=AY$7,$L101&lt;=AY$7),1,AND($K101&lt;=AY$7,$L101&gt;AY$7),((AY$7-$K101)/($L101-$K101)))</f>
        <v>0</v>
      </c>
      <c r="BA101" s="201">
        <f t="array" ref="BA101">_xlfn.IFS(AND($K101&gt;AZ$7,$L101&gt;AZ$7),0,AND($K101&lt;=AZ$7,$L101&lt;=AZ$7),1,AND($K101&lt;=AZ$7,$L101&gt;AZ$7),((AZ$7-$K101)/($L101-$K101)))</f>
        <v>0</v>
      </c>
      <c r="BB101" s="201">
        <f t="array" ref="BB101">_xlfn.IFS(AND($K101&gt;BA$7,$L101&gt;BA$7),0,AND($K101&lt;=BA$7,$L101&lt;=BA$7),1,AND($K101&lt;=BA$7,$L101&gt;BA$7),((BA$7-$K101)/($L101-$K101)))</f>
        <v>0</v>
      </c>
      <c r="BC101" s="201">
        <f t="array" ref="BC101">_xlfn.IFS(AND($K101&gt;BB$7,$L101&gt;BB$7),0,AND($K101&lt;=BB$7,$L101&lt;=BB$7),1,AND($K101&lt;=BB$7,$L101&gt;BB$7),((BB$7-$K101)/($L101-$K101)))</f>
        <v>1</v>
      </c>
      <c r="BD101" s="201">
        <f t="array" ref="BD101">_xlfn.IFS(AND($K101&gt;BC$7,$L101&gt;BC$7),0,AND($K101&lt;=BC$7,$L101&lt;=BC$7),1,AND($K101&lt;=BC$7,$L101&gt;BC$7),((BC$7-$K101)/($L101-$K101)))</f>
        <v>1</v>
      </c>
      <c r="BE101" s="201">
        <f t="array" ref="BE101">_xlfn.IFS(AND($K101&gt;BD$7,$L101&gt;BD$7),0,AND($K101&lt;=BD$7,$L101&lt;=BD$7),1,AND($K101&lt;=BD$7,$L101&gt;BD$7),((BD$7-$K101)/($L101-$K101)))</f>
        <v>1</v>
      </c>
      <c r="BF101" s="201">
        <f t="array" ref="BF101">_xlfn.IFS(AND($K101&gt;BE$7,$L101&gt;BE$7),0,AND($K101&lt;=BE$7,$L101&lt;=BE$7),1,AND($K101&lt;=BE$7,$L101&gt;BE$7),((BE$7-$K101)/($L101-$K101)))</f>
        <v>1</v>
      </c>
      <c r="BG101" s="201">
        <f t="array" ref="BG101">_xlfn.IFS(AND($K101&gt;BF$7,$L101&gt;BF$7),0,AND($K101&lt;=BF$7,$L101&lt;=BF$7),1,AND($K101&lt;=BF$7,$L101&gt;BF$7),((BF$7-$K101)/($L101-$K101)))</f>
        <v>1</v>
      </c>
      <c r="BH101" s="201">
        <f t="array" ref="BH101">_xlfn.IFS(AND($K101&gt;BG$7,$L101&gt;BG$7),0,AND($K101&lt;=BG$7,$L101&lt;=BG$7),1,AND($K101&lt;=BG$7,$L101&gt;BG$7),((BG$7-$K101)/($L101-$K101)))</f>
        <v>1</v>
      </c>
      <c r="BI101" s="201">
        <f t="array" ref="BI101">_xlfn.IFS(AND($K101&gt;BH$7,$L101&gt;BH$7),0,AND($K101&lt;=BH$7,$L101&lt;=BH$7),1,AND($K101&lt;=BH$7,$L101&gt;BH$7),((BH$7-$K101)/($L101-$K101)))</f>
        <v>1</v>
      </c>
      <c r="BJ101" s="201">
        <f t="array" ref="BJ101">_xlfn.IFS(AND($K101&gt;BI$7,$L101&gt;BI$7),0,AND($K101&lt;=BI$7,$L101&lt;=BI$7),1,AND($K101&lt;=BI$7,$L101&gt;BI$7),((BI$7-$K101)/($L101-$K101)))</f>
        <v>1</v>
      </c>
      <c r="BK101" s="201">
        <f t="array" ref="BK101">_xlfn.IFS(AND($K101&gt;BJ$7,$L101&gt;BJ$7),0,AND($K101&lt;=BJ$7,$L101&lt;=BJ$7),1,AND($K101&lt;=BJ$7,$L101&gt;BJ$7),((BJ$7-$K101)/($L101-$K101)))</f>
        <v>1</v>
      </c>
      <c r="BL101" s="201">
        <f t="array" ref="BL101">_xlfn.IFS(AND($K101&gt;BK$7,$L101&gt;BK$7),0,AND($K101&lt;=BK$7,$L101&lt;=BK$7),1,AND($K101&lt;=BK$7,$L101&gt;BK$7),((BK$7-$K101)/($L101-$K101)))</f>
        <v>1</v>
      </c>
      <c r="BM101" s="201">
        <f t="array" ref="BM101">_xlfn.IFS(AND($K101&gt;BL$7,$L101&gt;BL$7),0,AND($K101&lt;=BL$7,$L101&lt;=BL$7),1,AND($K101&lt;=BL$7,$L101&gt;BL$7),((BL$7-$K101)/($L101-$K101)))</f>
        <v>1</v>
      </c>
      <c r="BN101" s="201">
        <f t="array" ref="BN101">_xlfn.IFS(AND($K101&gt;BM$7,$L101&gt;BM$7),0,AND($K101&lt;=BM$7,$L101&lt;=BM$7),1,AND($K101&lt;=BM$7,$L101&gt;BM$7),((BM$7-$K101)/($L101-$K101)))</f>
        <v>1</v>
      </c>
    </row>
    <row r="102" spans="2:66" s="163" customFormat="1" ht="27.6" customHeight="1" x14ac:dyDescent="0.3">
      <c r="B102" s="166" t="s">
        <v>161</v>
      </c>
      <c r="C102" s="166" t="s">
        <v>251</v>
      </c>
      <c r="D102" s="177"/>
      <c r="E102" s="170" t="str">
        <f t="shared" si="42"/>
        <v>Desenvolvimento da Transformação dos Processos</v>
      </c>
      <c r="F102" s="174" t="str">
        <f t="shared" si="39"/>
        <v>Modelagem To Be</v>
      </c>
      <c r="G102" s="166" t="str">
        <f t="shared" si="43"/>
        <v>Modelagem To Be</v>
      </c>
      <c r="H102" s="197" t="s">
        <v>252</v>
      </c>
      <c r="I102" s="166">
        <v>45964</v>
      </c>
      <c r="J102" s="166">
        <v>45968</v>
      </c>
      <c r="K102" s="166">
        <v>45964</v>
      </c>
      <c r="L102" s="166">
        <v>45968</v>
      </c>
      <c r="M102" s="167"/>
      <c r="N102" s="167" t="str">
        <f t="array" ref="N102">_xlfn.IFS(L102&lt;$M$3,"Concluído",AND(K102&gt;=$M$3,I102&lt;$M$3,L102&gt;$M$3),"Em andamento",AND(L102&gt;=$M$3,J102&lt;$M$3),"Atrasado",AND(L102&gt;=$M$3,J102&gt;=$M$3,I102&gt;$M$3,K102&lt;=$M$3),"Em andamento",AND(L102&gt;=$M$3,J102&gt;=$M$3,I102&lt;=$M$3,K102&lt;=$M$3),"Em andamento",AND(K102&gt;$M$3,I102&gt;$M$3),"Não iniciado",AND(L102&gt;=$M$3,J102&gt;=$M$3,K102&gt;=$M$3,I102&lt;$M$3),"Atrasado",AND(L102&gt;=$M$3,J102&gt;=$M$3,K102&gt;=$M$3,I102&gt;$M$3),"Não iniciado",AND($I102&lt;=$M$3,$K102&gt;$M$3),"Atrasado")</f>
        <v>Não iniciado</v>
      </c>
      <c r="O102" s="167">
        <f t="array" ref="O102">_xlfn.IFS(N102="Não iniciado",0,N102="Em andamento",1,N102="Concluído",2,N102="Atrasado",3)</f>
        <v>0</v>
      </c>
      <c r="P102" s="169"/>
      <c r="Q102" s="152">
        <f t="array" ref="Q102">_xlfn.IFS(AND($I102&lt;$M$3,$J102&lt;$M$3),1,AND($I102&lt;$M$3,$J102&gt;=$M$3),0.5,AND($I102&gt;=$M$3,$J102&gt;=$M$3),0)</f>
        <v>0</v>
      </c>
      <c r="R102" s="152">
        <f t="array" ref="R102">_xlfn.IFS(AND($K102&lt;$M$3,$L102&lt;$M$3),1,AND($K102&lt;=$M$3,$L102&gt;=$M$3),0.5,AND($K102&gt;=$M$3,$L102&gt;=$M$3),0)</f>
        <v>0</v>
      </c>
      <c r="S102" s="201">
        <f t="array" ref="S102">_xlfn.IFS(AND($K102&gt;R$7,$L102&gt;R$7),0,AND($K102&lt;=R$7,$L102&lt;=R$7),1,AND($K102&lt;=R$7,$L102&gt;R$7),((R$7-$K102)/($L102-$K102)))</f>
        <v>0</v>
      </c>
      <c r="T102" s="201">
        <f t="array" ref="T102">_xlfn.IFS(AND($K102&gt;S$7,$L102&gt;S$7),0,AND($K102&lt;=S$7,$L102&lt;=S$7),1,AND($K102&lt;=S$7,$L102&gt;S$7),((S$7-$K102)/($L102-$K102)))</f>
        <v>0</v>
      </c>
      <c r="U102" s="201">
        <f t="array" ref="U102">_xlfn.IFS(AND($K102&gt;T$7,$L102&gt;T$7),0,AND($K102&lt;=T$7,$L102&lt;=T$7),1,AND($K102&lt;=T$7,$L102&gt;T$7),((T$7-$K102)/($L102-$K102)))</f>
        <v>0</v>
      </c>
      <c r="V102" s="201">
        <f t="array" ref="V102">_xlfn.IFS(AND($K102&gt;U$7,$L102&gt;U$7),0,AND($K102&lt;=U$7,$L102&lt;=U$7),1,AND($K102&lt;=U$7,$L102&gt;U$7),((U$7-$K102)/($L102-$K102)))</f>
        <v>0</v>
      </c>
      <c r="W102" s="201">
        <f t="array" ref="W102">_xlfn.IFS(AND($K102&gt;V$7,$L102&gt;V$7),0,AND($K102&lt;=V$7,$L102&lt;=V$7),1,AND($K102&lt;=V$7,$L102&gt;V$7),((V$7-$K102)/($L102-$K102)))</f>
        <v>0</v>
      </c>
      <c r="X102" s="201">
        <f t="array" ref="X102">_xlfn.IFS(AND($K102&gt;W$7,$L102&gt;W$7),0,AND($K102&lt;=W$7,$L102&lt;=W$7),1,AND($K102&lt;=W$7,$L102&gt;W$7),((W$7-$K102)/($L102-$K102)))</f>
        <v>0</v>
      </c>
      <c r="Y102" s="201">
        <f t="array" ref="Y102">_xlfn.IFS(AND($K102&gt;X$7,$L102&gt;X$7),0,AND($K102&lt;=X$7,$L102&lt;=X$7),1,AND($K102&lt;=X$7,$L102&gt;X$7),((X$7-$K102)/($L102-$K102)))</f>
        <v>0</v>
      </c>
      <c r="Z102" s="201">
        <f t="array" ref="Z102">_xlfn.IFS(AND($K102&gt;Y$7,$L102&gt;Y$7),0,AND($K102&lt;=Y$7,$L102&lt;=Y$7),1,AND($K102&lt;=Y$7,$L102&gt;Y$7),((Y$7-$K102)/($L102-$K102)))</f>
        <v>0</v>
      </c>
      <c r="AA102" s="201">
        <f t="array" ref="AA102">_xlfn.IFS(AND($K102&gt;Z$7,$L102&gt;Z$7),0,AND($K102&lt;=Z$7,$L102&lt;=Z$7),1,AND($K102&lt;=Z$7,$L102&gt;Z$7),((Z$7-$K102)/($L102-$K102)))</f>
        <v>0</v>
      </c>
      <c r="AB102" s="201">
        <f t="array" ref="AB102">_xlfn.IFS(AND($K102&gt;AA$7,$L102&gt;AA$7),0,AND($K102&lt;=AA$7,$L102&lt;=AA$7),1,AND($K102&lt;=AA$7,$L102&gt;AA$7),((AA$7-$K102)/($L102-$K102)))</f>
        <v>0</v>
      </c>
      <c r="AC102" s="201">
        <f t="array" ref="AC102">_xlfn.IFS(AND($K102&gt;AB$7,$L102&gt;AB$7),0,AND($K102&lt;=AB$7,$L102&lt;=AB$7),1,AND($K102&lt;=AB$7,$L102&gt;AB$7),((AB$7-$K102)/($L102-$K102)))</f>
        <v>0</v>
      </c>
      <c r="AD102" s="201">
        <f t="array" ref="AD102">_xlfn.IFS(AND($K102&gt;AC$7,$L102&gt;AC$7),0,AND($K102&lt;=AC$7,$L102&lt;=AC$7),1,AND($K102&lt;=AC$7,$L102&gt;AC$7),((AC$7-$K102)/($L102-$K102)))</f>
        <v>0</v>
      </c>
      <c r="AE102" s="201">
        <f t="array" ref="AE102">_xlfn.IFS(AND($K102&gt;AD$7,$L102&gt;AD$7),0,AND($K102&lt;=AD$7,$L102&lt;=AD$7),1,AND($K102&lt;=AD$7,$L102&gt;AD$7),((AD$7-$K102)/($L102-$K102)))</f>
        <v>0</v>
      </c>
      <c r="AF102" s="201">
        <f t="array" ref="AF102">_xlfn.IFS(AND($K102&gt;AE$7,$L102&gt;AE$7),0,AND($K102&lt;=AE$7,$L102&lt;=AE$7),1,AND($K102&lt;=AE$7,$L102&gt;AE$7),((AE$7-$K102)/($L102-$K102)))</f>
        <v>0</v>
      </c>
      <c r="AG102" s="201">
        <f t="array" ref="AG102">_xlfn.IFS(AND($K102&gt;AF$7,$L102&gt;AF$7),0,AND($K102&lt;=AF$7,$L102&lt;=AF$7),1,AND($K102&lt;=AF$7,$L102&gt;AF$7),((AF$7-$K102)/($L102-$K102)))</f>
        <v>0</v>
      </c>
      <c r="AH102" s="201">
        <f t="array" ref="AH102">_xlfn.IFS(AND($K102&gt;AG$7,$L102&gt;AG$7),0,AND($K102&lt;=AG$7,$L102&lt;=AG$7),1,AND($K102&lt;=AG$7,$L102&gt;AG$7),((AG$7-$K102)/($L102-$K102)))</f>
        <v>0</v>
      </c>
      <c r="AI102" s="201">
        <f t="array" ref="AI102">_xlfn.IFS(AND($K102&gt;AH$7,$L102&gt;AH$7),0,AND($K102&lt;=AH$7,$L102&lt;=AH$7),1,AND($K102&lt;=AH$7,$L102&gt;AH$7),((AH$7-$K102)/($L102-$K102)))</f>
        <v>0</v>
      </c>
      <c r="AJ102" s="201">
        <f t="array" ref="AJ102">_xlfn.IFS(AND($K102&gt;AI$7,$L102&gt;AI$7),0,AND($K102&lt;=AI$7,$L102&lt;=AI$7),1,AND($K102&lt;=AI$7,$L102&gt;AI$7),((AI$7-$K102)/($L102-$K102)))</f>
        <v>0</v>
      </c>
      <c r="AK102" s="201">
        <f t="array" ref="AK102">_xlfn.IFS(AND($K102&gt;AJ$7,$L102&gt;AJ$7),0,AND($K102&lt;=AJ$7,$L102&lt;=AJ$7),1,AND($K102&lt;=AJ$7,$L102&gt;AJ$7),((AJ$7-$K102)/($L102-$K102)))</f>
        <v>0</v>
      </c>
      <c r="AL102" s="201">
        <f t="array" ref="AL102">_xlfn.IFS(AND($K102&gt;AK$7,$L102&gt;AK$7),0,AND($K102&lt;=AK$7,$L102&lt;=AK$7),1,AND($K102&lt;=AK$7,$L102&gt;AK$7),((AK$7-$K102)/($L102-$K102)))</f>
        <v>0</v>
      </c>
      <c r="AM102" s="201">
        <f t="array" ref="AM102">_xlfn.IFS(AND($K102&gt;AL$7,$L102&gt;AL$7),0,AND($K102&lt;=AL$7,$L102&lt;=AL$7),1,AND($K102&lt;=AL$7,$L102&gt;AL$7),((AL$7-$K102)/($L102-$K102)))</f>
        <v>0</v>
      </c>
      <c r="AN102" s="201">
        <f t="array" ref="AN102">_xlfn.IFS(AND($K102&gt;AM$7,$L102&gt;AM$7),0,AND($K102&lt;=AM$7,$L102&lt;=AM$7),1,AND($K102&lt;=AM$7,$L102&gt;AM$7),((AM$7-$K102)/($L102-$K102)))</f>
        <v>0</v>
      </c>
      <c r="AO102" s="201">
        <f t="array" ref="AO102">_xlfn.IFS(AND($K102&gt;AN$7,$L102&gt;AN$7),0,AND($K102&lt;=AN$7,$L102&lt;=AN$7),1,AND($K102&lt;=AN$7,$L102&gt;AN$7),((AN$7-$K102)/($L102-$K102)))</f>
        <v>0</v>
      </c>
      <c r="AP102" s="201">
        <f t="array" ref="AP102">_xlfn.IFS(AND($K102&gt;AO$7,$L102&gt;AO$7),0,AND($K102&lt;=AO$7,$L102&lt;=AO$7),1,AND($K102&lt;=AO$7,$L102&gt;AO$7),((AO$7-$K102)/($L102-$K102)))</f>
        <v>0</v>
      </c>
      <c r="AQ102" s="201">
        <f t="array" ref="AQ102">_xlfn.IFS(AND($K102&gt;AP$7,$L102&gt;AP$7),0,AND($K102&lt;=AP$7,$L102&lt;=AP$7),1,AND($K102&lt;=AP$7,$L102&gt;AP$7),((AP$7-$K102)/($L102-$K102)))</f>
        <v>0</v>
      </c>
      <c r="AR102" s="201">
        <f t="array" ref="AR102">_xlfn.IFS(AND($K102&gt;AQ$7,$L102&gt;AQ$7),0,AND($K102&lt;=AQ$7,$L102&lt;=AQ$7),1,AND($K102&lt;=AQ$7,$L102&gt;AQ$7),((AQ$7-$K102)/($L102-$K102)))</f>
        <v>0</v>
      </c>
      <c r="AS102" s="201">
        <f t="array" ref="AS102">_xlfn.IFS(AND($K102&gt;AR$7,$L102&gt;AR$7),0,AND($K102&lt;=AR$7,$L102&lt;=AR$7),1,AND($K102&lt;=AR$7,$L102&gt;AR$7),((AR$7-$K102)/($L102-$K102)))</f>
        <v>0</v>
      </c>
      <c r="AT102" s="201">
        <f t="array" ref="AT102">_xlfn.IFS(AND($K102&gt;AS$7,$L102&gt;AS$7),0,AND($K102&lt;=AS$7,$L102&lt;=AS$7),1,AND($K102&lt;=AS$7,$L102&gt;AS$7),((AS$7-$K102)/($L102-$K102)))</f>
        <v>0</v>
      </c>
      <c r="AU102" s="201">
        <f t="array" ref="AU102">_xlfn.IFS(AND($K102&gt;AT$7,$L102&gt;AT$7),0,AND($K102&lt;=AT$7,$L102&lt;=AT$7),1,AND($K102&lt;=AT$7,$L102&gt;AT$7),((AT$7-$K102)/($L102-$K102)))</f>
        <v>0</v>
      </c>
      <c r="AV102" s="201">
        <f t="array" ref="AV102">_xlfn.IFS(AND($K102&gt;AU$7,$L102&gt;AU$7),0,AND($K102&lt;=AU$7,$L102&lt;=AU$7),1,AND($K102&lt;=AU$7,$L102&gt;AU$7),((AU$7-$K102)/($L102-$K102)))</f>
        <v>0</v>
      </c>
      <c r="AW102" s="201">
        <f t="array" ref="AW102">_xlfn.IFS(AND($K102&gt;AV$7,$L102&gt;AV$7),0,AND($K102&lt;=AV$7,$L102&lt;=AV$7),1,AND($K102&lt;=AV$7,$L102&gt;AV$7),((AV$7-$K102)/($L102-$K102)))</f>
        <v>0</v>
      </c>
      <c r="AX102" s="201">
        <f t="array" ref="AX102">_xlfn.IFS(AND($K102&gt;AW$7,$L102&gt;AW$7),0,AND($K102&lt;=AW$7,$L102&lt;=AW$7),1,AND($K102&lt;=AW$7,$L102&gt;AW$7),((AW$7-$K102)/($L102-$K102)))</f>
        <v>0</v>
      </c>
      <c r="AY102" s="201">
        <f t="array" ref="AY102">_xlfn.IFS(AND($K102&gt;AX$7,$L102&gt;AX$7),0,AND($K102&lt;=AX$7,$L102&lt;=AX$7),1,AND($K102&lt;=AX$7,$L102&gt;AX$7),((AX$7-$K102)/($L102-$K102)))</f>
        <v>0</v>
      </c>
      <c r="AZ102" s="201">
        <f t="array" ref="AZ102">_xlfn.IFS(AND($K102&gt;AY$7,$L102&gt;AY$7),0,AND($K102&lt;=AY$7,$L102&lt;=AY$7),1,AND($K102&lt;=AY$7,$L102&gt;AY$7),((AY$7-$K102)/($L102-$K102)))</f>
        <v>0</v>
      </c>
      <c r="BA102" s="201">
        <f t="array" ref="BA102">_xlfn.IFS(AND($K102&gt;AZ$7,$L102&gt;AZ$7),0,AND($K102&lt;=AZ$7,$L102&lt;=AZ$7),1,AND($K102&lt;=AZ$7,$L102&gt;AZ$7),((AZ$7-$K102)/($L102-$K102)))</f>
        <v>0</v>
      </c>
      <c r="BB102" s="201">
        <f t="array" ref="BB102">_xlfn.IFS(AND($K102&gt;BA$7,$L102&gt;BA$7),0,AND($K102&lt;=BA$7,$L102&lt;=BA$7),1,AND($K102&lt;=BA$7,$L102&gt;BA$7),((BA$7-$K102)/($L102-$K102)))</f>
        <v>0</v>
      </c>
      <c r="BC102" s="201">
        <f t="array" ref="BC102">_xlfn.IFS(AND($K102&gt;BB$7,$L102&gt;BB$7),0,AND($K102&lt;=BB$7,$L102&lt;=BB$7),1,AND($K102&lt;=BB$7,$L102&gt;BB$7),((BB$7-$K102)/($L102-$K102)))</f>
        <v>0</v>
      </c>
      <c r="BD102" s="201">
        <f t="array" ref="BD102">_xlfn.IFS(AND($K102&gt;BC$7,$L102&gt;BC$7),0,AND($K102&lt;=BC$7,$L102&lt;=BC$7),1,AND($K102&lt;=BC$7,$L102&gt;BC$7),((BC$7-$K102)/($L102-$K102)))</f>
        <v>0</v>
      </c>
      <c r="BE102" s="201">
        <f t="array" ref="BE102">_xlfn.IFS(AND($K102&gt;BD$7,$L102&gt;BD$7),0,AND($K102&lt;=BD$7,$L102&lt;=BD$7),1,AND($K102&lt;=BD$7,$L102&gt;BD$7),((BD$7-$K102)/($L102-$K102)))</f>
        <v>0</v>
      </c>
      <c r="BF102" s="201">
        <f t="array" ref="BF102">_xlfn.IFS(AND($K102&gt;BE$7,$L102&gt;BE$7),0,AND($K102&lt;=BE$7,$L102&lt;=BE$7),1,AND($K102&lt;=BE$7,$L102&gt;BE$7),((BE$7-$K102)/($L102-$K102)))</f>
        <v>0</v>
      </c>
      <c r="BG102" s="201">
        <f t="array" ref="BG102">_xlfn.IFS(AND($K102&gt;BF$7,$L102&gt;BF$7),0,AND($K102&lt;=BF$7,$L102&lt;=BF$7),1,AND($K102&lt;=BF$7,$L102&gt;BF$7),((BF$7-$K102)/($L102-$K102)))</f>
        <v>1</v>
      </c>
      <c r="BH102" s="201">
        <f t="array" ref="BH102">_xlfn.IFS(AND($K102&gt;BG$7,$L102&gt;BG$7),0,AND($K102&lt;=BG$7,$L102&lt;=BG$7),1,AND($K102&lt;=BG$7,$L102&gt;BG$7),((BG$7-$K102)/($L102-$K102)))</f>
        <v>1</v>
      </c>
      <c r="BI102" s="201">
        <f t="array" ref="BI102">_xlfn.IFS(AND($K102&gt;BH$7,$L102&gt;BH$7),0,AND($K102&lt;=BH$7,$L102&lt;=BH$7),1,AND($K102&lt;=BH$7,$L102&gt;BH$7),((BH$7-$K102)/($L102-$K102)))</f>
        <v>1</v>
      </c>
      <c r="BJ102" s="201">
        <f t="array" ref="BJ102">_xlfn.IFS(AND($K102&gt;BI$7,$L102&gt;BI$7),0,AND($K102&lt;=BI$7,$L102&lt;=BI$7),1,AND($K102&lt;=BI$7,$L102&gt;BI$7),((BI$7-$K102)/($L102-$K102)))</f>
        <v>1</v>
      </c>
      <c r="BK102" s="201">
        <f t="array" ref="BK102">_xlfn.IFS(AND($K102&gt;BJ$7,$L102&gt;BJ$7),0,AND($K102&lt;=BJ$7,$L102&lt;=BJ$7),1,AND($K102&lt;=BJ$7,$L102&gt;BJ$7),((BJ$7-$K102)/($L102-$K102)))</f>
        <v>1</v>
      </c>
      <c r="BL102" s="201">
        <f t="array" ref="BL102">_xlfn.IFS(AND($K102&gt;BK$7,$L102&gt;BK$7),0,AND($K102&lt;=BK$7,$L102&lt;=BK$7),1,AND($K102&lt;=BK$7,$L102&gt;BK$7),((BK$7-$K102)/($L102-$K102)))</f>
        <v>1</v>
      </c>
      <c r="BM102" s="201">
        <f t="array" ref="BM102">_xlfn.IFS(AND($K102&gt;BL$7,$L102&gt;BL$7),0,AND($K102&lt;=BL$7,$L102&lt;=BL$7),1,AND($K102&lt;=BL$7,$L102&gt;BL$7),((BL$7-$K102)/($L102-$K102)))</f>
        <v>1</v>
      </c>
      <c r="BN102" s="201">
        <f t="array" ref="BN102">_xlfn.IFS(AND($K102&gt;BM$7,$L102&gt;BM$7),0,AND($K102&lt;=BM$7,$L102&lt;=BM$7),1,AND($K102&lt;=BM$7,$L102&gt;BM$7),((BM$7-$K102)/($L102-$K102)))</f>
        <v>1</v>
      </c>
    </row>
    <row r="103" spans="2:66" s="163" customFormat="1" ht="27.6" customHeight="1" x14ac:dyDescent="0.3">
      <c r="B103" s="166" t="s">
        <v>161</v>
      </c>
      <c r="C103" s="166" t="s">
        <v>253</v>
      </c>
      <c r="D103" s="177"/>
      <c r="E103" s="170" t="str">
        <f t="shared" si="42"/>
        <v>Desenvolvimento da Transformação dos Processos</v>
      </c>
      <c r="F103" s="174" t="str">
        <f t="shared" si="39"/>
        <v>Modelagem To Be</v>
      </c>
      <c r="G103" s="166" t="str">
        <f t="shared" si="43"/>
        <v>Modelagem To Be</v>
      </c>
      <c r="H103" s="197" t="s">
        <v>254</v>
      </c>
      <c r="I103" s="166">
        <v>45964</v>
      </c>
      <c r="J103" s="166">
        <v>45968</v>
      </c>
      <c r="K103" s="166">
        <v>45964</v>
      </c>
      <c r="L103" s="166">
        <v>45968</v>
      </c>
      <c r="M103" s="167"/>
      <c r="N103" s="167" t="str">
        <f t="array" ref="N103">_xlfn.IFS(L103&lt;$M$3,"Concluído",AND(K103&gt;=$M$3,I103&lt;$M$3,L103&gt;$M$3),"Em andamento",AND(L103&gt;=$M$3,J103&lt;$M$3),"Atrasado",AND(L103&gt;=$M$3,J103&gt;=$M$3,I103&gt;$M$3,K103&lt;=$M$3),"Em andamento",AND(L103&gt;=$M$3,J103&gt;=$M$3,I103&lt;=$M$3,K103&lt;=$M$3),"Em andamento",AND(K103&gt;$M$3,I103&gt;$M$3),"Não iniciado",AND(L103&gt;=$M$3,J103&gt;=$M$3,K103&gt;=$M$3,I103&lt;$M$3),"Atrasado",AND(L103&gt;=$M$3,J103&gt;=$M$3,K103&gt;=$M$3,I103&gt;$M$3),"Não iniciado",AND($I103&lt;=$M$3,$K103&gt;$M$3),"Atrasado")</f>
        <v>Não iniciado</v>
      </c>
      <c r="O103" s="167">
        <f t="array" ref="O103">_xlfn.IFS(N103="Não iniciado",0,N103="Em andamento",1,N103="Concluído",2,N103="Atrasado",3)</f>
        <v>0</v>
      </c>
      <c r="P103" s="169"/>
      <c r="Q103" s="152">
        <f t="array" ref="Q103">_xlfn.IFS(AND($I103&lt;$M$3,$J103&lt;$M$3),1,AND($I103&lt;$M$3,$J103&gt;=$M$3),0.5,AND($I103&gt;=$M$3,$J103&gt;=$M$3),0)</f>
        <v>0</v>
      </c>
      <c r="R103" s="152">
        <f t="array" ref="R103">_xlfn.IFS(AND($K103&lt;$M$3,$L103&lt;$M$3),1,AND($K103&lt;=$M$3,$L103&gt;=$M$3),0.5,AND($K103&gt;=$M$3,$L103&gt;=$M$3),0)</f>
        <v>0</v>
      </c>
      <c r="S103" s="201">
        <f t="array" ref="S103">_xlfn.IFS(AND($K103&gt;R$7,$L103&gt;R$7),0,AND($K103&lt;=R$7,$L103&lt;=R$7),1,AND($K103&lt;=R$7,$L103&gt;R$7),((R$7-$K103)/($L103-$K103)))</f>
        <v>0</v>
      </c>
      <c r="T103" s="201">
        <f t="array" ref="T103">_xlfn.IFS(AND($K103&gt;S$7,$L103&gt;S$7),0,AND($K103&lt;=S$7,$L103&lt;=S$7),1,AND($K103&lt;=S$7,$L103&gt;S$7),((S$7-$K103)/($L103-$K103)))</f>
        <v>0</v>
      </c>
      <c r="U103" s="201">
        <f t="array" ref="U103">_xlfn.IFS(AND($K103&gt;T$7,$L103&gt;T$7),0,AND($K103&lt;=T$7,$L103&lt;=T$7),1,AND($K103&lt;=T$7,$L103&gt;T$7),((T$7-$K103)/($L103-$K103)))</f>
        <v>0</v>
      </c>
      <c r="V103" s="201">
        <f t="array" ref="V103">_xlfn.IFS(AND($K103&gt;U$7,$L103&gt;U$7),0,AND($K103&lt;=U$7,$L103&lt;=U$7),1,AND($K103&lt;=U$7,$L103&gt;U$7),((U$7-$K103)/($L103-$K103)))</f>
        <v>0</v>
      </c>
      <c r="W103" s="201">
        <f t="array" ref="W103">_xlfn.IFS(AND($K103&gt;V$7,$L103&gt;V$7),0,AND($K103&lt;=V$7,$L103&lt;=V$7),1,AND($K103&lt;=V$7,$L103&gt;V$7),((V$7-$K103)/($L103-$K103)))</f>
        <v>0</v>
      </c>
      <c r="X103" s="201">
        <f t="array" ref="X103">_xlfn.IFS(AND($K103&gt;W$7,$L103&gt;W$7),0,AND($K103&lt;=W$7,$L103&lt;=W$7),1,AND($K103&lt;=W$7,$L103&gt;W$7),((W$7-$K103)/($L103-$K103)))</f>
        <v>0</v>
      </c>
      <c r="Y103" s="201">
        <f t="array" ref="Y103">_xlfn.IFS(AND($K103&gt;X$7,$L103&gt;X$7),0,AND($K103&lt;=X$7,$L103&lt;=X$7),1,AND($K103&lt;=X$7,$L103&gt;X$7),((X$7-$K103)/($L103-$K103)))</f>
        <v>0</v>
      </c>
      <c r="Z103" s="201">
        <f t="array" ref="Z103">_xlfn.IFS(AND($K103&gt;Y$7,$L103&gt;Y$7),0,AND($K103&lt;=Y$7,$L103&lt;=Y$7),1,AND($K103&lt;=Y$7,$L103&gt;Y$7),((Y$7-$K103)/($L103-$K103)))</f>
        <v>0</v>
      </c>
      <c r="AA103" s="201">
        <f t="array" ref="AA103">_xlfn.IFS(AND($K103&gt;Z$7,$L103&gt;Z$7),0,AND($K103&lt;=Z$7,$L103&lt;=Z$7),1,AND($K103&lt;=Z$7,$L103&gt;Z$7),((Z$7-$K103)/($L103-$K103)))</f>
        <v>0</v>
      </c>
      <c r="AB103" s="201">
        <f t="array" ref="AB103">_xlfn.IFS(AND($K103&gt;AA$7,$L103&gt;AA$7),0,AND($K103&lt;=AA$7,$L103&lt;=AA$7),1,AND($K103&lt;=AA$7,$L103&gt;AA$7),((AA$7-$K103)/($L103-$K103)))</f>
        <v>0</v>
      </c>
      <c r="AC103" s="201">
        <f t="array" ref="AC103">_xlfn.IFS(AND($K103&gt;AB$7,$L103&gt;AB$7),0,AND($K103&lt;=AB$7,$L103&lt;=AB$7),1,AND($K103&lt;=AB$7,$L103&gt;AB$7),((AB$7-$K103)/($L103-$K103)))</f>
        <v>0</v>
      </c>
      <c r="AD103" s="201">
        <f t="array" ref="AD103">_xlfn.IFS(AND($K103&gt;AC$7,$L103&gt;AC$7),0,AND($K103&lt;=AC$7,$L103&lt;=AC$7),1,AND($K103&lt;=AC$7,$L103&gt;AC$7),((AC$7-$K103)/($L103-$K103)))</f>
        <v>0</v>
      </c>
      <c r="AE103" s="201">
        <f t="array" ref="AE103">_xlfn.IFS(AND($K103&gt;AD$7,$L103&gt;AD$7),0,AND($K103&lt;=AD$7,$L103&lt;=AD$7),1,AND($K103&lt;=AD$7,$L103&gt;AD$7),((AD$7-$K103)/($L103-$K103)))</f>
        <v>0</v>
      </c>
      <c r="AF103" s="201">
        <f t="array" ref="AF103">_xlfn.IFS(AND($K103&gt;AE$7,$L103&gt;AE$7),0,AND($K103&lt;=AE$7,$L103&lt;=AE$7),1,AND($K103&lt;=AE$7,$L103&gt;AE$7),((AE$7-$K103)/($L103-$K103)))</f>
        <v>0</v>
      </c>
      <c r="AG103" s="201">
        <f t="array" ref="AG103">_xlfn.IFS(AND($K103&gt;AF$7,$L103&gt;AF$7),0,AND($K103&lt;=AF$7,$L103&lt;=AF$7),1,AND($K103&lt;=AF$7,$L103&gt;AF$7),((AF$7-$K103)/($L103-$K103)))</f>
        <v>0</v>
      </c>
      <c r="AH103" s="201">
        <f t="array" ref="AH103">_xlfn.IFS(AND($K103&gt;AG$7,$L103&gt;AG$7),0,AND($K103&lt;=AG$7,$L103&lt;=AG$7),1,AND($K103&lt;=AG$7,$L103&gt;AG$7),((AG$7-$K103)/($L103-$K103)))</f>
        <v>0</v>
      </c>
      <c r="AI103" s="201">
        <f t="array" ref="AI103">_xlfn.IFS(AND($K103&gt;AH$7,$L103&gt;AH$7),0,AND($K103&lt;=AH$7,$L103&lt;=AH$7),1,AND($K103&lt;=AH$7,$L103&gt;AH$7),((AH$7-$K103)/($L103-$K103)))</f>
        <v>0</v>
      </c>
      <c r="AJ103" s="201">
        <f t="array" ref="AJ103">_xlfn.IFS(AND($K103&gt;AI$7,$L103&gt;AI$7),0,AND($K103&lt;=AI$7,$L103&lt;=AI$7),1,AND($K103&lt;=AI$7,$L103&gt;AI$7),((AI$7-$K103)/($L103-$K103)))</f>
        <v>0</v>
      </c>
      <c r="AK103" s="201">
        <f t="array" ref="AK103">_xlfn.IFS(AND($K103&gt;AJ$7,$L103&gt;AJ$7),0,AND($K103&lt;=AJ$7,$L103&lt;=AJ$7),1,AND($K103&lt;=AJ$7,$L103&gt;AJ$7),((AJ$7-$K103)/($L103-$K103)))</f>
        <v>0</v>
      </c>
      <c r="AL103" s="201">
        <f t="array" ref="AL103">_xlfn.IFS(AND($K103&gt;AK$7,$L103&gt;AK$7),0,AND($K103&lt;=AK$7,$L103&lt;=AK$7),1,AND($K103&lt;=AK$7,$L103&gt;AK$7),((AK$7-$K103)/($L103-$K103)))</f>
        <v>0</v>
      </c>
      <c r="AM103" s="201">
        <f t="array" ref="AM103">_xlfn.IFS(AND($K103&gt;AL$7,$L103&gt;AL$7),0,AND($K103&lt;=AL$7,$L103&lt;=AL$7),1,AND($K103&lt;=AL$7,$L103&gt;AL$7),((AL$7-$K103)/($L103-$K103)))</f>
        <v>0</v>
      </c>
      <c r="AN103" s="201">
        <f t="array" ref="AN103">_xlfn.IFS(AND($K103&gt;AM$7,$L103&gt;AM$7),0,AND($K103&lt;=AM$7,$L103&lt;=AM$7),1,AND($K103&lt;=AM$7,$L103&gt;AM$7),((AM$7-$K103)/($L103-$K103)))</f>
        <v>0</v>
      </c>
      <c r="AO103" s="201">
        <f t="array" ref="AO103">_xlfn.IFS(AND($K103&gt;AN$7,$L103&gt;AN$7),0,AND($K103&lt;=AN$7,$L103&lt;=AN$7),1,AND($K103&lt;=AN$7,$L103&gt;AN$7),((AN$7-$K103)/($L103-$K103)))</f>
        <v>0</v>
      </c>
      <c r="AP103" s="201">
        <f t="array" ref="AP103">_xlfn.IFS(AND($K103&gt;AO$7,$L103&gt;AO$7),0,AND($K103&lt;=AO$7,$L103&lt;=AO$7),1,AND($K103&lt;=AO$7,$L103&gt;AO$7),((AO$7-$K103)/($L103-$K103)))</f>
        <v>0</v>
      </c>
      <c r="AQ103" s="201">
        <f t="array" ref="AQ103">_xlfn.IFS(AND($K103&gt;AP$7,$L103&gt;AP$7),0,AND($K103&lt;=AP$7,$L103&lt;=AP$7),1,AND($K103&lt;=AP$7,$L103&gt;AP$7),((AP$7-$K103)/($L103-$K103)))</f>
        <v>0</v>
      </c>
      <c r="AR103" s="201">
        <f t="array" ref="AR103">_xlfn.IFS(AND($K103&gt;AQ$7,$L103&gt;AQ$7),0,AND($K103&lt;=AQ$7,$L103&lt;=AQ$7),1,AND($K103&lt;=AQ$7,$L103&gt;AQ$7),((AQ$7-$K103)/($L103-$K103)))</f>
        <v>0</v>
      </c>
      <c r="AS103" s="201">
        <f t="array" ref="AS103">_xlfn.IFS(AND($K103&gt;AR$7,$L103&gt;AR$7),0,AND($K103&lt;=AR$7,$L103&lt;=AR$7),1,AND($K103&lt;=AR$7,$L103&gt;AR$7),((AR$7-$K103)/($L103-$K103)))</f>
        <v>0</v>
      </c>
      <c r="AT103" s="201">
        <f t="array" ref="AT103">_xlfn.IFS(AND($K103&gt;AS$7,$L103&gt;AS$7),0,AND($K103&lt;=AS$7,$L103&lt;=AS$7),1,AND($K103&lt;=AS$7,$L103&gt;AS$7),((AS$7-$K103)/($L103-$K103)))</f>
        <v>0</v>
      </c>
      <c r="AU103" s="201">
        <f t="array" ref="AU103">_xlfn.IFS(AND($K103&gt;AT$7,$L103&gt;AT$7),0,AND($K103&lt;=AT$7,$L103&lt;=AT$7),1,AND($K103&lt;=AT$7,$L103&gt;AT$7),((AT$7-$K103)/($L103-$K103)))</f>
        <v>0</v>
      </c>
      <c r="AV103" s="201">
        <f t="array" ref="AV103">_xlfn.IFS(AND($K103&gt;AU$7,$L103&gt;AU$7),0,AND($K103&lt;=AU$7,$L103&lt;=AU$7),1,AND($K103&lt;=AU$7,$L103&gt;AU$7),((AU$7-$K103)/($L103-$K103)))</f>
        <v>0</v>
      </c>
      <c r="AW103" s="201">
        <f t="array" ref="AW103">_xlfn.IFS(AND($K103&gt;AV$7,$L103&gt;AV$7),0,AND($K103&lt;=AV$7,$L103&lt;=AV$7),1,AND($K103&lt;=AV$7,$L103&gt;AV$7),((AV$7-$K103)/($L103-$K103)))</f>
        <v>0</v>
      </c>
      <c r="AX103" s="201">
        <f t="array" ref="AX103">_xlfn.IFS(AND($K103&gt;AW$7,$L103&gt;AW$7),0,AND($K103&lt;=AW$7,$L103&lt;=AW$7),1,AND($K103&lt;=AW$7,$L103&gt;AW$7),((AW$7-$K103)/($L103-$K103)))</f>
        <v>0</v>
      </c>
      <c r="AY103" s="201">
        <f t="array" ref="AY103">_xlfn.IFS(AND($K103&gt;AX$7,$L103&gt;AX$7),0,AND($K103&lt;=AX$7,$L103&lt;=AX$7),1,AND($K103&lt;=AX$7,$L103&gt;AX$7),((AX$7-$K103)/($L103-$K103)))</f>
        <v>0</v>
      </c>
      <c r="AZ103" s="201">
        <f t="array" ref="AZ103">_xlfn.IFS(AND($K103&gt;AY$7,$L103&gt;AY$7),0,AND($K103&lt;=AY$7,$L103&lt;=AY$7),1,AND($K103&lt;=AY$7,$L103&gt;AY$7),((AY$7-$K103)/($L103-$K103)))</f>
        <v>0</v>
      </c>
      <c r="BA103" s="201">
        <f t="array" ref="BA103">_xlfn.IFS(AND($K103&gt;AZ$7,$L103&gt;AZ$7),0,AND($K103&lt;=AZ$7,$L103&lt;=AZ$7),1,AND($K103&lt;=AZ$7,$L103&gt;AZ$7),((AZ$7-$K103)/($L103-$K103)))</f>
        <v>0</v>
      </c>
      <c r="BB103" s="201">
        <f t="array" ref="BB103">_xlfn.IFS(AND($K103&gt;BA$7,$L103&gt;BA$7),0,AND($K103&lt;=BA$7,$L103&lt;=BA$7),1,AND($K103&lt;=BA$7,$L103&gt;BA$7),((BA$7-$K103)/($L103-$K103)))</f>
        <v>0</v>
      </c>
      <c r="BC103" s="201">
        <f t="array" ref="BC103">_xlfn.IFS(AND($K103&gt;BB$7,$L103&gt;BB$7),0,AND($K103&lt;=BB$7,$L103&lt;=BB$7),1,AND($K103&lt;=BB$7,$L103&gt;BB$7),((BB$7-$K103)/($L103-$K103)))</f>
        <v>0</v>
      </c>
      <c r="BD103" s="201">
        <f t="array" ref="BD103">_xlfn.IFS(AND($K103&gt;BC$7,$L103&gt;BC$7),0,AND($K103&lt;=BC$7,$L103&lt;=BC$7),1,AND($K103&lt;=BC$7,$L103&gt;BC$7),((BC$7-$K103)/($L103-$K103)))</f>
        <v>0</v>
      </c>
      <c r="BE103" s="201">
        <f t="array" ref="BE103">_xlfn.IFS(AND($K103&gt;BD$7,$L103&gt;BD$7),0,AND($K103&lt;=BD$7,$L103&lt;=BD$7),1,AND($K103&lt;=BD$7,$L103&gt;BD$7),((BD$7-$K103)/($L103-$K103)))</f>
        <v>0</v>
      </c>
      <c r="BF103" s="201">
        <f t="array" ref="BF103">_xlfn.IFS(AND($K103&gt;BE$7,$L103&gt;BE$7),0,AND($K103&lt;=BE$7,$L103&lt;=BE$7),1,AND($K103&lt;=BE$7,$L103&gt;BE$7),((BE$7-$K103)/($L103-$K103)))</f>
        <v>0</v>
      </c>
      <c r="BG103" s="201">
        <f t="array" ref="BG103">_xlfn.IFS(AND($K103&gt;BF$7,$L103&gt;BF$7),0,AND($K103&lt;=BF$7,$L103&lt;=BF$7),1,AND($K103&lt;=BF$7,$L103&gt;BF$7),((BF$7-$K103)/($L103-$K103)))</f>
        <v>1</v>
      </c>
      <c r="BH103" s="201">
        <f t="array" ref="BH103">_xlfn.IFS(AND($K103&gt;BG$7,$L103&gt;BG$7),0,AND($K103&lt;=BG$7,$L103&lt;=BG$7),1,AND($K103&lt;=BG$7,$L103&gt;BG$7),((BG$7-$K103)/($L103-$K103)))</f>
        <v>1</v>
      </c>
      <c r="BI103" s="201">
        <f t="array" ref="BI103">_xlfn.IFS(AND($K103&gt;BH$7,$L103&gt;BH$7),0,AND($K103&lt;=BH$7,$L103&lt;=BH$7),1,AND($K103&lt;=BH$7,$L103&gt;BH$7),((BH$7-$K103)/($L103-$K103)))</f>
        <v>1</v>
      </c>
      <c r="BJ103" s="201">
        <f t="array" ref="BJ103">_xlfn.IFS(AND($K103&gt;BI$7,$L103&gt;BI$7),0,AND($K103&lt;=BI$7,$L103&lt;=BI$7),1,AND($K103&lt;=BI$7,$L103&gt;BI$7),((BI$7-$K103)/($L103-$K103)))</f>
        <v>1</v>
      </c>
      <c r="BK103" s="201">
        <f t="array" ref="BK103">_xlfn.IFS(AND($K103&gt;BJ$7,$L103&gt;BJ$7),0,AND($K103&lt;=BJ$7,$L103&lt;=BJ$7),1,AND($K103&lt;=BJ$7,$L103&gt;BJ$7),((BJ$7-$K103)/($L103-$K103)))</f>
        <v>1</v>
      </c>
      <c r="BL103" s="201">
        <f t="array" ref="BL103">_xlfn.IFS(AND($K103&gt;BK$7,$L103&gt;BK$7),0,AND($K103&lt;=BK$7,$L103&lt;=BK$7),1,AND($K103&lt;=BK$7,$L103&gt;BK$7),((BK$7-$K103)/($L103-$K103)))</f>
        <v>1</v>
      </c>
      <c r="BM103" s="201">
        <f t="array" ref="BM103">_xlfn.IFS(AND($K103&gt;BL$7,$L103&gt;BL$7),0,AND($K103&lt;=BL$7,$L103&lt;=BL$7),1,AND($K103&lt;=BL$7,$L103&gt;BL$7),((BL$7-$K103)/($L103-$K103)))</f>
        <v>1</v>
      </c>
      <c r="BN103" s="201">
        <f t="array" ref="BN103">_xlfn.IFS(AND($K103&gt;BM$7,$L103&gt;BM$7),0,AND($K103&lt;=BM$7,$L103&lt;=BM$7),1,AND($K103&lt;=BM$7,$L103&gt;BM$7),((BM$7-$K103)/($L103-$K103)))</f>
        <v>1</v>
      </c>
    </row>
    <row r="104" spans="2:66" s="163" customFormat="1" ht="27.6" customHeight="1" x14ac:dyDescent="0.3">
      <c r="B104" s="166" t="s">
        <v>161</v>
      </c>
      <c r="C104" s="166" t="s">
        <v>255</v>
      </c>
      <c r="D104" s="177"/>
      <c r="E104" s="170" t="str">
        <f t="shared" si="42"/>
        <v>Desenvolvimento da Transformação dos Processos</v>
      </c>
      <c r="F104" s="174" t="str">
        <f t="shared" si="39"/>
        <v>Modelagem To Be</v>
      </c>
      <c r="G104" s="166" t="str">
        <f t="shared" si="43"/>
        <v>Modelagem To Be</v>
      </c>
      <c r="H104" s="197" t="s">
        <v>256</v>
      </c>
      <c r="I104" s="166">
        <v>45964</v>
      </c>
      <c r="J104" s="166">
        <v>45968</v>
      </c>
      <c r="K104" s="166">
        <v>45964</v>
      </c>
      <c r="L104" s="166">
        <v>45968</v>
      </c>
      <c r="M104" s="167"/>
      <c r="N104" s="167" t="str">
        <f t="array" ref="N104">_xlfn.IFS(L104&lt;$M$3,"Concluído",AND(K104&gt;=$M$3,I104&lt;$M$3,L104&gt;$M$3),"Em andamento",AND(L104&gt;=$M$3,J104&lt;$M$3),"Atrasado",AND(L104&gt;=$M$3,J104&gt;=$M$3,I104&gt;$M$3,K104&lt;=$M$3),"Em andamento",AND(L104&gt;=$M$3,J104&gt;=$M$3,I104&lt;=$M$3,K104&lt;=$M$3),"Em andamento",AND(K104&gt;$M$3,I104&gt;$M$3),"Não iniciado",AND(L104&gt;=$M$3,J104&gt;=$M$3,K104&gt;=$M$3,I104&lt;$M$3),"Atrasado",AND(L104&gt;=$M$3,J104&gt;=$M$3,K104&gt;=$M$3,I104&gt;$M$3),"Não iniciado",AND($I104&lt;=$M$3,$K104&gt;$M$3),"Atrasado")</f>
        <v>Não iniciado</v>
      </c>
      <c r="O104" s="167">
        <f t="array" ref="O104">_xlfn.IFS(N104="Não iniciado",0,N104="Em andamento",1,N104="Concluído",2,N104="Atrasado",3)</f>
        <v>0</v>
      </c>
      <c r="P104" s="169"/>
      <c r="Q104" s="152">
        <f t="array" ref="Q104">_xlfn.IFS(AND($I104&lt;$M$3,$J104&lt;$M$3),1,AND($I104&lt;$M$3,$J104&gt;=$M$3),0.5,AND($I104&gt;=$M$3,$J104&gt;=$M$3),0)</f>
        <v>0</v>
      </c>
      <c r="R104" s="152">
        <f t="array" ref="R104">_xlfn.IFS(AND($K104&lt;$M$3,$L104&lt;$M$3),1,AND($K104&lt;=$M$3,$L104&gt;=$M$3),0.5,AND($K104&gt;=$M$3,$L104&gt;=$M$3),0)</f>
        <v>0</v>
      </c>
      <c r="S104" s="201">
        <f t="array" ref="S104">_xlfn.IFS(AND($K104&gt;R$7,$L104&gt;R$7),0,AND($K104&lt;=R$7,$L104&lt;=R$7),1,AND($K104&lt;=R$7,$L104&gt;R$7),((R$7-$K104)/($L104-$K104)))</f>
        <v>0</v>
      </c>
      <c r="T104" s="201">
        <f t="array" ref="T104">_xlfn.IFS(AND($K104&gt;S$7,$L104&gt;S$7),0,AND($K104&lt;=S$7,$L104&lt;=S$7),1,AND($K104&lt;=S$7,$L104&gt;S$7),((S$7-$K104)/($L104-$K104)))</f>
        <v>0</v>
      </c>
      <c r="U104" s="201">
        <f t="array" ref="U104">_xlfn.IFS(AND($K104&gt;T$7,$L104&gt;T$7),0,AND($K104&lt;=T$7,$L104&lt;=T$7),1,AND($K104&lt;=T$7,$L104&gt;T$7),((T$7-$K104)/($L104-$K104)))</f>
        <v>0</v>
      </c>
      <c r="V104" s="201">
        <f t="array" ref="V104">_xlfn.IFS(AND($K104&gt;U$7,$L104&gt;U$7),0,AND($K104&lt;=U$7,$L104&lt;=U$7),1,AND($K104&lt;=U$7,$L104&gt;U$7),((U$7-$K104)/($L104-$K104)))</f>
        <v>0</v>
      </c>
      <c r="W104" s="201">
        <f t="array" ref="W104">_xlfn.IFS(AND($K104&gt;V$7,$L104&gt;V$7),0,AND($K104&lt;=V$7,$L104&lt;=V$7),1,AND($K104&lt;=V$7,$L104&gt;V$7),((V$7-$K104)/($L104-$K104)))</f>
        <v>0</v>
      </c>
      <c r="X104" s="201">
        <f t="array" ref="X104">_xlfn.IFS(AND($K104&gt;W$7,$L104&gt;W$7),0,AND($K104&lt;=W$7,$L104&lt;=W$7),1,AND($K104&lt;=W$7,$L104&gt;W$7),((W$7-$K104)/($L104-$K104)))</f>
        <v>0</v>
      </c>
      <c r="Y104" s="201">
        <f t="array" ref="Y104">_xlfn.IFS(AND($K104&gt;X$7,$L104&gt;X$7),0,AND($K104&lt;=X$7,$L104&lt;=X$7),1,AND($K104&lt;=X$7,$L104&gt;X$7),((X$7-$K104)/($L104-$K104)))</f>
        <v>0</v>
      </c>
      <c r="Z104" s="201">
        <f t="array" ref="Z104">_xlfn.IFS(AND($K104&gt;Y$7,$L104&gt;Y$7),0,AND($K104&lt;=Y$7,$L104&lt;=Y$7),1,AND($K104&lt;=Y$7,$L104&gt;Y$7),((Y$7-$K104)/($L104-$K104)))</f>
        <v>0</v>
      </c>
      <c r="AA104" s="201">
        <f t="array" ref="AA104">_xlfn.IFS(AND($K104&gt;Z$7,$L104&gt;Z$7),0,AND($K104&lt;=Z$7,$L104&lt;=Z$7),1,AND($K104&lt;=Z$7,$L104&gt;Z$7),((Z$7-$K104)/($L104-$K104)))</f>
        <v>0</v>
      </c>
      <c r="AB104" s="201">
        <f t="array" ref="AB104">_xlfn.IFS(AND($K104&gt;AA$7,$L104&gt;AA$7),0,AND($K104&lt;=AA$7,$L104&lt;=AA$7),1,AND($K104&lt;=AA$7,$L104&gt;AA$7),((AA$7-$K104)/($L104-$K104)))</f>
        <v>0</v>
      </c>
      <c r="AC104" s="201">
        <f t="array" ref="AC104">_xlfn.IFS(AND($K104&gt;AB$7,$L104&gt;AB$7),0,AND($K104&lt;=AB$7,$L104&lt;=AB$7),1,AND($K104&lt;=AB$7,$L104&gt;AB$7),((AB$7-$K104)/($L104-$K104)))</f>
        <v>0</v>
      </c>
      <c r="AD104" s="201">
        <f t="array" ref="AD104">_xlfn.IFS(AND($K104&gt;AC$7,$L104&gt;AC$7),0,AND($K104&lt;=AC$7,$L104&lt;=AC$7),1,AND($K104&lt;=AC$7,$L104&gt;AC$7),((AC$7-$K104)/($L104-$K104)))</f>
        <v>0</v>
      </c>
      <c r="AE104" s="201">
        <f t="array" ref="AE104">_xlfn.IFS(AND($K104&gt;AD$7,$L104&gt;AD$7),0,AND($K104&lt;=AD$7,$L104&lt;=AD$7),1,AND($K104&lt;=AD$7,$L104&gt;AD$7),((AD$7-$K104)/($L104-$K104)))</f>
        <v>0</v>
      </c>
      <c r="AF104" s="201">
        <f t="array" ref="AF104">_xlfn.IFS(AND($K104&gt;AE$7,$L104&gt;AE$7),0,AND($K104&lt;=AE$7,$L104&lt;=AE$7),1,AND($K104&lt;=AE$7,$L104&gt;AE$7),((AE$7-$K104)/($L104-$K104)))</f>
        <v>0</v>
      </c>
      <c r="AG104" s="201">
        <f t="array" ref="AG104">_xlfn.IFS(AND($K104&gt;AF$7,$L104&gt;AF$7),0,AND($K104&lt;=AF$7,$L104&lt;=AF$7),1,AND($K104&lt;=AF$7,$L104&gt;AF$7),((AF$7-$K104)/($L104-$K104)))</f>
        <v>0</v>
      </c>
      <c r="AH104" s="201">
        <f t="array" ref="AH104">_xlfn.IFS(AND($K104&gt;AG$7,$L104&gt;AG$7),0,AND($K104&lt;=AG$7,$L104&lt;=AG$7),1,AND($K104&lt;=AG$7,$L104&gt;AG$7),((AG$7-$K104)/($L104-$K104)))</f>
        <v>0</v>
      </c>
      <c r="AI104" s="201">
        <f t="array" ref="AI104">_xlfn.IFS(AND($K104&gt;AH$7,$L104&gt;AH$7),0,AND($K104&lt;=AH$7,$L104&lt;=AH$7),1,AND($K104&lt;=AH$7,$L104&gt;AH$7),((AH$7-$K104)/($L104-$K104)))</f>
        <v>0</v>
      </c>
      <c r="AJ104" s="201">
        <f t="array" ref="AJ104">_xlfn.IFS(AND($K104&gt;AI$7,$L104&gt;AI$7),0,AND($K104&lt;=AI$7,$L104&lt;=AI$7),1,AND($K104&lt;=AI$7,$L104&gt;AI$7),((AI$7-$K104)/($L104-$K104)))</f>
        <v>0</v>
      </c>
      <c r="AK104" s="201">
        <f t="array" ref="AK104">_xlfn.IFS(AND($K104&gt;AJ$7,$L104&gt;AJ$7),0,AND($K104&lt;=AJ$7,$L104&lt;=AJ$7),1,AND($K104&lt;=AJ$7,$L104&gt;AJ$7),((AJ$7-$K104)/($L104-$K104)))</f>
        <v>0</v>
      </c>
      <c r="AL104" s="201">
        <f t="array" ref="AL104">_xlfn.IFS(AND($K104&gt;AK$7,$L104&gt;AK$7),0,AND($K104&lt;=AK$7,$L104&lt;=AK$7),1,AND($K104&lt;=AK$7,$L104&gt;AK$7),((AK$7-$K104)/($L104-$K104)))</f>
        <v>0</v>
      </c>
      <c r="AM104" s="201">
        <f t="array" ref="AM104">_xlfn.IFS(AND($K104&gt;AL$7,$L104&gt;AL$7),0,AND($K104&lt;=AL$7,$L104&lt;=AL$7),1,AND($K104&lt;=AL$7,$L104&gt;AL$7),((AL$7-$K104)/($L104-$K104)))</f>
        <v>0</v>
      </c>
      <c r="AN104" s="201">
        <f t="array" ref="AN104">_xlfn.IFS(AND($K104&gt;AM$7,$L104&gt;AM$7),0,AND($K104&lt;=AM$7,$L104&lt;=AM$7),1,AND($K104&lt;=AM$7,$L104&gt;AM$7),((AM$7-$K104)/($L104-$K104)))</f>
        <v>0</v>
      </c>
      <c r="AO104" s="201">
        <f t="array" ref="AO104">_xlfn.IFS(AND($K104&gt;AN$7,$L104&gt;AN$7),0,AND($K104&lt;=AN$7,$L104&lt;=AN$7),1,AND($K104&lt;=AN$7,$L104&gt;AN$7),((AN$7-$K104)/($L104-$K104)))</f>
        <v>0</v>
      </c>
      <c r="AP104" s="201">
        <f t="array" ref="AP104">_xlfn.IFS(AND($K104&gt;AO$7,$L104&gt;AO$7),0,AND($K104&lt;=AO$7,$L104&lt;=AO$7),1,AND($K104&lt;=AO$7,$L104&gt;AO$7),((AO$7-$K104)/($L104-$K104)))</f>
        <v>0</v>
      </c>
      <c r="AQ104" s="201">
        <f t="array" ref="AQ104">_xlfn.IFS(AND($K104&gt;AP$7,$L104&gt;AP$7),0,AND($K104&lt;=AP$7,$L104&lt;=AP$7),1,AND($K104&lt;=AP$7,$L104&gt;AP$7),((AP$7-$K104)/($L104-$K104)))</f>
        <v>0</v>
      </c>
      <c r="AR104" s="201">
        <f t="array" ref="AR104">_xlfn.IFS(AND($K104&gt;AQ$7,$L104&gt;AQ$7),0,AND($K104&lt;=AQ$7,$L104&lt;=AQ$7),1,AND($K104&lt;=AQ$7,$L104&gt;AQ$7),((AQ$7-$K104)/($L104-$K104)))</f>
        <v>0</v>
      </c>
      <c r="AS104" s="201">
        <f t="array" ref="AS104">_xlfn.IFS(AND($K104&gt;AR$7,$L104&gt;AR$7),0,AND($K104&lt;=AR$7,$L104&lt;=AR$7),1,AND($K104&lt;=AR$7,$L104&gt;AR$7),((AR$7-$K104)/($L104-$K104)))</f>
        <v>0</v>
      </c>
      <c r="AT104" s="201">
        <f t="array" ref="AT104">_xlfn.IFS(AND($K104&gt;AS$7,$L104&gt;AS$7),0,AND($K104&lt;=AS$7,$L104&lt;=AS$7),1,AND($K104&lt;=AS$7,$L104&gt;AS$7),((AS$7-$K104)/($L104-$K104)))</f>
        <v>0</v>
      </c>
      <c r="AU104" s="201">
        <f t="array" ref="AU104">_xlfn.IFS(AND($K104&gt;AT$7,$L104&gt;AT$7),0,AND($K104&lt;=AT$7,$L104&lt;=AT$7),1,AND($K104&lt;=AT$7,$L104&gt;AT$7),((AT$7-$K104)/($L104-$K104)))</f>
        <v>0</v>
      </c>
      <c r="AV104" s="201">
        <f t="array" ref="AV104">_xlfn.IFS(AND($K104&gt;AU$7,$L104&gt;AU$7),0,AND($K104&lt;=AU$7,$L104&lt;=AU$7),1,AND($K104&lt;=AU$7,$L104&gt;AU$7),((AU$7-$K104)/($L104-$K104)))</f>
        <v>0</v>
      </c>
      <c r="AW104" s="201">
        <f t="array" ref="AW104">_xlfn.IFS(AND($K104&gt;AV$7,$L104&gt;AV$7),0,AND($K104&lt;=AV$7,$L104&lt;=AV$7),1,AND($K104&lt;=AV$7,$L104&gt;AV$7),((AV$7-$K104)/($L104-$K104)))</f>
        <v>0</v>
      </c>
      <c r="AX104" s="201">
        <f t="array" ref="AX104">_xlfn.IFS(AND($K104&gt;AW$7,$L104&gt;AW$7),0,AND($K104&lt;=AW$7,$L104&lt;=AW$7),1,AND($K104&lt;=AW$7,$L104&gt;AW$7),((AW$7-$K104)/($L104-$K104)))</f>
        <v>0</v>
      </c>
      <c r="AY104" s="201">
        <f t="array" ref="AY104">_xlfn.IFS(AND($K104&gt;AX$7,$L104&gt;AX$7),0,AND($K104&lt;=AX$7,$L104&lt;=AX$7),1,AND($K104&lt;=AX$7,$L104&gt;AX$7),((AX$7-$K104)/($L104-$K104)))</f>
        <v>0</v>
      </c>
      <c r="AZ104" s="201">
        <f t="array" ref="AZ104">_xlfn.IFS(AND($K104&gt;AY$7,$L104&gt;AY$7),0,AND($K104&lt;=AY$7,$L104&lt;=AY$7),1,AND($K104&lt;=AY$7,$L104&gt;AY$7),((AY$7-$K104)/($L104-$K104)))</f>
        <v>0</v>
      </c>
      <c r="BA104" s="201">
        <f t="array" ref="BA104">_xlfn.IFS(AND($K104&gt;AZ$7,$L104&gt;AZ$7),0,AND($K104&lt;=AZ$7,$L104&lt;=AZ$7),1,AND($K104&lt;=AZ$7,$L104&gt;AZ$7),((AZ$7-$K104)/($L104-$K104)))</f>
        <v>0</v>
      </c>
      <c r="BB104" s="201">
        <f t="array" ref="BB104">_xlfn.IFS(AND($K104&gt;BA$7,$L104&gt;BA$7),0,AND($K104&lt;=BA$7,$L104&lt;=BA$7),1,AND($K104&lt;=BA$7,$L104&gt;BA$7),((BA$7-$K104)/($L104-$K104)))</f>
        <v>0</v>
      </c>
      <c r="BC104" s="201">
        <f t="array" ref="BC104">_xlfn.IFS(AND($K104&gt;BB$7,$L104&gt;BB$7),0,AND($K104&lt;=BB$7,$L104&lt;=BB$7),1,AND($K104&lt;=BB$7,$L104&gt;BB$7),((BB$7-$K104)/($L104-$K104)))</f>
        <v>0</v>
      </c>
      <c r="BD104" s="201">
        <f t="array" ref="BD104">_xlfn.IFS(AND($K104&gt;BC$7,$L104&gt;BC$7),0,AND($K104&lt;=BC$7,$L104&lt;=BC$7),1,AND($K104&lt;=BC$7,$L104&gt;BC$7),((BC$7-$K104)/($L104-$K104)))</f>
        <v>0</v>
      </c>
      <c r="BE104" s="201">
        <f t="array" ref="BE104">_xlfn.IFS(AND($K104&gt;BD$7,$L104&gt;BD$7),0,AND($K104&lt;=BD$7,$L104&lt;=BD$7),1,AND($K104&lt;=BD$7,$L104&gt;BD$7),((BD$7-$K104)/($L104-$K104)))</f>
        <v>0</v>
      </c>
      <c r="BF104" s="201">
        <f t="array" ref="BF104">_xlfn.IFS(AND($K104&gt;BE$7,$L104&gt;BE$7),0,AND($K104&lt;=BE$7,$L104&lt;=BE$7),1,AND($K104&lt;=BE$7,$L104&gt;BE$7),((BE$7-$K104)/($L104-$K104)))</f>
        <v>0</v>
      </c>
      <c r="BG104" s="201">
        <f t="array" ref="BG104">_xlfn.IFS(AND($K104&gt;BF$7,$L104&gt;BF$7),0,AND($K104&lt;=BF$7,$L104&lt;=BF$7),1,AND($K104&lt;=BF$7,$L104&gt;BF$7),((BF$7-$K104)/($L104-$K104)))</f>
        <v>1</v>
      </c>
      <c r="BH104" s="201">
        <f t="array" ref="BH104">_xlfn.IFS(AND($K104&gt;BG$7,$L104&gt;BG$7),0,AND($K104&lt;=BG$7,$L104&lt;=BG$7),1,AND($K104&lt;=BG$7,$L104&gt;BG$7),((BG$7-$K104)/($L104-$K104)))</f>
        <v>1</v>
      </c>
      <c r="BI104" s="201">
        <f t="array" ref="BI104">_xlfn.IFS(AND($K104&gt;BH$7,$L104&gt;BH$7),0,AND($K104&lt;=BH$7,$L104&lt;=BH$7),1,AND($K104&lt;=BH$7,$L104&gt;BH$7),((BH$7-$K104)/($L104-$K104)))</f>
        <v>1</v>
      </c>
      <c r="BJ104" s="201">
        <f t="array" ref="BJ104">_xlfn.IFS(AND($K104&gt;BI$7,$L104&gt;BI$7),0,AND($K104&lt;=BI$7,$L104&lt;=BI$7),1,AND($K104&lt;=BI$7,$L104&gt;BI$7),((BI$7-$K104)/($L104-$K104)))</f>
        <v>1</v>
      </c>
      <c r="BK104" s="201">
        <f t="array" ref="BK104">_xlfn.IFS(AND($K104&gt;BJ$7,$L104&gt;BJ$7),0,AND($K104&lt;=BJ$7,$L104&lt;=BJ$7),1,AND($K104&lt;=BJ$7,$L104&gt;BJ$7),((BJ$7-$K104)/($L104-$K104)))</f>
        <v>1</v>
      </c>
      <c r="BL104" s="201">
        <f t="array" ref="BL104">_xlfn.IFS(AND($K104&gt;BK$7,$L104&gt;BK$7),0,AND($K104&lt;=BK$7,$L104&lt;=BK$7),1,AND($K104&lt;=BK$7,$L104&gt;BK$7),((BK$7-$K104)/($L104-$K104)))</f>
        <v>1</v>
      </c>
      <c r="BM104" s="201">
        <f t="array" ref="BM104">_xlfn.IFS(AND($K104&gt;BL$7,$L104&gt;BL$7),0,AND($K104&lt;=BL$7,$L104&lt;=BL$7),1,AND($K104&lt;=BL$7,$L104&gt;BL$7),((BL$7-$K104)/($L104-$K104)))</f>
        <v>1</v>
      </c>
      <c r="BN104" s="201">
        <f t="array" ref="BN104">_xlfn.IFS(AND($K104&gt;BM$7,$L104&gt;BM$7),0,AND($K104&lt;=BM$7,$L104&lt;=BM$7),1,AND($K104&lt;=BM$7,$L104&gt;BM$7),((BM$7-$K104)/($L104-$K104)))</f>
        <v>1</v>
      </c>
    </row>
    <row r="105" spans="2:66" s="163" customFormat="1" ht="27.6" customHeight="1" x14ac:dyDescent="0.3">
      <c r="B105" s="166" t="s">
        <v>161</v>
      </c>
      <c r="C105" s="166" t="s">
        <v>257</v>
      </c>
      <c r="D105" s="177"/>
      <c r="E105" s="170" t="str">
        <f t="shared" si="42"/>
        <v>Desenvolvimento da Transformação dos Processos</v>
      </c>
      <c r="F105" s="174" t="str">
        <f t="shared" si="39"/>
        <v>Modelagem To Be</v>
      </c>
      <c r="G105" s="166" t="str">
        <f t="shared" si="43"/>
        <v>Modelagem To Be</v>
      </c>
      <c r="H105" s="197" t="s">
        <v>258</v>
      </c>
      <c r="I105" s="166">
        <v>45992</v>
      </c>
      <c r="J105" s="166">
        <v>45996</v>
      </c>
      <c r="K105" s="166">
        <v>45992</v>
      </c>
      <c r="L105" s="166">
        <v>45996</v>
      </c>
      <c r="M105" s="167"/>
      <c r="N105" s="167" t="str">
        <f t="array" ref="N105">_xlfn.IFS(L105&lt;$M$3,"Concluído",AND(K105&gt;=$M$3,I105&lt;$M$3,L105&gt;$M$3),"Em andamento",AND(L105&gt;=$M$3,J105&lt;$M$3),"Atrasado",AND(L105&gt;=$M$3,J105&gt;=$M$3,I105&gt;$M$3,K105&lt;=$M$3),"Em andamento",AND(L105&gt;=$M$3,J105&gt;=$M$3,I105&lt;=$M$3,K105&lt;=$M$3),"Em andamento",AND(K105&gt;$M$3,I105&gt;$M$3),"Não iniciado",AND(L105&gt;=$M$3,J105&gt;=$M$3,K105&gt;=$M$3,I105&lt;$M$3),"Atrasado",AND(L105&gt;=$M$3,J105&gt;=$M$3,K105&gt;=$M$3,I105&gt;$M$3),"Não iniciado",AND($I105&lt;=$M$3,$K105&gt;$M$3),"Atrasado")</f>
        <v>Não iniciado</v>
      </c>
      <c r="O105" s="167">
        <f t="array" ref="O105">_xlfn.IFS(N105="Não iniciado",0,N105="Em andamento",1,N105="Concluído",2,N105="Atrasado",3)</f>
        <v>0</v>
      </c>
      <c r="P105" s="169"/>
      <c r="Q105" s="152">
        <f t="array" ref="Q105">_xlfn.IFS(AND($I105&lt;$M$3,$J105&lt;$M$3),1,AND($I105&lt;$M$3,$J105&gt;=$M$3),0.5,AND($I105&gt;=$M$3,$J105&gt;=$M$3),0)</f>
        <v>0</v>
      </c>
      <c r="R105" s="152">
        <f t="array" ref="R105">_xlfn.IFS(AND($K105&lt;$M$3,$L105&lt;$M$3),1,AND($K105&lt;=$M$3,$L105&gt;=$M$3),0.5,AND($K105&gt;=$M$3,$L105&gt;=$M$3),0)</f>
        <v>0</v>
      </c>
      <c r="S105" s="201">
        <f t="array" ref="S105">_xlfn.IFS(AND($K105&gt;R$7,$L105&gt;R$7),0,AND($K105&lt;=R$7,$L105&lt;=R$7),1,AND($K105&lt;=R$7,$L105&gt;R$7),((R$7-$K105)/($L105-$K105)))</f>
        <v>0</v>
      </c>
      <c r="T105" s="201">
        <f t="array" ref="T105">_xlfn.IFS(AND($K105&gt;S$7,$L105&gt;S$7),0,AND($K105&lt;=S$7,$L105&lt;=S$7),1,AND($K105&lt;=S$7,$L105&gt;S$7),((S$7-$K105)/($L105-$K105)))</f>
        <v>0</v>
      </c>
      <c r="U105" s="201">
        <f t="array" ref="U105">_xlfn.IFS(AND($K105&gt;T$7,$L105&gt;T$7),0,AND($K105&lt;=T$7,$L105&lt;=T$7),1,AND($K105&lt;=T$7,$L105&gt;T$7),((T$7-$K105)/($L105-$K105)))</f>
        <v>0</v>
      </c>
      <c r="V105" s="201">
        <f t="array" ref="V105">_xlfn.IFS(AND($K105&gt;U$7,$L105&gt;U$7),0,AND($K105&lt;=U$7,$L105&lt;=U$7),1,AND($K105&lt;=U$7,$L105&gt;U$7),((U$7-$K105)/($L105-$K105)))</f>
        <v>0</v>
      </c>
      <c r="W105" s="201">
        <f t="array" ref="W105">_xlfn.IFS(AND($K105&gt;V$7,$L105&gt;V$7),0,AND($K105&lt;=V$7,$L105&lt;=V$7),1,AND($K105&lt;=V$7,$L105&gt;V$7),((V$7-$K105)/($L105-$K105)))</f>
        <v>0</v>
      </c>
      <c r="X105" s="201">
        <f t="array" ref="X105">_xlfn.IFS(AND($K105&gt;W$7,$L105&gt;W$7),0,AND($K105&lt;=W$7,$L105&lt;=W$7),1,AND($K105&lt;=W$7,$L105&gt;W$7),((W$7-$K105)/($L105-$K105)))</f>
        <v>0</v>
      </c>
      <c r="Y105" s="201">
        <f t="array" ref="Y105">_xlfn.IFS(AND($K105&gt;X$7,$L105&gt;X$7),0,AND($K105&lt;=X$7,$L105&lt;=X$7),1,AND($K105&lt;=X$7,$L105&gt;X$7),((X$7-$K105)/($L105-$K105)))</f>
        <v>0</v>
      </c>
      <c r="Z105" s="201">
        <f t="array" ref="Z105">_xlfn.IFS(AND($K105&gt;Y$7,$L105&gt;Y$7),0,AND($K105&lt;=Y$7,$L105&lt;=Y$7),1,AND($K105&lt;=Y$7,$L105&gt;Y$7),((Y$7-$K105)/($L105-$K105)))</f>
        <v>0</v>
      </c>
      <c r="AA105" s="201">
        <f t="array" ref="AA105">_xlfn.IFS(AND($K105&gt;Z$7,$L105&gt;Z$7),0,AND($K105&lt;=Z$7,$L105&lt;=Z$7),1,AND($K105&lt;=Z$7,$L105&gt;Z$7),((Z$7-$K105)/($L105-$K105)))</f>
        <v>0</v>
      </c>
      <c r="AB105" s="201">
        <f t="array" ref="AB105">_xlfn.IFS(AND($K105&gt;AA$7,$L105&gt;AA$7),0,AND($K105&lt;=AA$7,$L105&lt;=AA$7),1,AND($K105&lt;=AA$7,$L105&gt;AA$7),((AA$7-$K105)/($L105-$K105)))</f>
        <v>0</v>
      </c>
      <c r="AC105" s="201">
        <f t="array" ref="AC105">_xlfn.IFS(AND($K105&gt;AB$7,$L105&gt;AB$7),0,AND($K105&lt;=AB$7,$L105&lt;=AB$7),1,AND($K105&lt;=AB$7,$L105&gt;AB$7),((AB$7-$K105)/($L105-$K105)))</f>
        <v>0</v>
      </c>
      <c r="AD105" s="201">
        <f t="array" ref="AD105">_xlfn.IFS(AND($K105&gt;AC$7,$L105&gt;AC$7),0,AND($K105&lt;=AC$7,$L105&lt;=AC$7),1,AND($K105&lt;=AC$7,$L105&gt;AC$7),((AC$7-$K105)/($L105-$K105)))</f>
        <v>0</v>
      </c>
      <c r="AE105" s="201">
        <f t="array" ref="AE105">_xlfn.IFS(AND($K105&gt;AD$7,$L105&gt;AD$7),0,AND($K105&lt;=AD$7,$L105&lt;=AD$7),1,AND($K105&lt;=AD$7,$L105&gt;AD$7),((AD$7-$K105)/($L105-$K105)))</f>
        <v>0</v>
      </c>
      <c r="AF105" s="201">
        <f t="array" ref="AF105">_xlfn.IFS(AND($K105&gt;AE$7,$L105&gt;AE$7),0,AND($K105&lt;=AE$7,$L105&lt;=AE$7),1,AND($K105&lt;=AE$7,$L105&gt;AE$7),((AE$7-$K105)/($L105-$K105)))</f>
        <v>0</v>
      </c>
      <c r="AG105" s="201">
        <f t="array" ref="AG105">_xlfn.IFS(AND($K105&gt;AF$7,$L105&gt;AF$7),0,AND($K105&lt;=AF$7,$L105&lt;=AF$7),1,AND($K105&lt;=AF$7,$L105&gt;AF$7),((AF$7-$K105)/($L105-$K105)))</f>
        <v>0</v>
      </c>
      <c r="AH105" s="201">
        <f t="array" ref="AH105">_xlfn.IFS(AND($K105&gt;AG$7,$L105&gt;AG$7),0,AND($K105&lt;=AG$7,$L105&lt;=AG$7),1,AND($K105&lt;=AG$7,$L105&gt;AG$7),((AG$7-$K105)/($L105-$K105)))</f>
        <v>0</v>
      </c>
      <c r="AI105" s="201">
        <f t="array" ref="AI105">_xlfn.IFS(AND($K105&gt;AH$7,$L105&gt;AH$7),0,AND($K105&lt;=AH$7,$L105&lt;=AH$7),1,AND($K105&lt;=AH$7,$L105&gt;AH$7),((AH$7-$K105)/($L105-$K105)))</f>
        <v>0</v>
      </c>
      <c r="AJ105" s="201">
        <f t="array" ref="AJ105">_xlfn.IFS(AND($K105&gt;AI$7,$L105&gt;AI$7),0,AND($K105&lt;=AI$7,$L105&lt;=AI$7),1,AND($K105&lt;=AI$7,$L105&gt;AI$7),((AI$7-$K105)/($L105-$K105)))</f>
        <v>0</v>
      </c>
      <c r="AK105" s="201">
        <f t="array" ref="AK105">_xlfn.IFS(AND($K105&gt;AJ$7,$L105&gt;AJ$7),0,AND($K105&lt;=AJ$7,$L105&lt;=AJ$7),1,AND($K105&lt;=AJ$7,$L105&gt;AJ$7),((AJ$7-$K105)/($L105-$K105)))</f>
        <v>0</v>
      </c>
      <c r="AL105" s="201">
        <f t="array" ref="AL105">_xlfn.IFS(AND($K105&gt;AK$7,$L105&gt;AK$7),0,AND($K105&lt;=AK$7,$L105&lt;=AK$7),1,AND($K105&lt;=AK$7,$L105&gt;AK$7),((AK$7-$K105)/($L105-$K105)))</f>
        <v>0</v>
      </c>
      <c r="AM105" s="201">
        <f t="array" ref="AM105">_xlfn.IFS(AND($K105&gt;AL$7,$L105&gt;AL$7),0,AND($K105&lt;=AL$7,$L105&lt;=AL$7),1,AND($K105&lt;=AL$7,$L105&gt;AL$7),((AL$7-$K105)/($L105-$K105)))</f>
        <v>0</v>
      </c>
      <c r="AN105" s="201">
        <f t="array" ref="AN105">_xlfn.IFS(AND($K105&gt;AM$7,$L105&gt;AM$7),0,AND($K105&lt;=AM$7,$L105&lt;=AM$7),1,AND($K105&lt;=AM$7,$L105&gt;AM$7),((AM$7-$K105)/($L105-$K105)))</f>
        <v>0</v>
      </c>
      <c r="AO105" s="201">
        <f t="array" ref="AO105">_xlfn.IFS(AND($K105&gt;AN$7,$L105&gt;AN$7),0,AND($K105&lt;=AN$7,$L105&lt;=AN$7),1,AND($K105&lt;=AN$7,$L105&gt;AN$7),((AN$7-$K105)/($L105-$K105)))</f>
        <v>0</v>
      </c>
      <c r="AP105" s="201">
        <f t="array" ref="AP105">_xlfn.IFS(AND($K105&gt;AO$7,$L105&gt;AO$7),0,AND($K105&lt;=AO$7,$L105&lt;=AO$7),1,AND($K105&lt;=AO$7,$L105&gt;AO$7),((AO$7-$K105)/($L105-$K105)))</f>
        <v>0</v>
      </c>
      <c r="AQ105" s="201">
        <f t="array" ref="AQ105">_xlfn.IFS(AND($K105&gt;AP$7,$L105&gt;AP$7),0,AND($K105&lt;=AP$7,$L105&lt;=AP$7),1,AND($K105&lt;=AP$7,$L105&gt;AP$7),((AP$7-$K105)/($L105-$K105)))</f>
        <v>0</v>
      </c>
      <c r="AR105" s="201">
        <f t="array" ref="AR105">_xlfn.IFS(AND($K105&gt;AQ$7,$L105&gt;AQ$7),0,AND($K105&lt;=AQ$7,$L105&lt;=AQ$7),1,AND($K105&lt;=AQ$7,$L105&gt;AQ$7),((AQ$7-$K105)/($L105-$K105)))</f>
        <v>0</v>
      </c>
      <c r="AS105" s="201">
        <f t="array" ref="AS105">_xlfn.IFS(AND($K105&gt;AR$7,$L105&gt;AR$7),0,AND($K105&lt;=AR$7,$L105&lt;=AR$7),1,AND($K105&lt;=AR$7,$L105&gt;AR$7),((AR$7-$K105)/($L105-$K105)))</f>
        <v>0</v>
      </c>
      <c r="AT105" s="201">
        <f t="array" ref="AT105">_xlfn.IFS(AND($K105&gt;AS$7,$L105&gt;AS$7),0,AND($K105&lt;=AS$7,$L105&lt;=AS$7),1,AND($K105&lt;=AS$7,$L105&gt;AS$7),((AS$7-$K105)/($L105-$K105)))</f>
        <v>0</v>
      </c>
      <c r="AU105" s="201">
        <f t="array" ref="AU105">_xlfn.IFS(AND($K105&gt;AT$7,$L105&gt;AT$7),0,AND($K105&lt;=AT$7,$L105&lt;=AT$7),1,AND($K105&lt;=AT$7,$L105&gt;AT$7),((AT$7-$K105)/($L105-$K105)))</f>
        <v>0</v>
      </c>
      <c r="AV105" s="201">
        <f t="array" ref="AV105">_xlfn.IFS(AND($K105&gt;AU$7,$L105&gt;AU$7),0,AND($K105&lt;=AU$7,$L105&lt;=AU$7),1,AND($K105&lt;=AU$7,$L105&gt;AU$7),((AU$7-$K105)/($L105-$K105)))</f>
        <v>0</v>
      </c>
      <c r="AW105" s="201">
        <f t="array" ref="AW105">_xlfn.IFS(AND($K105&gt;AV$7,$L105&gt;AV$7),0,AND($K105&lt;=AV$7,$L105&lt;=AV$7),1,AND($K105&lt;=AV$7,$L105&gt;AV$7),((AV$7-$K105)/($L105-$K105)))</f>
        <v>0</v>
      </c>
      <c r="AX105" s="201">
        <f t="array" ref="AX105">_xlfn.IFS(AND($K105&gt;AW$7,$L105&gt;AW$7),0,AND($K105&lt;=AW$7,$L105&lt;=AW$7),1,AND($K105&lt;=AW$7,$L105&gt;AW$7),((AW$7-$K105)/($L105-$K105)))</f>
        <v>0</v>
      </c>
      <c r="AY105" s="201">
        <f t="array" ref="AY105">_xlfn.IFS(AND($K105&gt;AX$7,$L105&gt;AX$7),0,AND($K105&lt;=AX$7,$L105&lt;=AX$7),1,AND($K105&lt;=AX$7,$L105&gt;AX$7),((AX$7-$K105)/($L105-$K105)))</f>
        <v>0</v>
      </c>
      <c r="AZ105" s="201">
        <f t="array" ref="AZ105">_xlfn.IFS(AND($K105&gt;AY$7,$L105&gt;AY$7),0,AND($K105&lt;=AY$7,$L105&lt;=AY$7),1,AND($K105&lt;=AY$7,$L105&gt;AY$7),((AY$7-$K105)/($L105-$K105)))</f>
        <v>0</v>
      </c>
      <c r="BA105" s="201">
        <f t="array" ref="BA105">_xlfn.IFS(AND($K105&gt;AZ$7,$L105&gt;AZ$7),0,AND($K105&lt;=AZ$7,$L105&lt;=AZ$7),1,AND($K105&lt;=AZ$7,$L105&gt;AZ$7),((AZ$7-$K105)/($L105-$K105)))</f>
        <v>0</v>
      </c>
      <c r="BB105" s="201">
        <f t="array" ref="BB105">_xlfn.IFS(AND($K105&gt;BA$7,$L105&gt;BA$7),0,AND($K105&lt;=BA$7,$L105&lt;=BA$7),1,AND($K105&lt;=BA$7,$L105&gt;BA$7),((BA$7-$K105)/($L105-$K105)))</f>
        <v>0</v>
      </c>
      <c r="BC105" s="201">
        <f t="array" ref="BC105">_xlfn.IFS(AND($K105&gt;BB$7,$L105&gt;BB$7),0,AND($K105&lt;=BB$7,$L105&lt;=BB$7),1,AND($K105&lt;=BB$7,$L105&gt;BB$7),((BB$7-$K105)/($L105-$K105)))</f>
        <v>0</v>
      </c>
      <c r="BD105" s="201">
        <f t="array" ref="BD105">_xlfn.IFS(AND($K105&gt;BC$7,$L105&gt;BC$7),0,AND($K105&lt;=BC$7,$L105&lt;=BC$7),1,AND($K105&lt;=BC$7,$L105&gt;BC$7),((BC$7-$K105)/($L105-$K105)))</f>
        <v>0</v>
      </c>
      <c r="BE105" s="201">
        <f t="array" ref="BE105">_xlfn.IFS(AND($K105&gt;BD$7,$L105&gt;BD$7),0,AND($K105&lt;=BD$7,$L105&lt;=BD$7),1,AND($K105&lt;=BD$7,$L105&gt;BD$7),((BD$7-$K105)/($L105-$K105)))</f>
        <v>0</v>
      </c>
      <c r="BF105" s="201">
        <f t="array" ref="BF105">_xlfn.IFS(AND($K105&gt;BE$7,$L105&gt;BE$7),0,AND($K105&lt;=BE$7,$L105&lt;=BE$7),1,AND($K105&lt;=BE$7,$L105&gt;BE$7),((BE$7-$K105)/($L105-$K105)))</f>
        <v>0</v>
      </c>
      <c r="BG105" s="201">
        <f t="array" ref="BG105">_xlfn.IFS(AND($K105&gt;BF$7,$L105&gt;BF$7),0,AND($K105&lt;=BF$7,$L105&lt;=BF$7),1,AND($K105&lt;=BF$7,$L105&gt;BF$7),((BF$7-$K105)/($L105-$K105)))</f>
        <v>0</v>
      </c>
      <c r="BH105" s="201">
        <f t="array" ref="BH105">_xlfn.IFS(AND($K105&gt;BG$7,$L105&gt;BG$7),0,AND($K105&lt;=BG$7,$L105&lt;=BG$7),1,AND($K105&lt;=BG$7,$L105&gt;BG$7),((BG$7-$K105)/($L105-$K105)))</f>
        <v>0</v>
      </c>
      <c r="BI105" s="201">
        <f t="array" ref="BI105">_xlfn.IFS(AND($K105&gt;BH$7,$L105&gt;BH$7),0,AND($K105&lt;=BH$7,$L105&lt;=BH$7),1,AND($K105&lt;=BH$7,$L105&gt;BH$7),((BH$7-$K105)/($L105-$K105)))</f>
        <v>0</v>
      </c>
      <c r="BJ105" s="201">
        <f t="array" ref="BJ105">_xlfn.IFS(AND($K105&gt;BI$7,$L105&gt;BI$7),0,AND($K105&lt;=BI$7,$L105&lt;=BI$7),1,AND($K105&lt;=BI$7,$L105&gt;BI$7),((BI$7-$K105)/($L105-$K105)))</f>
        <v>0</v>
      </c>
      <c r="BK105" s="201">
        <f t="array" ref="BK105">_xlfn.IFS(AND($K105&gt;BJ$7,$L105&gt;BJ$7),0,AND($K105&lt;=BJ$7,$L105&lt;=BJ$7),1,AND($K105&lt;=BJ$7,$L105&gt;BJ$7),((BJ$7-$K105)/($L105-$K105)))</f>
        <v>1</v>
      </c>
      <c r="BL105" s="201">
        <f t="array" ref="BL105">_xlfn.IFS(AND($K105&gt;BK$7,$L105&gt;BK$7),0,AND($K105&lt;=BK$7,$L105&lt;=BK$7),1,AND($K105&lt;=BK$7,$L105&gt;BK$7),((BK$7-$K105)/($L105-$K105)))</f>
        <v>1</v>
      </c>
      <c r="BM105" s="201">
        <f t="array" ref="BM105">_xlfn.IFS(AND($K105&gt;BL$7,$L105&gt;BL$7),0,AND($K105&lt;=BL$7,$L105&lt;=BL$7),1,AND($K105&lt;=BL$7,$L105&gt;BL$7),((BL$7-$K105)/($L105-$K105)))</f>
        <v>1</v>
      </c>
      <c r="BN105" s="201">
        <f t="array" ref="BN105">_xlfn.IFS(AND($K105&gt;BM$7,$L105&gt;BM$7),0,AND($K105&lt;=BM$7,$L105&lt;=BM$7),1,AND($K105&lt;=BM$7,$L105&gt;BM$7),((BM$7-$K105)/($L105-$K105)))</f>
        <v>1</v>
      </c>
    </row>
    <row r="106" spans="2:66" s="163" customFormat="1" x14ac:dyDescent="0.3">
      <c r="B106" s="166" t="s">
        <v>161</v>
      </c>
      <c r="C106" s="166" t="s">
        <v>259</v>
      </c>
      <c r="D106" s="177"/>
      <c r="E106" s="170" t="str">
        <f t="shared" si="42"/>
        <v>Desenvolvimento da Transformação dos Processos</v>
      </c>
      <c r="F106" s="174" t="str">
        <f t="shared" si="39"/>
        <v>Modelagem To Be</v>
      </c>
      <c r="G106" s="166" t="str">
        <f t="shared" si="43"/>
        <v>Modelagem To Be</v>
      </c>
      <c r="H106" s="197" t="s">
        <v>260</v>
      </c>
      <c r="I106" s="166">
        <v>45992</v>
      </c>
      <c r="J106" s="166">
        <v>45996</v>
      </c>
      <c r="K106" s="166">
        <v>45992</v>
      </c>
      <c r="L106" s="166">
        <v>45996</v>
      </c>
      <c r="M106" s="167"/>
      <c r="N106" s="167" t="str">
        <f t="array" ref="N106">_xlfn.IFS(L106&lt;$M$3,"Concluído",AND(K106&gt;=$M$3,I106&lt;$M$3,L106&gt;$M$3),"Em andamento",AND(L106&gt;=$M$3,J106&lt;$M$3),"Atrasado",AND(L106&gt;=$M$3,J106&gt;=$M$3,I106&gt;$M$3,K106&lt;=$M$3),"Em andamento",AND(L106&gt;=$M$3,J106&gt;=$M$3,I106&lt;=$M$3,K106&lt;=$M$3),"Em andamento",AND(K106&gt;$M$3,I106&gt;$M$3),"Não iniciado",AND(L106&gt;=$M$3,J106&gt;=$M$3,K106&gt;=$M$3,I106&lt;$M$3),"Atrasado",AND(L106&gt;=$M$3,J106&gt;=$M$3,K106&gt;=$M$3,I106&gt;$M$3),"Não iniciado",AND($I106&lt;=$M$3,$K106&gt;$M$3),"Atrasado")</f>
        <v>Não iniciado</v>
      </c>
      <c r="O106" s="167">
        <f t="array" ref="O106">_xlfn.IFS(N106="Não iniciado",0,N106="Em andamento",1,N106="Concluído",2,N106="Atrasado",3)</f>
        <v>0</v>
      </c>
      <c r="P106" s="169"/>
      <c r="Q106" s="152">
        <f t="array" ref="Q106">_xlfn.IFS(AND($I106&lt;$M$3,$J106&lt;$M$3),1,AND($I106&lt;$M$3,$J106&gt;=$M$3),0.5,AND($I106&gt;=$M$3,$J106&gt;=$M$3),0)</f>
        <v>0</v>
      </c>
      <c r="R106" s="152">
        <f t="array" ref="R106">_xlfn.IFS(AND($K106&lt;$M$3,$L106&lt;$M$3),1,AND($K106&lt;=$M$3,$L106&gt;=$M$3),0.5,AND($K106&gt;=$M$3,$L106&gt;=$M$3),0)</f>
        <v>0</v>
      </c>
      <c r="S106" s="201">
        <f t="array" ref="S106">_xlfn.IFS(AND($K106&gt;R$7,$L106&gt;R$7),0,AND($K106&lt;=R$7,$L106&lt;=R$7),1,AND($K106&lt;=R$7,$L106&gt;R$7),((R$7-$K106)/($L106-$K106)))</f>
        <v>0</v>
      </c>
      <c r="T106" s="201">
        <f t="array" ref="T106">_xlfn.IFS(AND($K106&gt;S$7,$L106&gt;S$7),0,AND($K106&lt;=S$7,$L106&lt;=S$7),1,AND($K106&lt;=S$7,$L106&gt;S$7),((S$7-$K106)/($L106-$K106)))</f>
        <v>0</v>
      </c>
      <c r="U106" s="201">
        <f t="array" ref="U106">_xlfn.IFS(AND($K106&gt;T$7,$L106&gt;T$7),0,AND($K106&lt;=T$7,$L106&lt;=T$7),1,AND($K106&lt;=T$7,$L106&gt;T$7),((T$7-$K106)/($L106-$K106)))</f>
        <v>0</v>
      </c>
      <c r="V106" s="201">
        <f t="array" ref="V106">_xlfn.IFS(AND($K106&gt;U$7,$L106&gt;U$7),0,AND($K106&lt;=U$7,$L106&lt;=U$7),1,AND($K106&lt;=U$7,$L106&gt;U$7),((U$7-$K106)/($L106-$K106)))</f>
        <v>0</v>
      </c>
      <c r="W106" s="201">
        <f t="array" ref="W106">_xlfn.IFS(AND($K106&gt;V$7,$L106&gt;V$7),0,AND($K106&lt;=V$7,$L106&lt;=V$7),1,AND($K106&lt;=V$7,$L106&gt;V$7),((V$7-$K106)/($L106-$K106)))</f>
        <v>0</v>
      </c>
      <c r="X106" s="201">
        <f t="array" ref="X106">_xlfn.IFS(AND($K106&gt;W$7,$L106&gt;W$7),0,AND($K106&lt;=W$7,$L106&lt;=W$7),1,AND($K106&lt;=W$7,$L106&gt;W$7),((W$7-$K106)/($L106-$K106)))</f>
        <v>0</v>
      </c>
      <c r="Y106" s="201">
        <f t="array" ref="Y106">_xlfn.IFS(AND($K106&gt;X$7,$L106&gt;X$7),0,AND($K106&lt;=X$7,$L106&lt;=X$7),1,AND($K106&lt;=X$7,$L106&gt;X$7),((X$7-$K106)/($L106-$K106)))</f>
        <v>0</v>
      </c>
      <c r="Z106" s="201">
        <f t="array" ref="Z106">_xlfn.IFS(AND($K106&gt;Y$7,$L106&gt;Y$7),0,AND($K106&lt;=Y$7,$L106&lt;=Y$7),1,AND($K106&lt;=Y$7,$L106&gt;Y$7),((Y$7-$K106)/($L106-$K106)))</f>
        <v>0</v>
      </c>
      <c r="AA106" s="201">
        <f t="array" ref="AA106">_xlfn.IFS(AND($K106&gt;Z$7,$L106&gt;Z$7),0,AND($K106&lt;=Z$7,$L106&lt;=Z$7),1,AND($K106&lt;=Z$7,$L106&gt;Z$7),((Z$7-$K106)/($L106-$K106)))</f>
        <v>0</v>
      </c>
      <c r="AB106" s="201">
        <f t="array" ref="AB106">_xlfn.IFS(AND($K106&gt;AA$7,$L106&gt;AA$7),0,AND($K106&lt;=AA$7,$L106&lt;=AA$7),1,AND($K106&lt;=AA$7,$L106&gt;AA$7),((AA$7-$K106)/($L106-$K106)))</f>
        <v>0</v>
      </c>
      <c r="AC106" s="201">
        <f t="array" ref="AC106">_xlfn.IFS(AND($K106&gt;AB$7,$L106&gt;AB$7),0,AND($K106&lt;=AB$7,$L106&lt;=AB$7),1,AND($K106&lt;=AB$7,$L106&gt;AB$7),((AB$7-$K106)/($L106-$K106)))</f>
        <v>0</v>
      </c>
      <c r="AD106" s="201">
        <f t="array" ref="AD106">_xlfn.IFS(AND($K106&gt;AC$7,$L106&gt;AC$7),0,AND($K106&lt;=AC$7,$L106&lt;=AC$7),1,AND($K106&lt;=AC$7,$L106&gt;AC$7),((AC$7-$K106)/($L106-$K106)))</f>
        <v>0</v>
      </c>
      <c r="AE106" s="201">
        <f t="array" ref="AE106">_xlfn.IFS(AND($K106&gt;AD$7,$L106&gt;AD$7),0,AND($K106&lt;=AD$7,$L106&lt;=AD$7),1,AND($K106&lt;=AD$7,$L106&gt;AD$7),((AD$7-$K106)/($L106-$K106)))</f>
        <v>0</v>
      </c>
      <c r="AF106" s="201">
        <f t="array" ref="AF106">_xlfn.IFS(AND($K106&gt;AE$7,$L106&gt;AE$7),0,AND($K106&lt;=AE$7,$L106&lt;=AE$7),1,AND($K106&lt;=AE$7,$L106&gt;AE$7),((AE$7-$K106)/($L106-$K106)))</f>
        <v>0</v>
      </c>
      <c r="AG106" s="201">
        <f t="array" ref="AG106">_xlfn.IFS(AND($K106&gt;AF$7,$L106&gt;AF$7),0,AND($K106&lt;=AF$7,$L106&lt;=AF$7),1,AND($K106&lt;=AF$7,$L106&gt;AF$7),((AF$7-$K106)/($L106-$K106)))</f>
        <v>0</v>
      </c>
      <c r="AH106" s="201">
        <f t="array" ref="AH106">_xlfn.IFS(AND($K106&gt;AG$7,$L106&gt;AG$7),0,AND($K106&lt;=AG$7,$L106&lt;=AG$7),1,AND($K106&lt;=AG$7,$L106&gt;AG$7),((AG$7-$K106)/($L106-$K106)))</f>
        <v>0</v>
      </c>
      <c r="AI106" s="201">
        <f t="array" ref="AI106">_xlfn.IFS(AND($K106&gt;AH$7,$L106&gt;AH$7),0,AND($K106&lt;=AH$7,$L106&lt;=AH$7),1,AND($K106&lt;=AH$7,$L106&gt;AH$7),((AH$7-$K106)/($L106-$K106)))</f>
        <v>0</v>
      </c>
      <c r="AJ106" s="201">
        <f t="array" ref="AJ106">_xlfn.IFS(AND($K106&gt;AI$7,$L106&gt;AI$7),0,AND($K106&lt;=AI$7,$L106&lt;=AI$7),1,AND($K106&lt;=AI$7,$L106&gt;AI$7),((AI$7-$K106)/($L106-$K106)))</f>
        <v>0</v>
      </c>
      <c r="AK106" s="201">
        <f t="array" ref="AK106">_xlfn.IFS(AND($K106&gt;AJ$7,$L106&gt;AJ$7),0,AND($K106&lt;=AJ$7,$L106&lt;=AJ$7),1,AND($K106&lt;=AJ$7,$L106&gt;AJ$7),((AJ$7-$K106)/($L106-$K106)))</f>
        <v>0</v>
      </c>
      <c r="AL106" s="201">
        <f t="array" ref="AL106">_xlfn.IFS(AND($K106&gt;AK$7,$L106&gt;AK$7),0,AND($K106&lt;=AK$7,$L106&lt;=AK$7),1,AND($K106&lt;=AK$7,$L106&gt;AK$7),((AK$7-$K106)/($L106-$K106)))</f>
        <v>0</v>
      </c>
      <c r="AM106" s="201">
        <f t="array" ref="AM106">_xlfn.IFS(AND($K106&gt;AL$7,$L106&gt;AL$7),0,AND($K106&lt;=AL$7,$L106&lt;=AL$7),1,AND($K106&lt;=AL$7,$L106&gt;AL$7),((AL$7-$K106)/($L106-$K106)))</f>
        <v>0</v>
      </c>
      <c r="AN106" s="201">
        <f t="array" ref="AN106">_xlfn.IFS(AND($K106&gt;AM$7,$L106&gt;AM$7),0,AND($K106&lt;=AM$7,$L106&lt;=AM$7),1,AND($K106&lt;=AM$7,$L106&gt;AM$7),((AM$7-$K106)/($L106-$K106)))</f>
        <v>0</v>
      </c>
      <c r="AO106" s="201">
        <f t="array" ref="AO106">_xlfn.IFS(AND($K106&gt;AN$7,$L106&gt;AN$7),0,AND($K106&lt;=AN$7,$L106&lt;=AN$7),1,AND($K106&lt;=AN$7,$L106&gt;AN$7),((AN$7-$K106)/($L106-$K106)))</f>
        <v>0</v>
      </c>
      <c r="AP106" s="201">
        <f t="array" ref="AP106">_xlfn.IFS(AND($K106&gt;AO$7,$L106&gt;AO$7),0,AND($K106&lt;=AO$7,$L106&lt;=AO$7),1,AND($K106&lt;=AO$7,$L106&gt;AO$7),((AO$7-$K106)/($L106-$K106)))</f>
        <v>0</v>
      </c>
      <c r="AQ106" s="201">
        <f t="array" ref="AQ106">_xlfn.IFS(AND($K106&gt;AP$7,$L106&gt;AP$7),0,AND($K106&lt;=AP$7,$L106&lt;=AP$7),1,AND($K106&lt;=AP$7,$L106&gt;AP$7),((AP$7-$K106)/($L106-$K106)))</f>
        <v>0</v>
      </c>
      <c r="AR106" s="201">
        <f t="array" ref="AR106">_xlfn.IFS(AND($K106&gt;AQ$7,$L106&gt;AQ$7),0,AND($K106&lt;=AQ$7,$L106&lt;=AQ$7),1,AND($K106&lt;=AQ$7,$L106&gt;AQ$7),((AQ$7-$K106)/($L106-$K106)))</f>
        <v>0</v>
      </c>
      <c r="AS106" s="201">
        <f t="array" ref="AS106">_xlfn.IFS(AND($K106&gt;AR$7,$L106&gt;AR$7),0,AND($K106&lt;=AR$7,$L106&lt;=AR$7),1,AND($K106&lt;=AR$7,$L106&gt;AR$7),((AR$7-$K106)/($L106-$K106)))</f>
        <v>0</v>
      </c>
      <c r="AT106" s="201">
        <f t="array" ref="AT106">_xlfn.IFS(AND($K106&gt;AS$7,$L106&gt;AS$7),0,AND($K106&lt;=AS$7,$L106&lt;=AS$7),1,AND($K106&lt;=AS$7,$L106&gt;AS$7),((AS$7-$K106)/($L106-$K106)))</f>
        <v>0</v>
      </c>
      <c r="AU106" s="201">
        <f t="array" ref="AU106">_xlfn.IFS(AND($K106&gt;AT$7,$L106&gt;AT$7),0,AND($K106&lt;=AT$7,$L106&lt;=AT$7),1,AND($K106&lt;=AT$7,$L106&gt;AT$7),((AT$7-$K106)/($L106-$K106)))</f>
        <v>0</v>
      </c>
      <c r="AV106" s="201">
        <f t="array" ref="AV106">_xlfn.IFS(AND($K106&gt;AU$7,$L106&gt;AU$7),0,AND($K106&lt;=AU$7,$L106&lt;=AU$7),1,AND($K106&lt;=AU$7,$L106&gt;AU$7),((AU$7-$K106)/($L106-$K106)))</f>
        <v>0</v>
      </c>
      <c r="AW106" s="201">
        <f t="array" ref="AW106">_xlfn.IFS(AND($K106&gt;AV$7,$L106&gt;AV$7),0,AND($K106&lt;=AV$7,$L106&lt;=AV$7),1,AND($K106&lt;=AV$7,$L106&gt;AV$7),((AV$7-$K106)/($L106-$K106)))</f>
        <v>0</v>
      </c>
      <c r="AX106" s="201">
        <f t="array" ref="AX106">_xlfn.IFS(AND($K106&gt;AW$7,$L106&gt;AW$7),0,AND($K106&lt;=AW$7,$L106&lt;=AW$7),1,AND($K106&lt;=AW$7,$L106&gt;AW$7),((AW$7-$K106)/($L106-$K106)))</f>
        <v>0</v>
      </c>
      <c r="AY106" s="201">
        <f t="array" ref="AY106">_xlfn.IFS(AND($K106&gt;AX$7,$L106&gt;AX$7),0,AND($K106&lt;=AX$7,$L106&lt;=AX$7),1,AND($K106&lt;=AX$7,$L106&gt;AX$7),((AX$7-$K106)/($L106-$K106)))</f>
        <v>0</v>
      </c>
      <c r="AZ106" s="201">
        <f t="array" ref="AZ106">_xlfn.IFS(AND($K106&gt;AY$7,$L106&gt;AY$7),0,AND($K106&lt;=AY$7,$L106&lt;=AY$7),1,AND($K106&lt;=AY$7,$L106&gt;AY$7),((AY$7-$K106)/($L106-$K106)))</f>
        <v>0</v>
      </c>
      <c r="BA106" s="201">
        <f t="array" ref="BA106">_xlfn.IFS(AND($K106&gt;AZ$7,$L106&gt;AZ$7),0,AND($K106&lt;=AZ$7,$L106&lt;=AZ$7),1,AND($K106&lt;=AZ$7,$L106&gt;AZ$7),((AZ$7-$K106)/($L106-$K106)))</f>
        <v>0</v>
      </c>
      <c r="BB106" s="201">
        <f t="array" ref="BB106">_xlfn.IFS(AND($K106&gt;BA$7,$L106&gt;BA$7),0,AND($K106&lt;=BA$7,$L106&lt;=BA$7),1,AND($K106&lt;=BA$7,$L106&gt;BA$7),((BA$7-$K106)/($L106-$K106)))</f>
        <v>0</v>
      </c>
      <c r="BC106" s="201">
        <f t="array" ref="BC106">_xlfn.IFS(AND($K106&gt;BB$7,$L106&gt;BB$7),0,AND($K106&lt;=BB$7,$L106&lt;=BB$7),1,AND($K106&lt;=BB$7,$L106&gt;BB$7),((BB$7-$K106)/($L106-$K106)))</f>
        <v>0</v>
      </c>
      <c r="BD106" s="201">
        <f t="array" ref="BD106">_xlfn.IFS(AND($K106&gt;BC$7,$L106&gt;BC$7),0,AND($K106&lt;=BC$7,$L106&lt;=BC$7),1,AND($K106&lt;=BC$7,$L106&gt;BC$7),((BC$7-$K106)/($L106-$K106)))</f>
        <v>0</v>
      </c>
      <c r="BE106" s="201">
        <f t="array" ref="BE106">_xlfn.IFS(AND($K106&gt;BD$7,$L106&gt;BD$7),0,AND($K106&lt;=BD$7,$L106&lt;=BD$7),1,AND($K106&lt;=BD$7,$L106&gt;BD$7),((BD$7-$K106)/($L106-$K106)))</f>
        <v>0</v>
      </c>
      <c r="BF106" s="201">
        <f t="array" ref="BF106">_xlfn.IFS(AND($K106&gt;BE$7,$L106&gt;BE$7),0,AND($K106&lt;=BE$7,$L106&lt;=BE$7),1,AND($K106&lt;=BE$7,$L106&gt;BE$7),((BE$7-$K106)/($L106-$K106)))</f>
        <v>0</v>
      </c>
      <c r="BG106" s="201">
        <f t="array" ref="BG106">_xlfn.IFS(AND($K106&gt;BF$7,$L106&gt;BF$7),0,AND($K106&lt;=BF$7,$L106&lt;=BF$7),1,AND($K106&lt;=BF$7,$L106&gt;BF$7),((BF$7-$K106)/($L106-$K106)))</f>
        <v>0</v>
      </c>
      <c r="BH106" s="201">
        <f t="array" ref="BH106">_xlfn.IFS(AND($K106&gt;BG$7,$L106&gt;BG$7),0,AND($K106&lt;=BG$7,$L106&lt;=BG$7),1,AND($K106&lt;=BG$7,$L106&gt;BG$7),((BG$7-$K106)/($L106-$K106)))</f>
        <v>0</v>
      </c>
      <c r="BI106" s="201">
        <f t="array" ref="BI106">_xlfn.IFS(AND($K106&gt;BH$7,$L106&gt;BH$7),0,AND($K106&lt;=BH$7,$L106&lt;=BH$7),1,AND($K106&lt;=BH$7,$L106&gt;BH$7),((BH$7-$K106)/($L106-$K106)))</f>
        <v>0</v>
      </c>
      <c r="BJ106" s="201">
        <f t="array" ref="BJ106">_xlfn.IFS(AND($K106&gt;BI$7,$L106&gt;BI$7),0,AND($K106&lt;=BI$7,$L106&lt;=BI$7),1,AND($K106&lt;=BI$7,$L106&gt;BI$7),((BI$7-$K106)/($L106-$K106)))</f>
        <v>0</v>
      </c>
      <c r="BK106" s="201">
        <f t="array" ref="BK106">_xlfn.IFS(AND($K106&gt;BJ$7,$L106&gt;BJ$7),0,AND($K106&lt;=BJ$7,$L106&lt;=BJ$7),1,AND($K106&lt;=BJ$7,$L106&gt;BJ$7),((BJ$7-$K106)/($L106-$K106)))</f>
        <v>1</v>
      </c>
      <c r="BL106" s="201">
        <f t="array" ref="BL106">_xlfn.IFS(AND($K106&gt;BK$7,$L106&gt;BK$7),0,AND($K106&lt;=BK$7,$L106&lt;=BK$7),1,AND($K106&lt;=BK$7,$L106&gt;BK$7),((BK$7-$K106)/($L106-$K106)))</f>
        <v>1</v>
      </c>
      <c r="BM106" s="201">
        <f t="array" ref="BM106">_xlfn.IFS(AND($K106&gt;BL$7,$L106&gt;BL$7),0,AND($K106&lt;=BL$7,$L106&lt;=BL$7),1,AND($K106&lt;=BL$7,$L106&gt;BL$7),((BL$7-$K106)/($L106-$K106)))</f>
        <v>1</v>
      </c>
      <c r="BN106" s="201">
        <f t="array" ref="BN106">_xlfn.IFS(AND($K106&gt;BM$7,$L106&gt;BM$7),0,AND($K106&lt;=BM$7,$L106&lt;=BM$7),1,AND($K106&lt;=BM$7,$L106&gt;BM$7),((BM$7-$K106)/($L106-$K106)))</f>
        <v>1</v>
      </c>
    </row>
    <row r="107" spans="2:66" s="163" customFormat="1" ht="27.6" customHeight="1" x14ac:dyDescent="0.3">
      <c r="B107" s="166" t="s">
        <v>161</v>
      </c>
      <c r="C107" s="166" t="s">
        <v>261</v>
      </c>
      <c r="D107" s="177"/>
      <c r="E107" s="170" t="str">
        <f t="shared" si="42"/>
        <v>Desenvolvimento da Transformação dos Processos</v>
      </c>
      <c r="F107" s="174" t="str">
        <f t="shared" si="39"/>
        <v>Modelagem To Be</v>
      </c>
      <c r="G107" s="166" t="str">
        <f t="shared" si="43"/>
        <v>Modelagem To Be</v>
      </c>
      <c r="H107" s="197" t="s">
        <v>262</v>
      </c>
      <c r="I107" s="166">
        <v>45992</v>
      </c>
      <c r="J107" s="166">
        <v>45996</v>
      </c>
      <c r="K107" s="166">
        <v>45992</v>
      </c>
      <c r="L107" s="166">
        <v>45996</v>
      </c>
      <c r="M107" s="167"/>
      <c r="N107" s="167" t="str">
        <f t="array" ref="N107">_xlfn.IFS(L107&lt;$M$3,"Concluído",AND(K107&gt;=$M$3,I107&lt;$M$3,L107&gt;$M$3),"Em andamento",AND(L107&gt;=$M$3,J107&lt;$M$3),"Atrasado",AND(L107&gt;=$M$3,J107&gt;=$M$3,I107&gt;$M$3,K107&lt;=$M$3),"Em andamento",AND(L107&gt;=$M$3,J107&gt;=$M$3,I107&lt;=$M$3,K107&lt;=$M$3),"Em andamento",AND(K107&gt;$M$3,I107&gt;$M$3),"Não iniciado",AND(L107&gt;=$M$3,J107&gt;=$M$3,K107&gt;=$M$3,I107&lt;$M$3),"Atrasado",AND(L107&gt;=$M$3,J107&gt;=$M$3,K107&gt;=$M$3,I107&gt;$M$3),"Não iniciado",AND($I107&lt;=$M$3,$K107&gt;$M$3),"Atrasado")</f>
        <v>Não iniciado</v>
      </c>
      <c r="O107" s="167">
        <f t="array" ref="O107">_xlfn.IFS(N107="Não iniciado",0,N107="Em andamento",1,N107="Concluído",2,N107="Atrasado",3)</f>
        <v>0</v>
      </c>
      <c r="P107" s="169"/>
      <c r="Q107" s="152">
        <f t="array" ref="Q107">_xlfn.IFS(AND($I107&lt;$M$3,$J107&lt;$M$3),1,AND($I107&lt;$M$3,$J107&gt;=$M$3),0.5,AND($I107&gt;=$M$3,$J107&gt;=$M$3),0)</f>
        <v>0</v>
      </c>
      <c r="R107" s="152">
        <f t="array" ref="R107">_xlfn.IFS(AND($K107&lt;$M$3,$L107&lt;$M$3),1,AND($K107&lt;=$M$3,$L107&gt;=$M$3),0.5,AND($K107&gt;=$M$3,$L107&gt;=$M$3),0)</f>
        <v>0</v>
      </c>
      <c r="S107" s="201">
        <f t="array" ref="S107">_xlfn.IFS(AND($K107&gt;R$7,$L107&gt;R$7),0,AND($K107&lt;=R$7,$L107&lt;=R$7),1,AND($K107&lt;=R$7,$L107&gt;R$7),((R$7-$K107)/($L107-$K107)))</f>
        <v>0</v>
      </c>
      <c r="T107" s="201">
        <f t="array" ref="T107">_xlfn.IFS(AND($K107&gt;S$7,$L107&gt;S$7),0,AND($K107&lt;=S$7,$L107&lt;=S$7),1,AND($K107&lt;=S$7,$L107&gt;S$7),((S$7-$K107)/($L107-$K107)))</f>
        <v>0</v>
      </c>
      <c r="U107" s="201">
        <f t="array" ref="U107">_xlfn.IFS(AND($K107&gt;T$7,$L107&gt;T$7),0,AND($K107&lt;=T$7,$L107&lt;=T$7),1,AND($K107&lt;=T$7,$L107&gt;T$7),((T$7-$K107)/($L107-$K107)))</f>
        <v>0</v>
      </c>
      <c r="V107" s="201">
        <f t="array" ref="V107">_xlfn.IFS(AND($K107&gt;U$7,$L107&gt;U$7),0,AND($K107&lt;=U$7,$L107&lt;=U$7),1,AND($K107&lt;=U$7,$L107&gt;U$7),((U$7-$K107)/($L107-$K107)))</f>
        <v>0</v>
      </c>
      <c r="W107" s="201">
        <f t="array" ref="W107">_xlfn.IFS(AND($K107&gt;V$7,$L107&gt;V$7),0,AND($K107&lt;=V$7,$L107&lt;=V$7),1,AND($K107&lt;=V$7,$L107&gt;V$7),((V$7-$K107)/($L107-$K107)))</f>
        <v>0</v>
      </c>
      <c r="X107" s="201">
        <f t="array" ref="X107">_xlfn.IFS(AND($K107&gt;W$7,$L107&gt;W$7),0,AND($K107&lt;=W$7,$L107&lt;=W$7),1,AND($K107&lt;=W$7,$L107&gt;W$7),((W$7-$K107)/($L107-$K107)))</f>
        <v>0</v>
      </c>
      <c r="Y107" s="201">
        <f t="array" ref="Y107">_xlfn.IFS(AND($K107&gt;X$7,$L107&gt;X$7),0,AND($K107&lt;=X$7,$L107&lt;=X$7),1,AND($K107&lt;=X$7,$L107&gt;X$7),((X$7-$K107)/($L107-$K107)))</f>
        <v>0</v>
      </c>
      <c r="Z107" s="201">
        <f t="array" ref="Z107">_xlfn.IFS(AND($K107&gt;Y$7,$L107&gt;Y$7),0,AND($K107&lt;=Y$7,$L107&lt;=Y$7),1,AND($K107&lt;=Y$7,$L107&gt;Y$7),((Y$7-$K107)/($L107-$K107)))</f>
        <v>0</v>
      </c>
      <c r="AA107" s="201">
        <f t="array" ref="AA107">_xlfn.IFS(AND($K107&gt;Z$7,$L107&gt;Z$7),0,AND($K107&lt;=Z$7,$L107&lt;=Z$7),1,AND($K107&lt;=Z$7,$L107&gt;Z$7),((Z$7-$K107)/($L107-$K107)))</f>
        <v>0</v>
      </c>
      <c r="AB107" s="201">
        <f t="array" ref="AB107">_xlfn.IFS(AND($K107&gt;AA$7,$L107&gt;AA$7),0,AND($K107&lt;=AA$7,$L107&lt;=AA$7),1,AND($K107&lt;=AA$7,$L107&gt;AA$7),((AA$7-$K107)/($L107-$K107)))</f>
        <v>0</v>
      </c>
      <c r="AC107" s="201">
        <f t="array" ref="AC107">_xlfn.IFS(AND($K107&gt;AB$7,$L107&gt;AB$7),0,AND($K107&lt;=AB$7,$L107&lt;=AB$7),1,AND($K107&lt;=AB$7,$L107&gt;AB$7),((AB$7-$K107)/($L107-$K107)))</f>
        <v>0</v>
      </c>
      <c r="AD107" s="201">
        <f t="array" ref="AD107">_xlfn.IFS(AND($K107&gt;AC$7,$L107&gt;AC$7),0,AND($K107&lt;=AC$7,$L107&lt;=AC$7),1,AND($K107&lt;=AC$7,$L107&gt;AC$7),((AC$7-$K107)/($L107-$K107)))</f>
        <v>0</v>
      </c>
      <c r="AE107" s="201">
        <f t="array" ref="AE107">_xlfn.IFS(AND($K107&gt;AD$7,$L107&gt;AD$7),0,AND($K107&lt;=AD$7,$L107&lt;=AD$7),1,AND($K107&lt;=AD$7,$L107&gt;AD$7),((AD$7-$K107)/($L107-$K107)))</f>
        <v>0</v>
      </c>
      <c r="AF107" s="201">
        <f t="array" ref="AF107">_xlfn.IFS(AND($K107&gt;AE$7,$L107&gt;AE$7),0,AND($K107&lt;=AE$7,$L107&lt;=AE$7),1,AND($K107&lt;=AE$7,$L107&gt;AE$7),((AE$7-$K107)/($L107-$K107)))</f>
        <v>0</v>
      </c>
      <c r="AG107" s="201">
        <f t="array" ref="AG107">_xlfn.IFS(AND($K107&gt;AF$7,$L107&gt;AF$7),0,AND($K107&lt;=AF$7,$L107&lt;=AF$7),1,AND($K107&lt;=AF$7,$L107&gt;AF$7),((AF$7-$K107)/($L107-$K107)))</f>
        <v>0</v>
      </c>
      <c r="AH107" s="201">
        <f t="array" ref="AH107">_xlfn.IFS(AND($K107&gt;AG$7,$L107&gt;AG$7),0,AND($K107&lt;=AG$7,$L107&lt;=AG$7),1,AND($K107&lt;=AG$7,$L107&gt;AG$7),((AG$7-$K107)/($L107-$K107)))</f>
        <v>0</v>
      </c>
      <c r="AI107" s="201">
        <f t="array" ref="AI107">_xlfn.IFS(AND($K107&gt;AH$7,$L107&gt;AH$7),0,AND($K107&lt;=AH$7,$L107&lt;=AH$7),1,AND($K107&lt;=AH$7,$L107&gt;AH$7),((AH$7-$K107)/($L107-$K107)))</f>
        <v>0</v>
      </c>
      <c r="AJ107" s="201">
        <f t="array" ref="AJ107">_xlfn.IFS(AND($K107&gt;AI$7,$L107&gt;AI$7),0,AND($K107&lt;=AI$7,$L107&lt;=AI$7),1,AND($K107&lt;=AI$7,$L107&gt;AI$7),((AI$7-$K107)/($L107-$K107)))</f>
        <v>0</v>
      </c>
      <c r="AK107" s="201">
        <f t="array" ref="AK107">_xlfn.IFS(AND($K107&gt;AJ$7,$L107&gt;AJ$7),0,AND($K107&lt;=AJ$7,$L107&lt;=AJ$7),1,AND($K107&lt;=AJ$7,$L107&gt;AJ$7),((AJ$7-$K107)/($L107-$K107)))</f>
        <v>0</v>
      </c>
      <c r="AL107" s="201">
        <f t="array" ref="AL107">_xlfn.IFS(AND($K107&gt;AK$7,$L107&gt;AK$7),0,AND($K107&lt;=AK$7,$L107&lt;=AK$7),1,AND($K107&lt;=AK$7,$L107&gt;AK$7),((AK$7-$K107)/($L107-$K107)))</f>
        <v>0</v>
      </c>
      <c r="AM107" s="201">
        <f t="array" ref="AM107">_xlfn.IFS(AND($K107&gt;AL$7,$L107&gt;AL$7),0,AND($K107&lt;=AL$7,$L107&lt;=AL$7),1,AND($K107&lt;=AL$7,$L107&gt;AL$7),((AL$7-$K107)/($L107-$K107)))</f>
        <v>0</v>
      </c>
      <c r="AN107" s="201">
        <f t="array" ref="AN107">_xlfn.IFS(AND($K107&gt;AM$7,$L107&gt;AM$7),0,AND($K107&lt;=AM$7,$L107&lt;=AM$7),1,AND($K107&lt;=AM$7,$L107&gt;AM$7),((AM$7-$K107)/($L107-$K107)))</f>
        <v>0</v>
      </c>
      <c r="AO107" s="201">
        <f t="array" ref="AO107">_xlfn.IFS(AND($K107&gt;AN$7,$L107&gt;AN$7),0,AND($K107&lt;=AN$7,$L107&lt;=AN$7),1,AND($K107&lt;=AN$7,$L107&gt;AN$7),((AN$7-$K107)/($L107-$K107)))</f>
        <v>0</v>
      </c>
      <c r="AP107" s="201">
        <f t="array" ref="AP107">_xlfn.IFS(AND($K107&gt;AO$7,$L107&gt;AO$7),0,AND($K107&lt;=AO$7,$L107&lt;=AO$7),1,AND($K107&lt;=AO$7,$L107&gt;AO$7),((AO$7-$K107)/($L107-$K107)))</f>
        <v>0</v>
      </c>
      <c r="AQ107" s="201">
        <f t="array" ref="AQ107">_xlfn.IFS(AND($K107&gt;AP$7,$L107&gt;AP$7),0,AND($K107&lt;=AP$7,$L107&lt;=AP$7),1,AND($K107&lt;=AP$7,$L107&gt;AP$7),((AP$7-$K107)/($L107-$K107)))</f>
        <v>0</v>
      </c>
      <c r="AR107" s="201">
        <f t="array" ref="AR107">_xlfn.IFS(AND($K107&gt;AQ$7,$L107&gt;AQ$7),0,AND($K107&lt;=AQ$7,$L107&lt;=AQ$7),1,AND($K107&lt;=AQ$7,$L107&gt;AQ$7),((AQ$7-$K107)/($L107-$K107)))</f>
        <v>0</v>
      </c>
      <c r="AS107" s="201">
        <f t="array" ref="AS107">_xlfn.IFS(AND($K107&gt;AR$7,$L107&gt;AR$7),0,AND($K107&lt;=AR$7,$L107&lt;=AR$7),1,AND($K107&lt;=AR$7,$L107&gt;AR$7),((AR$7-$K107)/($L107-$K107)))</f>
        <v>0</v>
      </c>
      <c r="AT107" s="201">
        <f t="array" ref="AT107">_xlfn.IFS(AND($K107&gt;AS$7,$L107&gt;AS$7),0,AND($K107&lt;=AS$7,$L107&lt;=AS$7),1,AND($K107&lt;=AS$7,$L107&gt;AS$7),((AS$7-$K107)/($L107-$K107)))</f>
        <v>0</v>
      </c>
      <c r="AU107" s="201">
        <f t="array" ref="AU107">_xlfn.IFS(AND($K107&gt;AT$7,$L107&gt;AT$7),0,AND($K107&lt;=AT$7,$L107&lt;=AT$7),1,AND($K107&lt;=AT$7,$L107&gt;AT$7),((AT$7-$K107)/($L107-$K107)))</f>
        <v>0</v>
      </c>
      <c r="AV107" s="201">
        <f t="array" ref="AV107">_xlfn.IFS(AND($K107&gt;AU$7,$L107&gt;AU$7),0,AND($K107&lt;=AU$7,$L107&lt;=AU$7),1,AND($K107&lt;=AU$7,$L107&gt;AU$7),((AU$7-$K107)/($L107-$K107)))</f>
        <v>0</v>
      </c>
      <c r="AW107" s="201">
        <f t="array" ref="AW107">_xlfn.IFS(AND($K107&gt;AV$7,$L107&gt;AV$7),0,AND($K107&lt;=AV$7,$L107&lt;=AV$7),1,AND($K107&lt;=AV$7,$L107&gt;AV$7),((AV$7-$K107)/($L107-$K107)))</f>
        <v>0</v>
      </c>
      <c r="AX107" s="201">
        <f t="array" ref="AX107">_xlfn.IFS(AND($K107&gt;AW$7,$L107&gt;AW$7),0,AND($K107&lt;=AW$7,$L107&lt;=AW$7),1,AND($K107&lt;=AW$7,$L107&gt;AW$7),((AW$7-$K107)/($L107-$K107)))</f>
        <v>0</v>
      </c>
      <c r="AY107" s="201">
        <f t="array" ref="AY107">_xlfn.IFS(AND($K107&gt;AX$7,$L107&gt;AX$7),0,AND($K107&lt;=AX$7,$L107&lt;=AX$7),1,AND($K107&lt;=AX$7,$L107&gt;AX$7),((AX$7-$K107)/($L107-$K107)))</f>
        <v>0</v>
      </c>
      <c r="AZ107" s="201">
        <f t="array" ref="AZ107">_xlfn.IFS(AND($K107&gt;AY$7,$L107&gt;AY$7),0,AND($K107&lt;=AY$7,$L107&lt;=AY$7),1,AND($K107&lt;=AY$7,$L107&gt;AY$7),((AY$7-$K107)/($L107-$K107)))</f>
        <v>0</v>
      </c>
      <c r="BA107" s="201">
        <f t="array" ref="BA107">_xlfn.IFS(AND($K107&gt;AZ$7,$L107&gt;AZ$7),0,AND($K107&lt;=AZ$7,$L107&lt;=AZ$7),1,AND($K107&lt;=AZ$7,$L107&gt;AZ$7),((AZ$7-$K107)/($L107-$K107)))</f>
        <v>0</v>
      </c>
      <c r="BB107" s="201">
        <f t="array" ref="BB107">_xlfn.IFS(AND($K107&gt;BA$7,$L107&gt;BA$7),0,AND($K107&lt;=BA$7,$L107&lt;=BA$7),1,AND($K107&lt;=BA$7,$L107&gt;BA$7),((BA$7-$K107)/($L107-$K107)))</f>
        <v>0</v>
      </c>
      <c r="BC107" s="201">
        <f t="array" ref="BC107">_xlfn.IFS(AND($K107&gt;BB$7,$L107&gt;BB$7),0,AND($K107&lt;=BB$7,$L107&lt;=BB$7),1,AND($K107&lt;=BB$7,$L107&gt;BB$7),((BB$7-$K107)/($L107-$K107)))</f>
        <v>0</v>
      </c>
      <c r="BD107" s="201">
        <f t="array" ref="BD107">_xlfn.IFS(AND($K107&gt;BC$7,$L107&gt;BC$7),0,AND($K107&lt;=BC$7,$L107&lt;=BC$7),1,AND($K107&lt;=BC$7,$L107&gt;BC$7),((BC$7-$K107)/($L107-$K107)))</f>
        <v>0</v>
      </c>
      <c r="BE107" s="201">
        <f t="array" ref="BE107">_xlfn.IFS(AND($K107&gt;BD$7,$L107&gt;BD$7),0,AND($K107&lt;=BD$7,$L107&lt;=BD$7),1,AND($K107&lt;=BD$7,$L107&gt;BD$7),((BD$7-$K107)/($L107-$K107)))</f>
        <v>0</v>
      </c>
      <c r="BF107" s="201">
        <f t="array" ref="BF107">_xlfn.IFS(AND($K107&gt;BE$7,$L107&gt;BE$7),0,AND($K107&lt;=BE$7,$L107&lt;=BE$7),1,AND($K107&lt;=BE$7,$L107&gt;BE$7),((BE$7-$K107)/($L107-$K107)))</f>
        <v>0</v>
      </c>
      <c r="BG107" s="201">
        <f t="array" ref="BG107">_xlfn.IFS(AND($K107&gt;BF$7,$L107&gt;BF$7),0,AND($K107&lt;=BF$7,$L107&lt;=BF$7),1,AND($K107&lt;=BF$7,$L107&gt;BF$7),((BF$7-$K107)/($L107-$K107)))</f>
        <v>0</v>
      </c>
      <c r="BH107" s="201">
        <f t="array" ref="BH107">_xlfn.IFS(AND($K107&gt;BG$7,$L107&gt;BG$7),0,AND($K107&lt;=BG$7,$L107&lt;=BG$7),1,AND($K107&lt;=BG$7,$L107&gt;BG$7),((BG$7-$K107)/($L107-$K107)))</f>
        <v>0</v>
      </c>
      <c r="BI107" s="201">
        <f t="array" ref="BI107">_xlfn.IFS(AND($K107&gt;BH$7,$L107&gt;BH$7),0,AND($K107&lt;=BH$7,$L107&lt;=BH$7),1,AND($K107&lt;=BH$7,$L107&gt;BH$7),((BH$7-$K107)/($L107-$K107)))</f>
        <v>0</v>
      </c>
      <c r="BJ107" s="201">
        <f t="array" ref="BJ107">_xlfn.IFS(AND($K107&gt;BI$7,$L107&gt;BI$7),0,AND($K107&lt;=BI$7,$L107&lt;=BI$7),1,AND($K107&lt;=BI$7,$L107&gt;BI$7),((BI$7-$K107)/($L107-$K107)))</f>
        <v>0</v>
      </c>
      <c r="BK107" s="201">
        <f t="array" ref="BK107">_xlfn.IFS(AND($K107&gt;BJ$7,$L107&gt;BJ$7),0,AND($K107&lt;=BJ$7,$L107&lt;=BJ$7),1,AND($K107&lt;=BJ$7,$L107&gt;BJ$7),((BJ$7-$K107)/($L107-$K107)))</f>
        <v>1</v>
      </c>
      <c r="BL107" s="201">
        <f t="array" ref="BL107">_xlfn.IFS(AND($K107&gt;BK$7,$L107&gt;BK$7),0,AND($K107&lt;=BK$7,$L107&lt;=BK$7),1,AND($K107&lt;=BK$7,$L107&gt;BK$7),((BK$7-$K107)/($L107-$K107)))</f>
        <v>1</v>
      </c>
      <c r="BM107" s="201">
        <f t="array" ref="BM107">_xlfn.IFS(AND($K107&gt;BL$7,$L107&gt;BL$7),0,AND($K107&lt;=BL$7,$L107&lt;=BL$7),1,AND($K107&lt;=BL$7,$L107&gt;BL$7),((BL$7-$K107)/($L107-$K107)))</f>
        <v>1</v>
      </c>
      <c r="BN107" s="201">
        <f t="array" ref="BN107">_xlfn.IFS(AND($K107&gt;BM$7,$L107&gt;BM$7),0,AND($K107&lt;=BM$7,$L107&lt;=BM$7),1,AND($K107&lt;=BM$7,$L107&gt;BM$7),((BM$7-$K107)/($L107-$K107)))</f>
        <v>1</v>
      </c>
    </row>
    <row r="108" spans="2:66" x14ac:dyDescent="0.3">
      <c r="B108" s="170" t="str">
        <f t="array" ref="B108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3</v>
      </c>
      <c r="C108" s="170" t="s">
        <v>263</v>
      </c>
      <c r="D108" s="177" t="str">
        <f>$H$11</f>
        <v>Arquitetura de projetos GERDAU</v>
      </c>
      <c r="E108" s="170" t="str">
        <f t="shared" si="42"/>
        <v>Desenvolvimento da Transformação dos Processos</v>
      </c>
      <c r="F108" s="170" t="s">
        <v>74</v>
      </c>
      <c r="G108" s="170" t="s">
        <v>74</v>
      </c>
      <c r="H108" s="194" t="s">
        <v>264</v>
      </c>
      <c r="I108" s="170">
        <f>I109</f>
        <v>45747</v>
      </c>
      <c r="J108" s="170">
        <f>J109</f>
        <v>46010</v>
      </c>
      <c r="K108" s="170">
        <f>K109</f>
        <v>45747</v>
      </c>
      <c r="L108" s="170">
        <f>L109</f>
        <v>46010</v>
      </c>
      <c r="M108" s="171"/>
      <c r="N108" s="171" t="str">
        <f t="array" ref="N108">_xlfn.IFS(L108&lt;$M$3,"Concluído",AND(K108&gt;=$M$3,I108&lt;$M$3,L108&gt;$M$3),"Em andamento",AND(L108&gt;=$M$3,J108&lt;$M$3),"Atrasado",AND(L108&gt;=$M$3,J108&gt;=$M$3,I108&gt;$M$3,K108&lt;=$M$3),"Em andamento",AND(L108&gt;=$M$3,J108&gt;=$M$3,I108&lt;=$M$3,K108&lt;=$M$3),"Em andamento",AND(K108&gt;$M$3,I108&gt;$M$3),"Não iniciado",AND(L108&gt;=$M$3,J108&gt;=$M$3,K108&gt;=$M$3,I108&lt;$M$3),"Atrasado",AND(L108&gt;=$M$3,J108&gt;=$M$3,K108&gt;=$M$3,I108&gt;$M$3),"Não iniciado",AND($I108&lt;=$M$3,$K108&gt;$M$3),"Atrasado")</f>
        <v>Em andamento</v>
      </c>
      <c r="O108" s="171">
        <f t="array" ref="O108">_xlfn.IFS(N108="Não iniciado",0,N108="Em andamento",1,N108="Concluído",2,N108="Atrasado",3)</f>
        <v>1</v>
      </c>
      <c r="P108" s="172"/>
      <c r="Q108" s="173">
        <f t="shared" ref="Q108:AV108" si="44">Q109</f>
        <v>0.5</v>
      </c>
      <c r="R108" s="173">
        <f t="shared" si="44"/>
        <v>0.5</v>
      </c>
      <c r="S108" s="173">
        <f t="shared" si="44"/>
        <v>0</v>
      </c>
      <c r="T108" s="173">
        <f t="shared" si="44"/>
        <v>0</v>
      </c>
      <c r="U108" s="173">
        <f t="shared" si="44"/>
        <v>0</v>
      </c>
      <c r="V108" s="173">
        <f t="shared" si="44"/>
        <v>0</v>
      </c>
      <c r="W108" s="173">
        <f t="shared" si="44"/>
        <v>0</v>
      </c>
      <c r="X108" s="173">
        <f t="shared" si="44"/>
        <v>0</v>
      </c>
      <c r="Y108" s="173">
        <f t="shared" si="44"/>
        <v>0</v>
      </c>
      <c r="Z108" s="173">
        <f t="shared" si="44"/>
        <v>0</v>
      </c>
      <c r="AA108" s="173">
        <f t="shared" si="44"/>
        <v>0</v>
      </c>
      <c r="AB108" s="173">
        <f t="shared" si="44"/>
        <v>4.5454545454545449E-2</v>
      </c>
      <c r="AC108" s="173">
        <f t="shared" si="44"/>
        <v>0.1</v>
      </c>
      <c r="AD108" s="173">
        <f t="shared" si="44"/>
        <v>0.1</v>
      </c>
      <c r="AE108" s="173">
        <f t="shared" si="44"/>
        <v>0.1</v>
      </c>
      <c r="AF108" s="173">
        <f t="shared" si="44"/>
        <v>0.1</v>
      </c>
      <c r="AG108" s="173">
        <f t="shared" si="44"/>
        <v>0.18518518518518517</v>
      </c>
      <c r="AH108" s="173">
        <f t="shared" si="44"/>
        <v>0.21414141414141416</v>
      </c>
      <c r="AI108" s="173">
        <f t="shared" si="44"/>
        <v>0.24696969696969698</v>
      </c>
      <c r="AJ108" s="173">
        <f t="shared" si="44"/>
        <v>0.25757575757575757</v>
      </c>
      <c r="AK108" s="173">
        <f t="shared" si="44"/>
        <v>0.28095238095238095</v>
      </c>
      <c r="AL108" s="173">
        <f t="shared" si="44"/>
        <v>0.29761904761904762</v>
      </c>
      <c r="AM108" s="173">
        <f t="shared" si="44"/>
        <v>0.32777777777777783</v>
      </c>
      <c r="AN108" s="173">
        <f t="shared" si="44"/>
        <v>0.36666666666666659</v>
      </c>
      <c r="AO108" s="173">
        <f t="shared" si="44"/>
        <v>0.4</v>
      </c>
      <c r="AP108" s="173">
        <f t="shared" si="44"/>
        <v>0.4</v>
      </c>
      <c r="AQ108" s="173">
        <f t="shared" si="44"/>
        <v>0.42941176470588244</v>
      </c>
      <c r="AR108" s="173">
        <f t="shared" si="44"/>
        <v>0.47058823529411759</v>
      </c>
      <c r="AS108" s="173">
        <f t="shared" si="44"/>
        <v>0.5</v>
      </c>
      <c r="AT108" s="173">
        <f t="shared" si="44"/>
        <v>0.5</v>
      </c>
      <c r="AU108" s="173">
        <f t="shared" si="44"/>
        <v>0.5</v>
      </c>
      <c r="AV108" s="173">
        <f t="shared" si="44"/>
        <v>0.54545454545454541</v>
      </c>
      <c r="AW108" s="173">
        <f t="shared" ref="AW108:BN108" si="45">AW109</f>
        <v>0.6</v>
      </c>
      <c r="AX108" s="173">
        <f t="shared" si="45"/>
        <v>0.6</v>
      </c>
      <c r="AY108" s="173">
        <f t="shared" si="45"/>
        <v>0.6</v>
      </c>
      <c r="AZ108" s="173">
        <f t="shared" si="45"/>
        <v>0.64545454545454528</v>
      </c>
      <c r="BA108" s="173">
        <f t="shared" si="45"/>
        <v>0.7</v>
      </c>
      <c r="BB108" s="173">
        <f t="shared" si="45"/>
        <v>0.7</v>
      </c>
      <c r="BC108" s="173">
        <f t="shared" si="45"/>
        <v>0.7</v>
      </c>
      <c r="BD108" s="173">
        <f t="shared" si="45"/>
        <v>0.74545454545454537</v>
      </c>
      <c r="BE108" s="173">
        <f t="shared" si="45"/>
        <v>0.8</v>
      </c>
      <c r="BF108" s="173">
        <f t="shared" si="45"/>
        <v>0.8</v>
      </c>
      <c r="BG108" s="173">
        <f t="shared" si="45"/>
        <v>0.8</v>
      </c>
      <c r="BH108" s="173">
        <f t="shared" si="45"/>
        <v>0.84545454545454535</v>
      </c>
      <c r="BI108" s="173">
        <f t="shared" si="45"/>
        <v>0.9</v>
      </c>
      <c r="BJ108" s="173">
        <f t="shared" si="45"/>
        <v>0.9</v>
      </c>
      <c r="BK108" s="173">
        <f t="shared" si="45"/>
        <v>0.9</v>
      </c>
      <c r="BL108" s="173">
        <f t="shared" si="45"/>
        <v>0.94545454545454533</v>
      </c>
      <c r="BM108" s="173">
        <f t="shared" si="45"/>
        <v>1</v>
      </c>
      <c r="BN108" s="173">
        <f t="shared" si="45"/>
        <v>1</v>
      </c>
    </row>
    <row r="109" spans="2:66" ht="15" customHeight="1" x14ac:dyDescent="0.3">
      <c r="B109" s="174" t="str">
        <f t="array" ref="B109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109" s="174" t="s">
        <v>265</v>
      </c>
      <c r="D109" s="177"/>
      <c r="E109" s="170" t="str">
        <f t="shared" si="42"/>
        <v>Desenvolvimento da Transformação dos Processos</v>
      </c>
      <c r="F109" s="174" t="str">
        <f t="shared" ref="F109:F139" si="46">$H$108</f>
        <v>Transformação do Processo</v>
      </c>
      <c r="G109" s="174"/>
      <c r="H109" s="195" t="s">
        <v>264</v>
      </c>
      <c r="I109" s="174">
        <f>MIN(I110:I139)</f>
        <v>45747</v>
      </c>
      <c r="J109" s="174">
        <f>MAX(J110:J139)</f>
        <v>46010</v>
      </c>
      <c r="K109" s="174">
        <f>MIN(K110:K139)</f>
        <v>45747</v>
      </c>
      <c r="L109" s="174">
        <f>MAX(L110:L139)</f>
        <v>46010</v>
      </c>
      <c r="M109" s="175"/>
      <c r="N109" s="175" t="str">
        <f t="array" ref="N109">_xlfn.IFS(L109&lt;$M$3,"Concluído",AND(K109&gt;=$M$3,I109&lt;$M$3,L109&gt;$M$3),"Em andamento",AND(L109&gt;=$M$3,J109&lt;$M$3),"Atrasado",AND(L109&gt;=$M$3,J109&gt;=$M$3,I109&gt;$M$3,K109&lt;=$M$3),"Em andamento",AND(L109&gt;=$M$3,J109&gt;=$M$3,I109&lt;=$M$3,K109&lt;=$M$3),"Em andamento",AND(K109&gt;$M$3,I109&gt;$M$3),"Não iniciado",AND(L109&gt;=$M$3,J109&gt;=$M$3,K109&gt;=$M$3,I109&lt;$M$3),"Atrasado",AND(L109&gt;=$M$3,J109&gt;=$M$3,K109&gt;=$M$3,I109&gt;$M$3),"Não iniciado",AND($I109&lt;=$M$3,$K109&gt;$M$3),"Atrasado")</f>
        <v>Em andamento</v>
      </c>
      <c r="O109" s="175">
        <f t="array" ref="O109">_xlfn.IFS(N109="Não iniciado",0,N109="Em andamento",1,N109="Concluído",2,N109="Atrasado",3)</f>
        <v>1</v>
      </c>
      <c r="P109" s="176"/>
      <c r="Q109" s="156">
        <f t="shared" ref="Q109:AV109" si="47">AVERAGE(Q110:Q139)</f>
        <v>0.5</v>
      </c>
      <c r="R109" s="156">
        <f t="shared" si="47"/>
        <v>0.5</v>
      </c>
      <c r="S109" s="205">
        <f t="shared" si="47"/>
        <v>0</v>
      </c>
      <c r="T109" s="205">
        <f t="shared" si="47"/>
        <v>0</v>
      </c>
      <c r="U109" s="205">
        <f t="shared" si="47"/>
        <v>0</v>
      </c>
      <c r="V109" s="205">
        <f t="shared" si="47"/>
        <v>0</v>
      </c>
      <c r="W109" s="205">
        <f t="shared" si="47"/>
        <v>0</v>
      </c>
      <c r="X109" s="205">
        <f t="shared" si="47"/>
        <v>0</v>
      </c>
      <c r="Y109" s="205">
        <f t="shared" si="47"/>
        <v>0</v>
      </c>
      <c r="Z109" s="205">
        <f t="shared" si="47"/>
        <v>0</v>
      </c>
      <c r="AA109" s="205">
        <f t="shared" si="47"/>
        <v>0</v>
      </c>
      <c r="AB109" s="205">
        <f t="shared" si="47"/>
        <v>4.5454545454545449E-2</v>
      </c>
      <c r="AC109" s="205">
        <f t="shared" si="47"/>
        <v>0.1</v>
      </c>
      <c r="AD109" s="205">
        <f t="shared" si="47"/>
        <v>0.1</v>
      </c>
      <c r="AE109" s="205">
        <f t="shared" si="47"/>
        <v>0.1</v>
      </c>
      <c r="AF109" s="205">
        <f t="shared" si="47"/>
        <v>0.1</v>
      </c>
      <c r="AG109" s="205">
        <f t="shared" si="47"/>
        <v>0.18518518518518517</v>
      </c>
      <c r="AH109" s="205">
        <f t="shared" si="47"/>
        <v>0.21414141414141416</v>
      </c>
      <c r="AI109" s="205">
        <f t="shared" si="47"/>
        <v>0.24696969696969698</v>
      </c>
      <c r="AJ109" s="205">
        <f t="shared" si="47"/>
        <v>0.25757575757575757</v>
      </c>
      <c r="AK109" s="205">
        <f t="shared" si="47"/>
        <v>0.28095238095238095</v>
      </c>
      <c r="AL109" s="205">
        <f t="shared" si="47"/>
        <v>0.29761904761904762</v>
      </c>
      <c r="AM109" s="205">
        <f t="shared" si="47"/>
        <v>0.32777777777777783</v>
      </c>
      <c r="AN109" s="205">
        <f t="shared" si="47"/>
        <v>0.36666666666666659</v>
      </c>
      <c r="AO109" s="205">
        <f t="shared" si="47"/>
        <v>0.4</v>
      </c>
      <c r="AP109" s="205">
        <f t="shared" si="47"/>
        <v>0.4</v>
      </c>
      <c r="AQ109" s="205">
        <f t="shared" si="47"/>
        <v>0.42941176470588244</v>
      </c>
      <c r="AR109" s="205">
        <f t="shared" si="47"/>
        <v>0.47058823529411759</v>
      </c>
      <c r="AS109" s="205">
        <f t="shared" si="47"/>
        <v>0.5</v>
      </c>
      <c r="AT109" s="205">
        <f t="shared" si="47"/>
        <v>0.5</v>
      </c>
      <c r="AU109" s="205">
        <f t="shared" si="47"/>
        <v>0.5</v>
      </c>
      <c r="AV109" s="205">
        <f t="shared" si="47"/>
        <v>0.54545454545454541</v>
      </c>
      <c r="AW109" s="205">
        <f t="shared" ref="AW109:BN109" si="48">AVERAGE(AW110:AW139)</f>
        <v>0.6</v>
      </c>
      <c r="AX109" s="205">
        <f t="shared" si="48"/>
        <v>0.6</v>
      </c>
      <c r="AY109" s="205">
        <f t="shared" si="48"/>
        <v>0.6</v>
      </c>
      <c r="AZ109" s="205">
        <f t="shared" si="48"/>
        <v>0.64545454545454528</v>
      </c>
      <c r="BA109" s="205">
        <f t="shared" si="48"/>
        <v>0.7</v>
      </c>
      <c r="BB109" s="205">
        <f t="shared" si="48"/>
        <v>0.7</v>
      </c>
      <c r="BC109" s="205">
        <f t="shared" si="48"/>
        <v>0.7</v>
      </c>
      <c r="BD109" s="205">
        <f t="shared" si="48"/>
        <v>0.74545454545454537</v>
      </c>
      <c r="BE109" s="205">
        <f t="shared" si="48"/>
        <v>0.8</v>
      </c>
      <c r="BF109" s="205">
        <f t="shared" si="48"/>
        <v>0.8</v>
      </c>
      <c r="BG109" s="205">
        <f t="shared" si="48"/>
        <v>0.8</v>
      </c>
      <c r="BH109" s="205">
        <f t="shared" si="48"/>
        <v>0.84545454545454535</v>
      </c>
      <c r="BI109" s="205">
        <f t="shared" si="48"/>
        <v>0.9</v>
      </c>
      <c r="BJ109" s="205">
        <f t="shared" si="48"/>
        <v>0.9</v>
      </c>
      <c r="BK109" s="205">
        <f t="shared" si="48"/>
        <v>0.9</v>
      </c>
      <c r="BL109" s="205">
        <f t="shared" si="48"/>
        <v>0.94545454545454533</v>
      </c>
      <c r="BM109" s="205">
        <f t="shared" si="48"/>
        <v>1</v>
      </c>
      <c r="BN109" s="205">
        <f t="shared" si="48"/>
        <v>1</v>
      </c>
    </row>
    <row r="110" spans="2:66" s="163" customFormat="1" ht="27.6" customHeight="1" collapsed="1" x14ac:dyDescent="0.3">
      <c r="B110" s="166" t="str">
        <f t="array" ref="B110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10" s="166" t="s">
        <v>266</v>
      </c>
      <c r="D110" s="177"/>
      <c r="E110" s="170" t="str">
        <f t="shared" ref="E110:E139" si="49">$H$45</f>
        <v>Desenvolvimento da Transformação dos Processos</v>
      </c>
      <c r="F110" s="174" t="str">
        <f t="shared" si="46"/>
        <v>Transformação do Processo</v>
      </c>
      <c r="G110" s="166" t="str">
        <f t="shared" ref="G110:G139" si="50">$H$109</f>
        <v>Transformação do Processo</v>
      </c>
      <c r="H110" s="197" t="s">
        <v>267</v>
      </c>
      <c r="I110" s="166">
        <v>45747</v>
      </c>
      <c r="J110" s="40">
        <v>45758</v>
      </c>
      <c r="K110" s="166">
        <v>45747</v>
      </c>
      <c r="L110" s="40">
        <v>45758</v>
      </c>
      <c r="M110" s="167"/>
      <c r="N110" s="167" t="str">
        <f t="array" ref="N110">_xlfn.IFS(L110&lt;$M$3,"Concluído",AND(K110&gt;=$M$3,I110&lt;$M$3,L110&gt;$M$3),"Em andamento",AND(L110&gt;=$M$3,J110&lt;$M$3),"Atrasado",AND(L110&gt;=$M$3,J110&gt;=$M$3,I110&gt;$M$3,K110&lt;=$M$3),"Em andamento",AND(L110&gt;=$M$3,J110&gt;=$M$3,I110&lt;=$M$3,K110&lt;=$M$3),"Em andamento",AND(K110&gt;$M$3,I110&gt;$M$3),"Não iniciado",AND(L110&gt;=$M$3,J110&gt;=$M$3,K110&gt;=$M$3,I110&lt;$M$3),"Atrasado",AND(L110&gt;=$M$3,J110&gt;=$M$3,K110&gt;=$M$3,I110&gt;$M$3),"Não iniciado",AND($I110&lt;=$M$3,$K110&gt;$M$3),"Atrasado")</f>
        <v>Concluído</v>
      </c>
      <c r="O110" s="167">
        <f t="array" ref="O110">_xlfn.IFS(N110="Não iniciado",0,N110="Em andamento",1,N110="Concluído",2,N110="Atrasado",3)</f>
        <v>2</v>
      </c>
      <c r="P110" s="169"/>
      <c r="Q110" s="152">
        <f t="array" ref="Q110">_xlfn.IFS(AND($I110&lt;$M$3,$J110&lt;$M$3),1,AND($I110&lt;$M$3,$J110&gt;=$M$3),0.5,AND($I110&gt;=$M$3,$J110&gt;=$M$3),0)</f>
        <v>1</v>
      </c>
      <c r="R110" s="152">
        <f t="array" ref="R110">_xlfn.IFS(AND($K110&lt;$M$3,$L110&lt;$M$3),1,AND($K110&lt;=$M$3,$L110&gt;=$M$3),0.5,AND($K110&gt;=$M$3,$L110&gt;=$M$3),0)</f>
        <v>1</v>
      </c>
      <c r="S110" s="201">
        <f t="array" ref="S110">_xlfn.IFS(AND($K110&gt;R$7,$L110&gt;R$7),0,AND($K110&lt;=R$7,$L110&lt;=R$7),1,AND($K110&lt;=R$7,$L110&gt;R$7),((R$7-$K110)/($L110-$K110)))</f>
        <v>0</v>
      </c>
      <c r="T110" s="201">
        <f t="array" ref="T110">_xlfn.IFS(AND($K110&gt;S$7,$L110&gt;S$7),0,AND($K110&lt;=S$7,$L110&lt;=S$7),1,AND($K110&lt;=S$7,$L110&gt;S$7),((S$7-$K110)/($L110-$K110)))</f>
        <v>0</v>
      </c>
      <c r="U110" s="201">
        <f t="array" ref="U110">_xlfn.IFS(AND($K110&gt;T$7,$L110&gt;T$7),0,AND($K110&lt;=T$7,$L110&lt;=T$7),1,AND($K110&lt;=T$7,$L110&gt;T$7),((T$7-$K110)/($L110-$K110)))</f>
        <v>0</v>
      </c>
      <c r="V110" s="201">
        <f t="array" ref="V110">_xlfn.IFS(AND($K110&gt;U$7,$L110&gt;U$7),0,AND($K110&lt;=U$7,$L110&lt;=U$7),1,AND($K110&lt;=U$7,$L110&gt;U$7),((U$7-$K110)/($L110-$K110)))</f>
        <v>0</v>
      </c>
      <c r="W110" s="201">
        <f t="array" ref="W110">_xlfn.IFS(AND($K110&gt;V$7,$L110&gt;V$7),0,AND($K110&lt;=V$7,$L110&lt;=V$7),1,AND($K110&lt;=V$7,$L110&gt;V$7),((V$7-$K110)/($L110-$K110)))</f>
        <v>0</v>
      </c>
      <c r="X110" s="201">
        <f t="array" ref="X110">_xlfn.IFS(AND($K110&gt;W$7,$L110&gt;W$7),0,AND($K110&lt;=W$7,$L110&lt;=W$7),1,AND($K110&lt;=W$7,$L110&gt;W$7),((W$7-$K110)/($L110-$K110)))</f>
        <v>0</v>
      </c>
      <c r="Y110" s="201">
        <f t="array" ref="Y110">_xlfn.IFS(AND($K110&gt;X$7,$L110&gt;X$7),0,AND($K110&lt;=X$7,$L110&lt;=X$7),1,AND($K110&lt;=X$7,$L110&gt;X$7),((X$7-$K110)/($L110-$K110)))</f>
        <v>0</v>
      </c>
      <c r="Z110" s="201">
        <f t="array" ref="Z110">_xlfn.IFS(AND($K110&gt;Y$7,$L110&gt;Y$7),0,AND($K110&lt;=Y$7,$L110&lt;=Y$7),1,AND($K110&lt;=Y$7,$L110&gt;Y$7),((Y$7-$K110)/($L110-$K110)))</f>
        <v>0</v>
      </c>
      <c r="AA110" s="201">
        <f t="array" ref="AA110">_xlfn.IFS(AND($K110&gt;Z$7,$L110&gt;Z$7),0,AND($K110&lt;=Z$7,$L110&lt;=Z$7),1,AND($K110&lt;=Z$7,$L110&gt;Z$7),((Z$7-$K110)/($L110-$K110)))</f>
        <v>0</v>
      </c>
      <c r="AB110" s="201">
        <f t="array" ref="AB110">_xlfn.IFS(AND($K110&gt;AA$7,$L110&gt;AA$7),0,AND($K110&lt;=AA$7,$L110&lt;=AA$7),1,AND($K110&lt;=AA$7,$L110&gt;AA$7),((AA$7-$K110)/($L110-$K110)))</f>
        <v>0.45454545454545453</v>
      </c>
      <c r="AC110" s="201">
        <f t="array" ref="AC110">_xlfn.IFS(AND($K110&gt;AB$7,$L110&gt;AB$7),0,AND($K110&lt;=AB$7,$L110&lt;=AB$7),1,AND($K110&lt;=AB$7,$L110&gt;AB$7),((AB$7-$K110)/($L110-$K110)))</f>
        <v>1</v>
      </c>
      <c r="AD110" s="201">
        <f t="array" ref="AD110">_xlfn.IFS(AND($K110&gt;AC$7,$L110&gt;AC$7),0,AND($K110&lt;=AC$7,$L110&lt;=AC$7),1,AND($K110&lt;=AC$7,$L110&gt;AC$7),((AC$7-$K110)/($L110-$K110)))</f>
        <v>1</v>
      </c>
      <c r="AE110" s="201">
        <f t="array" ref="AE110">_xlfn.IFS(AND($K110&gt;AD$7,$L110&gt;AD$7),0,AND($K110&lt;=AD$7,$L110&lt;=AD$7),1,AND($K110&lt;=AD$7,$L110&gt;AD$7),((AD$7-$K110)/($L110-$K110)))</f>
        <v>1</v>
      </c>
      <c r="AF110" s="201">
        <f t="array" ref="AF110">_xlfn.IFS(AND($K110&gt;AE$7,$L110&gt;AE$7),0,AND($K110&lt;=AE$7,$L110&lt;=AE$7),1,AND($K110&lt;=AE$7,$L110&gt;AE$7),((AE$7-$K110)/($L110-$K110)))</f>
        <v>1</v>
      </c>
      <c r="AG110" s="201">
        <f t="array" ref="AG110">_xlfn.IFS(AND($K110&gt;AF$7,$L110&gt;AF$7),0,AND($K110&lt;=AF$7,$L110&lt;=AF$7),1,AND($K110&lt;=AF$7,$L110&gt;AF$7),((AF$7-$K110)/($L110-$K110)))</f>
        <v>1</v>
      </c>
      <c r="AH110" s="201">
        <f t="array" ref="AH110">_xlfn.IFS(AND($K110&gt;AG$7,$L110&gt;AG$7),0,AND($K110&lt;=AG$7,$L110&lt;=AG$7),1,AND($K110&lt;=AG$7,$L110&gt;AG$7),((AG$7-$K110)/($L110-$K110)))</f>
        <v>1</v>
      </c>
      <c r="AI110" s="201">
        <f t="array" ref="AI110">_xlfn.IFS(AND($K110&gt;AH$7,$L110&gt;AH$7),0,AND($K110&lt;=AH$7,$L110&lt;=AH$7),1,AND($K110&lt;=AH$7,$L110&gt;AH$7),((AH$7-$K110)/($L110-$K110)))</f>
        <v>1</v>
      </c>
      <c r="AJ110" s="201">
        <f t="array" ref="AJ110">_xlfn.IFS(AND($K110&gt;AI$7,$L110&gt;AI$7),0,AND($K110&lt;=AI$7,$L110&lt;=AI$7),1,AND($K110&lt;=AI$7,$L110&gt;AI$7),((AI$7-$K110)/($L110-$K110)))</f>
        <v>1</v>
      </c>
      <c r="AK110" s="201">
        <f t="array" ref="AK110">_xlfn.IFS(AND($K110&gt;AJ$7,$L110&gt;AJ$7),0,AND($K110&lt;=AJ$7,$L110&lt;=AJ$7),1,AND($K110&lt;=AJ$7,$L110&gt;AJ$7),((AJ$7-$K110)/($L110-$K110)))</f>
        <v>1</v>
      </c>
      <c r="AL110" s="201">
        <f t="array" ref="AL110">_xlfn.IFS(AND($K110&gt;AK$7,$L110&gt;AK$7),0,AND($K110&lt;=AK$7,$L110&lt;=AK$7),1,AND($K110&lt;=AK$7,$L110&gt;AK$7),((AK$7-$K110)/($L110-$K110)))</f>
        <v>1</v>
      </c>
      <c r="AM110" s="201">
        <f t="array" ref="AM110">_xlfn.IFS(AND($K110&gt;AL$7,$L110&gt;AL$7),0,AND($K110&lt;=AL$7,$L110&lt;=AL$7),1,AND($K110&lt;=AL$7,$L110&gt;AL$7),((AL$7-$K110)/($L110-$K110)))</f>
        <v>1</v>
      </c>
      <c r="AN110" s="201">
        <f t="array" ref="AN110">_xlfn.IFS(AND($K110&gt;AM$7,$L110&gt;AM$7),0,AND($K110&lt;=AM$7,$L110&lt;=AM$7),1,AND($K110&lt;=AM$7,$L110&gt;AM$7),((AM$7-$K110)/($L110-$K110)))</f>
        <v>1</v>
      </c>
      <c r="AO110" s="201">
        <f t="array" ref="AO110">_xlfn.IFS(AND($K110&gt;AN$7,$L110&gt;AN$7),0,AND($K110&lt;=AN$7,$L110&lt;=AN$7),1,AND($K110&lt;=AN$7,$L110&gt;AN$7),((AN$7-$K110)/($L110-$K110)))</f>
        <v>1</v>
      </c>
      <c r="AP110" s="201">
        <f t="array" ref="AP110">_xlfn.IFS(AND($K110&gt;AO$7,$L110&gt;AO$7),0,AND($K110&lt;=AO$7,$L110&lt;=AO$7),1,AND($K110&lt;=AO$7,$L110&gt;AO$7),((AO$7-$K110)/($L110-$K110)))</f>
        <v>1</v>
      </c>
      <c r="AQ110" s="201">
        <f t="array" ref="AQ110">_xlfn.IFS(AND($K110&gt;AP$7,$L110&gt;AP$7),0,AND($K110&lt;=AP$7,$L110&lt;=AP$7),1,AND($K110&lt;=AP$7,$L110&gt;AP$7),((AP$7-$K110)/($L110-$K110)))</f>
        <v>1</v>
      </c>
      <c r="AR110" s="201">
        <f t="array" ref="AR110">_xlfn.IFS(AND($K110&gt;AQ$7,$L110&gt;AQ$7),0,AND($K110&lt;=AQ$7,$L110&lt;=AQ$7),1,AND($K110&lt;=AQ$7,$L110&gt;AQ$7),((AQ$7-$K110)/($L110-$K110)))</f>
        <v>1</v>
      </c>
      <c r="AS110" s="201">
        <f t="array" ref="AS110">_xlfn.IFS(AND($K110&gt;AR$7,$L110&gt;AR$7),0,AND($K110&lt;=AR$7,$L110&lt;=AR$7),1,AND($K110&lt;=AR$7,$L110&gt;AR$7),((AR$7-$K110)/($L110-$K110)))</f>
        <v>1</v>
      </c>
      <c r="AT110" s="201">
        <f t="array" ref="AT110">_xlfn.IFS(AND($K110&gt;AS$7,$L110&gt;AS$7),0,AND($K110&lt;=AS$7,$L110&lt;=AS$7),1,AND($K110&lt;=AS$7,$L110&gt;AS$7),((AS$7-$K110)/($L110-$K110)))</f>
        <v>1</v>
      </c>
      <c r="AU110" s="201">
        <f t="array" ref="AU110">_xlfn.IFS(AND($K110&gt;AT$7,$L110&gt;AT$7),0,AND($K110&lt;=AT$7,$L110&lt;=AT$7),1,AND($K110&lt;=AT$7,$L110&gt;AT$7),((AT$7-$K110)/($L110-$K110)))</f>
        <v>1</v>
      </c>
      <c r="AV110" s="201">
        <f t="array" ref="AV110">_xlfn.IFS(AND($K110&gt;AU$7,$L110&gt;AU$7),0,AND($K110&lt;=AU$7,$L110&lt;=AU$7),1,AND($K110&lt;=AU$7,$L110&gt;AU$7),((AU$7-$K110)/($L110-$K110)))</f>
        <v>1</v>
      </c>
      <c r="AW110" s="201">
        <f t="array" ref="AW110">_xlfn.IFS(AND($K110&gt;AV$7,$L110&gt;AV$7),0,AND($K110&lt;=AV$7,$L110&lt;=AV$7),1,AND($K110&lt;=AV$7,$L110&gt;AV$7),((AV$7-$K110)/($L110-$K110)))</f>
        <v>1</v>
      </c>
      <c r="AX110" s="201">
        <f t="array" ref="AX110">_xlfn.IFS(AND($K110&gt;AW$7,$L110&gt;AW$7),0,AND($K110&lt;=AW$7,$L110&lt;=AW$7),1,AND($K110&lt;=AW$7,$L110&gt;AW$7),((AW$7-$K110)/($L110-$K110)))</f>
        <v>1</v>
      </c>
      <c r="AY110" s="201">
        <f t="array" ref="AY110">_xlfn.IFS(AND($K110&gt;AX$7,$L110&gt;AX$7),0,AND($K110&lt;=AX$7,$L110&lt;=AX$7),1,AND($K110&lt;=AX$7,$L110&gt;AX$7),((AX$7-$K110)/($L110-$K110)))</f>
        <v>1</v>
      </c>
      <c r="AZ110" s="201">
        <f t="array" ref="AZ110">_xlfn.IFS(AND($K110&gt;AY$7,$L110&gt;AY$7),0,AND($K110&lt;=AY$7,$L110&lt;=AY$7),1,AND($K110&lt;=AY$7,$L110&gt;AY$7),((AY$7-$K110)/($L110-$K110)))</f>
        <v>1</v>
      </c>
      <c r="BA110" s="201">
        <f t="array" ref="BA110">_xlfn.IFS(AND($K110&gt;AZ$7,$L110&gt;AZ$7),0,AND($K110&lt;=AZ$7,$L110&lt;=AZ$7),1,AND($K110&lt;=AZ$7,$L110&gt;AZ$7),((AZ$7-$K110)/($L110-$K110)))</f>
        <v>1</v>
      </c>
      <c r="BB110" s="201">
        <f t="array" ref="BB110">_xlfn.IFS(AND($K110&gt;BA$7,$L110&gt;BA$7),0,AND($K110&lt;=BA$7,$L110&lt;=BA$7),1,AND($K110&lt;=BA$7,$L110&gt;BA$7),((BA$7-$K110)/($L110-$K110)))</f>
        <v>1</v>
      </c>
      <c r="BC110" s="201">
        <f t="array" ref="BC110">_xlfn.IFS(AND($K110&gt;BB$7,$L110&gt;BB$7),0,AND($K110&lt;=BB$7,$L110&lt;=BB$7),1,AND($K110&lt;=BB$7,$L110&gt;BB$7),((BB$7-$K110)/($L110-$K110)))</f>
        <v>1</v>
      </c>
      <c r="BD110" s="201">
        <f t="array" ref="BD110">_xlfn.IFS(AND($K110&gt;BC$7,$L110&gt;BC$7),0,AND($K110&lt;=BC$7,$L110&lt;=BC$7),1,AND($K110&lt;=BC$7,$L110&gt;BC$7),((BC$7-$K110)/($L110-$K110)))</f>
        <v>1</v>
      </c>
      <c r="BE110" s="201">
        <f t="array" ref="BE110">_xlfn.IFS(AND($K110&gt;BD$7,$L110&gt;BD$7),0,AND($K110&lt;=BD$7,$L110&lt;=BD$7),1,AND($K110&lt;=BD$7,$L110&gt;BD$7),((BD$7-$K110)/($L110-$K110)))</f>
        <v>1</v>
      </c>
      <c r="BF110" s="201">
        <f t="array" ref="BF110">_xlfn.IFS(AND($K110&gt;BE$7,$L110&gt;BE$7),0,AND($K110&lt;=BE$7,$L110&lt;=BE$7),1,AND($K110&lt;=BE$7,$L110&gt;BE$7),((BE$7-$K110)/($L110-$K110)))</f>
        <v>1</v>
      </c>
      <c r="BG110" s="201">
        <f t="array" ref="BG110">_xlfn.IFS(AND($K110&gt;BF$7,$L110&gt;BF$7),0,AND($K110&lt;=BF$7,$L110&lt;=BF$7),1,AND($K110&lt;=BF$7,$L110&gt;BF$7),((BF$7-$K110)/($L110-$K110)))</f>
        <v>1</v>
      </c>
      <c r="BH110" s="201">
        <f t="array" ref="BH110">_xlfn.IFS(AND($K110&gt;BG$7,$L110&gt;BG$7),0,AND($K110&lt;=BG$7,$L110&lt;=BG$7),1,AND($K110&lt;=BG$7,$L110&gt;BG$7),((BG$7-$K110)/($L110-$K110)))</f>
        <v>1</v>
      </c>
      <c r="BI110" s="201">
        <f t="array" ref="BI110">_xlfn.IFS(AND($K110&gt;BH$7,$L110&gt;BH$7),0,AND($K110&lt;=BH$7,$L110&lt;=BH$7),1,AND($K110&lt;=BH$7,$L110&gt;BH$7),((BH$7-$K110)/($L110-$K110)))</f>
        <v>1</v>
      </c>
      <c r="BJ110" s="201">
        <f t="array" ref="BJ110">_xlfn.IFS(AND($K110&gt;BI$7,$L110&gt;BI$7),0,AND($K110&lt;=BI$7,$L110&lt;=BI$7),1,AND($K110&lt;=BI$7,$L110&gt;BI$7),((BI$7-$K110)/($L110-$K110)))</f>
        <v>1</v>
      </c>
      <c r="BK110" s="201">
        <f t="array" ref="BK110">_xlfn.IFS(AND($K110&gt;BJ$7,$L110&gt;BJ$7),0,AND($K110&lt;=BJ$7,$L110&lt;=BJ$7),1,AND($K110&lt;=BJ$7,$L110&gt;BJ$7),((BJ$7-$K110)/($L110-$K110)))</f>
        <v>1</v>
      </c>
      <c r="BL110" s="201">
        <f t="array" ref="BL110">_xlfn.IFS(AND($K110&gt;BK$7,$L110&gt;BK$7),0,AND($K110&lt;=BK$7,$L110&lt;=BK$7),1,AND($K110&lt;=BK$7,$L110&gt;BK$7),((BK$7-$K110)/($L110-$K110)))</f>
        <v>1</v>
      </c>
      <c r="BM110" s="201">
        <f t="array" ref="BM110">_xlfn.IFS(AND($K110&gt;BL$7,$L110&gt;BL$7),0,AND($K110&lt;=BL$7,$L110&lt;=BL$7),1,AND($K110&lt;=BL$7,$L110&gt;BL$7),((BL$7-$K110)/($L110-$K110)))</f>
        <v>1</v>
      </c>
      <c r="BN110" s="201">
        <f t="array" ref="BN110">_xlfn.IFS(AND($K110&gt;BM$7,$L110&gt;BM$7),0,AND($K110&lt;=BM$7,$L110&lt;=BM$7),1,AND($K110&lt;=BM$7,$L110&gt;BM$7),((BM$7-$K110)/($L110-$K110)))</f>
        <v>1</v>
      </c>
    </row>
    <row r="111" spans="2:66" s="163" customFormat="1" ht="27.6" customHeight="1" collapsed="1" x14ac:dyDescent="0.3">
      <c r="B111" s="166" t="str">
        <f t="array" ref="B111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11" s="166" t="s">
        <v>268</v>
      </c>
      <c r="D111" s="177"/>
      <c r="E111" s="170" t="str">
        <f t="shared" si="49"/>
        <v>Desenvolvimento da Transformação dos Processos</v>
      </c>
      <c r="F111" s="174" t="str">
        <f t="shared" si="46"/>
        <v>Transformação do Processo</v>
      </c>
      <c r="G111" s="166" t="str">
        <f t="shared" si="50"/>
        <v>Transformação do Processo</v>
      </c>
      <c r="H111" s="197" t="s">
        <v>269</v>
      </c>
      <c r="I111" s="166">
        <v>45747</v>
      </c>
      <c r="J111" s="40">
        <v>45758</v>
      </c>
      <c r="K111" s="166">
        <v>45747</v>
      </c>
      <c r="L111" s="40">
        <v>45758</v>
      </c>
      <c r="M111" s="167"/>
      <c r="N111" s="167" t="str">
        <f t="array" ref="N111">_xlfn.IFS(L111&lt;$M$3,"Concluído",AND(K111&gt;=$M$3,I111&lt;$M$3,L111&gt;$M$3),"Em andamento",AND(L111&gt;=$M$3,J111&lt;$M$3),"Atrasado",AND(L111&gt;=$M$3,J111&gt;=$M$3,I111&gt;$M$3,K111&lt;=$M$3),"Em andamento",AND(L111&gt;=$M$3,J111&gt;=$M$3,I111&lt;=$M$3,K111&lt;=$M$3),"Em andamento",AND(K111&gt;$M$3,I111&gt;$M$3),"Não iniciado",AND(L111&gt;=$M$3,J111&gt;=$M$3,K111&gt;=$M$3,I111&lt;$M$3),"Atrasado",AND(L111&gt;=$M$3,J111&gt;=$M$3,K111&gt;=$M$3,I111&gt;$M$3),"Não iniciado",AND($I111&lt;=$M$3,$K111&gt;$M$3),"Atrasado")</f>
        <v>Concluído</v>
      </c>
      <c r="O111" s="167">
        <f t="array" ref="O111">_xlfn.IFS(N111="Não iniciado",0,N111="Em andamento",1,N111="Concluído",2,N111="Atrasado",3)</f>
        <v>2</v>
      </c>
      <c r="P111" s="169"/>
      <c r="Q111" s="152">
        <f t="array" ref="Q111">_xlfn.IFS(AND($I111&lt;$M$3,$J111&lt;$M$3),1,AND($I111&lt;$M$3,$J111&gt;=$M$3),0.5,AND($I111&gt;=$M$3,$J111&gt;=$M$3),0)</f>
        <v>1</v>
      </c>
      <c r="R111" s="152">
        <f t="array" ref="R111">_xlfn.IFS(AND($K111&lt;$M$3,$L111&lt;$M$3),1,AND($K111&lt;=$M$3,$L111&gt;=$M$3),0.5,AND($K111&gt;=$M$3,$L111&gt;=$M$3),0)</f>
        <v>1</v>
      </c>
      <c r="S111" s="201">
        <f t="array" ref="S111">_xlfn.IFS(AND($K111&gt;R$7,$L111&gt;R$7),0,AND($K111&lt;=R$7,$L111&lt;=R$7),1,AND($K111&lt;=R$7,$L111&gt;R$7),((R$7-$K111)/($L111-$K111)))</f>
        <v>0</v>
      </c>
      <c r="T111" s="201">
        <f t="array" ref="T111">_xlfn.IFS(AND($K111&gt;S$7,$L111&gt;S$7),0,AND($K111&lt;=S$7,$L111&lt;=S$7),1,AND($K111&lt;=S$7,$L111&gt;S$7),((S$7-$K111)/($L111-$K111)))</f>
        <v>0</v>
      </c>
      <c r="U111" s="201">
        <f t="array" ref="U111">_xlfn.IFS(AND($K111&gt;T$7,$L111&gt;T$7),0,AND($K111&lt;=T$7,$L111&lt;=T$7),1,AND($K111&lt;=T$7,$L111&gt;T$7),((T$7-$K111)/($L111-$K111)))</f>
        <v>0</v>
      </c>
      <c r="V111" s="201">
        <f t="array" ref="V111">_xlfn.IFS(AND($K111&gt;U$7,$L111&gt;U$7),0,AND($K111&lt;=U$7,$L111&lt;=U$7),1,AND($K111&lt;=U$7,$L111&gt;U$7),((U$7-$K111)/($L111-$K111)))</f>
        <v>0</v>
      </c>
      <c r="W111" s="201">
        <f t="array" ref="W111">_xlfn.IFS(AND($K111&gt;V$7,$L111&gt;V$7),0,AND($K111&lt;=V$7,$L111&lt;=V$7),1,AND($K111&lt;=V$7,$L111&gt;V$7),((V$7-$K111)/($L111-$K111)))</f>
        <v>0</v>
      </c>
      <c r="X111" s="201">
        <f t="array" ref="X111">_xlfn.IFS(AND($K111&gt;W$7,$L111&gt;W$7),0,AND($K111&lt;=W$7,$L111&lt;=W$7),1,AND($K111&lt;=W$7,$L111&gt;W$7),((W$7-$K111)/($L111-$K111)))</f>
        <v>0</v>
      </c>
      <c r="Y111" s="201">
        <f t="array" ref="Y111">_xlfn.IFS(AND($K111&gt;X$7,$L111&gt;X$7),0,AND($K111&lt;=X$7,$L111&lt;=X$7),1,AND($K111&lt;=X$7,$L111&gt;X$7),((X$7-$K111)/($L111-$K111)))</f>
        <v>0</v>
      </c>
      <c r="Z111" s="201">
        <f t="array" ref="Z111">_xlfn.IFS(AND($K111&gt;Y$7,$L111&gt;Y$7),0,AND($K111&lt;=Y$7,$L111&lt;=Y$7),1,AND($K111&lt;=Y$7,$L111&gt;Y$7),((Y$7-$K111)/($L111-$K111)))</f>
        <v>0</v>
      </c>
      <c r="AA111" s="201">
        <f t="array" ref="AA111">_xlfn.IFS(AND($K111&gt;Z$7,$L111&gt;Z$7),0,AND($K111&lt;=Z$7,$L111&lt;=Z$7),1,AND($K111&lt;=Z$7,$L111&gt;Z$7),((Z$7-$K111)/($L111-$K111)))</f>
        <v>0</v>
      </c>
      <c r="AB111" s="201">
        <f t="array" ref="AB111">_xlfn.IFS(AND($K111&gt;AA$7,$L111&gt;AA$7),0,AND($K111&lt;=AA$7,$L111&lt;=AA$7),1,AND($K111&lt;=AA$7,$L111&gt;AA$7),((AA$7-$K111)/($L111-$K111)))</f>
        <v>0.45454545454545453</v>
      </c>
      <c r="AC111" s="201">
        <f t="array" ref="AC111">_xlfn.IFS(AND($K111&gt;AB$7,$L111&gt;AB$7),0,AND($K111&lt;=AB$7,$L111&lt;=AB$7),1,AND($K111&lt;=AB$7,$L111&gt;AB$7),((AB$7-$K111)/($L111-$K111)))</f>
        <v>1</v>
      </c>
      <c r="AD111" s="201">
        <f t="array" ref="AD111">_xlfn.IFS(AND($K111&gt;AC$7,$L111&gt;AC$7),0,AND($K111&lt;=AC$7,$L111&lt;=AC$7),1,AND($K111&lt;=AC$7,$L111&gt;AC$7),((AC$7-$K111)/($L111-$K111)))</f>
        <v>1</v>
      </c>
      <c r="AE111" s="201">
        <f t="array" ref="AE111">_xlfn.IFS(AND($K111&gt;AD$7,$L111&gt;AD$7),0,AND($K111&lt;=AD$7,$L111&lt;=AD$7),1,AND($K111&lt;=AD$7,$L111&gt;AD$7),((AD$7-$K111)/($L111-$K111)))</f>
        <v>1</v>
      </c>
      <c r="AF111" s="201">
        <f t="array" ref="AF111">_xlfn.IFS(AND($K111&gt;AE$7,$L111&gt;AE$7),0,AND($K111&lt;=AE$7,$L111&lt;=AE$7),1,AND($K111&lt;=AE$7,$L111&gt;AE$7),((AE$7-$K111)/($L111-$K111)))</f>
        <v>1</v>
      </c>
      <c r="AG111" s="201">
        <f t="array" ref="AG111">_xlfn.IFS(AND($K111&gt;AF$7,$L111&gt;AF$7),0,AND($K111&lt;=AF$7,$L111&lt;=AF$7),1,AND($K111&lt;=AF$7,$L111&gt;AF$7),((AF$7-$K111)/($L111-$K111)))</f>
        <v>1</v>
      </c>
      <c r="AH111" s="201">
        <f t="array" ref="AH111">_xlfn.IFS(AND($K111&gt;AG$7,$L111&gt;AG$7),0,AND($K111&lt;=AG$7,$L111&lt;=AG$7),1,AND($K111&lt;=AG$7,$L111&gt;AG$7),((AG$7-$K111)/($L111-$K111)))</f>
        <v>1</v>
      </c>
      <c r="AI111" s="201">
        <f t="array" ref="AI111">_xlfn.IFS(AND($K111&gt;AH$7,$L111&gt;AH$7),0,AND($K111&lt;=AH$7,$L111&lt;=AH$7),1,AND($K111&lt;=AH$7,$L111&gt;AH$7),((AH$7-$K111)/($L111-$K111)))</f>
        <v>1</v>
      </c>
      <c r="AJ111" s="201">
        <f t="array" ref="AJ111">_xlfn.IFS(AND($K111&gt;AI$7,$L111&gt;AI$7),0,AND($K111&lt;=AI$7,$L111&lt;=AI$7),1,AND($K111&lt;=AI$7,$L111&gt;AI$7),((AI$7-$K111)/($L111-$K111)))</f>
        <v>1</v>
      </c>
      <c r="AK111" s="201">
        <f t="array" ref="AK111">_xlfn.IFS(AND($K111&gt;AJ$7,$L111&gt;AJ$7),0,AND($K111&lt;=AJ$7,$L111&lt;=AJ$7),1,AND($K111&lt;=AJ$7,$L111&gt;AJ$7),((AJ$7-$K111)/($L111-$K111)))</f>
        <v>1</v>
      </c>
      <c r="AL111" s="201">
        <f t="array" ref="AL111">_xlfn.IFS(AND($K111&gt;AK$7,$L111&gt;AK$7),0,AND($K111&lt;=AK$7,$L111&lt;=AK$7),1,AND($K111&lt;=AK$7,$L111&gt;AK$7),((AK$7-$K111)/($L111-$K111)))</f>
        <v>1</v>
      </c>
      <c r="AM111" s="201">
        <f t="array" ref="AM111">_xlfn.IFS(AND($K111&gt;AL$7,$L111&gt;AL$7),0,AND($K111&lt;=AL$7,$L111&lt;=AL$7),1,AND($K111&lt;=AL$7,$L111&gt;AL$7),((AL$7-$K111)/($L111-$K111)))</f>
        <v>1</v>
      </c>
      <c r="AN111" s="201">
        <f t="array" ref="AN111">_xlfn.IFS(AND($K111&gt;AM$7,$L111&gt;AM$7),0,AND($K111&lt;=AM$7,$L111&lt;=AM$7),1,AND($K111&lt;=AM$7,$L111&gt;AM$7),((AM$7-$K111)/($L111-$K111)))</f>
        <v>1</v>
      </c>
      <c r="AO111" s="201">
        <f t="array" ref="AO111">_xlfn.IFS(AND($K111&gt;AN$7,$L111&gt;AN$7),0,AND($K111&lt;=AN$7,$L111&lt;=AN$7),1,AND($K111&lt;=AN$7,$L111&gt;AN$7),((AN$7-$K111)/($L111-$K111)))</f>
        <v>1</v>
      </c>
      <c r="AP111" s="201">
        <f t="array" ref="AP111">_xlfn.IFS(AND($K111&gt;AO$7,$L111&gt;AO$7),0,AND($K111&lt;=AO$7,$L111&lt;=AO$7),1,AND($K111&lt;=AO$7,$L111&gt;AO$7),((AO$7-$K111)/($L111-$K111)))</f>
        <v>1</v>
      </c>
      <c r="AQ111" s="201">
        <f t="array" ref="AQ111">_xlfn.IFS(AND($K111&gt;AP$7,$L111&gt;AP$7),0,AND($K111&lt;=AP$7,$L111&lt;=AP$7),1,AND($K111&lt;=AP$7,$L111&gt;AP$7),((AP$7-$K111)/($L111-$K111)))</f>
        <v>1</v>
      </c>
      <c r="AR111" s="201">
        <f t="array" ref="AR111">_xlfn.IFS(AND($K111&gt;AQ$7,$L111&gt;AQ$7),0,AND($K111&lt;=AQ$7,$L111&lt;=AQ$7),1,AND($K111&lt;=AQ$7,$L111&gt;AQ$7),((AQ$7-$K111)/($L111-$K111)))</f>
        <v>1</v>
      </c>
      <c r="AS111" s="201">
        <f t="array" ref="AS111">_xlfn.IFS(AND($K111&gt;AR$7,$L111&gt;AR$7),0,AND($K111&lt;=AR$7,$L111&lt;=AR$7),1,AND($K111&lt;=AR$7,$L111&gt;AR$7),((AR$7-$K111)/($L111-$K111)))</f>
        <v>1</v>
      </c>
      <c r="AT111" s="201">
        <f t="array" ref="AT111">_xlfn.IFS(AND($K111&gt;AS$7,$L111&gt;AS$7),0,AND($K111&lt;=AS$7,$L111&lt;=AS$7),1,AND($K111&lt;=AS$7,$L111&gt;AS$7),((AS$7-$K111)/($L111-$K111)))</f>
        <v>1</v>
      </c>
      <c r="AU111" s="201">
        <f t="array" ref="AU111">_xlfn.IFS(AND($K111&gt;AT$7,$L111&gt;AT$7),0,AND($K111&lt;=AT$7,$L111&lt;=AT$7),1,AND($K111&lt;=AT$7,$L111&gt;AT$7),((AT$7-$K111)/($L111-$K111)))</f>
        <v>1</v>
      </c>
      <c r="AV111" s="201">
        <f t="array" ref="AV111">_xlfn.IFS(AND($K111&gt;AU$7,$L111&gt;AU$7),0,AND($K111&lt;=AU$7,$L111&lt;=AU$7),1,AND($K111&lt;=AU$7,$L111&gt;AU$7),((AU$7-$K111)/($L111-$K111)))</f>
        <v>1</v>
      </c>
      <c r="AW111" s="201">
        <f t="array" ref="AW111">_xlfn.IFS(AND($K111&gt;AV$7,$L111&gt;AV$7),0,AND($K111&lt;=AV$7,$L111&lt;=AV$7),1,AND($K111&lt;=AV$7,$L111&gt;AV$7),((AV$7-$K111)/($L111-$K111)))</f>
        <v>1</v>
      </c>
      <c r="AX111" s="201">
        <f t="array" ref="AX111">_xlfn.IFS(AND($K111&gt;AW$7,$L111&gt;AW$7),0,AND($K111&lt;=AW$7,$L111&lt;=AW$7),1,AND($K111&lt;=AW$7,$L111&gt;AW$7),((AW$7-$K111)/($L111-$K111)))</f>
        <v>1</v>
      </c>
      <c r="AY111" s="201">
        <f t="array" ref="AY111">_xlfn.IFS(AND($K111&gt;AX$7,$L111&gt;AX$7),0,AND($K111&lt;=AX$7,$L111&lt;=AX$7),1,AND($K111&lt;=AX$7,$L111&gt;AX$7),((AX$7-$K111)/($L111-$K111)))</f>
        <v>1</v>
      </c>
      <c r="AZ111" s="201">
        <f t="array" ref="AZ111">_xlfn.IFS(AND($K111&gt;AY$7,$L111&gt;AY$7),0,AND($K111&lt;=AY$7,$L111&lt;=AY$7),1,AND($K111&lt;=AY$7,$L111&gt;AY$7),((AY$7-$K111)/($L111-$K111)))</f>
        <v>1</v>
      </c>
      <c r="BA111" s="201">
        <f t="array" ref="BA111">_xlfn.IFS(AND($K111&gt;AZ$7,$L111&gt;AZ$7),0,AND($K111&lt;=AZ$7,$L111&lt;=AZ$7),1,AND($K111&lt;=AZ$7,$L111&gt;AZ$7),((AZ$7-$K111)/($L111-$K111)))</f>
        <v>1</v>
      </c>
      <c r="BB111" s="201">
        <f t="array" ref="BB111">_xlfn.IFS(AND($K111&gt;BA$7,$L111&gt;BA$7),0,AND($K111&lt;=BA$7,$L111&lt;=BA$7),1,AND($K111&lt;=BA$7,$L111&gt;BA$7),((BA$7-$K111)/($L111-$K111)))</f>
        <v>1</v>
      </c>
      <c r="BC111" s="201">
        <f t="array" ref="BC111">_xlfn.IFS(AND($K111&gt;BB$7,$L111&gt;BB$7),0,AND($K111&lt;=BB$7,$L111&lt;=BB$7),1,AND($K111&lt;=BB$7,$L111&gt;BB$7),((BB$7-$K111)/($L111-$K111)))</f>
        <v>1</v>
      </c>
      <c r="BD111" s="201">
        <f t="array" ref="BD111">_xlfn.IFS(AND($K111&gt;BC$7,$L111&gt;BC$7),0,AND($K111&lt;=BC$7,$L111&lt;=BC$7),1,AND($K111&lt;=BC$7,$L111&gt;BC$7),((BC$7-$K111)/($L111-$K111)))</f>
        <v>1</v>
      </c>
      <c r="BE111" s="201">
        <f t="array" ref="BE111">_xlfn.IFS(AND($K111&gt;BD$7,$L111&gt;BD$7),0,AND($K111&lt;=BD$7,$L111&lt;=BD$7),1,AND($K111&lt;=BD$7,$L111&gt;BD$7),((BD$7-$K111)/($L111-$K111)))</f>
        <v>1</v>
      </c>
      <c r="BF111" s="201">
        <f t="array" ref="BF111">_xlfn.IFS(AND($K111&gt;BE$7,$L111&gt;BE$7),0,AND($K111&lt;=BE$7,$L111&lt;=BE$7),1,AND($K111&lt;=BE$7,$L111&gt;BE$7),((BE$7-$K111)/($L111-$K111)))</f>
        <v>1</v>
      </c>
      <c r="BG111" s="201">
        <f t="array" ref="BG111">_xlfn.IFS(AND($K111&gt;BF$7,$L111&gt;BF$7),0,AND($K111&lt;=BF$7,$L111&lt;=BF$7),1,AND($K111&lt;=BF$7,$L111&gt;BF$7),((BF$7-$K111)/($L111-$K111)))</f>
        <v>1</v>
      </c>
      <c r="BH111" s="201">
        <f t="array" ref="BH111">_xlfn.IFS(AND($K111&gt;BG$7,$L111&gt;BG$7),0,AND($K111&lt;=BG$7,$L111&lt;=BG$7),1,AND($K111&lt;=BG$7,$L111&gt;BG$7),((BG$7-$K111)/($L111-$K111)))</f>
        <v>1</v>
      </c>
      <c r="BI111" s="201">
        <f t="array" ref="BI111">_xlfn.IFS(AND($K111&gt;BH$7,$L111&gt;BH$7),0,AND($K111&lt;=BH$7,$L111&lt;=BH$7),1,AND($K111&lt;=BH$7,$L111&gt;BH$7),((BH$7-$K111)/($L111-$K111)))</f>
        <v>1</v>
      </c>
      <c r="BJ111" s="201">
        <f t="array" ref="BJ111">_xlfn.IFS(AND($K111&gt;BI$7,$L111&gt;BI$7),0,AND($K111&lt;=BI$7,$L111&lt;=BI$7),1,AND($K111&lt;=BI$7,$L111&gt;BI$7),((BI$7-$K111)/($L111-$K111)))</f>
        <v>1</v>
      </c>
      <c r="BK111" s="201">
        <f t="array" ref="BK111">_xlfn.IFS(AND($K111&gt;BJ$7,$L111&gt;BJ$7),0,AND($K111&lt;=BJ$7,$L111&lt;=BJ$7),1,AND($K111&lt;=BJ$7,$L111&gt;BJ$7),((BJ$7-$K111)/($L111-$K111)))</f>
        <v>1</v>
      </c>
      <c r="BL111" s="201">
        <f t="array" ref="BL111">_xlfn.IFS(AND($K111&gt;BK$7,$L111&gt;BK$7),0,AND($K111&lt;=BK$7,$L111&lt;=BK$7),1,AND($K111&lt;=BK$7,$L111&gt;BK$7),((BK$7-$K111)/($L111-$K111)))</f>
        <v>1</v>
      </c>
      <c r="BM111" s="201">
        <f t="array" ref="BM111">_xlfn.IFS(AND($K111&gt;BL$7,$L111&gt;BL$7),0,AND($K111&lt;=BL$7,$L111&lt;=BL$7),1,AND($K111&lt;=BL$7,$L111&gt;BL$7),((BL$7-$K111)/($L111-$K111)))</f>
        <v>1</v>
      </c>
      <c r="BN111" s="201">
        <f t="array" ref="BN111">_xlfn.IFS(AND($K111&gt;BM$7,$L111&gt;BM$7),0,AND($K111&lt;=BM$7,$L111&lt;=BM$7),1,AND($K111&lt;=BM$7,$L111&gt;BM$7),((BM$7-$K111)/($L111-$K111)))</f>
        <v>1</v>
      </c>
    </row>
    <row r="112" spans="2:66" s="163" customFormat="1" collapsed="1" x14ac:dyDescent="0.3">
      <c r="B112" s="166" t="str">
        <f t="array" ref="B112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12" s="166" t="s">
        <v>270</v>
      </c>
      <c r="D112" s="177"/>
      <c r="E112" s="170" t="str">
        <f t="shared" si="49"/>
        <v>Desenvolvimento da Transformação dos Processos</v>
      </c>
      <c r="F112" s="174" t="str">
        <f t="shared" si="46"/>
        <v>Transformação do Processo</v>
      </c>
      <c r="G112" s="166" t="str">
        <f t="shared" si="50"/>
        <v>Transformação do Processo</v>
      </c>
      <c r="H112" s="197" t="s">
        <v>271</v>
      </c>
      <c r="I112" s="166">
        <v>45747</v>
      </c>
      <c r="J112" s="40">
        <v>45758</v>
      </c>
      <c r="K112" s="166">
        <v>45747</v>
      </c>
      <c r="L112" s="40">
        <v>45758</v>
      </c>
      <c r="M112" s="167"/>
      <c r="N112" s="167" t="str">
        <f t="array" ref="N112">_xlfn.IFS(L112&lt;$M$3,"Concluído",AND(K112&gt;=$M$3,I112&lt;$M$3,L112&gt;$M$3),"Em andamento",AND(L112&gt;=$M$3,J112&lt;$M$3),"Atrasado",AND(L112&gt;=$M$3,J112&gt;=$M$3,I112&gt;$M$3,K112&lt;=$M$3),"Em andamento",AND(L112&gt;=$M$3,J112&gt;=$M$3,I112&lt;=$M$3,K112&lt;=$M$3),"Em andamento",AND(K112&gt;$M$3,I112&gt;$M$3),"Não iniciado",AND(L112&gt;=$M$3,J112&gt;=$M$3,K112&gt;=$M$3,I112&lt;$M$3),"Atrasado",AND(L112&gt;=$M$3,J112&gt;=$M$3,K112&gt;=$M$3,I112&gt;$M$3),"Não iniciado",AND($I112&lt;=$M$3,$K112&gt;$M$3),"Atrasado")</f>
        <v>Concluído</v>
      </c>
      <c r="O112" s="167">
        <f t="array" ref="O112">_xlfn.IFS(N112="Não iniciado",0,N112="Em andamento",1,N112="Concluído",2,N112="Atrasado",3)</f>
        <v>2</v>
      </c>
      <c r="P112" s="169"/>
      <c r="Q112" s="152">
        <f t="array" ref="Q112">_xlfn.IFS(AND($I112&lt;$M$3,$J112&lt;$M$3),1,AND($I112&lt;$M$3,$J112&gt;=$M$3),0.5,AND($I112&gt;=$M$3,$J112&gt;=$M$3),0)</f>
        <v>1</v>
      </c>
      <c r="R112" s="152">
        <f t="array" ref="R112">_xlfn.IFS(AND($K112&lt;$M$3,$L112&lt;$M$3),1,AND($K112&lt;=$M$3,$L112&gt;=$M$3),0.5,AND($K112&gt;=$M$3,$L112&gt;=$M$3),0)</f>
        <v>1</v>
      </c>
      <c r="S112" s="201">
        <f t="array" ref="S112">_xlfn.IFS(AND($K112&gt;R$7,$L112&gt;R$7),0,AND($K112&lt;=R$7,$L112&lt;=R$7),1,AND($K112&lt;=R$7,$L112&gt;R$7),((R$7-$K112)/($L112-$K112)))</f>
        <v>0</v>
      </c>
      <c r="T112" s="201">
        <f t="array" ref="T112">_xlfn.IFS(AND($K112&gt;S$7,$L112&gt;S$7),0,AND($K112&lt;=S$7,$L112&lt;=S$7),1,AND($K112&lt;=S$7,$L112&gt;S$7),((S$7-$K112)/($L112-$K112)))</f>
        <v>0</v>
      </c>
      <c r="U112" s="201">
        <f t="array" ref="U112">_xlfn.IFS(AND($K112&gt;T$7,$L112&gt;T$7),0,AND($K112&lt;=T$7,$L112&lt;=T$7),1,AND($K112&lt;=T$7,$L112&gt;T$7),((T$7-$K112)/($L112-$K112)))</f>
        <v>0</v>
      </c>
      <c r="V112" s="201">
        <f t="array" ref="V112">_xlfn.IFS(AND($K112&gt;U$7,$L112&gt;U$7),0,AND($K112&lt;=U$7,$L112&lt;=U$7),1,AND($K112&lt;=U$7,$L112&gt;U$7),((U$7-$K112)/($L112-$K112)))</f>
        <v>0</v>
      </c>
      <c r="W112" s="201">
        <f t="array" ref="W112">_xlfn.IFS(AND($K112&gt;V$7,$L112&gt;V$7),0,AND($K112&lt;=V$7,$L112&lt;=V$7),1,AND($K112&lt;=V$7,$L112&gt;V$7),((V$7-$K112)/($L112-$K112)))</f>
        <v>0</v>
      </c>
      <c r="X112" s="201">
        <f t="array" ref="X112">_xlfn.IFS(AND($K112&gt;W$7,$L112&gt;W$7),0,AND($K112&lt;=W$7,$L112&lt;=W$7),1,AND($K112&lt;=W$7,$L112&gt;W$7),((W$7-$K112)/($L112-$K112)))</f>
        <v>0</v>
      </c>
      <c r="Y112" s="201">
        <f t="array" ref="Y112">_xlfn.IFS(AND($K112&gt;X$7,$L112&gt;X$7),0,AND($K112&lt;=X$7,$L112&lt;=X$7),1,AND($K112&lt;=X$7,$L112&gt;X$7),((X$7-$K112)/($L112-$K112)))</f>
        <v>0</v>
      </c>
      <c r="Z112" s="201">
        <f t="array" ref="Z112">_xlfn.IFS(AND($K112&gt;Y$7,$L112&gt;Y$7),0,AND($K112&lt;=Y$7,$L112&lt;=Y$7),1,AND($K112&lt;=Y$7,$L112&gt;Y$7),((Y$7-$K112)/($L112-$K112)))</f>
        <v>0</v>
      </c>
      <c r="AA112" s="201">
        <f t="array" ref="AA112">_xlfn.IFS(AND($K112&gt;Z$7,$L112&gt;Z$7),0,AND($K112&lt;=Z$7,$L112&lt;=Z$7),1,AND($K112&lt;=Z$7,$L112&gt;Z$7),((Z$7-$K112)/($L112-$K112)))</f>
        <v>0</v>
      </c>
      <c r="AB112" s="201">
        <f t="array" ref="AB112">_xlfn.IFS(AND($K112&gt;AA$7,$L112&gt;AA$7),0,AND($K112&lt;=AA$7,$L112&lt;=AA$7),1,AND($K112&lt;=AA$7,$L112&gt;AA$7),((AA$7-$K112)/($L112-$K112)))</f>
        <v>0.45454545454545453</v>
      </c>
      <c r="AC112" s="201">
        <f t="array" ref="AC112">_xlfn.IFS(AND($K112&gt;AB$7,$L112&gt;AB$7),0,AND($K112&lt;=AB$7,$L112&lt;=AB$7),1,AND($K112&lt;=AB$7,$L112&gt;AB$7),((AB$7-$K112)/($L112-$K112)))</f>
        <v>1</v>
      </c>
      <c r="AD112" s="201">
        <f t="array" ref="AD112">_xlfn.IFS(AND($K112&gt;AC$7,$L112&gt;AC$7),0,AND($K112&lt;=AC$7,$L112&lt;=AC$7),1,AND($K112&lt;=AC$7,$L112&gt;AC$7),((AC$7-$K112)/($L112-$K112)))</f>
        <v>1</v>
      </c>
      <c r="AE112" s="201">
        <f t="array" ref="AE112">_xlfn.IFS(AND($K112&gt;AD$7,$L112&gt;AD$7),0,AND($K112&lt;=AD$7,$L112&lt;=AD$7),1,AND($K112&lt;=AD$7,$L112&gt;AD$7),((AD$7-$K112)/($L112-$K112)))</f>
        <v>1</v>
      </c>
      <c r="AF112" s="201">
        <f t="array" ref="AF112">_xlfn.IFS(AND($K112&gt;AE$7,$L112&gt;AE$7),0,AND($K112&lt;=AE$7,$L112&lt;=AE$7),1,AND($K112&lt;=AE$7,$L112&gt;AE$7),((AE$7-$K112)/($L112-$K112)))</f>
        <v>1</v>
      </c>
      <c r="AG112" s="201">
        <f t="array" ref="AG112">_xlfn.IFS(AND($K112&gt;AF$7,$L112&gt;AF$7),0,AND($K112&lt;=AF$7,$L112&lt;=AF$7),1,AND($K112&lt;=AF$7,$L112&gt;AF$7),((AF$7-$K112)/($L112-$K112)))</f>
        <v>1</v>
      </c>
      <c r="AH112" s="201">
        <f t="array" ref="AH112">_xlfn.IFS(AND($K112&gt;AG$7,$L112&gt;AG$7),0,AND($K112&lt;=AG$7,$L112&lt;=AG$7),1,AND($K112&lt;=AG$7,$L112&gt;AG$7),((AG$7-$K112)/($L112-$K112)))</f>
        <v>1</v>
      </c>
      <c r="AI112" s="201">
        <f t="array" ref="AI112">_xlfn.IFS(AND($K112&gt;AH$7,$L112&gt;AH$7),0,AND($K112&lt;=AH$7,$L112&lt;=AH$7),1,AND($K112&lt;=AH$7,$L112&gt;AH$7),((AH$7-$K112)/($L112-$K112)))</f>
        <v>1</v>
      </c>
      <c r="AJ112" s="201">
        <f t="array" ref="AJ112">_xlfn.IFS(AND($K112&gt;AI$7,$L112&gt;AI$7),0,AND($K112&lt;=AI$7,$L112&lt;=AI$7),1,AND($K112&lt;=AI$7,$L112&gt;AI$7),((AI$7-$K112)/($L112-$K112)))</f>
        <v>1</v>
      </c>
      <c r="AK112" s="201">
        <f t="array" ref="AK112">_xlfn.IFS(AND($K112&gt;AJ$7,$L112&gt;AJ$7),0,AND($K112&lt;=AJ$7,$L112&lt;=AJ$7),1,AND($K112&lt;=AJ$7,$L112&gt;AJ$7),((AJ$7-$K112)/($L112-$K112)))</f>
        <v>1</v>
      </c>
      <c r="AL112" s="201">
        <f t="array" ref="AL112">_xlfn.IFS(AND($K112&gt;AK$7,$L112&gt;AK$7),0,AND($K112&lt;=AK$7,$L112&lt;=AK$7),1,AND($K112&lt;=AK$7,$L112&gt;AK$7),((AK$7-$K112)/($L112-$K112)))</f>
        <v>1</v>
      </c>
      <c r="AM112" s="201">
        <f t="array" ref="AM112">_xlfn.IFS(AND($K112&gt;AL$7,$L112&gt;AL$7),0,AND($K112&lt;=AL$7,$L112&lt;=AL$7),1,AND($K112&lt;=AL$7,$L112&gt;AL$7),((AL$7-$K112)/($L112-$K112)))</f>
        <v>1</v>
      </c>
      <c r="AN112" s="201">
        <f t="array" ref="AN112">_xlfn.IFS(AND($K112&gt;AM$7,$L112&gt;AM$7),0,AND($K112&lt;=AM$7,$L112&lt;=AM$7),1,AND($K112&lt;=AM$7,$L112&gt;AM$7),((AM$7-$K112)/($L112-$K112)))</f>
        <v>1</v>
      </c>
      <c r="AO112" s="201">
        <f t="array" ref="AO112">_xlfn.IFS(AND($K112&gt;AN$7,$L112&gt;AN$7),0,AND($K112&lt;=AN$7,$L112&lt;=AN$7),1,AND($K112&lt;=AN$7,$L112&gt;AN$7),((AN$7-$K112)/($L112-$K112)))</f>
        <v>1</v>
      </c>
      <c r="AP112" s="201">
        <f t="array" ref="AP112">_xlfn.IFS(AND($K112&gt;AO$7,$L112&gt;AO$7),0,AND($K112&lt;=AO$7,$L112&lt;=AO$7),1,AND($K112&lt;=AO$7,$L112&gt;AO$7),((AO$7-$K112)/($L112-$K112)))</f>
        <v>1</v>
      </c>
      <c r="AQ112" s="201">
        <f t="array" ref="AQ112">_xlfn.IFS(AND($K112&gt;AP$7,$L112&gt;AP$7),0,AND($K112&lt;=AP$7,$L112&lt;=AP$7),1,AND($K112&lt;=AP$7,$L112&gt;AP$7),((AP$7-$K112)/($L112-$K112)))</f>
        <v>1</v>
      </c>
      <c r="AR112" s="201">
        <f t="array" ref="AR112">_xlfn.IFS(AND($K112&gt;AQ$7,$L112&gt;AQ$7),0,AND($K112&lt;=AQ$7,$L112&lt;=AQ$7),1,AND($K112&lt;=AQ$7,$L112&gt;AQ$7),((AQ$7-$K112)/($L112-$K112)))</f>
        <v>1</v>
      </c>
      <c r="AS112" s="201">
        <f t="array" ref="AS112">_xlfn.IFS(AND($K112&gt;AR$7,$L112&gt;AR$7),0,AND($K112&lt;=AR$7,$L112&lt;=AR$7),1,AND($K112&lt;=AR$7,$L112&gt;AR$7),((AR$7-$K112)/($L112-$K112)))</f>
        <v>1</v>
      </c>
      <c r="AT112" s="201">
        <f t="array" ref="AT112">_xlfn.IFS(AND($K112&gt;AS$7,$L112&gt;AS$7),0,AND($K112&lt;=AS$7,$L112&lt;=AS$7),1,AND($K112&lt;=AS$7,$L112&gt;AS$7),((AS$7-$K112)/($L112-$K112)))</f>
        <v>1</v>
      </c>
      <c r="AU112" s="201">
        <f t="array" ref="AU112">_xlfn.IFS(AND($K112&gt;AT$7,$L112&gt;AT$7),0,AND($K112&lt;=AT$7,$L112&lt;=AT$7),1,AND($K112&lt;=AT$7,$L112&gt;AT$7),((AT$7-$K112)/($L112-$K112)))</f>
        <v>1</v>
      </c>
      <c r="AV112" s="201">
        <f t="array" ref="AV112">_xlfn.IFS(AND($K112&gt;AU$7,$L112&gt;AU$7),0,AND($K112&lt;=AU$7,$L112&lt;=AU$7),1,AND($K112&lt;=AU$7,$L112&gt;AU$7),((AU$7-$K112)/($L112-$K112)))</f>
        <v>1</v>
      </c>
      <c r="AW112" s="201">
        <f t="array" ref="AW112">_xlfn.IFS(AND($K112&gt;AV$7,$L112&gt;AV$7),0,AND($K112&lt;=AV$7,$L112&lt;=AV$7),1,AND($K112&lt;=AV$7,$L112&gt;AV$7),((AV$7-$K112)/($L112-$K112)))</f>
        <v>1</v>
      </c>
      <c r="AX112" s="201">
        <f t="array" ref="AX112">_xlfn.IFS(AND($K112&gt;AW$7,$L112&gt;AW$7),0,AND($K112&lt;=AW$7,$L112&lt;=AW$7),1,AND($K112&lt;=AW$7,$L112&gt;AW$7),((AW$7-$K112)/($L112-$K112)))</f>
        <v>1</v>
      </c>
      <c r="AY112" s="201">
        <f t="array" ref="AY112">_xlfn.IFS(AND($K112&gt;AX$7,$L112&gt;AX$7),0,AND($K112&lt;=AX$7,$L112&lt;=AX$7),1,AND($K112&lt;=AX$7,$L112&gt;AX$7),((AX$7-$K112)/($L112-$K112)))</f>
        <v>1</v>
      </c>
      <c r="AZ112" s="201">
        <f t="array" ref="AZ112">_xlfn.IFS(AND($K112&gt;AY$7,$L112&gt;AY$7),0,AND($K112&lt;=AY$7,$L112&lt;=AY$7),1,AND($K112&lt;=AY$7,$L112&gt;AY$7),((AY$7-$K112)/($L112-$K112)))</f>
        <v>1</v>
      </c>
      <c r="BA112" s="201">
        <f t="array" ref="BA112">_xlfn.IFS(AND($K112&gt;AZ$7,$L112&gt;AZ$7),0,AND($K112&lt;=AZ$7,$L112&lt;=AZ$7),1,AND($K112&lt;=AZ$7,$L112&gt;AZ$7),((AZ$7-$K112)/($L112-$K112)))</f>
        <v>1</v>
      </c>
      <c r="BB112" s="201">
        <f t="array" ref="BB112">_xlfn.IFS(AND($K112&gt;BA$7,$L112&gt;BA$7),0,AND($K112&lt;=BA$7,$L112&lt;=BA$7),1,AND($K112&lt;=BA$7,$L112&gt;BA$7),((BA$7-$K112)/($L112-$K112)))</f>
        <v>1</v>
      </c>
      <c r="BC112" s="201">
        <f t="array" ref="BC112">_xlfn.IFS(AND($K112&gt;BB$7,$L112&gt;BB$7),0,AND($K112&lt;=BB$7,$L112&lt;=BB$7),1,AND($K112&lt;=BB$7,$L112&gt;BB$7),((BB$7-$K112)/($L112-$K112)))</f>
        <v>1</v>
      </c>
      <c r="BD112" s="201">
        <f t="array" ref="BD112">_xlfn.IFS(AND($K112&gt;BC$7,$L112&gt;BC$7),0,AND($K112&lt;=BC$7,$L112&lt;=BC$7),1,AND($K112&lt;=BC$7,$L112&gt;BC$7),((BC$7-$K112)/($L112-$K112)))</f>
        <v>1</v>
      </c>
      <c r="BE112" s="201">
        <f t="array" ref="BE112">_xlfn.IFS(AND($K112&gt;BD$7,$L112&gt;BD$7),0,AND($K112&lt;=BD$7,$L112&lt;=BD$7),1,AND($K112&lt;=BD$7,$L112&gt;BD$7),((BD$7-$K112)/($L112-$K112)))</f>
        <v>1</v>
      </c>
      <c r="BF112" s="201">
        <f t="array" ref="BF112">_xlfn.IFS(AND($K112&gt;BE$7,$L112&gt;BE$7),0,AND($K112&lt;=BE$7,$L112&lt;=BE$7),1,AND($K112&lt;=BE$7,$L112&gt;BE$7),((BE$7-$K112)/($L112-$K112)))</f>
        <v>1</v>
      </c>
      <c r="BG112" s="201">
        <f t="array" ref="BG112">_xlfn.IFS(AND($K112&gt;BF$7,$L112&gt;BF$7),0,AND($K112&lt;=BF$7,$L112&lt;=BF$7),1,AND($K112&lt;=BF$7,$L112&gt;BF$7),((BF$7-$K112)/($L112-$K112)))</f>
        <v>1</v>
      </c>
      <c r="BH112" s="201">
        <f t="array" ref="BH112">_xlfn.IFS(AND($K112&gt;BG$7,$L112&gt;BG$7),0,AND($K112&lt;=BG$7,$L112&lt;=BG$7),1,AND($K112&lt;=BG$7,$L112&gt;BG$7),((BG$7-$K112)/($L112-$K112)))</f>
        <v>1</v>
      </c>
      <c r="BI112" s="201">
        <f t="array" ref="BI112">_xlfn.IFS(AND($K112&gt;BH$7,$L112&gt;BH$7),0,AND($K112&lt;=BH$7,$L112&lt;=BH$7),1,AND($K112&lt;=BH$7,$L112&gt;BH$7),((BH$7-$K112)/($L112-$K112)))</f>
        <v>1</v>
      </c>
      <c r="BJ112" s="201">
        <f t="array" ref="BJ112">_xlfn.IFS(AND($K112&gt;BI$7,$L112&gt;BI$7),0,AND($K112&lt;=BI$7,$L112&lt;=BI$7),1,AND($K112&lt;=BI$7,$L112&gt;BI$7),((BI$7-$K112)/($L112-$K112)))</f>
        <v>1</v>
      </c>
      <c r="BK112" s="201">
        <f t="array" ref="BK112">_xlfn.IFS(AND($K112&gt;BJ$7,$L112&gt;BJ$7),0,AND($K112&lt;=BJ$7,$L112&lt;=BJ$7),1,AND($K112&lt;=BJ$7,$L112&gt;BJ$7),((BJ$7-$K112)/($L112-$K112)))</f>
        <v>1</v>
      </c>
      <c r="BL112" s="201">
        <f t="array" ref="BL112">_xlfn.IFS(AND($K112&gt;BK$7,$L112&gt;BK$7),0,AND($K112&lt;=BK$7,$L112&lt;=BK$7),1,AND($K112&lt;=BK$7,$L112&gt;BK$7),((BK$7-$K112)/($L112-$K112)))</f>
        <v>1</v>
      </c>
      <c r="BM112" s="201">
        <f t="array" ref="BM112">_xlfn.IFS(AND($K112&gt;BL$7,$L112&gt;BL$7),0,AND($K112&lt;=BL$7,$L112&lt;=BL$7),1,AND($K112&lt;=BL$7,$L112&gt;BL$7),((BL$7-$K112)/($L112-$K112)))</f>
        <v>1</v>
      </c>
      <c r="BN112" s="201">
        <f t="array" ref="BN112">_xlfn.IFS(AND($K112&gt;BM$7,$L112&gt;BM$7),0,AND($K112&lt;=BM$7,$L112&lt;=BM$7),1,AND($K112&lt;=BM$7,$L112&gt;BM$7),((BM$7-$K112)/($L112-$K112)))</f>
        <v>1</v>
      </c>
    </row>
    <row r="113" spans="2:66" s="163" customFormat="1" ht="27.6" customHeight="1" collapsed="1" x14ac:dyDescent="0.3">
      <c r="B113" s="166" t="str">
        <f t="array" ref="B113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13" s="166" t="s">
        <v>272</v>
      </c>
      <c r="D113" s="177"/>
      <c r="E113" s="170" t="str">
        <f t="shared" si="49"/>
        <v>Desenvolvimento da Transformação dos Processos</v>
      </c>
      <c r="F113" s="174" t="str">
        <f t="shared" si="46"/>
        <v>Transformação do Processo</v>
      </c>
      <c r="G113" s="166" t="str">
        <f t="shared" si="50"/>
        <v>Transformação do Processo</v>
      </c>
      <c r="H113" s="197" t="s">
        <v>273</v>
      </c>
      <c r="I113" s="166">
        <v>45782</v>
      </c>
      <c r="J113" s="40">
        <v>45786</v>
      </c>
      <c r="K113" s="166">
        <v>45782</v>
      </c>
      <c r="L113" s="40">
        <v>45786</v>
      </c>
      <c r="M113" s="167"/>
      <c r="N113" s="167" t="str">
        <f t="array" ref="N113">_xlfn.IFS(L113&lt;$M$3,"Concluído",AND(K113&gt;=$M$3,I113&lt;$M$3,L113&gt;$M$3),"Em andamento",AND(L113&gt;=$M$3,J113&lt;$M$3),"Atrasado",AND(L113&gt;=$M$3,J113&gt;=$M$3,I113&gt;$M$3,K113&lt;=$M$3),"Em andamento",AND(L113&gt;=$M$3,J113&gt;=$M$3,I113&lt;=$M$3,K113&lt;=$M$3),"Em andamento",AND(K113&gt;$M$3,I113&gt;$M$3),"Não iniciado",AND(L113&gt;=$M$3,J113&gt;=$M$3,K113&gt;=$M$3,I113&lt;$M$3),"Atrasado",AND(L113&gt;=$M$3,J113&gt;=$M$3,K113&gt;=$M$3,I113&gt;$M$3),"Não iniciado",AND($I113&lt;=$M$3,$K113&gt;$M$3),"Atrasado")</f>
        <v>Concluído</v>
      </c>
      <c r="O113" s="167">
        <f t="array" ref="O113">_xlfn.IFS(N113="Não iniciado",0,N113="Em andamento",1,N113="Concluído",2,N113="Atrasado",3)</f>
        <v>2</v>
      </c>
      <c r="P113" s="169"/>
      <c r="Q113" s="152">
        <f t="array" ref="Q113">_xlfn.IFS(AND($I113&lt;$M$3,$J113&lt;$M$3),1,AND($I113&lt;$M$3,$J113&gt;=$M$3),0.5,AND($I113&gt;=$M$3,$J113&gt;=$M$3),0)</f>
        <v>1</v>
      </c>
      <c r="R113" s="152">
        <f t="array" ref="R113">_xlfn.IFS(AND($K113&lt;$M$3,$L113&lt;$M$3),1,AND($K113&lt;=$M$3,$L113&gt;=$M$3),0.5,AND($K113&gt;=$M$3,$L113&gt;=$M$3),0)</f>
        <v>1</v>
      </c>
      <c r="S113" s="201">
        <f t="array" ref="S113">_xlfn.IFS(AND($K113&gt;R$7,$L113&gt;R$7),0,AND($K113&lt;=R$7,$L113&lt;=R$7),1,AND($K113&lt;=R$7,$L113&gt;R$7),((R$7-$K113)/($L113-$K113)))</f>
        <v>0</v>
      </c>
      <c r="T113" s="201">
        <f t="array" ref="T113">_xlfn.IFS(AND($K113&gt;S$7,$L113&gt;S$7),0,AND($K113&lt;=S$7,$L113&lt;=S$7),1,AND($K113&lt;=S$7,$L113&gt;S$7),((S$7-$K113)/($L113-$K113)))</f>
        <v>0</v>
      </c>
      <c r="U113" s="201">
        <f t="array" ref="U113">_xlfn.IFS(AND($K113&gt;T$7,$L113&gt;T$7),0,AND($K113&lt;=T$7,$L113&lt;=T$7),1,AND($K113&lt;=T$7,$L113&gt;T$7),((T$7-$K113)/($L113-$K113)))</f>
        <v>0</v>
      </c>
      <c r="V113" s="201">
        <f t="array" ref="V113">_xlfn.IFS(AND($K113&gt;U$7,$L113&gt;U$7),0,AND($K113&lt;=U$7,$L113&lt;=U$7),1,AND($K113&lt;=U$7,$L113&gt;U$7),((U$7-$K113)/($L113-$K113)))</f>
        <v>0</v>
      </c>
      <c r="W113" s="201">
        <f t="array" ref="W113">_xlfn.IFS(AND($K113&gt;V$7,$L113&gt;V$7),0,AND($K113&lt;=V$7,$L113&lt;=V$7),1,AND($K113&lt;=V$7,$L113&gt;V$7),((V$7-$K113)/($L113-$K113)))</f>
        <v>0</v>
      </c>
      <c r="X113" s="201">
        <f t="array" ref="X113">_xlfn.IFS(AND($K113&gt;W$7,$L113&gt;W$7),0,AND($K113&lt;=W$7,$L113&lt;=W$7),1,AND($K113&lt;=W$7,$L113&gt;W$7),((W$7-$K113)/($L113-$K113)))</f>
        <v>0</v>
      </c>
      <c r="Y113" s="201">
        <f t="array" ref="Y113">_xlfn.IFS(AND($K113&gt;X$7,$L113&gt;X$7),0,AND($K113&lt;=X$7,$L113&lt;=X$7),1,AND($K113&lt;=X$7,$L113&gt;X$7),((X$7-$K113)/($L113-$K113)))</f>
        <v>0</v>
      </c>
      <c r="Z113" s="201">
        <f t="array" ref="Z113">_xlfn.IFS(AND($K113&gt;Y$7,$L113&gt;Y$7),0,AND($K113&lt;=Y$7,$L113&lt;=Y$7),1,AND($K113&lt;=Y$7,$L113&gt;Y$7),((Y$7-$K113)/($L113-$K113)))</f>
        <v>0</v>
      </c>
      <c r="AA113" s="201">
        <f t="array" ref="AA113">_xlfn.IFS(AND($K113&gt;Z$7,$L113&gt;Z$7),0,AND($K113&lt;=Z$7,$L113&lt;=Z$7),1,AND($K113&lt;=Z$7,$L113&gt;Z$7),((Z$7-$K113)/($L113-$K113)))</f>
        <v>0</v>
      </c>
      <c r="AB113" s="201">
        <f t="array" ref="AB113">_xlfn.IFS(AND($K113&gt;AA$7,$L113&gt;AA$7),0,AND($K113&lt;=AA$7,$L113&lt;=AA$7),1,AND($K113&lt;=AA$7,$L113&gt;AA$7),((AA$7-$K113)/($L113-$K113)))</f>
        <v>0</v>
      </c>
      <c r="AC113" s="201">
        <f t="array" ref="AC113">_xlfn.IFS(AND($K113&gt;AB$7,$L113&gt;AB$7),0,AND($K113&lt;=AB$7,$L113&lt;=AB$7),1,AND($K113&lt;=AB$7,$L113&gt;AB$7),((AB$7-$K113)/($L113-$K113)))</f>
        <v>0</v>
      </c>
      <c r="AD113" s="201">
        <f t="array" ref="AD113">_xlfn.IFS(AND($K113&gt;AC$7,$L113&gt;AC$7),0,AND($K113&lt;=AC$7,$L113&lt;=AC$7),1,AND($K113&lt;=AC$7,$L113&gt;AC$7),((AC$7-$K113)/($L113-$K113)))</f>
        <v>0</v>
      </c>
      <c r="AE113" s="201">
        <f t="array" ref="AE113">_xlfn.IFS(AND($K113&gt;AD$7,$L113&gt;AD$7),0,AND($K113&lt;=AD$7,$L113&lt;=AD$7),1,AND($K113&lt;=AD$7,$L113&gt;AD$7),((AD$7-$K113)/($L113-$K113)))</f>
        <v>0</v>
      </c>
      <c r="AF113" s="201">
        <f t="array" ref="AF113">_xlfn.IFS(AND($K113&gt;AE$7,$L113&gt;AE$7),0,AND($K113&lt;=AE$7,$L113&lt;=AE$7),1,AND($K113&lt;=AE$7,$L113&gt;AE$7),((AE$7-$K113)/($L113-$K113)))</f>
        <v>0</v>
      </c>
      <c r="AG113" s="201">
        <f t="array" ref="AG113">_xlfn.IFS(AND($K113&gt;AF$7,$L113&gt;AF$7),0,AND($K113&lt;=AF$7,$L113&lt;=AF$7),1,AND($K113&lt;=AF$7,$L113&gt;AF$7),((AF$7-$K113)/($L113-$K113)))</f>
        <v>1</v>
      </c>
      <c r="AH113" s="201">
        <f t="array" ref="AH113">_xlfn.IFS(AND($K113&gt;AG$7,$L113&gt;AG$7),0,AND($K113&lt;=AG$7,$L113&lt;=AG$7),1,AND($K113&lt;=AG$7,$L113&gt;AG$7),((AG$7-$K113)/($L113-$K113)))</f>
        <v>1</v>
      </c>
      <c r="AI113" s="201">
        <f t="array" ref="AI113">_xlfn.IFS(AND($K113&gt;AH$7,$L113&gt;AH$7),0,AND($K113&lt;=AH$7,$L113&lt;=AH$7),1,AND($K113&lt;=AH$7,$L113&gt;AH$7),((AH$7-$K113)/($L113-$K113)))</f>
        <v>1</v>
      </c>
      <c r="AJ113" s="201">
        <f t="array" ref="AJ113">_xlfn.IFS(AND($K113&gt;AI$7,$L113&gt;AI$7),0,AND($K113&lt;=AI$7,$L113&lt;=AI$7),1,AND($K113&lt;=AI$7,$L113&gt;AI$7),((AI$7-$K113)/($L113-$K113)))</f>
        <v>1</v>
      </c>
      <c r="AK113" s="201">
        <f t="array" ref="AK113">_xlfn.IFS(AND($K113&gt;AJ$7,$L113&gt;AJ$7),0,AND($K113&lt;=AJ$7,$L113&lt;=AJ$7),1,AND($K113&lt;=AJ$7,$L113&gt;AJ$7),((AJ$7-$K113)/($L113-$K113)))</f>
        <v>1</v>
      </c>
      <c r="AL113" s="201">
        <f t="array" ref="AL113">_xlfn.IFS(AND($K113&gt;AK$7,$L113&gt;AK$7),0,AND($K113&lt;=AK$7,$L113&lt;=AK$7),1,AND($K113&lt;=AK$7,$L113&gt;AK$7),((AK$7-$K113)/($L113-$K113)))</f>
        <v>1</v>
      </c>
      <c r="AM113" s="201">
        <f t="array" ref="AM113">_xlfn.IFS(AND($K113&gt;AL$7,$L113&gt;AL$7),0,AND($K113&lt;=AL$7,$L113&lt;=AL$7),1,AND($K113&lt;=AL$7,$L113&gt;AL$7),((AL$7-$K113)/($L113-$K113)))</f>
        <v>1</v>
      </c>
      <c r="AN113" s="201">
        <f t="array" ref="AN113">_xlfn.IFS(AND($K113&gt;AM$7,$L113&gt;AM$7),0,AND($K113&lt;=AM$7,$L113&lt;=AM$7),1,AND($K113&lt;=AM$7,$L113&gt;AM$7),((AM$7-$K113)/($L113-$K113)))</f>
        <v>1</v>
      </c>
      <c r="AO113" s="201">
        <f t="array" ref="AO113">_xlfn.IFS(AND($K113&gt;AN$7,$L113&gt;AN$7),0,AND($K113&lt;=AN$7,$L113&lt;=AN$7),1,AND($K113&lt;=AN$7,$L113&gt;AN$7),((AN$7-$K113)/($L113-$K113)))</f>
        <v>1</v>
      </c>
      <c r="AP113" s="201">
        <f t="array" ref="AP113">_xlfn.IFS(AND($K113&gt;AO$7,$L113&gt;AO$7),0,AND($K113&lt;=AO$7,$L113&lt;=AO$7),1,AND($K113&lt;=AO$7,$L113&gt;AO$7),((AO$7-$K113)/($L113-$K113)))</f>
        <v>1</v>
      </c>
      <c r="AQ113" s="201">
        <f t="array" ref="AQ113">_xlfn.IFS(AND($K113&gt;AP$7,$L113&gt;AP$7),0,AND($K113&lt;=AP$7,$L113&lt;=AP$7),1,AND($K113&lt;=AP$7,$L113&gt;AP$7),((AP$7-$K113)/($L113-$K113)))</f>
        <v>1</v>
      </c>
      <c r="AR113" s="201">
        <f t="array" ref="AR113">_xlfn.IFS(AND($K113&gt;AQ$7,$L113&gt;AQ$7),0,AND($K113&lt;=AQ$7,$L113&lt;=AQ$7),1,AND($K113&lt;=AQ$7,$L113&gt;AQ$7),((AQ$7-$K113)/($L113-$K113)))</f>
        <v>1</v>
      </c>
      <c r="AS113" s="201">
        <f t="array" ref="AS113">_xlfn.IFS(AND($K113&gt;AR$7,$L113&gt;AR$7),0,AND($K113&lt;=AR$7,$L113&lt;=AR$7),1,AND($K113&lt;=AR$7,$L113&gt;AR$7),((AR$7-$K113)/($L113-$K113)))</f>
        <v>1</v>
      </c>
      <c r="AT113" s="201">
        <f t="array" ref="AT113">_xlfn.IFS(AND($K113&gt;AS$7,$L113&gt;AS$7),0,AND($K113&lt;=AS$7,$L113&lt;=AS$7),1,AND($K113&lt;=AS$7,$L113&gt;AS$7),((AS$7-$K113)/($L113-$K113)))</f>
        <v>1</v>
      </c>
      <c r="AU113" s="201">
        <f t="array" ref="AU113">_xlfn.IFS(AND($K113&gt;AT$7,$L113&gt;AT$7),0,AND($K113&lt;=AT$7,$L113&lt;=AT$7),1,AND($K113&lt;=AT$7,$L113&gt;AT$7),((AT$7-$K113)/($L113-$K113)))</f>
        <v>1</v>
      </c>
      <c r="AV113" s="201">
        <f t="array" ref="AV113">_xlfn.IFS(AND($K113&gt;AU$7,$L113&gt;AU$7),0,AND($K113&lt;=AU$7,$L113&lt;=AU$7),1,AND($K113&lt;=AU$7,$L113&gt;AU$7),((AU$7-$K113)/($L113-$K113)))</f>
        <v>1</v>
      </c>
      <c r="AW113" s="201">
        <f t="array" ref="AW113">_xlfn.IFS(AND($K113&gt;AV$7,$L113&gt;AV$7),0,AND($K113&lt;=AV$7,$L113&lt;=AV$7),1,AND($K113&lt;=AV$7,$L113&gt;AV$7),((AV$7-$K113)/($L113-$K113)))</f>
        <v>1</v>
      </c>
      <c r="AX113" s="201">
        <f t="array" ref="AX113">_xlfn.IFS(AND($K113&gt;AW$7,$L113&gt;AW$7),0,AND($K113&lt;=AW$7,$L113&lt;=AW$7),1,AND($K113&lt;=AW$7,$L113&gt;AW$7),((AW$7-$K113)/($L113-$K113)))</f>
        <v>1</v>
      </c>
      <c r="AY113" s="201">
        <f t="array" ref="AY113">_xlfn.IFS(AND($K113&gt;AX$7,$L113&gt;AX$7),0,AND($K113&lt;=AX$7,$L113&lt;=AX$7),1,AND($K113&lt;=AX$7,$L113&gt;AX$7),((AX$7-$K113)/($L113-$K113)))</f>
        <v>1</v>
      </c>
      <c r="AZ113" s="201">
        <f t="array" ref="AZ113">_xlfn.IFS(AND($K113&gt;AY$7,$L113&gt;AY$7),0,AND($K113&lt;=AY$7,$L113&lt;=AY$7),1,AND($K113&lt;=AY$7,$L113&gt;AY$7),((AY$7-$K113)/($L113-$K113)))</f>
        <v>1</v>
      </c>
      <c r="BA113" s="201">
        <f t="array" ref="BA113">_xlfn.IFS(AND($K113&gt;AZ$7,$L113&gt;AZ$7),0,AND($K113&lt;=AZ$7,$L113&lt;=AZ$7),1,AND($K113&lt;=AZ$7,$L113&gt;AZ$7),((AZ$7-$K113)/($L113-$K113)))</f>
        <v>1</v>
      </c>
      <c r="BB113" s="201">
        <f t="array" ref="BB113">_xlfn.IFS(AND($K113&gt;BA$7,$L113&gt;BA$7),0,AND($K113&lt;=BA$7,$L113&lt;=BA$7),1,AND($K113&lt;=BA$7,$L113&gt;BA$7),((BA$7-$K113)/($L113-$K113)))</f>
        <v>1</v>
      </c>
      <c r="BC113" s="201">
        <f t="array" ref="BC113">_xlfn.IFS(AND($K113&gt;BB$7,$L113&gt;BB$7),0,AND($K113&lt;=BB$7,$L113&lt;=BB$7),1,AND($K113&lt;=BB$7,$L113&gt;BB$7),((BB$7-$K113)/($L113-$K113)))</f>
        <v>1</v>
      </c>
      <c r="BD113" s="201">
        <f t="array" ref="BD113">_xlfn.IFS(AND($K113&gt;BC$7,$L113&gt;BC$7),0,AND($K113&lt;=BC$7,$L113&lt;=BC$7),1,AND($K113&lt;=BC$7,$L113&gt;BC$7),((BC$7-$K113)/($L113-$K113)))</f>
        <v>1</v>
      </c>
      <c r="BE113" s="201">
        <f t="array" ref="BE113">_xlfn.IFS(AND($K113&gt;BD$7,$L113&gt;BD$7),0,AND($K113&lt;=BD$7,$L113&lt;=BD$7),1,AND($K113&lt;=BD$7,$L113&gt;BD$7),((BD$7-$K113)/($L113-$K113)))</f>
        <v>1</v>
      </c>
      <c r="BF113" s="201">
        <f t="array" ref="BF113">_xlfn.IFS(AND($K113&gt;BE$7,$L113&gt;BE$7),0,AND($K113&lt;=BE$7,$L113&lt;=BE$7),1,AND($K113&lt;=BE$7,$L113&gt;BE$7),((BE$7-$K113)/($L113-$K113)))</f>
        <v>1</v>
      </c>
      <c r="BG113" s="201">
        <f t="array" ref="BG113">_xlfn.IFS(AND($K113&gt;BF$7,$L113&gt;BF$7),0,AND($K113&lt;=BF$7,$L113&lt;=BF$7),1,AND($K113&lt;=BF$7,$L113&gt;BF$7),((BF$7-$K113)/($L113-$K113)))</f>
        <v>1</v>
      </c>
      <c r="BH113" s="201">
        <f t="array" ref="BH113">_xlfn.IFS(AND($K113&gt;BG$7,$L113&gt;BG$7),0,AND($K113&lt;=BG$7,$L113&lt;=BG$7),1,AND($K113&lt;=BG$7,$L113&gt;BG$7),((BG$7-$K113)/($L113-$K113)))</f>
        <v>1</v>
      </c>
      <c r="BI113" s="201">
        <f t="array" ref="BI113">_xlfn.IFS(AND($K113&gt;BH$7,$L113&gt;BH$7),0,AND($K113&lt;=BH$7,$L113&lt;=BH$7),1,AND($K113&lt;=BH$7,$L113&gt;BH$7),((BH$7-$K113)/($L113-$K113)))</f>
        <v>1</v>
      </c>
      <c r="BJ113" s="201">
        <f t="array" ref="BJ113">_xlfn.IFS(AND($K113&gt;BI$7,$L113&gt;BI$7),0,AND($K113&lt;=BI$7,$L113&lt;=BI$7),1,AND($K113&lt;=BI$7,$L113&gt;BI$7),((BI$7-$K113)/($L113-$K113)))</f>
        <v>1</v>
      </c>
      <c r="BK113" s="201">
        <f t="array" ref="BK113">_xlfn.IFS(AND($K113&gt;BJ$7,$L113&gt;BJ$7),0,AND($K113&lt;=BJ$7,$L113&lt;=BJ$7),1,AND($K113&lt;=BJ$7,$L113&gt;BJ$7),((BJ$7-$K113)/($L113-$K113)))</f>
        <v>1</v>
      </c>
      <c r="BL113" s="201">
        <f t="array" ref="BL113">_xlfn.IFS(AND($K113&gt;BK$7,$L113&gt;BK$7),0,AND($K113&lt;=BK$7,$L113&lt;=BK$7),1,AND($K113&lt;=BK$7,$L113&gt;BK$7),((BK$7-$K113)/($L113-$K113)))</f>
        <v>1</v>
      </c>
      <c r="BM113" s="201">
        <f t="array" ref="BM113">_xlfn.IFS(AND($K113&gt;BL$7,$L113&gt;BL$7),0,AND($K113&lt;=BL$7,$L113&lt;=BL$7),1,AND($K113&lt;=BL$7,$L113&gt;BL$7),((BL$7-$K113)/($L113-$K113)))</f>
        <v>1</v>
      </c>
      <c r="BN113" s="201">
        <f t="array" ref="BN113">_xlfn.IFS(AND($K113&gt;BM$7,$L113&gt;BM$7),0,AND($K113&lt;=BM$7,$L113&lt;=BM$7),1,AND($K113&lt;=BM$7,$L113&gt;BM$7),((BM$7-$K113)/($L113-$K113)))</f>
        <v>1</v>
      </c>
    </row>
    <row r="114" spans="2:66" s="163" customFormat="1" ht="27.6" customHeight="1" collapsed="1" x14ac:dyDescent="0.3">
      <c r="B114" s="166" t="str">
        <f t="array" ref="B114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14" s="166" t="s">
        <v>274</v>
      </c>
      <c r="D114" s="177"/>
      <c r="E114" s="170" t="str">
        <f t="shared" si="49"/>
        <v>Desenvolvimento da Transformação dos Processos</v>
      </c>
      <c r="F114" s="174" t="str">
        <f t="shared" si="46"/>
        <v>Transformação do Processo</v>
      </c>
      <c r="G114" s="166" t="str">
        <f t="shared" si="50"/>
        <v>Transformação do Processo</v>
      </c>
      <c r="H114" s="197" t="s">
        <v>275</v>
      </c>
      <c r="I114" s="166">
        <v>45782</v>
      </c>
      <c r="J114" s="40">
        <v>45800</v>
      </c>
      <c r="K114" s="166">
        <v>45782</v>
      </c>
      <c r="L114" s="40">
        <v>45800</v>
      </c>
      <c r="M114" s="167"/>
      <c r="N114" s="167" t="str">
        <f t="array" ref="N114">_xlfn.IFS(L114&lt;$M$3,"Concluído",AND(K114&gt;=$M$3,I114&lt;$M$3,L114&gt;$M$3),"Em andamento",AND(L114&gt;=$M$3,J114&lt;$M$3),"Atrasado",AND(L114&gt;=$M$3,J114&gt;=$M$3,I114&gt;$M$3,K114&lt;=$M$3),"Em andamento",AND(L114&gt;=$M$3,J114&gt;=$M$3,I114&lt;=$M$3,K114&lt;=$M$3),"Em andamento",AND(K114&gt;$M$3,I114&gt;$M$3),"Não iniciado",AND(L114&gt;=$M$3,J114&gt;=$M$3,K114&gt;=$M$3,I114&lt;$M$3),"Atrasado",AND(L114&gt;=$M$3,J114&gt;=$M$3,K114&gt;=$M$3,I114&gt;$M$3),"Não iniciado",AND($I114&lt;=$M$3,$K114&gt;$M$3),"Atrasado")</f>
        <v>Concluído</v>
      </c>
      <c r="O114" s="167">
        <f t="array" ref="O114">_xlfn.IFS(N114="Não iniciado",0,N114="Em andamento",1,N114="Concluído",2,N114="Atrasado",3)</f>
        <v>2</v>
      </c>
      <c r="P114" s="169"/>
      <c r="Q114" s="152">
        <f t="array" ref="Q114">_xlfn.IFS(AND($I114&lt;$M$3,$J114&lt;$M$3),1,AND($I114&lt;$M$3,$J114&gt;=$M$3),0.5,AND($I114&gt;=$M$3,$J114&gt;=$M$3),0)</f>
        <v>1</v>
      </c>
      <c r="R114" s="152">
        <f t="array" ref="R114">_xlfn.IFS(AND($K114&lt;$M$3,$L114&lt;$M$3),1,AND($K114&lt;=$M$3,$L114&gt;=$M$3),0.5,AND($K114&gt;=$M$3,$L114&gt;=$M$3),0)</f>
        <v>1</v>
      </c>
      <c r="S114" s="201">
        <f t="array" ref="S114">_xlfn.IFS(AND($K114&gt;R$7,$L114&gt;R$7),0,AND($K114&lt;=R$7,$L114&lt;=R$7),1,AND($K114&lt;=R$7,$L114&gt;R$7),((R$7-$K114)/($L114-$K114)))</f>
        <v>0</v>
      </c>
      <c r="T114" s="201">
        <f t="array" ref="T114">_xlfn.IFS(AND($K114&gt;S$7,$L114&gt;S$7),0,AND($K114&lt;=S$7,$L114&lt;=S$7),1,AND($K114&lt;=S$7,$L114&gt;S$7),((S$7-$K114)/($L114-$K114)))</f>
        <v>0</v>
      </c>
      <c r="U114" s="201">
        <f t="array" ref="U114">_xlfn.IFS(AND($K114&gt;T$7,$L114&gt;T$7),0,AND($K114&lt;=T$7,$L114&lt;=T$7),1,AND($K114&lt;=T$7,$L114&gt;T$7),((T$7-$K114)/($L114-$K114)))</f>
        <v>0</v>
      </c>
      <c r="V114" s="201">
        <f t="array" ref="V114">_xlfn.IFS(AND($K114&gt;U$7,$L114&gt;U$7),0,AND($K114&lt;=U$7,$L114&lt;=U$7),1,AND($K114&lt;=U$7,$L114&gt;U$7),((U$7-$K114)/($L114-$K114)))</f>
        <v>0</v>
      </c>
      <c r="W114" s="201">
        <f t="array" ref="W114">_xlfn.IFS(AND($K114&gt;V$7,$L114&gt;V$7),0,AND($K114&lt;=V$7,$L114&lt;=V$7),1,AND($K114&lt;=V$7,$L114&gt;V$7),((V$7-$K114)/($L114-$K114)))</f>
        <v>0</v>
      </c>
      <c r="X114" s="201">
        <f t="array" ref="X114">_xlfn.IFS(AND($K114&gt;W$7,$L114&gt;W$7),0,AND($K114&lt;=W$7,$L114&lt;=W$7),1,AND($K114&lt;=W$7,$L114&gt;W$7),((W$7-$K114)/($L114-$K114)))</f>
        <v>0</v>
      </c>
      <c r="Y114" s="201">
        <f t="array" ref="Y114">_xlfn.IFS(AND($K114&gt;X$7,$L114&gt;X$7),0,AND($K114&lt;=X$7,$L114&lt;=X$7),1,AND($K114&lt;=X$7,$L114&gt;X$7),((X$7-$K114)/($L114-$K114)))</f>
        <v>0</v>
      </c>
      <c r="Z114" s="201">
        <f t="array" ref="Z114">_xlfn.IFS(AND($K114&gt;Y$7,$L114&gt;Y$7),0,AND($K114&lt;=Y$7,$L114&lt;=Y$7),1,AND($K114&lt;=Y$7,$L114&gt;Y$7),((Y$7-$K114)/($L114-$K114)))</f>
        <v>0</v>
      </c>
      <c r="AA114" s="201">
        <f t="array" ref="AA114">_xlfn.IFS(AND($K114&gt;Z$7,$L114&gt;Z$7),0,AND($K114&lt;=Z$7,$L114&lt;=Z$7),1,AND($K114&lt;=Z$7,$L114&gt;Z$7),((Z$7-$K114)/($L114-$K114)))</f>
        <v>0</v>
      </c>
      <c r="AB114" s="201">
        <f t="array" ref="AB114">_xlfn.IFS(AND($K114&gt;AA$7,$L114&gt;AA$7),0,AND($K114&lt;=AA$7,$L114&lt;=AA$7),1,AND($K114&lt;=AA$7,$L114&gt;AA$7),((AA$7-$K114)/($L114-$K114)))</f>
        <v>0</v>
      </c>
      <c r="AC114" s="201">
        <f t="array" ref="AC114">_xlfn.IFS(AND($K114&gt;AB$7,$L114&gt;AB$7),0,AND($K114&lt;=AB$7,$L114&lt;=AB$7),1,AND($K114&lt;=AB$7,$L114&gt;AB$7),((AB$7-$K114)/($L114-$K114)))</f>
        <v>0</v>
      </c>
      <c r="AD114" s="201">
        <f t="array" ref="AD114">_xlfn.IFS(AND($K114&gt;AC$7,$L114&gt;AC$7),0,AND($K114&lt;=AC$7,$L114&lt;=AC$7),1,AND($K114&lt;=AC$7,$L114&gt;AC$7),((AC$7-$K114)/($L114-$K114)))</f>
        <v>0</v>
      </c>
      <c r="AE114" s="201">
        <f t="array" ref="AE114">_xlfn.IFS(AND($K114&gt;AD$7,$L114&gt;AD$7),0,AND($K114&lt;=AD$7,$L114&lt;=AD$7),1,AND($K114&lt;=AD$7,$L114&gt;AD$7),((AD$7-$K114)/($L114-$K114)))</f>
        <v>0</v>
      </c>
      <c r="AF114" s="201">
        <f t="array" ref="AF114">_xlfn.IFS(AND($K114&gt;AE$7,$L114&gt;AE$7),0,AND($K114&lt;=AE$7,$L114&lt;=AE$7),1,AND($K114&lt;=AE$7,$L114&gt;AE$7),((AE$7-$K114)/($L114-$K114)))</f>
        <v>0</v>
      </c>
      <c r="AG114" s="201">
        <f t="array" ref="AG114">_xlfn.IFS(AND($K114&gt;AF$7,$L114&gt;AF$7),0,AND($K114&lt;=AF$7,$L114&lt;=AF$7),1,AND($K114&lt;=AF$7,$L114&gt;AF$7),((AF$7-$K114)/($L114-$K114)))</f>
        <v>0.27777777777777779</v>
      </c>
      <c r="AH114" s="201">
        <f t="array" ref="AH114">_xlfn.IFS(AND($K114&gt;AG$7,$L114&gt;AG$7),0,AND($K114&lt;=AG$7,$L114&lt;=AG$7),1,AND($K114&lt;=AG$7,$L114&gt;AG$7),((AG$7-$K114)/($L114-$K114)))</f>
        <v>0.66666666666666663</v>
      </c>
      <c r="AI114" s="201">
        <f t="array" ref="AI114">_xlfn.IFS(AND($K114&gt;AH$7,$L114&gt;AH$7),0,AND($K114&lt;=AH$7,$L114&lt;=AH$7),1,AND($K114&lt;=AH$7,$L114&gt;AH$7),((AH$7-$K114)/($L114-$K114)))</f>
        <v>1</v>
      </c>
      <c r="AJ114" s="201">
        <f t="array" ref="AJ114">_xlfn.IFS(AND($K114&gt;AI$7,$L114&gt;AI$7),0,AND($K114&lt;=AI$7,$L114&lt;=AI$7),1,AND($K114&lt;=AI$7,$L114&gt;AI$7),((AI$7-$K114)/($L114-$K114)))</f>
        <v>1</v>
      </c>
      <c r="AK114" s="201">
        <f t="array" ref="AK114">_xlfn.IFS(AND($K114&gt;AJ$7,$L114&gt;AJ$7),0,AND($K114&lt;=AJ$7,$L114&lt;=AJ$7),1,AND($K114&lt;=AJ$7,$L114&gt;AJ$7),((AJ$7-$K114)/($L114-$K114)))</f>
        <v>1</v>
      </c>
      <c r="AL114" s="201">
        <f t="array" ref="AL114">_xlfn.IFS(AND($K114&gt;AK$7,$L114&gt;AK$7),0,AND($K114&lt;=AK$7,$L114&lt;=AK$7),1,AND($K114&lt;=AK$7,$L114&gt;AK$7),((AK$7-$K114)/($L114-$K114)))</f>
        <v>1</v>
      </c>
      <c r="AM114" s="201">
        <f t="array" ref="AM114">_xlfn.IFS(AND($K114&gt;AL$7,$L114&gt;AL$7),0,AND($K114&lt;=AL$7,$L114&lt;=AL$7),1,AND($K114&lt;=AL$7,$L114&gt;AL$7),((AL$7-$K114)/($L114-$K114)))</f>
        <v>1</v>
      </c>
      <c r="AN114" s="201">
        <f t="array" ref="AN114">_xlfn.IFS(AND($K114&gt;AM$7,$L114&gt;AM$7),0,AND($K114&lt;=AM$7,$L114&lt;=AM$7),1,AND($K114&lt;=AM$7,$L114&gt;AM$7),((AM$7-$K114)/($L114-$K114)))</f>
        <v>1</v>
      </c>
      <c r="AO114" s="201">
        <f t="array" ref="AO114">_xlfn.IFS(AND($K114&gt;AN$7,$L114&gt;AN$7),0,AND($K114&lt;=AN$7,$L114&lt;=AN$7),1,AND($K114&lt;=AN$7,$L114&gt;AN$7),((AN$7-$K114)/($L114-$K114)))</f>
        <v>1</v>
      </c>
      <c r="AP114" s="201">
        <f t="array" ref="AP114">_xlfn.IFS(AND($K114&gt;AO$7,$L114&gt;AO$7),0,AND($K114&lt;=AO$7,$L114&lt;=AO$7),1,AND($K114&lt;=AO$7,$L114&gt;AO$7),((AO$7-$K114)/($L114-$K114)))</f>
        <v>1</v>
      </c>
      <c r="AQ114" s="201">
        <f t="array" ref="AQ114">_xlfn.IFS(AND($K114&gt;AP$7,$L114&gt;AP$7),0,AND($K114&lt;=AP$7,$L114&lt;=AP$7),1,AND($K114&lt;=AP$7,$L114&gt;AP$7),((AP$7-$K114)/($L114-$K114)))</f>
        <v>1</v>
      </c>
      <c r="AR114" s="201">
        <f t="array" ref="AR114">_xlfn.IFS(AND($K114&gt;AQ$7,$L114&gt;AQ$7),0,AND($K114&lt;=AQ$7,$L114&lt;=AQ$7),1,AND($K114&lt;=AQ$7,$L114&gt;AQ$7),((AQ$7-$K114)/($L114-$K114)))</f>
        <v>1</v>
      </c>
      <c r="AS114" s="201">
        <f t="array" ref="AS114">_xlfn.IFS(AND($K114&gt;AR$7,$L114&gt;AR$7),0,AND($K114&lt;=AR$7,$L114&lt;=AR$7),1,AND($K114&lt;=AR$7,$L114&gt;AR$7),((AR$7-$K114)/($L114-$K114)))</f>
        <v>1</v>
      </c>
      <c r="AT114" s="201">
        <f t="array" ref="AT114">_xlfn.IFS(AND($K114&gt;AS$7,$L114&gt;AS$7),0,AND($K114&lt;=AS$7,$L114&lt;=AS$7),1,AND($K114&lt;=AS$7,$L114&gt;AS$7),((AS$7-$K114)/($L114-$K114)))</f>
        <v>1</v>
      </c>
      <c r="AU114" s="201">
        <f t="array" ref="AU114">_xlfn.IFS(AND($K114&gt;AT$7,$L114&gt;AT$7),0,AND($K114&lt;=AT$7,$L114&lt;=AT$7),1,AND($K114&lt;=AT$7,$L114&gt;AT$7),((AT$7-$K114)/($L114-$K114)))</f>
        <v>1</v>
      </c>
      <c r="AV114" s="201">
        <f t="array" ref="AV114">_xlfn.IFS(AND($K114&gt;AU$7,$L114&gt;AU$7),0,AND($K114&lt;=AU$7,$L114&lt;=AU$7),1,AND($K114&lt;=AU$7,$L114&gt;AU$7),((AU$7-$K114)/($L114-$K114)))</f>
        <v>1</v>
      </c>
      <c r="AW114" s="201">
        <f t="array" ref="AW114">_xlfn.IFS(AND($K114&gt;AV$7,$L114&gt;AV$7),0,AND($K114&lt;=AV$7,$L114&lt;=AV$7),1,AND($K114&lt;=AV$7,$L114&gt;AV$7),((AV$7-$K114)/($L114-$K114)))</f>
        <v>1</v>
      </c>
      <c r="AX114" s="201">
        <f t="array" ref="AX114">_xlfn.IFS(AND($K114&gt;AW$7,$L114&gt;AW$7),0,AND($K114&lt;=AW$7,$L114&lt;=AW$7),1,AND($K114&lt;=AW$7,$L114&gt;AW$7),((AW$7-$K114)/($L114-$K114)))</f>
        <v>1</v>
      </c>
      <c r="AY114" s="201">
        <f t="array" ref="AY114">_xlfn.IFS(AND($K114&gt;AX$7,$L114&gt;AX$7),0,AND($K114&lt;=AX$7,$L114&lt;=AX$7),1,AND($K114&lt;=AX$7,$L114&gt;AX$7),((AX$7-$K114)/($L114-$K114)))</f>
        <v>1</v>
      </c>
      <c r="AZ114" s="201">
        <f t="array" ref="AZ114">_xlfn.IFS(AND($K114&gt;AY$7,$L114&gt;AY$7),0,AND($K114&lt;=AY$7,$L114&lt;=AY$7),1,AND($K114&lt;=AY$7,$L114&gt;AY$7),((AY$7-$K114)/($L114-$K114)))</f>
        <v>1</v>
      </c>
      <c r="BA114" s="201">
        <f t="array" ref="BA114">_xlfn.IFS(AND($K114&gt;AZ$7,$L114&gt;AZ$7),0,AND($K114&lt;=AZ$7,$L114&lt;=AZ$7),1,AND($K114&lt;=AZ$7,$L114&gt;AZ$7),((AZ$7-$K114)/($L114-$K114)))</f>
        <v>1</v>
      </c>
      <c r="BB114" s="201">
        <f t="array" ref="BB114">_xlfn.IFS(AND($K114&gt;BA$7,$L114&gt;BA$7),0,AND($K114&lt;=BA$7,$L114&lt;=BA$7),1,AND($K114&lt;=BA$7,$L114&gt;BA$7),((BA$7-$K114)/($L114-$K114)))</f>
        <v>1</v>
      </c>
      <c r="BC114" s="201">
        <f t="array" ref="BC114">_xlfn.IFS(AND($K114&gt;BB$7,$L114&gt;BB$7),0,AND($K114&lt;=BB$7,$L114&lt;=BB$7),1,AND($K114&lt;=BB$7,$L114&gt;BB$7),((BB$7-$K114)/($L114-$K114)))</f>
        <v>1</v>
      </c>
      <c r="BD114" s="201">
        <f t="array" ref="BD114">_xlfn.IFS(AND($K114&gt;BC$7,$L114&gt;BC$7),0,AND($K114&lt;=BC$7,$L114&lt;=BC$7),1,AND($K114&lt;=BC$7,$L114&gt;BC$7),((BC$7-$K114)/($L114-$K114)))</f>
        <v>1</v>
      </c>
      <c r="BE114" s="201">
        <f t="array" ref="BE114">_xlfn.IFS(AND($K114&gt;BD$7,$L114&gt;BD$7),0,AND($K114&lt;=BD$7,$L114&lt;=BD$7),1,AND($K114&lt;=BD$7,$L114&gt;BD$7),((BD$7-$K114)/($L114-$K114)))</f>
        <v>1</v>
      </c>
      <c r="BF114" s="201">
        <f t="array" ref="BF114">_xlfn.IFS(AND($K114&gt;BE$7,$L114&gt;BE$7),0,AND($K114&lt;=BE$7,$L114&lt;=BE$7),1,AND($K114&lt;=BE$7,$L114&gt;BE$7),((BE$7-$K114)/($L114-$K114)))</f>
        <v>1</v>
      </c>
      <c r="BG114" s="201">
        <f t="array" ref="BG114">_xlfn.IFS(AND($K114&gt;BF$7,$L114&gt;BF$7),0,AND($K114&lt;=BF$7,$L114&lt;=BF$7),1,AND($K114&lt;=BF$7,$L114&gt;BF$7),((BF$7-$K114)/($L114-$K114)))</f>
        <v>1</v>
      </c>
      <c r="BH114" s="201">
        <f t="array" ref="BH114">_xlfn.IFS(AND($K114&gt;BG$7,$L114&gt;BG$7),0,AND($K114&lt;=BG$7,$L114&lt;=BG$7),1,AND($K114&lt;=BG$7,$L114&gt;BG$7),((BG$7-$K114)/($L114-$K114)))</f>
        <v>1</v>
      </c>
      <c r="BI114" s="201">
        <f t="array" ref="BI114">_xlfn.IFS(AND($K114&gt;BH$7,$L114&gt;BH$7),0,AND($K114&lt;=BH$7,$L114&lt;=BH$7),1,AND($K114&lt;=BH$7,$L114&gt;BH$7),((BH$7-$K114)/($L114-$K114)))</f>
        <v>1</v>
      </c>
      <c r="BJ114" s="201">
        <f t="array" ref="BJ114">_xlfn.IFS(AND($K114&gt;BI$7,$L114&gt;BI$7),0,AND($K114&lt;=BI$7,$L114&lt;=BI$7),1,AND($K114&lt;=BI$7,$L114&gt;BI$7),((BI$7-$K114)/($L114-$K114)))</f>
        <v>1</v>
      </c>
      <c r="BK114" s="201">
        <f t="array" ref="BK114">_xlfn.IFS(AND($K114&gt;BJ$7,$L114&gt;BJ$7),0,AND($K114&lt;=BJ$7,$L114&lt;=BJ$7),1,AND($K114&lt;=BJ$7,$L114&gt;BJ$7),((BJ$7-$K114)/($L114-$K114)))</f>
        <v>1</v>
      </c>
      <c r="BL114" s="201">
        <f t="array" ref="BL114">_xlfn.IFS(AND($K114&gt;BK$7,$L114&gt;BK$7),0,AND($K114&lt;=BK$7,$L114&lt;=BK$7),1,AND($K114&lt;=BK$7,$L114&gt;BK$7),((BK$7-$K114)/($L114-$K114)))</f>
        <v>1</v>
      </c>
      <c r="BM114" s="201">
        <f t="array" ref="BM114">_xlfn.IFS(AND($K114&gt;BL$7,$L114&gt;BL$7),0,AND($K114&lt;=BL$7,$L114&lt;=BL$7),1,AND($K114&lt;=BL$7,$L114&gt;BL$7),((BL$7-$K114)/($L114-$K114)))</f>
        <v>1</v>
      </c>
      <c r="BN114" s="201">
        <f t="array" ref="BN114">_xlfn.IFS(AND($K114&gt;BM$7,$L114&gt;BM$7),0,AND($K114&lt;=BM$7,$L114&lt;=BM$7),1,AND($K114&lt;=BM$7,$L114&gt;BM$7),((BM$7-$K114)/($L114-$K114)))</f>
        <v>1</v>
      </c>
    </row>
    <row r="115" spans="2:66" s="163" customFormat="1" ht="27.6" customHeight="1" collapsed="1" x14ac:dyDescent="0.3">
      <c r="B115" s="166" t="str">
        <f t="array" ref="B115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15" s="166" t="s">
        <v>276</v>
      </c>
      <c r="D115" s="177"/>
      <c r="E115" s="170" t="str">
        <f t="shared" si="49"/>
        <v>Desenvolvimento da Transformação dos Processos</v>
      </c>
      <c r="F115" s="174" t="str">
        <f t="shared" si="46"/>
        <v>Transformação do Processo</v>
      </c>
      <c r="G115" s="166" t="str">
        <f t="shared" si="50"/>
        <v>Transformação do Processo</v>
      </c>
      <c r="H115" s="197" t="s">
        <v>277</v>
      </c>
      <c r="I115" s="166">
        <v>45782</v>
      </c>
      <c r="J115" s="40">
        <v>45786</v>
      </c>
      <c r="K115" s="166">
        <v>45782</v>
      </c>
      <c r="L115" s="40">
        <v>45786</v>
      </c>
      <c r="M115" s="167"/>
      <c r="N115" s="167" t="str">
        <f t="array" ref="N115">_xlfn.IFS(L115&lt;$M$3,"Concluído",AND(K115&gt;=$M$3,I115&lt;$M$3,L115&gt;$M$3),"Em andamento",AND(L115&gt;=$M$3,J115&lt;$M$3),"Atrasado",AND(L115&gt;=$M$3,J115&gt;=$M$3,I115&gt;$M$3,K115&lt;=$M$3),"Em andamento",AND(L115&gt;=$M$3,J115&gt;=$M$3,I115&lt;=$M$3,K115&lt;=$M$3),"Em andamento",AND(K115&gt;$M$3,I115&gt;$M$3),"Não iniciado",AND(L115&gt;=$M$3,J115&gt;=$M$3,K115&gt;=$M$3,I115&lt;$M$3),"Atrasado",AND(L115&gt;=$M$3,J115&gt;=$M$3,K115&gt;=$M$3,I115&gt;$M$3),"Não iniciado",AND($I115&lt;=$M$3,$K115&gt;$M$3),"Atrasado")</f>
        <v>Concluído</v>
      </c>
      <c r="O115" s="167">
        <f t="array" ref="O115">_xlfn.IFS(N115="Não iniciado",0,N115="Em andamento",1,N115="Concluído",2,N115="Atrasado",3)</f>
        <v>2</v>
      </c>
      <c r="P115" s="169"/>
      <c r="Q115" s="152">
        <f t="array" ref="Q115">_xlfn.IFS(AND($I115&lt;$M$3,$J115&lt;$M$3),1,AND($I115&lt;$M$3,$J115&gt;=$M$3),0.5,AND($I115&gt;=$M$3,$J115&gt;=$M$3),0)</f>
        <v>1</v>
      </c>
      <c r="R115" s="152">
        <f t="array" ref="R115">_xlfn.IFS(AND($K115&lt;$M$3,$L115&lt;$M$3),1,AND($K115&lt;=$M$3,$L115&gt;=$M$3),0.5,AND($K115&gt;=$M$3,$L115&gt;=$M$3),0)</f>
        <v>1</v>
      </c>
      <c r="S115" s="201">
        <f t="array" ref="S115">_xlfn.IFS(AND($K115&gt;R$7,$L115&gt;R$7),0,AND($K115&lt;=R$7,$L115&lt;=R$7),1,AND($K115&lt;=R$7,$L115&gt;R$7),((R$7-$K115)/($L115-$K115)))</f>
        <v>0</v>
      </c>
      <c r="T115" s="201">
        <f t="array" ref="T115">_xlfn.IFS(AND($K115&gt;S$7,$L115&gt;S$7),0,AND($K115&lt;=S$7,$L115&lt;=S$7),1,AND($K115&lt;=S$7,$L115&gt;S$7),((S$7-$K115)/($L115-$K115)))</f>
        <v>0</v>
      </c>
      <c r="U115" s="201">
        <f t="array" ref="U115">_xlfn.IFS(AND($K115&gt;T$7,$L115&gt;T$7),0,AND($K115&lt;=T$7,$L115&lt;=T$7),1,AND($K115&lt;=T$7,$L115&gt;T$7),((T$7-$K115)/($L115-$K115)))</f>
        <v>0</v>
      </c>
      <c r="V115" s="201">
        <f t="array" ref="V115">_xlfn.IFS(AND($K115&gt;U$7,$L115&gt;U$7),0,AND($K115&lt;=U$7,$L115&lt;=U$7),1,AND($K115&lt;=U$7,$L115&gt;U$7),((U$7-$K115)/($L115-$K115)))</f>
        <v>0</v>
      </c>
      <c r="W115" s="201">
        <f t="array" ref="W115">_xlfn.IFS(AND($K115&gt;V$7,$L115&gt;V$7),0,AND($K115&lt;=V$7,$L115&lt;=V$7),1,AND($K115&lt;=V$7,$L115&gt;V$7),((V$7-$K115)/($L115-$K115)))</f>
        <v>0</v>
      </c>
      <c r="X115" s="201">
        <f t="array" ref="X115">_xlfn.IFS(AND($K115&gt;W$7,$L115&gt;W$7),0,AND($K115&lt;=W$7,$L115&lt;=W$7),1,AND($K115&lt;=W$7,$L115&gt;W$7),((W$7-$K115)/($L115-$K115)))</f>
        <v>0</v>
      </c>
      <c r="Y115" s="201">
        <f t="array" ref="Y115">_xlfn.IFS(AND($K115&gt;X$7,$L115&gt;X$7),0,AND($K115&lt;=X$7,$L115&lt;=X$7),1,AND($K115&lt;=X$7,$L115&gt;X$7),((X$7-$K115)/($L115-$K115)))</f>
        <v>0</v>
      </c>
      <c r="Z115" s="201">
        <f t="array" ref="Z115">_xlfn.IFS(AND($K115&gt;Y$7,$L115&gt;Y$7),0,AND($K115&lt;=Y$7,$L115&lt;=Y$7),1,AND($K115&lt;=Y$7,$L115&gt;Y$7),((Y$7-$K115)/($L115-$K115)))</f>
        <v>0</v>
      </c>
      <c r="AA115" s="201">
        <f t="array" ref="AA115">_xlfn.IFS(AND($K115&gt;Z$7,$L115&gt;Z$7),0,AND($K115&lt;=Z$7,$L115&lt;=Z$7),1,AND($K115&lt;=Z$7,$L115&gt;Z$7),((Z$7-$K115)/($L115-$K115)))</f>
        <v>0</v>
      </c>
      <c r="AB115" s="201">
        <f t="array" ref="AB115">_xlfn.IFS(AND($K115&gt;AA$7,$L115&gt;AA$7),0,AND($K115&lt;=AA$7,$L115&lt;=AA$7),1,AND($K115&lt;=AA$7,$L115&gt;AA$7),((AA$7-$K115)/($L115-$K115)))</f>
        <v>0</v>
      </c>
      <c r="AC115" s="201">
        <f t="array" ref="AC115">_xlfn.IFS(AND($K115&gt;AB$7,$L115&gt;AB$7),0,AND($K115&lt;=AB$7,$L115&lt;=AB$7),1,AND($K115&lt;=AB$7,$L115&gt;AB$7),((AB$7-$K115)/($L115-$K115)))</f>
        <v>0</v>
      </c>
      <c r="AD115" s="201">
        <f t="array" ref="AD115">_xlfn.IFS(AND($K115&gt;AC$7,$L115&gt;AC$7),0,AND($K115&lt;=AC$7,$L115&lt;=AC$7),1,AND($K115&lt;=AC$7,$L115&gt;AC$7),((AC$7-$K115)/($L115-$K115)))</f>
        <v>0</v>
      </c>
      <c r="AE115" s="201">
        <f t="array" ref="AE115">_xlfn.IFS(AND($K115&gt;AD$7,$L115&gt;AD$7),0,AND($K115&lt;=AD$7,$L115&lt;=AD$7),1,AND($K115&lt;=AD$7,$L115&gt;AD$7),((AD$7-$K115)/($L115-$K115)))</f>
        <v>0</v>
      </c>
      <c r="AF115" s="201">
        <f t="array" ref="AF115">_xlfn.IFS(AND($K115&gt;AE$7,$L115&gt;AE$7),0,AND($K115&lt;=AE$7,$L115&lt;=AE$7),1,AND($K115&lt;=AE$7,$L115&gt;AE$7),((AE$7-$K115)/($L115-$K115)))</f>
        <v>0</v>
      </c>
      <c r="AG115" s="201">
        <f t="array" ref="AG115">_xlfn.IFS(AND($K115&gt;AF$7,$L115&gt;AF$7),0,AND($K115&lt;=AF$7,$L115&lt;=AF$7),1,AND($K115&lt;=AF$7,$L115&gt;AF$7),((AF$7-$K115)/($L115-$K115)))</f>
        <v>1</v>
      </c>
      <c r="AH115" s="201">
        <f t="array" ref="AH115">_xlfn.IFS(AND($K115&gt;AG$7,$L115&gt;AG$7),0,AND($K115&lt;=AG$7,$L115&lt;=AG$7),1,AND($K115&lt;=AG$7,$L115&gt;AG$7),((AG$7-$K115)/($L115-$K115)))</f>
        <v>1</v>
      </c>
      <c r="AI115" s="201">
        <f t="array" ref="AI115">_xlfn.IFS(AND($K115&gt;AH$7,$L115&gt;AH$7),0,AND($K115&lt;=AH$7,$L115&lt;=AH$7),1,AND($K115&lt;=AH$7,$L115&gt;AH$7),((AH$7-$K115)/($L115-$K115)))</f>
        <v>1</v>
      </c>
      <c r="AJ115" s="201">
        <f t="array" ref="AJ115">_xlfn.IFS(AND($K115&gt;AI$7,$L115&gt;AI$7),0,AND($K115&lt;=AI$7,$L115&lt;=AI$7),1,AND($K115&lt;=AI$7,$L115&gt;AI$7),((AI$7-$K115)/($L115-$K115)))</f>
        <v>1</v>
      </c>
      <c r="AK115" s="201">
        <f t="array" ref="AK115">_xlfn.IFS(AND($K115&gt;AJ$7,$L115&gt;AJ$7),0,AND($K115&lt;=AJ$7,$L115&lt;=AJ$7),1,AND($K115&lt;=AJ$7,$L115&gt;AJ$7),((AJ$7-$K115)/($L115-$K115)))</f>
        <v>1</v>
      </c>
      <c r="AL115" s="201">
        <f t="array" ref="AL115">_xlfn.IFS(AND($K115&gt;AK$7,$L115&gt;AK$7),0,AND($K115&lt;=AK$7,$L115&lt;=AK$7),1,AND($K115&lt;=AK$7,$L115&gt;AK$7),((AK$7-$K115)/($L115-$K115)))</f>
        <v>1</v>
      </c>
      <c r="AM115" s="201">
        <f t="array" ref="AM115">_xlfn.IFS(AND($K115&gt;AL$7,$L115&gt;AL$7),0,AND($K115&lt;=AL$7,$L115&lt;=AL$7),1,AND($K115&lt;=AL$7,$L115&gt;AL$7),((AL$7-$K115)/($L115-$K115)))</f>
        <v>1</v>
      </c>
      <c r="AN115" s="201">
        <f t="array" ref="AN115">_xlfn.IFS(AND($K115&gt;AM$7,$L115&gt;AM$7),0,AND($K115&lt;=AM$7,$L115&lt;=AM$7),1,AND($K115&lt;=AM$7,$L115&gt;AM$7),((AM$7-$K115)/($L115-$K115)))</f>
        <v>1</v>
      </c>
      <c r="AO115" s="201">
        <f t="array" ref="AO115">_xlfn.IFS(AND($K115&gt;AN$7,$L115&gt;AN$7),0,AND($K115&lt;=AN$7,$L115&lt;=AN$7),1,AND($K115&lt;=AN$7,$L115&gt;AN$7),((AN$7-$K115)/($L115-$K115)))</f>
        <v>1</v>
      </c>
      <c r="AP115" s="201">
        <f t="array" ref="AP115">_xlfn.IFS(AND($K115&gt;AO$7,$L115&gt;AO$7),0,AND($K115&lt;=AO$7,$L115&lt;=AO$7),1,AND($K115&lt;=AO$7,$L115&gt;AO$7),((AO$7-$K115)/($L115-$K115)))</f>
        <v>1</v>
      </c>
      <c r="AQ115" s="201">
        <f t="array" ref="AQ115">_xlfn.IFS(AND($K115&gt;AP$7,$L115&gt;AP$7),0,AND($K115&lt;=AP$7,$L115&lt;=AP$7),1,AND($K115&lt;=AP$7,$L115&gt;AP$7),((AP$7-$K115)/($L115-$K115)))</f>
        <v>1</v>
      </c>
      <c r="AR115" s="201">
        <f t="array" ref="AR115">_xlfn.IFS(AND($K115&gt;AQ$7,$L115&gt;AQ$7),0,AND($K115&lt;=AQ$7,$L115&lt;=AQ$7),1,AND($K115&lt;=AQ$7,$L115&gt;AQ$7),((AQ$7-$K115)/($L115-$K115)))</f>
        <v>1</v>
      </c>
      <c r="AS115" s="201">
        <f t="array" ref="AS115">_xlfn.IFS(AND($K115&gt;AR$7,$L115&gt;AR$7),0,AND($K115&lt;=AR$7,$L115&lt;=AR$7),1,AND($K115&lt;=AR$7,$L115&gt;AR$7),((AR$7-$K115)/($L115-$K115)))</f>
        <v>1</v>
      </c>
      <c r="AT115" s="201">
        <f t="array" ref="AT115">_xlfn.IFS(AND($K115&gt;AS$7,$L115&gt;AS$7),0,AND($K115&lt;=AS$7,$L115&lt;=AS$7),1,AND($K115&lt;=AS$7,$L115&gt;AS$7),((AS$7-$K115)/($L115-$K115)))</f>
        <v>1</v>
      </c>
      <c r="AU115" s="201">
        <f t="array" ref="AU115">_xlfn.IFS(AND($K115&gt;AT$7,$L115&gt;AT$7),0,AND($K115&lt;=AT$7,$L115&lt;=AT$7),1,AND($K115&lt;=AT$7,$L115&gt;AT$7),((AT$7-$K115)/($L115-$K115)))</f>
        <v>1</v>
      </c>
      <c r="AV115" s="201">
        <f t="array" ref="AV115">_xlfn.IFS(AND($K115&gt;AU$7,$L115&gt;AU$7),0,AND($K115&lt;=AU$7,$L115&lt;=AU$7),1,AND($K115&lt;=AU$7,$L115&gt;AU$7),((AU$7-$K115)/($L115-$K115)))</f>
        <v>1</v>
      </c>
      <c r="AW115" s="201">
        <f t="array" ref="AW115">_xlfn.IFS(AND($K115&gt;AV$7,$L115&gt;AV$7),0,AND($K115&lt;=AV$7,$L115&lt;=AV$7),1,AND($K115&lt;=AV$7,$L115&gt;AV$7),((AV$7-$K115)/($L115-$K115)))</f>
        <v>1</v>
      </c>
      <c r="AX115" s="201">
        <f t="array" ref="AX115">_xlfn.IFS(AND($K115&gt;AW$7,$L115&gt;AW$7),0,AND($K115&lt;=AW$7,$L115&lt;=AW$7),1,AND($K115&lt;=AW$7,$L115&gt;AW$7),((AW$7-$K115)/($L115-$K115)))</f>
        <v>1</v>
      </c>
      <c r="AY115" s="201">
        <f t="array" ref="AY115">_xlfn.IFS(AND($K115&gt;AX$7,$L115&gt;AX$7),0,AND($K115&lt;=AX$7,$L115&lt;=AX$7),1,AND($K115&lt;=AX$7,$L115&gt;AX$7),((AX$7-$K115)/($L115-$K115)))</f>
        <v>1</v>
      </c>
      <c r="AZ115" s="201">
        <f t="array" ref="AZ115">_xlfn.IFS(AND($K115&gt;AY$7,$L115&gt;AY$7),0,AND($K115&lt;=AY$7,$L115&lt;=AY$7),1,AND($K115&lt;=AY$7,$L115&gt;AY$7),((AY$7-$K115)/($L115-$K115)))</f>
        <v>1</v>
      </c>
      <c r="BA115" s="201">
        <f t="array" ref="BA115">_xlfn.IFS(AND($K115&gt;AZ$7,$L115&gt;AZ$7),0,AND($K115&lt;=AZ$7,$L115&lt;=AZ$7),1,AND($K115&lt;=AZ$7,$L115&gt;AZ$7),((AZ$7-$K115)/($L115-$K115)))</f>
        <v>1</v>
      </c>
      <c r="BB115" s="201">
        <f t="array" ref="BB115">_xlfn.IFS(AND($K115&gt;BA$7,$L115&gt;BA$7),0,AND($K115&lt;=BA$7,$L115&lt;=BA$7),1,AND($K115&lt;=BA$7,$L115&gt;BA$7),((BA$7-$K115)/($L115-$K115)))</f>
        <v>1</v>
      </c>
      <c r="BC115" s="201">
        <f t="array" ref="BC115">_xlfn.IFS(AND($K115&gt;BB$7,$L115&gt;BB$7),0,AND($K115&lt;=BB$7,$L115&lt;=BB$7),1,AND($K115&lt;=BB$7,$L115&gt;BB$7),((BB$7-$K115)/($L115-$K115)))</f>
        <v>1</v>
      </c>
      <c r="BD115" s="201">
        <f t="array" ref="BD115">_xlfn.IFS(AND($K115&gt;BC$7,$L115&gt;BC$7),0,AND($K115&lt;=BC$7,$L115&lt;=BC$7),1,AND($K115&lt;=BC$7,$L115&gt;BC$7),((BC$7-$K115)/($L115-$K115)))</f>
        <v>1</v>
      </c>
      <c r="BE115" s="201">
        <f t="array" ref="BE115">_xlfn.IFS(AND($K115&gt;BD$7,$L115&gt;BD$7),0,AND($K115&lt;=BD$7,$L115&lt;=BD$7),1,AND($K115&lt;=BD$7,$L115&gt;BD$7),((BD$7-$K115)/($L115-$K115)))</f>
        <v>1</v>
      </c>
      <c r="BF115" s="201">
        <f t="array" ref="BF115">_xlfn.IFS(AND($K115&gt;BE$7,$L115&gt;BE$7),0,AND($K115&lt;=BE$7,$L115&lt;=BE$7),1,AND($K115&lt;=BE$7,$L115&gt;BE$7),((BE$7-$K115)/($L115-$K115)))</f>
        <v>1</v>
      </c>
      <c r="BG115" s="201">
        <f t="array" ref="BG115">_xlfn.IFS(AND($K115&gt;BF$7,$L115&gt;BF$7),0,AND($K115&lt;=BF$7,$L115&lt;=BF$7),1,AND($K115&lt;=BF$7,$L115&gt;BF$7),((BF$7-$K115)/($L115-$K115)))</f>
        <v>1</v>
      </c>
      <c r="BH115" s="201">
        <f t="array" ref="BH115">_xlfn.IFS(AND($K115&gt;BG$7,$L115&gt;BG$7),0,AND($K115&lt;=BG$7,$L115&lt;=BG$7),1,AND($K115&lt;=BG$7,$L115&gt;BG$7),((BG$7-$K115)/($L115-$K115)))</f>
        <v>1</v>
      </c>
      <c r="BI115" s="201">
        <f t="array" ref="BI115">_xlfn.IFS(AND($K115&gt;BH$7,$L115&gt;BH$7),0,AND($K115&lt;=BH$7,$L115&lt;=BH$7),1,AND($K115&lt;=BH$7,$L115&gt;BH$7),((BH$7-$K115)/($L115-$K115)))</f>
        <v>1</v>
      </c>
      <c r="BJ115" s="201">
        <f t="array" ref="BJ115">_xlfn.IFS(AND($K115&gt;BI$7,$L115&gt;BI$7),0,AND($K115&lt;=BI$7,$L115&lt;=BI$7),1,AND($K115&lt;=BI$7,$L115&gt;BI$7),((BI$7-$K115)/($L115-$K115)))</f>
        <v>1</v>
      </c>
      <c r="BK115" s="201">
        <f t="array" ref="BK115">_xlfn.IFS(AND($K115&gt;BJ$7,$L115&gt;BJ$7),0,AND($K115&lt;=BJ$7,$L115&lt;=BJ$7),1,AND($K115&lt;=BJ$7,$L115&gt;BJ$7),((BJ$7-$K115)/($L115-$K115)))</f>
        <v>1</v>
      </c>
      <c r="BL115" s="201">
        <f t="array" ref="BL115">_xlfn.IFS(AND($K115&gt;BK$7,$L115&gt;BK$7),0,AND($K115&lt;=BK$7,$L115&lt;=BK$7),1,AND($K115&lt;=BK$7,$L115&gt;BK$7),((BK$7-$K115)/($L115-$K115)))</f>
        <v>1</v>
      </c>
      <c r="BM115" s="201">
        <f t="array" ref="BM115">_xlfn.IFS(AND($K115&gt;BL$7,$L115&gt;BL$7),0,AND($K115&lt;=BL$7,$L115&lt;=BL$7),1,AND($K115&lt;=BL$7,$L115&gt;BL$7),((BL$7-$K115)/($L115-$K115)))</f>
        <v>1</v>
      </c>
      <c r="BN115" s="201">
        <f t="array" ref="BN115">_xlfn.IFS(AND($K115&gt;BM$7,$L115&gt;BM$7),0,AND($K115&lt;=BM$7,$L115&lt;=BM$7),1,AND($K115&lt;=BM$7,$L115&gt;BM$7),((BM$7-$K115)/($L115-$K115)))</f>
        <v>1</v>
      </c>
    </row>
    <row r="116" spans="2:66" s="163" customFormat="1" ht="27.6" customHeight="1" x14ac:dyDescent="0.3">
      <c r="B116" s="166" t="str">
        <f t="array" ref="B116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16" s="166" t="s">
        <v>278</v>
      </c>
      <c r="D116" s="177"/>
      <c r="E116" s="170" t="str">
        <f t="shared" si="49"/>
        <v>Desenvolvimento da Transformação dos Processos</v>
      </c>
      <c r="F116" s="174" t="str">
        <f t="shared" si="46"/>
        <v>Transformação do Processo</v>
      </c>
      <c r="G116" s="166" t="str">
        <f t="shared" si="50"/>
        <v>Transformação do Processo</v>
      </c>
      <c r="H116" s="197" t="s">
        <v>279</v>
      </c>
      <c r="I116" s="166">
        <v>45782</v>
      </c>
      <c r="J116" s="40">
        <v>45800</v>
      </c>
      <c r="K116" s="166">
        <v>45782</v>
      </c>
      <c r="L116" s="40">
        <v>45800</v>
      </c>
      <c r="M116" s="167"/>
      <c r="N116" s="167" t="str">
        <f t="array" ref="N116">_xlfn.IFS(L116&lt;$M$3,"Concluído",AND(K116&gt;=$M$3,I116&lt;$M$3,L116&gt;$M$3),"Em andamento",AND(L116&gt;=$M$3,J116&lt;$M$3),"Atrasado",AND(L116&gt;=$M$3,J116&gt;=$M$3,I116&gt;$M$3,K116&lt;=$M$3),"Em andamento",AND(L116&gt;=$M$3,J116&gt;=$M$3,I116&lt;=$M$3,K116&lt;=$M$3),"Em andamento",AND(K116&gt;$M$3,I116&gt;$M$3),"Não iniciado",AND(L116&gt;=$M$3,J116&gt;=$M$3,K116&gt;=$M$3,I116&lt;$M$3),"Atrasado",AND(L116&gt;=$M$3,J116&gt;=$M$3,K116&gt;=$M$3,I116&gt;$M$3),"Não iniciado",AND($I116&lt;=$M$3,$K116&gt;$M$3),"Atrasado")</f>
        <v>Concluído</v>
      </c>
      <c r="O116" s="167">
        <f t="array" ref="O116">_xlfn.IFS(N116="Não iniciado",0,N116="Em andamento",1,N116="Concluído",2,N116="Atrasado",3)</f>
        <v>2</v>
      </c>
      <c r="P116" s="169"/>
      <c r="Q116" s="152">
        <f t="array" ref="Q116">_xlfn.IFS(AND($I116&lt;$M$3,$J116&lt;$M$3),1,AND($I116&lt;$M$3,$J116&gt;=$M$3),0.5,AND($I116&gt;=$M$3,$J116&gt;=$M$3),0)</f>
        <v>1</v>
      </c>
      <c r="R116" s="152">
        <f t="array" ref="R116">_xlfn.IFS(AND($K116&lt;$M$3,$L116&lt;$M$3),1,AND($K116&lt;=$M$3,$L116&gt;=$M$3),0.5,AND($K116&gt;=$M$3,$L116&gt;=$M$3),0)</f>
        <v>1</v>
      </c>
      <c r="S116" s="201">
        <f t="array" ref="S116">_xlfn.IFS(AND($K116&gt;R$7,$L116&gt;R$7),0,AND($K116&lt;=R$7,$L116&lt;=R$7),1,AND($K116&lt;=R$7,$L116&gt;R$7),((R$7-$K116)/($L116-$K116)))</f>
        <v>0</v>
      </c>
      <c r="T116" s="201">
        <f t="array" ref="T116">_xlfn.IFS(AND($K116&gt;S$7,$L116&gt;S$7),0,AND($K116&lt;=S$7,$L116&lt;=S$7),1,AND($K116&lt;=S$7,$L116&gt;S$7),((S$7-$K116)/($L116-$K116)))</f>
        <v>0</v>
      </c>
      <c r="U116" s="201">
        <f t="array" ref="U116">_xlfn.IFS(AND($K116&gt;T$7,$L116&gt;T$7),0,AND($K116&lt;=T$7,$L116&lt;=T$7),1,AND($K116&lt;=T$7,$L116&gt;T$7),((T$7-$K116)/($L116-$K116)))</f>
        <v>0</v>
      </c>
      <c r="V116" s="201">
        <f t="array" ref="V116">_xlfn.IFS(AND($K116&gt;U$7,$L116&gt;U$7),0,AND($K116&lt;=U$7,$L116&lt;=U$7),1,AND($K116&lt;=U$7,$L116&gt;U$7),((U$7-$K116)/($L116-$K116)))</f>
        <v>0</v>
      </c>
      <c r="W116" s="201">
        <f t="array" ref="W116">_xlfn.IFS(AND($K116&gt;V$7,$L116&gt;V$7),0,AND($K116&lt;=V$7,$L116&lt;=V$7),1,AND($K116&lt;=V$7,$L116&gt;V$7),((V$7-$K116)/($L116-$K116)))</f>
        <v>0</v>
      </c>
      <c r="X116" s="201">
        <f t="array" ref="X116">_xlfn.IFS(AND($K116&gt;W$7,$L116&gt;W$7),0,AND($K116&lt;=W$7,$L116&lt;=W$7),1,AND($K116&lt;=W$7,$L116&gt;W$7),((W$7-$K116)/($L116-$K116)))</f>
        <v>0</v>
      </c>
      <c r="Y116" s="201">
        <f t="array" ref="Y116">_xlfn.IFS(AND($K116&gt;X$7,$L116&gt;X$7),0,AND($K116&lt;=X$7,$L116&lt;=X$7),1,AND($K116&lt;=X$7,$L116&gt;X$7),((X$7-$K116)/($L116-$K116)))</f>
        <v>0</v>
      </c>
      <c r="Z116" s="201">
        <f t="array" ref="Z116">_xlfn.IFS(AND($K116&gt;Y$7,$L116&gt;Y$7),0,AND($K116&lt;=Y$7,$L116&lt;=Y$7),1,AND($K116&lt;=Y$7,$L116&gt;Y$7),((Y$7-$K116)/($L116-$K116)))</f>
        <v>0</v>
      </c>
      <c r="AA116" s="201">
        <f t="array" ref="AA116">_xlfn.IFS(AND($K116&gt;Z$7,$L116&gt;Z$7),0,AND($K116&lt;=Z$7,$L116&lt;=Z$7),1,AND($K116&lt;=Z$7,$L116&gt;Z$7),((Z$7-$K116)/($L116-$K116)))</f>
        <v>0</v>
      </c>
      <c r="AB116" s="201">
        <f t="array" ref="AB116">_xlfn.IFS(AND($K116&gt;AA$7,$L116&gt;AA$7),0,AND($K116&lt;=AA$7,$L116&lt;=AA$7),1,AND($K116&lt;=AA$7,$L116&gt;AA$7),((AA$7-$K116)/($L116-$K116)))</f>
        <v>0</v>
      </c>
      <c r="AC116" s="201">
        <f t="array" ref="AC116">_xlfn.IFS(AND($K116&gt;AB$7,$L116&gt;AB$7),0,AND($K116&lt;=AB$7,$L116&lt;=AB$7),1,AND($K116&lt;=AB$7,$L116&gt;AB$7),((AB$7-$K116)/($L116-$K116)))</f>
        <v>0</v>
      </c>
      <c r="AD116" s="201">
        <f t="array" ref="AD116">_xlfn.IFS(AND($K116&gt;AC$7,$L116&gt;AC$7),0,AND($K116&lt;=AC$7,$L116&lt;=AC$7),1,AND($K116&lt;=AC$7,$L116&gt;AC$7),((AC$7-$K116)/($L116-$K116)))</f>
        <v>0</v>
      </c>
      <c r="AE116" s="201">
        <f t="array" ref="AE116">_xlfn.IFS(AND($K116&gt;AD$7,$L116&gt;AD$7),0,AND($K116&lt;=AD$7,$L116&lt;=AD$7),1,AND($K116&lt;=AD$7,$L116&gt;AD$7),((AD$7-$K116)/($L116-$K116)))</f>
        <v>0</v>
      </c>
      <c r="AF116" s="201">
        <f t="array" ref="AF116">_xlfn.IFS(AND($K116&gt;AE$7,$L116&gt;AE$7),0,AND($K116&lt;=AE$7,$L116&lt;=AE$7),1,AND($K116&lt;=AE$7,$L116&gt;AE$7),((AE$7-$K116)/($L116-$K116)))</f>
        <v>0</v>
      </c>
      <c r="AG116" s="201">
        <f t="array" ref="AG116">_xlfn.IFS(AND($K116&gt;AF$7,$L116&gt;AF$7),0,AND($K116&lt;=AF$7,$L116&lt;=AF$7),1,AND($K116&lt;=AF$7,$L116&gt;AF$7),((AF$7-$K116)/($L116-$K116)))</f>
        <v>0.27777777777777779</v>
      </c>
      <c r="AH116" s="201">
        <f t="array" ref="AH116">_xlfn.IFS(AND($K116&gt;AG$7,$L116&gt;AG$7),0,AND($K116&lt;=AG$7,$L116&lt;=AG$7),1,AND($K116&lt;=AG$7,$L116&gt;AG$7),((AG$7-$K116)/($L116-$K116)))</f>
        <v>0.66666666666666663</v>
      </c>
      <c r="AI116" s="201">
        <f t="array" ref="AI116">_xlfn.IFS(AND($K116&gt;AH$7,$L116&gt;AH$7),0,AND($K116&lt;=AH$7,$L116&lt;=AH$7),1,AND($K116&lt;=AH$7,$L116&gt;AH$7),((AH$7-$K116)/($L116-$K116)))</f>
        <v>1</v>
      </c>
      <c r="AJ116" s="201">
        <f t="array" ref="AJ116">_xlfn.IFS(AND($K116&gt;AI$7,$L116&gt;AI$7),0,AND($K116&lt;=AI$7,$L116&lt;=AI$7),1,AND($K116&lt;=AI$7,$L116&gt;AI$7),((AI$7-$K116)/($L116-$K116)))</f>
        <v>1</v>
      </c>
      <c r="AK116" s="201">
        <f t="array" ref="AK116">_xlfn.IFS(AND($K116&gt;AJ$7,$L116&gt;AJ$7),0,AND($K116&lt;=AJ$7,$L116&lt;=AJ$7),1,AND($K116&lt;=AJ$7,$L116&gt;AJ$7),((AJ$7-$K116)/($L116-$K116)))</f>
        <v>1</v>
      </c>
      <c r="AL116" s="201">
        <f t="array" ref="AL116">_xlfn.IFS(AND($K116&gt;AK$7,$L116&gt;AK$7),0,AND($K116&lt;=AK$7,$L116&lt;=AK$7),1,AND($K116&lt;=AK$7,$L116&gt;AK$7),((AK$7-$K116)/($L116-$K116)))</f>
        <v>1</v>
      </c>
      <c r="AM116" s="201">
        <f t="array" ref="AM116">_xlfn.IFS(AND($K116&gt;AL$7,$L116&gt;AL$7),0,AND($K116&lt;=AL$7,$L116&lt;=AL$7),1,AND($K116&lt;=AL$7,$L116&gt;AL$7),((AL$7-$K116)/($L116-$K116)))</f>
        <v>1</v>
      </c>
      <c r="AN116" s="201">
        <f t="array" ref="AN116">_xlfn.IFS(AND($K116&gt;AM$7,$L116&gt;AM$7),0,AND($K116&lt;=AM$7,$L116&lt;=AM$7),1,AND($K116&lt;=AM$7,$L116&gt;AM$7),((AM$7-$K116)/($L116-$K116)))</f>
        <v>1</v>
      </c>
      <c r="AO116" s="201">
        <f t="array" ref="AO116">_xlfn.IFS(AND($K116&gt;AN$7,$L116&gt;AN$7),0,AND($K116&lt;=AN$7,$L116&lt;=AN$7),1,AND($K116&lt;=AN$7,$L116&gt;AN$7),((AN$7-$K116)/($L116-$K116)))</f>
        <v>1</v>
      </c>
      <c r="AP116" s="201">
        <f t="array" ref="AP116">_xlfn.IFS(AND($K116&gt;AO$7,$L116&gt;AO$7),0,AND($K116&lt;=AO$7,$L116&lt;=AO$7),1,AND($K116&lt;=AO$7,$L116&gt;AO$7),((AO$7-$K116)/($L116-$K116)))</f>
        <v>1</v>
      </c>
      <c r="AQ116" s="201">
        <f t="array" ref="AQ116">_xlfn.IFS(AND($K116&gt;AP$7,$L116&gt;AP$7),0,AND($K116&lt;=AP$7,$L116&lt;=AP$7),1,AND($K116&lt;=AP$7,$L116&gt;AP$7),((AP$7-$K116)/($L116-$K116)))</f>
        <v>1</v>
      </c>
      <c r="AR116" s="201">
        <f t="array" ref="AR116">_xlfn.IFS(AND($K116&gt;AQ$7,$L116&gt;AQ$7),0,AND($K116&lt;=AQ$7,$L116&lt;=AQ$7),1,AND($K116&lt;=AQ$7,$L116&gt;AQ$7),((AQ$7-$K116)/($L116-$K116)))</f>
        <v>1</v>
      </c>
      <c r="AS116" s="201">
        <f t="array" ref="AS116">_xlfn.IFS(AND($K116&gt;AR$7,$L116&gt;AR$7),0,AND($K116&lt;=AR$7,$L116&lt;=AR$7),1,AND($K116&lt;=AR$7,$L116&gt;AR$7),((AR$7-$K116)/($L116-$K116)))</f>
        <v>1</v>
      </c>
      <c r="AT116" s="201">
        <f t="array" ref="AT116">_xlfn.IFS(AND($K116&gt;AS$7,$L116&gt;AS$7),0,AND($K116&lt;=AS$7,$L116&lt;=AS$7),1,AND($K116&lt;=AS$7,$L116&gt;AS$7),((AS$7-$K116)/($L116-$K116)))</f>
        <v>1</v>
      </c>
      <c r="AU116" s="201">
        <f t="array" ref="AU116">_xlfn.IFS(AND($K116&gt;AT$7,$L116&gt;AT$7),0,AND($K116&lt;=AT$7,$L116&lt;=AT$7),1,AND($K116&lt;=AT$7,$L116&gt;AT$7),((AT$7-$K116)/($L116-$K116)))</f>
        <v>1</v>
      </c>
      <c r="AV116" s="201">
        <f t="array" ref="AV116">_xlfn.IFS(AND($K116&gt;AU$7,$L116&gt;AU$7),0,AND($K116&lt;=AU$7,$L116&lt;=AU$7),1,AND($K116&lt;=AU$7,$L116&gt;AU$7),((AU$7-$K116)/($L116-$K116)))</f>
        <v>1</v>
      </c>
      <c r="AW116" s="201">
        <f t="array" ref="AW116">_xlfn.IFS(AND($K116&gt;AV$7,$L116&gt;AV$7),0,AND($K116&lt;=AV$7,$L116&lt;=AV$7),1,AND($K116&lt;=AV$7,$L116&gt;AV$7),((AV$7-$K116)/($L116-$K116)))</f>
        <v>1</v>
      </c>
      <c r="AX116" s="201">
        <f t="array" ref="AX116">_xlfn.IFS(AND($K116&gt;AW$7,$L116&gt;AW$7),0,AND($K116&lt;=AW$7,$L116&lt;=AW$7),1,AND($K116&lt;=AW$7,$L116&gt;AW$7),((AW$7-$K116)/($L116-$K116)))</f>
        <v>1</v>
      </c>
      <c r="AY116" s="201">
        <f t="array" ref="AY116">_xlfn.IFS(AND($K116&gt;AX$7,$L116&gt;AX$7),0,AND($K116&lt;=AX$7,$L116&lt;=AX$7),1,AND($K116&lt;=AX$7,$L116&gt;AX$7),((AX$7-$K116)/($L116-$K116)))</f>
        <v>1</v>
      </c>
      <c r="AZ116" s="201">
        <f t="array" ref="AZ116">_xlfn.IFS(AND($K116&gt;AY$7,$L116&gt;AY$7),0,AND($K116&lt;=AY$7,$L116&lt;=AY$7),1,AND($K116&lt;=AY$7,$L116&gt;AY$7),((AY$7-$K116)/($L116-$K116)))</f>
        <v>1</v>
      </c>
      <c r="BA116" s="201">
        <f t="array" ref="BA116">_xlfn.IFS(AND($K116&gt;AZ$7,$L116&gt;AZ$7),0,AND($K116&lt;=AZ$7,$L116&lt;=AZ$7),1,AND($K116&lt;=AZ$7,$L116&gt;AZ$7),((AZ$7-$K116)/($L116-$K116)))</f>
        <v>1</v>
      </c>
      <c r="BB116" s="201">
        <f t="array" ref="BB116">_xlfn.IFS(AND($K116&gt;BA$7,$L116&gt;BA$7),0,AND($K116&lt;=BA$7,$L116&lt;=BA$7),1,AND($K116&lt;=BA$7,$L116&gt;BA$7),((BA$7-$K116)/($L116-$K116)))</f>
        <v>1</v>
      </c>
      <c r="BC116" s="201">
        <f t="array" ref="BC116">_xlfn.IFS(AND($K116&gt;BB$7,$L116&gt;BB$7),0,AND($K116&lt;=BB$7,$L116&lt;=BB$7),1,AND($K116&lt;=BB$7,$L116&gt;BB$7),((BB$7-$K116)/($L116-$K116)))</f>
        <v>1</v>
      </c>
      <c r="BD116" s="201">
        <f t="array" ref="BD116">_xlfn.IFS(AND($K116&gt;BC$7,$L116&gt;BC$7),0,AND($K116&lt;=BC$7,$L116&lt;=BC$7),1,AND($K116&lt;=BC$7,$L116&gt;BC$7),((BC$7-$K116)/($L116-$K116)))</f>
        <v>1</v>
      </c>
      <c r="BE116" s="201">
        <f t="array" ref="BE116">_xlfn.IFS(AND($K116&gt;BD$7,$L116&gt;BD$7),0,AND($K116&lt;=BD$7,$L116&lt;=BD$7),1,AND($K116&lt;=BD$7,$L116&gt;BD$7),((BD$7-$K116)/($L116-$K116)))</f>
        <v>1</v>
      </c>
      <c r="BF116" s="201">
        <f t="array" ref="BF116">_xlfn.IFS(AND($K116&gt;BE$7,$L116&gt;BE$7),0,AND($K116&lt;=BE$7,$L116&lt;=BE$7),1,AND($K116&lt;=BE$7,$L116&gt;BE$7),((BE$7-$K116)/($L116-$K116)))</f>
        <v>1</v>
      </c>
      <c r="BG116" s="201">
        <f t="array" ref="BG116">_xlfn.IFS(AND($K116&gt;BF$7,$L116&gt;BF$7),0,AND($K116&lt;=BF$7,$L116&lt;=BF$7),1,AND($K116&lt;=BF$7,$L116&gt;BF$7),((BF$7-$K116)/($L116-$K116)))</f>
        <v>1</v>
      </c>
      <c r="BH116" s="201">
        <f t="array" ref="BH116">_xlfn.IFS(AND($K116&gt;BG$7,$L116&gt;BG$7),0,AND($K116&lt;=BG$7,$L116&lt;=BG$7),1,AND($K116&lt;=BG$7,$L116&gt;BG$7),((BG$7-$K116)/($L116-$K116)))</f>
        <v>1</v>
      </c>
      <c r="BI116" s="201">
        <f t="array" ref="BI116">_xlfn.IFS(AND($K116&gt;BH$7,$L116&gt;BH$7),0,AND($K116&lt;=BH$7,$L116&lt;=BH$7),1,AND($K116&lt;=BH$7,$L116&gt;BH$7),((BH$7-$K116)/($L116-$K116)))</f>
        <v>1</v>
      </c>
      <c r="BJ116" s="201">
        <f t="array" ref="BJ116">_xlfn.IFS(AND($K116&gt;BI$7,$L116&gt;BI$7),0,AND($K116&lt;=BI$7,$L116&lt;=BI$7),1,AND($K116&lt;=BI$7,$L116&gt;BI$7),((BI$7-$K116)/($L116-$K116)))</f>
        <v>1</v>
      </c>
      <c r="BK116" s="201">
        <f t="array" ref="BK116">_xlfn.IFS(AND($K116&gt;BJ$7,$L116&gt;BJ$7),0,AND($K116&lt;=BJ$7,$L116&lt;=BJ$7),1,AND($K116&lt;=BJ$7,$L116&gt;BJ$7),((BJ$7-$K116)/($L116-$K116)))</f>
        <v>1</v>
      </c>
      <c r="BL116" s="201">
        <f t="array" ref="BL116">_xlfn.IFS(AND($K116&gt;BK$7,$L116&gt;BK$7),0,AND($K116&lt;=BK$7,$L116&lt;=BK$7),1,AND($K116&lt;=BK$7,$L116&gt;BK$7),((BK$7-$K116)/($L116-$K116)))</f>
        <v>1</v>
      </c>
      <c r="BM116" s="201">
        <f t="array" ref="BM116">_xlfn.IFS(AND($K116&gt;BL$7,$L116&gt;BL$7),0,AND($K116&lt;=BL$7,$L116&lt;=BL$7),1,AND($K116&lt;=BL$7,$L116&gt;BL$7),((BL$7-$K116)/($L116-$K116)))</f>
        <v>1</v>
      </c>
      <c r="BN116" s="201">
        <f t="array" ref="BN116">_xlfn.IFS(AND($K116&gt;BM$7,$L116&gt;BM$7),0,AND($K116&lt;=BM$7,$L116&lt;=BM$7),1,AND($K116&lt;=BM$7,$L116&gt;BM$7),((BM$7-$K116)/($L116-$K116)))</f>
        <v>1</v>
      </c>
    </row>
    <row r="117" spans="2:66" s="163" customFormat="1" x14ac:dyDescent="0.3">
      <c r="B117" s="166" t="str">
        <f t="array" ref="B117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17" s="166" t="s">
        <v>280</v>
      </c>
      <c r="D117" s="177"/>
      <c r="E117" s="170" t="str">
        <f t="shared" si="49"/>
        <v>Desenvolvimento da Transformação dos Processos</v>
      </c>
      <c r="F117" s="174" t="str">
        <f t="shared" si="46"/>
        <v>Transformação do Processo</v>
      </c>
      <c r="G117" s="166" t="str">
        <f t="shared" si="50"/>
        <v>Transformação do Processo</v>
      </c>
      <c r="H117" s="197" t="s">
        <v>281</v>
      </c>
      <c r="I117" s="166">
        <v>45792</v>
      </c>
      <c r="J117" s="40">
        <v>45808</v>
      </c>
      <c r="K117" s="166">
        <v>45792</v>
      </c>
      <c r="L117" s="40">
        <v>45814</v>
      </c>
      <c r="M117" s="167"/>
      <c r="N117" s="167" t="str">
        <f t="array" ref="N117">_xlfn.IFS(L117&lt;$M$3,"Concluído",AND(K117&gt;=$M$3,I117&lt;$M$3,L117&gt;$M$3),"Em andamento",AND(L117&gt;=$M$3,J117&lt;$M$3),"Atrasado",AND(L117&gt;=$M$3,J117&gt;=$M$3,I117&gt;$M$3,K117&lt;=$M$3),"Em andamento",AND(L117&gt;=$M$3,J117&gt;=$M$3,I117&lt;=$M$3,K117&lt;=$M$3),"Em andamento",AND(K117&gt;$M$3,I117&gt;$M$3),"Não iniciado",AND(L117&gt;=$M$3,J117&gt;=$M$3,K117&gt;=$M$3,I117&lt;$M$3),"Atrasado",AND(L117&gt;=$M$3,J117&gt;=$M$3,K117&gt;=$M$3,I117&gt;$M$3),"Não iniciado",AND($I117&lt;=$M$3,$K117&gt;$M$3),"Atrasado")</f>
        <v>Concluído</v>
      </c>
      <c r="O117" s="167">
        <f t="array" ref="O117">_xlfn.IFS(N117="Não iniciado",0,N117="Em andamento",1,N117="Concluído",2,N117="Atrasado",3)</f>
        <v>2</v>
      </c>
      <c r="P117" s="169"/>
      <c r="Q117" s="152">
        <f t="array" ref="Q117">_xlfn.IFS(AND($I117&lt;$M$3,$J117&lt;$M$3),1,AND($I117&lt;$M$3,$J117&gt;=$M$3),0.5,AND($I117&gt;=$M$3,$J117&gt;=$M$3),0)</f>
        <v>1</v>
      </c>
      <c r="R117" s="152">
        <f t="array" ref="R117">_xlfn.IFS(AND($K117&lt;$M$3,$L117&lt;$M$3),1,AND($K117&lt;=$M$3,$L117&gt;=$M$3),0.5,AND($K117&gt;=$M$3,$L117&gt;=$M$3),0)</f>
        <v>1</v>
      </c>
      <c r="S117" s="201">
        <f t="array" ref="S117">_xlfn.IFS(AND($K117&gt;R$7,$L117&gt;R$7),0,AND($K117&lt;=R$7,$L117&lt;=R$7),1,AND($K117&lt;=R$7,$L117&gt;R$7),((R$7-$K117)/($L117-$K117)))</f>
        <v>0</v>
      </c>
      <c r="T117" s="201">
        <f t="array" ref="T117">_xlfn.IFS(AND($K117&gt;S$7,$L117&gt;S$7),0,AND($K117&lt;=S$7,$L117&lt;=S$7),1,AND($K117&lt;=S$7,$L117&gt;S$7),((S$7-$K117)/($L117-$K117)))</f>
        <v>0</v>
      </c>
      <c r="U117" s="201">
        <f t="array" ref="U117">_xlfn.IFS(AND($K117&gt;T$7,$L117&gt;T$7),0,AND($K117&lt;=T$7,$L117&lt;=T$7),1,AND($K117&lt;=T$7,$L117&gt;T$7),((T$7-$K117)/($L117-$K117)))</f>
        <v>0</v>
      </c>
      <c r="V117" s="201">
        <f t="array" ref="V117">_xlfn.IFS(AND($K117&gt;U$7,$L117&gt;U$7),0,AND($K117&lt;=U$7,$L117&lt;=U$7),1,AND($K117&lt;=U$7,$L117&gt;U$7),((U$7-$K117)/($L117-$K117)))</f>
        <v>0</v>
      </c>
      <c r="W117" s="201">
        <f t="array" ref="W117">_xlfn.IFS(AND($K117&gt;V$7,$L117&gt;V$7),0,AND($K117&lt;=V$7,$L117&lt;=V$7),1,AND($K117&lt;=V$7,$L117&gt;V$7),((V$7-$K117)/($L117-$K117)))</f>
        <v>0</v>
      </c>
      <c r="X117" s="201">
        <f t="array" ref="X117">_xlfn.IFS(AND($K117&gt;W$7,$L117&gt;W$7),0,AND($K117&lt;=W$7,$L117&lt;=W$7),1,AND($K117&lt;=W$7,$L117&gt;W$7),((W$7-$K117)/($L117-$K117)))</f>
        <v>0</v>
      </c>
      <c r="Y117" s="201">
        <f t="array" ref="Y117">_xlfn.IFS(AND($K117&gt;X$7,$L117&gt;X$7),0,AND($K117&lt;=X$7,$L117&lt;=X$7),1,AND($K117&lt;=X$7,$L117&gt;X$7),((X$7-$K117)/($L117-$K117)))</f>
        <v>0</v>
      </c>
      <c r="Z117" s="201">
        <f t="array" ref="Z117">_xlfn.IFS(AND($K117&gt;Y$7,$L117&gt;Y$7),0,AND($K117&lt;=Y$7,$L117&lt;=Y$7),1,AND($K117&lt;=Y$7,$L117&gt;Y$7),((Y$7-$K117)/($L117-$K117)))</f>
        <v>0</v>
      </c>
      <c r="AA117" s="201">
        <f t="array" ref="AA117">_xlfn.IFS(AND($K117&gt;Z$7,$L117&gt;Z$7),0,AND($K117&lt;=Z$7,$L117&lt;=Z$7),1,AND($K117&lt;=Z$7,$L117&gt;Z$7),((Z$7-$K117)/($L117-$K117)))</f>
        <v>0</v>
      </c>
      <c r="AB117" s="201">
        <f t="array" ref="AB117">_xlfn.IFS(AND($K117&gt;AA$7,$L117&gt;AA$7),0,AND($K117&lt;=AA$7,$L117&lt;=AA$7),1,AND($K117&lt;=AA$7,$L117&gt;AA$7),((AA$7-$K117)/($L117-$K117)))</f>
        <v>0</v>
      </c>
      <c r="AC117" s="201">
        <f t="array" ref="AC117">_xlfn.IFS(AND($K117&gt;AB$7,$L117&gt;AB$7),0,AND($K117&lt;=AB$7,$L117&lt;=AB$7),1,AND($K117&lt;=AB$7,$L117&gt;AB$7),((AB$7-$K117)/($L117-$K117)))</f>
        <v>0</v>
      </c>
      <c r="AD117" s="201">
        <f t="array" ref="AD117">_xlfn.IFS(AND($K117&gt;AC$7,$L117&gt;AC$7),0,AND($K117&lt;=AC$7,$L117&lt;=AC$7),1,AND($K117&lt;=AC$7,$L117&gt;AC$7),((AC$7-$K117)/($L117-$K117)))</f>
        <v>0</v>
      </c>
      <c r="AE117" s="201">
        <f t="array" ref="AE117">_xlfn.IFS(AND($K117&gt;AD$7,$L117&gt;AD$7),0,AND($K117&lt;=AD$7,$L117&lt;=AD$7),1,AND($K117&lt;=AD$7,$L117&gt;AD$7),((AD$7-$K117)/($L117-$K117)))</f>
        <v>0</v>
      </c>
      <c r="AF117" s="201">
        <f t="array" ref="AF117">_xlfn.IFS(AND($K117&gt;AE$7,$L117&gt;AE$7),0,AND($K117&lt;=AE$7,$L117&lt;=AE$7),1,AND($K117&lt;=AE$7,$L117&gt;AE$7),((AE$7-$K117)/($L117-$K117)))</f>
        <v>0</v>
      </c>
      <c r="AG117" s="201">
        <f t="array" ref="AG117">_xlfn.IFS(AND($K117&gt;AF$7,$L117&gt;AF$7),0,AND($K117&lt;=AF$7,$L117&lt;=AF$7),1,AND($K117&lt;=AF$7,$L117&gt;AF$7),((AF$7-$K117)/($L117-$K117)))</f>
        <v>0</v>
      </c>
      <c r="AH117" s="201">
        <f t="array" ref="AH117">_xlfn.IFS(AND($K117&gt;AG$7,$L117&gt;AG$7),0,AND($K117&lt;=AG$7,$L117&lt;=AG$7),1,AND($K117&lt;=AG$7,$L117&gt;AG$7),((AG$7-$K117)/($L117-$K117)))</f>
        <v>9.0909090909090912E-2</v>
      </c>
      <c r="AI117" s="201">
        <f t="array" ref="AI117">_xlfn.IFS(AND($K117&gt;AH$7,$L117&gt;AH$7),0,AND($K117&lt;=AH$7,$L117&lt;=AH$7),1,AND($K117&lt;=AH$7,$L117&gt;AH$7),((AH$7-$K117)/($L117-$K117)))</f>
        <v>0.40909090909090912</v>
      </c>
      <c r="AJ117" s="201">
        <f t="array" ref="AJ117">_xlfn.IFS(AND($K117&gt;AI$7,$L117&gt;AI$7),0,AND($K117&lt;=AI$7,$L117&lt;=AI$7),1,AND($K117&lt;=AI$7,$L117&gt;AI$7),((AI$7-$K117)/($L117-$K117)))</f>
        <v>0.72727272727272729</v>
      </c>
      <c r="AK117" s="201">
        <f t="array" ref="AK117">_xlfn.IFS(AND($K117&gt;AJ$7,$L117&gt;AJ$7),0,AND($K117&lt;=AJ$7,$L117&lt;=AJ$7),1,AND($K117&lt;=AJ$7,$L117&gt;AJ$7),((AJ$7-$K117)/($L117-$K117)))</f>
        <v>1</v>
      </c>
      <c r="AL117" s="201">
        <f t="array" ref="AL117">_xlfn.IFS(AND($K117&gt;AK$7,$L117&gt;AK$7),0,AND($K117&lt;=AK$7,$L117&lt;=AK$7),1,AND($K117&lt;=AK$7,$L117&gt;AK$7),((AK$7-$K117)/($L117-$K117)))</f>
        <v>1</v>
      </c>
      <c r="AM117" s="201">
        <f t="array" ref="AM117">_xlfn.IFS(AND($K117&gt;AL$7,$L117&gt;AL$7),0,AND($K117&lt;=AL$7,$L117&lt;=AL$7),1,AND($K117&lt;=AL$7,$L117&gt;AL$7),((AL$7-$K117)/($L117-$K117)))</f>
        <v>1</v>
      </c>
      <c r="AN117" s="201">
        <f t="array" ref="AN117">_xlfn.IFS(AND($K117&gt;AM$7,$L117&gt;AM$7),0,AND($K117&lt;=AM$7,$L117&lt;=AM$7),1,AND($K117&lt;=AM$7,$L117&gt;AM$7),((AM$7-$K117)/($L117-$K117)))</f>
        <v>1</v>
      </c>
      <c r="AO117" s="201">
        <f t="array" ref="AO117">_xlfn.IFS(AND($K117&gt;AN$7,$L117&gt;AN$7),0,AND($K117&lt;=AN$7,$L117&lt;=AN$7),1,AND($K117&lt;=AN$7,$L117&gt;AN$7),((AN$7-$K117)/($L117-$K117)))</f>
        <v>1</v>
      </c>
      <c r="AP117" s="201">
        <f t="array" ref="AP117">_xlfn.IFS(AND($K117&gt;AO$7,$L117&gt;AO$7),0,AND($K117&lt;=AO$7,$L117&lt;=AO$7),1,AND($K117&lt;=AO$7,$L117&gt;AO$7),((AO$7-$K117)/($L117-$K117)))</f>
        <v>1</v>
      </c>
      <c r="AQ117" s="201">
        <f t="array" ref="AQ117">_xlfn.IFS(AND($K117&gt;AP$7,$L117&gt;AP$7),0,AND($K117&lt;=AP$7,$L117&lt;=AP$7),1,AND($K117&lt;=AP$7,$L117&gt;AP$7),((AP$7-$K117)/($L117-$K117)))</f>
        <v>1</v>
      </c>
      <c r="AR117" s="201">
        <f t="array" ref="AR117">_xlfn.IFS(AND($K117&gt;AQ$7,$L117&gt;AQ$7),0,AND($K117&lt;=AQ$7,$L117&lt;=AQ$7),1,AND($K117&lt;=AQ$7,$L117&gt;AQ$7),((AQ$7-$K117)/($L117-$K117)))</f>
        <v>1</v>
      </c>
      <c r="AS117" s="201">
        <f t="array" ref="AS117">_xlfn.IFS(AND($K117&gt;AR$7,$L117&gt;AR$7),0,AND($K117&lt;=AR$7,$L117&lt;=AR$7),1,AND($K117&lt;=AR$7,$L117&gt;AR$7),((AR$7-$K117)/($L117-$K117)))</f>
        <v>1</v>
      </c>
      <c r="AT117" s="201">
        <f t="array" ref="AT117">_xlfn.IFS(AND($K117&gt;AS$7,$L117&gt;AS$7),0,AND($K117&lt;=AS$7,$L117&lt;=AS$7),1,AND($K117&lt;=AS$7,$L117&gt;AS$7),((AS$7-$K117)/($L117-$K117)))</f>
        <v>1</v>
      </c>
      <c r="AU117" s="201">
        <f t="array" ref="AU117">_xlfn.IFS(AND($K117&gt;AT$7,$L117&gt;AT$7),0,AND($K117&lt;=AT$7,$L117&lt;=AT$7),1,AND($K117&lt;=AT$7,$L117&gt;AT$7),((AT$7-$K117)/($L117-$K117)))</f>
        <v>1</v>
      </c>
      <c r="AV117" s="201">
        <f t="array" ref="AV117">_xlfn.IFS(AND($K117&gt;AU$7,$L117&gt;AU$7),0,AND($K117&lt;=AU$7,$L117&lt;=AU$7),1,AND($K117&lt;=AU$7,$L117&gt;AU$7),((AU$7-$K117)/($L117-$K117)))</f>
        <v>1</v>
      </c>
      <c r="AW117" s="201">
        <f t="array" ref="AW117">_xlfn.IFS(AND($K117&gt;AV$7,$L117&gt;AV$7),0,AND($K117&lt;=AV$7,$L117&lt;=AV$7),1,AND($K117&lt;=AV$7,$L117&gt;AV$7),((AV$7-$K117)/($L117-$K117)))</f>
        <v>1</v>
      </c>
      <c r="AX117" s="201">
        <f t="array" ref="AX117">_xlfn.IFS(AND($K117&gt;AW$7,$L117&gt;AW$7),0,AND($K117&lt;=AW$7,$L117&lt;=AW$7),1,AND($K117&lt;=AW$7,$L117&gt;AW$7),((AW$7-$K117)/($L117-$K117)))</f>
        <v>1</v>
      </c>
      <c r="AY117" s="201">
        <f t="array" ref="AY117">_xlfn.IFS(AND($K117&gt;AX$7,$L117&gt;AX$7),0,AND($K117&lt;=AX$7,$L117&lt;=AX$7),1,AND($K117&lt;=AX$7,$L117&gt;AX$7),((AX$7-$K117)/($L117-$K117)))</f>
        <v>1</v>
      </c>
      <c r="AZ117" s="201">
        <f t="array" ref="AZ117">_xlfn.IFS(AND($K117&gt;AY$7,$L117&gt;AY$7),0,AND($K117&lt;=AY$7,$L117&lt;=AY$7),1,AND($K117&lt;=AY$7,$L117&gt;AY$7),((AY$7-$K117)/($L117-$K117)))</f>
        <v>1</v>
      </c>
      <c r="BA117" s="201">
        <f t="array" ref="BA117">_xlfn.IFS(AND($K117&gt;AZ$7,$L117&gt;AZ$7),0,AND($K117&lt;=AZ$7,$L117&lt;=AZ$7),1,AND($K117&lt;=AZ$7,$L117&gt;AZ$7),((AZ$7-$K117)/($L117-$K117)))</f>
        <v>1</v>
      </c>
      <c r="BB117" s="201">
        <f t="array" ref="BB117">_xlfn.IFS(AND($K117&gt;BA$7,$L117&gt;BA$7),0,AND($K117&lt;=BA$7,$L117&lt;=BA$7),1,AND($K117&lt;=BA$7,$L117&gt;BA$7),((BA$7-$K117)/($L117-$K117)))</f>
        <v>1</v>
      </c>
      <c r="BC117" s="201">
        <f t="array" ref="BC117">_xlfn.IFS(AND($K117&gt;BB$7,$L117&gt;BB$7),0,AND($K117&lt;=BB$7,$L117&lt;=BB$7),1,AND($K117&lt;=BB$7,$L117&gt;BB$7),((BB$7-$K117)/($L117-$K117)))</f>
        <v>1</v>
      </c>
      <c r="BD117" s="201">
        <f t="array" ref="BD117">_xlfn.IFS(AND($K117&gt;BC$7,$L117&gt;BC$7),0,AND($K117&lt;=BC$7,$L117&lt;=BC$7),1,AND($K117&lt;=BC$7,$L117&gt;BC$7),((BC$7-$K117)/($L117-$K117)))</f>
        <v>1</v>
      </c>
      <c r="BE117" s="201">
        <f t="array" ref="BE117">_xlfn.IFS(AND($K117&gt;BD$7,$L117&gt;BD$7),0,AND($K117&lt;=BD$7,$L117&lt;=BD$7),1,AND($K117&lt;=BD$7,$L117&gt;BD$7),((BD$7-$K117)/($L117-$K117)))</f>
        <v>1</v>
      </c>
      <c r="BF117" s="201">
        <f t="array" ref="BF117">_xlfn.IFS(AND($K117&gt;BE$7,$L117&gt;BE$7),0,AND($K117&lt;=BE$7,$L117&lt;=BE$7),1,AND($K117&lt;=BE$7,$L117&gt;BE$7),((BE$7-$K117)/($L117-$K117)))</f>
        <v>1</v>
      </c>
      <c r="BG117" s="201">
        <f t="array" ref="BG117">_xlfn.IFS(AND($K117&gt;BF$7,$L117&gt;BF$7),0,AND($K117&lt;=BF$7,$L117&lt;=BF$7),1,AND($K117&lt;=BF$7,$L117&gt;BF$7),((BF$7-$K117)/($L117-$K117)))</f>
        <v>1</v>
      </c>
      <c r="BH117" s="201">
        <f t="array" ref="BH117">_xlfn.IFS(AND($K117&gt;BG$7,$L117&gt;BG$7),0,AND($K117&lt;=BG$7,$L117&lt;=BG$7),1,AND($K117&lt;=BG$7,$L117&gt;BG$7),((BG$7-$K117)/($L117-$K117)))</f>
        <v>1</v>
      </c>
      <c r="BI117" s="201">
        <f t="array" ref="BI117">_xlfn.IFS(AND($K117&gt;BH$7,$L117&gt;BH$7),0,AND($K117&lt;=BH$7,$L117&lt;=BH$7),1,AND($K117&lt;=BH$7,$L117&gt;BH$7),((BH$7-$K117)/($L117-$K117)))</f>
        <v>1</v>
      </c>
      <c r="BJ117" s="201">
        <f t="array" ref="BJ117">_xlfn.IFS(AND($K117&gt;BI$7,$L117&gt;BI$7),0,AND($K117&lt;=BI$7,$L117&lt;=BI$7),1,AND($K117&lt;=BI$7,$L117&gt;BI$7),((BI$7-$K117)/($L117-$K117)))</f>
        <v>1</v>
      </c>
      <c r="BK117" s="201">
        <f t="array" ref="BK117">_xlfn.IFS(AND($K117&gt;BJ$7,$L117&gt;BJ$7),0,AND($K117&lt;=BJ$7,$L117&lt;=BJ$7),1,AND($K117&lt;=BJ$7,$L117&gt;BJ$7),((BJ$7-$K117)/($L117-$K117)))</f>
        <v>1</v>
      </c>
      <c r="BL117" s="201">
        <f t="array" ref="BL117">_xlfn.IFS(AND($K117&gt;BK$7,$L117&gt;BK$7),0,AND($K117&lt;=BK$7,$L117&lt;=BK$7),1,AND($K117&lt;=BK$7,$L117&gt;BK$7),((BK$7-$K117)/($L117-$K117)))</f>
        <v>1</v>
      </c>
      <c r="BM117" s="201">
        <f t="array" ref="BM117">_xlfn.IFS(AND($K117&gt;BL$7,$L117&gt;BL$7),0,AND($K117&lt;=BL$7,$L117&lt;=BL$7),1,AND($K117&lt;=BL$7,$L117&gt;BL$7),((BL$7-$K117)/($L117-$K117)))</f>
        <v>1</v>
      </c>
      <c r="BN117" s="201">
        <f t="array" ref="BN117">_xlfn.IFS(AND($K117&gt;BM$7,$L117&gt;BM$7),0,AND($K117&lt;=BM$7,$L117&lt;=BM$7),1,AND($K117&lt;=BM$7,$L117&gt;BM$7),((BM$7-$K117)/($L117-$K117)))</f>
        <v>1</v>
      </c>
    </row>
    <row r="118" spans="2:66" s="163" customFormat="1" x14ac:dyDescent="0.3">
      <c r="B118" s="166" t="str">
        <f t="array" ref="B118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18" s="166" t="s">
        <v>282</v>
      </c>
      <c r="D118" s="177"/>
      <c r="E118" s="170" t="str">
        <f t="shared" si="49"/>
        <v>Desenvolvimento da Transformação dos Processos</v>
      </c>
      <c r="F118" s="174" t="str">
        <f t="shared" si="46"/>
        <v>Transformação do Processo</v>
      </c>
      <c r="G118" s="166" t="str">
        <f t="shared" si="50"/>
        <v>Transformação do Processo</v>
      </c>
      <c r="H118" s="197" t="s">
        <v>283</v>
      </c>
      <c r="I118" s="166">
        <v>45809</v>
      </c>
      <c r="J118" s="166">
        <v>45823</v>
      </c>
      <c r="K118" s="166">
        <v>45809</v>
      </c>
      <c r="L118" s="166">
        <v>45823</v>
      </c>
      <c r="M118" s="167"/>
      <c r="N118" s="167" t="str">
        <f t="array" ref="N118">_xlfn.IFS(L118&lt;$M$3,"Concluído",AND(K118&gt;=$M$3,I118&lt;$M$3,L118&gt;$M$3),"Em andamento",AND(L118&gt;=$M$3,J118&lt;$M$3),"Atrasado",AND(L118&gt;=$M$3,J118&gt;=$M$3,I118&gt;$M$3,K118&lt;=$M$3),"Em andamento",AND(L118&gt;=$M$3,J118&gt;=$M$3,I118&lt;=$M$3,K118&lt;=$M$3),"Em andamento",AND(K118&gt;$M$3,I118&gt;$M$3),"Não iniciado",AND(L118&gt;=$M$3,J118&gt;=$M$3,K118&gt;=$M$3,I118&lt;$M$3),"Atrasado",AND(L118&gt;=$M$3,J118&gt;=$M$3,K118&gt;=$M$3,I118&gt;$M$3),"Não iniciado",AND($I118&lt;=$M$3,$K118&gt;$M$3),"Atrasado")</f>
        <v>Concluído</v>
      </c>
      <c r="O118" s="167">
        <f t="array" ref="O118">_xlfn.IFS(N118="Não iniciado",0,N118="Em andamento",1,N118="Concluído",2,N118="Atrasado",3)</f>
        <v>2</v>
      </c>
      <c r="P118" s="169"/>
      <c r="Q118" s="152">
        <f t="array" ref="Q118">_xlfn.IFS(AND($I118&lt;$M$3,$J118&lt;$M$3),1,AND($I118&lt;$M$3,$J118&gt;=$M$3),0.5,AND($I118&gt;=$M$3,$J118&gt;=$M$3),0)</f>
        <v>1</v>
      </c>
      <c r="R118" s="152">
        <f t="array" ref="R118">_xlfn.IFS(AND($K118&lt;$M$3,$L118&lt;$M$3),1,AND($K118&lt;=$M$3,$L118&gt;=$M$3),0.5,AND($K118&gt;=$M$3,$L118&gt;=$M$3),0)</f>
        <v>1</v>
      </c>
      <c r="S118" s="201">
        <f t="array" ref="S118">_xlfn.IFS(AND($K118&gt;R$7,$L118&gt;R$7),0,AND($K118&lt;=R$7,$L118&lt;=R$7),1,AND($K118&lt;=R$7,$L118&gt;R$7),((R$7-$K118)/($L118-$K118)))</f>
        <v>0</v>
      </c>
      <c r="T118" s="201">
        <f t="array" ref="T118">_xlfn.IFS(AND($K118&gt;S$7,$L118&gt;S$7),0,AND($K118&lt;=S$7,$L118&lt;=S$7),1,AND($K118&lt;=S$7,$L118&gt;S$7),((S$7-$K118)/($L118-$K118)))</f>
        <v>0</v>
      </c>
      <c r="U118" s="201">
        <f t="array" ref="U118">_xlfn.IFS(AND($K118&gt;T$7,$L118&gt;T$7),0,AND($K118&lt;=T$7,$L118&lt;=T$7),1,AND($K118&lt;=T$7,$L118&gt;T$7),((T$7-$K118)/($L118-$K118)))</f>
        <v>0</v>
      </c>
      <c r="V118" s="201">
        <f t="array" ref="V118">_xlfn.IFS(AND($K118&gt;U$7,$L118&gt;U$7),0,AND($K118&lt;=U$7,$L118&lt;=U$7),1,AND($K118&lt;=U$7,$L118&gt;U$7),((U$7-$K118)/($L118-$K118)))</f>
        <v>0</v>
      </c>
      <c r="W118" s="201">
        <f t="array" ref="W118">_xlfn.IFS(AND($K118&gt;V$7,$L118&gt;V$7),0,AND($K118&lt;=V$7,$L118&lt;=V$7),1,AND($K118&lt;=V$7,$L118&gt;V$7),((V$7-$K118)/($L118-$K118)))</f>
        <v>0</v>
      </c>
      <c r="X118" s="201">
        <f t="array" ref="X118">_xlfn.IFS(AND($K118&gt;W$7,$L118&gt;W$7),0,AND($K118&lt;=W$7,$L118&lt;=W$7),1,AND($K118&lt;=W$7,$L118&gt;W$7),((W$7-$K118)/($L118-$K118)))</f>
        <v>0</v>
      </c>
      <c r="Y118" s="201">
        <f t="array" ref="Y118">_xlfn.IFS(AND($K118&gt;X$7,$L118&gt;X$7),0,AND($K118&lt;=X$7,$L118&lt;=X$7),1,AND($K118&lt;=X$7,$L118&gt;X$7),((X$7-$K118)/($L118-$K118)))</f>
        <v>0</v>
      </c>
      <c r="Z118" s="201">
        <f t="array" ref="Z118">_xlfn.IFS(AND($K118&gt;Y$7,$L118&gt;Y$7),0,AND($K118&lt;=Y$7,$L118&lt;=Y$7),1,AND($K118&lt;=Y$7,$L118&gt;Y$7),((Y$7-$K118)/($L118-$K118)))</f>
        <v>0</v>
      </c>
      <c r="AA118" s="201">
        <f t="array" ref="AA118">_xlfn.IFS(AND($K118&gt;Z$7,$L118&gt;Z$7),0,AND($K118&lt;=Z$7,$L118&lt;=Z$7),1,AND($K118&lt;=Z$7,$L118&gt;Z$7),((Z$7-$K118)/($L118-$K118)))</f>
        <v>0</v>
      </c>
      <c r="AB118" s="201">
        <f t="array" ref="AB118">_xlfn.IFS(AND($K118&gt;AA$7,$L118&gt;AA$7),0,AND($K118&lt;=AA$7,$L118&lt;=AA$7),1,AND($K118&lt;=AA$7,$L118&gt;AA$7),((AA$7-$K118)/($L118-$K118)))</f>
        <v>0</v>
      </c>
      <c r="AC118" s="201">
        <f t="array" ref="AC118">_xlfn.IFS(AND($K118&gt;AB$7,$L118&gt;AB$7),0,AND($K118&lt;=AB$7,$L118&lt;=AB$7),1,AND($K118&lt;=AB$7,$L118&gt;AB$7),((AB$7-$K118)/($L118-$K118)))</f>
        <v>0</v>
      </c>
      <c r="AD118" s="201">
        <f t="array" ref="AD118">_xlfn.IFS(AND($K118&gt;AC$7,$L118&gt;AC$7),0,AND($K118&lt;=AC$7,$L118&lt;=AC$7),1,AND($K118&lt;=AC$7,$L118&gt;AC$7),((AC$7-$K118)/($L118-$K118)))</f>
        <v>0</v>
      </c>
      <c r="AE118" s="201">
        <f t="array" ref="AE118">_xlfn.IFS(AND($K118&gt;AD$7,$L118&gt;AD$7),0,AND($K118&lt;=AD$7,$L118&lt;=AD$7),1,AND($K118&lt;=AD$7,$L118&gt;AD$7),((AD$7-$K118)/($L118-$K118)))</f>
        <v>0</v>
      </c>
      <c r="AF118" s="201">
        <f t="array" ref="AF118">_xlfn.IFS(AND($K118&gt;AE$7,$L118&gt;AE$7),0,AND($K118&lt;=AE$7,$L118&lt;=AE$7),1,AND($K118&lt;=AE$7,$L118&gt;AE$7),((AE$7-$K118)/($L118-$K118)))</f>
        <v>0</v>
      </c>
      <c r="AG118" s="201">
        <f t="array" ref="AG118">_xlfn.IFS(AND($K118&gt;AF$7,$L118&gt;AF$7),0,AND($K118&lt;=AF$7,$L118&lt;=AF$7),1,AND($K118&lt;=AF$7,$L118&gt;AF$7),((AF$7-$K118)/($L118-$K118)))</f>
        <v>0</v>
      </c>
      <c r="AH118" s="201">
        <f t="array" ref="AH118">_xlfn.IFS(AND($K118&gt;AG$7,$L118&gt;AG$7),0,AND($K118&lt;=AG$7,$L118&lt;=AG$7),1,AND($K118&lt;=AG$7,$L118&gt;AG$7),((AG$7-$K118)/($L118-$K118)))</f>
        <v>0</v>
      </c>
      <c r="AI118" s="201">
        <f t="array" ref="AI118">_xlfn.IFS(AND($K118&gt;AH$7,$L118&gt;AH$7),0,AND($K118&lt;=AH$7,$L118&lt;=AH$7),1,AND($K118&lt;=AH$7,$L118&gt;AH$7),((AH$7-$K118)/($L118-$K118)))</f>
        <v>0</v>
      </c>
      <c r="AJ118" s="201">
        <f t="array" ref="AJ118">_xlfn.IFS(AND($K118&gt;AI$7,$L118&gt;AI$7),0,AND($K118&lt;=AI$7,$L118&lt;=AI$7),1,AND($K118&lt;=AI$7,$L118&gt;AI$7),((AI$7-$K118)/($L118-$K118)))</f>
        <v>0</v>
      </c>
      <c r="AK118" s="201">
        <f t="array" ref="AK118">_xlfn.IFS(AND($K118&gt;AJ$7,$L118&gt;AJ$7),0,AND($K118&lt;=AJ$7,$L118&lt;=AJ$7),1,AND($K118&lt;=AJ$7,$L118&gt;AJ$7),((AJ$7-$K118)/($L118-$K118)))</f>
        <v>0.42857142857142855</v>
      </c>
      <c r="AL118" s="201">
        <f t="array" ref="AL118">_xlfn.IFS(AND($K118&gt;AK$7,$L118&gt;AK$7),0,AND($K118&lt;=AK$7,$L118&lt;=AK$7),1,AND($K118&lt;=AK$7,$L118&gt;AK$7),((AK$7-$K118)/($L118-$K118)))</f>
        <v>0.9285714285714286</v>
      </c>
      <c r="AM118" s="201">
        <f t="array" ref="AM118">_xlfn.IFS(AND($K118&gt;AL$7,$L118&gt;AL$7),0,AND($K118&lt;=AL$7,$L118&lt;=AL$7),1,AND($K118&lt;=AL$7,$L118&gt;AL$7),((AL$7-$K118)/($L118-$K118)))</f>
        <v>1</v>
      </c>
      <c r="AN118" s="201">
        <f t="array" ref="AN118">_xlfn.IFS(AND($K118&gt;AM$7,$L118&gt;AM$7),0,AND($K118&lt;=AM$7,$L118&lt;=AM$7),1,AND($K118&lt;=AM$7,$L118&gt;AM$7),((AM$7-$K118)/($L118-$K118)))</f>
        <v>1</v>
      </c>
      <c r="AO118" s="201">
        <f t="array" ref="AO118">_xlfn.IFS(AND($K118&gt;AN$7,$L118&gt;AN$7),0,AND($K118&lt;=AN$7,$L118&lt;=AN$7),1,AND($K118&lt;=AN$7,$L118&gt;AN$7),((AN$7-$K118)/($L118-$K118)))</f>
        <v>1</v>
      </c>
      <c r="AP118" s="201">
        <f t="array" ref="AP118">_xlfn.IFS(AND($K118&gt;AO$7,$L118&gt;AO$7),0,AND($K118&lt;=AO$7,$L118&lt;=AO$7),1,AND($K118&lt;=AO$7,$L118&gt;AO$7),((AO$7-$K118)/($L118-$K118)))</f>
        <v>1</v>
      </c>
      <c r="AQ118" s="201">
        <f t="array" ref="AQ118">_xlfn.IFS(AND($K118&gt;AP$7,$L118&gt;AP$7),0,AND($K118&lt;=AP$7,$L118&lt;=AP$7),1,AND($K118&lt;=AP$7,$L118&gt;AP$7),((AP$7-$K118)/($L118-$K118)))</f>
        <v>1</v>
      </c>
      <c r="AR118" s="201">
        <f t="array" ref="AR118">_xlfn.IFS(AND($K118&gt;AQ$7,$L118&gt;AQ$7),0,AND($K118&lt;=AQ$7,$L118&lt;=AQ$7),1,AND($K118&lt;=AQ$7,$L118&gt;AQ$7),((AQ$7-$K118)/($L118-$K118)))</f>
        <v>1</v>
      </c>
      <c r="AS118" s="201">
        <f t="array" ref="AS118">_xlfn.IFS(AND($K118&gt;AR$7,$L118&gt;AR$7),0,AND($K118&lt;=AR$7,$L118&lt;=AR$7),1,AND($K118&lt;=AR$7,$L118&gt;AR$7),((AR$7-$K118)/($L118-$K118)))</f>
        <v>1</v>
      </c>
      <c r="AT118" s="201">
        <f t="array" ref="AT118">_xlfn.IFS(AND($K118&gt;AS$7,$L118&gt;AS$7),0,AND($K118&lt;=AS$7,$L118&lt;=AS$7),1,AND($K118&lt;=AS$7,$L118&gt;AS$7),((AS$7-$K118)/($L118-$K118)))</f>
        <v>1</v>
      </c>
      <c r="AU118" s="201">
        <f t="array" ref="AU118">_xlfn.IFS(AND($K118&gt;AT$7,$L118&gt;AT$7),0,AND($K118&lt;=AT$7,$L118&lt;=AT$7),1,AND($K118&lt;=AT$7,$L118&gt;AT$7),((AT$7-$K118)/($L118-$K118)))</f>
        <v>1</v>
      </c>
      <c r="AV118" s="201">
        <f t="array" ref="AV118">_xlfn.IFS(AND($K118&gt;AU$7,$L118&gt;AU$7),0,AND($K118&lt;=AU$7,$L118&lt;=AU$7),1,AND($K118&lt;=AU$7,$L118&gt;AU$7),((AU$7-$K118)/($L118-$K118)))</f>
        <v>1</v>
      </c>
      <c r="AW118" s="201">
        <f t="array" ref="AW118">_xlfn.IFS(AND($K118&gt;AV$7,$L118&gt;AV$7),0,AND($K118&lt;=AV$7,$L118&lt;=AV$7),1,AND($K118&lt;=AV$7,$L118&gt;AV$7),((AV$7-$K118)/($L118-$K118)))</f>
        <v>1</v>
      </c>
      <c r="AX118" s="201">
        <f t="array" ref="AX118">_xlfn.IFS(AND($K118&gt;AW$7,$L118&gt;AW$7),0,AND($K118&lt;=AW$7,$L118&lt;=AW$7),1,AND($K118&lt;=AW$7,$L118&gt;AW$7),((AW$7-$K118)/($L118-$K118)))</f>
        <v>1</v>
      </c>
      <c r="AY118" s="201">
        <f t="array" ref="AY118">_xlfn.IFS(AND($K118&gt;AX$7,$L118&gt;AX$7),0,AND($K118&lt;=AX$7,$L118&lt;=AX$7),1,AND($K118&lt;=AX$7,$L118&gt;AX$7),((AX$7-$K118)/($L118-$K118)))</f>
        <v>1</v>
      </c>
      <c r="AZ118" s="201">
        <f t="array" ref="AZ118">_xlfn.IFS(AND($K118&gt;AY$7,$L118&gt;AY$7),0,AND($K118&lt;=AY$7,$L118&lt;=AY$7),1,AND($K118&lt;=AY$7,$L118&gt;AY$7),((AY$7-$K118)/($L118-$K118)))</f>
        <v>1</v>
      </c>
      <c r="BA118" s="201">
        <f t="array" ref="BA118">_xlfn.IFS(AND($K118&gt;AZ$7,$L118&gt;AZ$7),0,AND($K118&lt;=AZ$7,$L118&lt;=AZ$7),1,AND($K118&lt;=AZ$7,$L118&gt;AZ$7),((AZ$7-$K118)/($L118-$K118)))</f>
        <v>1</v>
      </c>
      <c r="BB118" s="201">
        <f t="array" ref="BB118">_xlfn.IFS(AND($K118&gt;BA$7,$L118&gt;BA$7),0,AND($K118&lt;=BA$7,$L118&lt;=BA$7),1,AND($K118&lt;=BA$7,$L118&gt;BA$7),((BA$7-$K118)/($L118-$K118)))</f>
        <v>1</v>
      </c>
      <c r="BC118" s="201">
        <f t="array" ref="BC118">_xlfn.IFS(AND($K118&gt;BB$7,$L118&gt;BB$7),0,AND($K118&lt;=BB$7,$L118&lt;=BB$7),1,AND($K118&lt;=BB$7,$L118&gt;BB$7),((BB$7-$K118)/($L118-$K118)))</f>
        <v>1</v>
      </c>
      <c r="BD118" s="201">
        <f t="array" ref="BD118">_xlfn.IFS(AND($K118&gt;BC$7,$L118&gt;BC$7),0,AND($K118&lt;=BC$7,$L118&lt;=BC$7),1,AND($K118&lt;=BC$7,$L118&gt;BC$7),((BC$7-$K118)/($L118-$K118)))</f>
        <v>1</v>
      </c>
      <c r="BE118" s="201">
        <f t="array" ref="BE118">_xlfn.IFS(AND($K118&gt;BD$7,$L118&gt;BD$7),0,AND($K118&lt;=BD$7,$L118&lt;=BD$7),1,AND($K118&lt;=BD$7,$L118&gt;BD$7),((BD$7-$K118)/($L118-$K118)))</f>
        <v>1</v>
      </c>
      <c r="BF118" s="201">
        <f t="array" ref="BF118">_xlfn.IFS(AND($K118&gt;BE$7,$L118&gt;BE$7),0,AND($K118&lt;=BE$7,$L118&lt;=BE$7),1,AND($K118&lt;=BE$7,$L118&gt;BE$7),((BE$7-$K118)/($L118-$K118)))</f>
        <v>1</v>
      </c>
      <c r="BG118" s="201">
        <f t="array" ref="BG118">_xlfn.IFS(AND($K118&gt;BF$7,$L118&gt;BF$7),0,AND($K118&lt;=BF$7,$L118&lt;=BF$7),1,AND($K118&lt;=BF$7,$L118&gt;BF$7),((BF$7-$K118)/($L118-$K118)))</f>
        <v>1</v>
      </c>
      <c r="BH118" s="201">
        <f t="array" ref="BH118">_xlfn.IFS(AND($K118&gt;BG$7,$L118&gt;BG$7),0,AND($K118&lt;=BG$7,$L118&lt;=BG$7),1,AND($K118&lt;=BG$7,$L118&gt;BG$7),((BG$7-$K118)/($L118-$K118)))</f>
        <v>1</v>
      </c>
      <c r="BI118" s="201">
        <f t="array" ref="BI118">_xlfn.IFS(AND($K118&gt;BH$7,$L118&gt;BH$7),0,AND($K118&lt;=BH$7,$L118&lt;=BH$7),1,AND($K118&lt;=BH$7,$L118&gt;BH$7),((BH$7-$K118)/($L118-$K118)))</f>
        <v>1</v>
      </c>
      <c r="BJ118" s="201">
        <f t="array" ref="BJ118">_xlfn.IFS(AND($K118&gt;BI$7,$L118&gt;BI$7),0,AND($K118&lt;=BI$7,$L118&lt;=BI$7),1,AND($K118&lt;=BI$7,$L118&gt;BI$7),((BI$7-$K118)/($L118-$K118)))</f>
        <v>1</v>
      </c>
      <c r="BK118" s="201">
        <f t="array" ref="BK118">_xlfn.IFS(AND($K118&gt;BJ$7,$L118&gt;BJ$7),0,AND($K118&lt;=BJ$7,$L118&lt;=BJ$7),1,AND($K118&lt;=BJ$7,$L118&gt;BJ$7),((BJ$7-$K118)/($L118-$K118)))</f>
        <v>1</v>
      </c>
      <c r="BL118" s="201">
        <f t="array" ref="BL118">_xlfn.IFS(AND($K118&gt;BK$7,$L118&gt;BK$7),0,AND($K118&lt;=BK$7,$L118&lt;=BK$7),1,AND($K118&lt;=BK$7,$L118&gt;BK$7),((BK$7-$K118)/($L118-$K118)))</f>
        <v>1</v>
      </c>
      <c r="BM118" s="201">
        <f t="array" ref="BM118">_xlfn.IFS(AND($K118&gt;BL$7,$L118&gt;BL$7),0,AND($K118&lt;=BL$7,$L118&lt;=BL$7),1,AND($K118&lt;=BL$7,$L118&gt;BL$7),((BL$7-$K118)/($L118-$K118)))</f>
        <v>1</v>
      </c>
      <c r="BN118" s="201">
        <f t="array" ref="BN118">_xlfn.IFS(AND($K118&gt;BM$7,$L118&gt;BM$7),0,AND($K118&lt;=BM$7,$L118&lt;=BM$7),1,AND($K118&lt;=BM$7,$L118&gt;BM$7),((BM$7-$K118)/($L118-$K118)))</f>
        <v>1</v>
      </c>
    </row>
    <row r="119" spans="2:66" s="163" customFormat="1" x14ac:dyDescent="0.3">
      <c r="B119" s="166" t="s">
        <v>161</v>
      </c>
      <c r="C119" s="166" t="s">
        <v>284</v>
      </c>
      <c r="D119" s="177"/>
      <c r="E119" s="170" t="str">
        <f t="shared" si="49"/>
        <v>Desenvolvimento da Transformação dos Processos</v>
      </c>
      <c r="F119" s="174" t="str">
        <f t="shared" si="46"/>
        <v>Transformação do Processo</v>
      </c>
      <c r="G119" s="166" t="str">
        <f t="shared" si="50"/>
        <v>Transformação do Processo</v>
      </c>
      <c r="H119" s="197" t="s">
        <v>285</v>
      </c>
      <c r="I119" s="166">
        <v>45824</v>
      </c>
      <c r="J119" s="166">
        <v>45842</v>
      </c>
      <c r="K119" s="166">
        <v>45824</v>
      </c>
      <c r="L119" s="166">
        <v>45842</v>
      </c>
      <c r="M119" s="167"/>
      <c r="N119" s="167" t="str">
        <f t="array" ref="N119">_xlfn.IFS(L119&lt;$M$3,"Concluído",AND(K119&gt;=$M$3,I119&lt;$M$3,L119&gt;$M$3),"Em andamento",AND(L119&gt;=$M$3,J119&lt;$M$3),"Atrasado",AND(L119&gt;=$M$3,J119&gt;=$M$3,I119&gt;$M$3,K119&lt;=$M$3),"Em andamento",AND(L119&gt;=$M$3,J119&gt;=$M$3,I119&lt;=$M$3,K119&lt;=$M$3),"Em andamento",AND(K119&gt;$M$3,I119&gt;$M$3),"Não iniciado",AND(L119&gt;=$M$3,J119&gt;=$M$3,K119&gt;=$M$3,I119&lt;$M$3),"Atrasado",AND(L119&gt;=$M$3,J119&gt;=$M$3,K119&gt;=$M$3,I119&gt;$M$3),"Não iniciado",AND($I119&lt;=$M$3,$K119&gt;$M$3),"Atrasado")</f>
        <v>Concluído</v>
      </c>
      <c r="O119" s="167">
        <f t="array" ref="O119">_xlfn.IFS(N119="Não iniciado",0,N119="Em andamento",1,N119="Concluído",2,N119="Atrasado",3)</f>
        <v>2</v>
      </c>
      <c r="P119" s="169"/>
      <c r="Q119" s="152">
        <f t="array" ref="Q119">_xlfn.IFS(AND($I119&lt;$M$3,$J119&lt;$M$3),1,AND($I119&lt;$M$3,$J119&gt;=$M$3),0.5,AND($I119&gt;=$M$3,$J119&gt;=$M$3),0)</f>
        <v>1</v>
      </c>
      <c r="R119" s="152">
        <f t="array" ref="R119">_xlfn.IFS(AND($K119&lt;$M$3,$L119&lt;$M$3),1,AND($K119&lt;=$M$3,$L119&gt;=$M$3),0.5,AND($K119&gt;=$M$3,$L119&gt;=$M$3),0)</f>
        <v>1</v>
      </c>
      <c r="S119" s="201">
        <f t="array" ref="S119">_xlfn.IFS(AND($K119&gt;R$7,$L119&gt;R$7),0,AND($K119&lt;=R$7,$L119&lt;=R$7),1,AND($K119&lt;=R$7,$L119&gt;R$7),((R$7-$K119)/($L119-$K119)))</f>
        <v>0</v>
      </c>
      <c r="T119" s="201">
        <f t="array" ref="T119">_xlfn.IFS(AND($K119&gt;S$7,$L119&gt;S$7),0,AND($K119&lt;=S$7,$L119&lt;=S$7),1,AND($K119&lt;=S$7,$L119&gt;S$7),((S$7-$K119)/($L119-$K119)))</f>
        <v>0</v>
      </c>
      <c r="U119" s="201">
        <f t="array" ref="U119">_xlfn.IFS(AND($K119&gt;T$7,$L119&gt;T$7),0,AND($K119&lt;=T$7,$L119&lt;=T$7),1,AND($K119&lt;=T$7,$L119&gt;T$7),((T$7-$K119)/($L119-$K119)))</f>
        <v>0</v>
      </c>
      <c r="V119" s="201">
        <f t="array" ref="V119">_xlfn.IFS(AND($K119&gt;U$7,$L119&gt;U$7),0,AND($K119&lt;=U$7,$L119&lt;=U$7),1,AND($K119&lt;=U$7,$L119&gt;U$7),((U$7-$K119)/($L119-$K119)))</f>
        <v>0</v>
      </c>
      <c r="W119" s="201">
        <f t="array" ref="W119">_xlfn.IFS(AND($K119&gt;V$7,$L119&gt;V$7),0,AND($K119&lt;=V$7,$L119&lt;=V$7),1,AND($K119&lt;=V$7,$L119&gt;V$7),((V$7-$K119)/($L119-$K119)))</f>
        <v>0</v>
      </c>
      <c r="X119" s="201">
        <f t="array" ref="X119">_xlfn.IFS(AND($K119&gt;W$7,$L119&gt;W$7),0,AND($K119&lt;=W$7,$L119&lt;=W$7),1,AND($K119&lt;=W$7,$L119&gt;W$7),((W$7-$K119)/($L119-$K119)))</f>
        <v>0</v>
      </c>
      <c r="Y119" s="201">
        <f t="array" ref="Y119">_xlfn.IFS(AND($K119&gt;X$7,$L119&gt;X$7),0,AND($K119&lt;=X$7,$L119&lt;=X$7),1,AND($K119&lt;=X$7,$L119&gt;X$7),((X$7-$K119)/($L119-$K119)))</f>
        <v>0</v>
      </c>
      <c r="Z119" s="201">
        <f t="array" ref="Z119">_xlfn.IFS(AND($K119&gt;Y$7,$L119&gt;Y$7),0,AND($K119&lt;=Y$7,$L119&lt;=Y$7),1,AND($K119&lt;=Y$7,$L119&gt;Y$7),((Y$7-$K119)/($L119-$K119)))</f>
        <v>0</v>
      </c>
      <c r="AA119" s="201">
        <f t="array" ref="AA119">_xlfn.IFS(AND($K119&gt;Z$7,$L119&gt;Z$7),0,AND($K119&lt;=Z$7,$L119&lt;=Z$7),1,AND($K119&lt;=Z$7,$L119&gt;Z$7),((Z$7-$K119)/($L119-$K119)))</f>
        <v>0</v>
      </c>
      <c r="AB119" s="201">
        <f t="array" ref="AB119">_xlfn.IFS(AND($K119&gt;AA$7,$L119&gt;AA$7),0,AND($K119&lt;=AA$7,$L119&lt;=AA$7),1,AND($K119&lt;=AA$7,$L119&gt;AA$7),((AA$7-$K119)/($L119-$K119)))</f>
        <v>0</v>
      </c>
      <c r="AC119" s="201">
        <f t="array" ref="AC119">_xlfn.IFS(AND($K119&gt;AB$7,$L119&gt;AB$7),0,AND($K119&lt;=AB$7,$L119&lt;=AB$7),1,AND($K119&lt;=AB$7,$L119&gt;AB$7),((AB$7-$K119)/($L119-$K119)))</f>
        <v>0</v>
      </c>
      <c r="AD119" s="201">
        <f t="array" ref="AD119">_xlfn.IFS(AND($K119&gt;AC$7,$L119&gt;AC$7),0,AND($K119&lt;=AC$7,$L119&lt;=AC$7),1,AND($K119&lt;=AC$7,$L119&gt;AC$7),((AC$7-$K119)/($L119-$K119)))</f>
        <v>0</v>
      </c>
      <c r="AE119" s="201">
        <f t="array" ref="AE119">_xlfn.IFS(AND($K119&gt;AD$7,$L119&gt;AD$7),0,AND($K119&lt;=AD$7,$L119&lt;=AD$7),1,AND($K119&lt;=AD$7,$L119&gt;AD$7),((AD$7-$K119)/($L119-$K119)))</f>
        <v>0</v>
      </c>
      <c r="AF119" s="201">
        <f t="array" ref="AF119">_xlfn.IFS(AND($K119&gt;AE$7,$L119&gt;AE$7),0,AND($K119&lt;=AE$7,$L119&lt;=AE$7),1,AND($K119&lt;=AE$7,$L119&gt;AE$7),((AE$7-$K119)/($L119-$K119)))</f>
        <v>0</v>
      </c>
      <c r="AG119" s="201">
        <f t="array" ref="AG119">_xlfn.IFS(AND($K119&gt;AF$7,$L119&gt;AF$7),0,AND($K119&lt;=AF$7,$L119&lt;=AF$7),1,AND($K119&lt;=AF$7,$L119&gt;AF$7),((AF$7-$K119)/($L119-$K119)))</f>
        <v>0</v>
      </c>
      <c r="AH119" s="201">
        <f t="array" ref="AH119">_xlfn.IFS(AND($K119&gt;AG$7,$L119&gt;AG$7),0,AND($K119&lt;=AG$7,$L119&lt;=AG$7),1,AND($K119&lt;=AG$7,$L119&gt;AG$7),((AG$7-$K119)/($L119-$K119)))</f>
        <v>0</v>
      </c>
      <c r="AI119" s="201">
        <f t="array" ref="AI119">_xlfn.IFS(AND($K119&gt;AH$7,$L119&gt;AH$7),0,AND($K119&lt;=AH$7,$L119&lt;=AH$7),1,AND($K119&lt;=AH$7,$L119&gt;AH$7),((AH$7-$K119)/($L119-$K119)))</f>
        <v>0</v>
      </c>
      <c r="AJ119" s="201">
        <f t="array" ref="AJ119">_xlfn.IFS(AND($K119&gt;AI$7,$L119&gt;AI$7),0,AND($K119&lt;=AI$7,$L119&lt;=AI$7),1,AND($K119&lt;=AI$7,$L119&gt;AI$7),((AI$7-$K119)/($L119-$K119)))</f>
        <v>0</v>
      </c>
      <c r="AK119" s="201">
        <f t="array" ref="AK119">_xlfn.IFS(AND($K119&gt;AJ$7,$L119&gt;AJ$7),0,AND($K119&lt;=AJ$7,$L119&lt;=AJ$7),1,AND($K119&lt;=AJ$7,$L119&gt;AJ$7),((AJ$7-$K119)/($L119-$K119)))</f>
        <v>0</v>
      </c>
      <c r="AL119" s="201">
        <f t="array" ref="AL119">_xlfn.IFS(AND($K119&gt;AK$7,$L119&gt;AK$7),0,AND($K119&lt;=AK$7,$L119&lt;=AK$7),1,AND($K119&lt;=AK$7,$L119&gt;AK$7),((AK$7-$K119)/($L119-$K119)))</f>
        <v>0</v>
      </c>
      <c r="AM119" s="201">
        <f t="array" ref="AM119">_xlfn.IFS(AND($K119&gt;AL$7,$L119&gt;AL$7),0,AND($K119&lt;=AL$7,$L119&lt;=AL$7),1,AND($K119&lt;=AL$7,$L119&gt;AL$7),((AL$7-$K119)/($L119-$K119)))</f>
        <v>0.27777777777777779</v>
      </c>
      <c r="AN119" s="201">
        <f t="array" ref="AN119">_xlfn.IFS(AND($K119&gt;AM$7,$L119&gt;AM$7),0,AND($K119&lt;=AM$7,$L119&lt;=AM$7),1,AND($K119&lt;=AM$7,$L119&gt;AM$7),((AM$7-$K119)/($L119-$K119)))</f>
        <v>0.66666666666666663</v>
      </c>
      <c r="AO119" s="201">
        <f t="array" ref="AO119">_xlfn.IFS(AND($K119&gt;AN$7,$L119&gt;AN$7),0,AND($K119&lt;=AN$7,$L119&lt;=AN$7),1,AND($K119&lt;=AN$7,$L119&gt;AN$7),((AN$7-$K119)/($L119-$K119)))</f>
        <v>1</v>
      </c>
      <c r="AP119" s="201">
        <f t="array" ref="AP119">_xlfn.IFS(AND($K119&gt;AO$7,$L119&gt;AO$7),0,AND($K119&lt;=AO$7,$L119&lt;=AO$7),1,AND($K119&lt;=AO$7,$L119&gt;AO$7),((AO$7-$K119)/($L119-$K119)))</f>
        <v>1</v>
      </c>
      <c r="AQ119" s="201">
        <f t="array" ref="AQ119">_xlfn.IFS(AND($K119&gt;AP$7,$L119&gt;AP$7),0,AND($K119&lt;=AP$7,$L119&lt;=AP$7),1,AND($K119&lt;=AP$7,$L119&gt;AP$7),((AP$7-$K119)/($L119-$K119)))</f>
        <v>1</v>
      </c>
      <c r="AR119" s="201">
        <f t="array" ref="AR119">_xlfn.IFS(AND($K119&gt;AQ$7,$L119&gt;AQ$7),0,AND($K119&lt;=AQ$7,$L119&lt;=AQ$7),1,AND($K119&lt;=AQ$7,$L119&gt;AQ$7),((AQ$7-$K119)/($L119-$K119)))</f>
        <v>1</v>
      </c>
      <c r="AS119" s="201">
        <f t="array" ref="AS119">_xlfn.IFS(AND($K119&gt;AR$7,$L119&gt;AR$7),0,AND($K119&lt;=AR$7,$L119&lt;=AR$7),1,AND($K119&lt;=AR$7,$L119&gt;AR$7),((AR$7-$K119)/($L119-$K119)))</f>
        <v>1</v>
      </c>
      <c r="AT119" s="201">
        <f t="array" ref="AT119">_xlfn.IFS(AND($K119&gt;AS$7,$L119&gt;AS$7),0,AND($K119&lt;=AS$7,$L119&lt;=AS$7),1,AND($K119&lt;=AS$7,$L119&gt;AS$7),((AS$7-$K119)/($L119-$K119)))</f>
        <v>1</v>
      </c>
      <c r="AU119" s="201">
        <f t="array" ref="AU119">_xlfn.IFS(AND($K119&gt;AT$7,$L119&gt;AT$7),0,AND($K119&lt;=AT$7,$L119&lt;=AT$7),1,AND($K119&lt;=AT$7,$L119&gt;AT$7),((AT$7-$K119)/($L119-$K119)))</f>
        <v>1</v>
      </c>
      <c r="AV119" s="201">
        <f t="array" ref="AV119">_xlfn.IFS(AND($K119&gt;AU$7,$L119&gt;AU$7),0,AND($K119&lt;=AU$7,$L119&lt;=AU$7),1,AND($K119&lt;=AU$7,$L119&gt;AU$7),((AU$7-$K119)/($L119-$K119)))</f>
        <v>1</v>
      </c>
      <c r="AW119" s="201">
        <f t="array" ref="AW119">_xlfn.IFS(AND($K119&gt;AV$7,$L119&gt;AV$7),0,AND($K119&lt;=AV$7,$L119&lt;=AV$7),1,AND($K119&lt;=AV$7,$L119&gt;AV$7),((AV$7-$K119)/($L119-$K119)))</f>
        <v>1</v>
      </c>
      <c r="AX119" s="201">
        <f t="array" ref="AX119">_xlfn.IFS(AND($K119&gt;AW$7,$L119&gt;AW$7),0,AND($K119&lt;=AW$7,$L119&lt;=AW$7),1,AND($K119&lt;=AW$7,$L119&gt;AW$7),((AW$7-$K119)/($L119-$K119)))</f>
        <v>1</v>
      </c>
      <c r="AY119" s="201">
        <f t="array" ref="AY119">_xlfn.IFS(AND($K119&gt;AX$7,$L119&gt;AX$7),0,AND($K119&lt;=AX$7,$L119&lt;=AX$7),1,AND($K119&lt;=AX$7,$L119&gt;AX$7),((AX$7-$K119)/($L119-$K119)))</f>
        <v>1</v>
      </c>
      <c r="AZ119" s="201">
        <f t="array" ref="AZ119">_xlfn.IFS(AND($K119&gt;AY$7,$L119&gt;AY$7),0,AND($K119&lt;=AY$7,$L119&lt;=AY$7),1,AND($K119&lt;=AY$7,$L119&gt;AY$7),((AY$7-$K119)/($L119-$K119)))</f>
        <v>1</v>
      </c>
      <c r="BA119" s="201">
        <f t="array" ref="BA119">_xlfn.IFS(AND($K119&gt;AZ$7,$L119&gt;AZ$7),0,AND($K119&lt;=AZ$7,$L119&lt;=AZ$7),1,AND($K119&lt;=AZ$7,$L119&gt;AZ$7),((AZ$7-$K119)/($L119-$K119)))</f>
        <v>1</v>
      </c>
      <c r="BB119" s="201">
        <f t="array" ref="BB119">_xlfn.IFS(AND($K119&gt;BA$7,$L119&gt;BA$7),0,AND($K119&lt;=BA$7,$L119&lt;=BA$7),1,AND($K119&lt;=BA$7,$L119&gt;BA$7),((BA$7-$K119)/($L119-$K119)))</f>
        <v>1</v>
      </c>
      <c r="BC119" s="201">
        <f t="array" ref="BC119">_xlfn.IFS(AND($K119&gt;BB$7,$L119&gt;BB$7),0,AND($K119&lt;=BB$7,$L119&lt;=BB$7),1,AND($K119&lt;=BB$7,$L119&gt;BB$7),((BB$7-$K119)/($L119-$K119)))</f>
        <v>1</v>
      </c>
      <c r="BD119" s="201">
        <f t="array" ref="BD119">_xlfn.IFS(AND($K119&gt;BC$7,$L119&gt;BC$7),0,AND($K119&lt;=BC$7,$L119&lt;=BC$7),1,AND($K119&lt;=BC$7,$L119&gt;BC$7),((BC$7-$K119)/($L119-$K119)))</f>
        <v>1</v>
      </c>
      <c r="BE119" s="201">
        <f t="array" ref="BE119">_xlfn.IFS(AND($K119&gt;BD$7,$L119&gt;BD$7),0,AND($K119&lt;=BD$7,$L119&lt;=BD$7),1,AND($K119&lt;=BD$7,$L119&gt;BD$7),((BD$7-$K119)/($L119-$K119)))</f>
        <v>1</v>
      </c>
      <c r="BF119" s="201">
        <f t="array" ref="BF119">_xlfn.IFS(AND($K119&gt;BE$7,$L119&gt;BE$7),0,AND($K119&lt;=BE$7,$L119&lt;=BE$7),1,AND($K119&lt;=BE$7,$L119&gt;BE$7),((BE$7-$K119)/($L119-$K119)))</f>
        <v>1</v>
      </c>
      <c r="BG119" s="201">
        <f t="array" ref="BG119">_xlfn.IFS(AND($K119&gt;BF$7,$L119&gt;BF$7),0,AND($K119&lt;=BF$7,$L119&lt;=BF$7),1,AND($K119&lt;=BF$7,$L119&gt;BF$7),((BF$7-$K119)/($L119-$K119)))</f>
        <v>1</v>
      </c>
      <c r="BH119" s="201">
        <f t="array" ref="BH119">_xlfn.IFS(AND($K119&gt;BG$7,$L119&gt;BG$7),0,AND($K119&lt;=BG$7,$L119&lt;=BG$7),1,AND($K119&lt;=BG$7,$L119&gt;BG$7),((BG$7-$K119)/($L119-$K119)))</f>
        <v>1</v>
      </c>
      <c r="BI119" s="201">
        <f t="array" ref="BI119">_xlfn.IFS(AND($K119&gt;BH$7,$L119&gt;BH$7),0,AND($K119&lt;=BH$7,$L119&lt;=BH$7),1,AND($K119&lt;=BH$7,$L119&gt;BH$7),((BH$7-$K119)/($L119-$K119)))</f>
        <v>1</v>
      </c>
      <c r="BJ119" s="201">
        <f t="array" ref="BJ119">_xlfn.IFS(AND($K119&gt;BI$7,$L119&gt;BI$7),0,AND($K119&lt;=BI$7,$L119&lt;=BI$7),1,AND($K119&lt;=BI$7,$L119&gt;BI$7),((BI$7-$K119)/($L119-$K119)))</f>
        <v>1</v>
      </c>
      <c r="BK119" s="201">
        <f t="array" ref="BK119">_xlfn.IFS(AND($K119&gt;BJ$7,$L119&gt;BJ$7),0,AND($K119&lt;=BJ$7,$L119&lt;=BJ$7),1,AND($K119&lt;=BJ$7,$L119&gt;BJ$7),((BJ$7-$K119)/($L119-$K119)))</f>
        <v>1</v>
      </c>
      <c r="BL119" s="201">
        <f t="array" ref="BL119">_xlfn.IFS(AND($K119&gt;BK$7,$L119&gt;BK$7),0,AND($K119&lt;=BK$7,$L119&lt;=BK$7),1,AND($K119&lt;=BK$7,$L119&gt;BK$7),((BK$7-$K119)/($L119-$K119)))</f>
        <v>1</v>
      </c>
      <c r="BM119" s="201">
        <f t="array" ref="BM119">_xlfn.IFS(AND($K119&gt;BL$7,$L119&gt;BL$7),0,AND($K119&lt;=BL$7,$L119&lt;=BL$7),1,AND($K119&lt;=BL$7,$L119&gt;BL$7),((BL$7-$K119)/($L119-$K119)))</f>
        <v>1</v>
      </c>
      <c r="BN119" s="201">
        <f t="array" ref="BN119">_xlfn.IFS(AND($K119&gt;BM$7,$L119&gt;BM$7),0,AND($K119&lt;=BM$7,$L119&lt;=BM$7),1,AND($K119&lt;=BM$7,$L119&gt;BM$7),((BM$7-$K119)/($L119-$K119)))</f>
        <v>1</v>
      </c>
    </row>
    <row r="120" spans="2:66" s="163" customFormat="1" ht="27.6" customHeight="1" x14ac:dyDescent="0.3">
      <c r="B120" s="166" t="s">
        <v>161</v>
      </c>
      <c r="C120" s="166" t="s">
        <v>286</v>
      </c>
      <c r="D120" s="177"/>
      <c r="E120" s="170" t="str">
        <f t="shared" si="49"/>
        <v>Desenvolvimento da Transformação dos Processos</v>
      </c>
      <c r="F120" s="174" t="str">
        <f t="shared" si="46"/>
        <v>Transformação do Processo</v>
      </c>
      <c r="G120" s="166" t="str">
        <f t="shared" si="50"/>
        <v>Transformação do Processo</v>
      </c>
      <c r="H120" s="197" t="s">
        <v>287</v>
      </c>
      <c r="I120" s="166">
        <v>45824</v>
      </c>
      <c r="J120" s="166">
        <v>45842</v>
      </c>
      <c r="K120" s="166">
        <v>45824</v>
      </c>
      <c r="L120" s="166">
        <v>45842</v>
      </c>
      <c r="M120" s="167"/>
      <c r="N120" s="167" t="str">
        <f t="array" ref="N120">_xlfn.IFS(L120&lt;$M$3,"Concluído",AND(K120&gt;=$M$3,I120&lt;$M$3,L120&gt;$M$3),"Em andamento",AND(L120&gt;=$M$3,J120&lt;$M$3),"Atrasado",AND(L120&gt;=$M$3,J120&gt;=$M$3,I120&gt;$M$3,K120&lt;=$M$3),"Em andamento",AND(L120&gt;=$M$3,J120&gt;=$M$3,I120&lt;=$M$3,K120&lt;=$M$3),"Em andamento",AND(K120&gt;$M$3,I120&gt;$M$3),"Não iniciado",AND(L120&gt;=$M$3,J120&gt;=$M$3,K120&gt;=$M$3,I120&lt;$M$3),"Atrasado",AND(L120&gt;=$M$3,J120&gt;=$M$3,K120&gt;=$M$3,I120&gt;$M$3),"Não iniciado",AND($I120&lt;=$M$3,$K120&gt;$M$3),"Atrasado")</f>
        <v>Concluído</v>
      </c>
      <c r="O120" s="167">
        <f t="array" ref="O120">_xlfn.IFS(N120="Não iniciado",0,N120="Em andamento",1,N120="Concluído",2,N120="Atrasado",3)</f>
        <v>2</v>
      </c>
      <c r="P120" s="169"/>
      <c r="Q120" s="152">
        <f t="array" ref="Q120">_xlfn.IFS(AND($I120&lt;$M$3,$J120&lt;$M$3),1,AND($I120&lt;$M$3,$J120&gt;=$M$3),0.5,AND($I120&gt;=$M$3,$J120&gt;=$M$3),0)</f>
        <v>1</v>
      </c>
      <c r="R120" s="152">
        <f t="array" ref="R120">_xlfn.IFS(AND($K120&lt;$M$3,$L120&lt;$M$3),1,AND($K120&lt;=$M$3,$L120&gt;=$M$3),0.5,AND($K120&gt;=$M$3,$L120&gt;=$M$3),0)</f>
        <v>1</v>
      </c>
      <c r="S120" s="201">
        <f t="array" ref="S120">_xlfn.IFS(AND($K120&gt;R$7,$L120&gt;R$7),0,AND($K120&lt;=R$7,$L120&lt;=R$7),1,AND($K120&lt;=R$7,$L120&gt;R$7),((R$7-$K120)/($L120-$K120)))</f>
        <v>0</v>
      </c>
      <c r="T120" s="201">
        <f t="array" ref="T120">_xlfn.IFS(AND($K120&gt;S$7,$L120&gt;S$7),0,AND($K120&lt;=S$7,$L120&lt;=S$7),1,AND($K120&lt;=S$7,$L120&gt;S$7),((S$7-$K120)/($L120-$K120)))</f>
        <v>0</v>
      </c>
      <c r="U120" s="201">
        <f t="array" ref="U120">_xlfn.IFS(AND($K120&gt;T$7,$L120&gt;T$7),0,AND($K120&lt;=T$7,$L120&lt;=T$7),1,AND($K120&lt;=T$7,$L120&gt;T$7),((T$7-$K120)/($L120-$K120)))</f>
        <v>0</v>
      </c>
      <c r="V120" s="201">
        <f t="array" ref="V120">_xlfn.IFS(AND($K120&gt;U$7,$L120&gt;U$7),0,AND($K120&lt;=U$7,$L120&lt;=U$7),1,AND($K120&lt;=U$7,$L120&gt;U$7),((U$7-$K120)/($L120-$K120)))</f>
        <v>0</v>
      </c>
      <c r="W120" s="201">
        <f t="array" ref="W120">_xlfn.IFS(AND($K120&gt;V$7,$L120&gt;V$7),0,AND($K120&lt;=V$7,$L120&lt;=V$7),1,AND($K120&lt;=V$7,$L120&gt;V$7),((V$7-$K120)/($L120-$K120)))</f>
        <v>0</v>
      </c>
      <c r="X120" s="201">
        <f t="array" ref="X120">_xlfn.IFS(AND($K120&gt;W$7,$L120&gt;W$7),0,AND($K120&lt;=W$7,$L120&lt;=W$7),1,AND($K120&lt;=W$7,$L120&gt;W$7),((W$7-$K120)/($L120-$K120)))</f>
        <v>0</v>
      </c>
      <c r="Y120" s="201">
        <f t="array" ref="Y120">_xlfn.IFS(AND($K120&gt;X$7,$L120&gt;X$7),0,AND($K120&lt;=X$7,$L120&lt;=X$7),1,AND($K120&lt;=X$7,$L120&gt;X$7),((X$7-$K120)/($L120-$K120)))</f>
        <v>0</v>
      </c>
      <c r="Z120" s="201">
        <f t="array" ref="Z120">_xlfn.IFS(AND($K120&gt;Y$7,$L120&gt;Y$7),0,AND($K120&lt;=Y$7,$L120&lt;=Y$7),1,AND($K120&lt;=Y$7,$L120&gt;Y$7),((Y$7-$K120)/($L120-$K120)))</f>
        <v>0</v>
      </c>
      <c r="AA120" s="201">
        <f t="array" ref="AA120">_xlfn.IFS(AND($K120&gt;Z$7,$L120&gt;Z$7),0,AND($K120&lt;=Z$7,$L120&lt;=Z$7),1,AND($K120&lt;=Z$7,$L120&gt;Z$7),((Z$7-$K120)/($L120-$K120)))</f>
        <v>0</v>
      </c>
      <c r="AB120" s="201">
        <f t="array" ref="AB120">_xlfn.IFS(AND($K120&gt;AA$7,$L120&gt;AA$7),0,AND($K120&lt;=AA$7,$L120&lt;=AA$7),1,AND($K120&lt;=AA$7,$L120&gt;AA$7),((AA$7-$K120)/($L120-$K120)))</f>
        <v>0</v>
      </c>
      <c r="AC120" s="201">
        <f t="array" ref="AC120">_xlfn.IFS(AND($K120&gt;AB$7,$L120&gt;AB$7),0,AND($K120&lt;=AB$7,$L120&lt;=AB$7),1,AND($K120&lt;=AB$7,$L120&gt;AB$7),((AB$7-$K120)/($L120-$K120)))</f>
        <v>0</v>
      </c>
      <c r="AD120" s="201">
        <f t="array" ref="AD120">_xlfn.IFS(AND($K120&gt;AC$7,$L120&gt;AC$7),0,AND($K120&lt;=AC$7,$L120&lt;=AC$7),1,AND($K120&lt;=AC$7,$L120&gt;AC$7),((AC$7-$K120)/($L120-$K120)))</f>
        <v>0</v>
      </c>
      <c r="AE120" s="201">
        <f t="array" ref="AE120">_xlfn.IFS(AND($K120&gt;AD$7,$L120&gt;AD$7),0,AND($K120&lt;=AD$7,$L120&lt;=AD$7),1,AND($K120&lt;=AD$7,$L120&gt;AD$7),((AD$7-$K120)/($L120-$K120)))</f>
        <v>0</v>
      </c>
      <c r="AF120" s="201">
        <f t="array" ref="AF120">_xlfn.IFS(AND($K120&gt;AE$7,$L120&gt;AE$7),0,AND($K120&lt;=AE$7,$L120&lt;=AE$7),1,AND($K120&lt;=AE$7,$L120&gt;AE$7),((AE$7-$K120)/($L120-$K120)))</f>
        <v>0</v>
      </c>
      <c r="AG120" s="201">
        <f t="array" ref="AG120">_xlfn.IFS(AND($K120&gt;AF$7,$L120&gt;AF$7),0,AND($K120&lt;=AF$7,$L120&lt;=AF$7),1,AND($K120&lt;=AF$7,$L120&gt;AF$7),((AF$7-$K120)/($L120-$K120)))</f>
        <v>0</v>
      </c>
      <c r="AH120" s="201">
        <f t="array" ref="AH120">_xlfn.IFS(AND($K120&gt;AG$7,$L120&gt;AG$7),0,AND($K120&lt;=AG$7,$L120&lt;=AG$7),1,AND($K120&lt;=AG$7,$L120&gt;AG$7),((AG$7-$K120)/($L120-$K120)))</f>
        <v>0</v>
      </c>
      <c r="AI120" s="201">
        <f t="array" ref="AI120">_xlfn.IFS(AND($K120&gt;AH$7,$L120&gt;AH$7),0,AND($K120&lt;=AH$7,$L120&lt;=AH$7),1,AND($K120&lt;=AH$7,$L120&gt;AH$7),((AH$7-$K120)/($L120-$K120)))</f>
        <v>0</v>
      </c>
      <c r="AJ120" s="201">
        <f t="array" ref="AJ120">_xlfn.IFS(AND($K120&gt;AI$7,$L120&gt;AI$7),0,AND($K120&lt;=AI$7,$L120&lt;=AI$7),1,AND($K120&lt;=AI$7,$L120&gt;AI$7),((AI$7-$K120)/($L120-$K120)))</f>
        <v>0</v>
      </c>
      <c r="AK120" s="201">
        <f t="array" ref="AK120">_xlfn.IFS(AND($K120&gt;AJ$7,$L120&gt;AJ$7),0,AND($K120&lt;=AJ$7,$L120&lt;=AJ$7),1,AND($K120&lt;=AJ$7,$L120&gt;AJ$7),((AJ$7-$K120)/($L120-$K120)))</f>
        <v>0</v>
      </c>
      <c r="AL120" s="201">
        <f t="array" ref="AL120">_xlfn.IFS(AND($K120&gt;AK$7,$L120&gt;AK$7),0,AND($K120&lt;=AK$7,$L120&lt;=AK$7),1,AND($K120&lt;=AK$7,$L120&gt;AK$7),((AK$7-$K120)/($L120-$K120)))</f>
        <v>0</v>
      </c>
      <c r="AM120" s="201">
        <f t="array" ref="AM120">_xlfn.IFS(AND($K120&gt;AL$7,$L120&gt;AL$7),0,AND($K120&lt;=AL$7,$L120&lt;=AL$7),1,AND($K120&lt;=AL$7,$L120&gt;AL$7),((AL$7-$K120)/($L120-$K120)))</f>
        <v>0.27777777777777779</v>
      </c>
      <c r="AN120" s="201">
        <f t="array" ref="AN120">_xlfn.IFS(AND($K120&gt;AM$7,$L120&gt;AM$7),0,AND($K120&lt;=AM$7,$L120&lt;=AM$7),1,AND($K120&lt;=AM$7,$L120&gt;AM$7),((AM$7-$K120)/($L120-$K120)))</f>
        <v>0.66666666666666663</v>
      </c>
      <c r="AO120" s="201">
        <f t="array" ref="AO120">_xlfn.IFS(AND($K120&gt;AN$7,$L120&gt;AN$7),0,AND($K120&lt;=AN$7,$L120&lt;=AN$7),1,AND($K120&lt;=AN$7,$L120&gt;AN$7),((AN$7-$K120)/($L120-$K120)))</f>
        <v>1</v>
      </c>
      <c r="AP120" s="201">
        <f t="array" ref="AP120">_xlfn.IFS(AND($K120&gt;AO$7,$L120&gt;AO$7),0,AND($K120&lt;=AO$7,$L120&lt;=AO$7),1,AND($K120&lt;=AO$7,$L120&gt;AO$7),((AO$7-$K120)/($L120-$K120)))</f>
        <v>1</v>
      </c>
      <c r="AQ120" s="201">
        <f t="array" ref="AQ120">_xlfn.IFS(AND($K120&gt;AP$7,$L120&gt;AP$7),0,AND($K120&lt;=AP$7,$L120&lt;=AP$7),1,AND($K120&lt;=AP$7,$L120&gt;AP$7),((AP$7-$K120)/($L120-$K120)))</f>
        <v>1</v>
      </c>
      <c r="AR120" s="201">
        <f t="array" ref="AR120">_xlfn.IFS(AND($K120&gt;AQ$7,$L120&gt;AQ$7),0,AND($K120&lt;=AQ$7,$L120&lt;=AQ$7),1,AND($K120&lt;=AQ$7,$L120&gt;AQ$7),((AQ$7-$K120)/($L120-$K120)))</f>
        <v>1</v>
      </c>
      <c r="AS120" s="201">
        <f t="array" ref="AS120">_xlfn.IFS(AND($K120&gt;AR$7,$L120&gt;AR$7),0,AND($K120&lt;=AR$7,$L120&lt;=AR$7),1,AND($K120&lt;=AR$7,$L120&gt;AR$7),((AR$7-$K120)/($L120-$K120)))</f>
        <v>1</v>
      </c>
      <c r="AT120" s="201">
        <f t="array" ref="AT120">_xlfn.IFS(AND($K120&gt;AS$7,$L120&gt;AS$7),0,AND($K120&lt;=AS$7,$L120&lt;=AS$7),1,AND($K120&lt;=AS$7,$L120&gt;AS$7),((AS$7-$K120)/($L120-$K120)))</f>
        <v>1</v>
      </c>
      <c r="AU120" s="201">
        <f t="array" ref="AU120">_xlfn.IFS(AND($K120&gt;AT$7,$L120&gt;AT$7),0,AND($K120&lt;=AT$7,$L120&lt;=AT$7),1,AND($K120&lt;=AT$7,$L120&gt;AT$7),((AT$7-$K120)/($L120-$K120)))</f>
        <v>1</v>
      </c>
      <c r="AV120" s="201">
        <f t="array" ref="AV120">_xlfn.IFS(AND($K120&gt;AU$7,$L120&gt;AU$7),0,AND($K120&lt;=AU$7,$L120&lt;=AU$7),1,AND($K120&lt;=AU$7,$L120&gt;AU$7),((AU$7-$K120)/($L120-$K120)))</f>
        <v>1</v>
      </c>
      <c r="AW120" s="201">
        <f t="array" ref="AW120">_xlfn.IFS(AND($K120&gt;AV$7,$L120&gt;AV$7),0,AND($K120&lt;=AV$7,$L120&lt;=AV$7),1,AND($K120&lt;=AV$7,$L120&gt;AV$7),((AV$7-$K120)/($L120-$K120)))</f>
        <v>1</v>
      </c>
      <c r="AX120" s="201">
        <f t="array" ref="AX120">_xlfn.IFS(AND($K120&gt;AW$7,$L120&gt;AW$7),0,AND($K120&lt;=AW$7,$L120&lt;=AW$7),1,AND($K120&lt;=AW$7,$L120&gt;AW$7),((AW$7-$K120)/($L120-$K120)))</f>
        <v>1</v>
      </c>
      <c r="AY120" s="201">
        <f t="array" ref="AY120">_xlfn.IFS(AND($K120&gt;AX$7,$L120&gt;AX$7),0,AND($K120&lt;=AX$7,$L120&lt;=AX$7),1,AND($K120&lt;=AX$7,$L120&gt;AX$7),((AX$7-$K120)/($L120-$K120)))</f>
        <v>1</v>
      </c>
      <c r="AZ120" s="201">
        <f t="array" ref="AZ120">_xlfn.IFS(AND($K120&gt;AY$7,$L120&gt;AY$7),0,AND($K120&lt;=AY$7,$L120&lt;=AY$7),1,AND($K120&lt;=AY$7,$L120&gt;AY$7),((AY$7-$K120)/($L120-$K120)))</f>
        <v>1</v>
      </c>
      <c r="BA120" s="201">
        <f t="array" ref="BA120">_xlfn.IFS(AND($K120&gt;AZ$7,$L120&gt;AZ$7),0,AND($K120&lt;=AZ$7,$L120&lt;=AZ$7),1,AND($K120&lt;=AZ$7,$L120&gt;AZ$7),((AZ$7-$K120)/($L120-$K120)))</f>
        <v>1</v>
      </c>
      <c r="BB120" s="201">
        <f t="array" ref="BB120">_xlfn.IFS(AND($K120&gt;BA$7,$L120&gt;BA$7),0,AND($K120&lt;=BA$7,$L120&lt;=BA$7),1,AND($K120&lt;=BA$7,$L120&gt;BA$7),((BA$7-$K120)/($L120-$K120)))</f>
        <v>1</v>
      </c>
      <c r="BC120" s="201">
        <f t="array" ref="BC120">_xlfn.IFS(AND($K120&gt;BB$7,$L120&gt;BB$7),0,AND($K120&lt;=BB$7,$L120&lt;=BB$7),1,AND($K120&lt;=BB$7,$L120&gt;BB$7),((BB$7-$K120)/($L120-$K120)))</f>
        <v>1</v>
      </c>
      <c r="BD120" s="201">
        <f t="array" ref="BD120">_xlfn.IFS(AND($K120&gt;BC$7,$L120&gt;BC$7),0,AND($K120&lt;=BC$7,$L120&lt;=BC$7),1,AND($K120&lt;=BC$7,$L120&gt;BC$7),((BC$7-$K120)/($L120-$K120)))</f>
        <v>1</v>
      </c>
      <c r="BE120" s="201">
        <f t="array" ref="BE120">_xlfn.IFS(AND($K120&gt;BD$7,$L120&gt;BD$7),0,AND($K120&lt;=BD$7,$L120&lt;=BD$7),1,AND($K120&lt;=BD$7,$L120&gt;BD$7),((BD$7-$K120)/($L120-$K120)))</f>
        <v>1</v>
      </c>
      <c r="BF120" s="201">
        <f t="array" ref="BF120">_xlfn.IFS(AND($K120&gt;BE$7,$L120&gt;BE$7),0,AND($K120&lt;=BE$7,$L120&lt;=BE$7),1,AND($K120&lt;=BE$7,$L120&gt;BE$7),((BE$7-$K120)/($L120-$K120)))</f>
        <v>1</v>
      </c>
      <c r="BG120" s="201">
        <f t="array" ref="BG120">_xlfn.IFS(AND($K120&gt;BF$7,$L120&gt;BF$7),0,AND($K120&lt;=BF$7,$L120&lt;=BF$7),1,AND($K120&lt;=BF$7,$L120&gt;BF$7),((BF$7-$K120)/($L120-$K120)))</f>
        <v>1</v>
      </c>
      <c r="BH120" s="201">
        <f t="array" ref="BH120">_xlfn.IFS(AND($K120&gt;BG$7,$L120&gt;BG$7),0,AND($K120&lt;=BG$7,$L120&lt;=BG$7),1,AND($K120&lt;=BG$7,$L120&gt;BG$7),((BG$7-$K120)/($L120-$K120)))</f>
        <v>1</v>
      </c>
      <c r="BI120" s="201">
        <f t="array" ref="BI120">_xlfn.IFS(AND($K120&gt;BH$7,$L120&gt;BH$7),0,AND($K120&lt;=BH$7,$L120&lt;=BH$7),1,AND($K120&lt;=BH$7,$L120&gt;BH$7),((BH$7-$K120)/($L120-$K120)))</f>
        <v>1</v>
      </c>
      <c r="BJ120" s="201">
        <f t="array" ref="BJ120">_xlfn.IFS(AND($K120&gt;BI$7,$L120&gt;BI$7),0,AND($K120&lt;=BI$7,$L120&lt;=BI$7),1,AND($K120&lt;=BI$7,$L120&gt;BI$7),((BI$7-$K120)/($L120-$K120)))</f>
        <v>1</v>
      </c>
      <c r="BK120" s="201">
        <f t="array" ref="BK120">_xlfn.IFS(AND($K120&gt;BJ$7,$L120&gt;BJ$7),0,AND($K120&lt;=BJ$7,$L120&lt;=BJ$7),1,AND($K120&lt;=BJ$7,$L120&gt;BJ$7),((BJ$7-$K120)/($L120-$K120)))</f>
        <v>1</v>
      </c>
      <c r="BL120" s="201">
        <f t="array" ref="BL120">_xlfn.IFS(AND($K120&gt;BK$7,$L120&gt;BK$7),0,AND($K120&lt;=BK$7,$L120&lt;=BK$7),1,AND($K120&lt;=BK$7,$L120&gt;BK$7),((BK$7-$K120)/($L120-$K120)))</f>
        <v>1</v>
      </c>
      <c r="BM120" s="201">
        <f t="array" ref="BM120">_xlfn.IFS(AND($K120&gt;BL$7,$L120&gt;BL$7),0,AND($K120&lt;=BL$7,$L120&lt;=BL$7),1,AND($K120&lt;=BL$7,$L120&gt;BL$7),((BL$7-$K120)/($L120-$K120)))</f>
        <v>1</v>
      </c>
      <c r="BN120" s="201">
        <f t="array" ref="BN120">_xlfn.IFS(AND($K120&gt;BM$7,$L120&gt;BM$7),0,AND($K120&lt;=BM$7,$L120&lt;=BM$7),1,AND($K120&lt;=BM$7,$L120&gt;BM$7),((BM$7-$K120)/($L120-$K120)))</f>
        <v>1</v>
      </c>
    </row>
    <row r="121" spans="2:66" s="163" customFormat="1" ht="27.6" customHeight="1" x14ac:dyDescent="0.3">
      <c r="B121" s="166" t="s">
        <v>161</v>
      </c>
      <c r="C121" s="166" t="s">
        <v>288</v>
      </c>
      <c r="D121" s="177"/>
      <c r="E121" s="170" t="str">
        <f t="shared" si="49"/>
        <v>Desenvolvimento da Transformação dos Processos</v>
      </c>
      <c r="F121" s="174" t="str">
        <f t="shared" si="46"/>
        <v>Transformação do Processo</v>
      </c>
      <c r="G121" s="166" t="str">
        <f t="shared" si="50"/>
        <v>Transformação do Processo</v>
      </c>
      <c r="H121" s="197" t="s">
        <v>289</v>
      </c>
      <c r="I121" s="166">
        <v>45824</v>
      </c>
      <c r="J121" s="166">
        <v>45842</v>
      </c>
      <c r="K121" s="166">
        <v>45824</v>
      </c>
      <c r="L121" s="166">
        <v>45842</v>
      </c>
      <c r="M121" s="167"/>
      <c r="N121" s="167" t="str">
        <f t="array" ref="N121">_xlfn.IFS(L121&lt;$M$3,"Concluído",AND(K121&gt;=$M$3,I121&lt;$M$3,L121&gt;$M$3),"Em andamento",AND(L121&gt;=$M$3,J121&lt;$M$3),"Atrasado",AND(L121&gt;=$M$3,J121&gt;=$M$3,I121&gt;$M$3,K121&lt;=$M$3),"Em andamento",AND(L121&gt;=$M$3,J121&gt;=$M$3,I121&lt;=$M$3,K121&lt;=$M$3),"Em andamento",AND(K121&gt;$M$3,I121&gt;$M$3),"Não iniciado",AND(L121&gt;=$M$3,J121&gt;=$M$3,K121&gt;=$M$3,I121&lt;$M$3),"Atrasado",AND(L121&gt;=$M$3,J121&gt;=$M$3,K121&gt;=$M$3,I121&gt;$M$3),"Não iniciado",AND($I121&lt;=$M$3,$K121&gt;$M$3),"Atrasado")</f>
        <v>Concluído</v>
      </c>
      <c r="O121" s="167">
        <f t="array" ref="O121">_xlfn.IFS(N121="Não iniciado",0,N121="Em andamento",1,N121="Concluído",2,N121="Atrasado",3)</f>
        <v>2</v>
      </c>
      <c r="P121" s="169"/>
      <c r="Q121" s="152">
        <f t="array" ref="Q121">_xlfn.IFS(AND($I121&lt;$M$3,$J121&lt;$M$3),1,AND($I121&lt;$M$3,$J121&gt;=$M$3),0.5,AND($I121&gt;=$M$3,$J121&gt;=$M$3),0)</f>
        <v>1</v>
      </c>
      <c r="R121" s="152">
        <f t="array" ref="R121">_xlfn.IFS(AND($K121&lt;$M$3,$L121&lt;$M$3),1,AND($K121&lt;=$M$3,$L121&gt;=$M$3),0.5,AND($K121&gt;=$M$3,$L121&gt;=$M$3),0)</f>
        <v>1</v>
      </c>
      <c r="S121" s="201">
        <f t="array" ref="S121">_xlfn.IFS(AND($K121&gt;R$7,$L121&gt;R$7),0,AND($K121&lt;=R$7,$L121&lt;=R$7),1,AND($K121&lt;=R$7,$L121&gt;R$7),((R$7-$K121)/($L121-$K121)))</f>
        <v>0</v>
      </c>
      <c r="T121" s="201">
        <f t="array" ref="T121">_xlfn.IFS(AND($K121&gt;S$7,$L121&gt;S$7),0,AND($K121&lt;=S$7,$L121&lt;=S$7),1,AND($K121&lt;=S$7,$L121&gt;S$7),((S$7-$K121)/($L121-$K121)))</f>
        <v>0</v>
      </c>
      <c r="U121" s="201">
        <f t="array" ref="U121">_xlfn.IFS(AND($K121&gt;T$7,$L121&gt;T$7),0,AND($K121&lt;=T$7,$L121&lt;=T$7),1,AND($K121&lt;=T$7,$L121&gt;T$7),((T$7-$K121)/($L121-$K121)))</f>
        <v>0</v>
      </c>
      <c r="V121" s="201">
        <f t="array" ref="V121">_xlfn.IFS(AND($K121&gt;U$7,$L121&gt;U$7),0,AND($K121&lt;=U$7,$L121&lt;=U$7),1,AND($K121&lt;=U$7,$L121&gt;U$7),((U$7-$K121)/($L121-$K121)))</f>
        <v>0</v>
      </c>
      <c r="W121" s="201">
        <f t="array" ref="W121">_xlfn.IFS(AND($K121&gt;V$7,$L121&gt;V$7),0,AND($K121&lt;=V$7,$L121&lt;=V$7),1,AND($K121&lt;=V$7,$L121&gt;V$7),((V$7-$K121)/($L121-$K121)))</f>
        <v>0</v>
      </c>
      <c r="X121" s="201">
        <f t="array" ref="X121">_xlfn.IFS(AND($K121&gt;W$7,$L121&gt;W$7),0,AND($K121&lt;=W$7,$L121&lt;=W$7),1,AND($K121&lt;=W$7,$L121&gt;W$7),((W$7-$K121)/($L121-$K121)))</f>
        <v>0</v>
      </c>
      <c r="Y121" s="201">
        <f t="array" ref="Y121">_xlfn.IFS(AND($K121&gt;X$7,$L121&gt;X$7),0,AND($K121&lt;=X$7,$L121&lt;=X$7),1,AND($K121&lt;=X$7,$L121&gt;X$7),((X$7-$K121)/($L121-$K121)))</f>
        <v>0</v>
      </c>
      <c r="Z121" s="201">
        <f t="array" ref="Z121">_xlfn.IFS(AND($K121&gt;Y$7,$L121&gt;Y$7),0,AND($K121&lt;=Y$7,$L121&lt;=Y$7),1,AND($K121&lt;=Y$7,$L121&gt;Y$7),((Y$7-$K121)/($L121-$K121)))</f>
        <v>0</v>
      </c>
      <c r="AA121" s="201">
        <f t="array" ref="AA121">_xlfn.IFS(AND($K121&gt;Z$7,$L121&gt;Z$7),0,AND($K121&lt;=Z$7,$L121&lt;=Z$7),1,AND($K121&lt;=Z$7,$L121&gt;Z$7),((Z$7-$K121)/($L121-$K121)))</f>
        <v>0</v>
      </c>
      <c r="AB121" s="201">
        <f t="array" ref="AB121">_xlfn.IFS(AND($K121&gt;AA$7,$L121&gt;AA$7),0,AND($K121&lt;=AA$7,$L121&lt;=AA$7),1,AND($K121&lt;=AA$7,$L121&gt;AA$7),((AA$7-$K121)/($L121-$K121)))</f>
        <v>0</v>
      </c>
      <c r="AC121" s="201">
        <f t="array" ref="AC121">_xlfn.IFS(AND($K121&gt;AB$7,$L121&gt;AB$7),0,AND($K121&lt;=AB$7,$L121&lt;=AB$7),1,AND($K121&lt;=AB$7,$L121&gt;AB$7),((AB$7-$K121)/($L121-$K121)))</f>
        <v>0</v>
      </c>
      <c r="AD121" s="201">
        <f t="array" ref="AD121">_xlfn.IFS(AND($K121&gt;AC$7,$L121&gt;AC$7),0,AND($K121&lt;=AC$7,$L121&lt;=AC$7),1,AND($K121&lt;=AC$7,$L121&gt;AC$7),((AC$7-$K121)/($L121-$K121)))</f>
        <v>0</v>
      </c>
      <c r="AE121" s="201">
        <f t="array" ref="AE121">_xlfn.IFS(AND($K121&gt;AD$7,$L121&gt;AD$7),0,AND($K121&lt;=AD$7,$L121&lt;=AD$7),1,AND($K121&lt;=AD$7,$L121&gt;AD$7),((AD$7-$K121)/($L121-$K121)))</f>
        <v>0</v>
      </c>
      <c r="AF121" s="201">
        <f t="array" ref="AF121">_xlfn.IFS(AND($K121&gt;AE$7,$L121&gt;AE$7),0,AND($K121&lt;=AE$7,$L121&lt;=AE$7),1,AND($K121&lt;=AE$7,$L121&gt;AE$7),((AE$7-$K121)/($L121-$K121)))</f>
        <v>0</v>
      </c>
      <c r="AG121" s="201">
        <f t="array" ref="AG121">_xlfn.IFS(AND($K121&gt;AF$7,$L121&gt;AF$7),0,AND($K121&lt;=AF$7,$L121&lt;=AF$7),1,AND($K121&lt;=AF$7,$L121&gt;AF$7),((AF$7-$K121)/($L121-$K121)))</f>
        <v>0</v>
      </c>
      <c r="AH121" s="201">
        <f t="array" ref="AH121">_xlfn.IFS(AND($K121&gt;AG$7,$L121&gt;AG$7),0,AND($K121&lt;=AG$7,$L121&lt;=AG$7),1,AND($K121&lt;=AG$7,$L121&gt;AG$7),((AG$7-$K121)/($L121-$K121)))</f>
        <v>0</v>
      </c>
      <c r="AI121" s="201">
        <f t="array" ref="AI121">_xlfn.IFS(AND($K121&gt;AH$7,$L121&gt;AH$7),0,AND($K121&lt;=AH$7,$L121&lt;=AH$7),1,AND($K121&lt;=AH$7,$L121&gt;AH$7),((AH$7-$K121)/($L121-$K121)))</f>
        <v>0</v>
      </c>
      <c r="AJ121" s="201">
        <f t="array" ref="AJ121">_xlfn.IFS(AND($K121&gt;AI$7,$L121&gt;AI$7),0,AND($K121&lt;=AI$7,$L121&lt;=AI$7),1,AND($K121&lt;=AI$7,$L121&gt;AI$7),((AI$7-$K121)/($L121-$K121)))</f>
        <v>0</v>
      </c>
      <c r="AK121" s="201">
        <f t="array" ref="AK121">_xlfn.IFS(AND($K121&gt;AJ$7,$L121&gt;AJ$7),0,AND($K121&lt;=AJ$7,$L121&lt;=AJ$7),1,AND($K121&lt;=AJ$7,$L121&gt;AJ$7),((AJ$7-$K121)/($L121-$K121)))</f>
        <v>0</v>
      </c>
      <c r="AL121" s="201">
        <f t="array" ref="AL121">_xlfn.IFS(AND($K121&gt;AK$7,$L121&gt;AK$7),0,AND($K121&lt;=AK$7,$L121&lt;=AK$7),1,AND($K121&lt;=AK$7,$L121&gt;AK$7),((AK$7-$K121)/($L121-$K121)))</f>
        <v>0</v>
      </c>
      <c r="AM121" s="201">
        <f t="array" ref="AM121">_xlfn.IFS(AND($K121&gt;AL$7,$L121&gt;AL$7),0,AND($K121&lt;=AL$7,$L121&lt;=AL$7),1,AND($K121&lt;=AL$7,$L121&gt;AL$7),((AL$7-$K121)/($L121-$K121)))</f>
        <v>0.27777777777777779</v>
      </c>
      <c r="AN121" s="201">
        <f t="array" ref="AN121">_xlfn.IFS(AND($K121&gt;AM$7,$L121&gt;AM$7),0,AND($K121&lt;=AM$7,$L121&lt;=AM$7),1,AND($K121&lt;=AM$7,$L121&gt;AM$7),((AM$7-$K121)/($L121-$K121)))</f>
        <v>0.66666666666666663</v>
      </c>
      <c r="AO121" s="201">
        <f t="array" ref="AO121">_xlfn.IFS(AND($K121&gt;AN$7,$L121&gt;AN$7),0,AND($K121&lt;=AN$7,$L121&lt;=AN$7),1,AND($K121&lt;=AN$7,$L121&gt;AN$7),((AN$7-$K121)/($L121-$K121)))</f>
        <v>1</v>
      </c>
      <c r="AP121" s="201">
        <f t="array" ref="AP121">_xlfn.IFS(AND($K121&gt;AO$7,$L121&gt;AO$7),0,AND($K121&lt;=AO$7,$L121&lt;=AO$7),1,AND($K121&lt;=AO$7,$L121&gt;AO$7),((AO$7-$K121)/($L121-$K121)))</f>
        <v>1</v>
      </c>
      <c r="AQ121" s="201">
        <f t="array" ref="AQ121">_xlfn.IFS(AND($K121&gt;AP$7,$L121&gt;AP$7),0,AND($K121&lt;=AP$7,$L121&lt;=AP$7),1,AND($K121&lt;=AP$7,$L121&gt;AP$7),((AP$7-$K121)/($L121-$K121)))</f>
        <v>1</v>
      </c>
      <c r="AR121" s="201">
        <f t="array" ref="AR121">_xlfn.IFS(AND($K121&gt;AQ$7,$L121&gt;AQ$7),0,AND($K121&lt;=AQ$7,$L121&lt;=AQ$7),1,AND($K121&lt;=AQ$7,$L121&gt;AQ$7),((AQ$7-$K121)/($L121-$K121)))</f>
        <v>1</v>
      </c>
      <c r="AS121" s="201">
        <f t="array" ref="AS121">_xlfn.IFS(AND($K121&gt;AR$7,$L121&gt;AR$7),0,AND($K121&lt;=AR$7,$L121&lt;=AR$7),1,AND($K121&lt;=AR$7,$L121&gt;AR$7),((AR$7-$K121)/($L121-$K121)))</f>
        <v>1</v>
      </c>
      <c r="AT121" s="201">
        <f t="array" ref="AT121">_xlfn.IFS(AND($K121&gt;AS$7,$L121&gt;AS$7),0,AND($K121&lt;=AS$7,$L121&lt;=AS$7),1,AND($K121&lt;=AS$7,$L121&gt;AS$7),((AS$7-$K121)/($L121-$K121)))</f>
        <v>1</v>
      </c>
      <c r="AU121" s="201">
        <f t="array" ref="AU121">_xlfn.IFS(AND($K121&gt;AT$7,$L121&gt;AT$7),0,AND($K121&lt;=AT$7,$L121&lt;=AT$7),1,AND($K121&lt;=AT$7,$L121&gt;AT$7),((AT$7-$K121)/($L121-$K121)))</f>
        <v>1</v>
      </c>
      <c r="AV121" s="201">
        <f t="array" ref="AV121">_xlfn.IFS(AND($K121&gt;AU$7,$L121&gt;AU$7),0,AND($K121&lt;=AU$7,$L121&lt;=AU$7),1,AND($K121&lt;=AU$7,$L121&gt;AU$7),((AU$7-$K121)/($L121-$K121)))</f>
        <v>1</v>
      </c>
      <c r="AW121" s="201">
        <f t="array" ref="AW121">_xlfn.IFS(AND($K121&gt;AV$7,$L121&gt;AV$7),0,AND($K121&lt;=AV$7,$L121&lt;=AV$7),1,AND($K121&lt;=AV$7,$L121&gt;AV$7),((AV$7-$K121)/($L121-$K121)))</f>
        <v>1</v>
      </c>
      <c r="AX121" s="201">
        <f t="array" ref="AX121">_xlfn.IFS(AND($K121&gt;AW$7,$L121&gt;AW$7),0,AND($K121&lt;=AW$7,$L121&lt;=AW$7),1,AND($K121&lt;=AW$7,$L121&gt;AW$7),((AW$7-$K121)/($L121-$K121)))</f>
        <v>1</v>
      </c>
      <c r="AY121" s="201">
        <f t="array" ref="AY121">_xlfn.IFS(AND($K121&gt;AX$7,$L121&gt;AX$7),0,AND($K121&lt;=AX$7,$L121&lt;=AX$7),1,AND($K121&lt;=AX$7,$L121&gt;AX$7),((AX$7-$K121)/($L121-$K121)))</f>
        <v>1</v>
      </c>
      <c r="AZ121" s="201">
        <f t="array" ref="AZ121">_xlfn.IFS(AND($K121&gt;AY$7,$L121&gt;AY$7),0,AND($K121&lt;=AY$7,$L121&lt;=AY$7),1,AND($K121&lt;=AY$7,$L121&gt;AY$7),((AY$7-$K121)/($L121-$K121)))</f>
        <v>1</v>
      </c>
      <c r="BA121" s="201">
        <f t="array" ref="BA121">_xlfn.IFS(AND($K121&gt;AZ$7,$L121&gt;AZ$7),0,AND($K121&lt;=AZ$7,$L121&lt;=AZ$7),1,AND($K121&lt;=AZ$7,$L121&gt;AZ$7),((AZ$7-$K121)/($L121-$K121)))</f>
        <v>1</v>
      </c>
      <c r="BB121" s="201">
        <f t="array" ref="BB121">_xlfn.IFS(AND($K121&gt;BA$7,$L121&gt;BA$7),0,AND($K121&lt;=BA$7,$L121&lt;=BA$7),1,AND($K121&lt;=BA$7,$L121&gt;BA$7),((BA$7-$K121)/($L121-$K121)))</f>
        <v>1</v>
      </c>
      <c r="BC121" s="201">
        <f t="array" ref="BC121">_xlfn.IFS(AND($K121&gt;BB$7,$L121&gt;BB$7),0,AND($K121&lt;=BB$7,$L121&lt;=BB$7),1,AND($K121&lt;=BB$7,$L121&gt;BB$7),((BB$7-$K121)/($L121-$K121)))</f>
        <v>1</v>
      </c>
      <c r="BD121" s="201">
        <f t="array" ref="BD121">_xlfn.IFS(AND($K121&gt;BC$7,$L121&gt;BC$7),0,AND($K121&lt;=BC$7,$L121&lt;=BC$7),1,AND($K121&lt;=BC$7,$L121&gt;BC$7),((BC$7-$K121)/($L121-$K121)))</f>
        <v>1</v>
      </c>
      <c r="BE121" s="201">
        <f t="array" ref="BE121">_xlfn.IFS(AND($K121&gt;BD$7,$L121&gt;BD$7),0,AND($K121&lt;=BD$7,$L121&lt;=BD$7),1,AND($K121&lt;=BD$7,$L121&gt;BD$7),((BD$7-$K121)/($L121-$K121)))</f>
        <v>1</v>
      </c>
      <c r="BF121" s="201">
        <f t="array" ref="BF121">_xlfn.IFS(AND($K121&gt;BE$7,$L121&gt;BE$7),0,AND($K121&lt;=BE$7,$L121&lt;=BE$7),1,AND($K121&lt;=BE$7,$L121&gt;BE$7),((BE$7-$K121)/($L121-$K121)))</f>
        <v>1</v>
      </c>
      <c r="BG121" s="201">
        <f t="array" ref="BG121">_xlfn.IFS(AND($K121&gt;BF$7,$L121&gt;BF$7),0,AND($K121&lt;=BF$7,$L121&lt;=BF$7),1,AND($K121&lt;=BF$7,$L121&gt;BF$7),((BF$7-$K121)/($L121-$K121)))</f>
        <v>1</v>
      </c>
      <c r="BH121" s="201">
        <f t="array" ref="BH121">_xlfn.IFS(AND($K121&gt;BG$7,$L121&gt;BG$7),0,AND($K121&lt;=BG$7,$L121&lt;=BG$7),1,AND($K121&lt;=BG$7,$L121&gt;BG$7),((BG$7-$K121)/($L121-$K121)))</f>
        <v>1</v>
      </c>
      <c r="BI121" s="201">
        <f t="array" ref="BI121">_xlfn.IFS(AND($K121&gt;BH$7,$L121&gt;BH$7),0,AND($K121&lt;=BH$7,$L121&lt;=BH$7),1,AND($K121&lt;=BH$7,$L121&gt;BH$7),((BH$7-$K121)/($L121-$K121)))</f>
        <v>1</v>
      </c>
      <c r="BJ121" s="201">
        <f t="array" ref="BJ121">_xlfn.IFS(AND($K121&gt;BI$7,$L121&gt;BI$7),0,AND($K121&lt;=BI$7,$L121&lt;=BI$7),1,AND($K121&lt;=BI$7,$L121&gt;BI$7),((BI$7-$K121)/($L121-$K121)))</f>
        <v>1</v>
      </c>
      <c r="BK121" s="201">
        <f t="array" ref="BK121">_xlfn.IFS(AND($K121&gt;BJ$7,$L121&gt;BJ$7),0,AND($K121&lt;=BJ$7,$L121&lt;=BJ$7),1,AND($K121&lt;=BJ$7,$L121&gt;BJ$7),((BJ$7-$K121)/($L121-$K121)))</f>
        <v>1</v>
      </c>
      <c r="BL121" s="201">
        <f t="array" ref="BL121">_xlfn.IFS(AND($K121&gt;BK$7,$L121&gt;BK$7),0,AND($K121&lt;=BK$7,$L121&lt;=BK$7),1,AND($K121&lt;=BK$7,$L121&gt;BK$7),((BK$7-$K121)/($L121-$K121)))</f>
        <v>1</v>
      </c>
      <c r="BM121" s="201">
        <f t="array" ref="BM121">_xlfn.IFS(AND($K121&gt;BL$7,$L121&gt;BL$7),0,AND($K121&lt;=BL$7,$L121&lt;=BL$7),1,AND($K121&lt;=BL$7,$L121&gt;BL$7),((BL$7-$K121)/($L121-$K121)))</f>
        <v>1</v>
      </c>
      <c r="BN121" s="201">
        <f t="array" ref="BN121">_xlfn.IFS(AND($K121&gt;BM$7,$L121&gt;BM$7),0,AND($K121&lt;=BM$7,$L121&lt;=BM$7),1,AND($K121&lt;=BM$7,$L121&gt;BM$7),((BM$7-$K121)/($L121-$K121)))</f>
        <v>1</v>
      </c>
    </row>
    <row r="122" spans="2:66" s="163" customFormat="1" x14ac:dyDescent="0.3">
      <c r="B122" s="166" t="s">
        <v>161</v>
      </c>
      <c r="C122" s="166" t="s">
        <v>290</v>
      </c>
      <c r="D122" s="177"/>
      <c r="E122" s="170" t="str">
        <f t="shared" si="49"/>
        <v>Desenvolvimento da Transformação dos Processos</v>
      </c>
      <c r="F122" s="174" t="str">
        <f t="shared" si="46"/>
        <v>Transformação do Processo</v>
      </c>
      <c r="G122" s="166" t="str">
        <f t="shared" si="50"/>
        <v>Transformação do Processo</v>
      </c>
      <c r="H122" s="197" t="s">
        <v>291</v>
      </c>
      <c r="I122" s="166">
        <v>45852</v>
      </c>
      <c r="J122" s="166">
        <v>45869</v>
      </c>
      <c r="K122" s="166">
        <v>45852</v>
      </c>
      <c r="L122" s="166">
        <v>45869</v>
      </c>
      <c r="M122" s="167"/>
      <c r="N122" s="167" t="str">
        <f t="array" ref="N122">_xlfn.IFS(L122&lt;$M$3,"Concluído",AND(K122&gt;=$M$3,I122&lt;$M$3,L122&gt;$M$3),"Em andamento",AND(L122&gt;=$M$3,J122&lt;$M$3),"Atrasado",AND(L122&gt;=$M$3,J122&gt;=$M$3,I122&gt;$M$3,K122&lt;=$M$3),"Em andamento",AND(L122&gt;=$M$3,J122&gt;=$M$3,I122&lt;=$M$3,K122&lt;=$M$3),"Em andamento",AND(K122&gt;$M$3,I122&gt;$M$3),"Não iniciado",AND(L122&gt;=$M$3,J122&gt;=$M$3,K122&gt;=$M$3,I122&lt;$M$3),"Atrasado",AND(L122&gt;=$M$3,J122&gt;=$M$3,K122&gt;=$M$3,I122&gt;$M$3),"Não iniciado",AND($I122&lt;=$M$3,$K122&gt;$M$3),"Atrasado")</f>
        <v>Concluído</v>
      </c>
      <c r="O122" s="167">
        <f t="array" ref="O122">_xlfn.IFS(N122="Não iniciado",0,N122="Em andamento",1,N122="Concluído",2,N122="Atrasado",3)</f>
        <v>2</v>
      </c>
      <c r="P122" s="169"/>
      <c r="Q122" s="152">
        <f t="array" ref="Q122">_xlfn.IFS(AND($I122&lt;$M$3,$J122&lt;$M$3),1,AND($I122&lt;$M$3,$J122&gt;=$M$3),0.5,AND($I122&gt;=$M$3,$J122&gt;=$M$3),0)</f>
        <v>1</v>
      </c>
      <c r="R122" s="152">
        <f t="array" ref="R122">_xlfn.IFS(AND($K122&lt;$M$3,$L122&lt;$M$3),1,AND($K122&lt;=$M$3,$L122&gt;=$M$3),0.5,AND($K122&gt;=$M$3,$L122&gt;=$M$3),0)</f>
        <v>1</v>
      </c>
      <c r="S122" s="201">
        <f t="array" ref="S122">_xlfn.IFS(AND($K122&gt;R$7,$L122&gt;R$7),0,AND($K122&lt;=R$7,$L122&lt;=R$7),1,AND($K122&lt;=R$7,$L122&gt;R$7),((R$7-$K122)/($L122-$K122)))</f>
        <v>0</v>
      </c>
      <c r="T122" s="201">
        <f t="array" ref="T122">_xlfn.IFS(AND($K122&gt;S$7,$L122&gt;S$7),0,AND($K122&lt;=S$7,$L122&lt;=S$7),1,AND($K122&lt;=S$7,$L122&gt;S$7),((S$7-$K122)/($L122-$K122)))</f>
        <v>0</v>
      </c>
      <c r="U122" s="201">
        <f t="array" ref="U122">_xlfn.IFS(AND($K122&gt;T$7,$L122&gt;T$7),0,AND($K122&lt;=T$7,$L122&lt;=T$7),1,AND($K122&lt;=T$7,$L122&gt;T$7),((T$7-$K122)/($L122-$K122)))</f>
        <v>0</v>
      </c>
      <c r="V122" s="201">
        <f t="array" ref="V122">_xlfn.IFS(AND($K122&gt;U$7,$L122&gt;U$7),0,AND($K122&lt;=U$7,$L122&lt;=U$7),1,AND($K122&lt;=U$7,$L122&gt;U$7),((U$7-$K122)/($L122-$K122)))</f>
        <v>0</v>
      </c>
      <c r="W122" s="201">
        <f t="array" ref="W122">_xlfn.IFS(AND($K122&gt;V$7,$L122&gt;V$7),0,AND($K122&lt;=V$7,$L122&lt;=V$7),1,AND($K122&lt;=V$7,$L122&gt;V$7),((V$7-$K122)/($L122-$K122)))</f>
        <v>0</v>
      </c>
      <c r="X122" s="201">
        <f t="array" ref="X122">_xlfn.IFS(AND($K122&gt;W$7,$L122&gt;W$7),0,AND($K122&lt;=W$7,$L122&lt;=W$7),1,AND($K122&lt;=W$7,$L122&gt;W$7),((W$7-$K122)/($L122-$K122)))</f>
        <v>0</v>
      </c>
      <c r="Y122" s="201">
        <f t="array" ref="Y122">_xlfn.IFS(AND($K122&gt;X$7,$L122&gt;X$7),0,AND($K122&lt;=X$7,$L122&lt;=X$7),1,AND($K122&lt;=X$7,$L122&gt;X$7),((X$7-$K122)/($L122-$K122)))</f>
        <v>0</v>
      </c>
      <c r="Z122" s="201">
        <f t="array" ref="Z122">_xlfn.IFS(AND($K122&gt;Y$7,$L122&gt;Y$7),0,AND($K122&lt;=Y$7,$L122&lt;=Y$7),1,AND($K122&lt;=Y$7,$L122&gt;Y$7),((Y$7-$K122)/($L122-$K122)))</f>
        <v>0</v>
      </c>
      <c r="AA122" s="201">
        <f t="array" ref="AA122">_xlfn.IFS(AND($K122&gt;Z$7,$L122&gt;Z$7),0,AND($K122&lt;=Z$7,$L122&lt;=Z$7),1,AND($K122&lt;=Z$7,$L122&gt;Z$7),((Z$7-$K122)/($L122-$K122)))</f>
        <v>0</v>
      </c>
      <c r="AB122" s="201">
        <f t="array" ref="AB122">_xlfn.IFS(AND($K122&gt;AA$7,$L122&gt;AA$7),0,AND($K122&lt;=AA$7,$L122&lt;=AA$7),1,AND($K122&lt;=AA$7,$L122&gt;AA$7),((AA$7-$K122)/($L122-$K122)))</f>
        <v>0</v>
      </c>
      <c r="AC122" s="201">
        <f t="array" ref="AC122">_xlfn.IFS(AND($K122&gt;AB$7,$L122&gt;AB$7),0,AND($K122&lt;=AB$7,$L122&lt;=AB$7),1,AND($K122&lt;=AB$7,$L122&gt;AB$7),((AB$7-$K122)/($L122-$K122)))</f>
        <v>0</v>
      </c>
      <c r="AD122" s="201">
        <f t="array" ref="AD122">_xlfn.IFS(AND($K122&gt;AC$7,$L122&gt;AC$7),0,AND($K122&lt;=AC$7,$L122&lt;=AC$7),1,AND($K122&lt;=AC$7,$L122&gt;AC$7),((AC$7-$K122)/($L122-$K122)))</f>
        <v>0</v>
      </c>
      <c r="AE122" s="201">
        <f t="array" ref="AE122">_xlfn.IFS(AND($K122&gt;AD$7,$L122&gt;AD$7),0,AND($K122&lt;=AD$7,$L122&lt;=AD$7),1,AND($K122&lt;=AD$7,$L122&gt;AD$7),((AD$7-$K122)/($L122-$K122)))</f>
        <v>0</v>
      </c>
      <c r="AF122" s="201">
        <f t="array" ref="AF122">_xlfn.IFS(AND($K122&gt;AE$7,$L122&gt;AE$7),0,AND($K122&lt;=AE$7,$L122&lt;=AE$7),1,AND($K122&lt;=AE$7,$L122&gt;AE$7),((AE$7-$K122)/($L122-$K122)))</f>
        <v>0</v>
      </c>
      <c r="AG122" s="201">
        <f t="array" ref="AG122">_xlfn.IFS(AND($K122&gt;AF$7,$L122&gt;AF$7),0,AND($K122&lt;=AF$7,$L122&lt;=AF$7),1,AND($K122&lt;=AF$7,$L122&gt;AF$7),((AF$7-$K122)/($L122-$K122)))</f>
        <v>0</v>
      </c>
      <c r="AH122" s="201">
        <f t="array" ref="AH122">_xlfn.IFS(AND($K122&gt;AG$7,$L122&gt;AG$7),0,AND($K122&lt;=AG$7,$L122&lt;=AG$7),1,AND($K122&lt;=AG$7,$L122&gt;AG$7),((AG$7-$K122)/($L122-$K122)))</f>
        <v>0</v>
      </c>
      <c r="AI122" s="201">
        <f t="array" ref="AI122">_xlfn.IFS(AND($K122&gt;AH$7,$L122&gt;AH$7),0,AND($K122&lt;=AH$7,$L122&lt;=AH$7),1,AND($K122&lt;=AH$7,$L122&gt;AH$7),((AH$7-$K122)/($L122-$K122)))</f>
        <v>0</v>
      </c>
      <c r="AJ122" s="201">
        <f t="array" ref="AJ122">_xlfn.IFS(AND($K122&gt;AI$7,$L122&gt;AI$7),0,AND($K122&lt;=AI$7,$L122&lt;=AI$7),1,AND($K122&lt;=AI$7,$L122&gt;AI$7),((AI$7-$K122)/($L122-$K122)))</f>
        <v>0</v>
      </c>
      <c r="AK122" s="201">
        <f t="array" ref="AK122">_xlfn.IFS(AND($K122&gt;AJ$7,$L122&gt;AJ$7),0,AND($K122&lt;=AJ$7,$L122&lt;=AJ$7),1,AND($K122&lt;=AJ$7,$L122&gt;AJ$7),((AJ$7-$K122)/($L122-$K122)))</f>
        <v>0</v>
      </c>
      <c r="AL122" s="201">
        <f t="array" ref="AL122">_xlfn.IFS(AND($K122&gt;AK$7,$L122&gt;AK$7),0,AND($K122&lt;=AK$7,$L122&lt;=AK$7),1,AND($K122&lt;=AK$7,$L122&gt;AK$7),((AK$7-$K122)/($L122-$K122)))</f>
        <v>0</v>
      </c>
      <c r="AM122" s="201">
        <f t="array" ref="AM122">_xlfn.IFS(AND($K122&gt;AL$7,$L122&gt;AL$7),0,AND($K122&lt;=AL$7,$L122&lt;=AL$7),1,AND($K122&lt;=AL$7,$L122&gt;AL$7),((AL$7-$K122)/($L122-$K122)))</f>
        <v>0</v>
      </c>
      <c r="AN122" s="201">
        <f t="array" ref="AN122">_xlfn.IFS(AND($K122&gt;AM$7,$L122&gt;AM$7),0,AND($K122&lt;=AM$7,$L122&lt;=AM$7),1,AND($K122&lt;=AM$7,$L122&gt;AM$7),((AM$7-$K122)/($L122-$K122)))</f>
        <v>0</v>
      </c>
      <c r="AO122" s="201">
        <f t="array" ref="AO122">_xlfn.IFS(AND($K122&gt;AN$7,$L122&gt;AN$7),0,AND($K122&lt;=AN$7,$L122&lt;=AN$7),1,AND($K122&lt;=AN$7,$L122&gt;AN$7),((AN$7-$K122)/($L122-$K122)))</f>
        <v>0</v>
      </c>
      <c r="AP122" s="201">
        <f t="array" ref="AP122">_xlfn.IFS(AND($K122&gt;AO$7,$L122&gt;AO$7),0,AND($K122&lt;=AO$7,$L122&lt;=AO$7),1,AND($K122&lt;=AO$7,$L122&gt;AO$7),((AO$7-$K122)/($L122-$K122)))</f>
        <v>0</v>
      </c>
      <c r="AQ122" s="201">
        <f t="array" ref="AQ122">_xlfn.IFS(AND($K122&gt;AP$7,$L122&gt;AP$7),0,AND($K122&lt;=AP$7,$L122&lt;=AP$7),1,AND($K122&lt;=AP$7,$L122&gt;AP$7),((AP$7-$K122)/($L122-$K122)))</f>
        <v>0.29411764705882354</v>
      </c>
      <c r="AR122" s="201">
        <f t="array" ref="AR122">_xlfn.IFS(AND($K122&gt;AQ$7,$L122&gt;AQ$7),0,AND($K122&lt;=AQ$7,$L122&lt;=AQ$7),1,AND($K122&lt;=AQ$7,$L122&gt;AQ$7),((AQ$7-$K122)/($L122-$K122)))</f>
        <v>0.70588235294117652</v>
      </c>
      <c r="AS122" s="201">
        <f t="array" ref="AS122">_xlfn.IFS(AND($K122&gt;AR$7,$L122&gt;AR$7),0,AND($K122&lt;=AR$7,$L122&lt;=AR$7),1,AND($K122&lt;=AR$7,$L122&gt;AR$7),((AR$7-$K122)/($L122-$K122)))</f>
        <v>1</v>
      </c>
      <c r="AT122" s="201">
        <f t="array" ref="AT122">_xlfn.IFS(AND($K122&gt;AS$7,$L122&gt;AS$7),0,AND($K122&lt;=AS$7,$L122&lt;=AS$7),1,AND($K122&lt;=AS$7,$L122&gt;AS$7),((AS$7-$K122)/($L122-$K122)))</f>
        <v>1</v>
      </c>
      <c r="AU122" s="201">
        <f t="array" ref="AU122">_xlfn.IFS(AND($K122&gt;AT$7,$L122&gt;AT$7),0,AND($K122&lt;=AT$7,$L122&lt;=AT$7),1,AND($K122&lt;=AT$7,$L122&gt;AT$7),((AT$7-$K122)/($L122-$K122)))</f>
        <v>1</v>
      </c>
      <c r="AV122" s="201">
        <f t="array" ref="AV122">_xlfn.IFS(AND($K122&gt;AU$7,$L122&gt;AU$7),0,AND($K122&lt;=AU$7,$L122&lt;=AU$7),1,AND($K122&lt;=AU$7,$L122&gt;AU$7),((AU$7-$K122)/($L122-$K122)))</f>
        <v>1</v>
      </c>
      <c r="AW122" s="201">
        <f t="array" ref="AW122">_xlfn.IFS(AND($K122&gt;AV$7,$L122&gt;AV$7),0,AND($K122&lt;=AV$7,$L122&lt;=AV$7),1,AND($K122&lt;=AV$7,$L122&gt;AV$7),((AV$7-$K122)/($L122-$K122)))</f>
        <v>1</v>
      </c>
      <c r="AX122" s="201">
        <f t="array" ref="AX122">_xlfn.IFS(AND($K122&gt;AW$7,$L122&gt;AW$7),0,AND($K122&lt;=AW$7,$L122&lt;=AW$7),1,AND($K122&lt;=AW$7,$L122&gt;AW$7),((AW$7-$K122)/($L122-$K122)))</f>
        <v>1</v>
      </c>
      <c r="AY122" s="201">
        <f t="array" ref="AY122">_xlfn.IFS(AND($K122&gt;AX$7,$L122&gt;AX$7),0,AND($K122&lt;=AX$7,$L122&lt;=AX$7),1,AND($K122&lt;=AX$7,$L122&gt;AX$7),((AX$7-$K122)/($L122-$K122)))</f>
        <v>1</v>
      </c>
      <c r="AZ122" s="201">
        <f t="array" ref="AZ122">_xlfn.IFS(AND($K122&gt;AY$7,$L122&gt;AY$7),0,AND($K122&lt;=AY$7,$L122&lt;=AY$7),1,AND($K122&lt;=AY$7,$L122&gt;AY$7),((AY$7-$K122)/($L122-$K122)))</f>
        <v>1</v>
      </c>
      <c r="BA122" s="201">
        <f t="array" ref="BA122">_xlfn.IFS(AND($K122&gt;AZ$7,$L122&gt;AZ$7),0,AND($K122&lt;=AZ$7,$L122&lt;=AZ$7),1,AND($K122&lt;=AZ$7,$L122&gt;AZ$7),((AZ$7-$K122)/($L122-$K122)))</f>
        <v>1</v>
      </c>
      <c r="BB122" s="201">
        <f t="array" ref="BB122">_xlfn.IFS(AND($K122&gt;BA$7,$L122&gt;BA$7),0,AND($K122&lt;=BA$7,$L122&lt;=BA$7),1,AND($K122&lt;=BA$7,$L122&gt;BA$7),((BA$7-$K122)/($L122-$K122)))</f>
        <v>1</v>
      </c>
      <c r="BC122" s="201">
        <f t="array" ref="BC122">_xlfn.IFS(AND($K122&gt;BB$7,$L122&gt;BB$7),0,AND($K122&lt;=BB$7,$L122&lt;=BB$7),1,AND($K122&lt;=BB$7,$L122&gt;BB$7),((BB$7-$K122)/($L122-$K122)))</f>
        <v>1</v>
      </c>
      <c r="BD122" s="201">
        <f t="array" ref="BD122">_xlfn.IFS(AND($K122&gt;BC$7,$L122&gt;BC$7),0,AND($K122&lt;=BC$7,$L122&lt;=BC$7),1,AND($K122&lt;=BC$7,$L122&gt;BC$7),((BC$7-$K122)/($L122-$K122)))</f>
        <v>1</v>
      </c>
      <c r="BE122" s="201">
        <f t="array" ref="BE122">_xlfn.IFS(AND($K122&gt;BD$7,$L122&gt;BD$7),0,AND($K122&lt;=BD$7,$L122&lt;=BD$7),1,AND($K122&lt;=BD$7,$L122&gt;BD$7),((BD$7-$K122)/($L122-$K122)))</f>
        <v>1</v>
      </c>
      <c r="BF122" s="201">
        <f t="array" ref="BF122">_xlfn.IFS(AND($K122&gt;BE$7,$L122&gt;BE$7),0,AND($K122&lt;=BE$7,$L122&lt;=BE$7),1,AND($K122&lt;=BE$7,$L122&gt;BE$7),((BE$7-$K122)/($L122-$K122)))</f>
        <v>1</v>
      </c>
      <c r="BG122" s="201">
        <f t="array" ref="BG122">_xlfn.IFS(AND($K122&gt;BF$7,$L122&gt;BF$7),0,AND($K122&lt;=BF$7,$L122&lt;=BF$7),1,AND($K122&lt;=BF$7,$L122&gt;BF$7),((BF$7-$K122)/($L122-$K122)))</f>
        <v>1</v>
      </c>
      <c r="BH122" s="201">
        <f t="array" ref="BH122">_xlfn.IFS(AND($K122&gt;BG$7,$L122&gt;BG$7),0,AND($K122&lt;=BG$7,$L122&lt;=BG$7),1,AND($K122&lt;=BG$7,$L122&gt;BG$7),((BG$7-$K122)/($L122-$K122)))</f>
        <v>1</v>
      </c>
      <c r="BI122" s="201">
        <f t="array" ref="BI122">_xlfn.IFS(AND($K122&gt;BH$7,$L122&gt;BH$7),0,AND($K122&lt;=BH$7,$L122&lt;=BH$7),1,AND($K122&lt;=BH$7,$L122&gt;BH$7),((BH$7-$K122)/($L122-$K122)))</f>
        <v>1</v>
      </c>
      <c r="BJ122" s="201">
        <f t="array" ref="BJ122">_xlfn.IFS(AND($K122&gt;BI$7,$L122&gt;BI$7),0,AND($K122&lt;=BI$7,$L122&lt;=BI$7),1,AND($K122&lt;=BI$7,$L122&gt;BI$7),((BI$7-$K122)/($L122-$K122)))</f>
        <v>1</v>
      </c>
      <c r="BK122" s="201">
        <f t="array" ref="BK122">_xlfn.IFS(AND($K122&gt;BJ$7,$L122&gt;BJ$7),0,AND($K122&lt;=BJ$7,$L122&lt;=BJ$7),1,AND($K122&lt;=BJ$7,$L122&gt;BJ$7),((BJ$7-$K122)/($L122-$K122)))</f>
        <v>1</v>
      </c>
      <c r="BL122" s="201">
        <f t="array" ref="BL122">_xlfn.IFS(AND($K122&gt;BK$7,$L122&gt;BK$7),0,AND($K122&lt;=BK$7,$L122&lt;=BK$7),1,AND($K122&lt;=BK$7,$L122&gt;BK$7),((BK$7-$K122)/($L122-$K122)))</f>
        <v>1</v>
      </c>
      <c r="BM122" s="201">
        <f t="array" ref="BM122">_xlfn.IFS(AND($K122&gt;BL$7,$L122&gt;BL$7),0,AND($K122&lt;=BL$7,$L122&lt;=BL$7),1,AND($K122&lt;=BL$7,$L122&gt;BL$7),((BL$7-$K122)/($L122-$K122)))</f>
        <v>1</v>
      </c>
      <c r="BN122" s="201">
        <f t="array" ref="BN122">_xlfn.IFS(AND($K122&gt;BM$7,$L122&gt;BM$7),0,AND($K122&lt;=BM$7,$L122&lt;=BM$7),1,AND($K122&lt;=BM$7,$L122&gt;BM$7),((BM$7-$K122)/($L122-$K122)))</f>
        <v>1</v>
      </c>
    </row>
    <row r="123" spans="2:66" s="163" customFormat="1" x14ac:dyDescent="0.3">
      <c r="B123" s="166" t="s">
        <v>161</v>
      </c>
      <c r="C123" s="166" t="s">
        <v>292</v>
      </c>
      <c r="D123" s="177"/>
      <c r="E123" s="170" t="str">
        <f t="shared" si="49"/>
        <v>Desenvolvimento da Transformação dos Processos</v>
      </c>
      <c r="F123" s="174" t="str">
        <f t="shared" si="46"/>
        <v>Transformação do Processo</v>
      </c>
      <c r="G123" s="166" t="str">
        <f t="shared" si="50"/>
        <v>Transformação do Processo</v>
      </c>
      <c r="H123" s="197" t="s">
        <v>293</v>
      </c>
      <c r="I123" s="166">
        <v>45852</v>
      </c>
      <c r="J123" s="166">
        <v>45869</v>
      </c>
      <c r="K123" s="166">
        <v>45852</v>
      </c>
      <c r="L123" s="166">
        <v>45869</v>
      </c>
      <c r="M123" s="167"/>
      <c r="N123" s="167" t="str">
        <f t="array" ref="N123">_xlfn.IFS(L123&lt;$M$3,"Concluído",AND(K123&gt;=$M$3,I123&lt;$M$3,L123&gt;$M$3),"Em andamento",AND(L123&gt;=$M$3,J123&lt;$M$3),"Atrasado",AND(L123&gt;=$M$3,J123&gt;=$M$3,I123&gt;$M$3,K123&lt;=$M$3),"Em andamento",AND(L123&gt;=$M$3,J123&gt;=$M$3,I123&lt;=$M$3,K123&lt;=$M$3),"Em andamento",AND(K123&gt;$M$3,I123&gt;$M$3),"Não iniciado",AND(L123&gt;=$M$3,J123&gt;=$M$3,K123&gt;=$M$3,I123&lt;$M$3),"Atrasado",AND(L123&gt;=$M$3,J123&gt;=$M$3,K123&gt;=$M$3,I123&gt;$M$3),"Não iniciado",AND($I123&lt;=$M$3,$K123&gt;$M$3),"Atrasado")</f>
        <v>Concluído</v>
      </c>
      <c r="O123" s="167">
        <f t="array" ref="O123">_xlfn.IFS(N123="Não iniciado",0,N123="Em andamento",1,N123="Concluído",2,N123="Atrasado",3)</f>
        <v>2</v>
      </c>
      <c r="P123" s="169"/>
      <c r="Q123" s="152">
        <f t="array" ref="Q123">_xlfn.IFS(AND($I123&lt;$M$3,$J123&lt;$M$3),1,AND($I123&lt;$M$3,$J123&gt;=$M$3),0.5,AND($I123&gt;=$M$3,$J123&gt;=$M$3),0)</f>
        <v>1</v>
      </c>
      <c r="R123" s="152">
        <f t="array" ref="R123">_xlfn.IFS(AND($K123&lt;$M$3,$L123&lt;$M$3),1,AND($K123&lt;=$M$3,$L123&gt;=$M$3),0.5,AND($K123&gt;=$M$3,$L123&gt;=$M$3),0)</f>
        <v>1</v>
      </c>
      <c r="S123" s="201">
        <f t="array" ref="S123">_xlfn.IFS(AND($K123&gt;R$7,$L123&gt;R$7),0,AND($K123&lt;=R$7,$L123&lt;=R$7),1,AND($K123&lt;=R$7,$L123&gt;R$7),((R$7-$K123)/($L123-$K123)))</f>
        <v>0</v>
      </c>
      <c r="T123" s="201">
        <f t="array" ref="T123">_xlfn.IFS(AND($K123&gt;S$7,$L123&gt;S$7),0,AND($K123&lt;=S$7,$L123&lt;=S$7),1,AND($K123&lt;=S$7,$L123&gt;S$7),((S$7-$K123)/($L123-$K123)))</f>
        <v>0</v>
      </c>
      <c r="U123" s="201">
        <f t="array" ref="U123">_xlfn.IFS(AND($K123&gt;T$7,$L123&gt;T$7),0,AND($K123&lt;=T$7,$L123&lt;=T$7),1,AND($K123&lt;=T$7,$L123&gt;T$7),((T$7-$K123)/($L123-$K123)))</f>
        <v>0</v>
      </c>
      <c r="V123" s="201">
        <f t="array" ref="V123">_xlfn.IFS(AND($K123&gt;U$7,$L123&gt;U$7),0,AND($K123&lt;=U$7,$L123&lt;=U$7),1,AND($K123&lt;=U$7,$L123&gt;U$7),((U$7-$K123)/($L123-$K123)))</f>
        <v>0</v>
      </c>
      <c r="W123" s="201">
        <f t="array" ref="W123">_xlfn.IFS(AND($K123&gt;V$7,$L123&gt;V$7),0,AND($K123&lt;=V$7,$L123&lt;=V$7),1,AND($K123&lt;=V$7,$L123&gt;V$7),((V$7-$K123)/($L123-$K123)))</f>
        <v>0</v>
      </c>
      <c r="X123" s="201">
        <f t="array" ref="X123">_xlfn.IFS(AND($K123&gt;W$7,$L123&gt;W$7),0,AND($K123&lt;=W$7,$L123&lt;=W$7),1,AND($K123&lt;=W$7,$L123&gt;W$7),((W$7-$K123)/($L123-$K123)))</f>
        <v>0</v>
      </c>
      <c r="Y123" s="201">
        <f t="array" ref="Y123">_xlfn.IFS(AND($K123&gt;X$7,$L123&gt;X$7),0,AND($K123&lt;=X$7,$L123&lt;=X$7),1,AND($K123&lt;=X$7,$L123&gt;X$7),((X$7-$K123)/($L123-$K123)))</f>
        <v>0</v>
      </c>
      <c r="Z123" s="201">
        <f t="array" ref="Z123">_xlfn.IFS(AND($K123&gt;Y$7,$L123&gt;Y$7),0,AND($K123&lt;=Y$7,$L123&lt;=Y$7),1,AND($K123&lt;=Y$7,$L123&gt;Y$7),((Y$7-$K123)/($L123-$K123)))</f>
        <v>0</v>
      </c>
      <c r="AA123" s="201">
        <f t="array" ref="AA123">_xlfn.IFS(AND($K123&gt;Z$7,$L123&gt;Z$7),0,AND($K123&lt;=Z$7,$L123&lt;=Z$7),1,AND($K123&lt;=Z$7,$L123&gt;Z$7),((Z$7-$K123)/($L123-$K123)))</f>
        <v>0</v>
      </c>
      <c r="AB123" s="201">
        <f t="array" ref="AB123">_xlfn.IFS(AND($K123&gt;AA$7,$L123&gt;AA$7),0,AND($K123&lt;=AA$7,$L123&lt;=AA$7),1,AND($K123&lt;=AA$7,$L123&gt;AA$7),((AA$7-$K123)/($L123-$K123)))</f>
        <v>0</v>
      </c>
      <c r="AC123" s="201">
        <f t="array" ref="AC123">_xlfn.IFS(AND($K123&gt;AB$7,$L123&gt;AB$7),0,AND($K123&lt;=AB$7,$L123&lt;=AB$7),1,AND($K123&lt;=AB$7,$L123&gt;AB$7),((AB$7-$K123)/($L123-$K123)))</f>
        <v>0</v>
      </c>
      <c r="AD123" s="201">
        <f t="array" ref="AD123">_xlfn.IFS(AND($K123&gt;AC$7,$L123&gt;AC$7),0,AND($K123&lt;=AC$7,$L123&lt;=AC$7),1,AND($K123&lt;=AC$7,$L123&gt;AC$7),((AC$7-$K123)/($L123-$K123)))</f>
        <v>0</v>
      </c>
      <c r="AE123" s="201">
        <f t="array" ref="AE123">_xlfn.IFS(AND($K123&gt;AD$7,$L123&gt;AD$7),0,AND($K123&lt;=AD$7,$L123&lt;=AD$7),1,AND($K123&lt;=AD$7,$L123&gt;AD$7),((AD$7-$K123)/($L123-$K123)))</f>
        <v>0</v>
      </c>
      <c r="AF123" s="201">
        <f t="array" ref="AF123">_xlfn.IFS(AND($K123&gt;AE$7,$L123&gt;AE$7),0,AND($K123&lt;=AE$7,$L123&lt;=AE$7),1,AND($K123&lt;=AE$7,$L123&gt;AE$7),((AE$7-$K123)/($L123-$K123)))</f>
        <v>0</v>
      </c>
      <c r="AG123" s="201">
        <f t="array" ref="AG123">_xlfn.IFS(AND($K123&gt;AF$7,$L123&gt;AF$7),0,AND($K123&lt;=AF$7,$L123&lt;=AF$7),1,AND($K123&lt;=AF$7,$L123&gt;AF$7),((AF$7-$K123)/($L123-$K123)))</f>
        <v>0</v>
      </c>
      <c r="AH123" s="201">
        <f t="array" ref="AH123">_xlfn.IFS(AND($K123&gt;AG$7,$L123&gt;AG$7),0,AND($K123&lt;=AG$7,$L123&lt;=AG$7),1,AND($K123&lt;=AG$7,$L123&gt;AG$7),((AG$7-$K123)/($L123-$K123)))</f>
        <v>0</v>
      </c>
      <c r="AI123" s="201">
        <f t="array" ref="AI123">_xlfn.IFS(AND($K123&gt;AH$7,$L123&gt;AH$7),0,AND($K123&lt;=AH$7,$L123&lt;=AH$7),1,AND($K123&lt;=AH$7,$L123&gt;AH$7),((AH$7-$K123)/($L123-$K123)))</f>
        <v>0</v>
      </c>
      <c r="AJ123" s="201">
        <f t="array" ref="AJ123">_xlfn.IFS(AND($K123&gt;AI$7,$L123&gt;AI$7),0,AND($K123&lt;=AI$7,$L123&lt;=AI$7),1,AND($K123&lt;=AI$7,$L123&gt;AI$7),((AI$7-$K123)/($L123-$K123)))</f>
        <v>0</v>
      </c>
      <c r="AK123" s="201">
        <f t="array" ref="AK123">_xlfn.IFS(AND($K123&gt;AJ$7,$L123&gt;AJ$7),0,AND($K123&lt;=AJ$7,$L123&lt;=AJ$7),1,AND($K123&lt;=AJ$7,$L123&gt;AJ$7),((AJ$7-$K123)/($L123-$K123)))</f>
        <v>0</v>
      </c>
      <c r="AL123" s="201">
        <f t="array" ref="AL123">_xlfn.IFS(AND($K123&gt;AK$7,$L123&gt;AK$7),0,AND($K123&lt;=AK$7,$L123&lt;=AK$7),1,AND($K123&lt;=AK$7,$L123&gt;AK$7),((AK$7-$K123)/($L123-$K123)))</f>
        <v>0</v>
      </c>
      <c r="AM123" s="201">
        <f t="array" ref="AM123">_xlfn.IFS(AND($K123&gt;AL$7,$L123&gt;AL$7),0,AND($K123&lt;=AL$7,$L123&lt;=AL$7),1,AND($K123&lt;=AL$7,$L123&gt;AL$7),((AL$7-$K123)/($L123-$K123)))</f>
        <v>0</v>
      </c>
      <c r="AN123" s="201">
        <f t="array" ref="AN123">_xlfn.IFS(AND($K123&gt;AM$7,$L123&gt;AM$7),0,AND($K123&lt;=AM$7,$L123&lt;=AM$7),1,AND($K123&lt;=AM$7,$L123&gt;AM$7),((AM$7-$K123)/($L123-$K123)))</f>
        <v>0</v>
      </c>
      <c r="AO123" s="201">
        <f t="array" ref="AO123">_xlfn.IFS(AND($K123&gt;AN$7,$L123&gt;AN$7),0,AND($K123&lt;=AN$7,$L123&lt;=AN$7),1,AND($K123&lt;=AN$7,$L123&gt;AN$7),((AN$7-$K123)/($L123-$K123)))</f>
        <v>0</v>
      </c>
      <c r="AP123" s="201">
        <f t="array" ref="AP123">_xlfn.IFS(AND($K123&gt;AO$7,$L123&gt;AO$7),0,AND($K123&lt;=AO$7,$L123&lt;=AO$7),1,AND($K123&lt;=AO$7,$L123&gt;AO$7),((AO$7-$K123)/($L123-$K123)))</f>
        <v>0</v>
      </c>
      <c r="AQ123" s="201">
        <f t="array" ref="AQ123">_xlfn.IFS(AND($K123&gt;AP$7,$L123&gt;AP$7),0,AND($K123&lt;=AP$7,$L123&lt;=AP$7),1,AND($K123&lt;=AP$7,$L123&gt;AP$7),((AP$7-$K123)/($L123-$K123)))</f>
        <v>0.29411764705882354</v>
      </c>
      <c r="AR123" s="201">
        <f t="array" ref="AR123">_xlfn.IFS(AND($K123&gt;AQ$7,$L123&gt;AQ$7),0,AND($K123&lt;=AQ$7,$L123&lt;=AQ$7),1,AND($K123&lt;=AQ$7,$L123&gt;AQ$7),((AQ$7-$K123)/($L123-$K123)))</f>
        <v>0.70588235294117652</v>
      </c>
      <c r="AS123" s="201">
        <f t="array" ref="AS123">_xlfn.IFS(AND($K123&gt;AR$7,$L123&gt;AR$7),0,AND($K123&lt;=AR$7,$L123&lt;=AR$7),1,AND($K123&lt;=AR$7,$L123&gt;AR$7),((AR$7-$K123)/($L123-$K123)))</f>
        <v>1</v>
      </c>
      <c r="AT123" s="201">
        <f t="array" ref="AT123">_xlfn.IFS(AND($K123&gt;AS$7,$L123&gt;AS$7),0,AND($K123&lt;=AS$7,$L123&lt;=AS$7),1,AND($K123&lt;=AS$7,$L123&gt;AS$7),((AS$7-$K123)/($L123-$K123)))</f>
        <v>1</v>
      </c>
      <c r="AU123" s="201">
        <f t="array" ref="AU123">_xlfn.IFS(AND($K123&gt;AT$7,$L123&gt;AT$7),0,AND($K123&lt;=AT$7,$L123&lt;=AT$7),1,AND($K123&lt;=AT$7,$L123&gt;AT$7),((AT$7-$K123)/($L123-$K123)))</f>
        <v>1</v>
      </c>
      <c r="AV123" s="201">
        <f t="array" ref="AV123">_xlfn.IFS(AND($K123&gt;AU$7,$L123&gt;AU$7),0,AND($K123&lt;=AU$7,$L123&lt;=AU$7),1,AND($K123&lt;=AU$7,$L123&gt;AU$7),((AU$7-$K123)/($L123-$K123)))</f>
        <v>1</v>
      </c>
      <c r="AW123" s="201">
        <f t="array" ref="AW123">_xlfn.IFS(AND($K123&gt;AV$7,$L123&gt;AV$7),0,AND($K123&lt;=AV$7,$L123&lt;=AV$7),1,AND($K123&lt;=AV$7,$L123&gt;AV$7),((AV$7-$K123)/($L123-$K123)))</f>
        <v>1</v>
      </c>
      <c r="AX123" s="201">
        <f t="array" ref="AX123">_xlfn.IFS(AND($K123&gt;AW$7,$L123&gt;AW$7),0,AND($K123&lt;=AW$7,$L123&lt;=AW$7),1,AND($K123&lt;=AW$7,$L123&gt;AW$7),((AW$7-$K123)/($L123-$K123)))</f>
        <v>1</v>
      </c>
      <c r="AY123" s="201">
        <f t="array" ref="AY123">_xlfn.IFS(AND($K123&gt;AX$7,$L123&gt;AX$7),0,AND($K123&lt;=AX$7,$L123&lt;=AX$7),1,AND($K123&lt;=AX$7,$L123&gt;AX$7),((AX$7-$K123)/($L123-$K123)))</f>
        <v>1</v>
      </c>
      <c r="AZ123" s="201">
        <f t="array" ref="AZ123">_xlfn.IFS(AND($K123&gt;AY$7,$L123&gt;AY$7),0,AND($K123&lt;=AY$7,$L123&lt;=AY$7),1,AND($K123&lt;=AY$7,$L123&gt;AY$7),((AY$7-$K123)/($L123-$K123)))</f>
        <v>1</v>
      </c>
      <c r="BA123" s="201">
        <f t="array" ref="BA123">_xlfn.IFS(AND($K123&gt;AZ$7,$L123&gt;AZ$7),0,AND($K123&lt;=AZ$7,$L123&lt;=AZ$7),1,AND($K123&lt;=AZ$7,$L123&gt;AZ$7),((AZ$7-$K123)/($L123-$K123)))</f>
        <v>1</v>
      </c>
      <c r="BB123" s="201">
        <f t="array" ref="BB123">_xlfn.IFS(AND($K123&gt;BA$7,$L123&gt;BA$7),0,AND($K123&lt;=BA$7,$L123&lt;=BA$7),1,AND($K123&lt;=BA$7,$L123&gt;BA$7),((BA$7-$K123)/($L123-$K123)))</f>
        <v>1</v>
      </c>
      <c r="BC123" s="201">
        <f t="array" ref="BC123">_xlfn.IFS(AND($K123&gt;BB$7,$L123&gt;BB$7),0,AND($K123&lt;=BB$7,$L123&lt;=BB$7),1,AND($K123&lt;=BB$7,$L123&gt;BB$7),((BB$7-$K123)/($L123-$K123)))</f>
        <v>1</v>
      </c>
      <c r="BD123" s="201">
        <f t="array" ref="BD123">_xlfn.IFS(AND($K123&gt;BC$7,$L123&gt;BC$7),0,AND($K123&lt;=BC$7,$L123&lt;=BC$7),1,AND($K123&lt;=BC$7,$L123&gt;BC$7),((BC$7-$K123)/($L123-$K123)))</f>
        <v>1</v>
      </c>
      <c r="BE123" s="201">
        <f t="array" ref="BE123">_xlfn.IFS(AND($K123&gt;BD$7,$L123&gt;BD$7),0,AND($K123&lt;=BD$7,$L123&lt;=BD$7),1,AND($K123&lt;=BD$7,$L123&gt;BD$7),((BD$7-$K123)/($L123-$K123)))</f>
        <v>1</v>
      </c>
      <c r="BF123" s="201">
        <f t="array" ref="BF123">_xlfn.IFS(AND($K123&gt;BE$7,$L123&gt;BE$7),0,AND($K123&lt;=BE$7,$L123&lt;=BE$7),1,AND($K123&lt;=BE$7,$L123&gt;BE$7),((BE$7-$K123)/($L123-$K123)))</f>
        <v>1</v>
      </c>
      <c r="BG123" s="201">
        <f t="array" ref="BG123">_xlfn.IFS(AND($K123&gt;BF$7,$L123&gt;BF$7),0,AND($K123&lt;=BF$7,$L123&lt;=BF$7),1,AND($K123&lt;=BF$7,$L123&gt;BF$7),((BF$7-$K123)/($L123-$K123)))</f>
        <v>1</v>
      </c>
      <c r="BH123" s="201">
        <f t="array" ref="BH123">_xlfn.IFS(AND($K123&gt;BG$7,$L123&gt;BG$7),0,AND($K123&lt;=BG$7,$L123&lt;=BG$7),1,AND($K123&lt;=BG$7,$L123&gt;BG$7),((BG$7-$K123)/($L123-$K123)))</f>
        <v>1</v>
      </c>
      <c r="BI123" s="201">
        <f t="array" ref="BI123">_xlfn.IFS(AND($K123&gt;BH$7,$L123&gt;BH$7),0,AND($K123&lt;=BH$7,$L123&lt;=BH$7),1,AND($K123&lt;=BH$7,$L123&gt;BH$7),((BH$7-$K123)/($L123-$K123)))</f>
        <v>1</v>
      </c>
      <c r="BJ123" s="201">
        <f t="array" ref="BJ123">_xlfn.IFS(AND($K123&gt;BI$7,$L123&gt;BI$7),0,AND($K123&lt;=BI$7,$L123&lt;=BI$7),1,AND($K123&lt;=BI$7,$L123&gt;BI$7),((BI$7-$K123)/($L123-$K123)))</f>
        <v>1</v>
      </c>
      <c r="BK123" s="201">
        <f t="array" ref="BK123">_xlfn.IFS(AND($K123&gt;BJ$7,$L123&gt;BJ$7),0,AND($K123&lt;=BJ$7,$L123&lt;=BJ$7),1,AND($K123&lt;=BJ$7,$L123&gt;BJ$7),((BJ$7-$K123)/($L123-$K123)))</f>
        <v>1</v>
      </c>
      <c r="BL123" s="201">
        <f t="array" ref="BL123">_xlfn.IFS(AND($K123&gt;BK$7,$L123&gt;BK$7),0,AND($K123&lt;=BK$7,$L123&lt;=BK$7),1,AND($K123&lt;=BK$7,$L123&gt;BK$7),((BK$7-$K123)/($L123-$K123)))</f>
        <v>1</v>
      </c>
      <c r="BM123" s="201">
        <f t="array" ref="BM123">_xlfn.IFS(AND($K123&gt;BL$7,$L123&gt;BL$7),0,AND($K123&lt;=BL$7,$L123&lt;=BL$7),1,AND($K123&lt;=BL$7,$L123&gt;BL$7),((BL$7-$K123)/($L123-$K123)))</f>
        <v>1</v>
      </c>
      <c r="BN123" s="201">
        <f t="array" ref="BN123">_xlfn.IFS(AND($K123&gt;BM$7,$L123&gt;BM$7),0,AND($K123&lt;=BM$7,$L123&lt;=BM$7),1,AND($K123&lt;=BM$7,$L123&gt;BM$7),((BM$7-$K123)/($L123-$K123)))</f>
        <v>1</v>
      </c>
    </row>
    <row r="124" spans="2:66" s="163" customFormat="1" ht="27.6" customHeight="1" x14ac:dyDescent="0.3">
      <c r="B124" s="166" t="s">
        <v>161</v>
      </c>
      <c r="C124" s="166" t="s">
        <v>294</v>
      </c>
      <c r="D124" s="177"/>
      <c r="E124" s="170" t="str">
        <f t="shared" si="49"/>
        <v>Desenvolvimento da Transformação dos Processos</v>
      </c>
      <c r="F124" s="174" t="str">
        <f t="shared" si="46"/>
        <v>Transformação do Processo</v>
      </c>
      <c r="G124" s="166" t="str">
        <f t="shared" si="50"/>
        <v>Transformação do Processo</v>
      </c>
      <c r="H124" s="197" t="s">
        <v>295</v>
      </c>
      <c r="I124" s="166">
        <v>45852</v>
      </c>
      <c r="J124" s="166">
        <v>45869</v>
      </c>
      <c r="K124" s="166">
        <v>45852</v>
      </c>
      <c r="L124" s="166">
        <v>45869</v>
      </c>
      <c r="M124" s="167"/>
      <c r="N124" s="167" t="str">
        <f t="array" ref="N124">_xlfn.IFS(L124&lt;$M$3,"Concluído",AND(K124&gt;=$M$3,I124&lt;$M$3,L124&gt;$M$3),"Em andamento",AND(L124&gt;=$M$3,J124&lt;$M$3),"Atrasado",AND(L124&gt;=$M$3,J124&gt;=$M$3,I124&gt;$M$3,K124&lt;=$M$3),"Em andamento",AND(L124&gt;=$M$3,J124&gt;=$M$3,I124&lt;=$M$3,K124&lt;=$M$3),"Em andamento",AND(K124&gt;$M$3,I124&gt;$M$3),"Não iniciado",AND(L124&gt;=$M$3,J124&gt;=$M$3,K124&gt;=$M$3,I124&lt;$M$3),"Atrasado",AND(L124&gt;=$M$3,J124&gt;=$M$3,K124&gt;=$M$3,I124&gt;$M$3),"Não iniciado",AND($I124&lt;=$M$3,$K124&gt;$M$3),"Atrasado")</f>
        <v>Concluído</v>
      </c>
      <c r="O124" s="167">
        <f t="array" ref="O124">_xlfn.IFS(N124="Não iniciado",0,N124="Em andamento",1,N124="Concluído",2,N124="Atrasado",3)</f>
        <v>2</v>
      </c>
      <c r="P124" s="169"/>
      <c r="Q124" s="152">
        <f t="array" ref="Q124">_xlfn.IFS(AND($I124&lt;$M$3,$J124&lt;$M$3),1,AND($I124&lt;$M$3,$J124&gt;=$M$3),0.5,AND($I124&gt;=$M$3,$J124&gt;=$M$3),0)</f>
        <v>1</v>
      </c>
      <c r="R124" s="152">
        <f t="array" ref="R124">_xlfn.IFS(AND($K124&lt;$M$3,$L124&lt;$M$3),1,AND($K124&lt;=$M$3,$L124&gt;=$M$3),0.5,AND($K124&gt;=$M$3,$L124&gt;=$M$3),0)</f>
        <v>1</v>
      </c>
      <c r="S124" s="201">
        <f t="array" ref="S124">_xlfn.IFS(AND($K124&gt;R$7,$L124&gt;R$7),0,AND($K124&lt;=R$7,$L124&lt;=R$7),1,AND($K124&lt;=R$7,$L124&gt;R$7),((R$7-$K124)/($L124-$K124)))</f>
        <v>0</v>
      </c>
      <c r="T124" s="201">
        <f t="array" ref="T124">_xlfn.IFS(AND($K124&gt;S$7,$L124&gt;S$7),0,AND($K124&lt;=S$7,$L124&lt;=S$7),1,AND($K124&lt;=S$7,$L124&gt;S$7),((S$7-$K124)/($L124-$K124)))</f>
        <v>0</v>
      </c>
      <c r="U124" s="201">
        <f t="array" ref="U124">_xlfn.IFS(AND($K124&gt;T$7,$L124&gt;T$7),0,AND($K124&lt;=T$7,$L124&lt;=T$7),1,AND($K124&lt;=T$7,$L124&gt;T$7),((T$7-$K124)/($L124-$K124)))</f>
        <v>0</v>
      </c>
      <c r="V124" s="201">
        <f t="array" ref="V124">_xlfn.IFS(AND($K124&gt;U$7,$L124&gt;U$7),0,AND($K124&lt;=U$7,$L124&lt;=U$7),1,AND($K124&lt;=U$7,$L124&gt;U$7),((U$7-$K124)/($L124-$K124)))</f>
        <v>0</v>
      </c>
      <c r="W124" s="201">
        <f t="array" ref="W124">_xlfn.IFS(AND($K124&gt;V$7,$L124&gt;V$7),0,AND($K124&lt;=V$7,$L124&lt;=V$7),1,AND($K124&lt;=V$7,$L124&gt;V$7),((V$7-$K124)/($L124-$K124)))</f>
        <v>0</v>
      </c>
      <c r="X124" s="201">
        <f t="array" ref="X124">_xlfn.IFS(AND($K124&gt;W$7,$L124&gt;W$7),0,AND($K124&lt;=W$7,$L124&lt;=W$7),1,AND($K124&lt;=W$7,$L124&gt;W$7),((W$7-$K124)/($L124-$K124)))</f>
        <v>0</v>
      </c>
      <c r="Y124" s="201">
        <f t="array" ref="Y124">_xlfn.IFS(AND($K124&gt;X$7,$L124&gt;X$7),0,AND($K124&lt;=X$7,$L124&lt;=X$7),1,AND($K124&lt;=X$7,$L124&gt;X$7),((X$7-$K124)/($L124-$K124)))</f>
        <v>0</v>
      </c>
      <c r="Z124" s="201">
        <f t="array" ref="Z124">_xlfn.IFS(AND($K124&gt;Y$7,$L124&gt;Y$7),0,AND($K124&lt;=Y$7,$L124&lt;=Y$7),1,AND($K124&lt;=Y$7,$L124&gt;Y$7),((Y$7-$K124)/($L124-$K124)))</f>
        <v>0</v>
      </c>
      <c r="AA124" s="201">
        <f t="array" ref="AA124">_xlfn.IFS(AND($K124&gt;Z$7,$L124&gt;Z$7),0,AND($K124&lt;=Z$7,$L124&lt;=Z$7),1,AND($K124&lt;=Z$7,$L124&gt;Z$7),((Z$7-$K124)/($L124-$K124)))</f>
        <v>0</v>
      </c>
      <c r="AB124" s="201">
        <f t="array" ref="AB124">_xlfn.IFS(AND($K124&gt;AA$7,$L124&gt;AA$7),0,AND($K124&lt;=AA$7,$L124&lt;=AA$7),1,AND($K124&lt;=AA$7,$L124&gt;AA$7),((AA$7-$K124)/($L124-$K124)))</f>
        <v>0</v>
      </c>
      <c r="AC124" s="201">
        <f t="array" ref="AC124">_xlfn.IFS(AND($K124&gt;AB$7,$L124&gt;AB$7),0,AND($K124&lt;=AB$7,$L124&lt;=AB$7),1,AND($K124&lt;=AB$7,$L124&gt;AB$7),((AB$7-$K124)/($L124-$K124)))</f>
        <v>0</v>
      </c>
      <c r="AD124" s="201">
        <f t="array" ref="AD124">_xlfn.IFS(AND($K124&gt;AC$7,$L124&gt;AC$7),0,AND($K124&lt;=AC$7,$L124&lt;=AC$7),1,AND($K124&lt;=AC$7,$L124&gt;AC$7),((AC$7-$K124)/($L124-$K124)))</f>
        <v>0</v>
      </c>
      <c r="AE124" s="201">
        <f t="array" ref="AE124">_xlfn.IFS(AND($K124&gt;AD$7,$L124&gt;AD$7),0,AND($K124&lt;=AD$7,$L124&lt;=AD$7),1,AND($K124&lt;=AD$7,$L124&gt;AD$7),((AD$7-$K124)/($L124-$K124)))</f>
        <v>0</v>
      </c>
      <c r="AF124" s="201">
        <f t="array" ref="AF124">_xlfn.IFS(AND($K124&gt;AE$7,$L124&gt;AE$7),0,AND($K124&lt;=AE$7,$L124&lt;=AE$7),1,AND($K124&lt;=AE$7,$L124&gt;AE$7),((AE$7-$K124)/($L124-$K124)))</f>
        <v>0</v>
      </c>
      <c r="AG124" s="201">
        <f t="array" ref="AG124">_xlfn.IFS(AND($K124&gt;AF$7,$L124&gt;AF$7),0,AND($K124&lt;=AF$7,$L124&lt;=AF$7),1,AND($K124&lt;=AF$7,$L124&gt;AF$7),((AF$7-$K124)/($L124-$K124)))</f>
        <v>0</v>
      </c>
      <c r="AH124" s="201">
        <f t="array" ref="AH124">_xlfn.IFS(AND($K124&gt;AG$7,$L124&gt;AG$7),0,AND($K124&lt;=AG$7,$L124&lt;=AG$7),1,AND($K124&lt;=AG$7,$L124&gt;AG$7),((AG$7-$K124)/($L124-$K124)))</f>
        <v>0</v>
      </c>
      <c r="AI124" s="201">
        <f t="array" ref="AI124">_xlfn.IFS(AND($K124&gt;AH$7,$L124&gt;AH$7),0,AND($K124&lt;=AH$7,$L124&lt;=AH$7),1,AND($K124&lt;=AH$7,$L124&gt;AH$7),((AH$7-$K124)/($L124-$K124)))</f>
        <v>0</v>
      </c>
      <c r="AJ124" s="201">
        <f t="array" ref="AJ124">_xlfn.IFS(AND($K124&gt;AI$7,$L124&gt;AI$7),0,AND($K124&lt;=AI$7,$L124&lt;=AI$7),1,AND($K124&lt;=AI$7,$L124&gt;AI$7),((AI$7-$K124)/($L124-$K124)))</f>
        <v>0</v>
      </c>
      <c r="AK124" s="201">
        <f t="array" ref="AK124">_xlfn.IFS(AND($K124&gt;AJ$7,$L124&gt;AJ$7),0,AND($K124&lt;=AJ$7,$L124&lt;=AJ$7),1,AND($K124&lt;=AJ$7,$L124&gt;AJ$7),((AJ$7-$K124)/($L124-$K124)))</f>
        <v>0</v>
      </c>
      <c r="AL124" s="201">
        <f t="array" ref="AL124">_xlfn.IFS(AND($K124&gt;AK$7,$L124&gt;AK$7),0,AND($K124&lt;=AK$7,$L124&lt;=AK$7),1,AND($K124&lt;=AK$7,$L124&gt;AK$7),((AK$7-$K124)/($L124-$K124)))</f>
        <v>0</v>
      </c>
      <c r="AM124" s="201">
        <f t="array" ref="AM124">_xlfn.IFS(AND($K124&gt;AL$7,$L124&gt;AL$7),0,AND($K124&lt;=AL$7,$L124&lt;=AL$7),1,AND($K124&lt;=AL$7,$L124&gt;AL$7),((AL$7-$K124)/($L124-$K124)))</f>
        <v>0</v>
      </c>
      <c r="AN124" s="201">
        <f t="array" ref="AN124">_xlfn.IFS(AND($K124&gt;AM$7,$L124&gt;AM$7),0,AND($K124&lt;=AM$7,$L124&lt;=AM$7),1,AND($K124&lt;=AM$7,$L124&gt;AM$7),((AM$7-$K124)/($L124-$K124)))</f>
        <v>0</v>
      </c>
      <c r="AO124" s="201">
        <f t="array" ref="AO124">_xlfn.IFS(AND($K124&gt;AN$7,$L124&gt;AN$7),0,AND($K124&lt;=AN$7,$L124&lt;=AN$7),1,AND($K124&lt;=AN$7,$L124&gt;AN$7),((AN$7-$K124)/($L124-$K124)))</f>
        <v>0</v>
      </c>
      <c r="AP124" s="201">
        <f t="array" ref="AP124">_xlfn.IFS(AND($K124&gt;AO$7,$L124&gt;AO$7),0,AND($K124&lt;=AO$7,$L124&lt;=AO$7),1,AND($K124&lt;=AO$7,$L124&gt;AO$7),((AO$7-$K124)/($L124-$K124)))</f>
        <v>0</v>
      </c>
      <c r="AQ124" s="201">
        <f t="array" ref="AQ124">_xlfn.IFS(AND($K124&gt;AP$7,$L124&gt;AP$7),0,AND($K124&lt;=AP$7,$L124&lt;=AP$7),1,AND($K124&lt;=AP$7,$L124&gt;AP$7),((AP$7-$K124)/($L124-$K124)))</f>
        <v>0.29411764705882354</v>
      </c>
      <c r="AR124" s="201">
        <f t="array" ref="AR124">_xlfn.IFS(AND($K124&gt;AQ$7,$L124&gt;AQ$7),0,AND($K124&lt;=AQ$7,$L124&lt;=AQ$7),1,AND($K124&lt;=AQ$7,$L124&gt;AQ$7),((AQ$7-$K124)/($L124-$K124)))</f>
        <v>0.70588235294117652</v>
      </c>
      <c r="AS124" s="201">
        <f t="array" ref="AS124">_xlfn.IFS(AND($K124&gt;AR$7,$L124&gt;AR$7),0,AND($K124&lt;=AR$7,$L124&lt;=AR$7),1,AND($K124&lt;=AR$7,$L124&gt;AR$7),((AR$7-$K124)/($L124-$K124)))</f>
        <v>1</v>
      </c>
      <c r="AT124" s="201">
        <f t="array" ref="AT124">_xlfn.IFS(AND($K124&gt;AS$7,$L124&gt;AS$7),0,AND($K124&lt;=AS$7,$L124&lt;=AS$7),1,AND($K124&lt;=AS$7,$L124&gt;AS$7),((AS$7-$K124)/($L124-$K124)))</f>
        <v>1</v>
      </c>
      <c r="AU124" s="201">
        <f t="array" ref="AU124">_xlfn.IFS(AND($K124&gt;AT$7,$L124&gt;AT$7),0,AND($K124&lt;=AT$7,$L124&lt;=AT$7),1,AND($K124&lt;=AT$7,$L124&gt;AT$7),((AT$7-$K124)/($L124-$K124)))</f>
        <v>1</v>
      </c>
      <c r="AV124" s="201">
        <f t="array" ref="AV124">_xlfn.IFS(AND($K124&gt;AU$7,$L124&gt;AU$7),0,AND($K124&lt;=AU$7,$L124&lt;=AU$7),1,AND($K124&lt;=AU$7,$L124&gt;AU$7),((AU$7-$K124)/($L124-$K124)))</f>
        <v>1</v>
      </c>
      <c r="AW124" s="201">
        <f t="array" ref="AW124">_xlfn.IFS(AND($K124&gt;AV$7,$L124&gt;AV$7),0,AND($K124&lt;=AV$7,$L124&lt;=AV$7),1,AND($K124&lt;=AV$7,$L124&gt;AV$7),((AV$7-$K124)/($L124-$K124)))</f>
        <v>1</v>
      </c>
      <c r="AX124" s="201">
        <f t="array" ref="AX124">_xlfn.IFS(AND($K124&gt;AW$7,$L124&gt;AW$7),0,AND($K124&lt;=AW$7,$L124&lt;=AW$7),1,AND($K124&lt;=AW$7,$L124&gt;AW$7),((AW$7-$K124)/($L124-$K124)))</f>
        <v>1</v>
      </c>
      <c r="AY124" s="201">
        <f t="array" ref="AY124">_xlfn.IFS(AND($K124&gt;AX$7,$L124&gt;AX$7),0,AND($K124&lt;=AX$7,$L124&lt;=AX$7),1,AND($K124&lt;=AX$7,$L124&gt;AX$7),((AX$7-$K124)/($L124-$K124)))</f>
        <v>1</v>
      </c>
      <c r="AZ124" s="201">
        <f t="array" ref="AZ124">_xlfn.IFS(AND($K124&gt;AY$7,$L124&gt;AY$7),0,AND($K124&lt;=AY$7,$L124&lt;=AY$7),1,AND($K124&lt;=AY$7,$L124&gt;AY$7),((AY$7-$K124)/($L124-$K124)))</f>
        <v>1</v>
      </c>
      <c r="BA124" s="201">
        <f t="array" ref="BA124">_xlfn.IFS(AND($K124&gt;AZ$7,$L124&gt;AZ$7),0,AND($K124&lt;=AZ$7,$L124&lt;=AZ$7),1,AND($K124&lt;=AZ$7,$L124&gt;AZ$7),((AZ$7-$K124)/($L124-$K124)))</f>
        <v>1</v>
      </c>
      <c r="BB124" s="201">
        <f t="array" ref="BB124">_xlfn.IFS(AND($K124&gt;BA$7,$L124&gt;BA$7),0,AND($K124&lt;=BA$7,$L124&lt;=BA$7),1,AND($K124&lt;=BA$7,$L124&gt;BA$7),((BA$7-$K124)/($L124-$K124)))</f>
        <v>1</v>
      </c>
      <c r="BC124" s="201">
        <f t="array" ref="BC124">_xlfn.IFS(AND($K124&gt;BB$7,$L124&gt;BB$7),0,AND($K124&lt;=BB$7,$L124&lt;=BB$7),1,AND($K124&lt;=BB$7,$L124&gt;BB$7),((BB$7-$K124)/($L124-$K124)))</f>
        <v>1</v>
      </c>
      <c r="BD124" s="201">
        <f t="array" ref="BD124">_xlfn.IFS(AND($K124&gt;BC$7,$L124&gt;BC$7),0,AND($K124&lt;=BC$7,$L124&lt;=BC$7),1,AND($K124&lt;=BC$7,$L124&gt;BC$7),((BC$7-$K124)/($L124-$K124)))</f>
        <v>1</v>
      </c>
      <c r="BE124" s="201">
        <f t="array" ref="BE124">_xlfn.IFS(AND($K124&gt;BD$7,$L124&gt;BD$7),0,AND($K124&lt;=BD$7,$L124&lt;=BD$7),1,AND($K124&lt;=BD$7,$L124&gt;BD$7),((BD$7-$K124)/($L124-$K124)))</f>
        <v>1</v>
      </c>
      <c r="BF124" s="201">
        <f t="array" ref="BF124">_xlfn.IFS(AND($K124&gt;BE$7,$L124&gt;BE$7),0,AND($K124&lt;=BE$7,$L124&lt;=BE$7),1,AND($K124&lt;=BE$7,$L124&gt;BE$7),((BE$7-$K124)/($L124-$K124)))</f>
        <v>1</v>
      </c>
      <c r="BG124" s="201">
        <f t="array" ref="BG124">_xlfn.IFS(AND($K124&gt;BF$7,$L124&gt;BF$7),0,AND($K124&lt;=BF$7,$L124&lt;=BF$7),1,AND($K124&lt;=BF$7,$L124&gt;BF$7),((BF$7-$K124)/($L124-$K124)))</f>
        <v>1</v>
      </c>
      <c r="BH124" s="201">
        <f t="array" ref="BH124">_xlfn.IFS(AND($K124&gt;BG$7,$L124&gt;BG$7),0,AND($K124&lt;=BG$7,$L124&lt;=BG$7),1,AND($K124&lt;=BG$7,$L124&gt;BG$7),((BG$7-$K124)/($L124-$K124)))</f>
        <v>1</v>
      </c>
      <c r="BI124" s="201">
        <f t="array" ref="BI124">_xlfn.IFS(AND($K124&gt;BH$7,$L124&gt;BH$7),0,AND($K124&lt;=BH$7,$L124&lt;=BH$7),1,AND($K124&lt;=BH$7,$L124&gt;BH$7),((BH$7-$K124)/($L124-$K124)))</f>
        <v>1</v>
      </c>
      <c r="BJ124" s="201">
        <f t="array" ref="BJ124">_xlfn.IFS(AND($K124&gt;BI$7,$L124&gt;BI$7),0,AND($K124&lt;=BI$7,$L124&lt;=BI$7),1,AND($K124&lt;=BI$7,$L124&gt;BI$7),((BI$7-$K124)/($L124-$K124)))</f>
        <v>1</v>
      </c>
      <c r="BK124" s="201">
        <f t="array" ref="BK124">_xlfn.IFS(AND($K124&gt;BJ$7,$L124&gt;BJ$7),0,AND($K124&lt;=BJ$7,$L124&lt;=BJ$7),1,AND($K124&lt;=BJ$7,$L124&gt;BJ$7),((BJ$7-$K124)/($L124-$K124)))</f>
        <v>1</v>
      </c>
      <c r="BL124" s="201">
        <f t="array" ref="BL124">_xlfn.IFS(AND($K124&gt;BK$7,$L124&gt;BK$7),0,AND($K124&lt;=BK$7,$L124&lt;=BK$7),1,AND($K124&lt;=BK$7,$L124&gt;BK$7),((BK$7-$K124)/($L124-$K124)))</f>
        <v>1</v>
      </c>
      <c r="BM124" s="201">
        <f t="array" ref="BM124">_xlfn.IFS(AND($K124&gt;BL$7,$L124&gt;BL$7),0,AND($K124&lt;=BL$7,$L124&lt;=BL$7),1,AND($K124&lt;=BL$7,$L124&gt;BL$7),((BL$7-$K124)/($L124-$K124)))</f>
        <v>1</v>
      </c>
      <c r="BN124" s="201">
        <f t="array" ref="BN124">_xlfn.IFS(AND($K124&gt;BM$7,$L124&gt;BM$7),0,AND($K124&lt;=BM$7,$L124&lt;=BM$7),1,AND($K124&lt;=BM$7,$L124&gt;BM$7),((BM$7-$K124)/($L124-$K124)))</f>
        <v>1</v>
      </c>
    </row>
    <row r="125" spans="2:66" s="163" customFormat="1" ht="27.6" customHeight="1" x14ac:dyDescent="0.3">
      <c r="B125" s="166" t="s">
        <v>161</v>
      </c>
      <c r="C125" s="166" t="s">
        <v>296</v>
      </c>
      <c r="D125" s="177"/>
      <c r="E125" s="170" t="str">
        <f t="shared" si="49"/>
        <v>Desenvolvimento da Transformação dos Processos</v>
      </c>
      <c r="F125" s="174" t="str">
        <f t="shared" si="46"/>
        <v>Transformação do Processo</v>
      </c>
      <c r="G125" s="166" t="str">
        <f t="shared" si="50"/>
        <v>Transformação do Processo</v>
      </c>
      <c r="H125" s="197" t="s">
        <v>297</v>
      </c>
      <c r="I125" s="166">
        <v>45887</v>
      </c>
      <c r="J125" s="166">
        <v>45898</v>
      </c>
      <c r="K125" s="166">
        <v>45887</v>
      </c>
      <c r="L125" s="166">
        <v>45898</v>
      </c>
      <c r="M125" s="167"/>
      <c r="N125" s="167" t="str">
        <f t="array" ref="N125">_xlfn.IFS(L125&lt;$M$3,"Concluído",AND(K125&gt;=$M$3,I125&lt;$M$3,L125&gt;$M$3),"Em andamento",AND(L125&gt;=$M$3,J125&lt;$M$3),"Atrasado",AND(L125&gt;=$M$3,J125&gt;=$M$3,I125&gt;$M$3,K125&lt;=$M$3),"Em andamento",AND(L125&gt;=$M$3,J125&gt;=$M$3,I125&lt;=$M$3,K125&lt;=$M$3),"Em andamento",AND(K125&gt;$M$3,I125&gt;$M$3),"Não iniciado",AND(L125&gt;=$M$3,J125&gt;=$M$3,K125&gt;=$M$3,I125&lt;$M$3),"Atrasado",AND(L125&gt;=$M$3,J125&gt;=$M$3,K125&gt;=$M$3,I125&gt;$M$3),"Não iniciado",AND($I125&lt;=$M$3,$K125&gt;$M$3),"Atrasado")</f>
        <v>Não iniciado</v>
      </c>
      <c r="O125" s="167">
        <f t="array" ref="O125">_xlfn.IFS(N125="Não iniciado",0,N125="Em andamento",1,N125="Concluído",2,N125="Atrasado",3)</f>
        <v>0</v>
      </c>
      <c r="P125" s="169"/>
      <c r="Q125" s="152">
        <f t="array" ref="Q125">_xlfn.IFS(AND($I125&lt;$M$3,$J125&lt;$M$3),1,AND($I125&lt;$M$3,$J125&gt;=$M$3),0.5,AND($I125&gt;=$M$3,$J125&gt;=$M$3),0)</f>
        <v>0</v>
      </c>
      <c r="R125" s="152">
        <f t="array" ref="R125">_xlfn.IFS(AND($K125&lt;$M$3,$L125&lt;$M$3),1,AND($K125&lt;=$M$3,$L125&gt;=$M$3),0.5,AND($K125&gt;=$M$3,$L125&gt;=$M$3),0)</f>
        <v>0</v>
      </c>
      <c r="S125" s="201">
        <f t="array" ref="S125">_xlfn.IFS(AND($K125&gt;R$7,$L125&gt;R$7),0,AND($K125&lt;=R$7,$L125&lt;=R$7),1,AND($K125&lt;=R$7,$L125&gt;R$7),((R$7-$K125)/($L125-$K125)))</f>
        <v>0</v>
      </c>
      <c r="T125" s="201">
        <f t="array" ref="T125">_xlfn.IFS(AND($K125&gt;S$7,$L125&gt;S$7),0,AND($K125&lt;=S$7,$L125&lt;=S$7),1,AND($K125&lt;=S$7,$L125&gt;S$7),((S$7-$K125)/($L125-$K125)))</f>
        <v>0</v>
      </c>
      <c r="U125" s="201">
        <f t="array" ref="U125">_xlfn.IFS(AND($K125&gt;T$7,$L125&gt;T$7),0,AND($K125&lt;=T$7,$L125&lt;=T$7),1,AND($K125&lt;=T$7,$L125&gt;T$7),((T$7-$K125)/($L125-$K125)))</f>
        <v>0</v>
      </c>
      <c r="V125" s="201">
        <f t="array" ref="V125">_xlfn.IFS(AND($K125&gt;U$7,$L125&gt;U$7),0,AND($K125&lt;=U$7,$L125&lt;=U$7),1,AND($K125&lt;=U$7,$L125&gt;U$7),((U$7-$K125)/($L125-$K125)))</f>
        <v>0</v>
      </c>
      <c r="W125" s="201">
        <f t="array" ref="W125">_xlfn.IFS(AND($K125&gt;V$7,$L125&gt;V$7),0,AND($K125&lt;=V$7,$L125&lt;=V$7),1,AND($K125&lt;=V$7,$L125&gt;V$7),((V$7-$K125)/($L125-$K125)))</f>
        <v>0</v>
      </c>
      <c r="X125" s="201">
        <f t="array" ref="X125">_xlfn.IFS(AND($K125&gt;W$7,$L125&gt;W$7),0,AND($K125&lt;=W$7,$L125&lt;=W$7),1,AND($K125&lt;=W$7,$L125&gt;W$7),((W$7-$K125)/($L125-$K125)))</f>
        <v>0</v>
      </c>
      <c r="Y125" s="201">
        <f t="array" ref="Y125">_xlfn.IFS(AND($K125&gt;X$7,$L125&gt;X$7),0,AND($K125&lt;=X$7,$L125&lt;=X$7),1,AND($K125&lt;=X$7,$L125&gt;X$7),((X$7-$K125)/($L125-$K125)))</f>
        <v>0</v>
      </c>
      <c r="Z125" s="201">
        <f t="array" ref="Z125">_xlfn.IFS(AND($K125&gt;Y$7,$L125&gt;Y$7),0,AND($K125&lt;=Y$7,$L125&lt;=Y$7),1,AND($K125&lt;=Y$7,$L125&gt;Y$7),((Y$7-$K125)/($L125-$K125)))</f>
        <v>0</v>
      </c>
      <c r="AA125" s="201">
        <f t="array" ref="AA125">_xlfn.IFS(AND($K125&gt;Z$7,$L125&gt;Z$7),0,AND($K125&lt;=Z$7,$L125&lt;=Z$7),1,AND($K125&lt;=Z$7,$L125&gt;Z$7),((Z$7-$K125)/($L125-$K125)))</f>
        <v>0</v>
      </c>
      <c r="AB125" s="201">
        <f t="array" ref="AB125">_xlfn.IFS(AND($K125&gt;AA$7,$L125&gt;AA$7),0,AND($K125&lt;=AA$7,$L125&lt;=AA$7),1,AND($K125&lt;=AA$7,$L125&gt;AA$7),((AA$7-$K125)/($L125-$K125)))</f>
        <v>0</v>
      </c>
      <c r="AC125" s="201">
        <f t="array" ref="AC125">_xlfn.IFS(AND($K125&gt;AB$7,$L125&gt;AB$7),0,AND($K125&lt;=AB$7,$L125&lt;=AB$7),1,AND($K125&lt;=AB$7,$L125&gt;AB$7),((AB$7-$K125)/($L125-$K125)))</f>
        <v>0</v>
      </c>
      <c r="AD125" s="201">
        <f t="array" ref="AD125">_xlfn.IFS(AND($K125&gt;AC$7,$L125&gt;AC$7),0,AND($K125&lt;=AC$7,$L125&lt;=AC$7),1,AND($K125&lt;=AC$7,$L125&gt;AC$7),((AC$7-$K125)/($L125-$K125)))</f>
        <v>0</v>
      </c>
      <c r="AE125" s="201">
        <f t="array" ref="AE125">_xlfn.IFS(AND($K125&gt;AD$7,$L125&gt;AD$7),0,AND($K125&lt;=AD$7,$L125&lt;=AD$7),1,AND($K125&lt;=AD$7,$L125&gt;AD$7),((AD$7-$K125)/($L125-$K125)))</f>
        <v>0</v>
      </c>
      <c r="AF125" s="201">
        <f t="array" ref="AF125">_xlfn.IFS(AND($K125&gt;AE$7,$L125&gt;AE$7),0,AND($K125&lt;=AE$7,$L125&lt;=AE$7),1,AND($K125&lt;=AE$7,$L125&gt;AE$7),((AE$7-$K125)/($L125-$K125)))</f>
        <v>0</v>
      </c>
      <c r="AG125" s="201">
        <f t="array" ref="AG125">_xlfn.IFS(AND($K125&gt;AF$7,$L125&gt;AF$7),0,AND($K125&lt;=AF$7,$L125&lt;=AF$7),1,AND($K125&lt;=AF$7,$L125&gt;AF$7),((AF$7-$K125)/($L125-$K125)))</f>
        <v>0</v>
      </c>
      <c r="AH125" s="201">
        <f t="array" ref="AH125">_xlfn.IFS(AND($K125&gt;AG$7,$L125&gt;AG$7),0,AND($K125&lt;=AG$7,$L125&lt;=AG$7),1,AND($K125&lt;=AG$7,$L125&gt;AG$7),((AG$7-$K125)/($L125-$K125)))</f>
        <v>0</v>
      </c>
      <c r="AI125" s="201">
        <f t="array" ref="AI125">_xlfn.IFS(AND($K125&gt;AH$7,$L125&gt;AH$7),0,AND($K125&lt;=AH$7,$L125&lt;=AH$7),1,AND($K125&lt;=AH$7,$L125&gt;AH$7),((AH$7-$K125)/($L125-$K125)))</f>
        <v>0</v>
      </c>
      <c r="AJ125" s="201">
        <f t="array" ref="AJ125">_xlfn.IFS(AND($K125&gt;AI$7,$L125&gt;AI$7),0,AND($K125&lt;=AI$7,$L125&lt;=AI$7),1,AND($K125&lt;=AI$7,$L125&gt;AI$7),((AI$7-$K125)/($L125-$K125)))</f>
        <v>0</v>
      </c>
      <c r="AK125" s="201">
        <f t="array" ref="AK125">_xlfn.IFS(AND($K125&gt;AJ$7,$L125&gt;AJ$7),0,AND($K125&lt;=AJ$7,$L125&lt;=AJ$7),1,AND($K125&lt;=AJ$7,$L125&gt;AJ$7),((AJ$7-$K125)/($L125-$K125)))</f>
        <v>0</v>
      </c>
      <c r="AL125" s="201">
        <f t="array" ref="AL125">_xlfn.IFS(AND($K125&gt;AK$7,$L125&gt;AK$7),0,AND($K125&lt;=AK$7,$L125&lt;=AK$7),1,AND($K125&lt;=AK$7,$L125&gt;AK$7),((AK$7-$K125)/($L125-$K125)))</f>
        <v>0</v>
      </c>
      <c r="AM125" s="201">
        <f t="array" ref="AM125">_xlfn.IFS(AND($K125&gt;AL$7,$L125&gt;AL$7),0,AND($K125&lt;=AL$7,$L125&lt;=AL$7),1,AND($K125&lt;=AL$7,$L125&gt;AL$7),((AL$7-$K125)/($L125-$K125)))</f>
        <v>0</v>
      </c>
      <c r="AN125" s="201">
        <f t="array" ref="AN125">_xlfn.IFS(AND($K125&gt;AM$7,$L125&gt;AM$7),0,AND($K125&lt;=AM$7,$L125&lt;=AM$7),1,AND($K125&lt;=AM$7,$L125&gt;AM$7),((AM$7-$K125)/($L125-$K125)))</f>
        <v>0</v>
      </c>
      <c r="AO125" s="201">
        <f t="array" ref="AO125">_xlfn.IFS(AND($K125&gt;AN$7,$L125&gt;AN$7),0,AND($K125&lt;=AN$7,$L125&lt;=AN$7),1,AND($K125&lt;=AN$7,$L125&gt;AN$7),((AN$7-$K125)/($L125-$K125)))</f>
        <v>0</v>
      </c>
      <c r="AP125" s="201">
        <f t="array" ref="AP125">_xlfn.IFS(AND($K125&gt;AO$7,$L125&gt;AO$7),0,AND($K125&lt;=AO$7,$L125&lt;=AO$7),1,AND($K125&lt;=AO$7,$L125&gt;AO$7),((AO$7-$K125)/($L125-$K125)))</f>
        <v>0</v>
      </c>
      <c r="AQ125" s="201">
        <f t="array" ref="AQ125">_xlfn.IFS(AND($K125&gt;AP$7,$L125&gt;AP$7),0,AND($K125&lt;=AP$7,$L125&lt;=AP$7),1,AND($K125&lt;=AP$7,$L125&gt;AP$7),((AP$7-$K125)/($L125-$K125)))</f>
        <v>0</v>
      </c>
      <c r="AR125" s="201">
        <f t="array" ref="AR125">_xlfn.IFS(AND($K125&gt;AQ$7,$L125&gt;AQ$7),0,AND($K125&lt;=AQ$7,$L125&lt;=AQ$7),1,AND($K125&lt;=AQ$7,$L125&gt;AQ$7),((AQ$7-$K125)/($L125-$K125)))</f>
        <v>0</v>
      </c>
      <c r="AS125" s="201">
        <f t="array" ref="AS125">_xlfn.IFS(AND($K125&gt;AR$7,$L125&gt;AR$7),0,AND($K125&lt;=AR$7,$L125&lt;=AR$7),1,AND($K125&lt;=AR$7,$L125&gt;AR$7),((AR$7-$K125)/($L125-$K125)))</f>
        <v>0</v>
      </c>
      <c r="AT125" s="201">
        <f t="array" ref="AT125">_xlfn.IFS(AND($K125&gt;AS$7,$L125&gt;AS$7),0,AND($K125&lt;=AS$7,$L125&lt;=AS$7),1,AND($K125&lt;=AS$7,$L125&gt;AS$7),((AS$7-$K125)/($L125-$K125)))</f>
        <v>0</v>
      </c>
      <c r="AU125" s="201">
        <f t="array" ref="AU125">_xlfn.IFS(AND($K125&gt;AT$7,$L125&gt;AT$7),0,AND($K125&lt;=AT$7,$L125&lt;=AT$7),1,AND($K125&lt;=AT$7,$L125&gt;AT$7),((AT$7-$K125)/($L125-$K125)))</f>
        <v>0</v>
      </c>
      <c r="AV125" s="201">
        <f t="array" ref="AV125">_xlfn.IFS(AND($K125&gt;AU$7,$L125&gt;AU$7),0,AND($K125&lt;=AU$7,$L125&lt;=AU$7),1,AND($K125&lt;=AU$7,$L125&gt;AU$7),((AU$7-$K125)/($L125-$K125)))</f>
        <v>0.45454545454545453</v>
      </c>
      <c r="AW125" s="201">
        <f t="array" ref="AW125">_xlfn.IFS(AND($K125&gt;AV$7,$L125&gt;AV$7),0,AND($K125&lt;=AV$7,$L125&lt;=AV$7),1,AND($K125&lt;=AV$7,$L125&gt;AV$7),((AV$7-$K125)/($L125-$K125)))</f>
        <v>1</v>
      </c>
      <c r="AX125" s="201">
        <f t="array" ref="AX125">_xlfn.IFS(AND($K125&gt;AW$7,$L125&gt;AW$7),0,AND($K125&lt;=AW$7,$L125&lt;=AW$7),1,AND($K125&lt;=AW$7,$L125&gt;AW$7),((AW$7-$K125)/($L125-$K125)))</f>
        <v>1</v>
      </c>
      <c r="AY125" s="201">
        <f t="array" ref="AY125">_xlfn.IFS(AND($K125&gt;AX$7,$L125&gt;AX$7),0,AND($K125&lt;=AX$7,$L125&lt;=AX$7),1,AND($K125&lt;=AX$7,$L125&gt;AX$7),((AX$7-$K125)/($L125-$K125)))</f>
        <v>1</v>
      </c>
      <c r="AZ125" s="201">
        <f t="array" ref="AZ125">_xlfn.IFS(AND($K125&gt;AY$7,$L125&gt;AY$7),0,AND($K125&lt;=AY$7,$L125&lt;=AY$7),1,AND($K125&lt;=AY$7,$L125&gt;AY$7),((AY$7-$K125)/($L125-$K125)))</f>
        <v>1</v>
      </c>
      <c r="BA125" s="201">
        <f t="array" ref="BA125">_xlfn.IFS(AND($K125&gt;AZ$7,$L125&gt;AZ$7),0,AND($K125&lt;=AZ$7,$L125&lt;=AZ$7),1,AND($K125&lt;=AZ$7,$L125&gt;AZ$7),((AZ$7-$K125)/($L125-$K125)))</f>
        <v>1</v>
      </c>
      <c r="BB125" s="201">
        <f t="array" ref="BB125">_xlfn.IFS(AND($K125&gt;BA$7,$L125&gt;BA$7),0,AND($K125&lt;=BA$7,$L125&lt;=BA$7),1,AND($K125&lt;=BA$7,$L125&gt;BA$7),((BA$7-$K125)/($L125-$K125)))</f>
        <v>1</v>
      </c>
      <c r="BC125" s="201">
        <f t="array" ref="BC125">_xlfn.IFS(AND($K125&gt;BB$7,$L125&gt;BB$7),0,AND($K125&lt;=BB$7,$L125&lt;=BB$7),1,AND($K125&lt;=BB$7,$L125&gt;BB$7),((BB$7-$K125)/($L125-$K125)))</f>
        <v>1</v>
      </c>
      <c r="BD125" s="201">
        <f t="array" ref="BD125">_xlfn.IFS(AND($K125&gt;BC$7,$L125&gt;BC$7),0,AND($K125&lt;=BC$7,$L125&lt;=BC$7),1,AND($K125&lt;=BC$7,$L125&gt;BC$7),((BC$7-$K125)/($L125-$K125)))</f>
        <v>1</v>
      </c>
      <c r="BE125" s="201">
        <f t="array" ref="BE125">_xlfn.IFS(AND($K125&gt;BD$7,$L125&gt;BD$7),0,AND($K125&lt;=BD$7,$L125&lt;=BD$7),1,AND($K125&lt;=BD$7,$L125&gt;BD$7),((BD$7-$K125)/($L125-$K125)))</f>
        <v>1</v>
      </c>
      <c r="BF125" s="201">
        <f t="array" ref="BF125">_xlfn.IFS(AND($K125&gt;BE$7,$L125&gt;BE$7),0,AND($K125&lt;=BE$7,$L125&lt;=BE$7),1,AND($K125&lt;=BE$7,$L125&gt;BE$7),((BE$7-$K125)/($L125-$K125)))</f>
        <v>1</v>
      </c>
      <c r="BG125" s="201">
        <f t="array" ref="BG125">_xlfn.IFS(AND($K125&gt;BF$7,$L125&gt;BF$7),0,AND($K125&lt;=BF$7,$L125&lt;=BF$7),1,AND($K125&lt;=BF$7,$L125&gt;BF$7),((BF$7-$K125)/($L125-$K125)))</f>
        <v>1</v>
      </c>
      <c r="BH125" s="201">
        <f t="array" ref="BH125">_xlfn.IFS(AND($K125&gt;BG$7,$L125&gt;BG$7),0,AND($K125&lt;=BG$7,$L125&lt;=BG$7),1,AND($K125&lt;=BG$7,$L125&gt;BG$7),((BG$7-$K125)/($L125-$K125)))</f>
        <v>1</v>
      </c>
      <c r="BI125" s="201">
        <f t="array" ref="BI125">_xlfn.IFS(AND($K125&gt;BH$7,$L125&gt;BH$7),0,AND($K125&lt;=BH$7,$L125&lt;=BH$7),1,AND($K125&lt;=BH$7,$L125&gt;BH$7),((BH$7-$K125)/($L125-$K125)))</f>
        <v>1</v>
      </c>
      <c r="BJ125" s="201">
        <f t="array" ref="BJ125">_xlfn.IFS(AND($K125&gt;BI$7,$L125&gt;BI$7),0,AND($K125&lt;=BI$7,$L125&lt;=BI$7),1,AND($K125&lt;=BI$7,$L125&gt;BI$7),((BI$7-$K125)/($L125-$K125)))</f>
        <v>1</v>
      </c>
      <c r="BK125" s="201">
        <f t="array" ref="BK125">_xlfn.IFS(AND($K125&gt;BJ$7,$L125&gt;BJ$7),0,AND($K125&lt;=BJ$7,$L125&lt;=BJ$7),1,AND($K125&lt;=BJ$7,$L125&gt;BJ$7),((BJ$7-$K125)/($L125-$K125)))</f>
        <v>1</v>
      </c>
      <c r="BL125" s="201">
        <f t="array" ref="BL125">_xlfn.IFS(AND($K125&gt;BK$7,$L125&gt;BK$7),0,AND($K125&lt;=BK$7,$L125&lt;=BK$7),1,AND($K125&lt;=BK$7,$L125&gt;BK$7),((BK$7-$K125)/($L125-$K125)))</f>
        <v>1</v>
      </c>
      <c r="BM125" s="201">
        <f t="array" ref="BM125">_xlfn.IFS(AND($K125&gt;BL$7,$L125&gt;BL$7),0,AND($K125&lt;=BL$7,$L125&lt;=BL$7),1,AND($K125&lt;=BL$7,$L125&gt;BL$7),((BL$7-$K125)/($L125-$K125)))</f>
        <v>1</v>
      </c>
      <c r="BN125" s="201">
        <f t="array" ref="BN125">_xlfn.IFS(AND($K125&gt;BM$7,$L125&gt;BM$7),0,AND($K125&lt;=BM$7,$L125&lt;=BM$7),1,AND($K125&lt;=BM$7,$L125&gt;BM$7),((BM$7-$K125)/($L125-$K125)))</f>
        <v>1</v>
      </c>
    </row>
    <row r="126" spans="2:66" s="163" customFormat="1" ht="27.6" customHeight="1" x14ac:dyDescent="0.3">
      <c r="B126" s="166" t="s">
        <v>161</v>
      </c>
      <c r="C126" s="166" t="s">
        <v>298</v>
      </c>
      <c r="D126" s="177"/>
      <c r="E126" s="170" t="str">
        <f t="shared" si="49"/>
        <v>Desenvolvimento da Transformação dos Processos</v>
      </c>
      <c r="F126" s="174" t="str">
        <f t="shared" si="46"/>
        <v>Transformação do Processo</v>
      </c>
      <c r="G126" s="166" t="str">
        <f t="shared" si="50"/>
        <v>Transformação do Processo</v>
      </c>
      <c r="H126" s="197" t="s">
        <v>299</v>
      </c>
      <c r="I126" s="166">
        <v>45887</v>
      </c>
      <c r="J126" s="166">
        <v>45898</v>
      </c>
      <c r="K126" s="166">
        <v>45887</v>
      </c>
      <c r="L126" s="166">
        <v>45898</v>
      </c>
      <c r="M126" s="167"/>
      <c r="N126" s="167" t="str">
        <f t="array" ref="N126">_xlfn.IFS(L126&lt;$M$3,"Concluído",AND(K126&gt;=$M$3,I126&lt;$M$3,L126&gt;$M$3),"Em andamento",AND(L126&gt;=$M$3,J126&lt;$M$3),"Atrasado",AND(L126&gt;=$M$3,J126&gt;=$M$3,I126&gt;$M$3,K126&lt;=$M$3),"Em andamento",AND(L126&gt;=$M$3,J126&gt;=$M$3,I126&lt;=$M$3,K126&lt;=$M$3),"Em andamento",AND(K126&gt;$M$3,I126&gt;$M$3),"Não iniciado",AND(L126&gt;=$M$3,J126&gt;=$M$3,K126&gt;=$M$3,I126&lt;$M$3),"Atrasado",AND(L126&gt;=$M$3,J126&gt;=$M$3,K126&gt;=$M$3,I126&gt;$M$3),"Não iniciado",AND($I126&lt;=$M$3,$K126&gt;$M$3),"Atrasado")</f>
        <v>Não iniciado</v>
      </c>
      <c r="O126" s="167">
        <f t="array" ref="O126">_xlfn.IFS(N126="Não iniciado",0,N126="Em andamento",1,N126="Concluído",2,N126="Atrasado",3)</f>
        <v>0</v>
      </c>
      <c r="P126" s="169"/>
      <c r="Q126" s="152">
        <f t="array" ref="Q126">_xlfn.IFS(AND($I126&lt;$M$3,$J126&lt;$M$3),1,AND($I126&lt;$M$3,$J126&gt;=$M$3),0.5,AND($I126&gt;=$M$3,$J126&gt;=$M$3),0)</f>
        <v>0</v>
      </c>
      <c r="R126" s="152">
        <f t="array" ref="R126">_xlfn.IFS(AND($K126&lt;$M$3,$L126&lt;$M$3),1,AND($K126&lt;=$M$3,$L126&gt;=$M$3),0.5,AND($K126&gt;=$M$3,$L126&gt;=$M$3),0)</f>
        <v>0</v>
      </c>
      <c r="S126" s="201">
        <f t="array" ref="S126">_xlfn.IFS(AND($K126&gt;R$7,$L126&gt;R$7),0,AND($K126&lt;=R$7,$L126&lt;=R$7),1,AND($K126&lt;=R$7,$L126&gt;R$7),((R$7-$K126)/($L126-$K126)))</f>
        <v>0</v>
      </c>
      <c r="T126" s="201">
        <f t="array" ref="T126">_xlfn.IFS(AND($K126&gt;S$7,$L126&gt;S$7),0,AND($K126&lt;=S$7,$L126&lt;=S$7),1,AND($K126&lt;=S$7,$L126&gt;S$7),((S$7-$K126)/($L126-$K126)))</f>
        <v>0</v>
      </c>
      <c r="U126" s="201">
        <f t="array" ref="U126">_xlfn.IFS(AND($K126&gt;T$7,$L126&gt;T$7),0,AND($K126&lt;=T$7,$L126&lt;=T$7),1,AND($K126&lt;=T$7,$L126&gt;T$7),((T$7-$K126)/($L126-$K126)))</f>
        <v>0</v>
      </c>
      <c r="V126" s="201">
        <f t="array" ref="V126">_xlfn.IFS(AND($K126&gt;U$7,$L126&gt;U$7),0,AND($K126&lt;=U$7,$L126&lt;=U$7),1,AND($K126&lt;=U$7,$L126&gt;U$7),((U$7-$K126)/($L126-$K126)))</f>
        <v>0</v>
      </c>
      <c r="W126" s="201">
        <f t="array" ref="W126">_xlfn.IFS(AND($K126&gt;V$7,$L126&gt;V$7),0,AND($K126&lt;=V$7,$L126&lt;=V$7),1,AND($K126&lt;=V$7,$L126&gt;V$7),((V$7-$K126)/($L126-$K126)))</f>
        <v>0</v>
      </c>
      <c r="X126" s="201">
        <f t="array" ref="X126">_xlfn.IFS(AND($K126&gt;W$7,$L126&gt;W$7),0,AND($K126&lt;=W$7,$L126&lt;=W$7),1,AND($K126&lt;=W$7,$L126&gt;W$7),((W$7-$K126)/($L126-$K126)))</f>
        <v>0</v>
      </c>
      <c r="Y126" s="201">
        <f t="array" ref="Y126">_xlfn.IFS(AND($K126&gt;X$7,$L126&gt;X$7),0,AND($K126&lt;=X$7,$L126&lt;=X$7),1,AND($K126&lt;=X$7,$L126&gt;X$7),((X$7-$K126)/($L126-$K126)))</f>
        <v>0</v>
      </c>
      <c r="Z126" s="201">
        <f t="array" ref="Z126">_xlfn.IFS(AND($K126&gt;Y$7,$L126&gt;Y$7),0,AND($K126&lt;=Y$7,$L126&lt;=Y$7),1,AND($K126&lt;=Y$7,$L126&gt;Y$7),((Y$7-$K126)/($L126-$K126)))</f>
        <v>0</v>
      </c>
      <c r="AA126" s="201">
        <f t="array" ref="AA126">_xlfn.IFS(AND($K126&gt;Z$7,$L126&gt;Z$7),0,AND($K126&lt;=Z$7,$L126&lt;=Z$7),1,AND($K126&lt;=Z$7,$L126&gt;Z$7),((Z$7-$K126)/($L126-$K126)))</f>
        <v>0</v>
      </c>
      <c r="AB126" s="201">
        <f t="array" ref="AB126">_xlfn.IFS(AND($K126&gt;AA$7,$L126&gt;AA$7),0,AND($K126&lt;=AA$7,$L126&lt;=AA$7),1,AND($K126&lt;=AA$7,$L126&gt;AA$7),((AA$7-$K126)/($L126-$K126)))</f>
        <v>0</v>
      </c>
      <c r="AC126" s="201">
        <f t="array" ref="AC126">_xlfn.IFS(AND($K126&gt;AB$7,$L126&gt;AB$7),0,AND($K126&lt;=AB$7,$L126&lt;=AB$7),1,AND($K126&lt;=AB$7,$L126&gt;AB$7),((AB$7-$K126)/($L126-$K126)))</f>
        <v>0</v>
      </c>
      <c r="AD126" s="201">
        <f t="array" ref="AD126">_xlfn.IFS(AND($K126&gt;AC$7,$L126&gt;AC$7),0,AND($K126&lt;=AC$7,$L126&lt;=AC$7),1,AND($K126&lt;=AC$7,$L126&gt;AC$7),((AC$7-$K126)/($L126-$K126)))</f>
        <v>0</v>
      </c>
      <c r="AE126" s="201">
        <f t="array" ref="AE126">_xlfn.IFS(AND($K126&gt;AD$7,$L126&gt;AD$7),0,AND($K126&lt;=AD$7,$L126&lt;=AD$7),1,AND($K126&lt;=AD$7,$L126&gt;AD$7),((AD$7-$K126)/($L126-$K126)))</f>
        <v>0</v>
      </c>
      <c r="AF126" s="201">
        <f t="array" ref="AF126">_xlfn.IFS(AND($K126&gt;AE$7,$L126&gt;AE$7),0,AND($K126&lt;=AE$7,$L126&lt;=AE$7),1,AND($K126&lt;=AE$7,$L126&gt;AE$7),((AE$7-$K126)/($L126-$K126)))</f>
        <v>0</v>
      </c>
      <c r="AG126" s="201">
        <f t="array" ref="AG126">_xlfn.IFS(AND($K126&gt;AF$7,$L126&gt;AF$7),0,AND($K126&lt;=AF$7,$L126&lt;=AF$7),1,AND($K126&lt;=AF$7,$L126&gt;AF$7),((AF$7-$K126)/($L126-$K126)))</f>
        <v>0</v>
      </c>
      <c r="AH126" s="201">
        <f t="array" ref="AH126">_xlfn.IFS(AND($K126&gt;AG$7,$L126&gt;AG$7),0,AND($K126&lt;=AG$7,$L126&lt;=AG$7),1,AND($K126&lt;=AG$7,$L126&gt;AG$7),((AG$7-$K126)/($L126-$K126)))</f>
        <v>0</v>
      </c>
      <c r="AI126" s="201">
        <f t="array" ref="AI126">_xlfn.IFS(AND($K126&gt;AH$7,$L126&gt;AH$7),0,AND($K126&lt;=AH$7,$L126&lt;=AH$7),1,AND($K126&lt;=AH$7,$L126&gt;AH$7),((AH$7-$K126)/($L126-$K126)))</f>
        <v>0</v>
      </c>
      <c r="AJ126" s="201">
        <f t="array" ref="AJ126">_xlfn.IFS(AND($K126&gt;AI$7,$L126&gt;AI$7),0,AND($K126&lt;=AI$7,$L126&lt;=AI$7),1,AND($K126&lt;=AI$7,$L126&gt;AI$7),((AI$7-$K126)/($L126-$K126)))</f>
        <v>0</v>
      </c>
      <c r="AK126" s="201">
        <f t="array" ref="AK126">_xlfn.IFS(AND($K126&gt;AJ$7,$L126&gt;AJ$7),0,AND($K126&lt;=AJ$7,$L126&lt;=AJ$7),1,AND($K126&lt;=AJ$7,$L126&gt;AJ$7),((AJ$7-$K126)/($L126-$K126)))</f>
        <v>0</v>
      </c>
      <c r="AL126" s="201">
        <f t="array" ref="AL126">_xlfn.IFS(AND($K126&gt;AK$7,$L126&gt;AK$7),0,AND($K126&lt;=AK$7,$L126&lt;=AK$7),1,AND($K126&lt;=AK$7,$L126&gt;AK$7),((AK$7-$K126)/($L126-$K126)))</f>
        <v>0</v>
      </c>
      <c r="AM126" s="201">
        <f t="array" ref="AM126">_xlfn.IFS(AND($K126&gt;AL$7,$L126&gt;AL$7),0,AND($K126&lt;=AL$7,$L126&lt;=AL$7),1,AND($K126&lt;=AL$7,$L126&gt;AL$7),((AL$7-$K126)/($L126-$K126)))</f>
        <v>0</v>
      </c>
      <c r="AN126" s="201">
        <f t="array" ref="AN126">_xlfn.IFS(AND($K126&gt;AM$7,$L126&gt;AM$7),0,AND($K126&lt;=AM$7,$L126&lt;=AM$7),1,AND($K126&lt;=AM$7,$L126&gt;AM$7),((AM$7-$K126)/($L126-$K126)))</f>
        <v>0</v>
      </c>
      <c r="AO126" s="201">
        <f t="array" ref="AO126">_xlfn.IFS(AND($K126&gt;AN$7,$L126&gt;AN$7),0,AND($K126&lt;=AN$7,$L126&lt;=AN$7),1,AND($K126&lt;=AN$7,$L126&gt;AN$7),((AN$7-$K126)/($L126-$K126)))</f>
        <v>0</v>
      </c>
      <c r="AP126" s="201">
        <f t="array" ref="AP126">_xlfn.IFS(AND($K126&gt;AO$7,$L126&gt;AO$7),0,AND($K126&lt;=AO$7,$L126&lt;=AO$7),1,AND($K126&lt;=AO$7,$L126&gt;AO$7),((AO$7-$K126)/($L126-$K126)))</f>
        <v>0</v>
      </c>
      <c r="AQ126" s="201">
        <f t="array" ref="AQ126">_xlfn.IFS(AND($K126&gt;AP$7,$L126&gt;AP$7),0,AND($K126&lt;=AP$7,$L126&lt;=AP$7),1,AND($K126&lt;=AP$7,$L126&gt;AP$7),((AP$7-$K126)/($L126-$K126)))</f>
        <v>0</v>
      </c>
      <c r="AR126" s="201">
        <f t="array" ref="AR126">_xlfn.IFS(AND($K126&gt;AQ$7,$L126&gt;AQ$7),0,AND($K126&lt;=AQ$7,$L126&lt;=AQ$7),1,AND($K126&lt;=AQ$7,$L126&gt;AQ$7),((AQ$7-$K126)/($L126-$K126)))</f>
        <v>0</v>
      </c>
      <c r="AS126" s="201">
        <f t="array" ref="AS126">_xlfn.IFS(AND($K126&gt;AR$7,$L126&gt;AR$7),0,AND($K126&lt;=AR$7,$L126&lt;=AR$7),1,AND($K126&lt;=AR$7,$L126&gt;AR$7),((AR$7-$K126)/($L126-$K126)))</f>
        <v>0</v>
      </c>
      <c r="AT126" s="201">
        <f t="array" ref="AT126">_xlfn.IFS(AND($K126&gt;AS$7,$L126&gt;AS$7),0,AND($K126&lt;=AS$7,$L126&lt;=AS$7),1,AND($K126&lt;=AS$7,$L126&gt;AS$7),((AS$7-$K126)/($L126-$K126)))</f>
        <v>0</v>
      </c>
      <c r="AU126" s="201">
        <f t="array" ref="AU126">_xlfn.IFS(AND($K126&gt;AT$7,$L126&gt;AT$7),0,AND($K126&lt;=AT$7,$L126&lt;=AT$7),1,AND($K126&lt;=AT$7,$L126&gt;AT$7),((AT$7-$K126)/($L126-$K126)))</f>
        <v>0</v>
      </c>
      <c r="AV126" s="201">
        <f t="array" ref="AV126">_xlfn.IFS(AND($K126&gt;AU$7,$L126&gt;AU$7),0,AND($K126&lt;=AU$7,$L126&lt;=AU$7),1,AND($K126&lt;=AU$7,$L126&gt;AU$7),((AU$7-$K126)/($L126-$K126)))</f>
        <v>0.45454545454545453</v>
      </c>
      <c r="AW126" s="201">
        <f t="array" ref="AW126">_xlfn.IFS(AND($K126&gt;AV$7,$L126&gt;AV$7),0,AND($K126&lt;=AV$7,$L126&lt;=AV$7),1,AND($K126&lt;=AV$7,$L126&gt;AV$7),((AV$7-$K126)/($L126-$K126)))</f>
        <v>1</v>
      </c>
      <c r="AX126" s="201">
        <f t="array" ref="AX126">_xlfn.IFS(AND($K126&gt;AW$7,$L126&gt;AW$7),0,AND($K126&lt;=AW$7,$L126&lt;=AW$7),1,AND($K126&lt;=AW$7,$L126&gt;AW$7),((AW$7-$K126)/($L126-$K126)))</f>
        <v>1</v>
      </c>
      <c r="AY126" s="201">
        <f t="array" ref="AY126">_xlfn.IFS(AND($K126&gt;AX$7,$L126&gt;AX$7),0,AND($K126&lt;=AX$7,$L126&lt;=AX$7),1,AND($K126&lt;=AX$7,$L126&gt;AX$7),((AX$7-$K126)/($L126-$K126)))</f>
        <v>1</v>
      </c>
      <c r="AZ126" s="201">
        <f t="array" ref="AZ126">_xlfn.IFS(AND($K126&gt;AY$7,$L126&gt;AY$7),0,AND($K126&lt;=AY$7,$L126&lt;=AY$7),1,AND($K126&lt;=AY$7,$L126&gt;AY$7),((AY$7-$K126)/($L126-$K126)))</f>
        <v>1</v>
      </c>
      <c r="BA126" s="201">
        <f t="array" ref="BA126">_xlfn.IFS(AND($K126&gt;AZ$7,$L126&gt;AZ$7),0,AND($K126&lt;=AZ$7,$L126&lt;=AZ$7),1,AND($K126&lt;=AZ$7,$L126&gt;AZ$7),((AZ$7-$K126)/($L126-$K126)))</f>
        <v>1</v>
      </c>
      <c r="BB126" s="201">
        <f t="array" ref="BB126">_xlfn.IFS(AND($K126&gt;BA$7,$L126&gt;BA$7),0,AND($K126&lt;=BA$7,$L126&lt;=BA$7),1,AND($K126&lt;=BA$7,$L126&gt;BA$7),((BA$7-$K126)/($L126-$K126)))</f>
        <v>1</v>
      </c>
      <c r="BC126" s="201">
        <f t="array" ref="BC126">_xlfn.IFS(AND($K126&gt;BB$7,$L126&gt;BB$7),0,AND($K126&lt;=BB$7,$L126&lt;=BB$7),1,AND($K126&lt;=BB$7,$L126&gt;BB$7),((BB$7-$K126)/($L126-$K126)))</f>
        <v>1</v>
      </c>
      <c r="BD126" s="201">
        <f t="array" ref="BD126">_xlfn.IFS(AND($K126&gt;BC$7,$L126&gt;BC$7),0,AND($K126&lt;=BC$7,$L126&lt;=BC$7),1,AND($K126&lt;=BC$7,$L126&gt;BC$7),((BC$7-$K126)/($L126-$K126)))</f>
        <v>1</v>
      </c>
      <c r="BE126" s="201">
        <f t="array" ref="BE126">_xlfn.IFS(AND($K126&gt;BD$7,$L126&gt;BD$7),0,AND($K126&lt;=BD$7,$L126&lt;=BD$7),1,AND($K126&lt;=BD$7,$L126&gt;BD$7),((BD$7-$K126)/($L126-$K126)))</f>
        <v>1</v>
      </c>
      <c r="BF126" s="201">
        <f t="array" ref="BF126">_xlfn.IFS(AND($K126&gt;BE$7,$L126&gt;BE$7),0,AND($K126&lt;=BE$7,$L126&lt;=BE$7),1,AND($K126&lt;=BE$7,$L126&gt;BE$7),((BE$7-$K126)/($L126-$K126)))</f>
        <v>1</v>
      </c>
      <c r="BG126" s="201">
        <f t="array" ref="BG126">_xlfn.IFS(AND($K126&gt;BF$7,$L126&gt;BF$7),0,AND($K126&lt;=BF$7,$L126&lt;=BF$7),1,AND($K126&lt;=BF$7,$L126&gt;BF$7),((BF$7-$K126)/($L126-$K126)))</f>
        <v>1</v>
      </c>
      <c r="BH126" s="201">
        <f t="array" ref="BH126">_xlfn.IFS(AND($K126&gt;BG$7,$L126&gt;BG$7),0,AND($K126&lt;=BG$7,$L126&lt;=BG$7),1,AND($K126&lt;=BG$7,$L126&gt;BG$7),((BG$7-$K126)/($L126-$K126)))</f>
        <v>1</v>
      </c>
      <c r="BI126" s="201">
        <f t="array" ref="BI126">_xlfn.IFS(AND($K126&gt;BH$7,$L126&gt;BH$7),0,AND($K126&lt;=BH$7,$L126&lt;=BH$7),1,AND($K126&lt;=BH$7,$L126&gt;BH$7),((BH$7-$K126)/($L126-$K126)))</f>
        <v>1</v>
      </c>
      <c r="BJ126" s="201">
        <f t="array" ref="BJ126">_xlfn.IFS(AND($K126&gt;BI$7,$L126&gt;BI$7),0,AND($K126&lt;=BI$7,$L126&lt;=BI$7),1,AND($K126&lt;=BI$7,$L126&gt;BI$7),((BI$7-$K126)/($L126-$K126)))</f>
        <v>1</v>
      </c>
      <c r="BK126" s="201">
        <f t="array" ref="BK126">_xlfn.IFS(AND($K126&gt;BJ$7,$L126&gt;BJ$7),0,AND($K126&lt;=BJ$7,$L126&lt;=BJ$7),1,AND($K126&lt;=BJ$7,$L126&gt;BJ$7),((BJ$7-$K126)/($L126-$K126)))</f>
        <v>1</v>
      </c>
      <c r="BL126" s="201">
        <f t="array" ref="BL126">_xlfn.IFS(AND($K126&gt;BK$7,$L126&gt;BK$7),0,AND($K126&lt;=BK$7,$L126&lt;=BK$7),1,AND($K126&lt;=BK$7,$L126&gt;BK$7),((BK$7-$K126)/($L126-$K126)))</f>
        <v>1</v>
      </c>
      <c r="BM126" s="201">
        <f t="array" ref="BM126">_xlfn.IFS(AND($K126&gt;BL$7,$L126&gt;BL$7),0,AND($K126&lt;=BL$7,$L126&lt;=BL$7),1,AND($K126&lt;=BL$7,$L126&gt;BL$7),((BL$7-$K126)/($L126-$K126)))</f>
        <v>1</v>
      </c>
      <c r="BN126" s="201">
        <f t="array" ref="BN126">_xlfn.IFS(AND($K126&gt;BM$7,$L126&gt;BM$7),0,AND($K126&lt;=BM$7,$L126&lt;=BM$7),1,AND($K126&lt;=BM$7,$L126&gt;BM$7),((BM$7-$K126)/($L126-$K126)))</f>
        <v>1</v>
      </c>
    </row>
    <row r="127" spans="2:66" s="163" customFormat="1" x14ac:dyDescent="0.3">
      <c r="B127" s="166" t="s">
        <v>161</v>
      </c>
      <c r="C127" s="166" t="s">
        <v>300</v>
      </c>
      <c r="D127" s="177"/>
      <c r="E127" s="170" t="str">
        <f t="shared" si="49"/>
        <v>Desenvolvimento da Transformação dos Processos</v>
      </c>
      <c r="F127" s="174" t="str">
        <f t="shared" si="46"/>
        <v>Transformação do Processo</v>
      </c>
      <c r="G127" s="166" t="str">
        <f t="shared" si="50"/>
        <v>Transformação do Processo</v>
      </c>
      <c r="H127" s="197" t="s">
        <v>301</v>
      </c>
      <c r="I127" s="166">
        <v>45887</v>
      </c>
      <c r="J127" s="166">
        <v>45898</v>
      </c>
      <c r="K127" s="166">
        <v>45887</v>
      </c>
      <c r="L127" s="166">
        <v>45898</v>
      </c>
      <c r="M127" s="167"/>
      <c r="N127" s="167" t="str">
        <f t="array" ref="N127">_xlfn.IFS(L127&lt;$M$3,"Concluído",AND(K127&gt;=$M$3,I127&lt;$M$3,L127&gt;$M$3),"Em andamento",AND(L127&gt;=$M$3,J127&lt;$M$3),"Atrasado",AND(L127&gt;=$M$3,J127&gt;=$M$3,I127&gt;$M$3,K127&lt;=$M$3),"Em andamento",AND(L127&gt;=$M$3,J127&gt;=$M$3,I127&lt;=$M$3,K127&lt;=$M$3),"Em andamento",AND(K127&gt;$M$3,I127&gt;$M$3),"Não iniciado",AND(L127&gt;=$M$3,J127&gt;=$M$3,K127&gt;=$M$3,I127&lt;$M$3),"Atrasado",AND(L127&gt;=$M$3,J127&gt;=$M$3,K127&gt;=$M$3,I127&gt;$M$3),"Não iniciado",AND($I127&lt;=$M$3,$K127&gt;$M$3),"Atrasado")</f>
        <v>Não iniciado</v>
      </c>
      <c r="O127" s="167">
        <f t="array" ref="O127">_xlfn.IFS(N127="Não iniciado",0,N127="Em andamento",1,N127="Concluído",2,N127="Atrasado",3)</f>
        <v>0</v>
      </c>
      <c r="P127" s="169"/>
      <c r="Q127" s="152">
        <f t="array" ref="Q127">_xlfn.IFS(AND($I127&lt;$M$3,$J127&lt;$M$3),1,AND($I127&lt;$M$3,$J127&gt;=$M$3),0.5,AND($I127&gt;=$M$3,$J127&gt;=$M$3),0)</f>
        <v>0</v>
      </c>
      <c r="R127" s="152">
        <f t="array" ref="R127">_xlfn.IFS(AND($K127&lt;$M$3,$L127&lt;$M$3),1,AND($K127&lt;=$M$3,$L127&gt;=$M$3),0.5,AND($K127&gt;=$M$3,$L127&gt;=$M$3),0)</f>
        <v>0</v>
      </c>
      <c r="S127" s="201">
        <f t="array" ref="S127">_xlfn.IFS(AND($K127&gt;R$7,$L127&gt;R$7),0,AND($K127&lt;=R$7,$L127&lt;=R$7),1,AND($K127&lt;=R$7,$L127&gt;R$7),((R$7-$K127)/($L127-$K127)))</f>
        <v>0</v>
      </c>
      <c r="T127" s="201">
        <f t="array" ref="T127">_xlfn.IFS(AND($K127&gt;S$7,$L127&gt;S$7),0,AND($K127&lt;=S$7,$L127&lt;=S$7),1,AND($K127&lt;=S$7,$L127&gt;S$7),((S$7-$K127)/($L127-$K127)))</f>
        <v>0</v>
      </c>
      <c r="U127" s="201">
        <f t="array" ref="U127">_xlfn.IFS(AND($K127&gt;T$7,$L127&gt;T$7),0,AND($K127&lt;=T$7,$L127&lt;=T$7),1,AND($K127&lt;=T$7,$L127&gt;T$7),((T$7-$K127)/($L127-$K127)))</f>
        <v>0</v>
      </c>
      <c r="V127" s="201">
        <f t="array" ref="V127">_xlfn.IFS(AND($K127&gt;U$7,$L127&gt;U$7),0,AND($K127&lt;=U$7,$L127&lt;=U$7),1,AND($K127&lt;=U$7,$L127&gt;U$7),((U$7-$K127)/($L127-$K127)))</f>
        <v>0</v>
      </c>
      <c r="W127" s="201">
        <f t="array" ref="W127">_xlfn.IFS(AND($K127&gt;V$7,$L127&gt;V$7),0,AND($K127&lt;=V$7,$L127&lt;=V$7),1,AND($K127&lt;=V$7,$L127&gt;V$7),((V$7-$K127)/($L127-$K127)))</f>
        <v>0</v>
      </c>
      <c r="X127" s="201">
        <f t="array" ref="X127">_xlfn.IFS(AND($K127&gt;W$7,$L127&gt;W$7),0,AND($K127&lt;=W$7,$L127&lt;=W$7),1,AND($K127&lt;=W$7,$L127&gt;W$7),((W$7-$K127)/($L127-$K127)))</f>
        <v>0</v>
      </c>
      <c r="Y127" s="201">
        <f t="array" ref="Y127">_xlfn.IFS(AND($K127&gt;X$7,$L127&gt;X$7),0,AND($K127&lt;=X$7,$L127&lt;=X$7),1,AND($K127&lt;=X$7,$L127&gt;X$7),((X$7-$K127)/($L127-$K127)))</f>
        <v>0</v>
      </c>
      <c r="Z127" s="201">
        <f t="array" ref="Z127">_xlfn.IFS(AND($K127&gt;Y$7,$L127&gt;Y$7),0,AND($K127&lt;=Y$7,$L127&lt;=Y$7),1,AND($K127&lt;=Y$7,$L127&gt;Y$7),((Y$7-$K127)/($L127-$K127)))</f>
        <v>0</v>
      </c>
      <c r="AA127" s="201">
        <f t="array" ref="AA127">_xlfn.IFS(AND($K127&gt;Z$7,$L127&gt;Z$7),0,AND($K127&lt;=Z$7,$L127&lt;=Z$7),1,AND($K127&lt;=Z$7,$L127&gt;Z$7),((Z$7-$K127)/($L127-$K127)))</f>
        <v>0</v>
      </c>
      <c r="AB127" s="201">
        <f t="array" ref="AB127">_xlfn.IFS(AND($K127&gt;AA$7,$L127&gt;AA$7),0,AND($K127&lt;=AA$7,$L127&lt;=AA$7),1,AND($K127&lt;=AA$7,$L127&gt;AA$7),((AA$7-$K127)/($L127-$K127)))</f>
        <v>0</v>
      </c>
      <c r="AC127" s="201">
        <f t="array" ref="AC127">_xlfn.IFS(AND($K127&gt;AB$7,$L127&gt;AB$7),0,AND($K127&lt;=AB$7,$L127&lt;=AB$7),1,AND($K127&lt;=AB$7,$L127&gt;AB$7),((AB$7-$K127)/($L127-$K127)))</f>
        <v>0</v>
      </c>
      <c r="AD127" s="201">
        <f t="array" ref="AD127">_xlfn.IFS(AND($K127&gt;AC$7,$L127&gt;AC$7),0,AND($K127&lt;=AC$7,$L127&lt;=AC$7),1,AND($K127&lt;=AC$7,$L127&gt;AC$7),((AC$7-$K127)/($L127-$K127)))</f>
        <v>0</v>
      </c>
      <c r="AE127" s="201">
        <f t="array" ref="AE127">_xlfn.IFS(AND($K127&gt;AD$7,$L127&gt;AD$7),0,AND($K127&lt;=AD$7,$L127&lt;=AD$7),1,AND($K127&lt;=AD$7,$L127&gt;AD$7),((AD$7-$K127)/($L127-$K127)))</f>
        <v>0</v>
      </c>
      <c r="AF127" s="201">
        <f t="array" ref="AF127">_xlfn.IFS(AND($K127&gt;AE$7,$L127&gt;AE$7),0,AND($K127&lt;=AE$7,$L127&lt;=AE$7),1,AND($K127&lt;=AE$7,$L127&gt;AE$7),((AE$7-$K127)/($L127-$K127)))</f>
        <v>0</v>
      </c>
      <c r="AG127" s="201">
        <f t="array" ref="AG127">_xlfn.IFS(AND($K127&gt;AF$7,$L127&gt;AF$7),0,AND($K127&lt;=AF$7,$L127&lt;=AF$7),1,AND($K127&lt;=AF$7,$L127&gt;AF$7),((AF$7-$K127)/($L127-$K127)))</f>
        <v>0</v>
      </c>
      <c r="AH127" s="201">
        <f t="array" ref="AH127">_xlfn.IFS(AND($K127&gt;AG$7,$L127&gt;AG$7),0,AND($K127&lt;=AG$7,$L127&lt;=AG$7),1,AND($K127&lt;=AG$7,$L127&gt;AG$7),((AG$7-$K127)/($L127-$K127)))</f>
        <v>0</v>
      </c>
      <c r="AI127" s="201">
        <f t="array" ref="AI127">_xlfn.IFS(AND($K127&gt;AH$7,$L127&gt;AH$7),0,AND($K127&lt;=AH$7,$L127&lt;=AH$7),1,AND($K127&lt;=AH$7,$L127&gt;AH$7),((AH$7-$K127)/($L127-$K127)))</f>
        <v>0</v>
      </c>
      <c r="AJ127" s="201">
        <f t="array" ref="AJ127">_xlfn.IFS(AND($K127&gt;AI$7,$L127&gt;AI$7),0,AND($K127&lt;=AI$7,$L127&lt;=AI$7),1,AND($K127&lt;=AI$7,$L127&gt;AI$7),((AI$7-$K127)/($L127-$K127)))</f>
        <v>0</v>
      </c>
      <c r="AK127" s="201">
        <f t="array" ref="AK127">_xlfn.IFS(AND($K127&gt;AJ$7,$L127&gt;AJ$7),0,AND($K127&lt;=AJ$7,$L127&lt;=AJ$7),1,AND($K127&lt;=AJ$7,$L127&gt;AJ$7),((AJ$7-$K127)/($L127-$K127)))</f>
        <v>0</v>
      </c>
      <c r="AL127" s="201">
        <f t="array" ref="AL127">_xlfn.IFS(AND($K127&gt;AK$7,$L127&gt;AK$7),0,AND($K127&lt;=AK$7,$L127&lt;=AK$7),1,AND($K127&lt;=AK$7,$L127&gt;AK$7),((AK$7-$K127)/($L127-$K127)))</f>
        <v>0</v>
      </c>
      <c r="AM127" s="201">
        <f t="array" ref="AM127">_xlfn.IFS(AND($K127&gt;AL$7,$L127&gt;AL$7),0,AND($K127&lt;=AL$7,$L127&lt;=AL$7),1,AND($K127&lt;=AL$7,$L127&gt;AL$7),((AL$7-$K127)/($L127-$K127)))</f>
        <v>0</v>
      </c>
      <c r="AN127" s="201">
        <f t="array" ref="AN127">_xlfn.IFS(AND($K127&gt;AM$7,$L127&gt;AM$7),0,AND($K127&lt;=AM$7,$L127&lt;=AM$7),1,AND($K127&lt;=AM$7,$L127&gt;AM$7),((AM$7-$K127)/($L127-$K127)))</f>
        <v>0</v>
      </c>
      <c r="AO127" s="201">
        <f t="array" ref="AO127">_xlfn.IFS(AND($K127&gt;AN$7,$L127&gt;AN$7),0,AND($K127&lt;=AN$7,$L127&lt;=AN$7),1,AND($K127&lt;=AN$7,$L127&gt;AN$7),((AN$7-$K127)/($L127-$K127)))</f>
        <v>0</v>
      </c>
      <c r="AP127" s="201">
        <f t="array" ref="AP127">_xlfn.IFS(AND($K127&gt;AO$7,$L127&gt;AO$7),0,AND($K127&lt;=AO$7,$L127&lt;=AO$7),1,AND($K127&lt;=AO$7,$L127&gt;AO$7),((AO$7-$K127)/($L127-$K127)))</f>
        <v>0</v>
      </c>
      <c r="AQ127" s="201">
        <f t="array" ref="AQ127">_xlfn.IFS(AND($K127&gt;AP$7,$L127&gt;AP$7),0,AND($K127&lt;=AP$7,$L127&lt;=AP$7),1,AND($K127&lt;=AP$7,$L127&gt;AP$7),((AP$7-$K127)/($L127-$K127)))</f>
        <v>0</v>
      </c>
      <c r="AR127" s="201">
        <f t="array" ref="AR127">_xlfn.IFS(AND($K127&gt;AQ$7,$L127&gt;AQ$7),0,AND($K127&lt;=AQ$7,$L127&lt;=AQ$7),1,AND($K127&lt;=AQ$7,$L127&gt;AQ$7),((AQ$7-$K127)/($L127-$K127)))</f>
        <v>0</v>
      </c>
      <c r="AS127" s="201">
        <f t="array" ref="AS127">_xlfn.IFS(AND($K127&gt;AR$7,$L127&gt;AR$7),0,AND($K127&lt;=AR$7,$L127&lt;=AR$7),1,AND($K127&lt;=AR$7,$L127&gt;AR$7),((AR$7-$K127)/($L127-$K127)))</f>
        <v>0</v>
      </c>
      <c r="AT127" s="201">
        <f t="array" ref="AT127">_xlfn.IFS(AND($K127&gt;AS$7,$L127&gt;AS$7),0,AND($K127&lt;=AS$7,$L127&lt;=AS$7),1,AND($K127&lt;=AS$7,$L127&gt;AS$7),((AS$7-$K127)/($L127-$K127)))</f>
        <v>0</v>
      </c>
      <c r="AU127" s="201">
        <f t="array" ref="AU127">_xlfn.IFS(AND($K127&gt;AT$7,$L127&gt;AT$7),0,AND($K127&lt;=AT$7,$L127&lt;=AT$7),1,AND($K127&lt;=AT$7,$L127&gt;AT$7),((AT$7-$K127)/($L127-$K127)))</f>
        <v>0</v>
      </c>
      <c r="AV127" s="201">
        <f t="array" ref="AV127">_xlfn.IFS(AND($K127&gt;AU$7,$L127&gt;AU$7),0,AND($K127&lt;=AU$7,$L127&lt;=AU$7),1,AND($K127&lt;=AU$7,$L127&gt;AU$7),((AU$7-$K127)/($L127-$K127)))</f>
        <v>0.45454545454545453</v>
      </c>
      <c r="AW127" s="201">
        <f t="array" ref="AW127">_xlfn.IFS(AND($K127&gt;AV$7,$L127&gt;AV$7),0,AND($K127&lt;=AV$7,$L127&lt;=AV$7),1,AND($K127&lt;=AV$7,$L127&gt;AV$7),((AV$7-$K127)/($L127-$K127)))</f>
        <v>1</v>
      </c>
      <c r="AX127" s="201">
        <f t="array" ref="AX127">_xlfn.IFS(AND($K127&gt;AW$7,$L127&gt;AW$7),0,AND($K127&lt;=AW$7,$L127&lt;=AW$7),1,AND($K127&lt;=AW$7,$L127&gt;AW$7),((AW$7-$K127)/($L127-$K127)))</f>
        <v>1</v>
      </c>
      <c r="AY127" s="201">
        <f t="array" ref="AY127">_xlfn.IFS(AND($K127&gt;AX$7,$L127&gt;AX$7),0,AND($K127&lt;=AX$7,$L127&lt;=AX$7),1,AND($K127&lt;=AX$7,$L127&gt;AX$7),((AX$7-$K127)/($L127-$K127)))</f>
        <v>1</v>
      </c>
      <c r="AZ127" s="201">
        <f t="array" ref="AZ127">_xlfn.IFS(AND($K127&gt;AY$7,$L127&gt;AY$7),0,AND($K127&lt;=AY$7,$L127&lt;=AY$7),1,AND($K127&lt;=AY$7,$L127&gt;AY$7),((AY$7-$K127)/($L127-$K127)))</f>
        <v>1</v>
      </c>
      <c r="BA127" s="201">
        <f t="array" ref="BA127">_xlfn.IFS(AND($K127&gt;AZ$7,$L127&gt;AZ$7),0,AND($K127&lt;=AZ$7,$L127&lt;=AZ$7),1,AND($K127&lt;=AZ$7,$L127&gt;AZ$7),((AZ$7-$K127)/($L127-$K127)))</f>
        <v>1</v>
      </c>
      <c r="BB127" s="201">
        <f t="array" ref="BB127">_xlfn.IFS(AND($K127&gt;BA$7,$L127&gt;BA$7),0,AND($K127&lt;=BA$7,$L127&lt;=BA$7),1,AND($K127&lt;=BA$7,$L127&gt;BA$7),((BA$7-$K127)/($L127-$K127)))</f>
        <v>1</v>
      </c>
      <c r="BC127" s="201">
        <f t="array" ref="BC127">_xlfn.IFS(AND($K127&gt;BB$7,$L127&gt;BB$7),0,AND($K127&lt;=BB$7,$L127&lt;=BB$7),1,AND($K127&lt;=BB$7,$L127&gt;BB$7),((BB$7-$K127)/($L127-$K127)))</f>
        <v>1</v>
      </c>
      <c r="BD127" s="201">
        <f t="array" ref="BD127">_xlfn.IFS(AND($K127&gt;BC$7,$L127&gt;BC$7),0,AND($K127&lt;=BC$7,$L127&lt;=BC$7),1,AND($K127&lt;=BC$7,$L127&gt;BC$7),((BC$7-$K127)/($L127-$K127)))</f>
        <v>1</v>
      </c>
      <c r="BE127" s="201">
        <f t="array" ref="BE127">_xlfn.IFS(AND($K127&gt;BD$7,$L127&gt;BD$7),0,AND($K127&lt;=BD$7,$L127&lt;=BD$7),1,AND($K127&lt;=BD$7,$L127&gt;BD$7),((BD$7-$K127)/($L127-$K127)))</f>
        <v>1</v>
      </c>
      <c r="BF127" s="201">
        <f t="array" ref="BF127">_xlfn.IFS(AND($K127&gt;BE$7,$L127&gt;BE$7),0,AND($K127&lt;=BE$7,$L127&lt;=BE$7),1,AND($K127&lt;=BE$7,$L127&gt;BE$7),((BE$7-$K127)/($L127-$K127)))</f>
        <v>1</v>
      </c>
      <c r="BG127" s="201">
        <f t="array" ref="BG127">_xlfn.IFS(AND($K127&gt;BF$7,$L127&gt;BF$7),0,AND($K127&lt;=BF$7,$L127&lt;=BF$7),1,AND($K127&lt;=BF$7,$L127&gt;BF$7),((BF$7-$K127)/($L127-$K127)))</f>
        <v>1</v>
      </c>
      <c r="BH127" s="201">
        <f t="array" ref="BH127">_xlfn.IFS(AND($K127&gt;BG$7,$L127&gt;BG$7),0,AND($K127&lt;=BG$7,$L127&lt;=BG$7),1,AND($K127&lt;=BG$7,$L127&gt;BG$7),((BG$7-$K127)/($L127-$K127)))</f>
        <v>1</v>
      </c>
      <c r="BI127" s="201">
        <f t="array" ref="BI127">_xlfn.IFS(AND($K127&gt;BH$7,$L127&gt;BH$7),0,AND($K127&lt;=BH$7,$L127&lt;=BH$7),1,AND($K127&lt;=BH$7,$L127&gt;BH$7),((BH$7-$K127)/($L127-$K127)))</f>
        <v>1</v>
      </c>
      <c r="BJ127" s="201">
        <f t="array" ref="BJ127">_xlfn.IFS(AND($K127&gt;BI$7,$L127&gt;BI$7),0,AND($K127&lt;=BI$7,$L127&lt;=BI$7),1,AND($K127&lt;=BI$7,$L127&gt;BI$7),((BI$7-$K127)/($L127-$K127)))</f>
        <v>1</v>
      </c>
      <c r="BK127" s="201">
        <f t="array" ref="BK127">_xlfn.IFS(AND($K127&gt;BJ$7,$L127&gt;BJ$7),0,AND($K127&lt;=BJ$7,$L127&lt;=BJ$7),1,AND($K127&lt;=BJ$7,$L127&gt;BJ$7),((BJ$7-$K127)/($L127-$K127)))</f>
        <v>1</v>
      </c>
      <c r="BL127" s="201">
        <f t="array" ref="BL127">_xlfn.IFS(AND($K127&gt;BK$7,$L127&gt;BK$7),0,AND($K127&lt;=BK$7,$L127&lt;=BK$7),1,AND($K127&lt;=BK$7,$L127&gt;BK$7),((BK$7-$K127)/($L127-$K127)))</f>
        <v>1</v>
      </c>
      <c r="BM127" s="201">
        <f t="array" ref="BM127">_xlfn.IFS(AND($K127&gt;BL$7,$L127&gt;BL$7),0,AND($K127&lt;=BL$7,$L127&lt;=BL$7),1,AND($K127&lt;=BL$7,$L127&gt;BL$7),((BL$7-$K127)/($L127-$K127)))</f>
        <v>1</v>
      </c>
      <c r="BN127" s="201">
        <f t="array" ref="BN127">_xlfn.IFS(AND($K127&gt;BM$7,$L127&gt;BM$7),0,AND($K127&lt;=BM$7,$L127&lt;=BM$7),1,AND($K127&lt;=BM$7,$L127&gt;BM$7),((BM$7-$K127)/($L127-$K127)))</f>
        <v>1</v>
      </c>
    </row>
    <row r="128" spans="2:66" s="163" customFormat="1" ht="27.6" customHeight="1" x14ac:dyDescent="0.3">
      <c r="B128" s="166" t="s">
        <v>161</v>
      </c>
      <c r="C128" s="166" t="s">
        <v>302</v>
      </c>
      <c r="D128" s="177"/>
      <c r="E128" s="170" t="str">
        <f t="shared" si="49"/>
        <v>Desenvolvimento da Transformação dos Processos</v>
      </c>
      <c r="F128" s="174" t="str">
        <f t="shared" si="46"/>
        <v>Transformação do Processo</v>
      </c>
      <c r="G128" s="166" t="str">
        <f t="shared" si="50"/>
        <v>Transformação do Processo</v>
      </c>
      <c r="H128" s="197" t="s">
        <v>303</v>
      </c>
      <c r="I128" s="166">
        <v>45915</v>
      </c>
      <c r="J128" s="166">
        <v>45926</v>
      </c>
      <c r="K128" s="166">
        <v>45915</v>
      </c>
      <c r="L128" s="166">
        <v>45926</v>
      </c>
      <c r="M128" s="167"/>
      <c r="N128" s="167" t="str">
        <f t="array" ref="N128">_xlfn.IFS(L128&lt;$M$3,"Concluído",AND(K128&gt;=$M$3,I128&lt;$M$3,L128&gt;$M$3),"Em andamento",AND(L128&gt;=$M$3,J128&lt;$M$3),"Atrasado",AND(L128&gt;=$M$3,J128&gt;=$M$3,I128&gt;$M$3,K128&lt;=$M$3),"Em andamento",AND(L128&gt;=$M$3,J128&gt;=$M$3,I128&lt;=$M$3,K128&lt;=$M$3),"Em andamento",AND(K128&gt;$M$3,I128&gt;$M$3),"Não iniciado",AND(L128&gt;=$M$3,J128&gt;=$M$3,K128&gt;=$M$3,I128&lt;$M$3),"Atrasado",AND(L128&gt;=$M$3,J128&gt;=$M$3,K128&gt;=$M$3,I128&gt;$M$3),"Não iniciado",AND($I128&lt;=$M$3,$K128&gt;$M$3),"Atrasado")</f>
        <v>Não iniciado</v>
      </c>
      <c r="O128" s="167">
        <f t="array" ref="O128">_xlfn.IFS(N128="Não iniciado",0,N128="Em andamento",1,N128="Concluído",2,N128="Atrasado",3)</f>
        <v>0</v>
      </c>
      <c r="P128" s="169"/>
      <c r="Q128" s="152">
        <f t="array" ref="Q128">_xlfn.IFS(AND($I128&lt;$M$3,$J128&lt;$M$3),1,AND($I128&lt;$M$3,$J128&gt;=$M$3),0.5,AND($I128&gt;=$M$3,$J128&gt;=$M$3),0)</f>
        <v>0</v>
      </c>
      <c r="R128" s="152">
        <f t="array" ref="R128">_xlfn.IFS(AND($K128&lt;$M$3,$L128&lt;$M$3),1,AND($K128&lt;=$M$3,$L128&gt;=$M$3),0.5,AND($K128&gt;=$M$3,$L128&gt;=$M$3),0)</f>
        <v>0</v>
      </c>
      <c r="S128" s="201">
        <f t="array" ref="S128">_xlfn.IFS(AND($K128&gt;R$7,$L128&gt;R$7),0,AND($K128&lt;=R$7,$L128&lt;=R$7),1,AND($K128&lt;=R$7,$L128&gt;R$7),((R$7-$K128)/($L128-$K128)))</f>
        <v>0</v>
      </c>
      <c r="T128" s="201">
        <f t="array" ref="T128">_xlfn.IFS(AND($K128&gt;S$7,$L128&gt;S$7),0,AND($K128&lt;=S$7,$L128&lt;=S$7),1,AND($K128&lt;=S$7,$L128&gt;S$7),((S$7-$K128)/($L128-$K128)))</f>
        <v>0</v>
      </c>
      <c r="U128" s="201">
        <f t="array" ref="U128">_xlfn.IFS(AND($K128&gt;T$7,$L128&gt;T$7),0,AND($K128&lt;=T$7,$L128&lt;=T$7),1,AND($K128&lt;=T$7,$L128&gt;T$7),((T$7-$K128)/($L128-$K128)))</f>
        <v>0</v>
      </c>
      <c r="V128" s="201">
        <f t="array" ref="V128">_xlfn.IFS(AND($K128&gt;U$7,$L128&gt;U$7),0,AND($K128&lt;=U$7,$L128&lt;=U$7),1,AND($K128&lt;=U$7,$L128&gt;U$7),((U$7-$K128)/($L128-$K128)))</f>
        <v>0</v>
      </c>
      <c r="W128" s="201">
        <f t="array" ref="W128">_xlfn.IFS(AND($K128&gt;V$7,$L128&gt;V$7),0,AND($K128&lt;=V$7,$L128&lt;=V$7),1,AND($K128&lt;=V$7,$L128&gt;V$7),((V$7-$K128)/($L128-$K128)))</f>
        <v>0</v>
      </c>
      <c r="X128" s="201">
        <f t="array" ref="X128">_xlfn.IFS(AND($K128&gt;W$7,$L128&gt;W$7),0,AND($K128&lt;=W$7,$L128&lt;=W$7),1,AND($K128&lt;=W$7,$L128&gt;W$7),((W$7-$K128)/($L128-$K128)))</f>
        <v>0</v>
      </c>
      <c r="Y128" s="201">
        <f t="array" ref="Y128">_xlfn.IFS(AND($K128&gt;X$7,$L128&gt;X$7),0,AND($K128&lt;=X$7,$L128&lt;=X$7),1,AND($K128&lt;=X$7,$L128&gt;X$7),((X$7-$K128)/($L128-$K128)))</f>
        <v>0</v>
      </c>
      <c r="Z128" s="201">
        <f t="array" ref="Z128">_xlfn.IFS(AND($K128&gt;Y$7,$L128&gt;Y$7),0,AND($K128&lt;=Y$7,$L128&lt;=Y$7),1,AND($K128&lt;=Y$7,$L128&gt;Y$7),((Y$7-$K128)/($L128-$K128)))</f>
        <v>0</v>
      </c>
      <c r="AA128" s="201">
        <f t="array" ref="AA128">_xlfn.IFS(AND($K128&gt;Z$7,$L128&gt;Z$7),0,AND($K128&lt;=Z$7,$L128&lt;=Z$7),1,AND($K128&lt;=Z$7,$L128&gt;Z$7),((Z$7-$K128)/($L128-$K128)))</f>
        <v>0</v>
      </c>
      <c r="AB128" s="201">
        <f t="array" ref="AB128">_xlfn.IFS(AND($K128&gt;AA$7,$L128&gt;AA$7),0,AND($K128&lt;=AA$7,$L128&lt;=AA$7),1,AND($K128&lt;=AA$7,$L128&gt;AA$7),((AA$7-$K128)/($L128-$K128)))</f>
        <v>0</v>
      </c>
      <c r="AC128" s="201">
        <f t="array" ref="AC128">_xlfn.IFS(AND($K128&gt;AB$7,$L128&gt;AB$7),0,AND($K128&lt;=AB$7,$L128&lt;=AB$7),1,AND($K128&lt;=AB$7,$L128&gt;AB$7),((AB$7-$K128)/($L128-$K128)))</f>
        <v>0</v>
      </c>
      <c r="AD128" s="201">
        <f t="array" ref="AD128">_xlfn.IFS(AND($K128&gt;AC$7,$L128&gt;AC$7),0,AND($K128&lt;=AC$7,$L128&lt;=AC$7),1,AND($K128&lt;=AC$7,$L128&gt;AC$7),((AC$7-$K128)/($L128-$K128)))</f>
        <v>0</v>
      </c>
      <c r="AE128" s="201">
        <f t="array" ref="AE128">_xlfn.IFS(AND($K128&gt;AD$7,$L128&gt;AD$7),0,AND($K128&lt;=AD$7,$L128&lt;=AD$7),1,AND($K128&lt;=AD$7,$L128&gt;AD$7),((AD$7-$K128)/($L128-$K128)))</f>
        <v>0</v>
      </c>
      <c r="AF128" s="201">
        <f t="array" ref="AF128">_xlfn.IFS(AND($K128&gt;AE$7,$L128&gt;AE$7),0,AND($K128&lt;=AE$7,$L128&lt;=AE$7),1,AND($K128&lt;=AE$7,$L128&gt;AE$7),((AE$7-$K128)/($L128-$K128)))</f>
        <v>0</v>
      </c>
      <c r="AG128" s="201">
        <f t="array" ref="AG128">_xlfn.IFS(AND($K128&gt;AF$7,$L128&gt;AF$7),0,AND($K128&lt;=AF$7,$L128&lt;=AF$7),1,AND($K128&lt;=AF$7,$L128&gt;AF$7),((AF$7-$K128)/($L128-$K128)))</f>
        <v>0</v>
      </c>
      <c r="AH128" s="201">
        <f t="array" ref="AH128">_xlfn.IFS(AND($K128&gt;AG$7,$L128&gt;AG$7),0,AND($K128&lt;=AG$7,$L128&lt;=AG$7),1,AND($K128&lt;=AG$7,$L128&gt;AG$7),((AG$7-$K128)/($L128-$K128)))</f>
        <v>0</v>
      </c>
      <c r="AI128" s="201">
        <f t="array" ref="AI128">_xlfn.IFS(AND($K128&gt;AH$7,$L128&gt;AH$7),0,AND($K128&lt;=AH$7,$L128&lt;=AH$7),1,AND($K128&lt;=AH$7,$L128&gt;AH$7),((AH$7-$K128)/($L128-$K128)))</f>
        <v>0</v>
      </c>
      <c r="AJ128" s="201">
        <f t="array" ref="AJ128">_xlfn.IFS(AND($K128&gt;AI$7,$L128&gt;AI$7),0,AND($K128&lt;=AI$7,$L128&lt;=AI$7),1,AND($K128&lt;=AI$7,$L128&gt;AI$7),((AI$7-$K128)/($L128-$K128)))</f>
        <v>0</v>
      </c>
      <c r="AK128" s="201">
        <f t="array" ref="AK128">_xlfn.IFS(AND($K128&gt;AJ$7,$L128&gt;AJ$7),0,AND($K128&lt;=AJ$7,$L128&lt;=AJ$7),1,AND($K128&lt;=AJ$7,$L128&gt;AJ$7),((AJ$7-$K128)/($L128-$K128)))</f>
        <v>0</v>
      </c>
      <c r="AL128" s="201">
        <f t="array" ref="AL128">_xlfn.IFS(AND($K128&gt;AK$7,$L128&gt;AK$7),0,AND($K128&lt;=AK$7,$L128&lt;=AK$7),1,AND($K128&lt;=AK$7,$L128&gt;AK$7),((AK$7-$K128)/($L128-$K128)))</f>
        <v>0</v>
      </c>
      <c r="AM128" s="201">
        <f t="array" ref="AM128">_xlfn.IFS(AND($K128&gt;AL$7,$L128&gt;AL$7),0,AND($K128&lt;=AL$7,$L128&lt;=AL$7),1,AND($K128&lt;=AL$7,$L128&gt;AL$7),((AL$7-$K128)/($L128-$K128)))</f>
        <v>0</v>
      </c>
      <c r="AN128" s="201">
        <f t="array" ref="AN128">_xlfn.IFS(AND($K128&gt;AM$7,$L128&gt;AM$7),0,AND($K128&lt;=AM$7,$L128&lt;=AM$7),1,AND($K128&lt;=AM$7,$L128&gt;AM$7),((AM$7-$K128)/($L128-$K128)))</f>
        <v>0</v>
      </c>
      <c r="AO128" s="201">
        <f t="array" ref="AO128">_xlfn.IFS(AND($K128&gt;AN$7,$L128&gt;AN$7),0,AND($K128&lt;=AN$7,$L128&lt;=AN$7),1,AND($K128&lt;=AN$7,$L128&gt;AN$7),((AN$7-$K128)/($L128-$K128)))</f>
        <v>0</v>
      </c>
      <c r="AP128" s="201">
        <f t="array" ref="AP128">_xlfn.IFS(AND($K128&gt;AO$7,$L128&gt;AO$7),0,AND($K128&lt;=AO$7,$L128&lt;=AO$7),1,AND($K128&lt;=AO$7,$L128&gt;AO$7),((AO$7-$K128)/($L128-$K128)))</f>
        <v>0</v>
      </c>
      <c r="AQ128" s="201">
        <f t="array" ref="AQ128">_xlfn.IFS(AND($K128&gt;AP$7,$L128&gt;AP$7),0,AND($K128&lt;=AP$7,$L128&lt;=AP$7),1,AND($K128&lt;=AP$7,$L128&gt;AP$7),((AP$7-$K128)/($L128-$K128)))</f>
        <v>0</v>
      </c>
      <c r="AR128" s="201">
        <f t="array" ref="AR128">_xlfn.IFS(AND($K128&gt;AQ$7,$L128&gt;AQ$7),0,AND($K128&lt;=AQ$7,$L128&lt;=AQ$7),1,AND($K128&lt;=AQ$7,$L128&gt;AQ$7),((AQ$7-$K128)/($L128-$K128)))</f>
        <v>0</v>
      </c>
      <c r="AS128" s="201">
        <f t="array" ref="AS128">_xlfn.IFS(AND($K128&gt;AR$7,$L128&gt;AR$7),0,AND($K128&lt;=AR$7,$L128&lt;=AR$7),1,AND($K128&lt;=AR$7,$L128&gt;AR$7),((AR$7-$K128)/($L128-$K128)))</f>
        <v>0</v>
      </c>
      <c r="AT128" s="201">
        <f t="array" ref="AT128">_xlfn.IFS(AND($K128&gt;AS$7,$L128&gt;AS$7),0,AND($K128&lt;=AS$7,$L128&lt;=AS$7),1,AND($K128&lt;=AS$7,$L128&gt;AS$7),((AS$7-$K128)/($L128-$K128)))</f>
        <v>0</v>
      </c>
      <c r="AU128" s="201">
        <f t="array" ref="AU128">_xlfn.IFS(AND($K128&gt;AT$7,$L128&gt;AT$7),0,AND($K128&lt;=AT$7,$L128&lt;=AT$7),1,AND($K128&lt;=AT$7,$L128&gt;AT$7),((AT$7-$K128)/($L128-$K128)))</f>
        <v>0</v>
      </c>
      <c r="AV128" s="201">
        <f t="array" ref="AV128">_xlfn.IFS(AND($K128&gt;AU$7,$L128&gt;AU$7),0,AND($K128&lt;=AU$7,$L128&lt;=AU$7),1,AND($K128&lt;=AU$7,$L128&gt;AU$7),((AU$7-$K128)/($L128-$K128)))</f>
        <v>0</v>
      </c>
      <c r="AW128" s="201">
        <f t="array" ref="AW128">_xlfn.IFS(AND($K128&gt;AV$7,$L128&gt;AV$7),0,AND($K128&lt;=AV$7,$L128&lt;=AV$7),1,AND($K128&lt;=AV$7,$L128&gt;AV$7),((AV$7-$K128)/($L128-$K128)))</f>
        <v>0</v>
      </c>
      <c r="AX128" s="201">
        <f t="array" ref="AX128">_xlfn.IFS(AND($K128&gt;AW$7,$L128&gt;AW$7),0,AND($K128&lt;=AW$7,$L128&lt;=AW$7),1,AND($K128&lt;=AW$7,$L128&gt;AW$7),((AW$7-$K128)/($L128-$K128)))</f>
        <v>0</v>
      </c>
      <c r="AY128" s="201">
        <f t="array" ref="AY128">_xlfn.IFS(AND($K128&gt;AX$7,$L128&gt;AX$7),0,AND($K128&lt;=AX$7,$L128&lt;=AX$7),1,AND($K128&lt;=AX$7,$L128&gt;AX$7),((AX$7-$K128)/($L128-$K128)))</f>
        <v>0</v>
      </c>
      <c r="AZ128" s="201">
        <f t="array" ref="AZ128">_xlfn.IFS(AND($K128&gt;AY$7,$L128&gt;AY$7),0,AND($K128&lt;=AY$7,$L128&lt;=AY$7),1,AND($K128&lt;=AY$7,$L128&gt;AY$7),((AY$7-$K128)/($L128-$K128)))</f>
        <v>0.45454545454545453</v>
      </c>
      <c r="BA128" s="201">
        <f t="array" ref="BA128">_xlfn.IFS(AND($K128&gt;AZ$7,$L128&gt;AZ$7),0,AND($K128&lt;=AZ$7,$L128&lt;=AZ$7),1,AND($K128&lt;=AZ$7,$L128&gt;AZ$7),((AZ$7-$K128)/($L128-$K128)))</f>
        <v>1</v>
      </c>
      <c r="BB128" s="201">
        <f t="array" ref="BB128">_xlfn.IFS(AND($K128&gt;BA$7,$L128&gt;BA$7),0,AND($K128&lt;=BA$7,$L128&lt;=BA$7),1,AND($K128&lt;=BA$7,$L128&gt;BA$7),((BA$7-$K128)/($L128-$K128)))</f>
        <v>1</v>
      </c>
      <c r="BC128" s="201">
        <f t="array" ref="BC128">_xlfn.IFS(AND($K128&gt;BB$7,$L128&gt;BB$7),0,AND($K128&lt;=BB$7,$L128&lt;=BB$7),1,AND($K128&lt;=BB$7,$L128&gt;BB$7),((BB$7-$K128)/($L128-$K128)))</f>
        <v>1</v>
      </c>
      <c r="BD128" s="201">
        <f t="array" ref="BD128">_xlfn.IFS(AND($K128&gt;BC$7,$L128&gt;BC$7),0,AND($K128&lt;=BC$7,$L128&lt;=BC$7),1,AND($K128&lt;=BC$7,$L128&gt;BC$7),((BC$7-$K128)/($L128-$K128)))</f>
        <v>1</v>
      </c>
      <c r="BE128" s="201">
        <f t="array" ref="BE128">_xlfn.IFS(AND($K128&gt;BD$7,$L128&gt;BD$7),0,AND($K128&lt;=BD$7,$L128&lt;=BD$7),1,AND($K128&lt;=BD$7,$L128&gt;BD$7),((BD$7-$K128)/($L128-$K128)))</f>
        <v>1</v>
      </c>
      <c r="BF128" s="201">
        <f t="array" ref="BF128">_xlfn.IFS(AND($K128&gt;BE$7,$L128&gt;BE$7),0,AND($K128&lt;=BE$7,$L128&lt;=BE$7),1,AND($K128&lt;=BE$7,$L128&gt;BE$7),((BE$7-$K128)/($L128-$K128)))</f>
        <v>1</v>
      </c>
      <c r="BG128" s="201">
        <f t="array" ref="BG128">_xlfn.IFS(AND($K128&gt;BF$7,$L128&gt;BF$7),0,AND($K128&lt;=BF$7,$L128&lt;=BF$7),1,AND($K128&lt;=BF$7,$L128&gt;BF$7),((BF$7-$K128)/($L128-$K128)))</f>
        <v>1</v>
      </c>
      <c r="BH128" s="201">
        <f t="array" ref="BH128">_xlfn.IFS(AND($K128&gt;BG$7,$L128&gt;BG$7),0,AND($K128&lt;=BG$7,$L128&lt;=BG$7),1,AND($K128&lt;=BG$7,$L128&gt;BG$7),((BG$7-$K128)/($L128-$K128)))</f>
        <v>1</v>
      </c>
      <c r="BI128" s="201">
        <f t="array" ref="BI128">_xlfn.IFS(AND($K128&gt;BH$7,$L128&gt;BH$7),0,AND($K128&lt;=BH$7,$L128&lt;=BH$7),1,AND($K128&lt;=BH$7,$L128&gt;BH$7),((BH$7-$K128)/($L128-$K128)))</f>
        <v>1</v>
      </c>
      <c r="BJ128" s="201">
        <f t="array" ref="BJ128">_xlfn.IFS(AND($K128&gt;BI$7,$L128&gt;BI$7),0,AND($K128&lt;=BI$7,$L128&lt;=BI$7),1,AND($K128&lt;=BI$7,$L128&gt;BI$7),((BI$7-$K128)/($L128-$K128)))</f>
        <v>1</v>
      </c>
      <c r="BK128" s="201">
        <f t="array" ref="BK128">_xlfn.IFS(AND($K128&gt;BJ$7,$L128&gt;BJ$7),0,AND($K128&lt;=BJ$7,$L128&lt;=BJ$7),1,AND($K128&lt;=BJ$7,$L128&gt;BJ$7),((BJ$7-$K128)/($L128-$K128)))</f>
        <v>1</v>
      </c>
      <c r="BL128" s="201">
        <f t="array" ref="BL128">_xlfn.IFS(AND($K128&gt;BK$7,$L128&gt;BK$7),0,AND($K128&lt;=BK$7,$L128&lt;=BK$7),1,AND($K128&lt;=BK$7,$L128&gt;BK$7),((BK$7-$K128)/($L128-$K128)))</f>
        <v>1</v>
      </c>
      <c r="BM128" s="201">
        <f t="array" ref="BM128">_xlfn.IFS(AND($K128&gt;BL$7,$L128&gt;BL$7),0,AND($K128&lt;=BL$7,$L128&lt;=BL$7),1,AND($K128&lt;=BL$7,$L128&gt;BL$7),((BL$7-$K128)/($L128-$K128)))</f>
        <v>1</v>
      </c>
      <c r="BN128" s="201">
        <f t="array" ref="BN128">_xlfn.IFS(AND($K128&gt;BM$7,$L128&gt;BM$7),0,AND($K128&lt;=BM$7,$L128&lt;=BM$7),1,AND($K128&lt;=BM$7,$L128&gt;BM$7),((BM$7-$K128)/($L128-$K128)))</f>
        <v>1</v>
      </c>
    </row>
    <row r="129" spans="2:66" s="163" customFormat="1" ht="27.6" customHeight="1" x14ac:dyDescent="0.3">
      <c r="B129" s="166" t="s">
        <v>161</v>
      </c>
      <c r="C129" s="166" t="s">
        <v>304</v>
      </c>
      <c r="D129" s="177"/>
      <c r="E129" s="170" t="str">
        <f t="shared" si="49"/>
        <v>Desenvolvimento da Transformação dos Processos</v>
      </c>
      <c r="F129" s="174" t="str">
        <f t="shared" si="46"/>
        <v>Transformação do Processo</v>
      </c>
      <c r="G129" s="166" t="str">
        <f t="shared" si="50"/>
        <v>Transformação do Processo</v>
      </c>
      <c r="H129" s="197" t="s">
        <v>305</v>
      </c>
      <c r="I129" s="166">
        <v>45915</v>
      </c>
      <c r="J129" s="166">
        <v>45926</v>
      </c>
      <c r="K129" s="166">
        <v>45915</v>
      </c>
      <c r="L129" s="166">
        <v>45926</v>
      </c>
      <c r="M129" s="167"/>
      <c r="N129" s="167" t="str">
        <f t="array" ref="N129">_xlfn.IFS(L129&lt;$M$3,"Concluído",AND(K129&gt;=$M$3,I129&lt;$M$3,L129&gt;$M$3),"Em andamento",AND(L129&gt;=$M$3,J129&lt;$M$3),"Atrasado",AND(L129&gt;=$M$3,J129&gt;=$M$3,I129&gt;$M$3,K129&lt;=$M$3),"Em andamento",AND(L129&gt;=$M$3,J129&gt;=$M$3,I129&lt;=$M$3,K129&lt;=$M$3),"Em andamento",AND(K129&gt;$M$3,I129&gt;$M$3),"Não iniciado",AND(L129&gt;=$M$3,J129&gt;=$M$3,K129&gt;=$M$3,I129&lt;$M$3),"Atrasado",AND(L129&gt;=$M$3,J129&gt;=$M$3,K129&gt;=$M$3,I129&gt;$M$3),"Não iniciado",AND($I129&lt;=$M$3,$K129&gt;$M$3),"Atrasado")</f>
        <v>Não iniciado</v>
      </c>
      <c r="O129" s="167">
        <f t="array" ref="O129">_xlfn.IFS(N129="Não iniciado",0,N129="Em andamento",1,N129="Concluído",2,N129="Atrasado",3)</f>
        <v>0</v>
      </c>
      <c r="P129" s="169"/>
      <c r="Q129" s="152">
        <f t="array" ref="Q129">_xlfn.IFS(AND($I129&lt;$M$3,$J129&lt;$M$3),1,AND($I129&lt;$M$3,$J129&gt;=$M$3),0.5,AND($I129&gt;=$M$3,$J129&gt;=$M$3),0)</f>
        <v>0</v>
      </c>
      <c r="R129" s="152">
        <f t="array" ref="R129">_xlfn.IFS(AND($K129&lt;$M$3,$L129&lt;$M$3),1,AND($K129&lt;=$M$3,$L129&gt;=$M$3),0.5,AND($K129&gt;=$M$3,$L129&gt;=$M$3),0)</f>
        <v>0</v>
      </c>
      <c r="S129" s="201">
        <f t="array" ref="S129">_xlfn.IFS(AND($K129&gt;R$7,$L129&gt;R$7),0,AND($K129&lt;=R$7,$L129&lt;=R$7),1,AND($K129&lt;=R$7,$L129&gt;R$7),((R$7-$K129)/($L129-$K129)))</f>
        <v>0</v>
      </c>
      <c r="T129" s="201">
        <f t="array" ref="T129">_xlfn.IFS(AND($K129&gt;S$7,$L129&gt;S$7),0,AND($K129&lt;=S$7,$L129&lt;=S$7),1,AND($K129&lt;=S$7,$L129&gt;S$7),((S$7-$K129)/($L129-$K129)))</f>
        <v>0</v>
      </c>
      <c r="U129" s="201">
        <f t="array" ref="U129">_xlfn.IFS(AND($K129&gt;T$7,$L129&gt;T$7),0,AND($K129&lt;=T$7,$L129&lt;=T$7),1,AND($K129&lt;=T$7,$L129&gt;T$7),((T$7-$K129)/($L129-$K129)))</f>
        <v>0</v>
      </c>
      <c r="V129" s="201">
        <f t="array" ref="V129">_xlfn.IFS(AND($K129&gt;U$7,$L129&gt;U$7),0,AND($K129&lt;=U$7,$L129&lt;=U$7),1,AND($K129&lt;=U$7,$L129&gt;U$7),((U$7-$K129)/($L129-$K129)))</f>
        <v>0</v>
      </c>
      <c r="W129" s="201">
        <f t="array" ref="W129">_xlfn.IFS(AND($K129&gt;V$7,$L129&gt;V$7),0,AND($K129&lt;=V$7,$L129&lt;=V$7),1,AND($K129&lt;=V$7,$L129&gt;V$7),((V$7-$K129)/($L129-$K129)))</f>
        <v>0</v>
      </c>
      <c r="X129" s="201">
        <f t="array" ref="X129">_xlfn.IFS(AND($K129&gt;W$7,$L129&gt;W$7),0,AND($K129&lt;=W$7,$L129&lt;=W$7),1,AND($K129&lt;=W$7,$L129&gt;W$7),((W$7-$K129)/($L129-$K129)))</f>
        <v>0</v>
      </c>
      <c r="Y129" s="201">
        <f t="array" ref="Y129">_xlfn.IFS(AND($K129&gt;X$7,$L129&gt;X$7),0,AND($K129&lt;=X$7,$L129&lt;=X$7),1,AND($K129&lt;=X$7,$L129&gt;X$7),((X$7-$K129)/($L129-$K129)))</f>
        <v>0</v>
      </c>
      <c r="Z129" s="201">
        <f t="array" ref="Z129">_xlfn.IFS(AND($K129&gt;Y$7,$L129&gt;Y$7),0,AND($K129&lt;=Y$7,$L129&lt;=Y$7),1,AND($K129&lt;=Y$7,$L129&gt;Y$7),((Y$7-$K129)/($L129-$K129)))</f>
        <v>0</v>
      </c>
      <c r="AA129" s="201">
        <f t="array" ref="AA129">_xlfn.IFS(AND($K129&gt;Z$7,$L129&gt;Z$7),0,AND($K129&lt;=Z$7,$L129&lt;=Z$7),1,AND($K129&lt;=Z$7,$L129&gt;Z$7),((Z$7-$K129)/($L129-$K129)))</f>
        <v>0</v>
      </c>
      <c r="AB129" s="201">
        <f t="array" ref="AB129">_xlfn.IFS(AND($K129&gt;AA$7,$L129&gt;AA$7),0,AND($K129&lt;=AA$7,$L129&lt;=AA$7),1,AND($K129&lt;=AA$7,$L129&gt;AA$7),((AA$7-$K129)/($L129-$K129)))</f>
        <v>0</v>
      </c>
      <c r="AC129" s="201">
        <f t="array" ref="AC129">_xlfn.IFS(AND($K129&gt;AB$7,$L129&gt;AB$7),0,AND($K129&lt;=AB$7,$L129&lt;=AB$7),1,AND($K129&lt;=AB$7,$L129&gt;AB$7),((AB$7-$K129)/($L129-$K129)))</f>
        <v>0</v>
      </c>
      <c r="AD129" s="201">
        <f t="array" ref="AD129">_xlfn.IFS(AND($K129&gt;AC$7,$L129&gt;AC$7),0,AND($K129&lt;=AC$7,$L129&lt;=AC$7),1,AND($K129&lt;=AC$7,$L129&gt;AC$7),((AC$7-$K129)/($L129-$K129)))</f>
        <v>0</v>
      </c>
      <c r="AE129" s="201">
        <f t="array" ref="AE129">_xlfn.IFS(AND($K129&gt;AD$7,$L129&gt;AD$7),0,AND($K129&lt;=AD$7,$L129&lt;=AD$7),1,AND($K129&lt;=AD$7,$L129&gt;AD$7),((AD$7-$K129)/($L129-$K129)))</f>
        <v>0</v>
      </c>
      <c r="AF129" s="201">
        <f t="array" ref="AF129">_xlfn.IFS(AND($K129&gt;AE$7,$L129&gt;AE$7),0,AND($K129&lt;=AE$7,$L129&lt;=AE$7),1,AND($K129&lt;=AE$7,$L129&gt;AE$7),((AE$7-$K129)/($L129-$K129)))</f>
        <v>0</v>
      </c>
      <c r="AG129" s="201">
        <f t="array" ref="AG129">_xlfn.IFS(AND($K129&gt;AF$7,$L129&gt;AF$7),0,AND($K129&lt;=AF$7,$L129&lt;=AF$7),1,AND($K129&lt;=AF$7,$L129&gt;AF$7),((AF$7-$K129)/($L129-$K129)))</f>
        <v>0</v>
      </c>
      <c r="AH129" s="201">
        <f t="array" ref="AH129">_xlfn.IFS(AND($K129&gt;AG$7,$L129&gt;AG$7),0,AND($K129&lt;=AG$7,$L129&lt;=AG$7),1,AND($K129&lt;=AG$7,$L129&gt;AG$7),((AG$7-$K129)/($L129-$K129)))</f>
        <v>0</v>
      </c>
      <c r="AI129" s="201">
        <f t="array" ref="AI129">_xlfn.IFS(AND($K129&gt;AH$7,$L129&gt;AH$7),0,AND($K129&lt;=AH$7,$L129&lt;=AH$7),1,AND($K129&lt;=AH$7,$L129&gt;AH$7),((AH$7-$K129)/($L129-$K129)))</f>
        <v>0</v>
      </c>
      <c r="AJ129" s="201">
        <f t="array" ref="AJ129">_xlfn.IFS(AND($K129&gt;AI$7,$L129&gt;AI$7),0,AND($K129&lt;=AI$7,$L129&lt;=AI$7),1,AND($K129&lt;=AI$7,$L129&gt;AI$7),((AI$7-$K129)/($L129-$K129)))</f>
        <v>0</v>
      </c>
      <c r="AK129" s="201">
        <f t="array" ref="AK129">_xlfn.IFS(AND($K129&gt;AJ$7,$L129&gt;AJ$7),0,AND($K129&lt;=AJ$7,$L129&lt;=AJ$7),1,AND($K129&lt;=AJ$7,$L129&gt;AJ$7),((AJ$7-$K129)/($L129-$K129)))</f>
        <v>0</v>
      </c>
      <c r="AL129" s="201">
        <f t="array" ref="AL129">_xlfn.IFS(AND($K129&gt;AK$7,$L129&gt;AK$7),0,AND($K129&lt;=AK$7,$L129&lt;=AK$7),1,AND($K129&lt;=AK$7,$L129&gt;AK$7),((AK$7-$K129)/($L129-$K129)))</f>
        <v>0</v>
      </c>
      <c r="AM129" s="201">
        <f t="array" ref="AM129">_xlfn.IFS(AND($K129&gt;AL$7,$L129&gt;AL$7),0,AND($K129&lt;=AL$7,$L129&lt;=AL$7),1,AND($K129&lt;=AL$7,$L129&gt;AL$7),((AL$7-$K129)/($L129-$K129)))</f>
        <v>0</v>
      </c>
      <c r="AN129" s="201">
        <f t="array" ref="AN129">_xlfn.IFS(AND($K129&gt;AM$7,$L129&gt;AM$7),0,AND($K129&lt;=AM$7,$L129&lt;=AM$7),1,AND($K129&lt;=AM$7,$L129&gt;AM$7),((AM$7-$K129)/($L129-$K129)))</f>
        <v>0</v>
      </c>
      <c r="AO129" s="201">
        <f t="array" ref="AO129">_xlfn.IFS(AND($K129&gt;AN$7,$L129&gt;AN$7),0,AND($K129&lt;=AN$7,$L129&lt;=AN$7),1,AND($K129&lt;=AN$7,$L129&gt;AN$7),((AN$7-$K129)/($L129-$K129)))</f>
        <v>0</v>
      </c>
      <c r="AP129" s="201">
        <f t="array" ref="AP129">_xlfn.IFS(AND($K129&gt;AO$7,$L129&gt;AO$7),0,AND($K129&lt;=AO$7,$L129&lt;=AO$7),1,AND($K129&lt;=AO$7,$L129&gt;AO$7),((AO$7-$K129)/($L129-$K129)))</f>
        <v>0</v>
      </c>
      <c r="AQ129" s="201">
        <f t="array" ref="AQ129">_xlfn.IFS(AND($K129&gt;AP$7,$L129&gt;AP$7),0,AND($K129&lt;=AP$7,$L129&lt;=AP$7),1,AND($K129&lt;=AP$7,$L129&gt;AP$7),((AP$7-$K129)/($L129-$K129)))</f>
        <v>0</v>
      </c>
      <c r="AR129" s="201">
        <f t="array" ref="AR129">_xlfn.IFS(AND($K129&gt;AQ$7,$L129&gt;AQ$7),0,AND($K129&lt;=AQ$7,$L129&lt;=AQ$7),1,AND($K129&lt;=AQ$7,$L129&gt;AQ$7),((AQ$7-$K129)/($L129-$K129)))</f>
        <v>0</v>
      </c>
      <c r="AS129" s="201">
        <f t="array" ref="AS129">_xlfn.IFS(AND($K129&gt;AR$7,$L129&gt;AR$7),0,AND($K129&lt;=AR$7,$L129&lt;=AR$7),1,AND($K129&lt;=AR$7,$L129&gt;AR$7),((AR$7-$K129)/($L129-$K129)))</f>
        <v>0</v>
      </c>
      <c r="AT129" s="201">
        <f t="array" ref="AT129">_xlfn.IFS(AND($K129&gt;AS$7,$L129&gt;AS$7),0,AND($K129&lt;=AS$7,$L129&lt;=AS$7),1,AND($K129&lt;=AS$7,$L129&gt;AS$7),((AS$7-$K129)/($L129-$K129)))</f>
        <v>0</v>
      </c>
      <c r="AU129" s="201">
        <f t="array" ref="AU129">_xlfn.IFS(AND($K129&gt;AT$7,$L129&gt;AT$7),0,AND($K129&lt;=AT$7,$L129&lt;=AT$7),1,AND($K129&lt;=AT$7,$L129&gt;AT$7),((AT$7-$K129)/($L129-$K129)))</f>
        <v>0</v>
      </c>
      <c r="AV129" s="201">
        <f t="array" ref="AV129">_xlfn.IFS(AND($K129&gt;AU$7,$L129&gt;AU$7),0,AND($K129&lt;=AU$7,$L129&lt;=AU$7),1,AND($K129&lt;=AU$7,$L129&gt;AU$7),((AU$7-$K129)/($L129-$K129)))</f>
        <v>0</v>
      </c>
      <c r="AW129" s="201">
        <f t="array" ref="AW129">_xlfn.IFS(AND($K129&gt;AV$7,$L129&gt;AV$7),0,AND($K129&lt;=AV$7,$L129&lt;=AV$7),1,AND($K129&lt;=AV$7,$L129&gt;AV$7),((AV$7-$K129)/($L129-$K129)))</f>
        <v>0</v>
      </c>
      <c r="AX129" s="201">
        <f t="array" ref="AX129">_xlfn.IFS(AND($K129&gt;AW$7,$L129&gt;AW$7),0,AND($K129&lt;=AW$7,$L129&lt;=AW$7),1,AND($K129&lt;=AW$7,$L129&gt;AW$7),((AW$7-$K129)/($L129-$K129)))</f>
        <v>0</v>
      </c>
      <c r="AY129" s="201">
        <f t="array" ref="AY129">_xlfn.IFS(AND($K129&gt;AX$7,$L129&gt;AX$7),0,AND($K129&lt;=AX$7,$L129&lt;=AX$7),1,AND($K129&lt;=AX$7,$L129&gt;AX$7),((AX$7-$K129)/($L129-$K129)))</f>
        <v>0</v>
      </c>
      <c r="AZ129" s="201">
        <f t="array" ref="AZ129">_xlfn.IFS(AND($K129&gt;AY$7,$L129&gt;AY$7),0,AND($K129&lt;=AY$7,$L129&lt;=AY$7),1,AND($K129&lt;=AY$7,$L129&gt;AY$7),((AY$7-$K129)/($L129-$K129)))</f>
        <v>0.45454545454545453</v>
      </c>
      <c r="BA129" s="201">
        <f t="array" ref="BA129">_xlfn.IFS(AND($K129&gt;AZ$7,$L129&gt;AZ$7),0,AND($K129&lt;=AZ$7,$L129&lt;=AZ$7),1,AND($K129&lt;=AZ$7,$L129&gt;AZ$7),((AZ$7-$K129)/($L129-$K129)))</f>
        <v>1</v>
      </c>
      <c r="BB129" s="201">
        <f t="array" ref="BB129">_xlfn.IFS(AND($K129&gt;BA$7,$L129&gt;BA$7),0,AND($K129&lt;=BA$7,$L129&lt;=BA$7),1,AND($K129&lt;=BA$7,$L129&gt;BA$7),((BA$7-$K129)/($L129-$K129)))</f>
        <v>1</v>
      </c>
      <c r="BC129" s="201">
        <f t="array" ref="BC129">_xlfn.IFS(AND($K129&gt;BB$7,$L129&gt;BB$7),0,AND($K129&lt;=BB$7,$L129&lt;=BB$7),1,AND($K129&lt;=BB$7,$L129&gt;BB$7),((BB$7-$K129)/($L129-$K129)))</f>
        <v>1</v>
      </c>
      <c r="BD129" s="201">
        <f t="array" ref="BD129">_xlfn.IFS(AND($K129&gt;BC$7,$L129&gt;BC$7),0,AND($K129&lt;=BC$7,$L129&lt;=BC$7),1,AND($K129&lt;=BC$7,$L129&gt;BC$7),((BC$7-$K129)/($L129-$K129)))</f>
        <v>1</v>
      </c>
      <c r="BE129" s="201">
        <f t="array" ref="BE129">_xlfn.IFS(AND($K129&gt;BD$7,$L129&gt;BD$7),0,AND($K129&lt;=BD$7,$L129&lt;=BD$7),1,AND($K129&lt;=BD$7,$L129&gt;BD$7),((BD$7-$K129)/($L129-$K129)))</f>
        <v>1</v>
      </c>
      <c r="BF129" s="201">
        <f t="array" ref="BF129">_xlfn.IFS(AND($K129&gt;BE$7,$L129&gt;BE$7),0,AND($K129&lt;=BE$7,$L129&lt;=BE$7),1,AND($K129&lt;=BE$7,$L129&gt;BE$7),((BE$7-$K129)/($L129-$K129)))</f>
        <v>1</v>
      </c>
      <c r="BG129" s="201">
        <f t="array" ref="BG129">_xlfn.IFS(AND($K129&gt;BF$7,$L129&gt;BF$7),0,AND($K129&lt;=BF$7,$L129&lt;=BF$7),1,AND($K129&lt;=BF$7,$L129&gt;BF$7),((BF$7-$K129)/($L129-$K129)))</f>
        <v>1</v>
      </c>
      <c r="BH129" s="201">
        <f t="array" ref="BH129">_xlfn.IFS(AND($K129&gt;BG$7,$L129&gt;BG$7),0,AND($K129&lt;=BG$7,$L129&lt;=BG$7),1,AND($K129&lt;=BG$7,$L129&gt;BG$7),((BG$7-$K129)/($L129-$K129)))</f>
        <v>1</v>
      </c>
      <c r="BI129" s="201">
        <f t="array" ref="BI129">_xlfn.IFS(AND($K129&gt;BH$7,$L129&gt;BH$7),0,AND($K129&lt;=BH$7,$L129&lt;=BH$7),1,AND($K129&lt;=BH$7,$L129&gt;BH$7),((BH$7-$K129)/($L129-$K129)))</f>
        <v>1</v>
      </c>
      <c r="BJ129" s="201">
        <f t="array" ref="BJ129">_xlfn.IFS(AND($K129&gt;BI$7,$L129&gt;BI$7),0,AND($K129&lt;=BI$7,$L129&lt;=BI$7),1,AND($K129&lt;=BI$7,$L129&gt;BI$7),((BI$7-$K129)/($L129-$K129)))</f>
        <v>1</v>
      </c>
      <c r="BK129" s="201">
        <f t="array" ref="BK129">_xlfn.IFS(AND($K129&gt;BJ$7,$L129&gt;BJ$7),0,AND($K129&lt;=BJ$7,$L129&lt;=BJ$7),1,AND($K129&lt;=BJ$7,$L129&gt;BJ$7),((BJ$7-$K129)/($L129-$K129)))</f>
        <v>1</v>
      </c>
      <c r="BL129" s="201">
        <f t="array" ref="BL129">_xlfn.IFS(AND($K129&gt;BK$7,$L129&gt;BK$7),0,AND($K129&lt;=BK$7,$L129&lt;=BK$7),1,AND($K129&lt;=BK$7,$L129&gt;BK$7),((BK$7-$K129)/($L129-$K129)))</f>
        <v>1</v>
      </c>
      <c r="BM129" s="201">
        <f t="array" ref="BM129">_xlfn.IFS(AND($K129&gt;BL$7,$L129&gt;BL$7),0,AND($K129&lt;=BL$7,$L129&lt;=BL$7),1,AND($K129&lt;=BL$7,$L129&gt;BL$7),((BL$7-$K129)/($L129-$K129)))</f>
        <v>1</v>
      </c>
      <c r="BN129" s="201">
        <f t="array" ref="BN129">_xlfn.IFS(AND($K129&gt;BM$7,$L129&gt;BM$7),0,AND($K129&lt;=BM$7,$L129&lt;=BM$7),1,AND($K129&lt;=BM$7,$L129&gt;BM$7),((BM$7-$K129)/($L129-$K129)))</f>
        <v>1</v>
      </c>
    </row>
    <row r="130" spans="2:66" s="163" customFormat="1" ht="27.6" customHeight="1" x14ac:dyDescent="0.3">
      <c r="B130" s="166" t="s">
        <v>161</v>
      </c>
      <c r="C130" s="166" t="s">
        <v>306</v>
      </c>
      <c r="D130" s="177"/>
      <c r="E130" s="170" t="str">
        <f t="shared" si="49"/>
        <v>Desenvolvimento da Transformação dos Processos</v>
      </c>
      <c r="F130" s="174" t="str">
        <f t="shared" si="46"/>
        <v>Transformação do Processo</v>
      </c>
      <c r="G130" s="166" t="str">
        <f t="shared" si="50"/>
        <v>Transformação do Processo</v>
      </c>
      <c r="H130" s="197" t="s">
        <v>307</v>
      </c>
      <c r="I130" s="166">
        <v>45915</v>
      </c>
      <c r="J130" s="166">
        <v>45926</v>
      </c>
      <c r="K130" s="166">
        <v>45915</v>
      </c>
      <c r="L130" s="166">
        <v>45926</v>
      </c>
      <c r="M130" s="167"/>
      <c r="N130" s="167" t="str">
        <f t="array" ref="N130">_xlfn.IFS(L130&lt;$M$3,"Concluído",AND(K130&gt;=$M$3,I130&lt;$M$3,L130&gt;$M$3),"Em andamento",AND(L130&gt;=$M$3,J130&lt;$M$3),"Atrasado",AND(L130&gt;=$M$3,J130&gt;=$M$3,I130&gt;$M$3,K130&lt;=$M$3),"Em andamento",AND(L130&gt;=$M$3,J130&gt;=$M$3,I130&lt;=$M$3,K130&lt;=$M$3),"Em andamento",AND(K130&gt;$M$3,I130&gt;$M$3),"Não iniciado",AND(L130&gt;=$M$3,J130&gt;=$M$3,K130&gt;=$M$3,I130&lt;$M$3),"Atrasado",AND(L130&gt;=$M$3,J130&gt;=$M$3,K130&gt;=$M$3,I130&gt;$M$3),"Não iniciado",AND($I130&lt;=$M$3,$K130&gt;$M$3),"Atrasado")</f>
        <v>Não iniciado</v>
      </c>
      <c r="O130" s="167">
        <f t="array" ref="O130">_xlfn.IFS(N130="Não iniciado",0,N130="Em andamento",1,N130="Concluído",2,N130="Atrasado",3)</f>
        <v>0</v>
      </c>
      <c r="P130" s="169"/>
      <c r="Q130" s="152">
        <f t="array" ref="Q130">_xlfn.IFS(AND($I130&lt;$M$3,$J130&lt;$M$3),1,AND($I130&lt;$M$3,$J130&gt;=$M$3),0.5,AND($I130&gt;=$M$3,$J130&gt;=$M$3),0)</f>
        <v>0</v>
      </c>
      <c r="R130" s="152">
        <f t="array" ref="R130">_xlfn.IFS(AND($K130&lt;$M$3,$L130&lt;$M$3),1,AND($K130&lt;=$M$3,$L130&gt;=$M$3),0.5,AND($K130&gt;=$M$3,$L130&gt;=$M$3),0)</f>
        <v>0</v>
      </c>
      <c r="S130" s="201">
        <f t="array" ref="S130">_xlfn.IFS(AND($K130&gt;R$7,$L130&gt;R$7),0,AND($K130&lt;=R$7,$L130&lt;=R$7),1,AND($K130&lt;=R$7,$L130&gt;R$7),((R$7-$K130)/($L130-$K130)))</f>
        <v>0</v>
      </c>
      <c r="T130" s="201">
        <f t="array" ref="T130">_xlfn.IFS(AND($K130&gt;S$7,$L130&gt;S$7),0,AND($K130&lt;=S$7,$L130&lt;=S$7),1,AND($K130&lt;=S$7,$L130&gt;S$7),((S$7-$K130)/($L130-$K130)))</f>
        <v>0</v>
      </c>
      <c r="U130" s="201">
        <f t="array" ref="U130">_xlfn.IFS(AND($K130&gt;T$7,$L130&gt;T$7),0,AND($K130&lt;=T$7,$L130&lt;=T$7),1,AND($K130&lt;=T$7,$L130&gt;T$7),((T$7-$K130)/($L130-$K130)))</f>
        <v>0</v>
      </c>
      <c r="V130" s="201">
        <f t="array" ref="V130">_xlfn.IFS(AND($K130&gt;U$7,$L130&gt;U$7),0,AND($K130&lt;=U$7,$L130&lt;=U$7),1,AND($K130&lt;=U$7,$L130&gt;U$7),((U$7-$K130)/($L130-$K130)))</f>
        <v>0</v>
      </c>
      <c r="W130" s="201">
        <f t="array" ref="W130">_xlfn.IFS(AND($K130&gt;V$7,$L130&gt;V$7),0,AND($K130&lt;=V$7,$L130&lt;=V$7),1,AND($K130&lt;=V$7,$L130&gt;V$7),((V$7-$K130)/($L130-$K130)))</f>
        <v>0</v>
      </c>
      <c r="X130" s="201">
        <f t="array" ref="X130">_xlfn.IFS(AND($K130&gt;W$7,$L130&gt;W$7),0,AND($K130&lt;=W$7,$L130&lt;=W$7),1,AND($K130&lt;=W$7,$L130&gt;W$7),((W$7-$K130)/($L130-$K130)))</f>
        <v>0</v>
      </c>
      <c r="Y130" s="201">
        <f t="array" ref="Y130">_xlfn.IFS(AND($K130&gt;X$7,$L130&gt;X$7),0,AND($K130&lt;=X$7,$L130&lt;=X$7),1,AND($K130&lt;=X$7,$L130&gt;X$7),((X$7-$K130)/($L130-$K130)))</f>
        <v>0</v>
      </c>
      <c r="Z130" s="201">
        <f t="array" ref="Z130">_xlfn.IFS(AND($K130&gt;Y$7,$L130&gt;Y$7),0,AND($K130&lt;=Y$7,$L130&lt;=Y$7),1,AND($K130&lt;=Y$7,$L130&gt;Y$7),((Y$7-$K130)/($L130-$K130)))</f>
        <v>0</v>
      </c>
      <c r="AA130" s="201">
        <f t="array" ref="AA130">_xlfn.IFS(AND($K130&gt;Z$7,$L130&gt;Z$7),0,AND($K130&lt;=Z$7,$L130&lt;=Z$7),1,AND($K130&lt;=Z$7,$L130&gt;Z$7),((Z$7-$K130)/($L130-$K130)))</f>
        <v>0</v>
      </c>
      <c r="AB130" s="201">
        <f t="array" ref="AB130">_xlfn.IFS(AND($K130&gt;AA$7,$L130&gt;AA$7),0,AND($K130&lt;=AA$7,$L130&lt;=AA$7),1,AND($K130&lt;=AA$7,$L130&gt;AA$7),((AA$7-$K130)/($L130-$K130)))</f>
        <v>0</v>
      </c>
      <c r="AC130" s="201">
        <f t="array" ref="AC130">_xlfn.IFS(AND($K130&gt;AB$7,$L130&gt;AB$7),0,AND($K130&lt;=AB$7,$L130&lt;=AB$7),1,AND($K130&lt;=AB$7,$L130&gt;AB$7),((AB$7-$K130)/($L130-$K130)))</f>
        <v>0</v>
      </c>
      <c r="AD130" s="201">
        <f t="array" ref="AD130">_xlfn.IFS(AND($K130&gt;AC$7,$L130&gt;AC$7),0,AND($K130&lt;=AC$7,$L130&lt;=AC$7),1,AND($K130&lt;=AC$7,$L130&gt;AC$7),((AC$7-$K130)/($L130-$K130)))</f>
        <v>0</v>
      </c>
      <c r="AE130" s="201">
        <f t="array" ref="AE130">_xlfn.IFS(AND($K130&gt;AD$7,$L130&gt;AD$7),0,AND($K130&lt;=AD$7,$L130&lt;=AD$7),1,AND($K130&lt;=AD$7,$L130&gt;AD$7),((AD$7-$K130)/($L130-$K130)))</f>
        <v>0</v>
      </c>
      <c r="AF130" s="201">
        <f t="array" ref="AF130">_xlfn.IFS(AND($K130&gt;AE$7,$L130&gt;AE$7),0,AND($K130&lt;=AE$7,$L130&lt;=AE$7),1,AND($K130&lt;=AE$7,$L130&gt;AE$7),((AE$7-$K130)/($L130-$K130)))</f>
        <v>0</v>
      </c>
      <c r="AG130" s="201">
        <f t="array" ref="AG130">_xlfn.IFS(AND($K130&gt;AF$7,$L130&gt;AF$7),0,AND($K130&lt;=AF$7,$L130&lt;=AF$7),1,AND($K130&lt;=AF$7,$L130&gt;AF$7),((AF$7-$K130)/($L130-$K130)))</f>
        <v>0</v>
      </c>
      <c r="AH130" s="201">
        <f t="array" ref="AH130">_xlfn.IFS(AND($K130&gt;AG$7,$L130&gt;AG$7),0,AND($K130&lt;=AG$7,$L130&lt;=AG$7),1,AND($K130&lt;=AG$7,$L130&gt;AG$7),((AG$7-$K130)/($L130-$K130)))</f>
        <v>0</v>
      </c>
      <c r="AI130" s="201">
        <f t="array" ref="AI130">_xlfn.IFS(AND($K130&gt;AH$7,$L130&gt;AH$7),0,AND($K130&lt;=AH$7,$L130&lt;=AH$7),1,AND($K130&lt;=AH$7,$L130&gt;AH$7),((AH$7-$K130)/($L130-$K130)))</f>
        <v>0</v>
      </c>
      <c r="AJ130" s="201">
        <f t="array" ref="AJ130">_xlfn.IFS(AND($K130&gt;AI$7,$L130&gt;AI$7),0,AND($K130&lt;=AI$7,$L130&lt;=AI$7),1,AND($K130&lt;=AI$7,$L130&gt;AI$7),((AI$7-$K130)/($L130-$K130)))</f>
        <v>0</v>
      </c>
      <c r="AK130" s="201">
        <f t="array" ref="AK130">_xlfn.IFS(AND($K130&gt;AJ$7,$L130&gt;AJ$7),0,AND($K130&lt;=AJ$7,$L130&lt;=AJ$7),1,AND($K130&lt;=AJ$7,$L130&gt;AJ$7),((AJ$7-$K130)/($L130-$K130)))</f>
        <v>0</v>
      </c>
      <c r="AL130" s="201">
        <f t="array" ref="AL130">_xlfn.IFS(AND($K130&gt;AK$7,$L130&gt;AK$7),0,AND($K130&lt;=AK$7,$L130&lt;=AK$7),1,AND($K130&lt;=AK$7,$L130&gt;AK$7),((AK$7-$K130)/($L130-$K130)))</f>
        <v>0</v>
      </c>
      <c r="AM130" s="201">
        <f t="array" ref="AM130">_xlfn.IFS(AND($K130&gt;AL$7,$L130&gt;AL$7),0,AND($K130&lt;=AL$7,$L130&lt;=AL$7),1,AND($K130&lt;=AL$7,$L130&gt;AL$7),((AL$7-$K130)/($L130-$K130)))</f>
        <v>0</v>
      </c>
      <c r="AN130" s="201">
        <f t="array" ref="AN130">_xlfn.IFS(AND($K130&gt;AM$7,$L130&gt;AM$7),0,AND($K130&lt;=AM$7,$L130&lt;=AM$7),1,AND($K130&lt;=AM$7,$L130&gt;AM$7),((AM$7-$K130)/($L130-$K130)))</f>
        <v>0</v>
      </c>
      <c r="AO130" s="201">
        <f t="array" ref="AO130">_xlfn.IFS(AND($K130&gt;AN$7,$L130&gt;AN$7),0,AND($K130&lt;=AN$7,$L130&lt;=AN$7),1,AND($K130&lt;=AN$7,$L130&gt;AN$7),((AN$7-$K130)/($L130-$K130)))</f>
        <v>0</v>
      </c>
      <c r="AP130" s="201">
        <f t="array" ref="AP130">_xlfn.IFS(AND($K130&gt;AO$7,$L130&gt;AO$7),0,AND($K130&lt;=AO$7,$L130&lt;=AO$7),1,AND($K130&lt;=AO$7,$L130&gt;AO$7),((AO$7-$K130)/($L130-$K130)))</f>
        <v>0</v>
      </c>
      <c r="AQ130" s="201">
        <f t="array" ref="AQ130">_xlfn.IFS(AND($K130&gt;AP$7,$L130&gt;AP$7),0,AND($K130&lt;=AP$7,$L130&lt;=AP$7),1,AND($K130&lt;=AP$7,$L130&gt;AP$7),((AP$7-$K130)/($L130-$K130)))</f>
        <v>0</v>
      </c>
      <c r="AR130" s="201">
        <f t="array" ref="AR130">_xlfn.IFS(AND($K130&gt;AQ$7,$L130&gt;AQ$7),0,AND($K130&lt;=AQ$7,$L130&lt;=AQ$7),1,AND($K130&lt;=AQ$7,$L130&gt;AQ$7),((AQ$7-$K130)/($L130-$K130)))</f>
        <v>0</v>
      </c>
      <c r="AS130" s="201">
        <f t="array" ref="AS130">_xlfn.IFS(AND($K130&gt;AR$7,$L130&gt;AR$7),0,AND($K130&lt;=AR$7,$L130&lt;=AR$7),1,AND($K130&lt;=AR$7,$L130&gt;AR$7),((AR$7-$K130)/($L130-$K130)))</f>
        <v>0</v>
      </c>
      <c r="AT130" s="201">
        <f t="array" ref="AT130">_xlfn.IFS(AND($K130&gt;AS$7,$L130&gt;AS$7),0,AND($K130&lt;=AS$7,$L130&lt;=AS$7),1,AND($K130&lt;=AS$7,$L130&gt;AS$7),((AS$7-$K130)/($L130-$K130)))</f>
        <v>0</v>
      </c>
      <c r="AU130" s="201">
        <f t="array" ref="AU130">_xlfn.IFS(AND($K130&gt;AT$7,$L130&gt;AT$7),0,AND($K130&lt;=AT$7,$L130&lt;=AT$7),1,AND($K130&lt;=AT$7,$L130&gt;AT$7),((AT$7-$K130)/($L130-$K130)))</f>
        <v>0</v>
      </c>
      <c r="AV130" s="201">
        <f t="array" ref="AV130">_xlfn.IFS(AND($K130&gt;AU$7,$L130&gt;AU$7),0,AND($K130&lt;=AU$7,$L130&lt;=AU$7),1,AND($K130&lt;=AU$7,$L130&gt;AU$7),((AU$7-$K130)/($L130-$K130)))</f>
        <v>0</v>
      </c>
      <c r="AW130" s="201">
        <f t="array" ref="AW130">_xlfn.IFS(AND($K130&gt;AV$7,$L130&gt;AV$7),0,AND($K130&lt;=AV$7,$L130&lt;=AV$7),1,AND($K130&lt;=AV$7,$L130&gt;AV$7),((AV$7-$K130)/($L130-$K130)))</f>
        <v>0</v>
      </c>
      <c r="AX130" s="201">
        <f t="array" ref="AX130">_xlfn.IFS(AND($K130&gt;AW$7,$L130&gt;AW$7),0,AND($K130&lt;=AW$7,$L130&lt;=AW$7),1,AND($K130&lt;=AW$7,$L130&gt;AW$7),((AW$7-$K130)/($L130-$K130)))</f>
        <v>0</v>
      </c>
      <c r="AY130" s="201">
        <f t="array" ref="AY130">_xlfn.IFS(AND($K130&gt;AX$7,$L130&gt;AX$7),0,AND($K130&lt;=AX$7,$L130&lt;=AX$7),1,AND($K130&lt;=AX$7,$L130&gt;AX$7),((AX$7-$K130)/($L130-$K130)))</f>
        <v>0</v>
      </c>
      <c r="AZ130" s="201">
        <f t="array" ref="AZ130">_xlfn.IFS(AND($K130&gt;AY$7,$L130&gt;AY$7),0,AND($K130&lt;=AY$7,$L130&lt;=AY$7),1,AND($K130&lt;=AY$7,$L130&gt;AY$7),((AY$7-$K130)/($L130-$K130)))</f>
        <v>0.45454545454545453</v>
      </c>
      <c r="BA130" s="201">
        <f t="array" ref="BA130">_xlfn.IFS(AND($K130&gt;AZ$7,$L130&gt;AZ$7),0,AND($K130&lt;=AZ$7,$L130&lt;=AZ$7),1,AND($K130&lt;=AZ$7,$L130&gt;AZ$7),((AZ$7-$K130)/($L130-$K130)))</f>
        <v>1</v>
      </c>
      <c r="BB130" s="201">
        <f t="array" ref="BB130">_xlfn.IFS(AND($K130&gt;BA$7,$L130&gt;BA$7),0,AND($K130&lt;=BA$7,$L130&lt;=BA$7),1,AND($K130&lt;=BA$7,$L130&gt;BA$7),((BA$7-$K130)/($L130-$K130)))</f>
        <v>1</v>
      </c>
      <c r="BC130" s="201">
        <f t="array" ref="BC130">_xlfn.IFS(AND($K130&gt;BB$7,$L130&gt;BB$7),0,AND($K130&lt;=BB$7,$L130&lt;=BB$7),1,AND($K130&lt;=BB$7,$L130&gt;BB$7),((BB$7-$K130)/($L130-$K130)))</f>
        <v>1</v>
      </c>
      <c r="BD130" s="201">
        <f t="array" ref="BD130">_xlfn.IFS(AND($K130&gt;BC$7,$L130&gt;BC$7),0,AND($K130&lt;=BC$7,$L130&lt;=BC$7),1,AND($K130&lt;=BC$7,$L130&gt;BC$7),((BC$7-$K130)/($L130-$K130)))</f>
        <v>1</v>
      </c>
      <c r="BE130" s="201">
        <f t="array" ref="BE130">_xlfn.IFS(AND($K130&gt;BD$7,$L130&gt;BD$7),0,AND($K130&lt;=BD$7,$L130&lt;=BD$7),1,AND($K130&lt;=BD$7,$L130&gt;BD$7),((BD$7-$K130)/($L130-$K130)))</f>
        <v>1</v>
      </c>
      <c r="BF130" s="201">
        <f t="array" ref="BF130">_xlfn.IFS(AND($K130&gt;BE$7,$L130&gt;BE$7),0,AND($K130&lt;=BE$7,$L130&lt;=BE$7),1,AND($K130&lt;=BE$7,$L130&gt;BE$7),((BE$7-$K130)/($L130-$K130)))</f>
        <v>1</v>
      </c>
      <c r="BG130" s="201">
        <f t="array" ref="BG130">_xlfn.IFS(AND($K130&gt;BF$7,$L130&gt;BF$7),0,AND($K130&lt;=BF$7,$L130&lt;=BF$7),1,AND($K130&lt;=BF$7,$L130&gt;BF$7),((BF$7-$K130)/($L130-$K130)))</f>
        <v>1</v>
      </c>
      <c r="BH130" s="201">
        <f t="array" ref="BH130">_xlfn.IFS(AND($K130&gt;BG$7,$L130&gt;BG$7),0,AND($K130&lt;=BG$7,$L130&lt;=BG$7),1,AND($K130&lt;=BG$7,$L130&gt;BG$7),((BG$7-$K130)/($L130-$K130)))</f>
        <v>1</v>
      </c>
      <c r="BI130" s="201">
        <f t="array" ref="BI130">_xlfn.IFS(AND($K130&gt;BH$7,$L130&gt;BH$7),0,AND($K130&lt;=BH$7,$L130&lt;=BH$7),1,AND($K130&lt;=BH$7,$L130&gt;BH$7),((BH$7-$K130)/($L130-$K130)))</f>
        <v>1</v>
      </c>
      <c r="BJ130" s="201">
        <f t="array" ref="BJ130">_xlfn.IFS(AND($K130&gt;BI$7,$L130&gt;BI$7),0,AND($K130&lt;=BI$7,$L130&lt;=BI$7),1,AND($K130&lt;=BI$7,$L130&gt;BI$7),((BI$7-$K130)/($L130-$K130)))</f>
        <v>1</v>
      </c>
      <c r="BK130" s="201">
        <f t="array" ref="BK130">_xlfn.IFS(AND($K130&gt;BJ$7,$L130&gt;BJ$7),0,AND($K130&lt;=BJ$7,$L130&lt;=BJ$7),1,AND($K130&lt;=BJ$7,$L130&gt;BJ$7),((BJ$7-$K130)/($L130-$K130)))</f>
        <v>1</v>
      </c>
      <c r="BL130" s="201">
        <f t="array" ref="BL130">_xlfn.IFS(AND($K130&gt;BK$7,$L130&gt;BK$7),0,AND($K130&lt;=BK$7,$L130&lt;=BK$7),1,AND($K130&lt;=BK$7,$L130&gt;BK$7),((BK$7-$K130)/($L130-$K130)))</f>
        <v>1</v>
      </c>
      <c r="BM130" s="201">
        <f t="array" ref="BM130">_xlfn.IFS(AND($K130&gt;BL$7,$L130&gt;BL$7),0,AND($K130&lt;=BL$7,$L130&lt;=BL$7),1,AND($K130&lt;=BL$7,$L130&gt;BL$7),((BL$7-$K130)/($L130-$K130)))</f>
        <v>1</v>
      </c>
      <c r="BN130" s="201">
        <f t="array" ref="BN130">_xlfn.IFS(AND($K130&gt;BM$7,$L130&gt;BM$7),0,AND($K130&lt;=BM$7,$L130&lt;=BM$7),1,AND($K130&lt;=BM$7,$L130&gt;BM$7),((BM$7-$K130)/($L130-$K130)))</f>
        <v>1</v>
      </c>
    </row>
    <row r="131" spans="2:66" s="163" customFormat="1" ht="27.6" customHeight="1" x14ac:dyDescent="0.3">
      <c r="B131" s="166" t="s">
        <v>161</v>
      </c>
      <c r="C131" s="166" t="s">
        <v>308</v>
      </c>
      <c r="D131" s="177"/>
      <c r="E131" s="170" t="str">
        <f t="shared" si="49"/>
        <v>Desenvolvimento da Transformação dos Processos</v>
      </c>
      <c r="F131" s="174" t="str">
        <f t="shared" si="46"/>
        <v>Transformação do Processo</v>
      </c>
      <c r="G131" s="166" t="str">
        <f t="shared" si="50"/>
        <v>Transformação do Processo</v>
      </c>
      <c r="H131" s="197" t="s">
        <v>309</v>
      </c>
      <c r="I131" s="166">
        <v>45943</v>
      </c>
      <c r="J131" s="166">
        <v>45954</v>
      </c>
      <c r="K131" s="166">
        <v>45943</v>
      </c>
      <c r="L131" s="166">
        <v>45954</v>
      </c>
      <c r="M131" s="167"/>
      <c r="N131" s="167" t="str">
        <f t="array" ref="N131">_xlfn.IFS(L131&lt;$M$3,"Concluído",AND(K131&gt;=$M$3,I131&lt;$M$3,L131&gt;$M$3),"Em andamento",AND(L131&gt;=$M$3,J131&lt;$M$3),"Atrasado",AND(L131&gt;=$M$3,J131&gt;=$M$3,I131&gt;$M$3,K131&lt;=$M$3),"Em andamento",AND(L131&gt;=$M$3,J131&gt;=$M$3,I131&lt;=$M$3,K131&lt;=$M$3),"Em andamento",AND(K131&gt;$M$3,I131&gt;$M$3),"Não iniciado",AND(L131&gt;=$M$3,J131&gt;=$M$3,K131&gt;=$M$3,I131&lt;$M$3),"Atrasado",AND(L131&gt;=$M$3,J131&gt;=$M$3,K131&gt;=$M$3,I131&gt;$M$3),"Não iniciado",AND($I131&lt;=$M$3,$K131&gt;$M$3),"Atrasado")</f>
        <v>Não iniciado</v>
      </c>
      <c r="O131" s="167">
        <f t="array" ref="O131">_xlfn.IFS(N131="Não iniciado",0,N131="Em andamento",1,N131="Concluído",2,N131="Atrasado",3)</f>
        <v>0</v>
      </c>
      <c r="P131" s="169"/>
      <c r="Q131" s="152">
        <f t="array" ref="Q131">_xlfn.IFS(AND($I131&lt;$M$3,$J131&lt;$M$3),1,AND($I131&lt;$M$3,$J131&gt;=$M$3),0.5,AND($I131&gt;=$M$3,$J131&gt;=$M$3),0)</f>
        <v>0</v>
      </c>
      <c r="R131" s="152">
        <f t="array" ref="R131">_xlfn.IFS(AND($K131&lt;$M$3,$L131&lt;$M$3),1,AND($K131&lt;=$M$3,$L131&gt;=$M$3),0.5,AND($K131&gt;=$M$3,$L131&gt;=$M$3),0)</f>
        <v>0</v>
      </c>
      <c r="S131" s="201">
        <f t="array" ref="S131">_xlfn.IFS(AND($K131&gt;R$7,$L131&gt;R$7),0,AND($K131&lt;=R$7,$L131&lt;=R$7),1,AND($K131&lt;=R$7,$L131&gt;R$7),((R$7-$K131)/($L131-$K131)))</f>
        <v>0</v>
      </c>
      <c r="T131" s="201">
        <f t="array" ref="T131">_xlfn.IFS(AND($K131&gt;S$7,$L131&gt;S$7),0,AND($K131&lt;=S$7,$L131&lt;=S$7),1,AND($K131&lt;=S$7,$L131&gt;S$7),((S$7-$K131)/($L131-$K131)))</f>
        <v>0</v>
      </c>
      <c r="U131" s="201">
        <f t="array" ref="U131">_xlfn.IFS(AND($K131&gt;T$7,$L131&gt;T$7),0,AND($K131&lt;=T$7,$L131&lt;=T$7),1,AND($K131&lt;=T$7,$L131&gt;T$7),((T$7-$K131)/($L131-$K131)))</f>
        <v>0</v>
      </c>
      <c r="V131" s="201">
        <f t="array" ref="V131">_xlfn.IFS(AND($K131&gt;U$7,$L131&gt;U$7),0,AND($K131&lt;=U$7,$L131&lt;=U$7),1,AND($K131&lt;=U$7,$L131&gt;U$7),((U$7-$K131)/($L131-$K131)))</f>
        <v>0</v>
      </c>
      <c r="W131" s="201">
        <f t="array" ref="W131">_xlfn.IFS(AND($K131&gt;V$7,$L131&gt;V$7),0,AND($K131&lt;=V$7,$L131&lt;=V$7),1,AND($K131&lt;=V$7,$L131&gt;V$7),((V$7-$K131)/($L131-$K131)))</f>
        <v>0</v>
      </c>
      <c r="X131" s="201">
        <f t="array" ref="X131">_xlfn.IFS(AND($K131&gt;W$7,$L131&gt;W$7),0,AND($K131&lt;=W$7,$L131&lt;=W$7),1,AND($K131&lt;=W$7,$L131&gt;W$7),((W$7-$K131)/($L131-$K131)))</f>
        <v>0</v>
      </c>
      <c r="Y131" s="201">
        <f t="array" ref="Y131">_xlfn.IFS(AND($K131&gt;X$7,$L131&gt;X$7),0,AND($K131&lt;=X$7,$L131&lt;=X$7),1,AND($K131&lt;=X$7,$L131&gt;X$7),((X$7-$K131)/($L131-$K131)))</f>
        <v>0</v>
      </c>
      <c r="Z131" s="201">
        <f t="array" ref="Z131">_xlfn.IFS(AND($K131&gt;Y$7,$L131&gt;Y$7),0,AND($K131&lt;=Y$7,$L131&lt;=Y$7),1,AND($K131&lt;=Y$7,$L131&gt;Y$7),((Y$7-$K131)/($L131-$K131)))</f>
        <v>0</v>
      </c>
      <c r="AA131" s="201">
        <f t="array" ref="AA131">_xlfn.IFS(AND($K131&gt;Z$7,$L131&gt;Z$7),0,AND($K131&lt;=Z$7,$L131&lt;=Z$7),1,AND($K131&lt;=Z$7,$L131&gt;Z$7),((Z$7-$K131)/($L131-$K131)))</f>
        <v>0</v>
      </c>
      <c r="AB131" s="201">
        <f t="array" ref="AB131">_xlfn.IFS(AND($K131&gt;AA$7,$L131&gt;AA$7),0,AND($K131&lt;=AA$7,$L131&lt;=AA$7),1,AND($K131&lt;=AA$7,$L131&gt;AA$7),((AA$7-$K131)/($L131-$K131)))</f>
        <v>0</v>
      </c>
      <c r="AC131" s="201">
        <f t="array" ref="AC131">_xlfn.IFS(AND($K131&gt;AB$7,$L131&gt;AB$7),0,AND($K131&lt;=AB$7,$L131&lt;=AB$7),1,AND($K131&lt;=AB$7,$L131&gt;AB$7),((AB$7-$K131)/($L131-$K131)))</f>
        <v>0</v>
      </c>
      <c r="AD131" s="201">
        <f t="array" ref="AD131">_xlfn.IFS(AND($K131&gt;AC$7,$L131&gt;AC$7),0,AND($K131&lt;=AC$7,$L131&lt;=AC$7),1,AND($K131&lt;=AC$7,$L131&gt;AC$7),((AC$7-$K131)/($L131-$K131)))</f>
        <v>0</v>
      </c>
      <c r="AE131" s="201">
        <f t="array" ref="AE131">_xlfn.IFS(AND($K131&gt;AD$7,$L131&gt;AD$7),0,AND($K131&lt;=AD$7,$L131&lt;=AD$7),1,AND($K131&lt;=AD$7,$L131&gt;AD$7),((AD$7-$K131)/($L131-$K131)))</f>
        <v>0</v>
      </c>
      <c r="AF131" s="201">
        <f t="array" ref="AF131">_xlfn.IFS(AND($K131&gt;AE$7,$L131&gt;AE$7),0,AND($K131&lt;=AE$7,$L131&lt;=AE$7),1,AND($K131&lt;=AE$7,$L131&gt;AE$7),((AE$7-$K131)/($L131-$K131)))</f>
        <v>0</v>
      </c>
      <c r="AG131" s="201">
        <f t="array" ref="AG131">_xlfn.IFS(AND($K131&gt;AF$7,$L131&gt;AF$7),0,AND($K131&lt;=AF$7,$L131&lt;=AF$7),1,AND($K131&lt;=AF$7,$L131&gt;AF$7),((AF$7-$K131)/($L131-$K131)))</f>
        <v>0</v>
      </c>
      <c r="AH131" s="201">
        <f t="array" ref="AH131">_xlfn.IFS(AND($K131&gt;AG$7,$L131&gt;AG$7),0,AND($K131&lt;=AG$7,$L131&lt;=AG$7),1,AND($K131&lt;=AG$7,$L131&gt;AG$7),((AG$7-$K131)/($L131-$K131)))</f>
        <v>0</v>
      </c>
      <c r="AI131" s="201">
        <f t="array" ref="AI131">_xlfn.IFS(AND($K131&gt;AH$7,$L131&gt;AH$7),0,AND($K131&lt;=AH$7,$L131&lt;=AH$7),1,AND($K131&lt;=AH$7,$L131&gt;AH$7),((AH$7-$K131)/($L131-$K131)))</f>
        <v>0</v>
      </c>
      <c r="AJ131" s="201">
        <f t="array" ref="AJ131">_xlfn.IFS(AND($K131&gt;AI$7,$L131&gt;AI$7),0,AND($K131&lt;=AI$7,$L131&lt;=AI$7),1,AND($K131&lt;=AI$7,$L131&gt;AI$7),((AI$7-$K131)/($L131-$K131)))</f>
        <v>0</v>
      </c>
      <c r="AK131" s="201">
        <f t="array" ref="AK131">_xlfn.IFS(AND($K131&gt;AJ$7,$L131&gt;AJ$7),0,AND($K131&lt;=AJ$7,$L131&lt;=AJ$7),1,AND($K131&lt;=AJ$7,$L131&gt;AJ$7),((AJ$7-$K131)/($L131-$K131)))</f>
        <v>0</v>
      </c>
      <c r="AL131" s="201">
        <f t="array" ref="AL131">_xlfn.IFS(AND($K131&gt;AK$7,$L131&gt;AK$7),0,AND($K131&lt;=AK$7,$L131&lt;=AK$7),1,AND($K131&lt;=AK$7,$L131&gt;AK$7),((AK$7-$K131)/($L131-$K131)))</f>
        <v>0</v>
      </c>
      <c r="AM131" s="201">
        <f t="array" ref="AM131">_xlfn.IFS(AND($K131&gt;AL$7,$L131&gt;AL$7),0,AND($K131&lt;=AL$7,$L131&lt;=AL$7),1,AND($K131&lt;=AL$7,$L131&gt;AL$7),((AL$7-$K131)/($L131-$K131)))</f>
        <v>0</v>
      </c>
      <c r="AN131" s="201">
        <f t="array" ref="AN131">_xlfn.IFS(AND($K131&gt;AM$7,$L131&gt;AM$7),0,AND($K131&lt;=AM$7,$L131&lt;=AM$7),1,AND($K131&lt;=AM$7,$L131&gt;AM$7),((AM$7-$K131)/($L131-$K131)))</f>
        <v>0</v>
      </c>
      <c r="AO131" s="201">
        <f t="array" ref="AO131">_xlfn.IFS(AND($K131&gt;AN$7,$L131&gt;AN$7),0,AND($K131&lt;=AN$7,$L131&lt;=AN$7),1,AND($K131&lt;=AN$7,$L131&gt;AN$7),((AN$7-$K131)/($L131-$K131)))</f>
        <v>0</v>
      </c>
      <c r="AP131" s="201">
        <f t="array" ref="AP131">_xlfn.IFS(AND($K131&gt;AO$7,$L131&gt;AO$7),0,AND($K131&lt;=AO$7,$L131&lt;=AO$7),1,AND($K131&lt;=AO$7,$L131&gt;AO$7),((AO$7-$K131)/($L131-$K131)))</f>
        <v>0</v>
      </c>
      <c r="AQ131" s="201">
        <f t="array" ref="AQ131">_xlfn.IFS(AND($K131&gt;AP$7,$L131&gt;AP$7),0,AND($K131&lt;=AP$7,$L131&lt;=AP$7),1,AND($K131&lt;=AP$7,$L131&gt;AP$7),((AP$7-$K131)/($L131-$K131)))</f>
        <v>0</v>
      </c>
      <c r="AR131" s="201">
        <f t="array" ref="AR131">_xlfn.IFS(AND($K131&gt;AQ$7,$L131&gt;AQ$7),0,AND($K131&lt;=AQ$7,$L131&lt;=AQ$7),1,AND($K131&lt;=AQ$7,$L131&gt;AQ$7),((AQ$7-$K131)/($L131-$K131)))</f>
        <v>0</v>
      </c>
      <c r="AS131" s="201">
        <f t="array" ref="AS131">_xlfn.IFS(AND($K131&gt;AR$7,$L131&gt;AR$7),0,AND($K131&lt;=AR$7,$L131&lt;=AR$7),1,AND($K131&lt;=AR$7,$L131&gt;AR$7),((AR$7-$K131)/($L131-$K131)))</f>
        <v>0</v>
      </c>
      <c r="AT131" s="201">
        <f t="array" ref="AT131">_xlfn.IFS(AND($K131&gt;AS$7,$L131&gt;AS$7),0,AND($K131&lt;=AS$7,$L131&lt;=AS$7),1,AND($K131&lt;=AS$7,$L131&gt;AS$7),((AS$7-$K131)/($L131-$K131)))</f>
        <v>0</v>
      </c>
      <c r="AU131" s="201">
        <f t="array" ref="AU131">_xlfn.IFS(AND($K131&gt;AT$7,$L131&gt;AT$7),0,AND($K131&lt;=AT$7,$L131&lt;=AT$7),1,AND($K131&lt;=AT$7,$L131&gt;AT$7),((AT$7-$K131)/($L131-$K131)))</f>
        <v>0</v>
      </c>
      <c r="AV131" s="201">
        <f t="array" ref="AV131">_xlfn.IFS(AND($K131&gt;AU$7,$L131&gt;AU$7),0,AND($K131&lt;=AU$7,$L131&lt;=AU$7),1,AND($K131&lt;=AU$7,$L131&gt;AU$7),((AU$7-$K131)/($L131-$K131)))</f>
        <v>0</v>
      </c>
      <c r="AW131" s="201">
        <f t="array" ref="AW131">_xlfn.IFS(AND($K131&gt;AV$7,$L131&gt;AV$7),0,AND($K131&lt;=AV$7,$L131&lt;=AV$7),1,AND($K131&lt;=AV$7,$L131&gt;AV$7),((AV$7-$K131)/($L131-$K131)))</f>
        <v>0</v>
      </c>
      <c r="AX131" s="201">
        <f t="array" ref="AX131">_xlfn.IFS(AND($K131&gt;AW$7,$L131&gt;AW$7),0,AND($K131&lt;=AW$7,$L131&lt;=AW$7),1,AND($K131&lt;=AW$7,$L131&gt;AW$7),((AW$7-$K131)/($L131-$K131)))</f>
        <v>0</v>
      </c>
      <c r="AY131" s="201">
        <f t="array" ref="AY131">_xlfn.IFS(AND($K131&gt;AX$7,$L131&gt;AX$7),0,AND($K131&lt;=AX$7,$L131&lt;=AX$7),1,AND($K131&lt;=AX$7,$L131&gt;AX$7),((AX$7-$K131)/($L131-$K131)))</f>
        <v>0</v>
      </c>
      <c r="AZ131" s="201">
        <f t="array" ref="AZ131">_xlfn.IFS(AND($K131&gt;AY$7,$L131&gt;AY$7),0,AND($K131&lt;=AY$7,$L131&lt;=AY$7),1,AND($K131&lt;=AY$7,$L131&gt;AY$7),((AY$7-$K131)/($L131-$K131)))</f>
        <v>0</v>
      </c>
      <c r="BA131" s="201">
        <f t="array" ref="BA131">_xlfn.IFS(AND($K131&gt;AZ$7,$L131&gt;AZ$7),0,AND($K131&lt;=AZ$7,$L131&lt;=AZ$7),1,AND($K131&lt;=AZ$7,$L131&gt;AZ$7),((AZ$7-$K131)/($L131-$K131)))</f>
        <v>0</v>
      </c>
      <c r="BB131" s="201">
        <f t="array" ref="BB131">_xlfn.IFS(AND($K131&gt;BA$7,$L131&gt;BA$7),0,AND($K131&lt;=BA$7,$L131&lt;=BA$7),1,AND($K131&lt;=BA$7,$L131&gt;BA$7),((BA$7-$K131)/($L131-$K131)))</f>
        <v>0</v>
      </c>
      <c r="BC131" s="201">
        <f t="array" ref="BC131">_xlfn.IFS(AND($K131&gt;BB$7,$L131&gt;BB$7),0,AND($K131&lt;=BB$7,$L131&lt;=BB$7),1,AND($K131&lt;=BB$7,$L131&gt;BB$7),((BB$7-$K131)/($L131-$K131)))</f>
        <v>0</v>
      </c>
      <c r="BD131" s="201">
        <f t="array" ref="BD131">_xlfn.IFS(AND($K131&gt;BC$7,$L131&gt;BC$7),0,AND($K131&lt;=BC$7,$L131&lt;=BC$7),1,AND($K131&lt;=BC$7,$L131&gt;BC$7),((BC$7-$K131)/($L131-$K131)))</f>
        <v>0.45454545454545453</v>
      </c>
      <c r="BE131" s="201">
        <f t="array" ref="BE131">_xlfn.IFS(AND($K131&gt;BD$7,$L131&gt;BD$7),0,AND($K131&lt;=BD$7,$L131&lt;=BD$7),1,AND($K131&lt;=BD$7,$L131&gt;BD$7),((BD$7-$K131)/($L131-$K131)))</f>
        <v>1</v>
      </c>
      <c r="BF131" s="201">
        <f t="array" ref="BF131">_xlfn.IFS(AND($K131&gt;BE$7,$L131&gt;BE$7),0,AND($K131&lt;=BE$7,$L131&lt;=BE$7),1,AND($K131&lt;=BE$7,$L131&gt;BE$7),((BE$7-$K131)/($L131-$K131)))</f>
        <v>1</v>
      </c>
      <c r="BG131" s="201">
        <f t="array" ref="BG131">_xlfn.IFS(AND($K131&gt;BF$7,$L131&gt;BF$7),0,AND($K131&lt;=BF$7,$L131&lt;=BF$7),1,AND($K131&lt;=BF$7,$L131&gt;BF$7),((BF$7-$K131)/($L131-$K131)))</f>
        <v>1</v>
      </c>
      <c r="BH131" s="201">
        <f t="array" ref="BH131">_xlfn.IFS(AND($K131&gt;BG$7,$L131&gt;BG$7),0,AND($K131&lt;=BG$7,$L131&lt;=BG$7),1,AND($K131&lt;=BG$7,$L131&gt;BG$7),((BG$7-$K131)/($L131-$K131)))</f>
        <v>1</v>
      </c>
      <c r="BI131" s="201">
        <f t="array" ref="BI131">_xlfn.IFS(AND($K131&gt;BH$7,$L131&gt;BH$7),0,AND($K131&lt;=BH$7,$L131&lt;=BH$7),1,AND($K131&lt;=BH$7,$L131&gt;BH$7),((BH$7-$K131)/($L131-$K131)))</f>
        <v>1</v>
      </c>
      <c r="BJ131" s="201">
        <f t="array" ref="BJ131">_xlfn.IFS(AND($K131&gt;BI$7,$L131&gt;BI$7),0,AND($K131&lt;=BI$7,$L131&lt;=BI$7),1,AND($K131&lt;=BI$7,$L131&gt;BI$7),((BI$7-$K131)/($L131-$K131)))</f>
        <v>1</v>
      </c>
      <c r="BK131" s="201">
        <f t="array" ref="BK131">_xlfn.IFS(AND($K131&gt;BJ$7,$L131&gt;BJ$7),0,AND($K131&lt;=BJ$7,$L131&lt;=BJ$7),1,AND($K131&lt;=BJ$7,$L131&gt;BJ$7),((BJ$7-$K131)/($L131-$K131)))</f>
        <v>1</v>
      </c>
      <c r="BL131" s="201">
        <f t="array" ref="BL131">_xlfn.IFS(AND($K131&gt;BK$7,$L131&gt;BK$7),0,AND($K131&lt;=BK$7,$L131&lt;=BK$7),1,AND($K131&lt;=BK$7,$L131&gt;BK$7),((BK$7-$K131)/($L131-$K131)))</f>
        <v>1</v>
      </c>
      <c r="BM131" s="201">
        <f t="array" ref="BM131">_xlfn.IFS(AND($K131&gt;BL$7,$L131&gt;BL$7),0,AND($K131&lt;=BL$7,$L131&lt;=BL$7),1,AND($K131&lt;=BL$7,$L131&gt;BL$7),((BL$7-$K131)/($L131-$K131)))</f>
        <v>1</v>
      </c>
      <c r="BN131" s="201">
        <f t="array" ref="BN131">_xlfn.IFS(AND($K131&gt;BM$7,$L131&gt;BM$7),0,AND($K131&lt;=BM$7,$L131&lt;=BM$7),1,AND($K131&lt;=BM$7,$L131&gt;BM$7),((BM$7-$K131)/($L131-$K131)))</f>
        <v>1</v>
      </c>
    </row>
    <row r="132" spans="2:66" s="163" customFormat="1" ht="27.6" customHeight="1" x14ac:dyDescent="0.3">
      <c r="B132" s="166" t="s">
        <v>161</v>
      </c>
      <c r="C132" s="166" t="s">
        <v>310</v>
      </c>
      <c r="D132" s="177"/>
      <c r="E132" s="170" t="str">
        <f t="shared" si="49"/>
        <v>Desenvolvimento da Transformação dos Processos</v>
      </c>
      <c r="F132" s="174" t="str">
        <f t="shared" si="46"/>
        <v>Transformação do Processo</v>
      </c>
      <c r="G132" s="166" t="str">
        <f t="shared" si="50"/>
        <v>Transformação do Processo</v>
      </c>
      <c r="H132" s="197" t="s">
        <v>311</v>
      </c>
      <c r="I132" s="166">
        <v>45943</v>
      </c>
      <c r="J132" s="166">
        <v>45954</v>
      </c>
      <c r="K132" s="166">
        <v>45943</v>
      </c>
      <c r="L132" s="166">
        <v>45954</v>
      </c>
      <c r="M132" s="167"/>
      <c r="N132" s="167" t="str">
        <f t="array" ref="N132">_xlfn.IFS(L132&lt;$M$3,"Concluído",AND(K132&gt;=$M$3,I132&lt;$M$3,L132&gt;$M$3),"Em andamento",AND(L132&gt;=$M$3,J132&lt;$M$3),"Atrasado",AND(L132&gt;=$M$3,J132&gt;=$M$3,I132&gt;$M$3,K132&lt;=$M$3),"Em andamento",AND(L132&gt;=$M$3,J132&gt;=$M$3,I132&lt;=$M$3,K132&lt;=$M$3),"Em andamento",AND(K132&gt;$M$3,I132&gt;$M$3),"Não iniciado",AND(L132&gt;=$M$3,J132&gt;=$M$3,K132&gt;=$M$3,I132&lt;$M$3),"Atrasado",AND(L132&gt;=$M$3,J132&gt;=$M$3,K132&gt;=$M$3,I132&gt;$M$3),"Não iniciado",AND($I132&lt;=$M$3,$K132&gt;$M$3),"Atrasado")</f>
        <v>Não iniciado</v>
      </c>
      <c r="O132" s="167">
        <f t="array" ref="O132">_xlfn.IFS(N132="Não iniciado",0,N132="Em andamento",1,N132="Concluído",2,N132="Atrasado",3)</f>
        <v>0</v>
      </c>
      <c r="P132" s="169"/>
      <c r="Q132" s="152">
        <f t="array" ref="Q132">_xlfn.IFS(AND($I132&lt;$M$3,$J132&lt;$M$3),1,AND($I132&lt;$M$3,$J132&gt;=$M$3),0.5,AND($I132&gt;=$M$3,$J132&gt;=$M$3),0)</f>
        <v>0</v>
      </c>
      <c r="R132" s="152">
        <f t="array" ref="R132">_xlfn.IFS(AND($K132&lt;$M$3,$L132&lt;$M$3),1,AND($K132&lt;=$M$3,$L132&gt;=$M$3),0.5,AND($K132&gt;=$M$3,$L132&gt;=$M$3),0)</f>
        <v>0</v>
      </c>
      <c r="S132" s="201">
        <f t="array" ref="S132">_xlfn.IFS(AND($K132&gt;R$7,$L132&gt;R$7),0,AND($K132&lt;=R$7,$L132&lt;=R$7),1,AND($K132&lt;=R$7,$L132&gt;R$7),((R$7-$K132)/($L132-$K132)))</f>
        <v>0</v>
      </c>
      <c r="T132" s="201">
        <f t="array" ref="T132">_xlfn.IFS(AND($K132&gt;S$7,$L132&gt;S$7),0,AND($K132&lt;=S$7,$L132&lt;=S$7),1,AND($K132&lt;=S$7,$L132&gt;S$7),((S$7-$K132)/($L132-$K132)))</f>
        <v>0</v>
      </c>
      <c r="U132" s="201">
        <f t="array" ref="U132">_xlfn.IFS(AND($K132&gt;T$7,$L132&gt;T$7),0,AND($K132&lt;=T$7,$L132&lt;=T$7),1,AND($K132&lt;=T$7,$L132&gt;T$7),((T$7-$K132)/($L132-$K132)))</f>
        <v>0</v>
      </c>
      <c r="V132" s="201">
        <f t="array" ref="V132">_xlfn.IFS(AND($K132&gt;U$7,$L132&gt;U$7),0,AND($K132&lt;=U$7,$L132&lt;=U$7),1,AND($K132&lt;=U$7,$L132&gt;U$7),((U$7-$K132)/($L132-$K132)))</f>
        <v>0</v>
      </c>
      <c r="W132" s="201">
        <f t="array" ref="W132">_xlfn.IFS(AND($K132&gt;V$7,$L132&gt;V$7),0,AND($K132&lt;=V$7,$L132&lt;=V$7),1,AND($K132&lt;=V$7,$L132&gt;V$7),((V$7-$K132)/($L132-$K132)))</f>
        <v>0</v>
      </c>
      <c r="X132" s="201">
        <f t="array" ref="X132">_xlfn.IFS(AND($K132&gt;W$7,$L132&gt;W$7),0,AND($K132&lt;=W$7,$L132&lt;=W$7),1,AND($K132&lt;=W$7,$L132&gt;W$7),((W$7-$K132)/($L132-$K132)))</f>
        <v>0</v>
      </c>
      <c r="Y132" s="201">
        <f t="array" ref="Y132">_xlfn.IFS(AND($K132&gt;X$7,$L132&gt;X$7),0,AND($K132&lt;=X$7,$L132&lt;=X$7),1,AND($K132&lt;=X$7,$L132&gt;X$7),((X$7-$K132)/($L132-$K132)))</f>
        <v>0</v>
      </c>
      <c r="Z132" s="201">
        <f t="array" ref="Z132">_xlfn.IFS(AND($K132&gt;Y$7,$L132&gt;Y$7),0,AND($K132&lt;=Y$7,$L132&lt;=Y$7),1,AND($K132&lt;=Y$7,$L132&gt;Y$7),((Y$7-$K132)/($L132-$K132)))</f>
        <v>0</v>
      </c>
      <c r="AA132" s="201">
        <f t="array" ref="AA132">_xlfn.IFS(AND($K132&gt;Z$7,$L132&gt;Z$7),0,AND($K132&lt;=Z$7,$L132&lt;=Z$7),1,AND($K132&lt;=Z$7,$L132&gt;Z$7),((Z$7-$K132)/($L132-$K132)))</f>
        <v>0</v>
      </c>
      <c r="AB132" s="201">
        <f t="array" ref="AB132">_xlfn.IFS(AND($K132&gt;AA$7,$L132&gt;AA$7),0,AND($K132&lt;=AA$7,$L132&lt;=AA$7),1,AND($K132&lt;=AA$7,$L132&gt;AA$7),((AA$7-$K132)/($L132-$K132)))</f>
        <v>0</v>
      </c>
      <c r="AC132" s="201">
        <f t="array" ref="AC132">_xlfn.IFS(AND($K132&gt;AB$7,$L132&gt;AB$7),0,AND($K132&lt;=AB$7,$L132&lt;=AB$7),1,AND($K132&lt;=AB$7,$L132&gt;AB$7),((AB$7-$K132)/($L132-$K132)))</f>
        <v>0</v>
      </c>
      <c r="AD132" s="201">
        <f t="array" ref="AD132">_xlfn.IFS(AND($K132&gt;AC$7,$L132&gt;AC$7),0,AND($K132&lt;=AC$7,$L132&lt;=AC$7),1,AND($K132&lt;=AC$7,$L132&gt;AC$7),((AC$7-$K132)/($L132-$K132)))</f>
        <v>0</v>
      </c>
      <c r="AE132" s="201">
        <f t="array" ref="AE132">_xlfn.IFS(AND($K132&gt;AD$7,$L132&gt;AD$7),0,AND($K132&lt;=AD$7,$L132&lt;=AD$7),1,AND($K132&lt;=AD$7,$L132&gt;AD$7),((AD$7-$K132)/($L132-$K132)))</f>
        <v>0</v>
      </c>
      <c r="AF132" s="201">
        <f t="array" ref="AF132">_xlfn.IFS(AND($K132&gt;AE$7,$L132&gt;AE$7),0,AND($K132&lt;=AE$7,$L132&lt;=AE$7),1,AND($K132&lt;=AE$7,$L132&gt;AE$7),((AE$7-$K132)/($L132-$K132)))</f>
        <v>0</v>
      </c>
      <c r="AG132" s="201">
        <f t="array" ref="AG132">_xlfn.IFS(AND($K132&gt;AF$7,$L132&gt;AF$7),0,AND($K132&lt;=AF$7,$L132&lt;=AF$7),1,AND($K132&lt;=AF$7,$L132&gt;AF$7),((AF$7-$K132)/($L132-$K132)))</f>
        <v>0</v>
      </c>
      <c r="AH132" s="201">
        <f t="array" ref="AH132">_xlfn.IFS(AND($K132&gt;AG$7,$L132&gt;AG$7),0,AND($K132&lt;=AG$7,$L132&lt;=AG$7),1,AND($K132&lt;=AG$7,$L132&gt;AG$7),((AG$7-$K132)/($L132-$K132)))</f>
        <v>0</v>
      </c>
      <c r="AI132" s="201">
        <f t="array" ref="AI132">_xlfn.IFS(AND($K132&gt;AH$7,$L132&gt;AH$7),0,AND($K132&lt;=AH$7,$L132&lt;=AH$7),1,AND($K132&lt;=AH$7,$L132&gt;AH$7),((AH$7-$K132)/($L132-$K132)))</f>
        <v>0</v>
      </c>
      <c r="AJ132" s="201">
        <f t="array" ref="AJ132">_xlfn.IFS(AND($K132&gt;AI$7,$L132&gt;AI$7),0,AND($K132&lt;=AI$7,$L132&lt;=AI$7),1,AND($K132&lt;=AI$7,$L132&gt;AI$7),((AI$7-$K132)/($L132-$K132)))</f>
        <v>0</v>
      </c>
      <c r="AK132" s="201">
        <f t="array" ref="AK132">_xlfn.IFS(AND($K132&gt;AJ$7,$L132&gt;AJ$7),0,AND($K132&lt;=AJ$7,$L132&lt;=AJ$7),1,AND($K132&lt;=AJ$7,$L132&gt;AJ$7),((AJ$7-$K132)/($L132-$K132)))</f>
        <v>0</v>
      </c>
      <c r="AL132" s="201">
        <f t="array" ref="AL132">_xlfn.IFS(AND($K132&gt;AK$7,$L132&gt;AK$7),0,AND($K132&lt;=AK$7,$L132&lt;=AK$7),1,AND($K132&lt;=AK$7,$L132&gt;AK$7),((AK$7-$K132)/($L132-$K132)))</f>
        <v>0</v>
      </c>
      <c r="AM132" s="201">
        <f t="array" ref="AM132">_xlfn.IFS(AND($K132&gt;AL$7,$L132&gt;AL$7),0,AND($K132&lt;=AL$7,$L132&lt;=AL$7),1,AND($K132&lt;=AL$7,$L132&gt;AL$7),((AL$7-$K132)/($L132-$K132)))</f>
        <v>0</v>
      </c>
      <c r="AN132" s="201">
        <f t="array" ref="AN132">_xlfn.IFS(AND($K132&gt;AM$7,$L132&gt;AM$7),0,AND($K132&lt;=AM$7,$L132&lt;=AM$7),1,AND($K132&lt;=AM$7,$L132&gt;AM$7),((AM$7-$K132)/($L132-$K132)))</f>
        <v>0</v>
      </c>
      <c r="AO132" s="201">
        <f t="array" ref="AO132">_xlfn.IFS(AND($K132&gt;AN$7,$L132&gt;AN$7),0,AND($K132&lt;=AN$7,$L132&lt;=AN$7),1,AND($K132&lt;=AN$7,$L132&gt;AN$7),((AN$7-$K132)/($L132-$K132)))</f>
        <v>0</v>
      </c>
      <c r="AP132" s="201">
        <f t="array" ref="AP132">_xlfn.IFS(AND($K132&gt;AO$7,$L132&gt;AO$7),0,AND($K132&lt;=AO$7,$L132&lt;=AO$7),1,AND($K132&lt;=AO$7,$L132&gt;AO$7),((AO$7-$K132)/($L132-$K132)))</f>
        <v>0</v>
      </c>
      <c r="AQ132" s="201">
        <f t="array" ref="AQ132">_xlfn.IFS(AND($K132&gt;AP$7,$L132&gt;AP$7),0,AND($K132&lt;=AP$7,$L132&lt;=AP$7),1,AND($K132&lt;=AP$7,$L132&gt;AP$7),((AP$7-$K132)/($L132-$K132)))</f>
        <v>0</v>
      </c>
      <c r="AR132" s="201">
        <f t="array" ref="AR132">_xlfn.IFS(AND($K132&gt;AQ$7,$L132&gt;AQ$7),0,AND($K132&lt;=AQ$7,$L132&lt;=AQ$7),1,AND($K132&lt;=AQ$7,$L132&gt;AQ$7),((AQ$7-$K132)/($L132-$K132)))</f>
        <v>0</v>
      </c>
      <c r="AS132" s="201">
        <f t="array" ref="AS132">_xlfn.IFS(AND($K132&gt;AR$7,$L132&gt;AR$7),0,AND($K132&lt;=AR$7,$L132&lt;=AR$7),1,AND($K132&lt;=AR$7,$L132&gt;AR$7),((AR$7-$K132)/($L132-$K132)))</f>
        <v>0</v>
      </c>
      <c r="AT132" s="201">
        <f t="array" ref="AT132">_xlfn.IFS(AND($K132&gt;AS$7,$L132&gt;AS$7),0,AND($K132&lt;=AS$7,$L132&lt;=AS$7),1,AND($K132&lt;=AS$7,$L132&gt;AS$7),((AS$7-$K132)/($L132-$K132)))</f>
        <v>0</v>
      </c>
      <c r="AU132" s="201">
        <f t="array" ref="AU132">_xlfn.IFS(AND($K132&gt;AT$7,$L132&gt;AT$7),0,AND($K132&lt;=AT$7,$L132&lt;=AT$7),1,AND($K132&lt;=AT$7,$L132&gt;AT$7),((AT$7-$K132)/($L132-$K132)))</f>
        <v>0</v>
      </c>
      <c r="AV132" s="201">
        <f t="array" ref="AV132">_xlfn.IFS(AND($K132&gt;AU$7,$L132&gt;AU$7),0,AND($K132&lt;=AU$7,$L132&lt;=AU$7),1,AND($K132&lt;=AU$7,$L132&gt;AU$7),((AU$7-$K132)/($L132-$K132)))</f>
        <v>0</v>
      </c>
      <c r="AW132" s="201">
        <f t="array" ref="AW132">_xlfn.IFS(AND($K132&gt;AV$7,$L132&gt;AV$7),0,AND($K132&lt;=AV$7,$L132&lt;=AV$7),1,AND($K132&lt;=AV$7,$L132&gt;AV$7),((AV$7-$K132)/($L132-$K132)))</f>
        <v>0</v>
      </c>
      <c r="AX132" s="201">
        <f t="array" ref="AX132">_xlfn.IFS(AND($K132&gt;AW$7,$L132&gt;AW$7),0,AND($K132&lt;=AW$7,$L132&lt;=AW$7),1,AND($K132&lt;=AW$7,$L132&gt;AW$7),((AW$7-$K132)/($L132-$K132)))</f>
        <v>0</v>
      </c>
      <c r="AY132" s="201">
        <f t="array" ref="AY132">_xlfn.IFS(AND($K132&gt;AX$7,$L132&gt;AX$7),0,AND($K132&lt;=AX$7,$L132&lt;=AX$7),1,AND($K132&lt;=AX$7,$L132&gt;AX$7),((AX$7-$K132)/($L132-$K132)))</f>
        <v>0</v>
      </c>
      <c r="AZ132" s="201">
        <f t="array" ref="AZ132">_xlfn.IFS(AND($K132&gt;AY$7,$L132&gt;AY$7),0,AND($K132&lt;=AY$7,$L132&lt;=AY$7),1,AND($K132&lt;=AY$7,$L132&gt;AY$7),((AY$7-$K132)/($L132-$K132)))</f>
        <v>0</v>
      </c>
      <c r="BA132" s="201">
        <f t="array" ref="BA132">_xlfn.IFS(AND($K132&gt;AZ$7,$L132&gt;AZ$7),0,AND($K132&lt;=AZ$7,$L132&lt;=AZ$7),1,AND($K132&lt;=AZ$7,$L132&gt;AZ$7),((AZ$7-$K132)/($L132-$K132)))</f>
        <v>0</v>
      </c>
      <c r="BB132" s="201">
        <f t="array" ref="BB132">_xlfn.IFS(AND($K132&gt;BA$7,$L132&gt;BA$7),0,AND($K132&lt;=BA$7,$L132&lt;=BA$7),1,AND($K132&lt;=BA$7,$L132&gt;BA$7),((BA$7-$K132)/($L132-$K132)))</f>
        <v>0</v>
      </c>
      <c r="BC132" s="201">
        <f t="array" ref="BC132">_xlfn.IFS(AND($K132&gt;BB$7,$L132&gt;BB$7),0,AND($K132&lt;=BB$7,$L132&lt;=BB$7),1,AND($K132&lt;=BB$7,$L132&gt;BB$7),((BB$7-$K132)/($L132-$K132)))</f>
        <v>0</v>
      </c>
      <c r="BD132" s="201">
        <f t="array" ref="BD132">_xlfn.IFS(AND($K132&gt;BC$7,$L132&gt;BC$7),0,AND($K132&lt;=BC$7,$L132&lt;=BC$7),1,AND($K132&lt;=BC$7,$L132&gt;BC$7),((BC$7-$K132)/($L132-$K132)))</f>
        <v>0.45454545454545453</v>
      </c>
      <c r="BE132" s="201">
        <f t="array" ref="BE132">_xlfn.IFS(AND($K132&gt;BD$7,$L132&gt;BD$7),0,AND($K132&lt;=BD$7,$L132&lt;=BD$7),1,AND($K132&lt;=BD$7,$L132&gt;BD$7),((BD$7-$K132)/($L132-$K132)))</f>
        <v>1</v>
      </c>
      <c r="BF132" s="201">
        <f t="array" ref="BF132">_xlfn.IFS(AND($K132&gt;BE$7,$L132&gt;BE$7),0,AND($K132&lt;=BE$7,$L132&lt;=BE$7),1,AND($K132&lt;=BE$7,$L132&gt;BE$7),((BE$7-$K132)/($L132-$K132)))</f>
        <v>1</v>
      </c>
      <c r="BG132" s="201">
        <f t="array" ref="BG132">_xlfn.IFS(AND($K132&gt;BF$7,$L132&gt;BF$7),0,AND($K132&lt;=BF$7,$L132&lt;=BF$7),1,AND($K132&lt;=BF$7,$L132&gt;BF$7),((BF$7-$K132)/($L132-$K132)))</f>
        <v>1</v>
      </c>
      <c r="BH132" s="201">
        <f t="array" ref="BH132">_xlfn.IFS(AND($K132&gt;BG$7,$L132&gt;BG$7),0,AND($K132&lt;=BG$7,$L132&lt;=BG$7),1,AND($K132&lt;=BG$7,$L132&gt;BG$7),((BG$7-$K132)/($L132-$K132)))</f>
        <v>1</v>
      </c>
      <c r="BI132" s="201">
        <f t="array" ref="BI132">_xlfn.IFS(AND($K132&gt;BH$7,$L132&gt;BH$7),0,AND($K132&lt;=BH$7,$L132&lt;=BH$7),1,AND($K132&lt;=BH$7,$L132&gt;BH$7),((BH$7-$K132)/($L132-$K132)))</f>
        <v>1</v>
      </c>
      <c r="BJ132" s="201">
        <f t="array" ref="BJ132">_xlfn.IFS(AND($K132&gt;BI$7,$L132&gt;BI$7),0,AND($K132&lt;=BI$7,$L132&lt;=BI$7),1,AND($K132&lt;=BI$7,$L132&gt;BI$7),((BI$7-$K132)/($L132-$K132)))</f>
        <v>1</v>
      </c>
      <c r="BK132" s="201">
        <f t="array" ref="BK132">_xlfn.IFS(AND($K132&gt;BJ$7,$L132&gt;BJ$7),0,AND($K132&lt;=BJ$7,$L132&lt;=BJ$7),1,AND($K132&lt;=BJ$7,$L132&gt;BJ$7),((BJ$7-$K132)/($L132-$K132)))</f>
        <v>1</v>
      </c>
      <c r="BL132" s="201">
        <f t="array" ref="BL132">_xlfn.IFS(AND($K132&gt;BK$7,$L132&gt;BK$7),0,AND($K132&lt;=BK$7,$L132&lt;=BK$7),1,AND($K132&lt;=BK$7,$L132&gt;BK$7),((BK$7-$K132)/($L132-$K132)))</f>
        <v>1</v>
      </c>
      <c r="BM132" s="201">
        <f t="array" ref="BM132">_xlfn.IFS(AND($K132&gt;BL$7,$L132&gt;BL$7),0,AND($K132&lt;=BL$7,$L132&lt;=BL$7),1,AND($K132&lt;=BL$7,$L132&gt;BL$7),((BL$7-$K132)/($L132-$K132)))</f>
        <v>1</v>
      </c>
      <c r="BN132" s="201">
        <f t="array" ref="BN132">_xlfn.IFS(AND($K132&gt;BM$7,$L132&gt;BM$7),0,AND($K132&lt;=BM$7,$L132&lt;=BM$7),1,AND($K132&lt;=BM$7,$L132&gt;BM$7),((BM$7-$K132)/($L132-$K132)))</f>
        <v>1</v>
      </c>
    </row>
    <row r="133" spans="2:66" s="163" customFormat="1" ht="27.6" customHeight="1" x14ac:dyDescent="0.3">
      <c r="B133" s="166" t="s">
        <v>161</v>
      </c>
      <c r="C133" s="166" t="s">
        <v>312</v>
      </c>
      <c r="D133" s="177"/>
      <c r="E133" s="170" t="str">
        <f t="shared" si="49"/>
        <v>Desenvolvimento da Transformação dos Processos</v>
      </c>
      <c r="F133" s="174" t="str">
        <f t="shared" si="46"/>
        <v>Transformação do Processo</v>
      </c>
      <c r="G133" s="166" t="str">
        <f t="shared" si="50"/>
        <v>Transformação do Processo</v>
      </c>
      <c r="H133" s="197" t="s">
        <v>313</v>
      </c>
      <c r="I133" s="166">
        <v>45943</v>
      </c>
      <c r="J133" s="166">
        <v>45954</v>
      </c>
      <c r="K133" s="166">
        <v>45943</v>
      </c>
      <c r="L133" s="166">
        <v>45954</v>
      </c>
      <c r="M133" s="167"/>
      <c r="N133" s="167" t="str">
        <f t="array" ref="N133">_xlfn.IFS(L133&lt;$M$3,"Concluído",AND(K133&gt;=$M$3,I133&lt;$M$3,L133&gt;$M$3),"Em andamento",AND(L133&gt;=$M$3,J133&lt;$M$3),"Atrasado",AND(L133&gt;=$M$3,J133&gt;=$M$3,I133&gt;$M$3,K133&lt;=$M$3),"Em andamento",AND(L133&gt;=$M$3,J133&gt;=$M$3,I133&lt;=$M$3,K133&lt;=$M$3),"Em andamento",AND(K133&gt;$M$3,I133&gt;$M$3),"Não iniciado",AND(L133&gt;=$M$3,J133&gt;=$M$3,K133&gt;=$M$3,I133&lt;$M$3),"Atrasado",AND(L133&gt;=$M$3,J133&gt;=$M$3,K133&gt;=$M$3,I133&gt;$M$3),"Não iniciado",AND($I133&lt;=$M$3,$K133&gt;$M$3),"Atrasado")</f>
        <v>Não iniciado</v>
      </c>
      <c r="O133" s="167">
        <f t="array" ref="O133">_xlfn.IFS(N133="Não iniciado",0,N133="Em andamento",1,N133="Concluído",2,N133="Atrasado",3)</f>
        <v>0</v>
      </c>
      <c r="P133" s="169"/>
      <c r="Q133" s="152">
        <f t="array" ref="Q133">_xlfn.IFS(AND($I133&lt;$M$3,$J133&lt;$M$3),1,AND($I133&lt;$M$3,$J133&gt;=$M$3),0.5,AND($I133&gt;=$M$3,$J133&gt;=$M$3),0)</f>
        <v>0</v>
      </c>
      <c r="R133" s="152">
        <f t="array" ref="R133">_xlfn.IFS(AND($K133&lt;$M$3,$L133&lt;$M$3),1,AND($K133&lt;=$M$3,$L133&gt;=$M$3),0.5,AND($K133&gt;=$M$3,$L133&gt;=$M$3),0)</f>
        <v>0</v>
      </c>
      <c r="S133" s="201">
        <f t="array" ref="S133">_xlfn.IFS(AND($K133&gt;R$7,$L133&gt;R$7),0,AND($K133&lt;=R$7,$L133&lt;=R$7),1,AND($K133&lt;=R$7,$L133&gt;R$7),((R$7-$K133)/($L133-$K133)))</f>
        <v>0</v>
      </c>
      <c r="T133" s="201">
        <f t="array" ref="T133">_xlfn.IFS(AND($K133&gt;S$7,$L133&gt;S$7),0,AND($K133&lt;=S$7,$L133&lt;=S$7),1,AND($K133&lt;=S$7,$L133&gt;S$7),((S$7-$K133)/($L133-$K133)))</f>
        <v>0</v>
      </c>
      <c r="U133" s="201">
        <f t="array" ref="U133">_xlfn.IFS(AND($K133&gt;T$7,$L133&gt;T$7),0,AND($K133&lt;=T$7,$L133&lt;=T$7),1,AND($K133&lt;=T$7,$L133&gt;T$7),((T$7-$K133)/($L133-$K133)))</f>
        <v>0</v>
      </c>
      <c r="V133" s="201">
        <f t="array" ref="V133">_xlfn.IFS(AND($K133&gt;U$7,$L133&gt;U$7),0,AND($K133&lt;=U$7,$L133&lt;=U$7),1,AND($K133&lt;=U$7,$L133&gt;U$7),((U$7-$K133)/($L133-$K133)))</f>
        <v>0</v>
      </c>
      <c r="W133" s="201">
        <f t="array" ref="W133">_xlfn.IFS(AND($K133&gt;V$7,$L133&gt;V$7),0,AND($K133&lt;=V$7,$L133&lt;=V$7),1,AND($K133&lt;=V$7,$L133&gt;V$7),((V$7-$K133)/($L133-$K133)))</f>
        <v>0</v>
      </c>
      <c r="X133" s="201">
        <f t="array" ref="X133">_xlfn.IFS(AND($K133&gt;W$7,$L133&gt;W$7),0,AND($K133&lt;=W$7,$L133&lt;=W$7),1,AND($K133&lt;=W$7,$L133&gt;W$7),((W$7-$K133)/($L133-$K133)))</f>
        <v>0</v>
      </c>
      <c r="Y133" s="201">
        <f t="array" ref="Y133">_xlfn.IFS(AND($K133&gt;X$7,$L133&gt;X$7),0,AND($K133&lt;=X$7,$L133&lt;=X$7),1,AND($K133&lt;=X$7,$L133&gt;X$7),((X$7-$K133)/($L133-$K133)))</f>
        <v>0</v>
      </c>
      <c r="Z133" s="201">
        <f t="array" ref="Z133">_xlfn.IFS(AND($K133&gt;Y$7,$L133&gt;Y$7),0,AND($K133&lt;=Y$7,$L133&lt;=Y$7),1,AND($K133&lt;=Y$7,$L133&gt;Y$7),((Y$7-$K133)/($L133-$K133)))</f>
        <v>0</v>
      </c>
      <c r="AA133" s="201">
        <f t="array" ref="AA133">_xlfn.IFS(AND($K133&gt;Z$7,$L133&gt;Z$7),0,AND($K133&lt;=Z$7,$L133&lt;=Z$7),1,AND($K133&lt;=Z$7,$L133&gt;Z$7),((Z$7-$K133)/($L133-$K133)))</f>
        <v>0</v>
      </c>
      <c r="AB133" s="201">
        <f t="array" ref="AB133">_xlfn.IFS(AND($K133&gt;AA$7,$L133&gt;AA$7),0,AND($K133&lt;=AA$7,$L133&lt;=AA$7),1,AND($K133&lt;=AA$7,$L133&gt;AA$7),((AA$7-$K133)/($L133-$K133)))</f>
        <v>0</v>
      </c>
      <c r="AC133" s="201">
        <f t="array" ref="AC133">_xlfn.IFS(AND($K133&gt;AB$7,$L133&gt;AB$7),0,AND($K133&lt;=AB$7,$L133&lt;=AB$7),1,AND($K133&lt;=AB$7,$L133&gt;AB$7),((AB$7-$K133)/($L133-$K133)))</f>
        <v>0</v>
      </c>
      <c r="AD133" s="201">
        <f t="array" ref="AD133">_xlfn.IFS(AND($K133&gt;AC$7,$L133&gt;AC$7),0,AND($K133&lt;=AC$7,$L133&lt;=AC$7),1,AND($K133&lt;=AC$7,$L133&gt;AC$7),((AC$7-$K133)/($L133-$K133)))</f>
        <v>0</v>
      </c>
      <c r="AE133" s="201">
        <f t="array" ref="AE133">_xlfn.IFS(AND($K133&gt;AD$7,$L133&gt;AD$7),0,AND($K133&lt;=AD$7,$L133&lt;=AD$7),1,AND($K133&lt;=AD$7,$L133&gt;AD$7),((AD$7-$K133)/($L133-$K133)))</f>
        <v>0</v>
      </c>
      <c r="AF133" s="201">
        <f t="array" ref="AF133">_xlfn.IFS(AND($K133&gt;AE$7,$L133&gt;AE$7),0,AND($K133&lt;=AE$7,$L133&lt;=AE$7),1,AND($K133&lt;=AE$7,$L133&gt;AE$7),((AE$7-$K133)/($L133-$K133)))</f>
        <v>0</v>
      </c>
      <c r="AG133" s="201">
        <f t="array" ref="AG133">_xlfn.IFS(AND($K133&gt;AF$7,$L133&gt;AF$7),0,AND($K133&lt;=AF$7,$L133&lt;=AF$7),1,AND($K133&lt;=AF$7,$L133&gt;AF$7),((AF$7-$K133)/($L133-$K133)))</f>
        <v>0</v>
      </c>
      <c r="AH133" s="201">
        <f t="array" ref="AH133">_xlfn.IFS(AND($K133&gt;AG$7,$L133&gt;AG$7),0,AND($K133&lt;=AG$7,$L133&lt;=AG$7),1,AND($K133&lt;=AG$7,$L133&gt;AG$7),((AG$7-$K133)/($L133-$K133)))</f>
        <v>0</v>
      </c>
      <c r="AI133" s="201">
        <f t="array" ref="AI133">_xlfn.IFS(AND($K133&gt;AH$7,$L133&gt;AH$7),0,AND($K133&lt;=AH$7,$L133&lt;=AH$7),1,AND($K133&lt;=AH$7,$L133&gt;AH$7),((AH$7-$K133)/($L133-$K133)))</f>
        <v>0</v>
      </c>
      <c r="AJ133" s="201">
        <f t="array" ref="AJ133">_xlfn.IFS(AND($K133&gt;AI$7,$L133&gt;AI$7),0,AND($K133&lt;=AI$7,$L133&lt;=AI$7),1,AND($K133&lt;=AI$7,$L133&gt;AI$7),((AI$7-$K133)/($L133-$K133)))</f>
        <v>0</v>
      </c>
      <c r="AK133" s="201">
        <f t="array" ref="AK133">_xlfn.IFS(AND($K133&gt;AJ$7,$L133&gt;AJ$7),0,AND($K133&lt;=AJ$7,$L133&lt;=AJ$7),1,AND($K133&lt;=AJ$7,$L133&gt;AJ$7),((AJ$7-$K133)/($L133-$K133)))</f>
        <v>0</v>
      </c>
      <c r="AL133" s="201">
        <f t="array" ref="AL133">_xlfn.IFS(AND($K133&gt;AK$7,$L133&gt;AK$7),0,AND($K133&lt;=AK$7,$L133&lt;=AK$7),1,AND($K133&lt;=AK$7,$L133&gt;AK$7),((AK$7-$K133)/($L133-$K133)))</f>
        <v>0</v>
      </c>
      <c r="AM133" s="201">
        <f t="array" ref="AM133">_xlfn.IFS(AND($K133&gt;AL$7,$L133&gt;AL$7),0,AND($K133&lt;=AL$7,$L133&lt;=AL$7),1,AND($K133&lt;=AL$7,$L133&gt;AL$7),((AL$7-$K133)/($L133-$K133)))</f>
        <v>0</v>
      </c>
      <c r="AN133" s="201">
        <f t="array" ref="AN133">_xlfn.IFS(AND($K133&gt;AM$7,$L133&gt;AM$7),0,AND($K133&lt;=AM$7,$L133&lt;=AM$7),1,AND($K133&lt;=AM$7,$L133&gt;AM$7),((AM$7-$K133)/($L133-$K133)))</f>
        <v>0</v>
      </c>
      <c r="AO133" s="201">
        <f t="array" ref="AO133">_xlfn.IFS(AND($K133&gt;AN$7,$L133&gt;AN$7),0,AND($K133&lt;=AN$7,$L133&lt;=AN$7),1,AND($K133&lt;=AN$7,$L133&gt;AN$7),((AN$7-$K133)/($L133-$K133)))</f>
        <v>0</v>
      </c>
      <c r="AP133" s="201">
        <f t="array" ref="AP133">_xlfn.IFS(AND($K133&gt;AO$7,$L133&gt;AO$7),0,AND($K133&lt;=AO$7,$L133&lt;=AO$7),1,AND($K133&lt;=AO$7,$L133&gt;AO$7),((AO$7-$K133)/($L133-$K133)))</f>
        <v>0</v>
      </c>
      <c r="AQ133" s="201">
        <f t="array" ref="AQ133">_xlfn.IFS(AND($K133&gt;AP$7,$L133&gt;AP$7),0,AND($K133&lt;=AP$7,$L133&lt;=AP$7),1,AND($K133&lt;=AP$7,$L133&gt;AP$7),((AP$7-$K133)/($L133-$K133)))</f>
        <v>0</v>
      </c>
      <c r="AR133" s="201">
        <f t="array" ref="AR133">_xlfn.IFS(AND($K133&gt;AQ$7,$L133&gt;AQ$7),0,AND($K133&lt;=AQ$7,$L133&lt;=AQ$7),1,AND($K133&lt;=AQ$7,$L133&gt;AQ$7),((AQ$7-$K133)/($L133-$K133)))</f>
        <v>0</v>
      </c>
      <c r="AS133" s="201">
        <f t="array" ref="AS133">_xlfn.IFS(AND($K133&gt;AR$7,$L133&gt;AR$7),0,AND($K133&lt;=AR$7,$L133&lt;=AR$7),1,AND($K133&lt;=AR$7,$L133&gt;AR$7),((AR$7-$K133)/($L133-$K133)))</f>
        <v>0</v>
      </c>
      <c r="AT133" s="201">
        <f t="array" ref="AT133">_xlfn.IFS(AND($K133&gt;AS$7,$L133&gt;AS$7),0,AND($K133&lt;=AS$7,$L133&lt;=AS$7),1,AND($K133&lt;=AS$7,$L133&gt;AS$7),((AS$7-$K133)/($L133-$K133)))</f>
        <v>0</v>
      </c>
      <c r="AU133" s="201">
        <f t="array" ref="AU133">_xlfn.IFS(AND($K133&gt;AT$7,$L133&gt;AT$7),0,AND($K133&lt;=AT$7,$L133&lt;=AT$7),1,AND($K133&lt;=AT$7,$L133&gt;AT$7),((AT$7-$K133)/($L133-$K133)))</f>
        <v>0</v>
      </c>
      <c r="AV133" s="201">
        <f t="array" ref="AV133">_xlfn.IFS(AND($K133&gt;AU$7,$L133&gt;AU$7),0,AND($K133&lt;=AU$7,$L133&lt;=AU$7),1,AND($K133&lt;=AU$7,$L133&gt;AU$7),((AU$7-$K133)/($L133-$K133)))</f>
        <v>0</v>
      </c>
      <c r="AW133" s="201">
        <f t="array" ref="AW133">_xlfn.IFS(AND($K133&gt;AV$7,$L133&gt;AV$7),0,AND($K133&lt;=AV$7,$L133&lt;=AV$7),1,AND($K133&lt;=AV$7,$L133&gt;AV$7),((AV$7-$K133)/($L133-$K133)))</f>
        <v>0</v>
      </c>
      <c r="AX133" s="201">
        <f t="array" ref="AX133">_xlfn.IFS(AND($K133&gt;AW$7,$L133&gt;AW$7),0,AND($K133&lt;=AW$7,$L133&lt;=AW$7),1,AND($K133&lt;=AW$7,$L133&gt;AW$7),((AW$7-$K133)/($L133-$K133)))</f>
        <v>0</v>
      </c>
      <c r="AY133" s="201">
        <f t="array" ref="AY133">_xlfn.IFS(AND($K133&gt;AX$7,$L133&gt;AX$7),0,AND($K133&lt;=AX$7,$L133&lt;=AX$7),1,AND($K133&lt;=AX$7,$L133&gt;AX$7),((AX$7-$K133)/($L133-$K133)))</f>
        <v>0</v>
      </c>
      <c r="AZ133" s="201">
        <f t="array" ref="AZ133">_xlfn.IFS(AND($K133&gt;AY$7,$L133&gt;AY$7),0,AND($K133&lt;=AY$7,$L133&lt;=AY$7),1,AND($K133&lt;=AY$7,$L133&gt;AY$7),((AY$7-$K133)/($L133-$K133)))</f>
        <v>0</v>
      </c>
      <c r="BA133" s="201">
        <f t="array" ref="BA133">_xlfn.IFS(AND($K133&gt;AZ$7,$L133&gt;AZ$7),0,AND($K133&lt;=AZ$7,$L133&lt;=AZ$7),1,AND($K133&lt;=AZ$7,$L133&gt;AZ$7),((AZ$7-$K133)/($L133-$K133)))</f>
        <v>0</v>
      </c>
      <c r="BB133" s="201">
        <f t="array" ref="BB133">_xlfn.IFS(AND($K133&gt;BA$7,$L133&gt;BA$7),0,AND($K133&lt;=BA$7,$L133&lt;=BA$7),1,AND($K133&lt;=BA$7,$L133&gt;BA$7),((BA$7-$K133)/($L133-$K133)))</f>
        <v>0</v>
      </c>
      <c r="BC133" s="201">
        <f t="array" ref="BC133">_xlfn.IFS(AND($K133&gt;BB$7,$L133&gt;BB$7),0,AND($K133&lt;=BB$7,$L133&lt;=BB$7),1,AND($K133&lt;=BB$7,$L133&gt;BB$7),((BB$7-$K133)/($L133-$K133)))</f>
        <v>0</v>
      </c>
      <c r="BD133" s="201">
        <f t="array" ref="BD133">_xlfn.IFS(AND($K133&gt;BC$7,$L133&gt;BC$7),0,AND($K133&lt;=BC$7,$L133&lt;=BC$7),1,AND($K133&lt;=BC$7,$L133&gt;BC$7),((BC$7-$K133)/($L133-$K133)))</f>
        <v>0.45454545454545453</v>
      </c>
      <c r="BE133" s="201">
        <f t="array" ref="BE133">_xlfn.IFS(AND($K133&gt;BD$7,$L133&gt;BD$7),0,AND($K133&lt;=BD$7,$L133&lt;=BD$7),1,AND($K133&lt;=BD$7,$L133&gt;BD$7),((BD$7-$K133)/($L133-$K133)))</f>
        <v>1</v>
      </c>
      <c r="BF133" s="201">
        <f t="array" ref="BF133">_xlfn.IFS(AND($K133&gt;BE$7,$L133&gt;BE$7),0,AND($K133&lt;=BE$7,$L133&lt;=BE$7),1,AND($K133&lt;=BE$7,$L133&gt;BE$7),((BE$7-$K133)/($L133-$K133)))</f>
        <v>1</v>
      </c>
      <c r="BG133" s="201">
        <f t="array" ref="BG133">_xlfn.IFS(AND($K133&gt;BF$7,$L133&gt;BF$7),0,AND($K133&lt;=BF$7,$L133&lt;=BF$7),1,AND($K133&lt;=BF$7,$L133&gt;BF$7),((BF$7-$K133)/($L133-$K133)))</f>
        <v>1</v>
      </c>
      <c r="BH133" s="201">
        <f t="array" ref="BH133">_xlfn.IFS(AND($K133&gt;BG$7,$L133&gt;BG$7),0,AND($K133&lt;=BG$7,$L133&lt;=BG$7),1,AND($K133&lt;=BG$7,$L133&gt;BG$7),((BG$7-$K133)/($L133-$K133)))</f>
        <v>1</v>
      </c>
      <c r="BI133" s="201">
        <f t="array" ref="BI133">_xlfn.IFS(AND($K133&gt;BH$7,$L133&gt;BH$7),0,AND($K133&lt;=BH$7,$L133&lt;=BH$7),1,AND($K133&lt;=BH$7,$L133&gt;BH$7),((BH$7-$K133)/($L133-$K133)))</f>
        <v>1</v>
      </c>
      <c r="BJ133" s="201">
        <f t="array" ref="BJ133">_xlfn.IFS(AND($K133&gt;BI$7,$L133&gt;BI$7),0,AND($K133&lt;=BI$7,$L133&lt;=BI$7),1,AND($K133&lt;=BI$7,$L133&gt;BI$7),((BI$7-$K133)/($L133-$K133)))</f>
        <v>1</v>
      </c>
      <c r="BK133" s="201">
        <f t="array" ref="BK133">_xlfn.IFS(AND($K133&gt;BJ$7,$L133&gt;BJ$7),0,AND($K133&lt;=BJ$7,$L133&lt;=BJ$7),1,AND($K133&lt;=BJ$7,$L133&gt;BJ$7),((BJ$7-$K133)/($L133-$K133)))</f>
        <v>1</v>
      </c>
      <c r="BL133" s="201">
        <f t="array" ref="BL133">_xlfn.IFS(AND($K133&gt;BK$7,$L133&gt;BK$7),0,AND($K133&lt;=BK$7,$L133&lt;=BK$7),1,AND($K133&lt;=BK$7,$L133&gt;BK$7),((BK$7-$K133)/($L133-$K133)))</f>
        <v>1</v>
      </c>
      <c r="BM133" s="201">
        <f t="array" ref="BM133">_xlfn.IFS(AND($K133&gt;BL$7,$L133&gt;BL$7),0,AND($K133&lt;=BL$7,$L133&lt;=BL$7),1,AND($K133&lt;=BL$7,$L133&gt;BL$7),((BL$7-$K133)/($L133-$K133)))</f>
        <v>1</v>
      </c>
      <c r="BN133" s="201">
        <f t="array" ref="BN133">_xlfn.IFS(AND($K133&gt;BM$7,$L133&gt;BM$7),0,AND($K133&lt;=BM$7,$L133&lt;=BM$7),1,AND($K133&lt;=BM$7,$L133&gt;BM$7),((BM$7-$K133)/($L133-$K133)))</f>
        <v>1</v>
      </c>
    </row>
    <row r="134" spans="2:66" s="163" customFormat="1" ht="27.6" customHeight="1" x14ac:dyDescent="0.3">
      <c r="B134" s="166" t="s">
        <v>161</v>
      </c>
      <c r="C134" s="166" t="s">
        <v>314</v>
      </c>
      <c r="D134" s="177"/>
      <c r="E134" s="170" t="str">
        <f t="shared" si="49"/>
        <v>Desenvolvimento da Transformação dos Processos</v>
      </c>
      <c r="F134" s="174" t="str">
        <f t="shared" si="46"/>
        <v>Transformação do Processo</v>
      </c>
      <c r="G134" s="166" t="str">
        <f t="shared" si="50"/>
        <v>Transformação do Processo</v>
      </c>
      <c r="H134" s="197" t="s">
        <v>315</v>
      </c>
      <c r="I134" s="166">
        <v>45971</v>
      </c>
      <c r="J134" s="166">
        <v>45982</v>
      </c>
      <c r="K134" s="166">
        <v>45971</v>
      </c>
      <c r="L134" s="166">
        <v>45982</v>
      </c>
      <c r="M134" s="167"/>
      <c r="N134" s="167" t="str">
        <f t="array" ref="N134">_xlfn.IFS(L134&lt;$M$3,"Concluído",AND(K134&gt;=$M$3,I134&lt;$M$3,L134&gt;$M$3),"Em andamento",AND(L134&gt;=$M$3,J134&lt;$M$3),"Atrasado",AND(L134&gt;=$M$3,J134&gt;=$M$3,I134&gt;$M$3,K134&lt;=$M$3),"Em andamento",AND(L134&gt;=$M$3,J134&gt;=$M$3,I134&lt;=$M$3,K134&lt;=$M$3),"Em andamento",AND(K134&gt;$M$3,I134&gt;$M$3),"Não iniciado",AND(L134&gt;=$M$3,J134&gt;=$M$3,K134&gt;=$M$3,I134&lt;$M$3),"Atrasado",AND(L134&gt;=$M$3,J134&gt;=$M$3,K134&gt;=$M$3,I134&gt;$M$3),"Não iniciado",AND($I134&lt;=$M$3,$K134&gt;$M$3),"Atrasado")</f>
        <v>Não iniciado</v>
      </c>
      <c r="O134" s="167">
        <f t="array" ref="O134">_xlfn.IFS(N134="Não iniciado",0,N134="Em andamento",1,N134="Concluído",2,N134="Atrasado",3)</f>
        <v>0</v>
      </c>
      <c r="P134" s="169"/>
      <c r="Q134" s="152">
        <f t="array" ref="Q134">_xlfn.IFS(AND($I134&lt;$M$3,$J134&lt;$M$3),1,AND($I134&lt;$M$3,$J134&gt;=$M$3),0.5,AND($I134&gt;=$M$3,$J134&gt;=$M$3),0)</f>
        <v>0</v>
      </c>
      <c r="R134" s="152">
        <f t="array" ref="R134">_xlfn.IFS(AND($K134&lt;$M$3,$L134&lt;$M$3),1,AND($K134&lt;=$M$3,$L134&gt;=$M$3),0.5,AND($K134&gt;=$M$3,$L134&gt;=$M$3),0)</f>
        <v>0</v>
      </c>
      <c r="S134" s="201">
        <f t="array" ref="S134">_xlfn.IFS(AND($K134&gt;R$7,$L134&gt;R$7),0,AND($K134&lt;=R$7,$L134&lt;=R$7),1,AND($K134&lt;=R$7,$L134&gt;R$7),((R$7-$K134)/($L134-$K134)))</f>
        <v>0</v>
      </c>
      <c r="T134" s="201">
        <f t="array" ref="T134">_xlfn.IFS(AND($K134&gt;S$7,$L134&gt;S$7),0,AND($K134&lt;=S$7,$L134&lt;=S$7),1,AND($K134&lt;=S$7,$L134&gt;S$7),((S$7-$K134)/($L134-$K134)))</f>
        <v>0</v>
      </c>
      <c r="U134" s="201">
        <f t="array" ref="U134">_xlfn.IFS(AND($K134&gt;T$7,$L134&gt;T$7),0,AND($K134&lt;=T$7,$L134&lt;=T$7),1,AND($K134&lt;=T$7,$L134&gt;T$7),((T$7-$K134)/($L134-$K134)))</f>
        <v>0</v>
      </c>
      <c r="V134" s="201">
        <f t="array" ref="V134">_xlfn.IFS(AND($K134&gt;U$7,$L134&gt;U$7),0,AND($K134&lt;=U$7,$L134&lt;=U$7),1,AND($K134&lt;=U$7,$L134&gt;U$7),((U$7-$K134)/($L134-$K134)))</f>
        <v>0</v>
      </c>
      <c r="W134" s="201">
        <f t="array" ref="W134">_xlfn.IFS(AND($K134&gt;V$7,$L134&gt;V$7),0,AND($K134&lt;=V$7,$L134&lt;=V$7),1,AND($K134&lt;=V$7,$L134&gt;V$7),((V$7-$K134)/($L134-$K134)))</f>
        <v>0</v>
      </c>
      <c r="X134" s="201">
        <f t="array" ref="X134">_xlfn.IFS(AND($K134&gt;W$7,$L134&gt;W$7),0,AND($K134&lt;=W$7,$L134&lt;=W$7),1,AND($K134&lt;=W$7,$L134&gt;W$7),((W$7-$K134)/($L134-$K134)))</f>
        <v>0</v>
      </c>
      <c r="Y134" s="201">
        <f t="array" ref="Y134">_xlfn.IFS(AND($K134&gt;X$7,$L134&gt;X$7),0,AND($K134&lt;=X$7,$L134&lt;=X$7),1,AND($K134&lt;=X$7,$L134&gt;X$7),((X$7-$K134)/($L134-$K134)))</f>
        <v>0</v>
      </c>
      <c r="Z134" s="201">
        <f t="array" ref="Z134">_xlfn.IFS(AND($K134&gt;Y$7,$L134&gt;Y$7),0,AND($K134&lt;=Y$7,$L134&lt;=Y$7),1,AND($K134&lt;=Y$7,$L134&gt;Y$7),((Y$7-$K134)/($L134-$K134)))</f>
        <v>0</v>
      </c>
      <c r="AA134" s="201">
        <f t="array" ref="AA134">_xlfn.IFS(AND($K134&gt;Z$7,$L134&gt;Z$7),0,AND($K134&lt;=Z$7,$L134&lt;=Z$7),1,AND($K134&lt;=Z$7,$L134&gt;Z$7),((Z$7-$K134)/($L134-$K134)))</f>
        <v>0</v>
      </c>
      <c r="AB134" s="201">
        <f t="array" ref="AB134">_xlfn.IFS(AND($K134&gt;AA$7,$L134&gt;AA$7),0,AND($K134&lt;=AA$7,$L134&lt;=AA$7),1,AND($K134&lt;=AA$7,$L134&gt;AA$7),((AA$7-$K134)/($L134-$K134)))</f>
        <v>0</v>
      </c>
      <c r="AC134" s="201">
        <f t="array" ref="AC134">_xlfn.IFS(AND($K134&gt;AB$7,$L134&gt;AB$7),0,AND($K134&lt;=AB$7,$L134&lt;=AB$7),1,AND($K134&lt;=AB$7,$L134&gt;AB$7),((AB$7-$K134)/($L134-$K134)))</f>
        <v>0</v>
      </c>
      <c r="AD134" s="201">
        <f t="array" ref="AD134">_xlfn.IFS(AND($K134&gt;AC$7,$L134&gt;AC$7),0,AND($K134&lt;=AC$7,$L134&lt;=AC$7),1,AND($K134&lt;=AC$7,$L134&gt;AC$7),((AC$7-$K134)/($L134-$K134)))</f>
        <v>0</v>
      </c>
      <c r="AE134" s="201">
        <f t="array" ref="AE134">_xlfn.IFS(AND($K134&gt;AD$7,$L134&gt;AD$7),0,AND($K134&lt;=AD$7,$L134&lt;=AD$7),1,AND($K134&lt;=AD$7,$L134&gt;AD$7),((AD$7-$K134)/($L134-$K134)))</f>
        <v>0</v>
      </c>
      <c r="AF134" s="201">
        <f t="array" ref="AF134">_xlfn.IFS(AND($K134&gt;AE$7,$L134&gt;AE$7),0,AND($K134&lt;=AE$7,$L134&lt;=AE$7),1,AND($K134&lt;=AE$7,$L134&gt;AE$7),((AE$7-$K134)/($L134-$K134)))</f>
        <v>0</v>
      </c>
      <c r="AG134" s="201">
        <f t="array" ref="AG134">_xlfn.IFS(AND($K134&gt;AF$7,$L134&gt;AF$7),0,AND($K134&lt;=AF$7,$L134&lt;=AF$7),1,AND($K134&lt;=AF$7,$L134&gt;AF$7),((AF$7-$K134)/($L134-$K134)))</f>
        <v>0</v>
      </c>
      <c r="AH134" s="201">
        <f t="array" ref="AH134">_xlfn.IFS(AND($K134&gt;AG$7,$L134&gt;AG$7),0,AND($K134&lt;=AG$7,$L134&lt;=AG$7),1,AND($K134&lt;=AG$7,$L134&gt;AG$7),((AG$7-$K134)/($L134-$K134)))</f>
        <v>0</v>
      </c>
      <c r="AI134" s="201">
        <f t="array" ref="AI134">_xlfn.IFS(AND($K134&gt;AH$7,$L134&gt;AH$7),0,AND($K134&lt;=AH$7,$L134&lt;=AH$7),1,AND($K134&lt;=AH$7,$L134&gt;AH$7),((AH$7-$K134)/($L134-$K134)))</f>
        <v>0</v>
      </c>
      <c r="AJ134" s="201">
        <f t="array" ref="AJ134">_xlfn.IFS(AND($K134&gt;AI$7,$L134&gt;AI$7),0,AND($K134&lt;=AI$7,$L134&lt;=AI$7),1,AND($K134&lt;=AI$7,$L134&gt;AI$7),((AI$7-$K134)/($L134-$K134)))</f>
        <v>0</v>
      </c>
      <c r="AK134" s="201">
        <f t="array" ref="AK134">_xlfn.IFS(AND($K134&gt;AJ$7,$L134&gt;AJ$7),0,AND($K134&lt;=AJ$7,$L134&lt;=AJ$7),1,AND($K134&lt;=AJ$7,$L134&gt;AJ$7),((AJ$7-$K134)/($L134-$K134)))</f>
        <v>0</v>
      </c>
      <c r="AL134" s="201">
        <f t="array" ref="AL134">_xlfn.IFS(AND($K134&gt;AK$7,$L134&gt;AK$7),0,AND($K134&lt;=AK$7,$L134&lt;=AK$7),1,AND($K134&lt;=AK$7,$L134&gt;AK$7),((AK$7-$K134)/($L134-$K134)))</f>
        <v>0</v>
      </c>
      <c r="AM134" s="201">
        <f t="array" ref="AM134">_xlfn.IFS(AND($K134&gt;AL$7,$L134&gt;AL$7),0,AND($K134&lt;=AL$7,$L134&lt;=AL$7),1,AND($K134&lt;=AL$7,$L134&gt;AL$7),((AL$7-$K134)/($L134-$K134)))</f>
        <v>0</v>
      </c>
      <c r="AN134" s="201">
        <f t="array" ref="AN134">_xlfn.IFS(AND($K134&gt;AM$7,$L134&gt;AM$7),0,AND($K134&lt;=AM$7,$L134&lt;=AM$7),1,AND($K134&lt;=AM$7,$L134&gt;AM$7),((AM$7-$K134)/($L134-$K134)))</f>
        <v>0</v>
      </c>
      <c r="AO134" s="201">
        <f t="array" ref="AO134">_xlfn.IFS(AND($K134&gt;AN$7,$L134&gt;AN$7),0,AND($K134&lt;=AN$7,$L134&lt;=AN$7),1,AND($K134&lt;=AN$7,$L134&gt;AN$7),((AN$7-$K134)/($L134-$K134)))</f>
        <v>0</v>
      </c>
      <c r="AP134" s="201">
        <f t="array" ref="AP134">_xlfn.IFS(AND($K134&gt;AO$7,$L134&gt;AO$7),0,AND($K134&lt;=AO$7,$L134&lt;=AO$7),1,AND($K134&lt;=AO$7,$L134&gt;AO$7),((AO$7-$K134)/($L134-$K134)))</f>
        <v>0</v>
      </c>
      <c r="AQ134" s="201">
        <f t="array" ref="AQ134">_xlfn.IFS(AND($K134&gt;AP$7,$L134&gt;AP$7),0,AND($K134&lt;=AP$7,$L134&lt;=AP$7),1,AND($K134&lt;=AP$7,$L134&gt;AP$7),((AP$7-$K134)/($L134-$K134)))</f>
        <v>0</v>
      </c>
      <c r="AR134" s="201">
        <f t="array" ref="AR134">_xlfn.IFS(AND($K134&gt;AQ$7,$L134&gt;AQ$7),0,AND($K134&lt;=AQ$7,$L134&lt;=AQ$7),1,AND($K134&lt;=AQ$7,$L134&gt;AQ$7),((AQ$7-$K134)/($L134-$K134)))</f>
        <v>0</v>
      </c>
      <c r="AS134" s="201">
        <f t="array" ref="AS134">_xlfn.IFS(AND($K134&gt;AR$7,$L134&gt;AR$7),0,AND($K134&lt;=AR$7,$L134&lt;=AR$7),1,AND($K134&lt;=AR$7,$L134&gt;AR$7),((AR$7-$K134)/($L134-$K134)))</f>
        <v>0</v>
      </c>
      <c r="AT134" s="201">
        <f t="array" ref="AT134">_xlfn.IFS(AND($K134&gt;AS$7,$L134&gt;AS$7),0,AND($K134&lt;=AS$7,$L134&lt;=AS$7),1,AND($K134&lt;=AS$7,$L134&gt;AS$7),((AS$7-$K134)/($L134-$K134)))</f>
        <v>0</v>
      </c>
      <c r="AU134" s="201">
        <f t="array" ref="AU134">_xlfn.IFS(AND($K134&gt;AT$7,$L134&gt;AT$7),0,AND($K134&lt;=AT$7,$L134&lt;=AT$7),1,AND($K134&lt;=AT$7,$L134&gt;AT$7),((AT$7-$K134)/($L134-$K134)))</f>
        <v>0</v>
      </c>
      <c r="AV134" s="201">
        <f t="array" ref="AV134">_xlfn.IFS(AND($K134&gt;AU$7,$L134&gt;AU$7),0,AND($K134&lt;=AU$7,$L134&lt;=AU$7),1,AND($K134&lt;=AU$7,$L134&gt;AU$7),((AU$7-$K134)/($L134-$K134)))</f>
        <v>0</v>
      </c>
      <c r="AW134" s="201">
        <f t="array" ref="AW134">_xlfn.IFS(AND($K134&gt;AV$7,$L134&gt;AV$7),0,AND($K134&lt;=AV$7,$L134&lt;=AV$7),1,AND($K134&lt;=AV$7,$L134&gt;AV$7),((AV$7-$K134)/($L134-$K134)))</f>
        <v>0</v>
      </c>
      <c r="AX134" s="201">
        <f t="array" ref="AX134">_xlfn.IFS(AND($K134&gt;AW$7,$L134&gt;AW$7),0,AND($K134&lt;=AW$7,$L134&lt;=AW$7),1,AND($K134&lt;=AW$7,$L134&gt;AW$7),((AW$7-$K134)/($L134-$K134)))</f>
        <v>0</v>
      </c>
      <c r="AY134" s="201">
        <f t="array" ref="AY134">_xlfn.IFS(AND($K134&gt;AX$7,$L134&gt;AX$7),0,AND($K134&lt;=AX$7,$L134&lt;=AX$7),1,AND($K134&lt;=AX$7,$L134&gt;AX$7),((AX$7-$K134)/($L134-$K134)))</f>
        <v>0</v>
      </c>
      <c r="AZ134" s="201">
        <f t="array" ref="AZ134">_xlfn.IFS(AND($K134&gt;AY$7,$L134&gt;AY$7),0,AND($K134&lt;=AY$7,$L134&lt;=AY$7),1,AND($K134&lt;=AY$7,$L134&gt;AY$7),((AY$7-$K134)/($L134-$K134)))</f>
        <v>0</v>
      </c>
      <c r="BA134" s="201">
        <f t="array" ref="BA134">_xlfn.IFS(AND($K134&gt;AZ$7,$L134&gt;AZ$7),0,AND($K134&lt;=AZ$7,$L134&lt;=AZ$7),1,AND($K134&lt;=AZ$7,$L134&gt;AZ$7),((AZ$7-$K134)/($L134-$K134)))</f>
        <v>0</v>
      </c>
      <c r="BB134" s="201">
        <f t="array" ref="BB134">_xlfn.IFS(AND($K134&gt;BA$7,$L134&gt;BA$7),0,AND($K134&lt;=BA$7,$L134&lt;=BA$7),1,AND($K134&lt;=BA$7,$L134&gt;BA$7),((BA$7-$K134)/($L134-$K134)))</f>
        <v>0</v>
      </c>
      <c r="BC134" s="201">
        <f t="array" ref="BC134">_xlfn.IFS(AND($K134&gt;BB$7,$L134&gt;BB$7),0,AND($K134&lt;=BB$7,$L134&lt;=BB$7),1,AND($K134&lt;=BB$7,$L134&gt;BB$7),((BB$7-$K134)/($L134-$K134)))</f>
        <v>0</v>
      </c>
      <c r="BD134" s="201">
        <f t="array" ref="BD134">_xlfn.IFS(AND($K134&gt;BC$7,$L134&gt;BC$7),0,AND($K134&lt;=BC$7,$L134&lt;=BC$7),1,AND($K134&lt;=BC$7,$L134&gt;BC$7),((BC$7-$K134)/($L134-$K134)))</f>
        <v>0</v>
      </c>
      <c r="BE134" s="201">
        <f t="array" ref="BE134">_xlfn.IFS(AND($K134&gt;BD$7,$L134&gt;BD$7),0,AND($K134&lt;=BD$7,$L134&lt;=BD$7),1,AND($K134&lt;=BD$7,$L134&gt;BD$7),((BD$7-$K134)/($L134-$K134)))</f>
        <v>0</v>
      </c>
      <c r="BF134" s="201">
        <f t="array" ref="BF134">_xlfn.IFS(AND($K134&gt;BE$7,$L134&gt;BE$7),0,AND($K134&lt;=BE$7,$L134&lt;=BE$7),1,AND($K134&lt;=BE$7,$L134&gt;BE$7),((BE$7-$K134)/($L134-$K134)))</f>
        <v>0</v>
      </c>
      <c r="BG134" s="201">
        <f t="array" ref="BG134">_xlfn.IFS(AND($K134&gt;BF$7,$L134&gt;BF$7),0,AND($K134&lt;=BF$7,$L134&lt;=BF$7),1,AND($K134&lt;=BF$7,$L134&gt;BF$7),((BF$7-$K134)/($L134-$K134)))</f>
        <v>0</v>
      </c>
      <c r="BH134" s="201">
        <f t="array" ref="BH134">_xlfn.IFS(AND($K134&gt;BG$7,$L134&gt;BG$7),0,AND($K134&lt;=BG$7,$L134&lt;=BG$7),1,AND($K134&lt;=BG$7,$L134&gt;BG$7),((BG$7-$K134)/($L134-$K134)))</f>
        <v>0.45454545454545453</v>
      </c>
      <c r="BI134" s="201">
        <f t="array" ref="BI134">_xlfn.IFS(AND($K134&gt;BH$7,$L134&gt;BH$7),0,AND($K134&lt;=BH$7,$L134&lt;=BH$7),1,AND($K134&lt;=BH$7,$L134&gt;BH$7),((BH$7-$K134)/($L134-$K134)))</f>
        <v>1</v>
      </c>
      <c r="BJ134" s="201">
        <f t="array" ref="BJ134">_xlfn.IFS(AND($K134&gt;BI$7,$L134&gt;BI$7),0,AND($K134&lt;=BI$7,$L134&lt;=BI$7),1,AND($K134&lt;=BI$7,$L134&gt;BI$7),((BI$7-$K134)/($L134-$K134)))</f>
        <v>1</v>
      </c>
      <c r="BK134" s="201">
        <f t="array" ref="BK134">_xlfn.IFS(AND($K134&gt;BJ$7,$L134&gt;BJ$7),0,AND($K134&lt;=BJ$7,$L134&lt;=BJ$7),1,AND($K134&lt;=BJ$7,$L134&gt;BJ$7),((BJ$7-$K134)/($L134-$K134)))</f>
        <v>1</v>
      </c>
      <c r="BL134" s="201">
        <f t="array" ref="BL134">_xlfn.IFS(AND($K134&gt;BK$7,$L134&gt;BK$7),0,AND($K134&lt;=BK$7,$L134&lt;=BK$7),1,AND($K134&lt;=BK$7,$L134&gt;BK$7),((BK$7-$K134)/($L134-$K134)))</f>
        <v>1</v>
      </c>
      <c r="BM134" s="201">
        <f t="array" ref="BM134">_xlfn.IFS(AND($K134&gt;BL$7,$L134&gt;BL$7),0,AND($K134&lt;=BL$7,$L134&lt;=BL$7),1,AND($K134&lt;=BL$7,$L134&gt;BL$7),((BL$7-$K134)/($L134-$K134)))</f>
        <v>1</v>
      </c>
      <c r="BN134" s="201">
        <f t="array" ref="BN134">_xlfn.IFS(AND($K134&gt;BM$7,$L134&gt;BM$7),0,AND($K134&lt;=BM$7,$L134&lt;=BM$7),1,AND($K134&lt;=BM$7,$L134&gt;BM$7),((BM$7-$K134)/($L134-$K134)))</f>
        <v>1</v>
      </c>
    </row>
    <row r="135" spans="2:66" s="163" customFormat="1" ht="27.6" customHeight="1" x14ac:dyDescent="0.3">
      <c r="B135" s="166" t="s">
        <v>161</v>
      </c>
      <c r="C135" s="166" t="s">
        <v>316</v>
      </c>
      <c r="D135" s="177"/>
      <c r="E135" s="170" t="str">
        <f t="shared" si="49"/>
        <v>Desenvolvimento da Transformação dos Processos</v>
      </c>
      <c r="F135" s="174" t="str">
        <f t="shared" si="46"/>
        <v>Transformação do Processo</v>
      </c>
      <c r="G135" s="166" t="str">
        <f t="shared" si="50"/>
        <v>Transformação do Processo</v>
      </c>
      <c r="H135" s="197" t="s">
        <v>317</v>
      </c>
      <c r="I135" s="166">
        <v>45971</v>
      </c>
      <c r="J135" s="166">
        <v>45982</v>
      </c>
      <c r="K135" s="166">
        <v>45971</v>
      </c>
      <c r="L135" s="166">
        <v>45982</v>
      </c>
      <c r="M135" s="167"/>
      <c r="N135" s="167" t="str">
        <f t="array" ref="N135">_xlfn.IFS(L135&lt;$M$3,"Concluído",AND(K135&gt;=$M$3,I135&lt;$M$3,L135&gt;$M$3),"Em andamento",AND(L135&gt;=$M$3,J135&lt;$M$3),"Atrasado",AND(L135&gt;=$M$3,J135&gt;=$M$3,I135&gt;$M$3,K135&lt;=$M$3),"Em andamento",AND(L135&gt;=$M$3,J135&gt;=$M$3,I135&lt;=$M$3,K135&lt;=$M$3),"Em andamento",AND(K135&gt;$M$3,I135&gt;$M$3),"Não iniciado",AND(L135&gt;=$M$3,J135&gt;=$M$3,K135&gt;=$M$3,I135&lt;$M$3),"Atrasado",AND(L135&gt;=$M$3,J135&gt;=$M$3,K135&gt;=$M$3,I135&gt;$M$3),"Não iniciado",AND($I135&lt;=$M$3,$K135&gt;$M$3),"Atrasado")</f>
        <v>Não iniciado</v>
      </c>
      <c r="O135" s="167">
        <f t="array" ref="O135">_xlfn.IFS(N135="Não iniciado",0,N135="Em andamento",1,N135="Concluído",2,N135="Atrasado",3)</f>
        <v>0</v>
      </c>
      <c r="P135" s="169"/>
      <c r="Q135" s="152">
        <f t="array" ref="Q135">_xlfn.IFS(AND($I135&lt;$M$3,$J135&lt;$M$3),1,AND($I135&lt;$M$3,$J135&gt;=$M$3),0.5,AND($I135&gt;=$M$3,$J135&gt;=$M$3),0)</f>
        <v>0</v>
      </c>
      <c r="R135" s="152">
        <f t="array" ref="R135">_xlfn.IFS(AND($K135&lt;$M$3,$L135&lt;$M$3),1,AND($K135&lt;=$M$3,$L135&gt;=$M$3),0.5,AND($K135&gt;=$M$3,$L135&gt;=$M$3),0)</f>
        <v>0</v>
      </c>
      <c r="S135" s="201">
        <f t="array" ref="S135">_xlfn.IFS(AND($K135&gt;R$7,$L135&gt;R$7),0,AND($K135&lt;=R$7,$L135&lt;=R$7),1,AND($K135&lt;=R$7,$L135&gt;R$7),((R$7-$K135)/($L135-$K135)))</f>
        <v>0</v>
      </c>
      <c r="T135" s="201">
        <f t="array" ref="T135">_xlfn.IFS(AND($K135&gt;S$7,$L135&gt;S$7),0,AND($K135&lt;=S$7,$L135&lt;=S$7),1,AND($K135&lt;=S$7,$L135&gt;S$7),((S$7-$K135)/($L135-$K135)))</f>
        <v>0</v>
      </c>
      <c r="U135" s="201">
        <f t="array" ref="U135">_xlfn.IFS(AND($K135&gt;T$7,$L135&gt;T$7),0,AND($K135&lt;=T$7,$L135&lt;=T$7),1,AND($K135&lt;=T$7,$L135&gt;T$7),((T$7-$K135)/($L135-$K135)))</f>
        <v>0</v>
      </c>
      <c r="V135" s="201">
        <f t="array" ref="V135">_xlfn.IFS(AND($K135&gt;U$7,$L135&gt;U$7),0,AND($K135&lt;=U$7,$L135&lt;=U$7),1,AND($K135&lt;=U$7,$L135&gt;U$7),((U$7-$K135)/($L135-$K135)))</f>
        <v>0</v>
      </c>
      <c r="W135" s="201">
        <f t="array" ref="W135">_xlfn.IFS(AND($K135&gt;V$7,$L135&gt;V$7),0,AND($K135&lt;=V$7,$L135&lt;=V$7),1,AND($K135&lt;=V$7,$L135&gt;V$7),((V$7-$K135)/($L135-$K135)))</f>
        <v>0</v>
      </c>
      <c r="X135" s="201">
        <f t="array" ref="X135">_xlfn.IFS(AND($K135&gt;W$7,$L135&gt;W$7),0,AND($K135&lt;=W$7,$L135&lt;=W$7),1,AND($K135&lt;=W$7,$L135&gt;W$7),((W$7-$K135)/($L135-$K135)))</f>
        <v>0</v>
      </c>
      <c r="Y135" s="201">
        <f t="array" ref="Y135">_xlfn.IFS(AND($K135&gt;X$7,$L135&gt;X$7),0,AND($K135&lt;=X$7,$L135&lt;=X$7),1,AND($K135&lt;=X$7,$L135&gt;X$7),((X$7-$K135)/($L135-$K135)))</f>
        <v>0</v>
      </c>
      <c r="Z135" s="201">
        <f t="array" ref="Z135">_xlfn.IFS(AND($K135&gt;Y$7,$L135&gt;Y$7),0,AND($K135&lt;=Y$7,$L135&lt;=Y$7),1,AND($K135&lt;=Y$7,$L135&gt;Y$7),((Y$7-$K135)/($L135-$K135)))</f>
        <v>0</v>
      </c>
      <c r="AA135" s="201">
        <f t="array" ref="AA135">_xlfn.IFS(AND($K135&gt;Z$7,$L135&gt;Z$7),0,AND($K135&lt;=Z$7,$L135&lt;=Z$7),1,AND($K135&lt;=Z$7,$L135&gt;Z$7),((Z$7-$K135)/($L135-$K135)))</f>
        <v>0</v>
      </c>
      <c r="AB135" s="201">
        <f t="array" ref="AB135">_xlfn.IFS(AND($K135&gt;AA$7,$L135&gt;AA$7),0,AND($K135&lt;=AA$7,$L135&lt;=AA$7),1,AND($K135&lt;=AA$7,$L135&gt;AA$7),((AA$7-$K135)/($L135-$K135)))</f>
        <v>0</v>
      </c>
      <c r="AC135" s="201">
        <f t="array" ref="AC135">_xlfn.IFS(AND($K135&gt;AB$7,$L135&gt;AB$7),0,AND($K135&lt;=AB$7,$L135&lt;=AB$7),1,AND($K135&lt;=AB$7,$L135&gt;AB$7),((AB$7-$K135)/($L135-$K135)))</f>
        <v>0</v>
      </c>
      <c r="AD135" s="201">
        <f t="array" ref="AD135">_xlfn.IFS(AND($K135&gt;AC$7,$L135&gt;AC$7),0,AND($K135&lt;=AC$7,$L135&lt;=AC$7),1,AND($K135&lt;=AC$7,$L135&gt;AC$7),((AC$7-$K135)/($L135-$K135)))</f>
        <v>0</v>
      </c>
      <c r="AE135" s="201">
        <f t="array" ref="AE135">_xlfn.IFS(AND($K135&gt;AD$7,$L135&gt;AD$7),0,AND($K135&lt;=AD$7,$L135&lt;=AD$7),1,AND($K135&lt;=AD$7,$L135&gt;AD$7),((AD$7-$K135)/($L135-$K135)))</f>
        <v>0</v>
      </c>
      <c r="AF135" s="201">
        <f t="array" ref="AF135">_xlfn.IFS(AND($K135&gt;AE$7,$L135&gt;AE$7),0,AND($K135&lt;=AE$7,$L135&lt;=AE$7),1,AND($K135&lt;=AE$7,$L135&gt;AE$7),((AE$7-$K135)/($L135-$K135)))</f>
        <v>0</v>
      </c>
      <c r="AG135" s="201">
        <f t="array" ref="AG135">_xlfn.IFS(AND($K135&gt;AF$7,$L135&gt;AF$7),0,AND($K135&lt;=AF$7,$L135&lt;=AF$7),1,AND($K135&lt;=AF$7,$L135&gt;AF$7),((AF$7-$K135)/($L135-$K135)))</f>
        <v>0</v>
      </c>
      <c r="AH135" s="201">
        <f t="array" ref="AH135">_xlfn.IFS(AND($K135&gt;AG$7,$L135&gt;AG$7),0,AND($K135&lt;=AG$7,$L135&lt;=AG$7),1,AND($K135&lt;=AG$7,$L135&gt;AG$7),((AG$7-$K135)/($L135-$K135)))</f>
        <v>0</v>
      </c>
      <c r="AI135" s="201">
        <f t="array" ref="AI135">_xlfn.IFS(AND($K135&gt;AH$7,$L135&gt;AH$7),0,AND($K135&lt;=AH$7,$L135&lt;=AH$7),1,AND($K135&lt;=AH$7,$L135&gt;AH$7),((AH$7-$K135)/($L135-$K135)))</f>
        <v>0</v>
      </c>
      <c r="AJ135" s="201">
        <f t="array" ref="AJ135">_xlfn.IFS(AND($K135&gt;AI$7,$L135&gt;AI$7),0,AND($K135&lt;=AI$7,$L135&lt;=AI$7),1,AND($K135&lt;=AI$7,$L135&gt;AI$7),((AI$7-$K135)/($L135-$K135)))</f>
        <v>0</v>
      </c>
      <c r="AK135" s="201">
        <f t="array" ref="AK135">_xlfn.IFS(AND($K135&gt;AJ$7,$L135&gt;AJ$7),0,AND($K135&lt;=AJ$7,$L135&lt;=AJ$7),1,AND($K135&lt;=AJ$7,$L135&gt;AJ$7),((AJ$7-$K135)/($L135-$K135)))</f>
        <v>0</v>
      </c>
      <c r="AL135" s="201">
        <f t="array" ref="AL135">_xlfn.IFS(AND($K135&gt;AK$7,$L135&gt;AK$7),0,AND($K135&lt;=AK$7,$L135&lt;=AK$7),1,AND($K135&lt;=AK$7,$L135&gt;AK$7),((AK$7-$K135)/($L135-$K135)))</f>
        <v>0</v>
      </c>
      <c r="AM135" s="201">
        <f t="array" ref="AM135">_xlfn.IFS(AND($K135&gt;AL$7,$L135&gt;AL$7),0,AND($K135&lt;=AL$7,$L135&lt;=AL$7),1,AND($K135&lt;=AL$7,$L135&gt;AL$7),((AL$7-$K135)/($L135-$K135)))</f>
        <v>0</v>
      </c>
      <c r="AN135" s="201">
        <f t="array" ref="AN135">_xlfn.IFS(AND($K135&gt;AM$7,$L135&gt;AM$7),0,AND($K135&lt;=AM$7,$L135&lt;=AM$7),1,AND($K135&lt;=AM$7,$L135&gt;AM$7),((AM$7-$K135)/($L135-$K135)))</f>
        <v>0</v>
      </c>
      <c r="AO135" s="201">
        <f t="array" ref="AO135">_xlfn.IFS(AND($K135&gt;AN$7,$L135&gt;AN$7),0,AND($K135&lt;=AN$7,$L135&lt;=AN$7),1,AND($K135&lt;=AN$7,$L135&gt;AN$7),((AN$7-$K135)/($L135-$K135)))</f>
        <v>0</v>
      </c>
      <c r="AP135" s="201">
        <f t="array" ref="AP135">_xlfn.IFS(AND($K135&gt;AO$7,$L135&gt;AO$7),0,AND($K135&lt;=AO$7,$L135&lt;=AO$7),1,AND($K135&lt;=AO$7,$L135&gt;AO$7),((AO$7-$K135)/($L135-$K135)))</f>
        <v>0</v>
      </c>
      <c r="AQ135" s="201">
        <f t="array" ref="AQ135">_xlfn.IFS(AND($K135&gt;AP$7,$L135&gt;AP$7),0,AND($K135&lt;=AP$7,$L135&lt;=AP$7),1,AND($K135&lt;=AP$7,$L135&gt;AP$7),((AP$7-$K135)/($L135-$K135)))</f>
        <v>0</v>
      </c>
      <c r="AR135" s="201">
        <f t="array" ref="AR135">_xlfn.IFS(AND($K135&gt;AQ$7,$L135&gt;AQ$7),0,AND($K135&lt;=AQ$7,$L135&lt;=AQ$7),1,AND($K135&lt;=AQ$7,$L135&gt;AQ$7),((AQ$7-$K135)/($L135-$K135)))</f>
        <v>0</v>
      </c>
      <c r="AS135" s="201">
        <f t="array" ref="AS135">_xlfn.IFS(AND($K135&gt;AR$7,$L135&gt;AR$7),0,AND($K135&lt;=AR$7,$L135&lt;=AR$7),1,AND($K135&lt;=AR$7,$L135&gt;AR$7),((AR$7-$K135)/($L135-$K135)))</f>
        <v>0</v>
      </c>
      <c r="AT135" s="201">
        <f t="array" ref="AT135">_xlfn.IFS(AND($K135&gt;AS$7,$L135&gt;AS$7),0,AND($K135&lt;=AS$7,$L135&lt;=AS$7),1,AND($K135&lt;=AS$7,$L135&gt;AS$7),((AS$7-$K135)/($L135-$K135)))</f>
        <v>0</v>
      </c>
      <c r="AU135" s="201">
        <f t="array" ref="AU135">_xlfn.IFS(AND($K135&gt;AT$7,$L135&gt;AT$7),0,AND($K135&lt;=AT$7,$L135&lt;=AT$7),1,AND($K135&lt;=AT$7,$L135&gt;AT$7),((AT$7-$K135)/($L135-$K135)))</f>
        <v>0</v>
      </c>
      <c r="AV135" s="201">
        <f t="array" ref="AV135">_xlfn.IFS(AND($K135&gt;AU$7,$L135&gt;AU$7),0,AND($K135&lt;=AU$7,$L135&lt;=AU$7),1,AND($K135&lt;=AU$7,$L135&gt;AU$7),((AU$7-$K135)/($L135-$K135)))</f>
        <v>0</v>
      </c>
      <c r="AW135" s="201">
        <f t="array" ref="AW135">_xlfn.IFS(AND($K135&gt;AV$7,$L135&gt;AV$7),0,AND($K135&lt;=AV$7,$L135&lt;=AV$7),1,AND($K135&lt;=AV$7,$L135&gt;AV$7),((AV$7-$K135)/($L135-$K135)))</f>
        <v>0</v>
      </c>
      <c r="AX135" s="201">
        <f t="array" ref="AX135">_xlfn.IFS(AND($K135&gt;AW$7,$L135&gt;AW$7),0,AND($K135&lt;=AW$7,$L135&lt;=AW$7),1,AND($K135&lt;=AW$7,$L135&gt;AW$7),((AW$7-$K135)/($L135-$K135)))</f>
        <v>0</v>
      </c>
      <c r="AY135" s="201">
        <f t="array" ref="AY135">_xlfn.IFS(AND($K135&gt;AX$7,$L135&gt;AX$7),0,AND($K135&lt;=AX$7,$L135&lt;=AX$7),1,AND($K135&lt;=AX$7,$L135&gt;AX$7),((AX$7-$K135)/($L135-$K135)))</f>
        <v>0</v>
      </c>
      <c r="AZ135" s="201">
        <f t="array" ref="AZ135">_xlfn.IFS(AND($K135&gt;AY$7,$L135&gt;AY$7),0,AND($K135&lt;=AY$7,$L135&lt;=AY$7),1,AND($K135&lt;=AY$7,$L135&gt;AY$7),((AY$7-$K135)/($L135-$K135)))</f>
        <v>0</v>
      </c>
      <c r="BA135" s="201">
        <f t="array" ref="BA135">_xlfn.IFS(AND($K135&gt;AZ$7,$L135&gt;AZ$7),0,AND($K135&lt;=AZ$7,$L135&lt;=AZ$7),1,AND($K135&lt;=AZ$7,$L135&gt;AZ$7),((AZ$7-$K135)/($L135-$K135)))</f>
        <v>0</v>
      </c>
      <c r="BB135" s="201">
        <f t="array" ref="BB135">_xlfn.IFS(AND($K135&gt;BA$7,$L135&gt;BA$7),0,AND($K135&lt;=BA$7,$L135&lt;=BA$7),1,AND($K135&lt;=BA$7,$L135&gt;BA$7),((BA$7-$K135)/($L135-$K135)))</f>
        <v>0</v>
      </c>
      <c r="BC135" s="201">
        <f t="array" ref="BC135">_xlfn.IFS(AND($K135&gt;BB$7,$L135&gt;BB$7),0,AND($K135&lt;=BB$7,$L135&lt;=BB$7),1,AND($K135&lt;=BB$7,$L135&gt;BB$7),((BB$7-$K135)/($L135-$K135)))</f>
        <v>0</v>
      </c>
      <c r="BD135" s="201">
        <f t="array" ref="BD135">_xlfn.IFS(AND($K135&gt;BC$7,$L135&gt;BC$7),0,AND($K135&lt;=BC$7,$L135&lt;=BC$7),1,AND($K135&lt;=BC$7,$L135&gt;BC$7),((BC$7-$K135)/($L135-$K135)))</f>
        <v>0</v>
      </c>
      <c r="BE135" s="201">
        <f t="array" ref="BE135">_xlfn.IFS(AND($K135&gt;BD$7,$L135&gt;BD$7),0,AND($K135&lt;=BD$7,$L135&lt;=BD$7),1,AND($K135&lt;=BD$7,$L135&gt;BD$7),((BD$7-$K135)/($L135-$K135)))</f>
        <v>0</v>
      </c>
      <c r="BF135" s="201">
        <f t="array" ref="BF135">_xlfn.IFS(AND($K135&gt;BE$7,$L135&gt;BE$7),0,AND($K135&lt;=BE$7,$L135&lt;=BE$7),1,AND($K135&lt;=BE$7,$L135&gt;BE$7),((BE$7-$K135)/($L135-$K135)))</f>
        <v>0</v>
      </c>
      <c r="BG135" s="201">
        <f t="array" ref="BG135">_xlfn.IFS(AND($K135&gt;BF$7,$L135&gt;BF$7),0,AND($K135&lt;=BF$7,$L135&lt;=BF$7),1,AND($K135&lt;=BF$7,$L135&gt;BF$7),((BF$7-$K135)/($L135-$K135)))</f>
        <v>0</v>
      </c>
      <c r="BH135" s="201">
        <f t="array" ref="BH135">_xlfn.IFS(AND($K135&gt;BG$7,$L135&gt;BG$7),0,AND($K135&lt;=BG$7,$L135&lt;=BG$7),1,AND($K135&lt;=BG$7,$L135&gt;BG$7),((BG$7-$K135)/($L135-$K135)))</f>
        <v>0.45454545454545453</v>
      </c>
      <c r="BI135" s="201">
        <f t="array" ref="BI135">_xlfn.IFS(AND($K135&gt;BH$7,$L135&gt;BH$7),0,AND($K135&lt;=BH$7,$L135&lt;=BH$7),1,AND($K135&lt;=BH$7,$L135&gt;BH$7),((BH$7-$K135)/($L135-$K135)))</f>
        <v>1</v>
      </c>
      <c r="BJ135" s="201">
        <f t="array" ref="BJ135">_xlfn.IFS(AND($K135&gt;BI$7,$L135&gt;BI$7),0,AND($K135&lt;=BI$7,$L135&lt;=BI$7),1,AND($K135&lt;=BI$7,$L135&gt;BI$7),((BI$7-$K135)/($L135-$K135)))</f>
        <v>1</v>
      </c>
      <c r="BK135" s="201">
        <f t="array" ref="BK135">_xlfn.IFS(AND($K135&gt;BJ$7,$L135&gt;BJ$7),0,AND($K135&lt;=BJ$7,$L135&lt;=BJ$7),1,AND($K135&lt;=BJ$7,$L135&gt;BJ$7),((BJ$7-$K135)/($L135-$K135)))</f>
        <v>1</v>
      </c>
      <c r="BL135" s="201">
        <f t="array" ref="BL135">_xlfn.IFS(AND($K135&gt;BK$7,$L135&gt;BK$7),0,AND($K135&lt;=BK$7,$L135&lt;=BK$7),1,AND($K135&lt;=BK$7,$L135&gt;BK$7),((BK$7-$K135)/($L135-$K135)))</f>
        <v>1</v>
      </c>
      <c r="BM135" s="201">
        <f t="array" ref="BM135">_xlfn.IFS(AND($K135&gt;BL$7,$L135&gt;BL$7),0,AND($K135&lt;=BL$7,$L135&lt;=BL$7),1,AND($K135&lt;=BL$7,$L135&gt;BL$7),((BL$7-$K135)/($L135-$K135)))</f>
        <v>1</v>
      </c>
      <c r="BN135" s="201">
        <f t="array" ref="BN135">_xlfn.IFS(AND($K135&gt;BM$7,$L135&gt;BM$7),0,AND($K135&lt;=BM$7,$L135&lt;=BM$7),1,AND($K135&lt;=BM$7,$L135&gt;BM$7),((BM$7-$K135)/($L135-$K135)))</f>
        <v>1</v>
      </c>
    </row>
    <row r="136" spans="2:66" s="163" customFormat="1" x14ac:dyDescent="0.3">
      <c r="B136" s="166" t="s">
        <v>161</v>
      </c>
      <c r="C136" s="166" t="s">
        <v>318</v>
      </c>
      <c r="D136" s="177"/>
      <c r="E136" s="170" t="str">
        <f t="shared" si="49"/>
        <v>Desenvolvimento da Transformação dos Processos</v>
      </c>
      <c r="F136" s="174" t="str">
        <f t="shared" si="46"/>
        <v>Transformação do Processo</v>
      </c>
      <c r="G136" s="166" t="str">
        <f t="shared" si="50"/>
        <v>Transformação do Processo</v>
      </c>
      <c r="H136" s="197" t="s">
        <v>319</v>
      </c>
      <c r="I136" s="166">
        <v>45971</v>
      </c>
      <c r="J136" s="166">
        <v>45982</v>
      </c>
      <c r="K136" s="166">
        <v>45971</v>
      </c>
      <c r="L136" s="166">
        <v>45982</v>
      </c>
      <c r="M136" s="167"/>
      <c r="N136" s="167" t="str">
        <f t="array" ref="N136">_xlfn.IFS(L136&lt;$M$3,"Concluído",AND(K136&gt;=$M$3,I136&lt;$M$3,L136&gt;$M$3),"Em andamento",AND(L136&gt;=$M$3,J136&lt;$M$3),"Atrasado",AND(L136&gt;=$M$3,J136&gt;=$M$3,I136&gt;$M$3,K136&lt;=$M$3),"Em andamento",AND(L136&gt;=$M$3,J136&gt;=$M$3,I136&lt;=$M$3,K136&lt;=$M$3),"Em andamento",AND(K136&gt;$M$3,I136&gt;$M$3),"Não iniciado",AND(L136&gt;=$M$3,J136&gt;=$M$3,K136&gt;=$M$3,I136&lt;$M$3),"Atrasado",AND(L136&gt;=$M$3,J136&gt;=$M$3,K136&gt;=$M$3,I136&gt;$M$3),"Não iniciado",AND($I136&lt;=$M$3,$K136&gt;$M$3),"Atrasado")</f>
        <v>Não iniciado</v>
      </c>
      <c r="O136" s="167">
        <f t="array" ref="O136">_xlfn.IFS(N136="Não iniciado",0,N136="Em andamento",1,N136="Concluído",2,N136="Atrasado",3)</f>
        <v>0</v>
      </c>
      <c r="P136" s="169"/>
      <c r="Q136" s="152">
        <f t="array" ref="Q136">_xlfn.IFS(AND($I136&lt;$M$3,$J136&lt;$M$3),1,AND($I136&lt;$M$3,$J136&gt;=$M$3),0.5,AND($I136&gt;=$M$3,$J136&gt;=$M$3),0)</f>
        <v>0</v>
      </c>
      <c r="R136" s="152">
        <f t="array" ref="R136">_xlfn.IFS(AND($K136&lt;$M$3,$L136&lt;$M$3),1,AND($K136&lt;=$M$3,$L136&gt;=$M$3),0.5,AND($K136&gt;=$M$3,$L136&gt;=$M$3),0)</f>
        <v>0</v>
      </c>
      <c r="S136" s="201">
        <f t="array" ref="S136">_xlfn.IFS(AND($K136&gt;R$7,$L136&gt;R$7),0,AND($K136&lt;=R$7,$L136&lt;=R$7),1,AND($K136&lt;=R$7,$L136&gt;R$7),((R$7-$K136)/($L136-$K136)))</f>
        <v>0</v>
      </c>
      <c r="T136" s="201">
        <f t="array" ref="T136">_xlfn.IFS(AND($K136&gt;S$7,$L136&gt;S$7),0,AND($K136&lt;=S$7,$L136&lt;=S$7),1,AND($K136&lt;=S$7,$L136&gt;S$7),((S$7-$K136)/($L136-$K136)))</f>
        <v>0</v>
      </c>
      <c r="U136" s="201">
        <f t="array" ref="U136">_xlfn.IFS(AND($K136&gt;T$7,$L136&gt;T$7),0,AND($K136&lt;=T$7,$L136&lt;=T$7),1,AND($K136&lt;=T$7,$L136&gt;T$7),((T$7-$K136)/($L136-$K136)))</f>
        <v>0</v>
      </c>
      <c r="V136" s="201">
        <f t="array" ref="V136">_xlfn.IFS(AND($K136&gt;U$7,$L136&gt;U$7),0,AND($K136&lt;=U$7,$L136&lt;=U$7),1,AND($K136&lt;=U$7,$L136&gt;U$7),((U$7-$K136)/($L136-$K136)))</f>
        <v>0</v>
      </c>
      <c r="W136" s="201">
        <f t="array" ref="W136">_xlfn.IFS(AND($K136&gt;V$7,$L136&gt;V$7),0,AND($K136&lt;=V$7,$L136&lt;=V$7),1,AND($K136&lt;=V$7,$L136&gt;V$7),((V$7-$K136)/($L136-$K136)))</f>
        <v>0</v>
      </c>
      <c r="X136" s="201">
        <f t="array" ref="X136">_xlfn.IFS(AND($K136&gt;W$7,$L136&gt;W$7),0,AND($K136&lt;=W$7,$L136&lt;=W$7),1,AND($K136&lt;=W$7,$L136&gt;W$7),((W$7-$K136)/($L136-$K136)))</f>
        <v>0</v>
      </c>
      <c r="Y136" s="201">
        <f t="array" ref="Y136">_xlfn.IFS(AND($K136&gt;X$7,$L136&gt;X$7),0,AND($K136&lt;=X$7,$L136&lt;=X$7),1,AND($K136&lt;=X$7,$L136&gt;X$7),((X$7-$K136)/($L136-$K136)))</f>
        <v>0</v>
      </c>
      <c r="Z136" s="201">
        <f t="array" ref="Z136">_xlfn.IFS(AND($K136&gt;Y$7,$L136&gt;Y$7),0,AND($K136&lt;=Y$7,$L136&lt;=Y$7),1,AND($K136&lt;=Y$7,$L136&gt;Y$7),((Y$7-$K136)/($L136-$K136)))</f>
        <v>0</v>
      </c>
      <c r="AA136" s="201">
        <f t="array" ref="AA136">_xlfn.IFS(AND($K136&gt;Z$7,$L136&gt;Z$7),0,AND($K136&lt;=Z$7,$L136&lt;=Z$7),1,AND($K136&lt;=Z$7,$L136&gt;Z$7),((Z$7-$K136)/($L136-$K136)))</f>
        <v>0</v>
      </c>
      <c r="AB136" s="201">
        <f t="array" ref="AB136">_xlfn.IFS(AND($K136&gt;AA$7,$L136&gt;AA$7),0,AND($K136&lt;=AA$7,$L136&lt;=AA$7),1,AND($K136&lt;=AA$7,$L136&gt;AA$7),((AA$7-$K136)/($L136-$K136)))</f>
        <v>0</v>
      </c>
      <c r="AC136" s="201">
        <f t="array" ref="AC136">_xlfn.IFS(AND($K136&gt;AB$7,$L136&gt;AB$7),0,AND($K136&lt;=AB$7,$L136&lt;=AB$7),1,AND($K136&lt;=AB$7,$L136&gt;AB$7),((AB$7-$K136)/($L136-$K136)))</f>
        <v>0</v>
      </c>
      <c r="AD136" s="201">
        <f t="array" ref="AD136">_xlfn.IFS(AND($K136&gt;AC$7,$L136&gt;AC$7),0,AND($K136&lt;=AC$7,$L136&lt;=AC$7),1,AND($K136&lt;=AC$7,$L136&gt;AC$7),((AC$7-$K136)/($L136-$K136)))</f>
        <v>0</v>
      </c>
      <c r="AE136" s="201">
        <f t="array" ref="AE136">_xlfn.IFS(AND($K136&gt;AD$7,$L136&gt;AD$7),0,AND($K136&lt;=AD$7,$L136&lt;=AD$7),1,AND($K136&lt;=AD$7,$L136&gt;AD$7),((AD$7-$K136)/($L136-$K136)))</f>
        <v>0</v>
      </c>
      <c r="AF136" s="201">
        <f t="array" ref="AF136">_xlfn.IFS(AND($K136&gt;AE$7,$L136&gt;AE$7),0,AND($K136&lt;=AE$7,$L136&lt;=AE$7),1,AND($K136&lt;=AE$7,$L136&gt;AE$7),((AE$7-$K136)/($L136-$K136)))</f>
        <v>0</v>
      </c>
      <c r="AG136" s="201">
        <f t="array" ref="AG136">_xlfn.IFS(AND($K136&gt;AF$7,$L136&gt;AF$7),0,AND($K136&lt;=AF$7,$L136&lt;=AF$7),1,AND($K136&lt;=AF$7,$L136&gt;AF$7),((AF$7-$K136)/($L136-$K136)))</f>
        <v>0</v>
      </c>
      <c r="AH136" s="201">
        <f t="array" ref="AH136">_xlfn.IFS(AND($K136&gt;AG$7,$L136&gt;AG$7),0,AND($K136&lt;=AG$7,$L136&lt;=AG$7),1,AND($K136&lt;=AG$7,$L136&gt;AG$7),((AG$7-$K136)/($L136-$K136)))</f>
        <v>0</v>
      </c>
      <c r="AI136" s="201">
        <f t="array" ref="AI136">_xlfn.IFS(AND($K136&gt;AH$7,$L136&gt;AH$7),0,AND($K136&lt;=AH$7,$L136&lt;=AH$7),1,AND($K136&lt;=AH$7,$L136&gt;AH$7),((AH$7-$K136)/($L136-$K136)))</f>
        <v>0</v>
      </c>
      <c r="AJ136" s="201">
        <f t="array" ref="AJ136">_xlfn.IFS(AND($K136&gt;AI$7,$L136&gt;AI$7),0,AND($K136&lt;=AI$7,$L136&lt;=AI$7),1,AND($K136&lt;=AI$7,$L136&gt;AI$7),((AI$7-$K136)/($L136-$K136)))</f>
        <v>0</v>
      </c>
      <c r="AK136" s="201">
        <f t="array" ref="AK136">_xlfn.IFS(AND($K136&gt;AJ$7,$L136&gt;AJ$7),0,AND($K136&lt;=AJ$7,$L136&lt;=AJ$7),1,AND($K136&lt;=AJ$7,$L136&gt;AJ$7),((AJ$7-$K136)/($L136-$K136)))</f>
        <v>0</v>
      </c>
      <c r="AL136" s="201">
        <f t="array" ref="AL136">_xlfn.IFS(AND($K136&gt;AK$7,$L136&gt;AK$7),0,AND($K136&lt;=AK$7,$L136&lt;=AK$7),1,AND($K136&lt;=AK$7,$L136&gt;AK$7),((AK$7-$K136)/($L136-$K136)))</f>
        <v>0</v>
      </c>
      <c r="AM136" s="201">
        <f t="array" ref="AM136">_xlfn.IFS(AND($K136&gt;AL$7,$L136&gt;AL$7),0,AND($K136&lt;=AL$7,$L136&lt;=AL$7),1,AND($K136&lt;=AL$7,$L136&gt;AL$7),((AL$7-$K136)/($L136-$K136)))</f>
        <v>0</v>
      </c>
      <c r="AN136" s="201">
        <f t="array" ref="AN136">_xlfn.IFS(AND($K136&gt;AM$7,$L136&gt;AM$7),0,AND($K136&lt;=AM$7,$L136&lt;=AM$7),1,AND($K136&lt;=AM$7,$L136&gt;AM$7),((AM$7-$K136)/($L136-$K136)))</f>
        <v>0</v>
      </c>
      <c r="AO136" s="201">
        <f t="array" ref="AO136">_xlfn.IFS(AND($K136&gt;AN$7,$L136&gt;AN$7),0,AND($K136&lt;=AN$7,$L136&lt;=AN$7),1,AND($K136&lt;=AN$7,$L136&gt;AN$7),((AN$7-$K136)/($L136-$K136)))</f>
        <v>0</v>
      </c>
      <c r="AP136" s="201">
        <f t="array" ref="AP136">_xlfn.IFS(AND($K136&gt;AO$7,$L136&gt;AO$7),0,AND($K136&lt;=AO$7,$L136&lt;=AO$7),1,AND($K136&lt;=AO$7,$L136&gt;AO$7),((AO$7-$K136)/($L136-$K136)))</f>
        <v>0</v>
      </c>
      <c r="AQ136" s="201">
        <f t="array" ref="AQ136">_xlfn.IFS(AND($K136&gt;AP$7,$L136&gt;AP$7),0,AND($K136&lt;=AP$7,$L136&lt;=AP$7),1,AND($K136&lt;=AP$7,$L136&gt;AP$7),((AP$7-$K136)/($L136-$K136)))</f>
        <v>0</v>
      </c>
      <c r="AR136" s="201">
        <f t="array" ref="AR136">_xlfn.IFS(AND($K136&gt;AQ$7,$L136&gt;AQ$7),0,AND($K136&lt;=AQ$7,$L136&lt;=AQ$7),1,AND($K136&lt;=AQ$7,$L136&gt;AQ$7),((AQ$7-$K136)/($L136-$K136)))</f>
        <v>0</v>
      </c>
      <c r="AS136" s="201">
        <f t="array" ref="AS136">_xlfn.IFS(AND($K136&gt;AR$7,$L136&gt;AR$7),0,AND($K136&lt;=AR$7,$L136&lt;=AR$7),1,AND($K136&lt;=AR$7,$L136&gt;AR$7),((AR$7-$K136)/($L136-$K136)))</f>
        <v>0</v>
      </c>
      <c r="AT136" s="201">
        <f t="array" ref="AT136">_xlfn.IFS(AND($K136&gt;AS$7,$L136&gt;AS$7),0,AND($K136&lt;=AS$7,$L136&lt;=AS$7),1,AND($K136&lt;=AS$7,$L136&gt;AS$7),((AS$7-$K136)/($L136-$K136)))</f>
        <v>0</v>
      </c>
      <c r="AU136" s="201">
        <f t="array" ref="AU136">_xlfn.IFS(AND($K136&gt;AT$7,$L136&gt;AT$7),0,AND($K136&lt;=AT$7,$L136&lt;=AT$7),1,AND($K136&lt;=AT$7,$L136&gt;AT$7),((AT$7-$K136)/($L136-$K136)))</f>
        <v>0</v>
      </c>
      <c r="AV136" s="201">
        <f t="array" ref="AV136">_xlfn.IFS(AND($K136&gt;AU$7,$L136&gt;AU$7),0,AND($K136&lt;=AU$7,$L136&lt;=AU$7),1,AND($K136&lt;=AU$7,$L136&gt;AU$7),((AU$7-$K136)/($L136-$K136)))</f>
        <v>0</v>
      </c>
      <c r="AW136" s="201">
        <f t="array" ref="AW136">_xlfn.IFS(AND($K136&gt;AV$7,$L136&gt;AV$7),0,AND($K136&lt;=AV$7,$L136&lt;=AV$7),1,AND($K136&lt;=AV$7,$L136&gt;AV$7),((AV$7-$K136)/($L136-$K136)))</f>
        <v>0</v>
      </c>
      <c r="AX136" s="201">
        <f t="array" ref="AX136">_xlfn.IFS(AND($K136&gt;AW$7,$L136&gt;AW$7),0,AND($K136&lt;=AW$7,$L136&lt;=AW$7),1,AND($K136&lt;=AW$7,$L136&gt;AW$7),((AW$7-$K136)/($L136-$K136)))</f>
        <v>0</v>
      </c>
      <c r="AY136" s="201">
        <f t="array" ref="AY136">_xlfn.IFS(AND($K136&gt;AX$7,$L136&gt;AX$7),0,AND($K136&lt;=AX$7,$L136&lt;=AX$7),1,AND($K136&lt;=AX$7,$L136&gt;AX$7),((AX$7-$K136)/($L136-$K136)))</f>
        <v>0</v>
      </c>
      <c r="AZ136" s="201">
        <f t="array" ref="AZ136">_xlfn.IFS(AND($K136&gt;AY$7,$L136&gt;AY$7),0,AND($K136&lt;=AY$7,$L136&lt;=AY$7),1,AND($K136&lt;=AY$7,$L136&gt;AY$7),((AY$7-$K136)/($L136-$K136)))</f>
        <v>0</v>
      </c>
      <c r="BA136" s="201">
        <f t="array" ref="BA136">_xlfn.IFS(AND($K136&gt;AZ$7,$L136&gt;AZ$7),0,AND($K136&lt;=AZ$7,$L136&lt;=AZ$7),1,AND($K136&lt;=AZ$7,$L136&gt;AZ$7),((AZ$7-$K136)/($L136-$K136)))</f>
        <v>0</v>
      </c>
      <c r="BB136" s="201">
        <f t="array" ref="BB136">_xlfn.IFS(AND($K136&gt;BA$7,$L136&gt;BA$7),0,AND($K136&lt;=BA$7,$L136&lt;=BA$7),1,AND($K136&lt;=BA$7,$L136&gt;BA$7),((BA$7-$K136)/($L136-$K136)))</f>
        <v>0</v>
      </c>
      <c r="BC136" s="201">
        <f t="array" ref="BC136">_xlfn.IFS(AND($K136&gt;BB$7,$L136&gt;BB$7),0,AND($K136&lt;=BB$7,$L136&lt;=BB$7),1,AND($K136&lt;=BB$7,$L136&gt;BB$7),((BB$7-$K136)/($L136-$K136)))</f>
        <v>0</v>
      </c>
      <c r="BD136" s="201">
        <f t="array" ref="BD136">_xlfn.IFS(AND($K136&gt;BC$7,$L136&gt;BC$7),0,AND($K136&lt;=BC$7,$L136&lt;=BC$7),1,AND($K136&lt;=BC$7,$L136&gt;BC$7),((BC$7-$K136)/($L136-$K136)))</f>
        <v>0</v>
      </c>
      <c r="BE136" s="201">
        <f t="array" ref="BE136">_xlfn.IFS(AND($K136&gt;BD$7,$L136&gt;BD$7),0,AND($K136&lt;=BD$7,$L136&lt;=BD$7),1,AND($K136&lt;=BD$7,$L136&gt;BD$7),((BD$7-$K136)/($L136-$K136)))</f>
        <v>0</v>
      </c>
      <c r="BF136" s="201">
        <f t="array" ref="BF136">_xlfn.IFS(AND($K136&gt;BE$7,$L136&gt;BE$7),0,AND($K136&lt;=BE$7,$L136&lt;=BE$7),1,AND($K136&lt;=BE$7,$L136&gt;BE$7),((BE$7-$K136)/($L136-$K136)))</f>
        <v>0</v>
      </c>
      <c r="BG136" s="201">
        <f t="array" ref="BG136">_xlfn.IFS(AND($K136&gt;BF$7,$L136&gt;BF$7),0,AND($K136&lt;=BF$7,$L136&lt;=BF$7),1,AND($K136&lt;=BF$7,$L136&gt;BF$7),((BF$7-$K136)/($L136-$K136)))</f>
        <v>0</v>
      </c>
      <c r="BH136" s="201">
        <f t="array" ref="BH136">_xlfn.IFS(AND($K136&gt;BG$7,$L136&gt;BG$7),0,AND($K136&lt;=BG$7,$L136&lt;=BG$7),1,AND($K136&lt;=BG$7,$L136&gt;BG$7),((BG$7-$K136)/($L136-$K136)))</f>
        <v>0.45454545454545453</v>
      </c>
      <c r="BI136" s="201">
        <f t="array" ref="BI136">_xlfn.IFS(AND($K136&gt;BH$7,$L136&gt;BH$7),0,AND($K136&lt;=BH$7,$L136&lt;=BH$7),1,AND($K136&lt;=BH$7,$L136&gt;BH$7),((BH$7-$K136)/($L136-$K136)))</f>
        <v>1</v>
      </c>
      <c r="BJ136" s="201">
        <f t="array" ref="BJ136">_xlfn.IFS(AND($K136&gt;BI$7,$L136&gt;BI$7),0,AND($K136&lt;=BI$7,$L136&lt;=BI$7),1,AND($K136&lt;=BI$7,$L136&gt;BI$7),((BI$7-$K136)/($L136-$K136)))</f>
        <v>1</v>
      </c>
      <c r="BK136" s="201">
        <f t="array" ref="BK136">_xlfn.IFS(AND($K136&gt;BJ$7,$L136&gt;BJ$7),0,AND($K136&lt;=BJ$7,$L136&lt;=BJ$7),1,AND($K136&lt;=BJ$7,$L136&gt;BJ$7),((BJ$7-$K136)/($L136-$K136)))</f>
        <v>1</v>
      </c>
      <c r="BL136" s="201">
        <f t="array" ref="BL136">_xlfn.IFS(AND($K136&gt;BK$7,$L136&gt;BK$7),0,AND($K136&lt;=BK$7,$L136&lt;=BK$7),1,AND($K136&lt;=BK$7,$L136&gt;BK$7),((BK$7-$K136)/($L136-$K136)))</f>
        <v>1</v>
      </c>
      <c r="BM136" s="201">
        <f t="array" ref="BM136">_xlfn.IFS(AND($K136&gt;BL$7,$L136&gt;BL$7),0,AND($K136&lt;=BL$7,$L136&lt;=BL$7),1,AND($K136&lt;=BL$7,$L136&gt;BL$7),((BL$7-$K136)/($L136-$K136)))</f>
        <v>1</v>
      </c>
      <c r="BN136" s="201">
        <f t="array" ref="BN136">_xlfn.IFS(AND($K136&gt;BM$7,$L136&gt;BM$7),0,AND($K136&lt;=BM$7,$L136&lt;=BM$7),1,AND($K136&lt;=BM$7,$L136&gt;BM$7),((BM$7-$K136)/($L136-$K136)))</f>
        <v>1</v>
      </c>
    </row>
    <row r="137" spans="2:66" s="163" customFormat="1" ht="27.6" customHeight="1" x14ac:dyDescent="0.3">
      <c r="B137" s="166" t="s">
        <v>161</v>
      </c>
      <c r="C137" s="166" t="s">
        <v>320</v>
      </c>
      <c r="D137" s="177"/>
      <c r="E137" s="170" t="str">
        <f t="shared" si="49"/>
        <v>Desenvolvimento da Transformação dos Processos</v>
      </c>
      <c r="F137" s="174" t="str">
        <f t="shared" si="46"/>
        <v>Transformação do Processo</v>
      </c>
      <c r="G137" s="166" t="str">
        <f t="shared" si="50"/>
        <v>Transformação do Processo</v>
      </c>
      <c r="H137" s="197" t="s">
        <v>321</v>
      </c>
      <c r="I137" s="166">
        <v>45999</v>
      </c>
      <c r="J137" s="166">
        <v>46010</v>
      </c>
      <c r="K137" s="166">
        <v>45999</v>
      </c>
      <c r="L137" s="166">
        <v>46010</v>
      </c>
      <c r="M137" s="167"/>
      <c r="N137" s="167" t="str">
        <f t="array" ref="N137">_xlfn.IFS(L137&lt;$M$3,"Concluído",AND(K137&gt;=$M$3,I137&lt;$M$3,L137&gt;$M$3),"Em andamento",AND(L137&gt;=$M$3,J137&lt;$M$3),"Atrasado",AND(L137&gt;=$M$3,J137&gt;=$M$3,I137&gt;$M$3,K137&lt;=$M$3),"Em andamento",AND(L137&gt;=$M$3,J137&gt;=$M$3,I137&lt;=$M$3,K137&lt;=$M$3),"Em andamento",AND(K137&gt;$M$3,I137&gt;$M$3),"Não iniciado",AND(L137&gt;=$M$3,J137&gt;=$M$3,K137&gt;=$M$3,I137&lt;$M$3),"Atrasado",AND(L137&gt;=$M$3,J137&gt;=$M$3,K137&gt;=$M$3,I137&gt;$M$3),"Não iniciado",AND($I137&lt;=$M$3,$K137&gt;$M$3),"Atrasado")</f>
        <v>Não iniciado</v>
      </c>
      <c r="O137" s="167">
        <f t="array" ref="O137">_xlfn.IFS(N137="Não iniciado",0,N137="Em andamento",1,N137="Concluído",2,N137="Atrasado",3)</f>
        <v>0</v>
      </c>
      <c r="P137" s="169"/>
      <c r="Q137" s="152">
        <f t="array" ref="Q137">_xlfn.IFS(AND($I137&lt;$M$3,$J137&lt;$M$3),1,AND($I137&lt;$M$3,$J137&gt;=$M$3),0.5,AND($I137&gt;=$M$3,$J137&gt;=$M$3),0)</f>
        <v>0</v>
      </c>
      <c r="R137" s="152">
        <f t="array" ref="R137">_xlfn.IFS(AND($K137&lt;$M$3,$L137&lt;$M$3),1,AND($K137&lt;=$M$3,$L137&gt;=$M$3),0.5,AND($K137&gt;=$M$3,$L137&gt;=$M$3),0)</f>
        <v>0</v>
      </c>
      <c r="S137" s="201">
        <f t="array" ref="S137">_xlfn.IFS(AND($K137&gt;R$7,$L137&gt;R$7),0,AND($K137&lt;=R$7,$L137&lt;=R$7),1,AND($K137&lt;=R$7,$L137&gt;R$7),((R$7-$K137)/($L137-$K137)))</f>
        <v>0</v>
      </c>
      <c r="T137" s="201">
        <f t="array" ref="T137">_xlfn.IFS(AND($K137&gt;S$7,$L137&gt;S$7),0,AND($K137&lt;=S$7,$L137&lt;=S$7),1,AND($K137&lt;=S$7,$L137&gt;S$7),((S$7-$K137)/($L137-$K137)))</f>
        <v>0</v>
      </c>
      <c r="U137" s="201">
        <f t="array" ref="U137">_xlfn.IFS(AND($K137&gt;T$7,$L137&gt;T$7),0,AND($K137&lt;=T$7,$L137&lt;=T$7),1,AND($K137&lt;=T$7,$L137&gt;T$7),((T$7-$K137)/($L137-$K137)))</f>
        <v>0</v>
      </c>
      <c r="V137" s="201">
        <f t="array" ref="V137">_xlfn.IFS(AND($K137&gt;U$7,$L137&gt;U$7),0,AND($K137&lt;=U$7,$L137&lt;=U$7),1,AND($K137&lt;=U$7,$L137&gt;U$7),((U$7-$K137)/($L137-$K137)))</f>
        <v>0</v>
      </c>
      <c r="W137" s="201">
        <f t="array" ref="W137">_xlfn.IFS(AND($K137&gt;V$7,$L137&gt;V$7),0,AND($K137&lt;=V$7,$L137&lt;=V$7),1,AND($K137&lt;=V$7,$L137&gt;V$7),((V$7-$K137)/($L137-$K137)))</f>
        <v>0</v>
      </c>
      <c r="X137" s="201">
        <f t="array" ref="X137">_xlfn.IFS(AND($K137&gt;W$7,$L137&gt;W$7),0,AND($K137&lt;=W$7,$L137&lt;=W$7),1,AND($K137&lt;=W$7,$L137&gt;W$7),((W$7-$K137)/($L137-$K137)))</f>
        <v>0</v>
      </c>
      <c r="Y137" s="201">
        <f t="array" ref="Y137">_xlfn.IFS(AND($K137&gt;X$7,$L137&gt;X$7),0,AND($K137&lt;=X$7,$L137&lt;=X$7),1,AND($K137&lt;=X$7,$L137&gt;X$7),((X$7-$K137)/($L137-$K137)))</f>
        <v>0</v>
      </c>
      <c r="Z137" s="201">
        <f t="array" ref="Z137">_xlfn.IFS(AND($K137&gt;Y$7,$L137&gt;Y$7),0,AND($K137&lt;=Y$7,$L137&lt;=Y$7),1,AND($K137&lt;=Y$7,$L137&gt;Y$7),((Y$7-$K137)/($L137-$K137)))</f>
        <v>0</v>
      </c>
      <c r="AA137" s="201">
        <f t="array" ref="AA137">_xlfn.IFS(AND($K137&gt;Z$7,$L137&gt;Z$7),0,AND($K137&lt;=Z$7,$L137&lt;=Z$7),1,AND($K137&lt;=Z$7,$L137&gt;Z$7),((Z$7-$K137)/($L137-$K137)))</f>
        <v>0</v>
      </c>
      <c r="AB137" s="201">
        <f t="array" ref="AB137">_xlfn.IFS(AND($K137&gt;AA$7,$L137&gt;AA$7),0,AND($K137&lt;=AA$7,$L137&lt;=AA$7),1,AND($K137&lt;=AA$7,$L137&gt;AA$7),((AA$7-$K137)/($L137-$K137)))</f>
        <v>0</v>
      </c>
      <c r="AC137" s="201">
        <f t="array" ref="AC137">_xlfn.IFS(AND($K137&gt;AB$7,$L137&gt;AB$7),0,AND($K137&lt;=AB$7,$L137&lt;=AB$7),1,AND($K137&lt;=AB$7,$L137&gt;AB$7),((AB$7-$K137)/($L137-$K137)))</f>
        <v>0</v>
      </c>
      <c r="AD137" s="201">
        <f t="array" ref="AD137">_xlfn.IFS(AND($K137&gt;AC$7,$L137&gt;AC$7),0,AND($K137&lt;=AC$7,$L137&lt;=AC$7),1,AND($K137&lt;=AC$7,$L137&gt;AC$7),((AC$7-$K137)/($L137-$K137)))</f>
        <v>0</v>
      </c>
      <c r="AE137" s="201">
        <f t="array" ref="AE137">_xlfn.IFS(AND($K137&gt;AD$7,$L137&gt;AD$7),0,AND($K137&lt;=AD$7,$L137&lt;=AD$7),1,AND($K137&lt;=AD$7,$L137&gt;AD$7),((AD$7-$K137)/($L137-$K137)))</f>
        <v>0</v>
      </c>
      <c r="AF137" s="201">
        <f t="array" ref="AF137">_xlfn.IFS(AND($K137&gt;AE$7,$L137&gt;AE$7),0,AND($K137&lt;=AE$7,$L137&lt;=AE$7),1,AND($K137&lt;=AE$7,$L137&gt;AE$7),((AE$7-$K137)/($L137-$K137)))</f>
        <v>0</v>
      </c>
      <c r="AG137" s="201">
        <f t="array" ref="AG137">_xlfn.IFS(AND($K137&gt;AF$7,$L137&gt;AF$7),0,AND($K137&lt;=AF$7,$L137&lt;=AF$7),1,AND($K137&lt;=AF$7,$L137&gt;AF$7),((AF$7-$K137)/($L137-$K137)))</f>
        <v>0</v>
      </c>
      <c r="AH137" s="201">
        <f t="array" ref="AH137">_xlfn.IFS(AND($K137&gt;AG$7,$L137&gt;AG$7),0,AND($K137&lt;=AG$7,$L137&lt;=AG$7),1,AND($K137&lt;=AG$7,$L137&gt;AG$7),((AG$7-$K137)/($L137-$K137)))</f>
        <v>0</v>
      </c>
      <c r="AI137" s="201">
        <f t="array" ref="AI137">_xlfn.IFS(AND($K137&gt;AH$7,$L137&gt;AH$7),0,AND($K137&lt;=AH$7,$L137&lt;=AH$7),1,AND($K137&lt;=AH$7,$L137&gt;AH$7),((AH$7-$K137)/($L137-$K137)))</f>
        <v>0</v>
      </c>
      <c r="AJ137" s="201">
        <f t="array" ref="AJ137">_xlfn.IFS(AND($K137&gt;AI$7,$L137&gt;AI$7),0,AND($K137&lt;=AI$7,$L137&lt;=AI$7),1,AND($K137&lt;=AI$7,$L137&gt;AI$7),((AI$7-$K137)/($L137-$K137)))</f>
        <v>0</v>
      </c>
      <c r="AK137" s="201">
        <f t="array" ref="AK137">_xlfn.IFS(AND($K137&gt;AJ$7,$L137&gt;AJ$7),0,AND($K137&lt;=AJ$7,$L137&lt;=AJ$7),1,AND($K137&lt;=AJ$7,$L137&gt;AJ$7),((AJ$7-$K137)/($L137-$K137)))</f>
        <v>0</v>
      </c>
      <c r="AL137" s="201">
        <f t="array" ref="AL137">_xlfn.IFS(AND($K137&gt;AK$7,$L137&gt;AK$7),0,AND($K137&lt;=AK$7,$L137&lt;=AK$7),1,AND($K137&lt;=AK$7,$L137&gt;AK$7),((AK$7-$K137)/($L137-$K137)))</f>
        <v>0</v>
      </c>
      <c r="AM137" s="201">
        <f t="array" ref="AM137">_xlfn.IFS(AND($K137&gt;AL$7,$L137&gt;AL$7),0,AND($K137&lt;=AL$7,$L137&lt;=AL$7),1,AND($K137&lt;=AL$7,$L137&gt;AL$7),((AL$7-$K137)/($L137-$K137)))</f>
        <v>0</v>
      </c>
      <c r="AN137" s="201">
        <f t="array" ref="AN137">_xlfn.IFS(AND($K137&gt;AM$7,$L137&gt;AM$7),0,AND($K137&lt;=AM$7,$L137&lt;=AM$7),1,AND($K137&lt;=AM$7,$L137&gt;AM$7),((AM$7-$K137)/($L137-$K137)))</f>
        <v>0</v>
      </c>
      <c r="AO137" s="201">
        <f t="array" ref="AO137">_xlfn.IFS(AND($K137&gt;AN$7,$L137&gt;AN$7),0,AND($K137&lt;=AN$7,$L137&lt;=AN$7),1,AND($K137&lt;=AN$7,$L137&gt;AN$7),((AN$7-$K137)/($L137-$K137)))</f>
        <v>0</v>
      </c>
      <c r="AP137" s="201">
        <f t="array" ref="AP137">_xlfn.IFS(AND($K137&gt;AO$7,$L137&gt;AO$7),0,AND($K137&lt;=AO$7,$L137&lt;=AO$7),1,AND($K137&lt;=AO$7,$L137&gt;AO$7),((AO$7-$K137)/($L137-$K137)))</f>
        <v>0</v>
      </c>
      <c r="AQ137" s="201">
        <f t="array" ref="AQ137">_xlfn.IFS(AND($K137&gt;AP$7,$L137&gt;AP$7),0,AND($K137&lt;=AP$7,$L137&lt;=AP$7),1,AND($K137&lt;=AP$7,$L137&gt;AP$7),((AP$7-$K137)/($L137-$K137)))</f>
        <v>0</v>
      </c>
      <c r="AR137" s="201">
        <f t="array" ref="AR137">_xlfn.IFS(AND($K137&gt;AQ$7,$L137&gt;AQ$7),0,AND($K137&lt;=AQ$7,$L137&lt;=AQ$7),1,AND($K137&lt;=AQ$7,$L137&gt;AQ$7),((AQ$7-$K137)/($L137-$K137)))</f>
        <v>0</v>
      </c>
      <c r="AS137" s="201">
        <f t="array" ref="AS137">_xlfn.IFS(AND($K137&gt;AR$7,$L137&gt;AR$7),0,AND($K137&lt;=AR$7,$L137&lt;=AR$7),1,AND($K137&lt;=AR$7,$L137&gt;AR$7),((AR$7-$K137)/($L137-$K137)))</f>
        <v>0</v>
      </c>
      <c r="AT137" s="201">
        <f t="array" ref="AT137">_xlfn.IFS(AND($K137&gt;AS$7,$L137&gt;AS$7),0,AND($K137&lt;=AS$7,$L137&lt;=AS$7),1,AND($K137&lt;=AS$7,$L137&gt;AS$7),((AS$7-$K137)/($L137-$K137)))</f>
        <v>0</v>
      </c>
      <c r="AU137" s="201">
        <f t="array" ref="AU137">_xlfn.IFS(AND($K137&gt;AT$7,$L137&gt;AT$7),0,AND($K137&lt;=AT$7,$L137&lt;=AT$7),1,AND($K137&lt;=AT$7,$L137&gt;AT$7),((AT$7-$K137)/($L137-$K137)))</f>
        <v>0</v>
      </c>
      <c r="AV137" s="201">
        <f t="array" ref="AV137">_xlfn.IFS(AND($K137&gt;AU$7,$L137&gt;AU$7),0,AND($K137&lt;=AU$7,$L137&lt;=AU$7),1,AND($K137&lt;=AU$7,$L137&gt;AU$7),((AU$7-$K137)/($L137-$K137)))</f>
        <v>0</v>
      </c>
      <c r="AW137" s="201">
        <f t="array" ref="AW137">_xlfn.IFS(AND($K137&gt;AV$7,$L137&gt;AV$7),0,AND($K137&lt;=AV$7,$L137&lt;=AV$7),1,AND($K137&lt;=AV$7,$L137&gt;AV$7),((AV$7-$K137)/($L137-$K137)))</f>
        <v>0</v>
      </c>
      <c r="AX137" s="201">
        <f t="array" ref="AX137">_xlfn.IFS(AND($K137&gt;AW$7,$L137&gt;AW$7),0,AND($K137&lt;=AW$7,$L137&lt;=AW$7),1,AND($K137&lt;=AW$7,$L137&gt;AW$7),((AW$7-$K137)/($L137-$K137)))</f>
        <v>0</v>
      </c>
      <c r="AY137" s="201">
        <f t="array" ref="AY137">_xlfn.IFS(AND($K137&gt;AX$7,$L137&gt;AX$7),0,AND($K137&lt;=AX$7,$L137&lt;=AX$7),1,AND($K137&lt;=AX$7,$L137&gt;AX$7),((AX$7-$K137)/($L137-$K137)))</f>
        <v>0</v>
      </c>
      <c r="AZ137" s="201">
        <f t="array" ref="AZ137">_xlfn.IFS(AND($K137&gt;AY$7,$L137&gt;AY$7),0,AND($K137&lt;=AY$7,$L137&lt;=AY$7),1,AND($K137&lt;=AY$7,$L137&gt;AY$7),((AY$7-$K137)/($L137-$K137)))</f>
        <v>0</v>
      </c>
      <c r="BA137" s="201">
        <f t="array" ref="BA137">_xlfn.IFS(AND($K137&gt;AZ$7,$L137&gt;AZ$7),0,AND($K137&lt;=AZ$7,$L137&lt;=AZ$7),1,AND($K137&lt;=AZ$7,$L137&gt;AZ$7),((AZ$7-$K137)/($L137-$K137)))</f>
        <v>0</v>
      </c>
      <c r="BB137" s="201">
        <f t="array" ref="BB137">_xlfn.IFS(AND($K137&gt;BA$7,$L137&gt;BA$7),0,AND($K137&lt;=BA$7,$L137&lt;=BA$7),1,AND($K137&lt;=BA$7,$L137&gt;BA$7),((BA$7-$K137)/($L137-$K137)))</f>
        <v>0</v>
      </c>
      <c r="BC137" s="201">
        <f t="array" ref="BC137">_xlfn.IFS(AND($K137&gt;BB$7,$L137&gt;BB$7),0,AND($K137&lt;=BB$7,$L137&lt;=BB$7),1,AND($K137&lt;=BB$7,$L137&gt;BB$7),((BB$7-$K137)/($L137-$K137)))</f>
        <v>0</v>
      </c>
      <c r="BD137" s="201">
        <f t="array" ref="BD137">_xlfn.IFS(AND($K137&gt;BC$7,$L137&gt;BC$7),0,AND($K137&lt;=BC$7,$L137&lt;=BC$7),1,AND($K137&lt;=BC$7,$L137&gt;BC$7),((BC$7-$K137)/($L137-$K137)))</f>
        <v>0</v>
      </c>
      <c r="BE137" s="201">
        <f t="array" ref="BE137">_xlfn.IFS(AND($K137&gt;BD$7,$L137&gt;BD$7),0,AND($K137&lt;=BD$7,$L137&lt;=BD$7),1,AND($K137&lt;=BD$7,$L137&gt;BD$7),((BD$7-$K137)/($L137-$K137)))</f>
        <v>0</v>
      </c>
      <c r="BF137" s="201">
        <f t="array" ref="BF137">_xlfn.IFS(AND($K137&gt;BE$7,$L137&gt;BE$7),0,AND($K137&lt;=BE$7,$L137&lt;=BE$7),1,AND($K137&lt;=BE$7,$L137&gt;BE$7),((BE$7-$K137)/($L137-$K137)))</f>
        <v>0</v>
      </c>
      <c r="BG137" s="201">
        <f t="array" ref="BG137">_xlfn.IFS(AND($K137&gt;BF$7,$L137&gt;BF$7),0,AND($K137&lt;=BF$7,$L137&lt;=BF$7),1,AND($K137&lt;=BF$7,$L137&gt;BF$7),((BF$7-$K137)/($L137-$K137)))</f>
        <v>0</v>
      </c>
      <c r="BH137" s="201">
        <f t="array" ref="BH137">_xlfn.IFS(AND($K137&gt;BG$7,$L137&gt;BG$7),0,AND($K137&lt;=BG$7,$L137&lt;=BG$7),1,AND($K137&lt;=BG$7,$L137&gt;BG$7),((BG$7-$K137)/($L137-$K137)))</f>
        <v>0</v>
      </c>
      <c r="BI137" s="201">
        <f t="array" ref="BI137">_xlfn.IFS(AND($K137&gt;BH$7,$L137&gt;BH$7),0,AND($K137&lt;=BH$7,$L137&lt;=BH$7),1,AND($K137&lt;=BH$7,$L137&gt;BH$7),((BH$7-$K137)/($L137-$K137)))</f>
        <v>0</v>
      </c>
      <c r="BJ137" s="201">
        <f t="array" ref="BJ137">_xlfn.IFS(AND($K137&gt;BI$7,$L137&gt;BI$7),0,AND($K137&lt;=BI$7,$L137&lt;=BI$7),1,AND($K137&lt;=BI$7,$L137&gt;BI$7),((BI$7-$K137)/($L137-$K137)))</f>
        <v>0</v>
      </c>
      <c r="BK137" s="201">
        <f t="array" ref="BK137">_xlfn.IFS(AND($K137&gt;BJ$7,$L137&gt;BJ$7),0,AND($K137&lt;=BJ$7,$L137&lt;=BJ$7),1,AND($K137&lt;=BJ$7,$L137&gt;BJ$7),((BJ$7-$K137)/($L137-$K137)))</f>
        <v>0</v>
      </c>
      <c r="BL137" s="201">
        <f t="array" ref="BL137">_xlfn.IFS(AND($K137&gt;BK$7,$L137&gt;BK$7),0,AND($K137&lt;=BK$7,$L137&lt;=BK$7),1,AND($K137&lt;=BK$7,$L137&gt;BK$7),((BK$7-$K137)/($L137-$K137)))</f>
        <v>0.45454545454545453</v>
      </c>
      <c r="BM137" s="201">
        <f t="array" ref="BM137">_xlfn.IFS(AND($K137&gt;BL$7,$L137&gt;BL$7),0,AND($K137&lt;=BL$7,$L137&lt;=BL$7),1,AND($K137&lt;=BL$7,$L137&gt;BL$7),((BL$7-$K137)/($L137-$K137)))</f>
        <v>1</v>
      </c>
      <c r="BN137" s="201">
        <f t="array" ref="BN137">_xlfn.IFS(AND($K137&gt;BM$7,$L137&gt;BM$7),0,AND($K137&lt;=BM$7,$L137&lt;=BM$7),1,AND($K137&lt;=BM$7,$L137&gt;BM$7),((BM$7-$K137)/($L137-$K137)))</f>
        <v>1</v>
      </c>
    </row>
    <row r="138" spans="2:66" s="163" customFormat="1" x14ac:dyDescent="0.3">
      <c r="B138" s="166" t="s">
        <v>161</v>
      </c>
      <c r="C138" s="166" t="s">
        <v>322</v>
      </c>
      <c r="D138" s="177"/>
      <c r="E138" s="170" t="str">
        <f t="shared" si="49"/>
        <v>Desenvolvimento da Transformação dos Processos</v>
      </c>
      <c r="F138" s="174" t="str">
        <f t="shared" si="46"/>
        <v>Transformação do Processo</v>
      </c>
      <c r="G138" s="166" t="str">
        <f t="shared" si="50"/>
        <v>Transformação do Processo</v>
      </c>
      <c r="H138" s="197" t="s">
        <v>323</v>
      </c>
      <c r="I138" s="166">
        <v>45999</v>
      </c>
      <c r="J138" s="166">
        <v>46010</v>
      </c>
      <c r="K138" s="166">
        <v>45999</v>
      </c>
      <c r="L138" s="166">
        <v>46010</v>
      </c>
      <c r="M138" s="167"/>
      <c r="N138" s="167" t="str">
        <f t="array" ref="N138">_xlfn.IFS(L138&lt;$M$3,"Concluído",AND(K138&gt;=$M$3,I138&lt;$M$3,L138&gt;$M$3),"Em andamento",AND(L138&gt;=$M$3,J138&lt;$M$3),"Atrasado",AND(L138&gt;=$M$3,J138&gt;=$M$3,I138&gt;$M$3,K138&lt;=$M$3),"Em andamento",AND(L138&gt;=$M$3,J138&gt;=$M$3,I138&lt;=$M$3,K138&lt;=$M$3),"Em andamento",AND(K138&gt;$M$3,I138&gt;$M$3),"Não iniciado",AND(L138&gt;=$M$3,J138&gt;=$M$3,K138&gt;=$M$3,I138&lt;$M$3),"Atrasado",AND(L138&gt;=$M$3,J138&gt;=$M$3,K138&gt;=$M$3,I138&gt;$M$3),"Não iniciado",AND($I138&lt;=$M$3,$K138&gt;$M$3),"Atrasado")</f>
        <v>Não iniciado</v>
      </c>
      <c r="O138" s="167">
        <f t="array" ref="O138">_xlfn.IFS(N138="Não iniciado",0,N138="Em andamento",1,N138="Concluído",2,N138="Atrasado",3)</f>
        <v>0</v>
      </c>
      <c r="P138" s="169"/>
      <c r="Q138" s="152">
        <f t="array" ref="Q138">_xlfn.IFS(AND($I138&lt;$M$3,$J138&lt;$M$3),1,AND($I138&lt;$M$3,$J138&gt;=$M$3),0.5,AND($I138&gt;=$M$3,$J138&gt;=$M$3),0)</f>
        <v>0</v>
      </c>
      <c r="R138" s="152">
        <f t="array" ref="R138">_xlfn.IFS(AND($K138&lt;$M$3,$L138&lt;$M$3),1,AND($K138&lt;=$M$3,$L138&gt;=$M$3),0.5,AND($K138&gt;=$M$3,$L138&gt;=$M$3),0)</f>
        <v>0</v>
      </c>
      <c r="S138" s="201">
        <f t="array" ref="S138">_xlfn.IFS(AND($K138&gt;R$7,$L138&gt;R$7),0,AND($K138&lt;=R$7,$L138&lt;=R$7),1,AND($K138&lt;=R$7,$L138&gt;R$7),((R$7-$K138)/($L138-$K138)))</f>
        <v>0</v>
      </c>
      <c r="T138" s="201">
        <f t="array" ref="T138">_xlfn.IFS(AND($K138&gt;S$7,$L138&gt;S$7),0,AND($K138&lt;=S$7,$L138&lt;=S$7),1,AND($K138&lt;=S$7,$L138&gt;S$7),((S$7-$K138)/($L138-$K138)))</f>
        <v>0</v>
      </c>
      <c r="U138" s="201">
        <f t="array" ref="U138">_xlfn.IFS(AND($K138&gt;T$7,$L138&gt;T$7),0,AND($K138&lt;=T$7,$L138&lt;=T$7),1,AND($K138&lt;=T$7,$L138&gt;T$7),((T$7-$K138)/($L138-$K138)))</f>
        <v>0</v>
      </c>
      <c r="V138" s="201">
        <f t="array" ref="V138">_xlfn.IFS(AND($K138&gt;U$7,$L138&gt;U$7),0,AND($K138&lt;=U$7,$L138&lt;=U$7),1,AND($K138&lt;=U$7,$L138&gt;U$7),((U$7-$K138)/($L138-$K138)))</f>
        <v>0</v>
      </c>
      <c r="W138" s="201">
        <f t="array" ref="W138">_xlfn.IFS(AND($K138&gt;V$7,$L138&gt;V$7),0,AND($K138&lt;=V$7,$L138&lt;=V$7),1,AND($K138&lt;=V$7,$L138&gt;V$7),((V$7-$K138)/($L138-$K138)))</f>
        <v>0</v>
      </c>
      <c r="X138" s="201">
        <f t="array" ref="X138">_xlfn.IFS(AND($K138&gt;W$7,$L138&gt;W$7),0,AND($K138&lt;=W$7,$L138&lt;=W$7),1,AND($K138&lt;=W$7,$L138&gt;W$7),((W$7-$K138)/($L138-$K138)))</f>
        <v>0</v>
      </c>
      <c r="Y138" s="201">
        <f t="array" ref="Y138">_xlfn.IFS(AND($K138&gt;X$7,$L138&gt;X$7),0,AND($K138&lt;=X$7,$L138&lt;=X$7),1,AND($K138&lt;=X$7,$L138&gt;X$7),((X$7-$K138)/($L138-$K138)))</f>
        <v>0</v>
      </c>
      <c r="Z138" s="201">
        <f t="array" ref="Z138">_xlfn.IFS(AND($K138&gt;Y$7,$L138&gt;Y$7),0,AND($K138&lt;=Y$7,$L138&lt;=Y$7),1,AND($K138&lt;=Y$7,$L138&gt;Y$7),((Y$7-$K138)/($L138-$K138)))</f>
        <v>0</v>
      </c>
      <c r="AA138" s="201">
        <f t="array" ref="AA138">_xlfn.IFS(AND($K138&gt;Z$7,$L138&gt;Z$7),0,AND($K138&lt;=Z$7,$L138&lt;=Z$7),1,AND($K138&lt;=Z$7,$L138&gt;Z$7),((Z$7-$K138)/($L138-$K138)))</f>
        <v>0</v>
      </c>
      <c r="AB138" s="201">
        <f t="array" ref="AB138">_xlfn.IFS(AND($K138&gt;AA$7,$L138&gt;AA$7),0,AND($K138&lt;=AA$7,$L138&lt;=AA$7),1,AND($K138&lt;=AA$7,$L138&gt;AA$7),((AA$7-$K138)/($L138-$K138)))</f>
        <v>0</v>
      </c>
      <c r="AC138" s="201">
        <f t="array" ref="AC138">_xlfn.IFS(AND($K138&gt;AB$7,$L138&gt;AB$7),0,AND($K138&lt;=AB$7,$L138&lt;=AB$7),1,AND($K138&lt;=AB$7,$L138&gt;AB$7),((AB$7-$K138)/($L138-$K138)))</f>
        <v>0</v>
      </c>
      <c r="AD138" s="201">
        <f t="array" ref="AD138">_xlfn.IFS(AND($K138&gt;AC$7,$L138&gt;AC$7),0,AND($K138&lt;=AC$7,$L138&lt;=AC$7),1,AND($K138&lt;=AC$7,$L138&gt;AC$7),((AC$7-$K138)/($L138-$K138)))</f>
        <v>0</v>
      </c>
      <c r="AE138" s="201">
        <f t="array" ref="AE138">_xlfn.IFS(AND($K138&gt;AD$7,$L138&gt;AD$7),0,AND($K138&lt;=AD$7,$L138&lt;=AD$7),1,AND($K138&lt;=AD$7,$L138&gt;AD$7),((AD$7-$K138)/($L138-$K138)))</f>
        <v>0</v>
      </c>
      <c r="AF138" s="201">
        <f t="array" ref="AF138">_xlfn.IFS(AND($K138&gt;AE$7,$L138&gt;AE$7),0,AND($K138&lt;=AE$7,$L138&lt;=AE$7),1,AND($K138&lt;=AE$7,$L138&gt;AE$7),((AE$7-$K138)/($L138-$K138)))</f>
        <v>0</v>
      </c>
      <c r="AG138" s="201">
        <f t="array" ref="AG138">_xlfn.IFS(AND($K138&gt;AF$7,$L138&gt;AF$7),0,AND($K138&lt;=AF$7,$L138&lt;=AF$7),1,AND($K138&lt;=AF$7,$L138&gt;AF$7),((AF$7-$K138)/($L138-$K138)))</f>
        <v>0</v>
      </c>
      <c r="AH138" s="201">
        <f t="array" ref="AH138">_xlfn.IFS(AND($K138&gt;AG$7,$L138&gt;AG$7),0,AND($K138&lt;=AG$7,$L138&lt;=AG$7),1,AND($K138&lt;=AG$7,$L138&gt;AG$7),((AG$7-$K138)/($L138-$K138)))</f>
        <v>0</v>
      </c>
      <c r="AI138" s="201">
        <f t="array" ref="AI138">_xlfn.IFS(AND($K138&gt;AH$7,$L138&gt;AH$7),0,AND($K138&lt;=AH$7,$L138&lt;=AH$7),1,AND($K138&lt;=AH$7,$L138&gt;AH$7),((AH$7-$K138)/($L138-$K138)))</f>
        <v>0</v>
      </c>
      <c r="AJ138" s="201">
        <f t="array" ref="AJ138">_xlfn.IFS(AND($K138&gt;AI$7,$L138&gt;AI$7),0,AND($K138&lt;=AI$7,$L138&lt;=AI$7),1,AND($K138&lt;=AI$7,$L138&gt;AI$7),((AI$7-$K138)/($L138-$K138)))</f>
        <v>0</v>
      </c>
      <c r="AK138" s="201">
        <f t="array" ref="AK138">_xlfn.IFS(AND($K138&gt;AJ$7,$L138&gt;AJ$7),0,AND($K138&lt;=AJ$7,$L138&lt;=AJ$7),1,AND($K138&lt;=AJ$7,$L138&gt;AJ$7),((AJ$7-$K138)/($L138-$K138)))</f>
        <v>0</v>
      </c>
      <c r="AL138" s="201">
        <f t="array" ref="AL138">_xlfn.IFS(AND($K138&gt;AK$7,$L138&gt;AK$7),0,AND($K138&lt;=AK$7,$L138&lt;=AK$7),1,AND($K138&lt;=AK$7,$L138&gt;AK$7),((AK$7-$K138)/($L138-$K138)))</f>
        <v>0</v>
      </c>
      <c r="AM138" s="201">
        <f t="array" ref="AM138">_xlfn.IFS(AND($K138&gt;AL$7,$L138&gt;AL$7),0,AND($K138&lt;=AL$7,$L138&lt;=AL$7),1,AND($K138&lt;=AL$7,$L138&gt;AL$7),((AL$7-$K138)/($L138-$K138)))</f>
        <v>0</v>
      </c>
      <c r="AN138" s="201">
        <f t="array" ref="AN138">_xlfn.IFS(AND($K138&gt;AM$7,$L138&gt;AM$7),0,AND($K138&lt;=AM$7,$L138&lt;=AM$7),1,AND($K138&lt;=AM$7,$L138&gt;AM$7),((AM$7-$K138)/($L138-$K138)))</f>
        <v>0</v>
      </c>
      <c r="AO138" s="201">
        <f t="array" ref="AO138">_xlfn.IFS(AND($K138&gt;AN$7,$L138&gt;AN$7),0,AND($K138&lt;=AN$7,$L138&lt;=AN$7),1,AND($K138&lt;=AN$7,$L138&gt;AN$7),((AN$7-$K138)/($L138-$K138)))</f>
        <v>0</v>
      </c>
      <c r="AP138" s="201">
        <f t="array" ref="AP138">_xlfn.IFS(AND($K138&gt;AO$7,$L138&gt;AO$7),0,AND($K138&lt;=AO$7,$L138&lt;=AO$7),1,AND($K138&lt;=AO$7,$L138&gt;AO$7),((AO$7-$K138)/($L138-$K138)))</f>
        <v>0</v>
      </c>
      <c r="AQ138" s="201">
        <f t="array" ref="AQ138">_xlfn.IFS(AND($K138&gt;AP$7,$L138&gt;AP$7),0,AND($K138&lt;=AP$7,$L138&lt;=AP$7),1,AND($K138&lt;=AP$7,$L138&gt;AP$7),((AP$7-$K138)/($L138-$K138)))</f>
        <v>0</v>
      </c>
      <c r="AR138" s="201">
        <f t="array" ref="AR138">_xlfn.IFS(AND($K138&gt;AQ$7,$L138&gt;AQ$7),0,AND($K138&lt;=AQ$7,$L138&lt;=AQ$7),1,AND($K138&lt;=AQ$7,$L138&gt;AQ$7),((AQ$7-$K138)/($L138-$K138)))</f>
        <v>0</v>
      </c>
      <c r="AS138" s="201">
        <f t="array" ref="AS138">_xlfn.IFS(AND($K138&gt;AR$7,$L138&gt;AR$7),0,AND($K138&lt;=AR$7,$L138&lt;=AR$7),1,AND($K138&lt;=AR$7,$L138&gt;AR$7),((AR$7-$K138)/($L138-$K138)))</f>
        <v>0</v>
      </c>
      <c r="AT138" s="201">
        <f t="array" ref="AT138">_xlfn.IFS(AND($K138&gt;AS$7,$L138&gt;AS$7),0,AND($K138&lt;=AS$7,$L138&lt;=AS$7),1,AND($K138&lt;=AS$7,$L138&gt;AS$7),((AS$7-$K138)/($L138-$K138)))</f>
        <v>0</v>
      </c>
      <c r="AU138" s="201">
        <f t="array" ref="AU138">_xlfn.IFS(AND($K138&gt;AT$7,$L138&gt;AT$7),0,AND($K138&lt;=AT$7,$L138&lt;=AT$7),1,AND($K138&lt;=AT$7,$L138&gt;AT$7),((AT$7-$K138)/($L138-$K138)))</f>
        <v>0</v>
      </c>
      <c r="AV138" s="201">
        <f t="array" ref="AV138">_xlfn.IFS(AND($K138&gt;AU$7,$L138&gt;AU$7),0,AND($K138&lt;=AU$7,$L138&lt;=AU$7),1,AND($K138&lt;=AU$7,$L138&gt;AU$7),((AU$7-$K138)/($L138-$K138)))</f>
        <v>0</v>
      </c>
      <c r="AW138" s="201">
        <f t="array" ref="AW138">_xlfn.IFS(AND($K138&gt;AV$7,$L138&gt;AV$7),0,AND($K138&lt;=AV$7,$L138&lt;=AV$7),1,AND($K138&lt;=AV$7,$L138&gt;AV$7),((AV$7-$K138)/($L138-$K138)))</f>
        <v>0</v>
      </c>
      <c r="AX138" s="201">
        <f t="array" ref="AX138">_xlfn.IFS(AND($K138&gt;AW$7,$L138&gt;AW$7),0,AND($K138&lt;=AW$7,$L138&lt;=AW$7),1,AND($K138&lt;=AW$7,$L138&gt;AW$7),((AW$7-$K138)/($L138-$K138)))</f>
        <v>0</v>
      </c>
      <c r="AY138" s="201">
        <f t="array" ref="AY138">_xlfn.IFS(AND($K138&gt;AX$7,$L138&gt;AX$7),0,AND($K138&lt;=AX$7,$L138&lt;=AX$7),1,AND($K138&lt;=AX$7,$L138&gt;AX$7),((AX$7-$K138)/($L138-$K138)))</f>
        <v>0</v>
      </c>
      <c r="AZ138" s="201">
        <f t="array" ref="AZ138">_xlfn.IFS(AND($K138&gt;AY$7,$L138&gt;AY$7),0,AND($K138&lt;=AY$7,$L138&lt;=AY$7),1,AND($K138&lt;=AY$7,$L138&gt;AY$7),((AY$7-$K138)/($L138-$K138)))</f>
        <v>0</v>
      </c>
      <c r="BA138" s="201">
        <f t="array" ref="BA138">_xlfn.IFS(AND($K138&gt;AZ$7,$L138&gt;AZ$7),0,AND($K138&lt;=AZ$7,$L138&lt;=AZ$7),1,AND($K138&lt;=AZ$7,$L138&gt;AZ$7),((AZ$7-$K138)/($L138-$K138)))</f>
        <v>0</v>
      </c>
      <c r="BB138" s="201">
        <f t="array" ref="BB138">_xlfn.IFS(AND($K138&gt;BA$7,$L138&gt;BA$7),0,AND($K138&lt;=BA$7,$L138&lt;=BA$7),1,AND($K138&lt;=BA$7,$L138&gt;BA$7),((BA$7-$K138)/($L138-$K138)))</f>
        <v>0</v>
      </c>
      <c r="BC138" s="201">
        <f t="array" ref="BC138">_xlfn.IFS(AND($K138&gt;BB$7,$L138&gt;BB$7),0,AND($K138&lt;=BB$7,$L138&lt;=BB$7),1,AND($K138&lt;=BB$7,$L138&gt;BB$7),((BB$7-$K138)/($L138-$K138)))</f>
        <v>0</v>
      </c>
      <c r="BD138" s="201">
        <f t="array" ref="BD138">_xlfn.IFS(AND($K138&gt;BC$7,$L138&gt;BC$7),0,AND($K138&lt;=BC$7,$L138&lt;=BC$7),1,AND($K138&lt;=BC$7,$L138&gt;BC$7),((BC$7-$K138)/($L138-$K138)))</f>
        <v>0</v>
      </c>
      <c r="BE138" s="201">
        <f t="array" ref="BE138">_xlfn.IFS(AND($K138&gt;BD$7,$L138&gt;BD$7),0,AND($K138&lt;=BD$7,$L138&lt;=BD$7),1,AND($K138&lt;=BD$7,$L138&gt;BD$7),((BD$7-$K138)/($L138-$K138)))</f>
        <v>0</v>
      </c>
      <c r="BF138" s="201">
        <f t="array" ref="BF138">_xlfn.IFS(AND($K138&gt;BE$7,$L138&gt;BE$7),0,AND($K138&lt;=BE$7,$L138&lt;=BE$7),1,AND($K138&lt;=BE$7,$L138&gt;BE$7),((BE$7-$K138)/($L138-$K138)))</f>
        <v>0</v>
      </c>
      <c r="BG138" s="201">
        <f t="array" ref="BG138">_xlfn.IFS(AND($K138&gt;BF$7,$L138&gt;BF$7),0,AND($K138&lt;=BF$7,$L138&lt;=BF$7),1,AND($K138&lt;=BF$7,$L138&gt;BF$7),((BF$7-$K138)/($L138-$K138)))</f>
        <v>0</v>
      </c>
      <c r="BH138" s="201">
        <f t="array" ref="BH138">_xlfn.IFS(AND($K138&gt;BG$7,$L138&gt;BG$7),0,AND($K138&lt;=BG$7,$L138&lt;=BG$7),1,AND($K138&lt;=BG$7,$L138&gt;BG$7),((BG$7-$K138)/($L138-$K138)))</f>
        <v>0</v>
      </c>
      <c r="BI138" s="201">
        <f t="array" ref="BI138">_xlfn.IFS(AND($K138&gt;BH$7,$L138&gt;BH$7),0,AND($K138&lt;=BH$7,$L138&lt;=BH$7),1,AND($K138&lt;=BH$7,$L138&gt;BH$7),((BH$7-$K138)/($L138-$K138)))</f>
        <v>0</v>
      </c>
      <c r="BJ138" s="201">
        <f t="array" ref="BJ138">_xlfn.IFS(AND($K138&gt;BI$7,$L138&gt;BI$7),0,AND($K138&lt;=BI$7,$L138&lt;=BI$7),1,AND($K138&lt;=BI$7,$L138&gt;BI$7),((BI$7-$K138)/($L138-$K138)))</f>
        <v>0</v>
      </c>
      <c r="BK138" s="201">
        <f t="array" ref="BK138">_xlfn.IFS(AND($K138&gt;BJ$7,$L138&gt;BJ$7),0,AND($K138&lt;=BJ$7,$L138&lt;=BJ$7),1,AND($K138&lt;=BJ$7,$L138&gt;BJ$7),((BJ$7-$K138)/($L138-$K138)))</f>
        <v>0</v>
      </c>
      <c r="BL138" s="201">
        <f t="array" ref="BL138">_xlfn.IFS(AND($K138&gt;BK$7,$L138&gt;BK$7),0,AND($K138&lt;=BK$7,$L138&lt;=BK$7),1,AND($K138&lt;=BK$7,$L138&gt;BK$7),((BK$7-$K138)/($L138-$K138)))</f>
        <v>0.45454545454545453</v>
      </c>
      <c r="BM138" s="201">
        <f t="array" ref="BM138">_xlfn.IFS(AND($K138&gt;BL$7,$L138&gt;BL$7),0,AND($K138&lt;=BL$7,$L138&lt;=BL$7),1,AND($K138&lt;=BL$7,$L138&gt;BL$7),((BL$7-$K138)/($L138-$K138)))</f>
        <v>1</v>
      </c>
      <c r="BN138" s="201">
        <f t="array" ref="BN138">_xlfn.IFS(AND($K138&gt;BM$7,$L138&gt;BM$7),0,AND($K138&lt;=BM$7,$L138&lt;=BM$7),1,AND($K138&lt;=BM$7,$L138&gt;BM$7),((BM$7-$K138)/($L138-$K138)))</f>
        <v>1</v>
      </c>
    </row>
    <row r="139" spans="2:66" s="163" customFormat="1" ht="27.6" customHeight="1" x14ac:dyDescent="0.3">
      <c r="B139" s="166" t="s">
        <v>161</v>
      </c>
      <c r="C139" s="166" t="s">
        <v>324</v>
      </c>
      <c r="D139" s="177"/>
      <c r="E139" s="170" t="str">
        <f t="shared" si="49"/>
        <v>Desenvolvimento da Transformação dos Processos</v>
      </c>
      <c r="F139" s="174" t="str">
        <f t="shared" si="46"/>
        <v>Transformação do Processo</v>
      </c>
      <c r="G139" s="166" t="str">
        <f t="shared" si="50"/>
        <v>Transformação do Processo</v>
      </c>
      <c r="H139" s="197" t="s">
        <v>325</v>
      </c>
      <c r="I139" s="166">
        <v>45999</v>
      </c>
      <c r="J139" s="166">
        <v>46010</v>
      </c>
      <c r="K139" s="166">
        <v>45999</v>
      </c>
      <c r="L139" s="166">
        <v>46010</v>
      </c>
      <c r="M139" s="167"/>
      <c r="N139" s="167" t="str">
        <f t="array" ref="N139">_xlfn.IFS(L139&lt;$M$3,"Concluído",AND(K139&gt;=$M$3,I139&lt;$M$3,L139&gt;$M$3),"Em andamento",AND(L139&gt;=$M$3,J139&lt;$M$3),"Atrasado",AND(L139&gt;=$M$3,J139&gt;=$M$3,I139&gt;$M$3,K139&lt;=$M$3),"Em andamento",AND(L139&gt;=$M$3,J139&gt;=$M$3,I139&lt;=$M$3,K139&lt;=$M$3),"Em andamento",AND(K139&gt;$M$3,I139&gt;$M$3),"Não iniciado",AND(L139&gt;=$M$3,J139&gt;=$M$3,K139&gt;=$M$3,I139&lt;$M$3),"Atrasado",AND(L139&gt;=$M$3,J139&gt;=$M$3,K139&gt;=$M$3,I139&gt;$M$3),"Não iniciado",AND($I139&lt;=$M$3,$K139&gt;$M$3),"Atrasado")</f>
        <v>Não iniciado</v>
      </c>
      <c r="O139" s="167">
        <f t="array" ref="O139">_xlfn.IFS(N139="Não iniciado",0,N139="Em andamento",1,N139="Concluído",2,N139="Atrasado",3)</f>
        <v>0</v>
      </c>
      <c r="P139" s="169"/>
      <c r="Q139" s="152">
        <f t="array" ref="Q139">_xlfn.IFS(AND($I139&lt;$M$3,$J139&lt;$M$3),1,AND($I139&lt;$M$3,$J139&gt;=$M$3),0.5,AND($I139&gt;=$M$3,$J139&gt;=$M$3),0)</f>
        <v>0</v>
      </c>
      <c r="R139" s="152">
        <f t="array" ref="R139">_xlfn.IFS(AND($K139&lt;$M$3,$L139&lt;$M$3),1,AND($K139&lt;=$M$3,$L139&gt;=$M$3),0.5,AND($K139&gt;=$M$3,$L139&gt;=$M$3),0)</f>
        <v>0</v>
      </c>
      <c r="S139" s="201">
        <f t="array" ref="S139">_xlfn.IFS(AND($K139&gt;R$7,$L139&gt;R$7),0,AND($K139&lt;=R$7,$L139&lt;=R$7),1,AND($K139&lt;=R$7,$L139&gt;R$7),((R$7-$K139)/($L139-$K139)))</f>
        <v>0</v>
      </c>
      <c r="T139" s="201">
        <f t="array" ref="T139">_xlfn.IFS(AND($K139&gt;S$7,$L139&gt;S$7),0,AND($K139&lt;=S$7,$L139&lt;=S$7),1,AND($K139&lt;=S$7,$L139&gt;S$7),((S$7-$K139)/($L139-$K139)))</f>
        <v>0</v>
      </c>
      <c r="U139" s="201">
        <f t="array" ref="U139">_xlfn.IFS(AND($K139&gt;T$7,$L139&gt;T$7),0,AND($K139&lt;=T$7,$L139&lt;=T$7),1,AND($K139&lt;=T$7,$L139&gt;T$7),((T$7-$K139)/($L139-$K139)))</f>
        <v>0</v>
      </c>
      <c r="V139" s="201">
        <f t="array" ref="V139">_xlfn.IFS(AND($K139&gt;U$7,$L139&gt;U$7),0,AND($K139&lt;=U$7,$L139&lt;=U$7),1,AND($K139&lt;=U$7,$L139&gt;U$7),((U$7-$K139)/($L139-$K139)))</f>
        <v>0</v>
      </c>
      <c r="W139" s="201">
        <f t="array" ref="W139">_xlfn.IFS(AND($K139&gt;V$7,$L139&gt;V$7),0,AND($K139&lt;=V$7,$L139&lt;=V$7),1,AND($K139&lt;=V$7,$L139&gt;V$7),((V$7-$K139)/($L139-$K139)))</f>
        <v>0</v>
      </c>
      <c r="X139" s="201">
        <f t="array" ref="X139">_xlfn.IFS(AND($K139&gt;W$7,$L139&gt;W$7),0,AND($K139&lt;=W$7,$L139&lt;=W$7),1,AND($K139&lt;=W$7,$L139&gt;W$7),((W$7-$K139)/($L139-$K139)))</f>
        <v>0</v>
      </c>
      <c r="Y139" s="201">
        <f t="array" ref="Y139">_xlfn.IFS(AND($K139&gt;X$7,$L139&gt;X$7),0,AND($K139&lt;=X$7,$L139&lt;=X$7),1,AND($K139&lt;=X$7,$L139&gt;X$7),((X$7-$K139)/($L139-$K139)))</f>
        <v>0</v>
      </c>
      <c r="Z139" s="201">
        <f t="array" ref="Z139">_xlfn.IFS(AND($K139&gt;Y$7,$L139&gt;Y$7),0,AND($K139&lt;=Y$7,$L139&lt;=Y$7),1,AND($K139&lt;=Y$7,$L139&gt;Y$7),((Y$7-$K139)/($L139-$K139)))</f>
        <v>0</v>
      </c>
      <c r="AA139" s="201">
        <f t="array" ref="AA139">_xlfn.IFS(AND($K139&gt;Z$7,$L139&gt;Z$7),0,AND($K139&lt;=Z$7,$L139&lt;=Z$7),1,AND($K139&lt;=Z$7,$L139&gt;Z$7),((Z$7-$K139)/($L139-$K139)))</f>
        <v>0</v>
      </c>
      <c r="AB139" s="201">
        <f t="array" ref="AB139">_xlfn.IFS(AND($K139&gt;AA$7,$L139&gt;AA$7),0,AND($K139&lt;=AA$7,$L139&lt;=AA$7),1,AND($K139&lt;=AA$7,$L139&gt;AA$7),((AA$7-$K139)/($L139-$K139)))</f>
        <v>0</v>
      </c>
      <c r="AC139" s="201">
        <f t="array" ref="AC139">_xlfn.IFS(AND($K139&gt;AB$7,$L139&gt;AB$7),0,AND($K139&lt;=AB$7,$L139&lt;=AB$7),1,AND($K139&lt;=AB$7,$L139&gt;AB$7),((AB$7-$K139)/($L139-$K139)))</f>
        <v>0</v>
      </c>
      <c r="AD139" s="201">
        <f t="array" ref="AD139">_xlfn.IFS(AND($K139&gt;AC$7,$L139&gt;AC$7),0,AND($K139&lt;=AC$7,$L139&lt;=AC$7),1,AND($K139&lt;=AC$7,$L139&gt;AC$7),((AC$7-$K139)/($L139-$K139)))</f>
        <v>0</v>
      </c>
      <c r="AE139" s="201">
        <f t="array" ref="AE139">_xlfn.IFS(AND($K139&gt;AD$7,$L139&gt;AD$7),0,AND($K139&lt;=AD$7,$L139&lt;=AD$7),1,AND($K139&lt;=AD$7,$L139&gt;AD$7),((AD$7-$K139)/($L139-$K139)))</f>
        <v>0</v>
      </c>
      <c r="AF139" s="201">
        <f t="array" ref="AF139">_xlfn.IFS(AND($K139&gt;AE$7,$L139&gt;AE$7),0,AND($K139&lt;=AE$7,$L139&lt;=AE$7),1,AND($K139&lt;=AE$7,$L139&gt;AE$7),((AE$7-$K139)/($L139-$K139)))</f>
        <v>0</v>
      </c>
      <c r="AG139" s="201">
        <f t="array" ref="AG139">_xlfn.IFS(AND($K139&gt;AF$7,$L139&gt;AF$7),0,AND($K139&lt;=AF$7,$L139&lt;=AF$7),1,AND($K139&lt;=AF$7,$L139&gt;AF$7),((AF$7-$K139)/($L139-$K139)))</f>
        <v>0</v>
      </c>
      <c r="AH139" s="201">
        <f t="array" ref="AH139">_xlfn.IFS(AND($K139&gt;AG$7,$L139&gt;AG$7),0,AND($K139&lt;=AG$7,$L139&lt;=AG$7),1,AND($K139&lt;=AG$7,$L139&gt;AG$7),((AG$7-$K139)/($L139-$K139)))</f>
        <v>0</v>
      </c>
      <c r="AI139" s="201">
        <f t="array" ref="AI139">_xlfn.IFS(AND($K139&gt;AH$7,$L139&gt;AH$7),0,AND($K139&lt;=AH$7,$L139&lt;=AH$7),1,AND($K139&lt;=AH$7,$L139&gt;AH$7),((AH$7-$K139)/($L139-$K139)))</f>
        <v>0</v>
      </c>
      <c r="AJ139" s="201">
        <f t="array" ref="AJ139">_xlfn.IFS(AND($K139&gt;AI$7,$L139&gt;AI$7),0,AND($K139&lt;=AI$7,$L139&lt;=AI$7),1,AND($K139&lt;=AI$7,$L139&gt;AI$7),((AI$7-$K139)/($L139-$K139)))</f>
        <v>0</v>
      </c>
      <c r="AK139" s="201">
        <f t="array" ref="AK139">_xlfn.IFS(AND($K139&gt;AJ$7,$L139&gt;AJ$7),0,AND($K139&lt;=AJ$7,$L139&lt;=AJ$7),1,AND($K139&lt;=AJ$7,$L139&gt;AJ$7),((AJ$7-$K139)/($L139-$K139)))</f>
        <v>0</v>
      </c>
      <c r="AL139" s="201">
        <f t="array" ref="AL139">_xlfn.IFS(AND($K139&gt;AK$7,$L139&gt;AK$7),0,AND($K139&lt;=AK$7,$L139&lt;=AK$7),1,AND($K139&lt;=AK$7,$L139&gt;AK$7),((AK$7-$K139)/($L139-$K139)))</f>
        <v>0</v>
      </c>
      <c r="AM139" s="201">
        <f t="array" ref="AM139">_xlfn.IFS(AND($K139&gt;AL$7,$L139&gt;AL$7),0,AND($K139&lt;=AL$7,$L139&lt;=AL$7),1,AND($K139&lt;=AL$7,$L139&gt;AL$7),((AL$7-$K139)/($L139-$K139)))</f>
        <v>0</v>
      </c>
      <c r="AN139" s="201">
        <f t="array" ref="AN139">_xlfn.IFS(AND($K139&gt;AM$7,$L139&gt;AM$7),0,AND($K139&lt;=AM$7,$L139&lt;=AM$7),1,AND($K139&lt;=AM$7,$L139&gt;AM$7),((AM$7-$K139)/($L139-$K139)))</f>
        <v>0</v>
      </c>
      <c r="AO139" s="201">
        <f t="array" ref="AO139">_xlfn.IFS(AND($K139&gt;AN$7,$L139&gt;AN$7),0,AND($K139&lt;=AN$7,$L139&lt;=AN$7),1,AND($K139&lt;=AN$7,$L139&gt;AN$7),((AN$7-$K139)/($L139-$K139)))</f>
        <v>0</v>
      </c>
      <c r="AP139" s="201">
        <f t="array" ref="AP139">_xlfn.IFS(AND($K139&gt;AO$7,$L139&gt;AO$7),0,AND($K139&lt;=AO$7,$L139&lt;=AO$7),1,AND($K139&lt;=AO$7,$L139&gt;AO$7),((AO$7-$K139)/($L139-$K139)))</f>
        <v>0</v>
      </c>
      <c r="AQ139" s="201">
        <f t="array" ref="AQ139">_xlfn.IFS(AND($K139&gt;AP$7,$L139&gt;AP$7),0,AND($K139&lt;=AP$7,$L139&lt;=AP$7),1,AND($K139&lt;=AP$7,$L139&gt;AP$7),((AP$7-$K139)/($L139-$K139)))</f>
        <v>0</v>
      </c>
      <c r="AR139" s="201">
        <f t="array" ref="AR139">_xlfn.IFS(AND($K139&gt;AQ$7,$L139&gt;AQ$7),0,AND($K139&lt;=AQ$7,$L139&lt;=AQ$7),1,AND($K139&lt;=AQ$7,$L139&gt;AQ$7),((AQ$7-$K139)/($L139-$K139)))</f>
        <v>0</v>
      </c>
      <c r="AS139" s="201">
        <f t="array" ref="AS139">_xlfn.IFS(AND($K139&gt;AR$7,$L139&gt;AR$7),0,AND($K139&lt;=AR$7,$L139&lt;=AR$7),1,AND($K139&lt;=AR$7,$L139&gt;AR$7),((AR$7-$K139)/($L139-$K139)))</f>
        <v>0</v>
      </c>
      <c r="AT139" s="201">
        <f t="array" ref="AT139">_xlfn.IFS(AND($K139&gt;AS$7,$L139&gt;AS$7),0,AND($K139&lt;=AS$7,$L139&lt;=AS$7),1,AND($K139&lt;=AS$7,$L139&gt;AS$7),((AS$7-$K139)/($L139-$K139)))</f>
        <v>0</v>
      </c>
      <c r="AU139" s="201">
        <f t="array" ref="AU139">_xlfn.IFS(AND($K139&gt;AT$7,$L139&gt;AT$7),0,AND($K139&lt;=AT$7,$L139&lt;=AT$7),1,AND($K139&lt;=AT$7,$L139&gt;AT$7),((AT$7-$K139)/($L139-$K139)))</f>
        <v>0</v>
      </c>
      <c r="AV139" s="201">
        <f t="array" ref="AV139">_xlfn.IFS(AND($K139&gt;AU$7,$L139&gt;AU$7),0,AND($K139&lt;=AU$7,$L139&lt;=AU$7),1,AND($K139&lt;=AU$7,$L139&gt;AU$7),((AU$7-$K139)/($L139-$K139)))</f>
        <v>0</v>
      </c>
      <c r="AW139" s="201">
        <f t="array" ref="AW139">_xlfn.IFS(AND($K139&gt;AV$7,$L139&gt;AV$7),0,AND($K139&lt;=AV$7,$L139&lt;=AV$7),1,AND($K139&lt;=AV$7,$L139&gt;AV$7),((AV$7-$K139)/($L139-$K139)))</f>
        <v>0</v>
      </c>
      <c r="AX139" s="201">
        <f t="array" ref="AX139">_xlfn.IFS(AND($K139&gt;AW$7,$L139&gt;AW$7),0,AND($K139&lt;=AW$7,$L139&lt;=AW$7),1,AND($K139&lt;=AW$7,$L139&gt;AW$7),((AW$7-$K139)/($L139-$K139)))</f>
        <v>0</v>
      </c>
      <c r="AY139" s="201">
        <f t="array" ref="AY139">_xlfn.IFS(AND($K139&gt;AX$7,$L139&gt;AX$7),0,AND($K139&lt;=AX$7,$L139&lt;=AX$7),1,AND($K139&lt;=AX$7,$L139&gt;AX$7),((AX$7-$K139)/($L139-$K139)))</f>
        <v>0</v>
      </c>
      <c r="AZ139" s="201">
        <f t="array" ref="AZ139">_xlfn.IFS(AND($K139&gt;AY$7,$L139&gt;AY$7),0,AND($K139&lt;=AY$7,$L139&lt;=AY$7),1,AND($K139&lt;=AY$7,$L139&gt;AY$7),((AY$7-$K139)/($L139-$K139)))</f>
        <v>0</v>
      </c>
      <c r="BA139" s="201">
        <f t="array" ref="BA139">_xlfn.IFS(AND($K139&gt;AZ$7,$L139&gt;AZ$7),0,AND($K139&lt;=AZ$7,$L139&lt;=AZ$7),1,AND($K139&lt;=AZ$7,$L139&gt;AZ$7),((AZ$7-$K139)/($L139-$K139)))</f>
        <v>0</v>
      </c>
      <c r="BB139" s="201">
        <f t="array" ref="BB139">_xlfn.IFS(AND($K139&gt;BA$7,$L139&gt;BA$7),0,AND($K139&lt;=BA$7,$L139&lt;=BA$7),1,AND($K139&lt;=BA$7,$L139&gt;BA$7),((BA$7-$K139)/($L139-$K139)))</f>
        <v>0</v>
      </c>
      <c r="BC139" s="201">
        <f t="array" ref="BC139">_xlfn.IFS(AND($K139&gt;BB$7,$L139&gt;BB$7),0,AND($K139&lt;=BB$7,$L139&lt;=BB$7),1,AND($K139&lt;=BB$7,$L139&gt;BB$7),((BB$7-$K139)/($L139-$K139)))</f>
        <v>0</v>
      </c>
      <c r="BD139" s="201">
        <f t="array" ref="BD139">_xlfn.IFS(AND($K139&gt;BC$7,$L139&gt;BC$7),0,AND($K139&lt;=BC$7,$L139&lt;=BC$7),1,AND($K139&lt;=BC$7,$L139&gt;BC$7),((BC$7-$K139)/($L139-$K139)))</f>
        <v>0</v>
      </c>
      <c r="BE139" s="201">
        <f t="array" ref="BE139">_xlfn.IFS(AND($K139&gt;BD$7,$L139&gt;BD$7),0,AND($K139&lt;=BD$7,$L139&lt;=BD$7),1,AND($K139&lt;=BD$7,$L139&gt;BD$7),((BD$7-$K139)/($L139-$K139)))</f>
        <v>0</v>
      </c>
      <c r="BF139" s="201">
        <f t="array" ref="BF139">_xlfn.IFS(AND($K139&gt;BE$7,$L139&gt;BE$7),0,AND($K139&lt;=BE$7,$L139&lt;=BE$7),1,AND($K139&lt;=BE$7,$L139&gt;BE$7),((BE$7-$K139)/($L139-$K139)))</f>
        <v>0</v>
      </c>
      <c r="BG139" s="201">
        <f t="array" ref="BG139">_xlfn.IFS(AND($K139&gt;BF$7,$L139&gt;BF$7),0,AND($K139&lt;=BF$7,$L139&lt;=BF$7),1,AND($K139&lt;=BF$7,$L139&gt;BF$7),((BF$7-$K139)/($L139-$K139)))</f>
        <v>0</v>
      </c>
      <c r="BH139" s="201">
        <f t="array" ref="BH139">_xlfn.IFS(AND($K139&gt;BG$7,$L139&gt;BG$7),0,AND($K139&lt;=BG$7,$L139&lt;=BG$7),1,AND($K139&lt;=BG$7,$L139&gt;BG$7),((BG$7-$K139)/($L139-$K139)))</f>
        <v>0</v>
      </c>
      <c r="BI139" s="201">
        <f t="array" ref="BI139">_xlfn.IFS(AND($K139&gt;BH$7,$L139&gt;BH$7),0,AND($K139&lt;=BH$7,$L139&lt;=BH$7),1,AND($K139&lt;=BH$7,$L139&gt;BH$7),((BH$7-$K139)/($L139-$K139)))</f>
        <v>0</v>
      </c>
      <c r="BJ139" s="201">
        <f t="array" ref="BJ139">_xlfn.IFS(AND($K139&gt;BI$7,$L139&gt;BI$7),0,AND($K139&lt;=BI$7,$L139&lt;=BI$7),1,AND($K139&lt;=BI$7,$L139&gt;BI$7),((BI$7-$K139)/($L139-$K139)))</f>
        <v>0</v>
      </c>
      <c r="BK139" s="201">
        <f t="array" ref="BK139">_xlfn.IFS(AND($K139&gt;BJ$7,$L139&gt;BJ$7),0,AND($K139&lt;=BJ$7,$L139&lt;=BJ$7),1,AND($K139&lt;=BJ$7,$L139&gt;BJ$7),((BJ$7-$K139)/($L139-$K139)))</f>
        <v>0</v>
      </c>
      <c r="BL139" s="201">
        <f t="array" ref="BL139">_xlfn.IFS(AND($K139&gt;BK$7,$L139&gt;BK$7),0,AND($K139&lt;=BK$7,$L139&lt;=BK$7),1,AND($K139&lt;=BK$7,$L139&gt;BK$7),((BK$7-$K139)/($L139-$K139)))</f>
        <v>0.45454545454545453</v>
      </c>
      <c r="BM139" s="201">
        <f t="array" ref="BM139">_xlfn.IFS(AND($K139&gt;BL$7,$L139&gt;BL$7),0,AND($K139&lt;=BL$7,$L139&lt;=BL$7),1,AND($K139&lt;=BL$7,$L139&gt;BL$7),((BL$7-$K139)/($L139-$K139)))</f>
        <v>1</v>
      </c>
      <c r="BN139" s="201">
        <f t="array" ref="BN139">_xlfn.IFS(AND($K139&gt;BM$7,$L139&gt;BM$7),0,AND($K139&lt;=BM$7,$L139&lt;=BM$7),1,AND($K139&lt;=BM$7,$L139&gt;BM$7),((BM$7-$K139)/($L139-$K139)))</f>
        <v>1</v>
      </c>
    </row>
    <row r="140" spans="2:66" s="163" customFormat="1" ht="15" customHeight="1" x14ac:dyDescent="0.3">
      <c r="B140" s="177" t="str">
        <f t="array" ref="B140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2</v>
      </c>
      <c r="C140" s="177" t="s">
        <v>326</v>
      </c>
      <c r="D140" s="177" t="str">
        <f t="shared" ref="D140:D156" si="51">$H$11</f>
        <v>Arquitetura de projetos GERDAU</v>
      </c>
      <c r="E140" s="177" t="s">
        <v>74</v>
      </c>
      <c r="F140" s="177" t="s">
        <v>74</v>
      </c>
      <c r="G140" s="177" t="s">
        <v>74</v>
      </c>
      <c r="H140" s="193" t="s">
        <v>327</v>
      </c>
      <c r="I140" s="177">
        <f>MIN(I141,I145,I150,I153)</f>
        <v>45762</v>
      </c>
      <c r="J140" s="177">
        <f>MAX(J141,J145,J150,J153)</f>
        <v>46014</v>
      </c>
      <c r="K140" s="177">
        <f>MIN(K141,K145,K150,K153)</f>
        <v>45762</v>
      </c>
      <c r="L140" s="177">
        <f>MAX(L141,L145,L150,L153)</f>
        <v>46014</v>
      </c>
      <c r="M140" s="178"/>
      <c r="N140" s="178" t="str">
        <f t="array" ref="N140">_xlfn.IFS(L140&lt;$M$3,"Concluído",AND(K140&gt;=$M$3,I140&lt;$M$3,L140&gt;$M$3),"Em andamento",AND(L140&gt;=$M$3,J140&lt;$M$3),"Atrasado",AND(L140&gt;=$M$3,J140&gt;=$M$3,I140&gt;$M$3,K140&lt;=$M$3),"Em andamento",AND(L140&gt;=$M$3,J140&gt;=$M$3,I140&lt;=$M$3,K140&lt;=$M$3),"Em andamento",AND(K140&gt;$M$3,I140&gt;$M$3),"Não iniciado",AND(L140&gt;=$M$3,J140&gt;=$M$3,K140&gt;=$M$3,I140&lt;$M$3),"Atrasado",AND(L140&gt;=$M$3,J140&gt;=$M$3,K140&gt;=$M$3,I140&gt;$M$3),"Não iniciado",AND($I140&lt;=$M$3,$K140&gt;$M$3),"Atrasado")</f>
        <v>Em andamento</v>
      </c>
      <c r="O140" s="178">
        <f t="array" ref="O140">_xlfn.IFS(N140="Não iniciado",0,N140="Em andamento",1,N140="Concluído",2,N140="Atrasado",3)</f>
        <v>1</v>
      </c>
      <c r="P140" s="179"/>
      <c r="Q140" s="180">
        <f t="shared" ref="Q140:AV140" si="52">AVERAGE(Q141,Q145,Q150,Q153)</f>
        <v>0.125</v>
      </c>
      <c r="R140" s="180">
        <f t="shared" si="52"/>
        <v>0.125</v>
      </c>
      <c r="S140" s="180">
        <f t="shared" si="52"/>
        <v>0</v>
      </c>
      <c r="T140" s="180">
        <f t="shared" si="52"/>
        <v>0</v>
      </c>
      <c r="U140" s="180">
        <f t="shared" si="52"/>
        <v>0</v>
      </c>
      <c r="V140" s="180">
        <f t="shared" si="52"/>
        <v>0</v>
      </c>
      <c r="W140" s="180">
        <f t="shared" si="52"/>
        <v>0</v>
      </c>
      <c r="X140" s="180">
        <f t="shared" si="52"/>
        <v>0</v>
      </c>
      <c r="Y140" s="180">
        <f t="shared" si="52"/>
        <v>0</v>
      </c>
      <c r="Z140" s="180">
        <f t="shared" si="52"/>
        <v>0</v>
      </c>
      <c r="AA140" s="180">
        <f t="shared" si="52"/>
        <v>0</v>
      </c>
      <c r="AB140" s="180">
        <f t="shared" si="52"/>
        <v>0</v>
      </c>
      <c r="AC140" s="180">
        <f t="shared" si="52"/>
        <v>0</v>
      </c>
      <c r="AD140" s="180">
        <f t="shared" si="52"/>
        <v>4.4052863436123352E-3</v>
      </c>
      <c r="AE140" s="180">
        <f t="shared" si="52"/>
        <v>1.2114537444933921E-2</v>
      </c>
      <c r="AF140" s="180">
        <f t="shared" si="52"/>
        <v>1.9823788546255508E-2</v>
      </c>
      <c r="AG140" s="180">
        <f t="shared" si="52"/>
        <v>2.7533039647577091E-2</v>
      </c>
      <c r="AH140" s="180">
        <f t="shared" si="52"/>
        <v>3.5242290748898682E-2</v>
      </c>
      <c r="AI140" s="180">
        <f t="shared" si="52"/>
        <v>4.2951541850220265E-2</v>
      </c>
      <c r="AJ140" s="180">
        <f t="shared" si="52"/>
        <v>5.0660792951541848E-2</v>
      </c>
      <c r="AK140" s="180">
        <f t="shared" si="52"/>
        <v>5.8370044052863439E-2</v>
      </c>
      <c r="AL140" s="180">
        <f t="shared" si="52"/>
        <v>6.6079295154185022E-2</v>
      </c>
      <c r="AM140" s="180">
        <f t="shared" si="52"/>
        <v>7.3788546255506612E-2</v>
      </c>
      <c r="AN140" s="180">
        <f t="shared" si="52"/>
        <v>8.1497797356828189E-2</v>
      </c>
      <c r="AO140" s="180">
        <f t="shared" si="52"/>
        <v>8.9207048458149779E-2</v>
      </c>
      <c r="AP140" s="180">
        <f t="shared" si="52"/>
        <v>9.6916299559471369E-2</v>
      </c>
      <c r="AQ140" s="180">
        <f t="shared" si="52"/>
        <v>0.10462555066079295</v>
      </c>
      <c r="AR140" s="180">
        <f t="shared" si="52"/>
        <v>0.11233480176211454</v>
      </c>
      <c r="AS140" s="180">
        <f t="shared" si="52"/>
        <v>0.12004405286343613</v>
      </c>
      <c r="AT140" s="180">
        <f t="shared" si="52"/>
        <v>0.1277533039647577</v>
      </c>
      <c r="AU140" s="180">
        <f t="shared" si="52"/>
        <v>0.13546255506607929</v>
      </c>
      <c r="AV140" s="180">
        <f t="shared" si="52"/>
        <v>0.14317180616740088</v>
      </c>
      <c r="AW140" s="180">
        <f t="shared" ref="AW140:BN140" si="53">AVERAGE(AW141,AW145,AW150,AW153)</f>
        <v>0.15088105726872247</v>
      </c>
      <c r="AX140" s="180">
        <f t="shared" si="53"/>
        <v>0.15859030837004406</v>
      </c>
      <c r="AY140" s="180">
        <f t="shared" si="53"/>
        <v>0.16629955947136563</v>
      </c>
      <c r="AZ140" s="180">
        <f t="shared" si="53"/>
        <v>0.17400881057268722</v>
      </c>
      <c r="BA140" s="180">
        <f t="shared" si="53"/>
        <v>0.18171806167400881</v>
      </c>
      <c r="BB140" s="180">
        <f t="shared" si="53"/>
        <v>0.1894273127753304</v>
      </c>
      <c r="BC140" s="180">
        <f t="shared" si="53"/>
        <v>0.19713656387665199</v>
      </c>
      <c r="BD140" s="180">
        <f t="shared" si="53"/>
        <v>0.20484581497797358</v>
      </c>
      <c r="BE140" s="180">
        <f t="shared" si="53"/>
        <v>0.21255506607929514</v>
      </c>
      <c r="BF140" s="180">
        <f t="shared" si="53"/>
        <v>0.22026431718061673</v>
      </c>
      <c r="BG140" s="180">
        <f t="shared" si="53"/>
        <v>0.27118344482514822</v>
      </c>
      <c r="BH140" s="180">
        <f t="shared" si="53"/>
        <v>0.32210257246967966</v>
      </c>
      <c r="BI140" s="180">
        <f t="shared" si="53"/>
        <v>0.3730217001142111</v>
      </c>
      <c r="BJ140" s="180">
        <f t="shared" si="53"/>
        <v>0.5</v>
      </c>
      <c r="BK140" s="180">
        <f t="shared" si="53"/>
        <v>0.61363636363636365</v>
      </c>
      <c r="BL140" s="180">
        <f t="shared" si="53"/>
        <v>0.75</v>
      </c>
      <c r="BM140" s="180">
        <f t="shared" si="53"/>
        <v>0.875</v>
      </c>
      <c r="BN140" s="180">
        <f t="shared" si="53"/>
        <v>1</v>
      </c>
    </row>
    <row r="141" spans="2:66" ht="15" customHeight="1" x14ac:dyDescent="0.3">
      <c r="B141" s="170" t="str">
        <f t="array" ref="B141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3</v>
      </c>
      <c r="C141" s="170" t="s">
        <v>328</v>
      </c>
      <c r="D141" s="177" t="str">
        <f t="shared" si="51"/>
        <v>Arquitetura de projetos GERDAU</v>
      </c>
      <c r="E141" s="170" t="str">
        <f t="shared" ref="E141:E156" si="54">$H$140</f>
        <v>Dimensionamento de Headcount</v>
      </c>
      <c r="F141" s="170" t="s">
        <v>74</v>
      </c>
      <c r="G141" s="170" t="s">
        <v>74</v>
      </c>
      <c r="H141" s="194" t="s">
        <v>329</v>
      </c>
      <c r="I141" s="170">
        <f>MIN(I142:I142)</f>
        <v>45762</v>
      </c>
      <c r="J141" s="170">
        <f>MAX(J142:J142)</f>
        <v>45989</v>
      </c>
      <c r="K141" s="170">
        <f>MIN(K142:K142)</f>
        <v>45762</v>
      </c>
      <c r="L141" s="170">
        <f>MAX(L142:L142)</f>
        <v>45989</v>
      </c>
      <c r="M141" s="171"/>
      <c r="N141" s="171" t="str">
        <f t="array" ref="N141">_xlfn.IFS(L141&lt;$M$3,"Concluído",AND(K141&gt;=$M$3,I141&lt;$M$3,L141&gt;$M$3),"Em andamento",AND(L141&gt;=$M$3,J141&lt;$M$3),"Atrasado",AND(L141&gt;=$M$3,J141&gt;=$M$3,I141&gt;$M$3,K141&lt;=$M$3),"Em andamento",AND(L141&gt;=$M$3,J141&gt;=$M$3,I141&lt;=$M$3,K141&lt;=$M$3),"Em andamento",AND(K141&gt;$M$3,I141&gt;$M$3),"Não iniciado",AND(L141&gt;=$M$3,J141&gt;=$M$3,K141&gt;=$M$3,I141&lt;$M$3),"Atrasado",AND(L141&gt;=$M$3,J141&gt;=$M$3,K141&gt;=$M$3,I141&gt;$M$3),"Não iniciado",AND($I141&lt;=$M$3,$K141&gt;$M$3),"Atrasado")</f>
        <v>Em andamento</v>
      </c>
      <c r="O141" s="171">
        <f t="array" ref="O141">_xlfn.IFS(N141="Não iniciado",0,N141="Em andamento",1,N141="Concluído",2,N141="Atrasado",3)</f>
        <v>1</v>
      </c>
      <c r="P141" s="172"/>
      <c r="Q141" s="173">
        <f t="shared" ref="Q141:AV141" si="55">Q142</f>
        <v>0.5</v>
      </c>
      <c r="R141" s="173">
        <f t="shared" si="55"/>
        <v>0.5</v>
      </c>
      <c r="S141" s="173">
        <f t="shared" si="55"/>
        <v>0</v>
      </c>
      <c r="T141" s="173">
        <f t="shared" si="55"/>
        <v>0</v>
      </c>
      <c r="U141" s="173">
        <f t="shared" si="55"/>
        <v>0</v>
      </c>
      <c r="V141" s="173">
        <f t="shared" si="55"/>
        <v>0</v>
      </c>
      <c r="W141" s="173">
        <f t="shared" si="55"/>
        <v>0</v>
      </c>
      <c r="X141" s="173">
        <f t="shared" si="55"/>
        <v>0</v>
      </c>
      <c r="Y141" s="173">
        <f t="shared" si="55"/>
        <v>0</v>
      </c>
      <c r="Z141" s="173">
        <f t="shared" si="55"/>
        <v>0</v>
      </c>
      <c r="AA141" s="173">
        <f t="shared" si="55"/>
        <v>0</v>
      </c>
      <c r="AB141" s="173">
        <f t="shared" si="55"/>
        <v>0</v>
      </c>
      <c r="AC141" s="173">
        <f t="shared" si="55"/>
        <v>0</v>
      </c>
      <c r="AD141" s="173">
        <f t="shared" si="55"/>
        <v>1.7621145374449341E-2</v>
      </c>
      <c r="AE141" s="173">
        <f t="shared" si="55"/>
        <v>4.8458149779735685E-2</v>
      </c>
      <c r="AF141" s="173">
        <f t="shared" si="55"/>
        <v>7.9295154185022032E-2</v>
      </c>
      <c r="AG141" s="173">
        <f t="shared" si="55"/>
        <v>0.11013215859030837</v>
      </c>
      <c r="AH141" s="173">
        <f t="shared" si="55"/>
        <v>0.14096916299559473</v>
      </c>
      <c r="AI141" s="173">
        <f t="shared" si="55"/>
        <v>0.17180616740088106</v>
      </c>
      <c r="AJ141" s="173">
        <f t="shared" si="55"/>
        <v>0.20264317180616739</v>
      </c>
      <c r="AK141" s="173">
        <f t="shared" si="55"/>
        <v>0.23348017621145375</v>
      </c>
      <c r="AL141" s="173">
        <f t="shared" si="55"/>
        <v>0.26431718061674009</v>
      </c>
      <c r="AM141" s="173">
        <f t="shared" si="55"/>
        <v>0.29515418502202645</v>
      </c>
      <c r="AN141" s="173">
        <f t="shared" si="55"/>
        <v>0.32599118942731276</v>
      </c>
      <c r="AO141" s="173">
        <f t="shared" si="55"/>
        <v>0.35682819383259912</v>
      </c>
      <c r="AP141" s="173">
        <f t="shared" si="55"/>
        <v>0.38766519823788548</v>
      </c>
      <c r="AQ141" s="173">
        <f t="shared" si="55"/>
        <v>0.41850220264317178</v>
      </c>
      <c r="AR141" s="173">
        <f t="shared" si="55"/>
        <v>0.44933920704845814</v>
      </c>
      <c r="AS141" s="173">
        <f t="shared" si="55"/>
        <v>0.48017621145374451</v>
      </c>
      <c r="AT141" s="173">
        <f t="shared" si="55"/>
        <v>0.51101321585903081</v>
      </c>
      <c r="AU141" s="173">
        <f t="shared" si="55"/>
        <v>0.54185022026431717</v>
      </c>
      <c r="AV141" s="173">
        <f t="shared" si="55"/>
        <v>0.57268722466960353</v>
      </c>
      <c r="AW141" s="173">
        <f t="shared" ref="AW141:BN141" si="56">AW142</f>
        <v>0.6035242290748899</v>
      </c>
      <c r="AX141" s="173">
        <f t="shared" si="56"/>
        <v>0.63436123348017626</v>
      </c>
      <c r="AY141" s="173">
        <f t="shared" si="56"/>
        <v>0.66519823788546251</v>
      </c>
      <c r="AZ141" s="173">
        <f t="shared" si="56"/>
        <v>0.69603524229074887</v>
      </c>
      <c r="BA141" s="173">
        <f t="shared" si="56"/>
        <v>0.72687224669603523</v>
      </c>
      <c r="BB141" s="173">
        <f t="shared" si="56"/>
        <v>0.75770925110132159</v>
      </c>
      <c r="BC141" s="173">
        <f t="shared" si="56"/>
        <v>0.78854625550660795</v>
      </c>
      <c r="BD141" s="173">
        <f t="shared" si="56"/>
        <v>0.81938325991189431</v>
      </c>
      <c r="BE141" s="173">
        <f t="shared" si="56"/>
        <v>0.85022026431718056</v>
      </c>
      <c r="BF141" s="173">
        <f t="shared" si="56"/>
        <v>0.88105726872246692</v>
      </c>
      <c r="BG141" s="173">
        <f t="shared" si="56"/>
        <v>0.91189427312775329</v>
      </c>
      <c r="BH141" s="173">
        <f t="shared" si="56"/>
        <v>0.94273127753303965</v>
      </c>
      <c r="BI141" s="173">
        <f t="shared" si="56"/>
        <v>0.97356828193832601</v>
      </c>
      <c r="BJ141" s="173">
        <f t="shared" si="56"/>
        <v>1</v>
      </c>
      <c r="BK141" s="173">
        <f t="shared" si="56"/>
        <v>1</v>
      </c>
      <c r="BL141" s="173">
        <f t="shared" si="56"/>
        <v>1</v>
      </c>
      <c r="BM141" s="173">
        <f t="shared" si="56"/>
        <v>1</v>
      </c>
      <c r="BN141" s="173">
        <f t="shared" si="56"/>
        <v>1</v>
      </c>
    </row>
    <row r="142" spans="2:66" ht="15" customHeight="1" x14ac:dyDescent="0.3">
      <c r="B142" s="174" t="str">
        <f t="array" ref="B142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142" s="174" t="s">
        <v>330</v>
      </c>
      <c r="D142" s="177" t="str">
        <f t="shared" si="51"/>
        <v>Arquitetura de projetos GERDAU</v>
      </c>
      <c r="E142" s="170" t="str">
        <f t="shared" si="54"/>
        <v>Dimensionamento de Headcount</v>
      </c>
      <c r="F142" s="174" t="str">
        <f>$H$141</f>
        <v>Acompanhamento e Medição de Produtividade dos Processos</v>
      </c>
      <c r="G142" s="174" t="s">
        <v>74</v>
      </c>
      <c r="H142" s="195" t="s">
        <v>329</v>
      </c>
      <c r="I142" s="174">
        <f>MIN(I143:I144)</f>
        <v>45762</v>
      </c>
      <c r="J142" s="174">
        <f>MAX(J143:J144)</f>
        <v>45989</v>
      </c>
      <c r="K142" s="174">
        <f>MIN(K143:K144)</f>
        <v>45762</v>
      </c>
      <c r="L142" s="174">
        <f>MAX(L143:L144)</f>
        <v>45989</v>
      </c>
      <c r="M142" s="175"/>
      <c r="N142" s="175" t="str">
        <f t="array" ref="N142">_xlfn.IFS(L142&lt;$M$3,"Concluído",AND(K142&gt;=$M$3,I142&lt;$M$3,L142&gt;$M$3),"Em andamento",AND(L142&gt;=$M$3,J142&lt;$M$3),"Atrasado",AND(L142&gt;=$M$3,J142&gt;=$M$3,I142&gt;$M$3,K142&lt;=$M$3),"Em andamento",AND(L142&gt;=$M$3,J142&gt;=$M$3,I142&lt;=$M$3,K142&lt;=$M$3),"Em andamento",AND(K142&gt;$M$3,I142&gt;$M$3),"Não iniciado",AND(L142&gt;=$M$3,J142&gt;=$M$3,K142&gt;=$M$3,I142&lt;$M$3),"Atrasado",AND(L142&gt;=$M$3,J142&gt;=$M$3,K142&gt;=$M$3,I142&gt;$M$3),"Não iniciado",AND($I142&lt;=$M$3,$K142&gt;$M$3),"Atrasado")</f>
        <v>Em andamento</v>
      </c>
      <c r="O142" s="175">
        <f t="array" ref="O142">_xlfn.IFS(N142="Não iniciado",0,N142="Em andamento",1,N142="Concluído",2,N142="Atrasado",3)</f>
        <v>1</v>
      </c>
      <c r="P142" s="176"/>
      <c r="Q142" s="156">
        <f t="shared" ref="Q142:AV142" si="57">AVERAGE(Q143:Q144)</f>
        <v>0.5</v>
      </c>
      <c r="R142" s="156">
        <f t="shared" si="57"/>
        <v>0.5</v>
      </c>
      <c r="S142" s="156">
        <f t="shared" si="57"/>
        <v>0</v>
      </c>
      <c r="T142" s="156">
        <f t="shared" si="57"/>
        <v>0</v>
      </c>
      <c r="U142" s="156">
        <f t="shared" si="57"/>
        <v>0</v>
      </c>
      <c r="V142" s="156">
        <f t="shared" si="57"/>
        <v>0</v>
      </c>
      <c r="W142" s="156">
        <f t="shared" si="57"/>
        <v>0</v>
      </c>
      <c r="X142" s="156">
        <f t="shared" si="57"/>
        <v>0</v>
      </c>
      <c r="Y142" s="156">
        <f t="shared" si="57"/>
        <v>0</v>
      </c>
      <c r="Z142" s="156">
        <f t="shared" si="57"/>
        <v>0</v>
      </c>
      <c r="AA142" s="156">
        <f t="shared" si="57"/>
        <v>0</v>
      </c>
      <c r="AB142" s="156">
        <f t="shared" si="57"/>
        <v>0</v>
      </c>
      <c r="AC142" s="156">
        <f t="shared" si="57"/>
        <v>0</v>
      </c>
      <c r="AD142" s="156">
        <f t="shared" si="57"/>
        <v>1.7621145374449341E-2</v>
      </c>
      <c r="AE142" s="156">
        <f t="shared" si="57"/>
        <v>4.8458149779735685E-2</v>
      </c>
      <c r="AF142" s="156">
        <f t="shared" si="57"/>
        <v>7.9295154185022032E-2</v>
      </c>
      <c r="AG142" s="156">
        <f t="shared" si="57"/>
        <v>0.11013215859030837</v>
      </c>
      <c r="AH142" s="156">
        <f t="shared" si="57"/>
        <v>0.14096916299559473</v>
      </c>
      <c r="AI142" s="156">
        <f t="shared" si="57"/>
        <v>0.17180616740088106</v>
      </c>
      <c r="AJ142" s="156">
        <f t="shared" si="57"/>
        <v>0.20264317180616739</v>
      </c>
      <c r="AK142" s="156">
        <f t="shared" si="57"/>
        <v>0.23348017621145375</v>
      </c>
      <c r="AL142" s="156">
        <f t="shared" si="57"/>
        <v>0.26431718061674009</v>
      </c>
      <c r="AM142" s="156">
        <f t="shared" si="57"/>
        <v>0.29515418502202645</v>
      </c>
      <c r="AN142" s="156">
        <f t="shared" si="57"/>
        <v>0.32599118942731276</v>
      </c>
      <c r="AO142" s="156">
        <f t="shared" si="57"/>
        <v>0.35682819383259912</v>
      </c>
      <c r="AP142" s="156">
        <f t="shared" si="57"/>
        <v>0.38766519823788548</v>
      </c>
      <c r="AQ142" s="156">
        <f t="shared" si="57"/>
        <v>0.41850220264317178</v>
      </c>
      <c r="AR142" s="156">
        <f t="shared" si="57"/>
        <v>0.44933920704845814</v>
      </c>
      <c r="AS142" s="156">
        <f t="shared" si="57"/>
        <v>0.48017621145374451</v>
      </c>
      <c r="AT142" s="156">
        <f t="shared" si="57"/>
        <v>0.51101321585903081</v>
      </c>
      <c r="AU142" s="156">
        <f t="shared" si="57"/>
        <v>0.54185022026431717</v>
      </c>
      <c r="AV142" s="156">
        <f t="shared" si="57"/>
        <v>0.57268722466960353</v>
      </c>
      <c r="AW142" s="156">
        <f t="shared" ref="AW142:BN142" si="58">AVERAGE(AW143:AW144)</f>
        <v>0.6035242290748899</v>
      </c>
      <c r="AX142" s="156">
        <f t="shared" si="58"/>
        <v>0.63436123348017626</v>
      </c>
      <c r="AY142" s="156">
        <f t="shared" si="58"/>
        <v>0.66519823788546251</v>
      </c>
      <c r="AZ142" s="156">
        <f t="shared" si="58"/>
        <v>0.69603524229074887</v>
      </c>
      <c r="BA142" s="156">
        <f t="shared" si="58"/>
        <v>0.72687224669603523</v>
      </c>
      <c r="BB142" s="156">
        <f t="shared" si="58"/>
        <v>0.75770925110132159</v>
      </c>
      <c r="BC142" s="156">
        <f t="shared" si="58"/>
        <v>0.78854625550660795</v>
      </c>
      <c r="BD142" s="156">
        <f t="shared" si="58"/>
        <v>0.81938325991189431</v>
      </c>
      <c r="BE142" s="156">
        <f t="shared" si="58"/>
        <v>0.85022026431718056</v>
      </c>
      <c r="BF142" s="156">
        <f t="shared" si="58"/>
        <v>0.88105726872246692</v>
      </c>
      <c r="BG142" s="156">
        <f t="shared" si="58"/>
        <v>0.91189427312775329</v>
      </c>
      <c r="BH142" s="156">
        <f t="shared" si="58"/>
        <v>0.94273127753303965</v>
      </c>
      <c r="BI142" s="156">
        <f t="shared" si="58"/>
        <v>0.97356828193832601</v>
      </c>
      <c r="BJ142" s="156">
        <f t="shared" si="58"/>
        <v>1</v>
      </c>
      <c r="BK142" s="156">
        <f t="shared" si="58"/>
        <v>1</v>
      </c>
      <c r="BL142" s="156">
        <f t="shared" si="58"/>
        <v>1</v>
      </c>
      <c r="BM142" s="156">
        <f t="shared" si="58"/>
        <v>1</v>
      </c>
      <c r="BN142" s="156">
        <f t="shared" si="58"/>
        <v>1</v>
      </c>
    </row>
    <row r="143" spans="2:66" x14ac:dyDescent="0.3">
      <c r="B143" s="166" t="str">
        <f t="array" ref="B143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43" s="166" t="s">
        <v>331</v>
      </c>
      <c r="D143" s="177" t="str">
        <f t="shared" si="51"/>
        <v>Arquitetura de projetos GERDAU</v>
      </c>
      <c r="E143" s="170" t="str">
        <f t="shared" si="54"/>
        <v>Dimensionamento de Headcount</v>
      </c>
      <c r="F143" s="174" t="str">
        <f>$H$141</f>
        <v>Acompanhamento e Medição de Produtividade dos Processos</v>
      </c>
      <c r="G143" s="166" t="str">
        <f>H142</f>
        <v>Acompanhamento e Medição de Produtividade dos Processos</v>
      </c>
      <c r="H143" s="197" t="s">
        <v>332</v>
      </c>
      <c r="I143" s="166">
        <v>45762</v>
      </c>
      <c r="J143" s="166">
        <v>45989</v>
      </c>
      <c r="K143" s="166">
        <v>45762</v>
      </c>
      <c r="L143" s="166">
        <v>45989</v>
      </c>
      <c r="M143" s="167"/>
      <c r="N143" s="167" t="str">
        <f t="array" ref="N143">_xlfn.IFS(L143&lt;$M$3,"Concluído",AND(K143&gt;=$M$3,I143&lt;$M$3,L143&gt;$M$3),"Em andamento",AND(L143&gt;=$M$3,J143&lt;$M$3),"Atrasado",AND(L143&gt;=$M$3,J143&gt;=$M$3,I143&gt;$M$3,K143&lt;=$M$3),"Em andamento",AND(L143&gt;=$M$3,J143&gt;=$M$3,I143&lt;=$M$3,K143&lt;=$M$3),"Em andamento",AND(K143&gt;$M$3,I143&gt;$M$3),"Não iniciado",AND(L143&gt;=$M$3,J143&gt;=$M$3,K143&gt;=$M$3,I143&lt;$M$3),"Atrasado",AND(L143&gt;=$M$3,J143&gt;=$M$3,K143&gt;=$M$3,I143&gt;$M$3),"Não iniciado",AND($I143&lt;=$M$3,$K143&gt;$M$3),"Atrasado")</f>
        <v>Em andamento</v>
      </c>
      <c r="O143" s="167">
        <f t="array" ref="O143">_xlfn.IFS(N143="Não iniciado",0,N143="Em andamento",1,N143="Concluído",2,N143="Atrasado",3)</f>
        <v>1</v>
      </c>
      <c r="P143" s="168"/>
      <c r="Q143" s="152">
        <f t="array" ref="Q143">_xlfn.IFS(AND($I143&lt;$M$3,$J143&lt;$M$3),1,AND($I143&lt;=$M$3,$J143&gt;=$M$3),0.5,AND($I143&gt;=$M$3,$J143&gt;=$M$3),0)</f>
        <v>0.5</v>
      </c>
      <c r="R143" s="152">
        <f t="array" ref="R143">_xlfn.IFS(AND($K143&lt;$M$3,$L143&lt;$M$3),1,AND($K143&lt;=$M$3,$L143&gt;=$M$3),0.5,AND($K143&gt;=$M$3,$L143&gt;=$M$3),0)</f>
        <v>0.5</v>
      </c>
      <c r="S143" s="201">
        <f t="array" ref="S143">_xlfn.IFS(AND($K143&gt;R$7,$L143&gt;R$7),0,AND($K143&lt;=R$7,$L143&lt;=R$7),1,AND($K143&lt;=R$7,$L143&gt;R$7),((R$7-$K143)/($L143-$K143)))</f>
        <v>0</v>
      </c>
      <c r="T143" s="201">
        <f t="array" ref="T143">_xlfn.IFS(AND($K143&gt;S$7,$L143&gt;S$7),0,AND($K143&lt;=S$7,$L143&lt;=S$7),1,AND($K143&lt;=S$7,$L143&gt;S$7),((S$7-$K143)/($L143-$K143)))</f>
        <v>0</v>
      </c>
      <c r="U143" s="201">
        <f t="array" ref="U143">_xlfn.IFS(AND($K143&gt;T$7,$L143&gt;T$7),0,AND($K143&lt;=T$7,$L143&lt;=T$7),1,AND($K143&lt;=T$7,$L143&gt;T$7),((T$7-$K143)/($L143-$K143)))</f>
        <v>0</v>
      </c>
      <c r="V143" s="201">
        <f t="array" ref="V143">_xlfn.IFS(AND($K143&gt;U$7,$L143&gt;U$7),0,AND($K143&lt;=U$7,$L143&lt;=U$7),1,AND($K143&lt;=U$7,$L143&gt;U$7),((U$7-$K143)/($L143-$K143)))</f>
        <v>0</v>
      </c>
      <c r="W143" s="201">
        <f t="array" ref="W143">_xlfn.IFS(AND($K143&gt;V$7,$L143&gt;V$7),0,AND($K143&lt;=V$7,$L143&lt;=V$7),1,AND($K143&lt;=V$7,$L143&gt;V$7),((V$7-$K143)/($L143-$K143)))</f>
        <v>0</v>
      </c>
      <c r="X143" s="201">
        <f t="array" ref="X143">_xlfn.IFS(AND($K143&gt;W$7,$L143&gt;W$7),0,AND($K143&lt;=W$7,$L143&lt;=W$7),1,AND($K143&lt;=W$7,$L143&gt;W$7),((W$7-$K143)/($L143-$K143)))</f>
        <v>0</v>
      </c>
      <c r="Y143" s="201">
        <f t="array" ref="Y143">_xlfn.IFS(AND($K143&gt;X$7,$L143&gt;X$7),0,AND($K143&lt;=X$7,$L143&lt;=X$7),1,AND($K143&lt;=X$7,$L143&gt;X$7),((X$7-$K143)/($L143-$K143)))</f>
        <v>0</v>
      </c>
      <c r="Z143" s="201">
        <f t="array" ref="Z143">_xlfn.IFS(AND($K143&gt;Y$7,$L143&gt;Y$7),0,AND($K143&lt;=Y$7,$L143&lt;=Y$7),1,AND($K143&lt;=Y$7,$L143&gt;Y$7),((Y$7-$K143)/($L143-$K143)))</f>
        <v>0</v>
      </c>
      <c r="AA143" s="201">
        <f t="array" ref="AA143">_xlfn.IFS(AND($K143&gt;Z$7,$L143&gt;Z$7),0,AND($K143&lt;=Z$7,$L143&lt;=Z$7),1,AND($K143&lt;=Z$7,$L143&gt;Z$7),((Z$7-$K143)/($L143-$K143)))</f>
        <v>0</v>
      </c>
      <c r="AB143" s="201">
        <f t="array" ref="AB143">_xlfn.IFS(AND($K143&gt;AA$7,$L143&gt;AA$7),0,AND($K143&lt;=AA$7,$L143&lt;=AA$7),1,AND($K143&lt;=AA$7,$L143&gt;AA$7),((AA$7-$K143)/($L143-$K143)))</f>
        <v>0</v>
      </c>
      <c r="AC143" s="201">
        <f t="array" ref="AC143">_xlfn.IFS(AND($K143&gt;AB$7,$L143&gt;AB$7),0,AND($K143&lt;=AB$7,$L143&lt;=AB$7),1,AND($K143&lt;=AB$7,$L143&gt;AB$7),((AB$7-$K143)/($L143-$K143)))</f>
        <v>0</v>
      </c>
      <c r="AD143" s="201">
        <f t="array" ref="AD143">_xlfn.IFS(AND($K143&gt;AC$7,$L143&gt;AC$7),0,AND($K143&lt;=AC$7,$L143&lt;=AC$7),1,AND($K143&lt;=AC$7,$L143&gt;AC$7),((AC$7-$K143)/($L143-$K143)))</f>
        <v>1.7621145374449341E-2</v>
      </c>
      <c r="AE143" s="201">
        <f t="array" ref="AE143">_xlfn.IFS(AND($K143&gt;AD$7,$L143&gt;AD$7),0,AND($K143&lt;=AD$7,$L143&lt;=AD$7),1,AND($K143&lt;=AD$7,$L143&gt;AD$7),((AD$7-$K143)/($L143-$K143)))</f>
        <v>4.8458149779735685E-2</v>
      </c>
      <c r="AF143" s="201">
        <f t="array" ref="AF143">_xlfn.IFS(AND($K143&gt;AE$7,$L143&gt;AE$7),0,AND($K143&lt;=AE$7,$L143&lt;=AE$7),1,AND($K143&lt;=AE$7,$L143&gt;AE$7),((AE$7-$K143)/($L143-$K143)))</f>
        <v>7.9295154185022032E-2</v>
      </c>
      <c r="AG143" s="201">
        <f t="array" ref="AG143">_xlfn.IFS(AND($K143&gt;AF$7,$L143&gt;AF$7),0,AND($K143&lt;=AF$7,$L143&lt;=AF$7),1,AND($K143&lt;=AF$7,$L143&gt;AF$7),((AF$7-$K143)/($L143-$K143)))</f>
        <v>0.11013215859030837</v>
      </c>
      <c r="AH143" s="201">
        <f t="array" ref="AH143">_xlfn.IFS(AND($K143&gt;AG$7,$L143&gt;AG$7),0,AND($K143&lt;=AG$7,$L143&lt;=AG$7),1,AND($K143&lt;=AG$7,$L143&gt;AG$7),((AG$7-$K143)/($L143-$K143)))</f>
        <v>0.14096916299559473</v>
      </c>
      <c r="AI143" s="201">
        <f t="array" ref="AI143">_xlfn.IFS(AND($K143&gt;AH$7,$L143&gt;AH$7),0,AND($K143&lt;=AH$7,$L143&lt;=AH$7),1,AND($K143&lt;=AH$7,$L143&gt;AH$7),((AH$7-$K143)/($L143-$K143)))</f>
        <v>0.17180616740088106</v>
      </c>
      <c r="AJ143" s="201">
        <f t="array" ref="AJ143">_xlfn.IFS(AND($K143&gt;AI$7,$L143&gt;AI$7),0,AND($K143&lt;=AI$7,$L143&lt;=AI$7),1,AND($K143&lt;=AI$7,$L143&gt;AI$7),((AI$7-$K143)/($L143-$K143)))</f>
        <v>0.20264317180616739</v>
      </c>
      <c r="AK143" s="201">
        <f t="array" ref="AK143">_xlfn.IFS(AND($K143&gt;AJ$7,$L143&gt;AJ$7),0,AND($K143&lt;=AJ$7,$L143&lt;=AJ$7),1,AND($K143&lt;=AJ$7,$L143&gt;AJ$7),((AJ$7-$K143)/($L143-$K143)))</f>
        <v>0.23348017621145375</v>
      </c>
      <c r="AL143" s="201">
        <f t="array" ref="AL143">_xlfn.IFS(AND($K143&gt;AK$7,$L143&gt;AK$7),0,AND($K143&lt;=AK$7,$L143&lt;=AK$7),1,AND($K143&lt;=AK$7,$L143&gt;AK$7),((AK$7-$K143)/($L143-$K143)))</f>
        <v>0.26431718061674009</v>
      </c>
      <c r="AM143" s="201">
        <f t="array" ref="AM143">_xlfn.IFS(AND($K143&gt;AL$7,$L143&gt;AL$7),0,AND($K143&lt;=AL$7,$L143&lt;=AL$7),1,AND($K143&lt;=AL$7,$L143&gt;AL$7),((AL$7-$K143)/($L143-$K143)))</f>
        <v>0.29515418502202645</v>
      </c>
      <c r="AN143" s="201">
        <f t="array" ref="AN143">_xlfn.IFS(AND($K143&gt;AM$7,$L143&gt;AM$7),0,AND($K143&lt;=AM$7,$L143&lt;=AM$7),1,AND($K143&lt;=AM$7,$L143&gt;AM$7),((AM$7-$K143)/($L143-$K143)))</f>
        <v>0.32599118942731276</v>
      </c>
      <c r="AO143" s="201">
        <f t="array" ref="AO143">_xlfn.IFS(AND($K143&gt;AN$7,$L143&gt;AN$7),0,AND($K143&lt;=AN$7,$L143&lt;=AN$7),1,AND($K143&lt;=AN$7,$L143&gt;AN$7),((AN$7-$K143)/($L143-$K143)))</f>
        <v>0.35682819383259912</v>
      </c>
      <c r="AP143" s="201">
        <f t="array" ref="AP143">_xlfn.IFS(AND($K143&gt;AO$7,$L143&gt;AO$7),0,AND($K143&lt;=AO$7,$L143&lt;=AO$7),1,AND($K143&lt;=AO$7,$L143&gt;AO$7),((AO$7-$K143)/($L143-$K143)))</f>
        <v>0.38766519823788548</v>
      </c>
      <c r="AQ143" s="201">
        <f t="array" ref="AQ143">_xlfn.IFS(AND($K143&gt;AP$7,$L143&gt;AP$7),0,AND($K143&lt;=AP$7,$L143&lt;=AP$7),1,AND($K143&lt;=AP$7,$L143&gt;AP$7),((AP$7-$K143)/($L143-$K143)))</f>
        <v>0.41850220264317178</v>
      </c>
      <c r="AR143" s="201">
        <f t="array" ref="AR143">_xlfn.IFS(AND($K143&gt;AQ$7,$L143&gt;AQ$7),0,AND($K143&lt;=AQ$7,$L143&lt;=AQ$7),1,AND($K143&lt;=AQ$7,$L143&gt;AQ$7),((AQ$7-$K143)/($L143-$K143)))</f>
        <v>0.44933920704845814</v>
      </c>
      <c r="AS143" s="201">
        <f t="array" ref="AS143">_xlfn.IFS(AND($K143&gt;AR$7,$L143&gt;AR$7),0,AND($K143&lt;=AR$7,$L143&lt;=AR$7),1,AND($K143&lt;=AR$7,$L143&gt;AR$7),((AR$7-$K143)/($L143-$K143)))</f>
        <v>0.48017621145374451</v>
      </c>
      <c r="AT143" s="201">
        <f t="array" ref="AT143">_xlfn.IFS(AND($K143&gt;AS$7,$L143&gt;AS$7),0,AND($K143&lt;=AS$7,$L143&lt;=AS$7),1,AND($K143&lt;=AS$7,$L143&gt;AS$7),((AS$7-$K143)/($L143-$K143)))</f>
        <v>0.51101321585903081</v>
      </c>
      <c r="AU143" s="201">
        <f t="array" ref="AU143">_xlfn.IFS(AND($K143&gt;AT$7,$L143&gt;AT$7),0,AND($K143&lt;=AT$7,$L143&lt;=AT$7),1,AND($K143&lt;=AT$7,$L143&gt;AT$7),((AT$7-$K143)/($L143-$K143)))</f>
        <v>0.54185022026431717</v>
      </c>
      <c r="AV143" s="201">
        <f t="array" ref="AV143">_xlfn.IFS(AND($K143&gt;AU$7,$L143&gt;AU$7),0,AND($K143&lt;=AU$7,$L143&lt;=AU$7),1,AND($K143&lt;=AU$7,$L143&gt;AU$7),((AU$7-$K143)/($L143-$K143)))</f>
        <v>0.57268722466960353</v>
      </c>
      <c r="AW143" s="201">
        <f t="array" ref="AW143">_xlfn.IFS(AND($K143&gt;AV$7,$L143&gt;AV$7),0,AND($K143&lt;=AV$7,$L143&lt;=AV$7),1,AND($K143&lt;=AV$7,$L143&gt;AV$7),((AV$7-$K143)/($L143-$K143)))</f>
        <v>0.6035242290748899</v>
      </c>
      <c r="AX143" s="201">
        <f t="array" ref="AX143">_xlfn.IFS(AND($K143&gt;AW$7,$L143&gt;AW$7),0,AND($K143&lt;=AW$7,$L143&lt;=AW$7),1,AND($K143&lt;=AW$7,$L143&gt;AW$7),((AW$7-$K143)/($L143-$K143)))</f>
        <v>0.63436123348017626</v>
      </c>
      <c r="AY143" s="201">
        <f t="array" ref="AY143">_xlfn.IFS(AND($K143&gt;AX$7,$L143&gt;AX$7),0,AND($K143&lt;=AX$7,$L143&lt;=AX$7),1,AND($K143&lt;=AX$7,$L143&gt;AX$7),((AX$7-$K143)/($L143-$K143)))</f>
        <v>0.66519823788546251</v>
      </c>
      <c r="AZ143" s="201">
        <f t="array" ref="AZ143">_xlfn.IFS(AND($K143&gt;AY$7,$L143&gt;AY$7),0,AND($K143&lt;=AY$7,$L143&lt;=AY$7),1,AND($K143&lt;=AY$7,$L143&gt;AY$7),((AY$7-$K143)/($L143-$K143)))</f>
        <v>0.69603524229074887</v>
      </c>
      <c r="BA143" s="201">
        <f t="array" ref="BA143">_xlfn.IFS(AND($K143&gt;AZ$7,$L143&gt;AZ$7),0,AND($K143&lt;=AZ$7,$L143&lt;=AZ$7),1,AND($K143&lt;=AZ$7,$L143&gt;AZ$7),((AZ$7-$K143)/($L143-$K143)))</f>
        <v>0.72687224669603523</v>
      </c>
      <c r="BB143" s="201">
        <f t="array" ref="BB143">_xlfn.IFS(AND($K143&gt;BA$7,$L143&gt;BA$7),0,AND($K143&lt;=BA$7,$L143&lt;=BA$7),1,AND($K143&lt;=BA$7,$L143&gt;BA$7),((BA$7-$K143)/($L143-$K143)))</f>
        <v>0.75770925110132159</v>
      </c>
      <c r="BC143" s="201">
        <f t="array" ref="BC143">_xlfn.IFS(AND($K143&gt;BB$7,$L143&gt;BB$7),0,AND($K143&lt;=BB$7,$L143&lt;=BB$7),1,AND($K143&lt;=BB$7,$L143&gt;BB$7),((BB$7-$K143)/($L143-$K143)))</f>
        <v>0.78854625550660795</v>
      </c>
      <c r="BD143" s="201">
        <f t="array" ref="BD143">_xlfn.IFS(AND($K143&gt;BC$7,$L143&gt;BC$7),0,AND($K143&lt;=BC$7,$L143&lt;=BC$7),1,AND($K143&lt;=BC$7,$L143&gt;BC$7),((BC$7-$K143)/($L143-$K143)))</f>
        <v>0.81938325991189431</v>
      </c>
      <c r="BE143" s="201">
        <f t="array" ref="BE143">_xlfn.IFS(AND($K143&gt;BD$7,$L143&gt;BD$7),0,AND($K143&lt;=BD$7,$L143&lt;=BD$7),1,AND($K143&lt;=BD$7,$L143&gt;BD$7),((BD$7-$K143)/($L143-$K143)))</f>
        <v>0.85022026431718056</v>
      </c>
      <c r="BF143" s="201">
        <f t="array" ref="BF143">_xlfn.IFS(AND($K143&gt;BE$7,$L143&gt;BE$7),0,AND($K143&lt;=BE$7,$L143&lt;=BE$7),1,AND($K143&lt;=BE$7,$L143&gt;BE$7),((BE$7-$K143)/($L143-$K143)))</f>
        <v>0.88105726872246692</v>
      </c>
      <c r="BG143" s="201">
        <f t="array" ref="BG143">_xlfn.IFS(AND($K143&gt;BF$7,$L143&gt;BF$7),0,AND($K143&lt;=BF$7,$L143&lt;=BF$7),1,AND($K143&lt;=BF$7,$L143&gt;BF$7),((BF$7-$K143)/($L143-$K143)))</f>
        <v>0.91189427312775329</v>
      </c>
      <c r="BH143" s="201">
        <f t="array" ref="BH143">_xlfn.IFS(AND($K143&gt;BG$7,$L143&gt;BG$7),0,AND($K143&lt;=BG$7,$L143&lt;=BG$7),1,AND($K143&lt;=BG$7,$L143&gt;BG$7),((BG$7-$K143)/($L143-$K143)))</f>
        <v>0.94273127753303965</v>
      </c>
      <c r="BI143" s="201">
        <f t="array" ref="BI143">_xlfn.IFS(AND($K143&gt;BH$7,$L143&gt;BH$7),0,AND($K143&lt;=BH$7,$L143&lt;=BH$7),1,AND($K143&lt;=BH$7,$L143&gt;BH$7),((BH$7-$K143)/($L143-$K143)))</f>
        <v>0.97356828193832601</v>
      </c>
      <c r="BJ143" s="201">
        <f t="array" ref="BJ143">_xlfn.IFS(AND($K143&gt;BI$7,$L143&gt;BI$7),0,AND($K143&lt;=BI$7,$L143&lt;=BI$7),1,AND($K143&lt;=BI$7,$L143&gt;BI$7),((BI$7-$K143)/($L143-$K143)))</f>
        <v>1</v>
      </c>
      <c r="BK143" s="201">
        <f t="array" ref="BK143">_xlfn.IFS(AND($K143&gt;BJ$7,$L143&gt;BJ$7),0,AND($K143&lt;=BJ$7,$L143&lt;=BJ$7),1,AND($K143&lt;=BJ$7,$L143&gt;BJ$7),((BJ$7-$K143)/($L143-$K143)))</f>
        <v>1</v>
      </c>
      <c r="BL143" s="201">
        <f t="array" ref="BL143">_xlfn.IFS(AND($K143&gt;BK$7,$L143&gt;BK$7),0,AND($K143&lt;=BK$7,$L143&lt;=BK$7),1,AND($K143&lt;=BK$7,$L143&gt;BK$7),((BK$7-$K143)/($L143-$K143)))</f>
        <v>1</v>
      </c>
      <c r="BM143" s="201">
        <f t="array" ref="BM143">_xlfn.IFS(AND($K143&gt;BL$7,$L143&gt;BL$7),0,AND($K143&lt;=BL$7,$L143&lt;=BL$7),1,AND($K143&lt;=BL$7,$L143&gt;BL$7),((BL$7-$K143)/($L143-$K143)))</f>
        <v>1</v>
      </c>
      <c r="BN143" s="201">
        <f t="array" ref="BN143">_xlfn.IFS(AND($K143&gt;BM$7,$L143&gt;BM$7),0,AND($K143&lt;=BM$7,$L143&lt;=BM$7),1,AND($K143&lt;=BM$7,$L143&gt;BM$7),((BM$7-$K143)/($L143-$K143)))</f>
        <v>1</v>
      </c>
    </row>
    <row r="144" spans="2:66" ht="15" customHeight="1" x14ac:dyDescent="0.3">
      <c r="B144" s="166" t="str">
        <f t="array" ref="B144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44" s="166" t="s">
        <v>333</v>
      </c>
      <c r="D144" s="177" t="str">
        <f t="shared" si="51"/>
        <v>Arquitetura de projetos GERDAU</v>
      </c>
      <c r="E144" s="170" t="str">
        <f t="shared" si="54"/>
        <v>Dimensionamento de Headcount</v>
      </c>
      <c r="F144" s="174" t="str">
        <f>$H$141</f>
        <v>Acompanhamento e Medição de Produtividade dos Processos</v>
      </c>
      <c r="G144" s="166" t="str">
        <f>H142</f>
        <v>Acompanhamento e Medição de Produtividade dos Processos</v>
      </c>
      <c r="H144" s="197" t="s">
        <v>334</v>
      </c>
      <c r="I144" s="166">
        <v>45762</v>
      </c>
      <c r="J144" s="166">
        <v>45989</v>
      </c>
      <c r="K144" s="166">
        <v>45762</v>
      </c>
      <c r="L144" s="166">
        <v>45989</v>
      </c>
      <c r="M144" s="167"/>
      <c r="N144" s="167" t="str">
        <f t="array" ref="N144">_xlfn.IFS(L144&lt;$M$3,"Concluído",AND(K144&gt;=$M$3,I144&lt;$M$3,L144&gt;$M$3),"Em andamento",AND(L144&gt;=$M$3,J144&lt;$M$3),"Atrasado",AND(L144&gt;=$M$3,J144&gt;=$M$3,I144&gt;$M$3,K144&lt;=$M$3),"Em andamento",AND(L144&gt;=$M$3,J144&gt;=$M$3,I144&lt;=$M$3,K144&lt;=$M$3),"Em andamento",AND(K144&gt;$M$3,I144&gt;$M$3),"Não iniciado",AND(L144&gt;=$M$3,J144&gt;=$M$3,K144&gt;=$M$3,I144&lt;$M$3),"Atrasado",AND(L144&gt;=$M$3,J144&gt;=$M$3,K144&gt;=$M$3,I144&gt;$M$3),"Não iniciado",AND($I144&lt;=$M$3,$K144&gt;$M$3),"Atrasado")</f>
        <v>Em andamento</v>
      </c>
      <c r="O144" s="167">
        <f t="array" ref="O144">_xlfn.IFS(N144="Não iniciado",0,N144="Em andamento",1,N144="Concluído",2,N144="Atrasado",3)</f>
        <v>1</v>
      </c>
      <c r="P144" s="168"/>
      <c r="Q144" s="152">
        <f t="array" ref="Q144">_xlfn.IFS(AND($I144&lt;$M$3,$J144&lt;$M$3),1,AND($I144&lt;=$M$3,$J144&gt;=$M$3),0.5,AND($I144&gt;=$M$3,$J144&gt;=$M$3),0)</f>
        <v>0.5</v>
      </c>
      <c r="R144" s="152">
        <f t="array" ref="R144">_xlfn.IFS(AND($K144&lt;$M$3,$L144&lt;$M$3),1,AND($K144&lt;=$M$3,$L144&gt;=$M$3),0.5,AND($K144&gt;=$M$3,$L144&gt;=$M$3),0)</f>
        <v>0.5</v>
      </c>
      <c r="S144" s="201">
        <f t="array" ref="S144">_xlfn.IFS(AND($K144&gt;R$7,$L144&gt;R$7),0,AND($K144&lt;=R$7,$L144&lt;=R$7),1,AND($K144&lt;=R$7,$L144&gt;R$7),((R$7-$K144)/($L144-$K144)))</f>
        <v>0</v>
      </c>
      <c r="T144" s="201">
        <f t="array" ref="T144">_xlfn.IFS(AND($K144&gt;S$7,$L144&gt;S$7),0,AND($K144&lt;=S$7,$L144&lt;=S$7),1,AND($K144&lt;=S$7,$L144&gt;S$7),((S$7-$K144)/($L144-$K144)))</f>
        <v>0</v>
      </c>
      <c r="U144" s="201">
        <f t="array" ref="U144">_xlfn.IFS(AND($K144&gt;T$7,$L144&gt;T$7),0,AND($K144&lt;=T$7,$L144&lt;=T$7),1,AND($K144&lt;=T$7,$L144&gt;T$7),((T$7-$K144)/($L144-$K144)))</f>
        <v>0</v>
      </c>
      <c r="V144" s="201">
        <f t="array" ref="V144">_xlfn.IFS(AND($K144&gt;U$7,$L144&gt;U$7),0,AND($K144&lt;=U$7,$L144&lt;=U$7),1,AND($K144&lt;=U$7,$L144&gt;U$7),((U$7-$K144)/($L144-$K144)))</f>
        <v>0</v>
      </c>
      <c r="W144" s="201">
        <f t="array" ref="W144">_xlfn.IFS(AND($K144&gt;V$7,$L144&gt;V$7),0,AND($K144&lt;=V$7,$L144&lt;=V$7),1,AND($K144&lt;=V$7,$L144&gt;V$7),((V$7-$K144)/($L144-$K144)))</f>
        <v>0</v>
      </c>
      <c r="X144" s="201">
        <f t="array" ref="X144">_xlfn.IFS(AND($K144&gt;W$7,$L144&gt;W$7),0,AND($K144&lt;=W$7,$L144&lt;=W$7),1,AND($K144&lt;=W$7,$L144&gt;W$7),((W$7-$K144)/($L144-$K144)))</f>
        <v>0</v>
      </c>
      <c r="Y144" s="201">
        <f t="array" ref="Y144">_xlfn.IFS(AND($K144&gt;X$7,$L144&gt;X$7),0,AND($K144&lt;=X$7,$L144&lt;=X$7),1,AND($K144&lt;=X$7,$L144&gt;X$7),((X$7-$K144)/($L144-$K144)))</f>
        <v>0</v>
      </c>
      <c r="Z144" s="201">
        <f t="array" ref="Z144">_xlfn.IFS(AND($K144&gt;Y$7,$L144&gt;Y$7),0,AND($K144&lt;=Y$7,$L144&lt;=Y$7),1,AND($K144&lt;=Y$7,$L144&gt;Y$7),((Y$7-$K144)/($L144-$K144)))</f>
        <v>0</v>
      </c>
      <c r="AA144" s="201">
        <f t="array" ref="AA144">_xlfn.IFS(AND($K144&gt;Z$7,$L144&gt;Z$7),0,AND($K144&lt;=Z$7,$L144&lt;=Z$7),1,AND($K144&lt;=Z$7,$L144&gt;Z$7),((Z$7-$K144)/($L144-$K144)))</f>
        <v>0</v>
      </c>
      <c r="AB144" s="201">
        <f t="array" ref="AB144">_xlfn.IFS(AND($K144&gt;AA$7,$L144&gt;AA$7),0,AND($K144&lt;=AA$7,$L144&lt;=AA$7),1,AND($K144&lt;=AA$7,$L144&gt;AA$7),((AA$7-$K144)/($L144-$K144)))</f>
        <v>0</v>
      </c>
      <c r="AC144" s="201">
        <f t="array" ref="AC144">_xlfn.IFS(AND($K144&gt;AB$7,$L144&gt;AB$7),0,AND($K144&lt;=AB$7,$L144&lt;=AB$7),1,AND($K144&lt;=AB$7,$L144&gt;AB$7),((AB$7-$K144)/($L144-$K144)))</f>
        <v>0</v>
      </c>
      <c r="AD144" s="201">
        <f t="array" ref="AD144">_xlfn.IFS(AND($K144&gt;AC$7,$L144&gt;AC$7),0,AND($K144&lt;=AC$7,$L144&lt;=AC$7),1,AND($K144&lt;=AC$7,$L144&gt;AC$7),((AC$7-$K144)/($L144-$K144)))</f>
        <v>1.7621145374449341E-2</v>
      </c>
      <c r="AE144" s="201">
        <f t="array" ref="AE144">_xlfn.IFS(AND($K144&gt;AD$7,$L144&gt;AD$7),0,AND($K144&lt;=AD$7,$L144&lt;=AD$7),1,AND($K144&lt;=AD$7,$L144&gt;AD$7),((AD$7-$K144)/($L144-$K144)))</f>
        <v>4.8458149779735685E-2</v>
      </c>
      <c r="AF144" s="201">
        <f t="array" ref="AF144">_xlfn.IFS(AND($K144&gt;AE$7,$L144&gt;AE$7),0,AND($K144&lt;=AE$7,$L144&lt;=AE$7),1,AND($K144&lt;=AE$7,$L144&gt;AE$7),((AE$7-$K144)/($L144-$K144)))</f>
        <v>7.9295154185022032E-2</v>
      </c>
      <c r="AG144" s="201">
        <f t="array" ref="AG144">_xlfn.IFS(AND($K144&gt;AF$7,$L144&gt;AF$7),0,AND($K144&lt;=AF$7,$L144&lt;=AF$7),1,AND($K144&lt;=AF$7,$L144&gt;AF$7),((AF$7-$K144)/($L144-$K144)))</f>
        <v>0.11013215859030837</v>
      </c>
      <c r="AH144" s="201">
        <f t="array" ref="AH144">_xlfn.IFS(AND($K144&gt;AG$7,$L144&gt;AG$7),0,AND($K144&lt;=AG$7,$L144&lt;=AG$7),1,AND($K144&lt;=AG$7,$L144&gt;AG$7),((AG$7-$K144)/($L144-$K144)))</f>
        <v>0.14096916299559473</v>
      </c>
      <c r="AI144" s="201">
        <f t="array" ref="AI144">_xlfn.IFS(AND($K144&gt;AH$7,$L144&gt;AH$7),0,AND($K144&lt;=AH$7,$L144&lt;=AH$7),1,AND($K144&lt;=AH$7,$L144&gt;AH$7),((AH$7-$K144)/($L144-$K144)))</f>
        <v>0.17180616740088106</v>
      </c>
      <c r="AJ144" s="201">
        <f t="array" ref="AJ144">_xlfn.IFS(AND($K144&gt;AI$7,$L144&gt;AI$7),0,AND($K144&lt;=AI$7,$L144&lt;=AI$7),1,AND($K144&lt;=AI$7,$L144&gt;AI$7),((AI$7-$K144)/($L144-$K144)))</f>
        <v>0.20264317180616739</v>
      </c>
      <c r="AK144" s="201">
        <f t="array" ref="AK144">_xlfn.IFS(AND($K144&gt;AJ$7,$L144&gt;AJ$7),0,AND($K144&lt;=AJ$7,$L144&lt;=AJ$7),1,AND($K144&lt;=AJ$7,$L144&gt;AJ$7),((AJ$7-$K144)/($L144-$K144)))</f>
        <v>0.23348017621145375</v>
      </c>
      <c r="AL144" s="201">
        <f t="array" ref="AL144">_xlfn.IFS(AND($K144&gt;AK$7,$L144&gt;AK$7),0,AND($K144&lt;=AK$7,$L144&lt;=AK$7),1,AND($K144&lt;=AK$7,$L144&gt;AK$7),((AK$7-$K144)/($L144-$K144)))</f>
        <v>0.26431718061674009</v>
      </c>
      <c r="AM144" s="201">
        <f t="array" ref="AM144">_xlfn.IFS(AND($K144&gt;AL$7,$L144&gt;AL$7),0,AND($K144&lt;=AL$7,$L144&lt;=AL$7),1,AND($K144&lt;=AL$7,$L144&gt;AL$7),((AL$7-$K144)/($L144-$K144)))</f>
        <v>0.29515418502202645</v>
      </c>
      <c r="AN144" s="201">
        <f t="array" ref="AN144">_xlfn.IFS(AND($K144&gt;AM$7,$L144&gt;AM$7),0,AND($K144&lt;=AM$7,$L144&lt;=AM$7),1,AND($K144&lt;=AM$7,$L144&gt;AM$7),((AM$7-$K144)/($L144-$K144)))</f>
        <v>0.32599118942731276</v>
      </c>
      <c r="AO144" s="201">
        <f t="array" ref="AO144">_xlfn.IFS(AND($K144&gt;AN$7,$L144&gt;AN$7),0,AND($K144&lt;=AN$7,$L144&lt;=AN$7),1,AND($K144&lt;=AN$7,$L144&gt;AN$7),((AN$7-$K144)/($L144-$K144)))</f>
        <v>0.35682819383259912</v>
      </c>
      <c r="AP144" s="201">
        <f t="array" ref="AP144">_xlfn.IFS(AND($K144&gt;AO$7,$L144&gt;AO$7),0,AND($K144&lt;=AO$7,$L144&lt;=AO$7),1,AND($K144&lt;=AO$7,$L144&gt;AO$7),((AO$7-$K144)/($L144-$K144)))</f>
        <v>0.38766519823788548</v>
      </c>
      <c r="AQ144" s="201">
        <f t="array" ref="AQ144">_xlfn.IFS(AND($K144&gt;AP$7,$L144&gt;AP$7),0,AND($K144&lt;=AP$7,$L144&lt;=AP$7),1,AND($K144&lt;=AP$7,$L144&gt;AP$7),((AP$7-$K144)/($L144-$K144)))</f>
        <v>0.41850220264317178</v>
      </c>
      <c r="AR144" s="201">
        <f t="array" ref="AR144">_xlfn.IFS(AND($K144&gt;AQ$7,$L144&gt;AQ$7),0,AND($K144&lt;=AQ$7,$L144&lt;=AQ$7),1,AND($K144&lt;=AQ$7,$L144&gt;AQ$7),((AQ$7-$K144)/($L144-$K144)))</f>
        <v>0.44933920704845814</v>
      </c>
      <c r="AS144" s="201">
        <f t="array" ref="AS144">_xlfn.IFS(AND($K144&gt;AR$7,$L144&gt;AR$7),0,AND($K144&lt;=AR$7,$L144&lt;=AR$7),1,AND($K144&lt;=AR$7,$L144&gt;AR$7),((AR$7-$K144)/($L144-$K144)))</f>
        <v>0.48017621145374451</v>
      </c>
      <c r="AT144" s="201">
        <f t="array" ref="AT144">_xlfn.IFS(AND($K144&gt;AS$7,$L144&gt;AS$7),0,AND($K144&lt;=AS$7,$L144&lt;=AS$7),1,AND($K144&lt;=AS$7,$L144&gt;AS$7),((AS$7-$K144)/($L144-$K144)))</f>
        <v>0.51101321585903081</v>
      </c>
      <c r="AU144" s="201">
        <f t="array" ref="AU144">_xlfn.IFS(AND($K144&gt;AT$7,$L144&gt;AT$7),0,AND($K144&lt;=AT$7,$L144&lt;=AT$7),1,AND($K144&lt;=AT$7,$L144&gt;AT$7),((AT$7-$K144)/($L144-$K144)))</f>
        <v>0.54185022026431717</v>
      </c>
      <c r="AV144" s="201">
        <f t="array" ref="AV144">_xlfn.IFS(AND($K144&gt;AU$7,$L144&gt;AU$7),0,AND($K144&lt;=AU$7,$L144&lt;=AU$7),1,AND($K144&lt;=AU$7,$L144&gt;AU$7),((AU$7-$K144)/($L144-$K144)))</f>
        <v>0.57268722466960353</v>
      </c>
      <c r="AW144" s="201">
        <f t="array" ref="AW144">_xlfn.IFS(AND($K144&gt;AV$7,$L144&gt;AV$7),0,AND($K144&lt;=AV$7,$L144&lt;=AV$7),1,AND($K144&lt;=AV$7,$L144&gt;AV$7),((AV$7-$K144)/($L144-$K144)))</f>
        <v>0.6035242290748899</v>
      </c>
      <c r="AX144" s="201">
        <f t="array" ref="AX144">_xlfn.IFS(AND($K144&gt;AW$7,$L144&gt;AW$7),0,AND($K144&lt;=AW$7,$L144&lt;=AW$7),1,AND($K144&lt;=AW$7,$L144&gt;AW$7),((AW$7-$K144)/($L144-$K144)))</f>
        <v>0.63436123348017626</v>
      </c>
      <c r="AY144" s="201">
        <f t="array" ref="AY144">_xlfn.IFS(AND($K144&gt;AX$7,$L144&gt;AX$7),0,AND($K144&lt;=AX$7,$L144&lt;=AX$7),1,AND($K144&lt;=AX$7,$L144&gt;AX$7),((AX$7-$K144)/($L144-$K144)))</f>
        <v>0.66519823788546251</v>
      </c>
      <c r="AZ144" s="201">
        <f t="array" ref="AZ144">_xlfn.IFS(AND($K144&gt;AY$7,$L144&gt;AY$7),0,AND($K144&lt;=AY$7,$L144&lt;=AY$7),1,AND($K144&lt;=AY$7,$L144&gt;AY$7),((AY$7-$K144)/($L144-$K144)))</f>
        <v>0.69603524229074887</v>
      </c>
      <c r="BA144" s="201">
        <f t="array" ref="BA144">_xlfn.IFS(AND($K144&gt;AZ$7,$L144&gt;AZ$7),0,AND($K144&lt;=AZ$7,$L144&lt;=AZ$7),1,AND($K144&lt;=AZ$7,$L144&gt;AZ$7),((AZ$7-$K144)/($L144-$K144)))</f>
        <v>0.72687224669603523</v>
      </c>
      <c r="BB144" s="201">
        <f t="array" ref="BB144">_xlfn.IFS(AND($K144&gt;BA$7,$L144&gt;BA$7),0,AND($K144&lt;=BA$7,$L144&lt;=BA$7),1,AND($K144&lt;=BA$7,$L144&gt;BA$7),((BA$7-$K144)/($L144-$K144)))</f>
        <v>0.75770925110132159</v>
      </c>
      <c r="BC144" s="201">
        <f t="array" ref="BC144">_xlfn.IFS(AND($K144&gt;BB$7,$L144&gt;BB$7),0,AND($K144&lt;=BB$7,$L144&lt;=BB$7),1,AND($K144&lt;=BB$7,$L144&gt;BB$7),((BB$7-$K144)/($L144-$K144)))</f>
        <v>0.78854625550660795</v>
      </c>
      <c r="BD144" s="201">
        <f t="array" ref="BD144">_xlfn.IFS(AND($K144&gt;BC$7,$L144&gt;BC$7),0,AND($K144&lt;=BC$7,$L144&lt;=BC$7),1,AND($K144&lt;=BC$7,$L144&gt;BC$7),((BC$7-$K144)/($L144-$K144)))</f>
        <v>0.81938325991189431</v>
      </c>
      <c r="BE144" s="201">
        <f t="array" ref="BE144">_xlfn.IFS(AND($K144&gt;BD$7,$L144&gt;BD$7),0,AND($K144&lt;=BD$7,$L144&lt;=BD$7),1,AND($K144&lt;=BD$7,$L144&gt;BD$7),((BD$7-$K144)/($L144-$K144)))</f>
        <v>0.85022026431718056</v>
      </c>
      <c r="BF144" s="201">
        <f t="array" ref="BF144">_xlfn.IFS(AND($K144&gt;BE$7,$L144&gt;BE$7),0,AND($K144&lt;=BE$7,$L144&lt;=BE$7),1,AND($K144&lt;=BE$7,$L144&gt;BE$7),((BE$7-$K144)/($L144-$K144)))</f>
        <v>0.88105726872246692</v>
      </c>
      <c r="BG144" s="201">
        <f t="array" ref="BG144">_xlfn.IFS(AND($K144&gt;BF$7,$L144&gt;BF$7),0,AND($K144&lt;=BF$7,$L144&lt;=BF$7),1,AND($K144&lt;=BF$7,$L144&gt;BF$7),((BF$7-$K144)/($L144-$K144)))</f>
        <v>0.91189427312775329</v>
      </c>
      <c r="BH144" s="201">
        <f t="array" ref="BH144">_xlfn.IFS(AND($K144&gt;BG$7,$L144&gt;BG$7),0,AND($K144&lt;=BG$7,$L144&lt;=BG$7),1,AND($K144&lt;=BG$7,$L144&gt;BG$7),((BG$7-$K144)/($L144-$K144)))</f>
        <v>0.94273127753303965</v>
      </c>
      <c r="BI144" s="201">
        <f t="array" ref="BI144">_xlfn.IFS(AND($K144&gt;BH$7,$L144&gt;BH$7),0,AND($K144&lt;=BH$7,$L144&lt;=BH$7),1,AND($K144&lt;=BH$7,$L144&gt;BH$7),((BH$7-$K144)/($L144-$K144)))</f>
        <v>0.97356828193832601</v>
      </c>
      <c r="BJ144" s="201">
        <f t="array" ref="BJ144">_xlfn.IFS(AND($K144&gt;BI$7,$L144&gt;BI$7),0,AND($K144&lt;=BI$7,$L144&lt;=BI$7),1,AND($K144&lt;=BI$7,$L144&gt;BI$7),((BI$7-$K144)/($L144-$K144)))</f>
        <v>1</v>
      </c>
      <c r="BK144" s="201">
        <f t="array" ref="BK144">_xlfn.IFS(AND($K144&gt;BJ$7,$L144&gt;BJ$7),0,AND($K144&lt;=BJ$7,$L144&lt;=BJ$7),1,AND($K144&lt;=BJ$7,$L144&gt;BJ$7),((BJ$7-$K144)/($L144-$K144)))</f>
        <v>1</v>
      </c>
      <c r="BL144" s="201">
        <f t="array" ref="BL144">_xlfn.IFS(AND($K144&gt;BK$7,$L144&gt;BK$7),0,AND($K144&lt;=BK$7,$L144&lt;=BK$7),1,AND($K144&lt;=BK$7,$L144&gt;BK$7),((BK$7-$K144)/($L144-$K144)))</f>
        <v>1</v>
      </c>
      <c r="BM144" s="201">
        <f t="array" ref="BM144">_xlfn.IFS(AND($K144&gt;BL$7,$L144&gt;BL$7),0,AND($K144&lt;=BL$7,$L144&lt;=BL$7),1,AND($K144&lt;=BL$7,$L144&gt;BL$7),((BL$7-$K144)/($L144-$K144)))</f>
        <v>1</v>
      </c>
      <c r="BN144" s="201">
        <f t="array" ref="BN144">_xlfn.IFS(AND($K144&gt;BM$7,$L144&gt;BM$7),0,AND($K144&lt;=BM$7,$L144&lt;=BM$7),1,AND($K144&lt;=BM$7,$L144&gt;BM$7),((BM$7-$K144)/($L144-$K144)))</f>
        <v>1</v>
      </c>
    </row>
    <row r="145" spans="2:66" x14ac:dyDescent="0.3">
      <c r="B145" s="170" t="str">
        <f t="array" ref="B145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3</v>
      </c>
      <c r="C145" s="170" t="s">
        <v>335</v>
      </c>
      <c r="D145" s="177" t="str">
        <f t="shared" si="51"/>
        <v>Arquitetura de projetos GERDAU</v>
      </c>
      <c r="E145" s="170" t="str">
        <f t="shared" si="54"/>
        <v>Dimensionamento de Headcount</v>
      </c>
      <c r="F145" s="170" t="s">
        <v>74</v>
      </c>
      <c r="G145" s="170" t="s">
        <v>74</v>
      </c>
      <c r="H145" s="194" t="s">
        <v>336</v>
      </c>
      <c r="I145" s="170">
        <f>MIN(I146:I146)</f>
        <v>45962</v>
      </c>
      <c r="J145" s="170">
        <f>MAX(J146:J146)</f>
        <v>45989</v>
      </c>
      <c r="K145" s="170">
        <f>MIN(K146:K146)</f>
        <v>45962</v>
      </c>
      <c r="L145" s="170">
        <f>MAX(L146:L146)</f>
        <v>45989</v>
      </c>
      <c r="M145" s="171"/>
      <c r="N145" s="171" t="str">
        <f t="array" ref="N145">_xlfn.IFS(L145&lt;$M$3,"Concluído",AND(K145&gt;=$M$3,I145&lt;$M$3,L145&gt;$M$3),"Em andamento",AND(L145&gt;=$M$3,J145&lt;$M$3),"Atrasado",AND(L145&gt;=$M$3,J145&gt;=$M$3,I145&gt;$M$3,K145&lt;=$M$3),"Em andamento",AND(L145&gt;=$M$3,J145&gt;=$M$3,I145&lt;=$M$3,K145&lt;=$M$3),"Em andamento",AND(K145&gt;$M$3,I145&gt;$M$3),"Não iniciado",AND(L145&gt;=$M$3,J145&gt;=$M$3,K145&gt;=$M$3,I145&lt;$M$3),"Atrasado",AND(L145&gt;=$M$3,J145&gt;=$M$3,K145&gt;=$M$3,I145&gt;$M$3),"Não iniciado",AND($I145&lt;=$M$3,$K145&gt;$M$3),"Atrasado")</f>
        <v>Não iniciado</v>
      </c>
      <c r="O145" s="171">
        <f t="array" ref="O145">_xlfn.IFS(N145="Não iniciado",0,N145="Em andamento",1,N145="Concluído",2,N145="Atrasado",3)</f>
        <v>0</v>
      </c>
      <c r="P145" s="172"/>
      <c r="Q145" s="173">
        <f t="shared" ref="Q145:AV145" si="59">Q146</f>
        <v>0</v>
      </c>
      <c r="R145" s="173">
        <f t="shared" si="59"/>
        <v>0</v>
      </c>
      <c r="S145" s="173">
        <f t="shared" si="59"/>
        <v>0</v>
      </c>
      <c r="T145" s="173">
        <f t="shared" si="59"/>
        <v>0</v>
      </c>
      <c r="U145" s="173">
        <f t="shared" si="59"/>
        <v>0</v>
      </c>
      <c r="V145" s="173">
        <f t="shared" si="59"/>
        <v>0</v>
      </c>
      <c r="W145" s="173">
        <f t="shared" si="59"/>
        <v>0</v>
      </c>
      <c r="X145" s="173">
        <f t="shared" si="59"/>
        <v>0</v>
      </c>
      <c r="Y145" s="173">
        <f t="shared" si="59"/>
        <v>0</v>
      </c>
      <c r="Z145" s="173">
        <f t="shared" si="59"/>
        <v>0</v>
      </c>
      <c r="AA145" s="173">
        <f t="shared" si="59"/>
        <v>0</v>
      </c>
      <c r="AB145" s="173">
        <f t="shared" si="59"/>
        <v>0</v>
      </c>
      <c r="AC145" s="173">
        <f t="shared" si="59"/>
        <v>0</v>
      </c>
      <c r="AD145" s="173">
        <f t="shared" si="59"/>
        <v>0</v>
      </c>
      <c r="AE145" s="173">
        <f t="shared" si="59"/>
        <v>0</v>
      </c>
      <c r="AF145" s="173">
        <f t="shared" si="59"/>
        <v>0</v>
      </c>
      <c r="AG145" s="173">
        <f t="shared" si="59"/>
        <v>0</v>
      </c>
      <c r="AH145" s="173">
        <f t="shared" si="59"/>
        <v>0</v>
      </c>
      <c r="AI145" s="173">
        <f t="shared" si="59"/>
        <v>0</v>
      </c>
      <c r="AJ145" s="173">
        <f t="shared" si="59"/>
        <v>0</v>
      </c>
      <c r="AK145" s="173">
        <f t="shared" si="59"/>
        <v>0</v>
      </c>
      <c r="AL145" s="173">
        <f t="shared" si="59"/>
        <v>0</v>
      </c>
      <c r="AM145" s="173">
        <f t="shared" si="59"/>
        <v>0</v>
      </c>
      <c r="AN145" s="173">
        <f t="shared" si="59"/>
        <v>0</v>
      </c>
      <c r="AO145" s="173">
        <f t="shared" si="59"/>
        <v>0</v>
      </c>
      <c r="AP145" s="173">
        <f t="shared" si="59"/>
        <v>0</v>
      </c>
      <c r="AQ145" s="173">
        <f t="shared" si="59"/>
        <v>0</v>
      </c>
      <c r="AR145" s="173">
        <f t="shared" si="59"/>
        <v>0</v>
      </c>
      <c r="AS145" s="173">
        <f t="shared" si="59"/>
        <v>0</v>
      </c>
      <c r="AT145" s="173">
        <f t="shared" si="59"/>
        <v>0</v>
      </c>
      <c r="AU145" s="173">
        <f t="shared" si="59"/>
        <v>0</v>
      </c>
      <c r="AV145" s="173">
        <f t="shared" si="59"/>
        <v>0</v>
      </c>
      <c r="AW145" s="173">
        <f t="shared" ref="AW145:BN145" si="60">AW146</f>
        <v>0</v>
      </c>
      <c r="AX145" s="173">
        <f t="shared" si="60"/>
        <v>0</v>
      </c>
      <c r="AY145" s="173">
        <f t="shared" si="60"/>
        <v>0</v>
      </c>
      <c r="AZ145" s="173">
        <f t="shared" si="60"/>
        <v>0</v>
      </c>
      <c r="BA145" s="173">
        <f t="shared" si="60"/>
        <v>0</v>
      </c>
      <c r="BB145" s="173">
        <f t="shared" si="60"/>
        <v>0</v>
      </c>
      <c r="BC145" s="173">
        <f t="shared" si="60"/>
        <v>0</v>
      </c>
      <c r="BD145" s="173">
        <f t="shared" si="60"/>
        <v>0</v>
      </c>
      <c r="BE145" s="173">
        <f t="shared" si="60"/>
        <v>0</v>
      </c>
      <c r="BF145" s="173">
        <f t="shared" si="60"/>
        <v>0</v>
      </c>
      <c r="BG145" s="173">
        <f t="shared" si="60"/>
        <v>0.1728395061728395</v>
      </c>
      <c r="BH145" s="173">
        <f t="shared" si="60"/>
        <v>0.34567901234567899</v>
      </c>
      <c r="BI145" s="173">
        <f t="shared" si="60"/>
        <v>0.51851851851851849</v>
      </c>
      <c r="BJ145" s="173">
        <f t="shared" si="60"/>
        <v>1</v>
      </c>
      <c r="BK145" s="173">
        <f t="shared" si="60"/>
        <v>1</v>
      </c>
      <c r="BL145" s="173">
        <f t="shared" si="60"/>
        <v>1</v>
      </c>
      <c r="BM145" s="173">
        <f t="shared" si="60"/>
        <v>1</v>
      </c>
      <c r="BN145" s="173">
        <f t="shared" si="60"/>
        <v>1</v>
      </c>
    </row>
    <row r="146" spans="2:66" x14ac:dyDescent="0.3">
      <c r="B146" s="174" t="str">
        <f t="array" ref="B146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146" s="174" t="s">
        <v>337</v>
      </c>
      <c r="D146" s="177" t="str">
        <f t="shared" si="51"/>
        <v>Arquitetura de projetos GERDAU</v>
      </c>
      <c r="E146" s="170" t="str">
        <f t="shared" si="54"/>
        <v>Dimensionamento de Headcount</v>
      </c>
      <c r="F146" s="174" t="str">
        <f>$H$145</f>
        <v>Revisão e Consolidação das Produtividades</v>
      </c>
      <c r="G146" s="174" t="s">
        <v>74</v>
      </c>
      <c r="H146" s="195" t="s">
        <v>336</v>
      </c>
      <c r="I146" s="174">
        <f>MIN(I147:I149)</f>
        <v>45962</v>
      </c>
      <c r="J146" s="174">
        <f>MAX(J147:J149)</f>
        <v>45989</v>
      </c>
      <c r="K146" s="174">
        <f>MIN(K147:K149)</f>
        <v>45962</v>
      </c>
      <c r="L146" s="174">
        <f>MAX(L147:L149)</f>
        <v>45989</v>
      </c>
      <c r="M146" s="175"/>
      <c r="N146" s="175" t="str">
        <f t="array" ref="N146">_xlfn.IFS(L146&lt;$M$3,"Concluído",AND(K146&gt;=$M$3,I146&lt;$M$3,L146&gt;$M$3),"Em andamento",AND(L146&gt;=$M$3,J146&lt;$M$3),"Atrasado",AND(L146&gt;=$M$3,J146&gt;=$M$3,I146&gt;$M$3,K146&lt;=$M$3),"Em andamento",AND(L146&gt;=$M$3,J146&gt;=$M$3,I146&lt;=$M$3,K146&lt;=$M$3),"Em andamento",AND(K146&gt;$M$3,I146&gt;$M$3),"Não iniciado",AND(L146&gt;=$M$3,J146&gt;=$M$3,K146&gt;=$M$3,I146&lt;$M$3),"Atrasado",AND(L146&gt;=$M$3,J146&gt;=$M$3,K146&gt;=$M$3,I146&gt;$M$3),"Não iniciado",AND($I146&lt;=$M$3,$K146&gt;$M$3),"Atrasado")</f>
        <v>Não iniciado</v>
      </c>
      <c r="O146" s="175">
        <f t="array" ref="O146">_xlfn.IFS(N146="Não iniciado",0,N146="Em andamento",1,N146="Concluído",2,N146="Atrasado",3)</f>
        <v>0</v>
      </c>
      <c r="P146" s="176"/>
      <c r="Q146" s="156">
        <f t="shared" ref="Q146:AV146" si="61">AVERAGE(Q147:Q149)</f>
        <v>0</v>
      </c>
      <c r="R146" s="156">
        <f t="shared" si="61"/>
        <v>0</v>
      </c>
      <c r="S146" s="205">
        <f t="shared" si="61"/>
        <v>0</v>
      </c>
      <c r="T146" s="205">
        <f t="shared" si="61"/>
        <v>0</v>
      </c>
      <c r="U146" s="205">
        <f t="shared" si="61"/>
        <v>0</v>
      </c>
      <c r="V146" s="205">
        <f t="shared" si="61"/>
        <v>0</v>
      </c>
      <c r="W146" s="205">
        <f t="shared" si="61"/>
        <v>0</v>
      </c>
      <c r="X146" s="205">
        <f t="shared" si="61"/>
        <v>0</v>
      </c>
      <c r="Y146" s="205">
        <f t="shared" si="61"/>
        <v>0</v>
      </c>
      <c r="Z146" s="205">
        <f t="shared" si="61"/>
        <v>0</v>
      </c>
      <c r="AA146" s="205">
        <f t="shared" si="61"/>
        <v>0</v>
      </c>
      <c r="AB146" s="205">
        <f t="shared" si="61"/>
        <v>0</v>
      </c>
      <c r="AC146" s="205">
        <f t="shared" si="61"/>
        <v>0</v>
      </c>
      <c r="AD146" s="205">
        <f t="shared" si="61"/>
        <v>0</v>
      </c>
      <c r="AE146" s="205">
        <f t="shared" si="61"/>
        <v>0</v>
      </c>
      <c r="AF146" s="205">
        <f t="shared" si="61"/>
        <v>0</v>
      </c>
      <c r="AG146" s="205">
        <f t="shared" si="61"/>
        <v>0</v>
      </c>
      <c r="AH146" s="205">
        <f t="shared" si="61"/>
        <v>0</v>
      </c>
      <c r="AI146" s="205">
        <f t="shared" si="61"/>
        <v>0</v>
      </c>
      <c r="AJ146" s="205">
        <f t="shared" si="61"/>
        <v>0</v>
      </c>
      <c r="AK146" s="205">
        <f t="shared" si="61"/>
        <v>0</v>
      </c>
      <c r="AL146" s="205">
        <f t="shared" si="61"/>
        <v>0</v>
      </c>
      <c r="AM146" s="205">
        <f t="shared" si="61"/>
        <v>0</v>
      </c>
      <c r="AN146" s="205">
        <f t="shared" si="61"/>
        <v>0</v>
      </c>
      <c r="AO146" s="205">
        <f t="shared" si="61"/>
        <v>0</v>
      </c>
      <c r="AP146" s="205">
        <f t="shared" si="61"/>
        <v>0</v>
      </c>
      <c r="AQ146" s="205">
        <f t="shared" si="61"/>
        <v>0</v>
      </c>
      <c r="AR146" s="205">
        <f t="shared" si="61"/>
        <v>0</v>
      </c>
      <c r="AS146" s="205">
        <f t="shared" si="61"/>
        <v>0</v>
      </c>
      <c r="AT146" s="205">
        <f t="shared" si="61"/>
        <v>0</v>
      </c>
      <c r="AU146" s="205">
        <f t="shared" si="61"/>
        <v>0</v>
      </c>
      <c r="AV146" s="205">
        <f t="shared" si="61"/>
        <v>0</v>
      </c>
      <c r="AW146" s="205">
        <f t="shared" ref="AW146:BN146" si="62">AVERAGE(AW147:AW149)</f>
        <v>0</v>
      </c>
      <c r="AX146" s="205">
        <f t="shared" si="62"/>
        <v>0</v>
      </c>
      <c r="AY146" s="205">
        <f t="shared" si="62"/>
        <v>0</v>
      </c>
      <c r="AZ146" s="205">
        <f t="shared" si="62"/>
        <v>0</v>
      </c>
      <c r="BA146" s="205">
        <f t="shared" si="62"/>
        <v>0</v>
      </c>
      <c r="BB146" s="205">
        <f t="shared" si="62"/>
        <v>0</v>
      </c>
      <c r="BC146" s="205">
        <f t="shared" si="62"/>
        <v>0</v>
      </c>
      <c r="BD146" s="205">
        <f t="shared" si="62"/>
        <v>0</v>
      </c>
      <c r="BE146" s="205">
        <f t="shared" si="62"/>
        <v>0</v>
      </c>
      <c r="BF146" s="205">
        <f t="shared" si="62"/>
        <v>0</v>
      </c>
      <c r="BG146" s="205">
        <f t="shared" si="62"/>
        <v>0.1728395061728395</v>
      </c>
      <c r="BH146" s="205">
        <f t="shared" si="62"/>
        <v>0.34567901234567899</v>
      </c>
      <c r="BI146" s="205">
        <f t="shared" si="62"/>
        <v>0.51851851851851849</v>
      </c>
      <c r="BJ146" s="205">
        <f t="shared" si="62"/>
        <v>1</v>
      </c>
      <c r="BK146" s="205">
        <f t="shared" si="62"/>
        <v>1</v>
      </c>
      <c r="BL146" s="205">
        <f t="shared" si="62"/>
        <v>1</v>
      </c>
      <c r="BM146" s="205">
        <f t="shared" si="62"/>
        <v>1</v>
      </c>
      <c r="BN146" s="205">
        <f t="shared" si="62"/>
        <v>1</v>
      </c>
    </row>
    <row r="147" spans="2:66" x14ac:dyDescent="0.3">
      <c r="B147" s="166" t="str">
        <f t="array" ref="B147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47" s="166" t="s">
        <v>338</v>
      </c>
      <c r="D147" s="177" t="str">
        <f t="shared" si="51"/>
        <v>Arquitetura de projetos GERDAU</v>
      </c>
      <c r="E147" s="170" t="str">
        <f t="shared" si="54"/>
        <v>Dimensionamento de Headcount</v>
      </c>
      <c r="F147" s="174" t="str">
        <f>$H$145</f>
        <v>Revisão e Consolidação das Produtividades</v>
      </c>
      <c r="G147" s="166" t="str">
        <f>$H$146</f>
        <v>Revisão e Consolidação das Produtividades</v>
      </c>
      <c r="H147" s="197" t="s">
        <v>339</v>
      </c>
      <c r="I147" s="166">
        <v>45962</v>
      </c>
      <c r="J147" s="166">
        <v>45989</v>
      </c>
      <c r="K147" s="166">
        <v>45962</v>
      </c>
      <c r="L147" s="166">
        <v>45989</v>
      </c>
      <c r="M147" s="167"/>
      <c r="N147" s="167" t="str">
        <f t="array" ref="N147">_xlfn.IFS(L147&lt;$M$3,"Concluído",AND(K147&gt;=$M$3,I147&lt;$M$3,L147&gt;$M$3),"Em andamento",AND(L147&gt;=$M$3,J147&lt;$M$3),"Atrasado",AND(L147&gt;=$M$3,J147&gt;=$M$3,I147&gt;$M$3,K147&lt;=$M$3),"Em andamento",AND(L147&gt;=$M$3,J147&gt;=$M$3,I147&lt;=$M$3,K147&lt;=$M$3),"Em andamento",AND(K147&gt;$M$3,I147&gt;$M$3),"Não iniciado",AND(L147&gt;=$M$3,J147&gt;=$M$3,K147&gt;=$M$3,I147&lt;$M$3),"Atrasado",AND(L147&gt;=$M$3,J147&gt;=$M$3,K147&gt;=$M$3,I147&gt;$M$3),"Não iniciado",AND($I147&lt;=$M$3,$K147&gt;$M$3),"Atrasado")</f>
        <v>Não iniciado</v>
      </c>
      <c r="O147" s="167">
        <f t="array" ref="O147">_xlfn.IFS(N147="Não iniciado",0,N147="Em andamento",1,N147="Concluído",2,N147="Atrasado",3)</f>
        <v>0</v>
      </c>
      <c r="P147" s="168"/>
      <c r="Q147" s="152">
        <f t="array" ref="Q147">_xlfn.IFS(AND($I147&lt;$M$3,$J147&lt;$M$3),1,AND($I147&lt;=$M$3,$J147&gt;=$M$3),0.5,AND($I147&gt;=$M$3,$J147&gt;=$M$3),0)</f>
        <v>0</v>
      </c>
      <c r="R147" s="152">
        <f t="array" ref="R147">_xlfn.IFS(AND($K147&lt;$M$3,$L147&lt;$M$3),1,AND($K147&lt;=$M$3,$L147&gt;=$M$3),0.5,AND($K147&gt;=$M$3,$L147&gt;=$M$3),0)</f>
        <v>0</v>
      </c>
      <c r="S147" s="201">
        <f t="array" ref="S147">_xlfn.IFS(AND($K147&gt;R$7,$L147&gt;R$7),0,AND($K147&lt;=R$7,$L147&lt;=R$7),1,AND($K147&lt;=R$7,$L147&gt;R$7),((R$7-$K147)/($L147-$K147)))</f>
        <v>0</v>
      </c>
      <c r="T147" s="201">
        <f t="array" ref="T147">_xlfn.IFS(AND($K147&gt;S$7,$L147&gt;S$7),0,AND($K147&lt;=S$7,$L147&lt;=S$7),1,AND($K147&lt;=S$7,$L147&gt;S$7),((S$7-$K147)/($L147-$K147)))</f>
        <v>0</v>
      </c>
      <c r="U147" s="201">
        <f t="array" ref="U147">_xlfn.IFS(AND($K147&gt;T$7,$L147&gt;T$7),0,AND($K147&lt;=T$7,$L147&lt;=T$7),1,AND($K147&lt;=T$7,$L147&gt;T$7),((T$7-$K147)/($L147-$K147)))</f>
        <v>0</v>
      </c>
      <c r="V147" s="201">
        <f t="array" ref="V147">_xlfn.IFS(AND($K147&gt;U$7,$L147&gt;U$7),0,AND($K147&lt;=U$7,$L147&lt;=U$7),1,AND($K147&lt;=U$7,$L147&gt;U$7),((U$7-$K147)/($L147-$K147)))</f>
        <v>0</v>
      </c>
      <c r="W147" s="201">
        <f t="array" ref="W147">_xlfn.IFS(AND($K147&gt;V$7,$L147&gt;V$7),0,AND($K147&lt;=V$7,$L147&lt;=V$7),1,AND($K147&lt;=V$7,$L147&gt;V$7),((V$7-$K147)/($L147-$K147)))</f>
        <v>0</v>
      </c>
      <c r="X147" s="201">
        <f t="array" ref="X147">_xlfn.IFS(AND($K147&gt;W$7,$L147&gt;W$7),0,AND($K147&lt;=W$7,$L147&lt;=W$7),1,AND($K147&lt;=W$7,$L147&gt;W$7),((W$7-$K147)/($L147-$K147)))</f>
        <v>0</v>
      </c>
      <c r="Y147" s="201">
        <f t="array" ref="Y147">_xlfn.IFS(AND($K147&gt;X$7,$L147&gt;X$7),0,AND($K147&lt;=X$7,$L147&lt;=X$7),1,AND($K147&lt;=X$7,$L147&gt;X$7),((X$7-$K147)/($L147-$K147)))</f>
        <v>0</v>
      </c>
      <c r="Z147" s="201">
        <f t="array" ref="Z147">_xlfn.IFS(AND($K147&gt;Y$7,$L147&gt;Y$7),0,AND($K147&lt;=Y$7,$L147&lt;=Y$7),1,AND($K147&lt;=Y$7,$L147&gt;Y$7),((Y$7-$K147)/($L147-$K147)))</f>
        <v>0</v>
      </c>
      <c r="AA147" s="201">
        <f t="array" ref="AA147">_xlfn.IFS(AND($K147&gt;Z$7,$L147&gt;Z$7),0,AND($K147&lt;=Z$7,$L147&lt;=Z$7),1,AND($K147&lt;=Z$7,$L147&gt;Z$7),((Z$7-$K147)/($L147-$K147)))</f>
        <v>0</v>
      </c>
      <c r="AB147" s="201">
        <f t="array" ref="AB147">_xlfn.IFS(AND($K147&gt;AA$7,$L147&gt;AA$7),0,AND($K147&lt;=AA$7,$L147&lt;=AA$7),1,AND($K147&lt;=AA$7,$L147&gt;AA$7),((AA$7-$K147)/($L147-$K147)))</f>
        <v>0</v>
      </c>
      <c r="AC147" s="201">
        <f t="array" ref="AC147">_xlfn.IFS(AND($K147&gt;AB$7,$L147&gt;AB$7),0,AND($K147&lt;=AB$7,$L147&lt;=AB$7),1,AND($K147&lt;=AB$7,$L147&gt;AB$7),((AB$7-$K147)/($L147-$K147)))</f>
        <v>0</v>
      </c>
      <c r="AD147" s="201">
        <f t="array" ref="AD147">_xlfn.IFS(AND($K147&gt;AC$7,$L147&gt;AC$7),0,AND($K147&lt;=AC$7,$L147&lt;=AC$7),1,AND($K147&lt;=AC$7,$L147&gt;AC$7),((AC$7-$K147)/($L147-$K147)))</f>
        <v>0</v>
      </c>
      <c r="AE147" s="201">
        <f t="array" ref="AE147">_xlfn.IFS(AND($K147&gt;AD$7,$L147&gt;AD$7),0,AND($K147&lt;=AD$7,$L147&lt;=AD$7),1,AND($K147&lt;=AD$7,$L147&gt;AD$7),((AD$7-$K147)/($L147-$K147)))</f>
        <v>0</v>
      </c>
      <c r="AF147" s="201">
        <f t="array" ref="AF147">_xlfn.IFS(AND($K147&gt;AE$7,$L147&gt;AE$7),0,AND($K147&lt;=AE$7,$L147&lt;=AE$7),1,AND($K147&lt;=AE$7,$L147&gt;AE$7),((AE$7-$K147)/($L147-$K147)))</f>
        <v>0</v>
      </c>
      <c r="AG147" s="201">
        <f t="array" ref="AG147">_xlfn.IFS(AND($K147&gt;AF$7,$L147&gt;AF$7),0,AND($K147&lt;=AF$7,$L147&lt;=AF$7),1,AND($K147&lt;=AF$7,$L147&gt;AF$7),((AF$7-$K147)/($L147-$K147)))</f>
        <v>0</v>
      </c>
      <c r="AH147" s="201">
        <f t="array" ref="AH147">_xlfn.IFS(AND($K147&gt;AG$7,$L147&gt;AG$7),0,AND($K147&lt;=AG$7,$L147&lt;=AG$7),1,AND($K147&lt;=AG$7,$L147&gt;AG$7),((AG$7-$K147)/($L147-$K147)))</f>
        <v>0</v>
      </c>
      <c r="AI147" s="201">
        <f t="array" ref="AI147">_xlfn.IFS(AND($K147&gt;AH$7,$L147&gt;AH$7),0,AND($K147&lt;=AH$7,$L147&lt;=AH$7),1,AND($K147&lt;=AH$7,$L147&gt;AH$7),((AH$7-$K147)/($L147-$K147)))</f>
        <v>0</v>
      </c>
      <c r="AJ147" s="201">
        <f t="array" ref="AJ147">_xlfn.IFS(AND($K147&gt;AI$7,$L147&gt;AI$7),0,AND($K147&lt;=AI$7,$L147&lt;=AI$7),1,AND($K147&lt;=AI$7,$L147&gt;AI$7),((AI$7-$K147)/($L147-$K147)))</f>
        <v>0</v>
      </c>
      <c r="AK147" s="201">
        <f t="array" ref="AK147">_xlfn.IFS(AND($K147&gt;AJ$7,$L147&gt;AJ$7),0,AND($K147&lt;=AJ$7,$L147&lt;=AJ$7),1,AND($K147&lt;=AJ$7,$L147&gt;AJ$7),((AJ$7-$K147)/($L147-$K147)))</f>
        <v>0</v>
      </c>
      <c r="AL147" s="201">
        <f t="array" ref="AL147">_xlfn.IFS(AND($K147&gt;AK$7,$L147&gt;AK$7),0,AND($K147&lt;=AK$7,$L147&lt;=AK$7),1,AND($K147&lt;=AK$7,$L147&gt;AK$7),((AK$7-$K147)/($L147-$K147)))</f>
        <v>0</v>
      </c>
      <c r="AM147" s="201">
        <f t="array" ref="AM147">_xlfn.IFS(AND($K147&gt;AL$7,$L147&gt;AL$7),0,AND($K147&lt;=AL$7,$L147&lt;=AL$7),1,AND($K147&lt;=AL$7,$L147&gt;AL$7),((AL$7-$K147)/($L147-$K147)))</f>
        <v>0</v>
      </c>
      <c r="AN147" s="201">
        <f t="array" ref="AN147">_xlfn.IFS(AND($K147&gt;AM$7,$L147&gt;AM$7),0,AND($K147&lt;=AM$7,$L147&lt;=AM$7),1,AND($K147&lt;=AM$7,$L147&gt;AM$7),((AM$7-$K147)/($L147-$K147)))</f>
        <v>0</v>
      </c>
      <c r="AO147" s="201">
        <f t="array" ref="AO147">_xlfn.IFS(AND($K147&gt;AN$7,$L147&gt;AN$7),0,AND($K147&lt;=AN$7,$L147&lt;=AN$7),1,AND($K147&lt;=AN$7,$L147&gt;AN$7),((AN$7-$K147)/($L147-$K147)))</f>
        <v>0</v>
      </c>
      <c r="AP147" s="201">
        <f t="array" ref="AP147">_xlfn.IFS(AND($K147&gt;AO$7,$L147&gt;AO$7),0,AND($K147&lt;=AO$7,$L147&lt;=AO$7),1,AND($K147&lt;=AO$7,$L147&gt;AO$7),((AO$7-$K147)/($L147-$K147)))</f>
        <v>0</v>
      </c>
      <c r="AQ147" s="201">
        <f t="array" ref="AQ147">_xlfn.IFS(AND($K147&gt;AP$7,$L147&gt;AP$7),0,AND($K147&lt;=AP$7,$L147&lt;=AP$7),1,AND($K147&lt;=AP$7,$L147&gt;AP$7),((AP$7-$K147)/($L147-$K147)))</f>
        <v>0</v>
      </c>
      <c r="AR147" s="201">
        <f t="array" ref="AR147">_xlfn.IFS(AND($K147&gt;AQ$7,$L147&gt;AQ$7),0,AND($K147&lt;=AQ$7,$L147&lt;=AQ$7),1,AND($K147&lt;=AQ$7,$L147&gt;AQ$7),((AQ$7-$K147)/($L147-$K147)))</f>
        <v>0</v>
      </c>
      <c r="AS147" s="201">
        <f t="array" ref="AS147">_xlfn.IFS(AND($K147&gt;AR$7,$L147&gt;AR$7),0,AND($K147&lt;=AR$7,$L147&lt;=AR$7),1,AND($K147&lt;=AR$7,$L147&gt;AR$7),((AR$7-$K147)/($L147-$K147)))</f>
        <v>0</v>
      </c>
      <c r="AT147" s="201">
        <f t="array" ref="AT147">_xlfn.IFS(AND($K147&gt;AS$7,$L147&gt;AS$7),0,AND($K147&lt;=AS$7,$L147&lt;=AS$7),1,AND($K147&lt;=AS$7,$L147&gt;AS$7),((AS$7-$K147)/($L147-$K147)))</f>
        <v>0</v>
      </c>
      <c r="AU147" s="201">
        <f t="array" ref="AU147">_xlfn.IFS(AND($K147&gt;AT$7,$L147&gt;AT$7),0,AND($K147&lt;=AT$7,$L147&lt;=AT$7),1,AND($K147&lt;=AT$7,$L147&gt;AT$7),((AT$7-$K147)/($L147-$K147)))</f>
        <v>0</v>
      </c>
      <c r="AV147" s="201">
        <f t="array" ref="AV147">_xlfn.IFS(AND($K147&gt;AU$7,$L147&gt;AU$7),0,AND($K147&lt;=AU$7,$L147&lt;=AU$7),1,AND($K147&lt;=AU$7,$L147&gt;AU$7),((AU$7-$K147)/($L147-$K147)))</f>
        <v>0</v>
      </c>
      <c r="AW147" s="201">
        <f t="array" ref="AW147">_xlfn.IFS(AND($K147&gt;AV$7,$L147&gt;AV$7),0,AND($K147&lt;=AV$7,$L147&lt;=AV$7),1,AND($K147&lt;=AV$7,$L147&gt;AV$7),((AV$7-$K147)/($L147-$K147)))</f>
        <v>0</v>
      </c>
      <c r="AX147" s="201">
        <f t="array" ref="AX147">_xlfn.IFS(AND($K147&gt;AW$7,$L147&gt;AW$7),0,AND($K147&lt;=AW$7,$L147&lt;=AW$7),1,AND($K147&lt;=AW$7,$L147&gt;AW$7),((AW$7-$K147)/($L147-$K147)))</f>
        <v>0</v>
      </c>
      <c r="AY147" s="201">
        <f t="array" ref="AY147">_xlfn.IFS(AND($K147&gt;AX$7,$L147&gt;AX$7),0,AND($K147&lt;=AX$7,$L147&lt;=AX$7),1,AND($K147&lt;=AX$7,$L147&gt;AX$7),((AX$7-$K147)/($L147-$K147)))</f>
        <v>0</v>
      </c>
      <c r="AZ147" s="201">
        <f t="array" ref="AZ147">_xlfn.IFS(AND($K147&gt;AY$7,$L147&gt;AY$7),0,AND($K147&lt;=AY$7,$L147&lt;=AY$7),1,AND($K147&lt;=AY$7,$L147&gt;AY$7),((AY$7-$K147)/($L147-$K147)))</f>
        <v>0</v>
      </c>
      <c r="BA147" s="201">
        <f t="array" ref="BA147">_xlfn.IFS(AND($K147&gt;AZ$7,$L147&gt;AZ$7),0,AND($K147&lt;=AZ$7,$L147&lt;=AZ$7),1,AND($K147&lt;=AZ$7,$L147&gt;AZ$7),((AZ$7-$K147)/($L147-$K147)))</f>
        <v>0</v>
      </c>
      <c r="BB147" s="201">
        <f t="array" ref="BB147">_xlfn.IFS(AND($K147&gt;BA$7,$L147&gt;BA$7),0,AND($K147&lt;=BA$7,$L147&lt;=BA$7),1,AND($K147&lt;=BA$7,$L147&gt;BA$7),((BA$7-$K147)/($L147-$K147)))</f>
        <v>0</v>
      </c>
      <c r="BC147" s="201">
        <f t="array" ref="BC147">_xlfn.IFS(AND($K147&gt;BB$7,$L147&gt;BB$7),0,AND($K147&lt;=BB$7,$L147&lt;=BB$7),1,AND($K147&lt;=BB$7,$L147&gt;BB$7),((BB$7-$K147)/($L147-$K147)))</f>
        <v>0</v>
      </c>
      <c r="BD147" s="201">
        <f t="array" ref="BD147">_xlfn.IFS(AND($K147&gt;BC$7,$L147&gt;BC$7),0,AND($K147&lt;=BC$7,$L147&lt;=BC$7),1,AND($K147&lt;=BC$7,$L147&gt;BC$7),((BC$7-$K147)/($L147-$K147)))</f>
        <v>0</v>
      </c>
      <c r="BE147" s="201">
        <f t="array" ref="BE147">_xlfn.IFS(AND($K147&gt;BD$7,$L147&gt;BD$7),0,AND($K147&lt;=BD$7,$L147&lt;=BD$7),1,AND($K147&lt;=BD$7,$L147&gt;BD$7),((BD$7-$K147)/($L147-$K147)))</f>
        <v>0</v>
      </c>
      <c r="BF147" s="201">
        <f t="array" ref="BF147">_xlfn.IFS(AND($K147&gt;BE$7,$L147&gt;BE$7),0,AND($K147&lt;=BE$7,$L147&lt;=BE$7),1,AND($K147&lt;=BE$7,$L147&gt;BE$7),((BE$7-$K147)/($L147-$K147)))</f>
        <v>0</v>
      </c>
      <c r="BG147" s="201">
        <f t="array" ref="BG147">_xlfn.IFS(AND($K147&gt;BF$7,$L147&gt;BF$7),0,AND($K147&lt;=BF$7,$L147&lt;=BF$7),1,AND($K147&lt;=BF$7,$L147&gt;BF$7),((BF$7-$K147)/($L147-$K147)))</f>
        <v>0.25925925925925924</v>
      </c>
      <c r="BH147" s="201">
        <f t="array" ref="BH147">_xlfn.IFS(AND($K147&gt;BG$7,$L147&gt;BG$7),0,AND($K147&lt;=BG$7,$L147&lt;=BG$7),1,AND($K147&lt;=BG$7,$L147&gt;BG$7),((BG$7-$K147)/($L147-$K147)))</f>
        <v>0.51851851851851849</v>
      </c>
      <c r="BI147" s="201">
        <f t="array" ref="BI147">_xlfn.IFS(AND($K147&gt;BH$7,$L147&gt;BH$7),0,AND($K147&lt;=BH$7,$L147&lt;=BH$7),1,AND($K147&lt;=BH$7,$L147&gt;BH$7),((BH$7-$K147)/($L147-$K147)))</f>
        <v>0.77777777777777779</v>
      </c>
      <c r="BJ147" s="201">
        <f t="array" ref="BJ147">_xlfn.IFS(AND($K147&gt;BI$7,$L147&gt;BI$7),0,AND($K147&lt;=BI$7,$L147&lt;=BI$7),1,AND($K147&lt;=BI$7,$L147&gt;BI$7),((BI$7-$K147)/($L147-$K147)))</f>
        <v>1</v>
      </c>
      <c r="BK147" s="201">
        <f t="array" ref="BK147">_xlfn.IFS(AND($K147&gt;BJ$7,$L147&gt;BJ$7),0,AND($K147&lt;=BJ$7,$L147&lt;=BJ$7),1,AND($K147&lt;=BJ$7,$L147&gt;BJ$7),((BJ$7-$K147)/($L147-$K147)))</f>
        <v>1</v>
      </c>
      <c r="BL147" s="201">
        <f t="array" ref="BL147">_xlfn.IFS(AND($K147&gt;BK$7,$L147&gt;BK$7),0,AND($K147&lt;=BK$7,$L147&lt;=BK$7),1,AND($K147&lt;=BK$7,$L147&gt;BK$7),((BK$7-$K147)/($L147-$K147)))</f>
        <v>1</v>
      </c>
      <c r="BM147" s="201">
        <f t="array" ref="BM147">_xlfn.IFS(AND($K147&gt;BL$7,$L147&gt;BL$7),0,AND($K147&lt;=BL$7,$L147&lt;=BL$7),1,AND($K147&lt;=BL$7,$L147&gt;BL$7),((BL$7-$K147)/($L147-$K147)))</f>
        <v>1</v>
      </c>
      <c r="BN147" s="201">
        <f t="array" ref="BN147">_xlfn.IFS(AND($K147&gt;BM$7,$L147&gt;BM$7),0,AND($K147&lt;=BM$7,$L147&lt;=BM$7),1,AND($K147&lt;=BM$7,$L147&gt;BM$7),((BM$7-$K147)/($L147-$K147)))</f>
        <v>1</v>
      </c>
    </row>
    <row r="148" spans="2:66" x14ac:dyDescent="0.3">
      <c r="B148" s="166" t="str">
        <f t="array" ref="B148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48" s="166" t="s">
        <v>340</v>
      </c>
      <c r="D148" s="177" t="str">
        <f t="shared" si="51"/>
        <v>Arquitetura de projetos GERDAU</v>
      </c>
      <c r="E148" s="170" t="str">
        <f t="shared" si="54"/>
        <v>Dimensionamento de Headcount</v>
      </c>
      <c r="F148" s="174" t="str">
        <f>$H$145</f>
        <v>Revisão e Consolidação das Produtividades</v>
      </c>
      <c r="G148" s="166" t="str">
        <f>$H$146</f>
        <v>Revisão e Consolidação das Produtividades</v>
      </c>
      <c r="H148" s="197" t="s">
        <v>341</v>
      </c>
      <c r="I148" s="166">
        <v>45962</v>
      </c>
      <c r="J148" s="166">
        <v>45989</v>
      </c>
      <c r="K148" s="166">
        <v>45962</v>
      </c>
      <c r="L148" s="166">
        <v>45989</v>
      </c>
      <c r="M148" s="167"/>
      <c r="N148" s="167" t="str">
        <f t="array" ref="N148">_xlfn.IFS(L148&lt;$M$3,"Concluído",AND(K148&gt;=$M$3,I148&lt;$M$3,L148&gt;$M$3),"Em andamento",AND(L148&gt;=$M$3,J148&lt;$M$3),"Atrasado",AND(L148&gt;=$M$3,J148&gt;=$M$3,I148&gt;$M$3,K148&lt;=$M$3),"Em andamento",AND(L148&gt;=$M$3,J148&gt;=$M$3,I148&lt;=$M$3,K148&lt;=$M$3),"Em andamento",AND(K148&gt;$M$3,I148&gt;$M$3),"Não iniciado",AND(L148&gt;=$M$3,J148&gt;=$M$3,K148&gt;=$M$3,I148&lt;$M$3),"Atrasado",AND(L148&gt;=$M$3,J148&gt;=$M$3,K148&gt;=$M$3,I148&gt;$M$3),"Não iniciado",AND($I148&lt;=$M$3,$K148&gt;$M$3),"Atrasado")</f>
        <v>Não iniciado</v>
      </c>
      <c r="O148" s="167">
        <f t="array" ref="O148">_xlfn.IFS(N148="Não iniciado",0,N148="Em andamento",1,N148="Concluído",2,N148="Atrasado",3)</f>
        <v>0</v>
      </c>
      <c r="P148" s="168"/>
      <c r="Q148" s="152">
        <f t="array" ref="Q148">_xlfn.IFS(AND($I148&lt;$M$3,$J148&lt;$M$3),1,AND($I148&lt;$M$3,$J148&gt;=$M$3),0.5,AND($I148&gt;=$M$3,$J148&gt;=$M$3),0)</f>
        <v>0</v>
      </c>
      <c r="R148" s="152">
        <f t="array" ref="R148">_xlfn.IFS(AND($K148&lt;$M$3,$L148&lt;$M$3),1,AND($K148&lt;=$M$3,$L148&gt;=$M$3),0.5,AND($K148&gt;=$M$3,$L148&gt;=$M$3),0)</f>
        <v>0</v>
      </c>
      <c r="S148" s="201">
        <f t="array" ref="S148">_xlfn.IFS(AND($K148&gt;R$7,$L148&gt;R$7),0,AND($K148&lt;=R$7,$L148&lt;=R$7),1,AND($K148&lt;=R$7,$L148&gt;R$7),((R$7-$K148)/($L148-$K148)))</f>
        <v>0</v>
      </c>
      <c r="T148" s="201">
        <f t="array" ref="T148">_xlfn.IFS(AND($K148&gt;S$7,$L148&gt;S$7),0,AND($K148&lt;=S$7,$L148&lt;=S$7),1,AND($K148&lt;=S$7,$L148&gt;S$7),((S$7-$K148)/($L148-$K148)))</f>
        <v>0</v>
      </c>
      <c r="U148" s="201">
        <f t="array" ref="U148">_xlfn.IFS(AND($K148&gt;T$7,$L148&gt;T$7),0,AND($K148&lt;=T$7,$L148&lt;=T$7),1,AND($K148&lt;=T$7,$L148&gt;T$7),((T$7-$K148)/($L148-$K148)))</f>
        <v>0</v>
      </c>
      <c r="V148" s="201">
        <f t="array" ref="V148">_xlfn.IFS(AND($K148&gt;U$7,$L148&gt;U$7),0,AND($K148&lt;=U$7,$L148&lt;=U$7),1,AND($K148&lt;=U$7,$L148&gt;U$7),((U$7-$K148)/($L148-$K148)))</f>
        <v>0</v>
      </c>
      <c r="W148" s="201">
        <f t="array" ref="W148">_xlfn.IFS(AND($K148&gt;V$7,$L148&gt;V$7),0,AND($K148&lt;=V$7,$L148&lt;=V$7),1,AND($K148&lt;=V$7,$L148&gt;V$7),((V$7-$K148)/($L148-$K148)))</f>
        <v>0</v>
      </c>
      <c r="X148" s="201">
        <f t="array" ref="X148">_xlfn.IFS(AND($K148&gt;W$7,$L148&gt;W$7),0,AND($K148&lt;=W$7,$L148&lt;=W$7),1,AND($K148&lt;=W$7,$L148&gt;W$7),((W$7-$K148)/($L148-$K148)))</f>
        <v>0</v>
      </c>
      <c r="Y148" s="201">
        <f t="array" ref="Y148">_xlfn.IFS(AND($K148&gt;X$7,$L148&gt;X$7),0,AND($K148&lt;=X$7,$L148&lt;=X$7),1,AND($K148&lt;=X$7,$L148&gt;X$7),((X$7-$K148)/($L148-$K148)))</f>
        <v>0</v>
      </c>
      <c r="Z148" s="201">
        <f t="array" ref="Z148">_xlfn.IFS(AND($K148&gt;Y$7,$L148&gt;Y$7),0,AND($K148&lt;=Y$7,$L148&lt;=Y$7),1,AND($K148&lt;=Y$7,$L148&gt;Y$7),((Y$7-$K148)/($L148-$K148)))</f>
        <v>0</v>
      </c>
      <c r="AA148" s="201">
        <f t="array" ref="AA148">_xlfn.IFS(AND($K148&gt;Z$7,$L148&gt;Z$7),0,AND($K148&lt;=Z$7,$L148&lt;=Z$7),1,AND($K148&lt;=Z$7,$L148&gt;Z$7),((Z$7-$K148)/($L148-$K148)))</f>
        <v>0</v>
      </c>
      <c r="AB148" s="201">
        <f t="array" ref="AB148">_xlfn.IFS(AND($K148&gt;AA$7,$L148&gt;AA$7),0,AND($K148&lt;=AA$7,$L148&lt;=AA$7),1,AND($K148&lt;=AA$7,$L148&gt;AA$7),((AA$7-$K148)/($L148-$K148)))</f>
        <v>0</v>
      </c>
      <c r="AC148" s="201">
        <f t="array" ref="AC148">_xlfn.IFS(AND($K148&gt;AB$7,$L148&gt;AB$7),0,AND($K148&lt;=AB$7,$L148&lt;=AB$7),1,AND($K148&lt;=AB$7,$L148&gt;AB$7),((AB$7-$K148)/($L148-$K148)))</f>
        <v>0</v>
      </c>
      <c r="AD148" s="201">
        <f t="array" ref="AD148">_xlfn.IFS(AND($K148&gt;AC$7,$L148&gt;AC$7),0,AND($K148&lt;=AC$7,$L148&lt;=AC$7),1,AND($K148&lt;=AC$7,$L148&gt;AC$7),((AC$7-$K148)/($L148-$K148)))</f>
        <v>0</v>
      </c>
      <c r="AE148" s="201">
        <f t="array" ref="AE148">_xlfn.IFS(AND($K148&gt;AD$7,$L148&gt;AD$7),0,AND($K148&lt;=AD$7,$L148&lt;=AD$7),1,AND($K148&lt;=AD$7,$L148&gt;AD$7),((AD$7-$K148)/($L148-$K148)))</f>
        <v>0</v>
      </c>
      <c r="AF148" s="201">
        <f t="array" ref="AF148">_xlfn.IFS(AND($K148&gt;AE$7,$L148&gt;AE$7),0,AND($K148&lt;=AE$7,$L148&lt;=AE$7),1,AND($K148&lt;=AE$7,$L148&gt;AE$7),((AE$7-$K148)/($L148-$K148)))</f>
        <v>0</v>
      </c>
      <c r="AG148" s="201">
        <f t="array" ref="AG148">_xlfn.IFS(AND($K148&gt;AF$7,$L148&gt;AF$7),0,AND($K148&lt;=AF$7,$L148&lt;=AF$7),1,AND($K148&lt;=AF$7,$L148&gt;AF$7),((AF$7-$K148)/($L148-$K148)))</f>
        <v>0</v>
      </c>
      <c r="AH148" s="201">
        <f t="array" ref="AH148">_xlfn.IFS(AND($K148&gt;AG$7,$L148&gt;AG$7),0,AND($K148&lt;=AG$7,$L148&lt;=AG$7),1,AND($K148&lt;=AG$7,$L148&gt;AG$7),((AG$7-$K148)/($L148-$K148)))</f>
        <v>0</v>
      </c>
      <c r="AI148" s="201">
        <f t="array" ref="AI148">_xlfn.IFS(AND($K148&gt;AH$7,$L148&gt;AH$7),0,AND($K148&lt;=AH$7,$L148&lt;=AH$7),1,AND($K148&lt;=AH$7,$L148&gt;AH$7),((AH$7-$K148)/($L148-$K148)))</f>
        <v>0</v>
      </c>
      <c r="AJ148" s="201">
        <f t="array" ref="AJ148">_xlfn.IFS(AND($K148&gt;AI$7,$L148&gt;AI$7),0,AND($K148&lt;=AI$7,$L148&lt;=AI$7),1,AND($K148&lt;=AI$7,$L148&gt;AI$7),((AI$7-$K148)/($L148-$K148)))</f>
        <v>0</v>
      </c>
      <c r="AK148" s="201">
        <f t="array" ref="AK148">_xlfn.IFS(AND($K148&gt;AJ$7,$L148&gt;AJ$7),0,AND($K148&lt;=AJ$7,$L148&lt;=AJ$7),1,AND($K148&lt;=AJ$7,$L148&gt;AJ$7),((AJ$7-$K148)/($L148-$K148)))</f>
        <v>0</v>
      </c>
      <c r="AL148" s="201">
        <f t="array" ref="AL148">_xlfn.IFS(AND($K148&gt;AK$7,$L148&gt;AK$7),0,AND($K148&lt;=AK$7,$L148&lt;=AK$7),1,AND($K148&lt;=AK$7,$L148&gt;AK$7),((AK$7-$K148)/($L148-$K148)))</f>
        <v>0</v>
      </c>
      <c r="AM148" s="201">
        <f t="array" ref="AM148">_xlfn.IFS(AND($K148&gt;AL$7,$L148&gt;AL$7),0,AND($K148&lt;=AL$7,$L148&lt;=AL$7),1,AND($K148&lt;=AL$7,$L148&gt;AL$7),((AL$7-$K148)/($L148-$K148)))</f>
        <v>0</v>
      </c>
      <c r="AN148" s="201">
        <f t="array" ref="AN148">_xlfn.IFS(AND($K148&gt;AM$7,$L148&gt;AM$7),0,AND($K148&lt;=AM$7,$L148&lt;=AM$7),1,AND($K148&lt;=AM$7,$L148&gt;AM$7),((AM$7-$K148)/($L148-$K148)))</f>
        <v>0</v>
      </c>
      <c r="AO148" s="201">
        <f t="array" ref="AO148">_xlfn.IFS(AND($K148&gt;AN$7,$L148&gt;AN$7),0,AND($K148&lt;=AN$7,$L148&lt;=AN$7),1,AND($K148&lt;=AN$7,$L148&gt;AN$7),((AN$7-$K148)/($L148-$K148)))</f>
        <v>0</v>
      </c>
      <c r="AP148" s="201">
        <f t="array" ref="AP148">_xlfn.IFS(AND($K148&gt;AO$7,$L148&gt;AO$7),0,AND($K148&lt;=AO$7,$L148&lt;=AO$7),1,AND($K148&lt;=AO$7,$L148&gt;AO$7),((AO$7-$K148)/($L148-$K148)))</f>
        <v>0</v>
      </c>
      <c r="AQ148" s="201">
        <f t="array" ref="AQ148">_xlfn.IFS(AND($K148&gt;AP$7,$L148&gt;AP$7),0,AND($K148&lt;=AP$7,$L148&lt;=AP$7),1,AND($K148&lt;=AP$7,$L148&gt;AP$7),((AP$7-$K148)/($L148-$K148)))</f>
        <v>0</v>
      </c>
      <c r="AR148" s="201">
        <f t="array" ref="AR148">_xlfn.IFS(AND($K148&gt;AQ$7,$L148&gt;AQ$7),0,AND($K148&lt;=AQ$7,$L148&lt;=AQ$7),1,AND($K148&lt;=AQ$7,$L148&gt;AQ$7),((AQ$7-$K148)/($L148-$K148)))</f>
        <v>0</v>
      </c>
      <c r="AS148" s="201">
        <f t="array" ref="AS148">_xlfn.IFS(AND($K148&gt;AR$7,$L148&gt;AR$7),0,AND($K148&lt;=AR$7,$L148&lt;=AR$7),1,AND($K148&lt;=AR$7,$L148&gt;AR$7),((AR$7-$K148)/($L148-$K148)))</f>
        <v>0</v>
      </c>
      <c r="AT148" s="201">
        <f t="array" ref="AT148">_xlfn.IFS(AND($K148&gt;AS$7,$L148&gt;AS$7),0,AND($K148&lt;=AS$7,$L148&lt;=AS$7),1,AND($K148&lt;=AS$7,$L148&gt;AS$7),((AS$7-$K148)/($L148-$K148)))</f>
        <v>0</v>
      </c>
      <c r="AU148" s="201">
        <f t="array" ref="AU148">_xlfn.IFS(AND($K148&gt;AT$7,$L148&gt;AT$7),0,AND($K148&lt;=AT$7,$L148&lt;=AT$7),1,AND($K148&lt;=AT$7,$L148&gt;AT$7),((AT$7-$K148)/($L148-$K148)))</f>
        <v>0</v>
      </c>
      <c r="AV148" s="201">
        <f t="array" ref="AV148">_xlfn.IFS(AND($K148&gt;AU$7,$L148&gt;AU$7),0,AND($K148&lt;=AU$7,$L148&lt;=AU$7),1,AND($K148&lt;=AU$7,$L148&gt;AU$7),((AU$7-$K148)/($L148-$K148)))</f>
        <v>0</v>
      </c>
      <c r="AW148" s="201">
        <f t="array" ref="AW148">_xlfn.IFS(AND($K148&gt;AV$7,$L148&gt;AV$7),0,AND($K148&lt;=AV$7,$L148&lt;=AV$7),1,AND($K148&lt;=AV$7,$L148&gt;AV$7),((AV$7-$K148)/($L148-$K148)))</f>
        <v>0</v>
      </c>
      <c r="AX148" s="201">
        <f t="array" ref="AX148">_xlfn.IFS(AND($K148&gt;AW$7,$L148&gt;AW$7),0,AND($K148&lt;=AW$7,$L148&lt;=AW$7),1,AND($K148&lt;=AW$7,$L148&gt;AW$7),((AW$7-$K148)/($L148-$K148)))</f>
        <v>0</v>
      </c>
      <c r="AY148" s="201">
        <f t="array" ref="AY148">_xlfn.IFS(AND($K148&gt;AX$7,$L148&gt;AX$7),0,AND($K148&lt;=AX$7,$L148&lt;=AX$7),1,AND($K148&lt;=AX$7,$L148&gt;AX$7),((AX$7-$K148)/($L148-$K148)))</f>
        <v>0</v>
      </c>
      <c r="AZ148" s="201">
        <f t="array" ref="AZ148">_xlfn.IFS(AND($K148&gt;AY$7,$L148&gt;AY$7),0,AND($K148&lt;=AY$7,$L148&lt;=AY$7),1,AND($K148&lt;=AY$7,$L148&gt;AY$7),((AY$7-$K148)/($L148-$K148)))</f>
        <v>0</v>
      </c>
      <c r="BA148" s="201">
        <f t="array" ref="BA148">_xlfn.IFS(AND($K148&gt;AZ$7,$L148&gt;AZ$7),0,AND($K148&lt;=AZ$7,$L148&lt;=AZ$7),1,AND($K148&lt;=AZ$7,$L148&gt;AZ$7),((AZ$7-$K148)/($L148-$K148)))</f>
        <v>0</v>
      </c>
      <c r="BB148" s="201">
        <f t="array" ref="BB148">_xlfn.IFS(AND($K148&gt;BA$7,$L148&gt;BA$7),0,AND($K148&lt;=BA$7,$L148&lt;=BA$7),1,AND($K148&lt;=BA$7,$L148&gt;BA$7),((BA$7-$K148)/($L148-$K148)))</f>
        <v>0</v>
      </c>
      <c r="BC148" s="201">
        <f t="array" ref="BC148">_xlfn.IFS(AND($K148&gt;BB$7,$L148&gt;BB$7),0,AND($K148&lt;=BB$7,$L148&lt;=BB$7),1,AND($K148&lt;=BB$7,$L148&gt;BB$7),((BB$7-$K148)/($L148-$K148)))</f>
        <v>0</v>
      </c>
      <c r="BD148" s="201">
        <f t="array" ref="BD148">_xlfn.IFS(AND($K148&gt;BC$7,$L148&gt;BC$7),0,AND($K148&lt;=BC$7,$L148&lt;=BC$7),1,AND($K148&lt;=BC$7,$L148&gt;BC$7),((BC$7-$K148)/($L148-$K148)))</f>
        <v>0</v>
      </c>
      <c r="BE148" s="201">
        <f t="array" ref="BE148">_xlfn.IFS(AND($K148&gt;BD$7,$L148&gt;BD$7),0,AND($K148&lt;=BD$7,$L148&lt;=BD$7),1,AND($K148&lt;=BD$7,$L148&gt;BD$7),((BD$7-$K148)/($L148-$K148)))</f>
        <v>0</v>
      </c>
      <c r="BF148" s="201">
        <f t="array" ref="BF148">_xlfn.IFS(AND($K148&gt;BE$7,$L148&gt;BE$7),0,AND($K148&lt;=BE$7,$L148&lt;=BE$7),1,AND($K148&lt;=BE$7,$L148&gt;BE$7),((BE$7-$K148)/($L148-$K148)))</f>
        <v>0</v>
      </c>
      <c r="BG148" s="201">
        <f t="array" ref="BG148">_xlfn.IFS(AND($K148&gt;BF$7,$L148&gt;BF$7),0,AND($K148&lt;=BF$7,$L148&lt;=BF$7),1,AND($K148&lt;=BF$7,$L148&gt;BF$7),((BF$7-$K148)/($L148-$K148)))</f>
        <v>0.25925925925925924</v>
      </c>
      <c r="BH148" s="201">
        <f t="array" ref="BH148">_xlfn.IFS(AND($K148&gt;BG$7,$L148&gt;BG$7),0,AND($K148&lt;=BG$7,$L148&lt;=BG$7),1,AND($K148&lt;=BG$7,$L148&gt;BG$7),((BG$7-$K148)/($L148-$K148)))</f>
        <v>0.51851851851851849</v>
      </c>
      <c r="BI148" s="201">
        <f t="array" ref="BI148">_xlfn.IFS(AND($K148&gt;BH$7,$L148&gt;BH$7),0,AND($K148&lt;=BH$7,$L148&lt;=BH$7),1,AND($K148&lt;=BH$7,$L148&gt;BH$7),((BH$7-$K148)/($L148-$K148)))</f>
        <v>0.77777777777777779</v>
      </c>
      <c r="BJ148" s="201">
        <f t="array" ref="BJ148">_xlfn.IFS(AND($K148&gt;BI$7,$L148&gt;BI$7),0,AND($K148&lt;=BI$7,$L148&lt;=BI$7),1,AND($K148&lt;=BI$7,$L148&gt;BI$7),((BI$7-$K148)/($L148-$K148)))</f>
        <v>1</v>
      </c>
      <c r="BK148" s="201">
        <f t="array" ref="BK148">_xlfn.IFS(AND($K148&gt;BJ$7,$L148&gt;BJ$7),0,AND($K148&lt;=BJ$7,$L148&lt;=BJ$7),1,AND($K148&lt;=BJ$7,$L148&gt;BJ$7),((BJ$7-$K148)/($L148-$K148)))</f>
        <v>1</v>
      </c>
      <c r="BL148" s="201">
        <f t="array" ref="BL148">_xlfn.IFS(AND($K148&gt;BK$7,$L148&gt;BK$7),0,AND($K148&lt;=BK$7,$L148&lt;=BK$7),1,AND($K148&lt;=BK$7,$L148&gt;BK$7),((BK$7-$K148)/($L148-$K148)))</f>
        <v>1</v>
      </c>
      <c r="BM148" s="201">
        <f t="array" ref="BM148">_xlfn.IFS(AND($K148&gt;BL$7,$L148&gt;BL$7),0,AND($K148&lt;=BL$7,$L148&lt;=BL$7),1,AND($K148&lt;=BL$7,$L148&gt;BL$7),((BL$7-$K148)/($L148-$K148)))</f>
        <v>1</v>
      </c>
      <c r="BN148" s="201">
        <f t="array" ref="BN148">_xlfn.IFS(AND($K148&gt;BM$7,$L148&gt;BM$7),0,AND($K148&lt;=BM$7,$L148&lt;=BM$7),1,AND($K148&lt;=BM$7,$L148&gt;BM$7),((BM$7-$K148)/($L148-$K148)))</f>
        <v>1</v>
      </c>
    </row>
    <row r="149" spans="2:66" x14ac:dyDescent="0.3">
      <c r="B149" s="166" t="str">
        <f t="array" ref="B149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49" s="166" t="s">
        <v>342</v>
      </c>
      <c r="D149" s="177" t="str">
        <f t="shared" si="51"/>
        <v>Arquitetura de projetos GERDAU</v>
      </c>
      <c r="E149" s="170" t="str">
        <f t="shared" si="54"/>
        <v>Dimensionamento de Headcount</v>
      </c>
      <c r="F149" s="174" t="str">
        <f>$H$145</f>
        <v>Revisão e Consolidação das Produtividades</v>
      </c>
      <c r="G149" s="166" t="str">
        <f>$H$146</f>
        <v>Revisão e Consolidação das Produtividades</v>
      </c>
      <c r="H149" s="197" t="s">
        <v>343</v>
      </c>
      <c r="I149" s="166">
        <v>45985</v>
      </c>
      <c r="J149" s="166">
        <v>45989</v>
      </c>
      <c r="K149" s="166">
        <v>45985</v>
      </c>
      <c r="L149" s="166">
        <v>45989</v>
      </c>
      <c r="M149" s="167"/>
      <c r="N149" s="167" t="str">
        <f t="array" ref="N149">_xlfn.IFS(L149&lt;$M$3,"Concluído",AND(K149&gt;=$M$3,I149&lt;$M$3,L149&gt;$M$3),"Em andamento",AND(L149&gt;=$M$3,J149&lt;$M$3),"Atrasado",AND(L149&gt;=$M$3,J149&gt;=$M$3,I149&gt;$M$3,K149&lt;=$M$3),"Em andamento",AND(L149&gt;=$M$3,J149&gt;=$M$3,I149&lt;=$M$3,K149&lt;=$M$3),"Em andamento",AND(K149&gt;$M$3,I149&gt;$M$3),"Não iniciado",AND(L149&gt;=$M$3,J149&gt;=$M$3,K149&gt;=$M$3,I149&lt;$M$3),"Atrasado",AND(L149&gt;=$M$3,J149&gt;=$M$3,K149&gt;=$M$3,I149&gt;$M$3),"Não iniciado",AND($I149&lt;=$M$3,$K149&gt;$M$3),"Atrasado")</f>
        <v>Não iniciado</v>
      </c>
      <c r="O149" s="167">
        <f t="array" ref="O149">_xlfn.IFS(N149="Não iniciado",0,N149="Em andamento",1,N149="Concluído",2,N149="Atrasado",3)</f>
        <v>0</v>
      </c>
      <c r="P149" s="168"/>
      <c r="Q149" s="152">
        <f t="array" ref="Q149">_xlfn.IFS(AND($I149&lt;$M$3,$J149&lt;$M$3),1,AND($I149&lt;$M$3,$J149&gt;=$M$3),0.5,AND($I149&gt;=$M$3,$J149&gt;=$M$3),0)</f>
        <v>0</v>
      </c>
      <c r="R149" s="152">
        <f t="array" ref="R149">_xlfn.IFS(AND($K149&lt;$M$3,$L149&lt;$M$3),1,AND($K149&lt;=$M$3,$L149&gt;=$M$3),0.5,AND($K149&gt;=$M$3,$L149&gt;=$M$3),0)</f>
        <v>0</v>
      </c>
      <c r="S149" s="201">
        <f t="array" ref="S149">_xlfn.IFS(AND($K149&gt;R$7,$L149&gt;R$7),0,AND($K149&lt;=R$7,$L149&lt;=R$7),1,AND($K149&lt;=R$7,$L149&gt;R$7),((R$7-$K149)/($L149-$K149)))</f>
        <v>0</v>
      </c>
      <c r="T149" s="201">
        <f t="array" ref="T149">_xlfn.IFS(AND($K149&gt;S$7,$L149&gt;S$7),0,AND($K149&lt;=S$7,$L149&lt;=S$7),1,AND($K149&lt;=S$7,$L149&gt;S$7),((S$7-$K149)/($L149-$K149)))</f>
        <v>0</v>
      </c>
      <c r="U149" s="201">
        <f t="array" ref="U149">_xlfn.IFS(AND($K149&gt;T$7,$L149&gt;T$7),0,AND($K149&lt;=T$7,$L149&lt;=T$7),1,AND($K149&lt;=T$7,$L149&gt;T$7),((T$7-$K149)/($L149-$K149)))</f>
        <v>0</v>
      </c>
      <c r="V149" s="201">
        <f t="array" ref="V149">_xlfn.IFS(AND($K149&gt;U$7,$L149&gt;U$7),0,AND($K149&lt;=U$7,$L149&lt;=U$7),1,AND($K149&lt;=U$7,$L149&gt;U$7),((U$7-$K149)/($L149-$K149)))</f>
        <v>0</v>
      </c>
      <c r="W149" s="201">
        <f t="array" ref="W149">_xlfn.IFS(AND($K149&gt;V$7,$L149&gt;V$7),0,AND($K149&lt;=V$7,$L149&lt;=V$7),1,AND($K149&lt;=V$7,$L149&gt;V$7),((V$7-$K149)/($L149-$K149)))</f>
        <v>0</v>
      </c>
      <c r="X149" s="201">
        <f t="array" ref="X149">_xlfn.IFS(AND($K149&gt;W$7,$L149&gt;W$7),0,AND($K149&lt;=W$7,$L149&lt;=W$7),1,AND($K149&lt;=W$7,$L149&gt;W$7),((W$7-$K149)/($L149-$K149)))</f>
        <v>0</v>
      </c>
      <c r="Y149" s="201">
        <f t="array" ref="Y149">_xlfn.IFS(AND($K149&gt;X$7,$L149&gt;X$7),0,AND($K149&lt;=X$7,$L149&lt;=X$7),1,AND($K149&lt;=X$7,$L149&gt;X$7),((X$7-$K149)/($L149-$K149)))</f>
        <v>0</v>
      </c>
      <c r="Z149" s="201">
        <f t="array" ref="Z149">_xlfn.IFS(AND($K149&gt;Y$7,$L149&gt;Y$7),0,AND($K149&lt;=Y$7,$L149&lt;=Y$7),1,AND($K149&lt;=Y$7,$L149&gt;Y$7),((Y$7-$K149)/($L149-$K149)))</f>
        <v>0</v>
      </c>
      <c r="AA149" s="201">
        <f t="array" ref="AA149">_xlfn.IFS(AND($K149&gt;Z$7,$L149&gt;Z$7),0,AND($K149&lt;=Z$7,$L149&lt;=Z$7),1,AND($K149&lt;=Z$7,$L149&gt;Z$7),((Z$7-$K149)/($L149-$K149)))</f>
        <v>0</v>
      </c>
      <c r="AB149" s="201">
        <f t="array" ref="AB149">_xlfn.IFS(AND($K149&gt;AA$7,$L149&gt;AA$7),0,AND($K149&lt;=AA$7,$L149&lt;=AA$7),1,AND($K149&lt;=AA$7,$L149&gt;AA$7),((AA$7-$K149)/($L149-$K149)))</f>
        <v>0</v>
      </c>
      <c r="AC149" s="201">
        <f t="array" ref="AC149">_xlfn.IFS(AND($K149&gt;AB$7,$L149&gt;AB$7),0,AND($K149&lt;=AB$7,$L149&lt;=AB$7),1,AND($K149&lt;=AB$7,$L149&gt;AB$7),((AB$7-$K149)/($L149-$K149)))</f>
        <v>0</v>
      </c>
      <c r="AD149" s="201">
        <f t="array" ref="AD149">_xlfn.IFS(AND($K149&gt;AC$7,$L149&gt;AC$7),0,AND($K149&lt;=AC$7,$L149&lt;=AC$7),1,AND($K149&lt;=AC$7,$L149&gt;AC$7),((AC$7-$K149)/($L149-$K149)))</f>
        <v>0</v>
      </c>
      <c r="AE149" s="201">
        <f t="array" ref="AE149">_xlfn.IFS(AND($K149&gt;AD$7,$L149&gt;AD$7),0,AND($K149&lt;=AD$7,$L149&lt;=AD$7),1,AND($K149&lt;=AD$7,$L149&gt;AD$7),((AD$7-$K149)/($L149-$K149)))</f>
        <v>0</v>
      </c>
      <c r="AF149" s="201">
        <f t="array" ref="AF149">_xlfn.IFS(AND($K149&gt;AE$7,$L149&gt;AE$7),0,AND($K149&lt;=AE$7,$L149&lt;=AE$7),1,AND($K149&lt;=AE$7,$L149&gt;AE$7),((AE$7-$K149)/($L149-$K149)))</f>
        <v>0</v>
      </c>
      <c r="AG149" s="201">
        <f t="array" ref="AG149">_xlfn.IFS(AND($K149&gt;AF$7,$L149&gt;AF$7),0,AND($K149&lt;=AF$7,$L149&lt;=AF$7),1,AND($K149&lt;=AF$7,$L149&gt;AF$7),((AF$7-$K149)/($L149-$K149)))</f>
        <v>0</v>
      </c>
      <c r="AH149" s="201">
        <f t="array" ref="AH149">_xlfn.IFS(AND($K149&gt;AG$7,$L149&gt;AG$7),0,AND($K149&lt;=AG$7,$L149&lt;=AG$7),1,AND($K149&lt;=AG$7,$L149&gt;AG$7),((AG$7-$K149)/($L149-$K149)))</f>
        <v>0</v>
      </c>
      <c r="AI149" s="201">
        <f t="array" ref="AI149">_xlfn.IFS(AND($K149&gt;AH$7,$L149&gt;AH$7),0,AND($K149&lt;=AH$7,$L149&lt;=AH$7),1,AND($K149&lt;=AH$7,$L149&gt;AH$7),((AH$7-$K149)/($L149-$K149)))</f>
        <v>0</v>
      </c>
      <c r="AJ149" s="201">
        <f t="array" ref="AJ149">_xlfn.IFS(AND($K149&gt;AI$7,$L149&gt;AI$7),0,AND($K149&lt;=AI$7,$L149&lt;=AI$7),1,AND($K149&lt;=AI$7,$L149&gt;AI$7),((AI$7-$K149)/($L149-$K149)))</f>
        <v>0</v>
      </c>
      <c r="AK149" s="201">
        <f t="array" ref="AK149">_xlfn.IFS(AND($K149&gt;AJ$7,$L149&gt;AJ$7),0,AND($K149&lt;=AJ$7,$L149&lt;=AJ$7),1,AND($K149&lt;=AJ$7,$L149&gt;AJ$7),((AJ$7-$K149)/($L149-$K149)))</f>
        <v>0</v>
      </c>
      <c r="AL149" s="201">
        <f t="array" ref="AL149">_xlfn.IFS(AND($K149&gt;AK$7,$L149&gt;AK$7),0,AND($K149&lt;=AK$7,$L149&lt;=AK$7),1,AND($K149&lt;=AK$7,$L149&gt;AK$7),((AK$7-$K149)/($L149-$K149)))</f>
        <v>0</v>
      </c>
      <c r="AM149" s="201">
        <f t="array" ref="AM149">_xlfn.IFS(AND($K149&gt;AL$7,$L149&gt;AL$7),0,AND($K149&lt;=AL$7,$L149&lt;=AL$7),1,AND($K149&lt;=AL$7,$L149&gt;AL$7),((AL$7-$K149)/($L149-$K149)))</f>
        <v>0</v>
      </c>
      <c r="AN149" s="201">
        <f t="array" ref="AN149">_xlfn.IFS(AND($K149&gt;AM$7,$L149&gt;AM$7),0,AND($K149&lt;=AM$7,$L149&lt;=AM$7),1,AND($K149&lt;=AM$7,$L149&gt;AM$7),((AM$7-$K149)/($L149-$K149)))</f>
        <v>0</v>
      </c>
      <c r="AO149" s="201">
        <f t="array" ref="AO149">_xlfn.IFS(AND($K149&gt;AN$7,$L149&gt;AN$7),0,AND($K149&lt;=AN$7,$L149&lt;=AN$7),1,AND($K149&lt;=AN$7,$L149&gt;AN$7),((AN$7-$K149)/($L149-$K149)))</f>
        <v>0</v>
      </c>
      <c r="AP149" s="201">
        <f t="array" ref="AP149">_xlfn.IFS(AND($K149&gt;AO$7,$L149&gt;AO$7),0,AND($K149&lt;=AO$7,$L149&lt;=AO$7),1,AND($K149&lt;=AO$7,$L149&gt;AO$7),((AO$7-$K149)/($L149-$K149)))</f>
        <v>0</v>
      </c>
      <c r="AQ149" s="201">
        <f t="array" ref="AQ149">_xlfn.IFS(AND($K149&gt;AP$7,$L149&gt;AP$7),0,AND($K149&lt;=AP$7,$L149&lt;=AP$7),1,AND($K149&lt;=AP$7,$L149&gt;AP$7),((AP$7-$K149)/($L149-$K149)))</f>
        <v>0</v>
      </c>
      <c r="AR149" s="201">
        <f t="array" ref="AR149">_xlfn.IFS(AND($K149&gt;AQ$7,$L149&gt;AQ$7),0,AND($K149&lt;=AQ$7,$L149&lt;=AQ$7),1,AND($K149&lt;=AQ$7,$L149&gt;AQ$7),((AQ$7-$K149)/($L149-$K149)))</f>
        <v>0</v>
      </c>
      <c r="AS149" s="201">
        <f t="array" ref="AS149">_xlfn.IFS(AND($K149&gt;AR$7,$L149&gt;AR$7),0,AND($K149&lt;=AR$7,$L149&lt;=AR$7),1,AND($K149&lt;=AR$7,$L149&gt;AR$7),((AR$7-$K149)/($L149-$K149)))</f>
        <v>0</v>
      </c>
      <c r="AT149" s="201">
        <f t="array" ref="AT149">_xlfn.IFS(AND($K149&gt;AS$7,$L149&gt;AS$7),0,AND($K149&lt;=AS$7,$L149&lt;=AS$7),1,AND($K149&lt;=AS$7,$L149&gt;AS$7),((AS$7-$K149)/($L149-$K149)))</f>
        <v>0</v>
      </c>
      <c r="AU149" s="201">
        <f t="array" ref="AU149">_xlfn.IFS(AND($K149&gt;AT$7,$L149&gt;AT$7),0,AND($K149&lt;=AT$7,$L149&lt;=AT$7),1,AND($K149&lt;=AT$7,$L149&gt;AT$7),((AT$7-$K149)/($L149-$K149)))</f>
        <v>0</v>
      </c>
      <c r="AV149" s="201">
        <f t="array" ref="AV149">_xlfn.IFS(AND($K149&gt;AU$7,$L149&gt;AU$7),0,AND($K149&lt;=AU$7,$L149&lt;=AU$7),1,AND($K149&lt;=AU$7,$L149&gt;AU$7),((AU$7-$K149)/($L149-$K149)))</f>
        <v>0</v>
      </c>
      <c r="AW149" s="201">
        <f t="array" ref="AW149">_xlfn.IFS(AND($K149&gt;AV$7,$L149&gt;AV$7),0,AND($K149&lt;=AV$7,$L149&lt;=AV$7),1,AND($K149&lt;=AV$7,$L149&gt;AV$7),((AV$7-$K149)/($L149-$K149)))</f>
        <v>0</v>
      </c>
      <c r="AX149" s="201">
        <f t="array" ref="AX149">_xlfn.IFS(AND($K149&gt;AW$7,$L149&gt;AW$7),0,AND($K149&lt;=AW$7,$L149&lt;=AW$7),1,AND($K149&lt;=AW$7,$L149&gt;AW$7),((AW$7-$K149)/($L149-$K149)))</f>
        <v>0</v>
      </c>
      <c r="AY149" s="201">
        <f t="array" ref="AY149">_xlfn.IFS(AND($K149&gt;AX$7,$L149&gt;AX$7),0,AND($K149&lt;=AX$7,$L149&lt;=AX$7),1,AND($K149&lt;=AX$7,$L149&gt;AX$7),((AX$7-$K149)/($L149-$K149)))</f>
        <v>0</v>
      </c>
      <c r="AZ149" s="201">
        <f t="array" ref="AZ149">_xlfn.IFS(AND($K149&gt;AY$7,$L149&gt;AY$7),0,AND($K149&lt;=AY$7,$L149&lt;=AY$7),1,AND($K149&lt;=AY$7,$L149&gt;AY$7),((AY$7-$K149)/($L149-$K149)))</f>
        <v>0</v>
      </c>
      <c r="BA149" s="201">
        <f t="array" ref="BA149">_xlfn.IFS(AND($K149&gt;AZ$7,$L149&gt;AZ$7),0,AND($K149&lt;=AZ$7,$L149&lt;=AZ$7),1,AND($K149&lt;=AZ$7,$L149&gt;AZ$7),((AZ$7-$K149)/($L149-$K149)))</f>
        <v>0</v>
      </c>
      <c r="BB149" s="201">
        <f t="array" ref="BB149">_xlfn.IFS(AND($K149&gt;BA$7,$L149&gt;BA$7),0,AND($K149&lt;=BA$7,$L149&lt;=BA$7),1,AND($K149&lt;=BA$7,$L149&gt;BA$7),((BA$7-$K149)/($L149-$K149)))</f>
        <v>0</v>
      </c>
      <c r="BC149" s="201">
        <f t="array" ref="BC149">_xlfn.IFS(AND($K149&gt;BB$7,$L149&gt;BB$7),0,AND($K149&lt;=BB$7,$L149&lt;=BB$7),1,AND($K149&lt;=BB$7,$L149&gt;BB$7),((BB$7-$K149)/($L149-$K149)))</f>
        <v>0</v>
      </c>
      <c r="BD149" s="201">
        <f t="array" ref="BD149">_xlfn.IFS(AND($K149&gt;BC$7,$L149&gt;BC$7),0,AND($K149&lt;=BC$7,$L149&lt;=BC$7),1,AND($K149&lt;=BC$7,$L149&gt;BC$7),((BC$7-$K149)/($L149-$K149)))</f>
        <v>0</v>
      </c>
      <c r="BE149" s="201">
        <f t="array" ref="BE149">_xlfn.IFS(AND($K149&gt;BD$7,$L149&gt;BD$7),0,AND($K149&lt;=BD$7,$L149&lt;=BD$7),1,AND($K149&lt;=BD$7,$L149&gt;BD$7),((BD$7-$K149)/($L149-$K149)))</f>
        <v>0</v>
      </c>
      <c r="BF149" s="201">
        <f t="array" ref="BF149">_xlfn.IFS(AND($K149&gt;BE$7,$L149&gt;BE$7),0,AND($K149&lt;=BE$7,$L149&lt;=BE$7),1,AND($K149&lt;=BE$7,$L149&gt;BE$7),((BE$7-$K149)/($L149-$K149)))</f>
        <v>0</v>
      </c>
      <c r="BG149" s="201">
        <f t="array" ref="BG149">_xlfn.IFS(AND($K149&gt;BF$7,$L149&gt;BF$7),0,AND($K149&lt;=BF$7,$L149&lt;=BF$7),1,AND($K149&lt;=BF$7,$L149&gt;BF$7),((BF$7-$K149)/($L149-$K149)))</f>
        <v>0</v>
      </c>
      <c r="BH149" s="201">
        <f t="array" ref="BH149">_xlfn.IFS(AND($K149&gt;BG$7,$L149&gt;BG$7),0,AND($K149&lt;=BG$7,$L149&lt;=BG$7),1,AND($K149&lt;=BG$7,$L149&gt;BG$7),((BG$7-$K149)/($L149-$K149)))</f>
        <v>0</v>
      </c>
      <c r="BI149" s="201">
        <f t="array" ref="BI149">_xlfn.IFS(AND($K149&gt;BH$7,$L149&gt;BH$7),0,AND($K149&lt;=BH$7,$L149&lt;=BH$7),1,AND($K149&lt;=BH$7,$L149&gt;BH$7),((BH$7-$K149)/($L149-$K149)))</f>
        <v>0</v>
      </c>
      <c r="BJ149" s="201">
        <f t="array" ref="BJ149">_xlfn.IFS(AND($K149&gt;BI$7,$L149&gt;BI$7),0,AND($K149&lt;=BI$7,$L149&lt;=BI$7),1,AND($K149&lt;=BI$7,$L149&gt;BI$7),((BI$7-$K149)/($L149-$K149)))</f>
        <v>1</v>
      </c>
      <c r="BK149" s="201">
        <f t="array" ref="BK149">_xlfn.IFS(AND($K149&gt;BJ$7,$L149&gt;BJ$7),0,AND($K149&lt;=BJ$7,$L149&lt;=BJ$7),1,AND($K149&lt;=BJ$7,$L149&gt;BJ$7),((BJ$7-$K149)/($L149-$K149)))</f>
        <v>1</v>
      </c>
      <c r="BL149" s="201">
        <f t="array" ref="BL149">_xlfn.IFS(AND($K149&gt;BK$7,$L149&gt;BK$7),0,AND($K149&lt;=BK$7,$L149&lt;=BK$7),1,AND($K149&lt;=BK$7,$L149&gt;BK$7),((BK$7-$K149)/($L149-$K149)))</f>
        <v>1</v>
      </c>
      <c r="BM149" s="201">
        <f t="array" ref="BM149">_xlfn.IFS(AND($K149&gt;BL$7,$L149&gt;BL$7),0,AND($K149&lt;=BL$7,$L149&lt;=BL$7),1,AND($K149&lt;=BL$7,$L149&gt;BL$7),((BL$7-$K149)/($L149-$K149)))</f>
        <v>1</v>
      </c>
      <c r="BN149" s="201">
        <f t="array" ref="BN149">_xlfn.IFS(AND($K149&gt;BM$7,$L149&gt;BM$7),0,AND($K149&lt;=BM$7,$L149&lt;=BM$7),1,AND($K149&lt;=BM$7,$L149&gt;BM$7),((BM$7-$K149)/($L149-$K149)))</f>
        <v>1</v>
      </c>
    </row>
    <row r="150" spans="2:66" ht="15" customHeight="1" x14ac:dyDescent="0.3">
      <c r="B150" s="170" t="str">
        <f t="array" ref="B150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3</v>
      </c>
      <c r="C150" s="170" t="s">
        <v>344</v>
      </c>
      <c r="D150" s="177" t="str">
        <f t="shared" si="51"/>
        <v>Arquitetura de projetos GERDAU</v>
      </c>
      <c r="E150" s="170" t="str">
        <f t="shared" si="54"/>
        <v>Dimensionamento de Headcount</v>
      </c>
      <c r="F150" s="170" t="s">
        <v>74</v>
      </c>
      <c r="G150" s="170" t="s">
        <v>74</v>
      </c>
      <c r="H150" s="194" t="s">
        <v>345</v>
      </c>
      <c r="I150" s="170">
        <f>MIN(I151:I152)</f>
        <v>45992</v>
      </c>
      <c r="J150" s="170">
        <f>MAX(J151:J152)</f>
        <v>46003</v>
      </c>
      <c r="K150" s="170">
        <f>MIN(K151:K152)</f>
        <v>45992</v>
      </c>
      <c r="L150" s="170">
        <f>MAX(L151:L152)</f>
        <v>46003</v>
      </c>
      <c r="M150" s="171"/>
      <c r="N150" s="171" t="str">
        <f t="array" ref="N150">_xlfn.IFS(L150&lt;$M$3,"Concluído",AND(K150&gt;=$M$3,I150&lt;$M$3,L150&gt;$M$3),"Em andamento",AND(L150&gt;=$M$3,J150&lt;$M$3),"Atrasado",AND(L150&gt;=$M$3,J150&gt;=$M$3,I150&gt;$M$3,K150&lt;=$M$3),"Em andamento",AND(L150&gt;=$M$3,J150&gt;=$M$3,I150&lt;=$M$3,K150&lt;=$M$3),"Em andamento",AND(K150&gt;$M$3,I150&gt;$M$3),"Não iniciado",AND(L150&gt;=$M$3,J150&gt;=$M$3,K150&gt;=$M$3,I150&lt;$M$3),"Atrasado",AND(L150&gt;=$M$3,J150&gt;=$M$3,K150&gt;=$M$3,I150&gt;$M$3),"Não iniciado",AND($I150&lt;=$M$3,$K150&gt;$M$3),"Atrasado")</f>
        <v>Não iniciado</v>
      </c>
      <c r="O150" s="171">
        <f t="array" ref="O150">_xlfn.IFS(N150="Não iniciado",0,N150="Em andamento",1,N150="Concluído",2,N150="Atrasado",3)</f>
        <v>0</v>
      </c>
      <c r="P150" s="172"/>
      <c r="Q150" s="173">
        <f>Q151</f>
        <v>0</v>
      </c>
      <c r="R150" s="173">
        <f>R151</f>
        <v>0</v>
      </c>
      <c r="S150" s="204">
        <f t="shared" ref="S150:BN150" si="63">AVERAGE(S151)</f>
        <v>0</v>
      </c>
      <c r="T150" s="204">
        <f t="shared" si="63"/>
        <v>0</v>
      </c>
      <c r="U150" s="204">
        <f t="shared" si="63"/>
        <v>0</v>
      </c>
      <c r="V150" s="204">
        <f t="shared" si="63"/>
        <v>0</v>
      </c>
      <c r="W150" s="204">
        <f t="shared" si="63"/>
        <v>0</v>
      </c>
      <c r="X150" s="204">
        <f t="shared" si="63"/>
        <v>0</v>
      </c>
      <c r="Y150" s="204">
        <f t="shared" si="63"/>
        <v>0</v>
      </c>
      <c r="Z150" s="204">
        <f t="shared" si="63"/>
        <v>0</v>
      </c>
      <c r="AA150" s="204">
        <f t="shared" si="63"/>
        <v>0</v>
      </c>
      <c r="AB150" s="204">
        <f t="shared" si="63"/>
        <v>0</v>
      </c>
      <c r="AC150" s="204">
        <f t="shared" si="63"/>
        <v>0</v>
      </c>
      <c r="AD150" s="204">
        <f t="shared" si="63"/>
        <v>0</v>
      </c>
      <c r="AE150" s="204">
        <f t="shared" si="63"/>
        <v>0</v>
      </c>
      <c r="AF150" s="204">
        <f t="shared" si="63"/>
        <v>0</v>
      </c>
      <c r="AG150" s="204">
        <f t="shared" si="63"/>
        <v>0</v>
      </c>
      <c r="AH150" s="204">
        <f t="shared" si="63"/>
        <v>0</v>
      </c>
      <c r="AI150" s="204">
        <f t="shared" si="63"/>
        <v>0</v>
      </c>
      <c r="AJ150" s="204">
        <f t="shared" si="63"/>
        <v>0</v>
      </c>
      <c r="AK150" s="204">
        <f t="shared" si="63"/>
        <v>0</v>
      </c>
      <c r="AL150" s="204">
        <f t="shared" si="63"/>
        <v>0</v>
      </c>
      <c r="AM150" s="204">
        <f t="shared" si="63"/>
        <v>0</v>
      </c>
      <c r="AN150" s="204">
        <f t="shared" si="63"/>
        <v>0</v>
      </c>
      <c r="AO150" s="204">
        <f t="shared" si="63"/>
        <v>0</v>
      </c>
      <c r="AP150" s="204">
        <f t="shared" si="63"/>
        <v>0</v>
      </c>
      <c r="AQ150" s="204">
        <f t="shared" si="63"/>
        <v>0</v>
      </c>
      <c r="AR150" s="204">
        <f t="shared" si="63"/>
        <v>0</v>
      </c>
      <c r="AS150" s="204">
        <f t="shared" si="63"/>
        <v>0</v>
      </c>
      <c r="AT150" s="204">
        <f t="shared" si="63"/>
        <v>0</v>
      </c>
      <c r="AU150" s="204">
        <f t="shared" si="63"/>
        <v>0</v>
      </c>
      <c r="AV150" s="204">
        <f t="shared" si="63"/>
        <v>0</v>
      </c>
      <c r="AW150" s="204">
        <f t="shared" si="63"/>
        <v>0</v>
      </c>
      <c r="AX150" s="204">
        <f t="shared" si="63"/>
        <v>0</v>
      </c>
      <c r="AY150" s="204">
        <f t="shared" si="63"/>
        <v>0</v>
      </c>
      <c r="AZ150" s="204">
        <f t="shared" si="63"/>
        <v>0</v>
      </c>
      <c r="BA150" s="204">
        <f t="shared" si="63"/>
        <v>0</v>
      </c>
      <c r="BB150" s="204">
        <f t="shared" si="63"/>
        <v>0</v>
      </c>
      <c r="BC150" s="204">
        <f t="shared" si="63"/>
        <v>0</v>
      </c>
      <c r="BD150" s="204">
        <f t="shared" si="63"/>
        <v>0</v>
      </c>
      <c r="BE150" s="204">
        <f t="shared" si="63"/>
        <v>0</v>
      </c>
      <c r="BF150" s="204">
        <f t="shared" si="63"/>
        <v>0</v>
      </c>
      <c r="BG150" s="204">
        <f t="shared" si="63"/>
        <v>0</v>
      </c>
      <c r="BH150" s="204">
        <f t="shared" si="63"/>
        <v>0</v>
      </c>
      <c r="BI150" s="204">
        <f t="shared" si="63"/>
        <v>0</v>
      </c>
      <c r="BJ150" s="204">
        <f t="shared" si="63"/>
        <v>0</v>
      </c>
      <c r="BK150" s="204">
        <f t="shared" si="63"/>
        <v>0.45454545454545453</v>
      </c>
      <c r="BL150" s="204">
        <f t="shared" si="63"/>
        <v>1</v>
      </c>
      <c r="BM150" s="204">
        <f t="shared" si="63"/>
        <v>1</v>
      </c>
      <c r="BN150" s="204">
        <f t="shared" si="63"/>
        <v>1</v>
      </c>
    </row>
    <row r="151" spans="2:66" ht="15" customHeight="1" x14ac:dyDescent="0.3">
      <c r="B151" s="174" t="str">
        <f t="array" ref="B151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151" s="174" t="s">
        <v>346</v>
      </c>
      <c r="D151" s="177" t="str">
        <f t="shared" si="51"/>
        <v>Arquitetura de projetos GERDAU</v>
      </c>
      <c r="E151" s="170" t="str">
        <f t="shared" si="54"/>
        <v>Dimensionamento de Headcount</v>
      </c>
      <c r="F151" s="174" t="str">
        <f>$H$150</f>
        <v>Alocação Anual dos Recursos</v>
      </c>
      <c r="G151" s="174" t="s">
        <v>74</v>
      </c>
      <c r="H151" s="195" t="s">
        <v>345</v>
      </c>
      <c r="I151" s="174">
        <f>MIN(I152:I152)</f>
        <v>45992</v>
      </c>
      <c r="J151" s="174">
        <f>MAX(J152:J152)</f>
        <v>46003</v>
      </c>
      <c r="K151" s="174">
        <f>MIN(K152:K152)</f>
        <v>45992</v>
      </c>
      <c r="L151" s="174">
        <f>MAX(L152:L152)</f>
        <v>46003</v>
      </c>
      <c r="M151" s="175"/>
      <c r="N151" s="175" t="str">
        <f t="array" ref="N151">_xlfn.IFS(L151&lt;$M$3,"Concluído",AND(K151&gt;=$M$3,I151&lt;$M$3,L151&gt;$M$3),"Em andamento",AND(L151&gt;=$M$3,J151&lt;$M$3),"Atrasado",AND(L151&gt;=$M$3,J151&gt;=$M$3,I151&gt;$M$3,K151&lt;=$M$3),"Em andamento",AND(L151&gt;=$M$3,J151&gt;=$M$3,I151&lt;=$M$3,K151&lt;=$M$3),"Em andamento",AND(K151&gt;$M$3,I151&gt;$M$3),"Não iniciado",AND(L151&gt;=$M$3,J151&gt;=$M$3,K151&gt;=$M$3,I151&lt;$M$3),"Atrasado",AND(L151&gt;=$M$3,J151&gt;=$M$3,K151&gt;=$M$3,I151&gt;$M$3),"Não iniciado",AND($I151&lt;=$M$3,$K151&gt;$M$3),"Atrasado")</f>
        <v>Não iniciado</v>
      </c>
      <c r="O151" s="175">
        <f t="array" ref="O151">_xlfn.IFS(N151="Não iniciado",0,N151="Em andamento",1,N151="Concluído",2,N151="Atrasado",3)</f>
        <v>0</v>
      </c>
      <c r="P151" s="176"/>
      <c r="Q151" s="156">
        <f t="shared" ref="Q151:AV151" si="64">AVERAGE(Q152:Q152)</f>
        <v>0</v>
      </c>
      <c r="R151" s="156">
        <f t="shared" si="64"/>
        <v>0</v>
      </c>
      <c r="S151" s="205">
        <f t="shared" si="64"/>
        <v>0</v>
      </c>
      <c r="T151" s="205">
        <f t="shared" si="64"/>
        <v>0</v>
      </c>
      <c r="U151" s="205">
        <f t="shared" si="64"/>
        <v>0</v>
      </c>
      <c r="V151" s="205">
        <f t="shared" si="64"/>
        <v>0</v>
      </c>
      <c r="W151" s="205">
        <f t="shared" si="64"/>
        <v>0</v>
      </c>
      <c r="X151" s="205">
        <f t="shared" si="64"/>
        <v>0</v>
      </c>
      <c r="Y151" s="205">
        <f t="shared" si="64"/>
        <v>0</v>
      </c>
      <c r="Z151" s="205">
        <f t="shared" si="64"/>
        <v>0</v>
      </c>
      <c r="AA151" s="205">
        <f t="shared" si="64"/>
        <v>0</v>
      </c>
      <c r="AB151" s="205">
        <f t="shared" si="64"/>
        <v>0</v>
      </c>
      <c r="AC151" s="205">
        <f t="shared" si="64"/>
        <v>0</v>
      </c>
      <c r="AD151" s="205">
        <f t="shared" si="64"/>
        <v>0</v>
      </c>
      <c r="AE151" s="205">
        <f t="shared" si="64"/>
        <v>0</v>
      </c>
      <c r="AF151" s="205">
        <f t="shared" si="64"/>
        <v>0</v>
      </c>
      <c r="AG151" s="205">
        <f t="shared" si="64"/>
        <v>0</v>
      </c>
      <c r="AH151" s="205">
        <f t="shared" si="64"/>
        <v>0</v>
      </c>
      <c r="AI151" s="205">
        <f t="shared" si="64"/>
        <v>0</v>
      </c>
      <c r="AJ151" s="205">
        <f t="shared" si="64"/>
        <v>0</v>
      </c>
      <c r="AK151" s="205">
        <f t="shared" si="64"/>
        <v>0</v>
      </c>
      <c r="AL151" s="205">
        <f t="shared" si="64"/>
        <v>0</v>
      </c>
      <c r="AM151" s="205">
        <f t="shared" si="64"/>
        <v>0</v>
      </c>
      <c r="AN151" s="205">
        <f t="shared" si="64"/>
        <v>0</v>
      </c>
      <c r="AO151" s="205">
        <f t="shared" si="64"/>
        <v>0</v>
      </c>
      <c r="AP151" s="205">
        <f t="shared" si="64"/>
        <v>0</v>
      </c>
      <c r="AQ151" s="205">
        <f t="shared" si="64"/>
        <v>0</v>
      </c>
      <c r="AR151" s="205">
        <f t="shared" si="64"/>
        <v>0</v>
      </c>
      <c r="AS151" s="205">
        <f t="shared" si="64"/>
        <v>0</v>
      </c>
      <c r="AT151" s="205">
        <f t="shared" si="64"/>
        <v>0</v>
      </c>
      <c r="AU151" s="205">
        <f t="shared" si="64"/>
        <v>0</v>
      </c>
      <c r="AV151" s="205">
        <f t="shared" si="64"/>
        <v>0</v>
      </c>
      <c r="AW151" s="205">
        <f t="shared" ref="AW151:BN151" si="65">AVERAGE(AW152:AW152)</f>
        <v>0</v>
      </c>
      <c r="AX151" s="205">
        <f t="shared" si="65"/>
        <v>0</v>
      </c>
      <c r="AY151" s="205">
        <f t="shared" si="65"/>
        <v>0</v>
      </c>
      <c r="AZ151" s="205">
        <f t="shared" si="65"/>
        <v>0</v>
      </c>
      <c r="BA151" s="205">
        <f t="shared" si="65"/>
        <v>0</v>
      </c>
      <c r="BB151" s="205">
        <f t="shared" si="65"/>
        <v>0</v>
      </c>
      <c r="BC151" s="205">
        <f t="shared" si="65"/>
        <v>0</v>
      </c>
      <c r="BD151" s="205">
        <f t="shared" si="65"/>
        <v>0</v>
      </c>
      <c r="BE151" s="205">
        <f t="shared" si="65"/>
        <v>0</v>
      </c>
      <c r="BF151" s="205">
        <f t="shared" si="65"/>
        <v>0</v>
      </c>
      <c r="BG151" s="205">
        <f t="shared" si="65"/>
        <v>0</v>
      </c>
      <c r="BH151" s="205">
        <f t="shared" si="65"/>
        <v>0</v>
      </c>
      <c r="BI151" s="205">
        <f t="shared" si="65"/>
        <v>0</v>
      </c>
      <c r="BJ151" s="205">
        <f t="shared" si="65"/>
        <v>0</v>
      </c>
      <c r="BK151" s="205">
        <f t="shared" si="65"/>
        <v>0.45454545454545453</v>
      </c>
      <c r="BL151" s="205">
        <f t="shared" si="65"/>
        <v>1</v>
      </c>
      <c r="BM151" s="205">
        <f t="shared" si="65"/>
        <v>1</v>
      </c>
      <c r="BN151" s="205">
        <f t="shared" si="65"/>
        <v>1</v>
      </c>
    </row>
    <row r="152" spans="2:66" ht="23.55" customHeight="1" x14ac:dyDescent="0.3">
      <c r="B152" s="166" t="str">
        <f t="array" ref="B152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52" s="166" t="s">
        <v>347</v>
      </c>
      <c r="D152" s="177" t="str">
        <f t="shared" si="51"/>
        <v>Arquitetura de projetos GERDAU</v>
      </c>
      <c r="E152" s="170" t="str">
        <f t="shared" si="54"/>
        <v>Dimensionamento de Headcount</v>
      </c>
      <c r="F152" s="174" t="str">
        <f>$H$150</f>
        <v>Alocação Anual dos Recursos</v>
      </c>
      <c r="G152" s="166" t="str">
        <f>H151</f>
        <v>Alocação Anual dos Recursos</v>
      </c>
      <c r="H152" s="198" t="s">
        <v>348</v>
      </c>
      <c r="I152" s="166">
        <v>45992</v>
      </c>
      <c r="J152" s="166">
        <v>46003</v>
      </c>
      <c r="K152" s="166">
        <v>45992</v>
      </c>
      <c r="L152" s="166">
        <v>46003</v>
      </c>
      <c r="M152" s="167"/>
      <c r="N152" s="167" t="str">
        <f t="array" ref="N152">_xlfn.IFS(L152&lt;$M$3,"Concluído",AND(K152&gt;=$M$3,I152&lt;$M$3,L152&gt;$M$3),"Em andamento",AND(L152&gt;=$M$3,J152&lt;$M$3),"Atrasado",AND(L152&gt;=$M$3,J152&gt;=$M$3,I152&gt;$M$3,K152&lt;=$M$3),"Em andamento",AND(L152&gt;=$M$3,J152&gt;=$M$3,I152&lt;=$M$3,K152&lt;=$M$3),"Em andamento",AND(K152&gt;$M$3,I152&gt;$M$3),"Não iniciado",AND(L152&gt;=$M$3,J152&gt;=$M$3,K152&gt;=$M$3,I152&lt;$M$3),"Atrasado",AND(L152&gt;=$M$3,J152&gt;=$M$3,K152&gt;=$M$3,I152&gt;$M$3),"Não iniciado",AND($I152&lt;=$M$3,$K152&gt;$M$3),"Atrasado")</f>
        <v>Não iniciado</v>
      </c>
      <c r="O152" s="167">
        <f t="array" ref="O152">_xlfn.IFS(N152="Não iniciado",0,N152="Em andamento",1,N152="Concluído",2,N152="Atrasado",3)</f>
        <v>0</v>
      </c>
      <c r="P152" s="168"/>
      <c r="Q152" s="152">
        <f t="array" ref="Q152">_xlfn.IFS(AND($I152&lt;$M$3,$J152&lt;$M$3),1,AND($I152&lt;=$M$3,$J152&gt;=$M$3),0.5,AND($I152&gt;=$M$3,$J152&gt;=$M$3),0)</f>
        <v>0</v>
      </c>
      <c r="R152" s="152">
        <f t="array" ref="R152">_xlfn.IFS(AND($K152&lt;$M$3,$L152&lt;$M$3),1,AND($K152&lt;=$M$3,$L152&gt;=$M$3),0.5,AND($K152&gt;=$M$3,$L152&gt;=$M$3),0)</f>
        <v>0</v>
      </c>
      <c r="S152" s="201">
        <f t="array" ref="S152">_xlfn.IFS(AND($K152&gt;R$7,$L152&gt;R$7),0,AND($K152&lt;=R$7,$L152&lt;=R$7),1,AND($K152&lt;=R$7,$L152&gt;R$7),((R$7-$K152)/($L152-$K152)))</f>
        <v>0</v>
      </c>
      <c r="T152" s="201">
        <f t="array" ref="T152">_xlfn.IFS(AND($K152&gt;S$7,$L152&gt;S$7),0,AND($K152&lt;=S$7,$L152&lt;=S$7),1,AND($K152&lt;=S$7,$L152&gt;S$7),((S$7-$K152)/($L152-$K152)))</f>
        <v>0</v>
      </c>
      <c r="U152" s="201">
        <f t="array" ref="U152">_xlfn.IFS(AND($K152&gt;T$7,$L152&gt;T$7),0,AND($K152&lt;=T$7,$L152&lt;=T$7),1,AND($K152&lt;=T$7,$L152&gt;T$7),((T$7-$K152)/($L152-$K152)))</f>
        <v>0</v>
      </c>
      <c r="V152" s="201">
        <f t="array" ref="V152">_xlfn.IFS(AND($K152&gt;U$7,$L152&gt;U$7),0,AND($K152&lt;=U$7,$L152&lt;=U$7),1,AND($K152&lt;=U$7,$L152&gt;U$7),((U$7-$K152)/($L152-$K152)))</f>
        <v>0</v>
      </c>
      <c r="W152" s="201">
        <f t="array" ref="W152">_xlfn.IFS(AND($K152&gt;V$7,$L152&gt;V$7),0,AND($K152&lt;=V$7,$L152&lt;=V$7),1,AND($K152&lt;=V$7,$L152&gt;V$7),((V$7-$K152)/($L152-$K152)))</f>
        <v>0</v>
      </c>
      <c r="X152" s="201">
        <f t="array" ref="X152">_xlfn.IFS(AND($K152&gt;W$7,$L152&gt;W$7),0,AND($K152&lt;=W$7,$L152&lt;=W$7),1,AND($K152&lt;=W$7,$L152&gt;W$7),((W$7-$K152)/($L152-$K152)))</f>
        <v>0</v>
      </c>
      <c r="Y152" s="201">
        <f t="array" ref="Y152">_xlfn.IFS(AND($K152&gt;X$7,$L152&gt;X$7),0,AND($K152&lt;=X$7,$L152&lt;=X$7),1,AND($K152&lt;=X$7,$L152&gt;X$7),((X$7-$K152)/($L152-$K152)))</f>
        <v>0</v>
      </c>
      <c r="Z152" s="201">
        <f t="array" ref="Z152">_xlfn.IFS(AND($K152&gt;Y$7,$L152&gt;Y$7),0,AND($K152&lt;=Y$7,$L152&lt;=Y$7),1,AND($K152&lt;=Y$7,$L152&gt;Y$7),((Y$7-$K152)/($L152-$K152)))</f>
        <v>0</v>
      </c>
      <c r="AA152" s="201">
        <f t="array" ref="AA152">_xlfn.IFS(AND($K152&gt;Z$7,$L152&gt;Z$7),0,AND($K152&lt;=Z$7,$L152&lt;=Z$7),1,AND($K152&lt;=Z$7,$L152&gt;Z$7),((Z$7-$K152)/($L152-$K152)))</f>
        <v>0</v>
      </c>
      <c r="AB152" s="201">
        <f t="array" ref="AB152">_xlfn.IFS(AND($K152&gt;AA$7,$L152&gt;AA$7),0,AND($K152&lt;=AA$7,$L152&lt;=AA$7),1,AND($K152&lt;=AA$7,$L152&gt;AA$7),((AA$7-$K152)/($L152-$K152)))</f>
        <v>0</v>
      </c>
      <c r="AC152" s="201">
        <f t="array" ref="AC152">_xlfn.IFS(AND($K152&gt;AB$7,$L152&gt;AB$7),0,AND($K152&lt;=AB$7,$L152&lt;=AB$7),1,AND($K152&lt;=AB$7,$L152&gt;AB$7),((AB$7-$K152)/($L152-$K152)))</f>
        <v>0</v>
      </c>
      <c r="AD152" s="201">
        <f t="array" ref="AD152">_xlfn.IFS(AND($K152&gt;AC$7,$L152&gt;AC$7),0,AND($K152&lt;=AC$7,$L152&lt;=AC$7),1,AND($K152&lt;=AC$7,$L152&gt;AC$7),((AC$7-$K152)/($L152-$K152)))</f>
        <v>0</v>
      </c>
      <c r="AE152" s="201">
        <f t="array" ref="AE152">_xlfn.IFS(AND($K152&gt;AD$7,$L152&gt;AD$7),0,AND($K152&lt;=AD$7,$L152&lt;=AD$7),1,AND($K152&lt;=AD$7,$L152&gt;AD$7),((AD$7-$K152)/($L152-$K152)))</f>
        <v>0</v>
      </c>
      <c r="AF152" s="201">
        <f t="array" ref="AF152">_xlfn.IFS(AND($K152&gt;AE$7,$L152&gt;AE$7),0,AND($K152&lt;=AE$7,$L152&lt;=AE$7),1,AND($K152&lt;=AE$7,$L152&gt;AE$7),((AE$7-$K152)/($L152-$K152)))</f>
        <v>0</v>
      </c>
      <c r="AG152" s="201">
        <f t="array" ref="AG152">_xlfn.IFS(AND($K152&gt;AF$7,$L152&gt;AF$7),0,AND($K152&lt;=AF$7,$L152&lt;=AF$7),1,AND($K152&lt;=AF$7,$L152&gt;AF$7),((AF$7-$K152)/($L152-$K152)))</f>
        <v>0</v>
      </c>
      <c r="AH152" s="201">
        <f t="array" ref="AH152">_xlfn.IFS(AND($K152&gt;AG$7,$L152&gt;AG$7),0,AND($K152&lt;=AG$7,$L152&lt;=AG$7),1,AND($K152&lt;=AG$7,$L152&gt;AG$7),((AG$7-$K152)/($L152-$K152)))</f>
        <v>0</v>
      </c>
      <c r="AI152" s="201">
        <f t="array" ref="AI152">_xlfn.IFS(AND($K152&gt;AH$7,$L152&gt;AH$7),0,AND($K152&lt;=AH$7,$L152&lt;=AH$7),1,AND($K152&lt;=AH$7,$L152&gt;AH$7),((AH$7-$K152)/($L152-$K152)))</f>
        <v>0</v>
      </c>
      <c r="AJ152" s="201">
        <f t="array" ref="AJ152">_xlfn.IFS(AND($K152&gt;AI$7,$L152&gt;AI$7),0,AND($K152&lt;=AI$7,$L152&lt;=AI$7),1,AND($K152&lt;=AI$7,$L152&gt;AI$7),((AI$7-$K152)/($L152-$K152)))</f>
        <v>0</v>
      </c>
      <c r="AK152" s="201">
        <f t="array" ref="AK152">_xlfn.IFS(AND($K152&gt;AJ$7,$L152&gt;AJ$7),0,AND($K152&lt;=AJ$7,$L152&lt;=AJ$7),1,AND($K152&lt;=AJ$7,$L152&gt;AJ$7),((AJ$7-$K152)/($L152-$K152)))</f>
        <v>0</v>
      </c>
      <c r="AL152" s="201">
        <f t="array" ref="AL152">_xlfn.IFS(AND($K152&gt;AK$7,$L152&gt;AK$7),0,AND($K152&lt;=AK$7,$L152&lt;=AK$7),1,AND($K152&lt;=AK$7,$L152&gt;AK$7),((AK$7-$K152)/($L152-$K152)))</f>
        <v>0</v>
      </c>
      <c r="AM152" s="201">
        <f t="array" ref="AM152">_xlfn.IFS(AND($K152&gt;AL$7,$L152&gt;AL$7),0,AND($K152&lt;=AL$7,$L152&lt;=AL$7),1,AND($K152&lt;=AL$7,$L152&gt;AL$7),((AL$7-$K152)/($L152-$K152)))</f>
        <v>0</v>
      </c>
      <c r="AN152" s="201">
        <f t="array" ref="AN152">_xlfn.IFS(AND($K152&gt;AM$7,$L152&gt;AM$7),0,AND($K152&lt;=AM$7,$L152&lt;=AM$7),1,AND($K152&lt;=AM$7,$L152&gt;AM$7),((AM$7-$K152)/($L152-$K152)))</f>
        <v>0</v>
      </c>
      <c r="AO152" s="201">
        <f t="array" ref="AO152">_xlfn.IFS(AND($K152&gt;AN$7,$L152&gt;AN$7),0,AND($K152&lt;=AN$7,$L152&lt;=AN$7),1,AND($K152&lt;=AN$7,$L152&gt;AN$7),((AN$7-$K152)/($L152-$K152)))</f>
        <v>0</v>
      </c>
      <c r="AP152" s="201">
        <f t="array" ref="AP152">_xlfn.IFS(AND($K152&gt;AO$7,$L152&gt;AO$7),0,AND($K152&lt;=AO$7,$L152&lt;=AO$7),1,AND($K152&lt;=AO$7,$L152&gt;AO$7),((AO$7-$K152)/($L152-$K152)))</f>
        <v>0</v>
      </c>
      <c r="AQ152" s="201">
        <f t="array" ref="AQ152">_xlfn.IFS(AND($K152&gt;AP$7,$L152&gt;AP$7),0,AND($K152&lt;=AP$7,$L152&lt;=AP$7),1,AND($K152&lt;=AP$7,$L152&gt;AP$7),((AP$7-$K152)/($L152-$K152)))</f>
        <v>0</v>
      </c>
      <c r="AR152" s="201">
        <f t="array" ref="AR152">_xlfn.IFS(AND($K152&gt;AQ$7,$L152&gt;AQ$7),0,AND($K152&lt;=AQ$7,$L152&lt;=AQ$7),1,AND($K152&lt;=AQ$7,$L152&gt;AQ$7),((AQ$7-$K152)/($L152-$K152)))</f>
        <v>0</v>
      </c>
      <c r="AS152" s="201">
        <f t="array" ref="AS152">_xlfn.IFS(AND($K152&gt;AR$7,$L152&gt;AR$7),0,AND($K152&lt;=AR$7,$L152&lt;=AR$7),1,AND($K152&lt;=AR$7,$L152&gt;AR$7),((AR$7-$K152)/($L152-$K152)))</f>
        <v>0</v>
      </c>
      <c r="AT152" s="201">
        <f t="array" ref="AT152">_xlfn.IFS(AND($K152&gt;AS$7,$L152&gt;AS$7),0,AND($K152&lt;=AS$7,$L152&lt;=AS$7),1,AND($K152&lt;=AS$7,$L152&gt;AS$7),((AS$7-$K152)/($L152-$K152)))</f>
        <v>0</v>
      </c>
      <c r="AU152" s="201">
        <f t="array" ref="AU152">_xlfn.IFS(AND($K152&gt;AT$7,$L152&gt;AT$7),0,AND($K152&lt;=AT$7,$L152&lt;=AT$7),1,AND($K152&lt;=AT$7,$L152&gt;AT$7),((AT$7-$K152)/($L152-$K152)))</f>
        <v>0</v>
      </c>
      <c r="AV152" s="201">
        <f t="array" ref="AV152">_xlfn.IFS(AND($K152&gt;AU$7,$L152&gt;AU$7),0,AND($K152&lt;=AU$7,$L152&lt;=AU$7),1,AND($K152&lt;=AU$7,$L152&gt;AU$7),((AU$7-$K152)/($L152-$K152)))</f>
        <v>0</v>
      </c>
      <c r="AW152" s="201">
        <f t="array" ref="AW152">_xlfn.IFS(AND($K152&gt;AV$7,$L152&gt;AV$7),0,AND($K152&lt;=AV$7,$L152&lt;=AV$7),1,AND($K152&lt;=AV$7,$L152&gt;AV$7),((AV$7-$K152)/($L152-$K152)))</f>
        <v>0</v>
      </c>
      <c r="AX152" s="201">
        <f t="array" ref="AX152">_xlfn.IFS(AND($K152&gt;AW$7,$L152&gt;AW$7),0,AND($K152&lt;=AW$7,$L152&lt;=AW$7),1,AND($K152&lt;=AW$7,$L152&gt;AW$7),((AW$7-$K152)/($L152-$K152)))</f>
        <v>0</v>
      </c>
      <c r="AY152" s="201">
        <f t="array" ref="AY152">_xlfn.IFS(AND($K152&gt;AX$7,$L152&gt;AX$7),0,AND($K152&lt;=AX$7,$L152&lt;=AX$7),1,AND($K152&lt;=AX$7,$L152&gt;AX$7),((AX$7-$K152)/($L152-$K152)))</f>
        <v>0</v>
      </c>
      <c r="AZ152" s="201">
        <f t="array" ref="AZ152">_xlfn.IFS(AND($K152&gt;AY$7,$L152&gt;AY$7),0,AND($K152&lt;=AY$7,$L152&lt;=AY$7),1,AND($K152&lt;=AY$7,$L152&gt;AY$7),((AY$7-$K152)/($L152-$K152)))</f>
        <v>0</v>
      </c>
      <c r="BA152" s="201">
        <f t="array" ref="BA152">_xlfn.IFS(AND($K152&gt;AZ$7,$L152&gt;AZ$7),0,AND($K152&lt;=AZ$7,$L152&lt;=AZ$7),1,AND($K152&lt;=AZ$7,$L152&gt;AZ$7),((AZ$7-$K152)/($L152-$K152)))</f>
        <v>0</v>
      </c>
      <c r="BB152" s="201">
        <f t="array" ref="BB152">_xlfn.IFS(AND($K152&gt;BA$7,$L152&gt;BA$7),0,AND($K152&lt;=BA$7,$L152&lt;=BA$7),1,AND($K152&lt;=BA$7,$L152&gt;BA$7),((BA$7-$K152)/($L152-$K152)))</f>
        <v>0</v>
      </c>
      <c r="BC152" s="201">
        <f t="array" ref="BC152">_xlfn.IFS(AND($K152&gt;BB$7,$L152&gt;BB$7),0,AND($K152&lt;=BB$7,$L152&lt;=BB$7),1,AND($K152&lt;=BB$7,$L152&gt;BB$7),((BB$7-$K152)/($L152-$K152)))</f>
        <v>0</v>
      </c>
      <c r="BD152" s="201">
        <f t="array" ref="BD152">_xlfn.IFS(AND($K152&gt;BC$7,$L152&gt;BC$7),0,AND($K152&lt;=BC$7,$L152&lt;=BC$7),1,AND($K152&lt;=BC$7,$L152&gt;BC$7),((BC$7-$K152)/($L152-$K152)))</f>
        <v>0</v>
      </c>
      <c r="BE152" s="201">
        <f t="array" ref="BE152">_xlfn.IFS(AND($K152&gt;BD$7,$L152&gt;BD$7),0,AND($K152&lt;=BD$7,$L152&lt;=BD$7),1,AND($K152&lt;=BD$7,$L152&gt;BD$7),((BD$7-$K152)/($L152-$K152)))</f>
        <v>0</v>
      </c>
      <c r="BF152" s="201">
        <f t="array" ref="BF152">_xlfn.IFS(AND($K152&gt;BE$7,$L152&gt;BE$7),0,AND($K152&lt;=BE$7,$L152&lt;=BE$7),1,AND($K152&lt;=BE$7,$L152&gt;BE$7),((BE$7-$K152)/($L152-$K152)))</f>
        <v>0</v>
      </c>
      <c r="BG152" s="201">
        <f t="array" ref="BG152">_xlfn.IFS(AND($K152&gt;BF$7,$L152&gt;BF$7),0,AND($K152&lt;=BF$7,$L152&lt;=BF$7),1,AND($K152&lt;=BF$7,$L152&gt;BF$7),((BF$7-$K152)/($L152-$K152)))</f>
        <v>0</v>
      </c>
      <c r="BH152" s="201">
        <f t="array" ref="BH152">_xlfn.IFS(AND($K152&gt;BG$7,$L152&gt;BG$7),0,AND($K152&lt;=BG$7,$L152&lt;=BG$7),1,AND($K152&lt;=BG$7,$L152&gt;BG$7),((BG$7-$K152)/($L152-$K152)))</f>
        <v>0</v>
      </c>
      <c r="BI152" s="201">
        <f t="array" ref="BI152">_xlfn.IFS(AND($K152&gt;BH$7,$L152&gt;BH$7),0,AND($K152&lt;=BH$7,$L152&lt;=BH$7),1,AND($K152&lt;=BH$7,$L152&gt;BH$7),((BH$7-$K152)/($L152-$K152)))</f>
        <v>0</v>
      </c>
      <c r="BJ152" s="201">
        <f t="array" ref="BJ152">_xlfn.IFS(AND($K152&gt;BI$7,$L152&gt;BI$7),0,AND($K152&lt;=BI$7,$L152&lt;=BI$7),1,AND($K152&lt;=BI$7,$L152&gt;BI$7),((BI$7-$K152)/($L152-$K152)))</f>
        <v>0</v>
      </c>
      <c r="BK152" s="201">
        <f t="array" ref="BK152">_xlfn.IFS(AND($K152&gt;BJ$7,$L152&gt;BJ$7),0,AND($K152&lt;=BJ$7,$L152&lt;=BJ$7),1,AND($K152&lt;=BJ$7,$L152&gt;BJ$7),((BJ$7-$K152)/($L152-$K152)))</f>
        <v>0.45454545454545453</v>
      </c>
      <c r="BL152" s="201">
        <f t="array" ref="BL152">_xlfn.IFS(AND($K152&gt;BK$7,$L152&gt;BK$7),0,AND($K152&lt;=BK$7,$L152&lt;=BK$7),1,AND($K152&lt;=BK$7,$L152&gt;BK$7),((BK$7-$K152)/($L152-$K152)))</f>
        <v>1</v>
      </c>
      <c r="BM152" s="201">
        <f t="array" ref="BM152">_xlfn.IFS(AND($K152&gt;BL$7,$L152&gt;BL$7),0,AND($K152&lt;=BL$7,$L152&lt;=BL$7),1,AND($K152&lt;=BL$7,$L152&gt;BL$7),((BL$7-$K152)/($L152-$K152)))</f>
        <v>1</v>
      </c>
      <c r="BN152" s="201">
        <f t="array" ref="BN152">_xlfn.IFS(AND($K152&gt;BM$7,$L152&gt;BM$7),0,AND($K152&lt;=BM$7,$L152&lt;=BM$7),1,AND($K152&lt;=BM$7,$L152&gt;BM$7),((BM$7-$K152)/($L152-$K152)))</f>
        <v>1</v>
      </c>
    </row>
    <row r="153" spans="2:66" ht="15" customHeight="1" x14ac:dyDescent="0.3">
      <c r="B153" s="170" t="str">
        <f t="array" ref="B153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3</v>
      </c>
      <c r="C153" s="170" t="s">
        <v>349</v>
      </c>
      <c r="D153" s="177" t="str">
        <f t="shared" si="51"/>
        <v>Arquitetura de projetos GERDAU</v>
      </c>
      <c r="E153" s="170" t="str">
        <f t="shared" si="54"/>
        <v>Dimensionamento de Headcount</v>
      </c>
      <c r="F153" s="170" t="s">
        <v>350</v>
      </c>
      <c r="G153" s="170" t="s">
        <v>74</v>
      </c>
      <c r="H153" s="194" t="s">
        <v>351</v>
      </c>
      <c r="I153" s="170">
        <f>MIN(I154:I156)</f>
        <v>46006</v>
      </c>
      <c r="J153" s="170">
        <f>MAX(J154:J156)</f>
        <v>46014</v>
      </c>
      <c r="K153" s="170">
        <f>MIN(K154:K156)</f>
        <v>46006</v>
      </c>
      <c r="L153" s="170">
        <f>MAX(L154:L156)</f>
        <v>46014</v>
      </c>
      <c r="M153" s="171"/>
      <c r="N153" s="171" t="str">
        <f t="array" ref="N153">_xlfn.IFS(L153&lt;$M$3,"Concluído",AND(K153&gt;=$M$3,I153&lt;$M$3,L153&gt;$M$3),"Em andamento",AND(L153&gt;=$M$3,J153&lt;$M$3),"Atrasado",AND(L153&gt;=$M$3,J153&gt;=$M$3,I153&gt;$M$3,K153&lt;=$M$3),"Em andamento",AND(L153&gt;=$M$3,J153&gt;=$M$3,I153&lt;=$M$3,K153&lt;=$M$3),"Em andamento",AND(K153&gt;$M$3,I153&gt;$M$3),"Não iniciado",AND(L153&gt;=$M$3,J153&gt;=$M$3,K153&gt;=$M$3,I153&lt;$M$3),"Atrasado",AND(L153&gt;=$M$3,J153&gt;=$M$3,K153&gt;=$M$3,I153&gt;$M$3),"Não iniciado",AND($I153&lt;=$M$3,$K153&gt;$M$3),"Atrasado")</f>
        <v>Não iniciado</v>
      </c>
      <c r="O153" s="171">
        <f t="array" ref="O153">_xlfn.IFS(N153="Não iniciado",0,N153="Em andamento",1,N153="Concluído",2,N153="Atrasado",3)</f>
        <v>0</v>
      </c>
      <c r="P153" s="172"/>
      <c r="Q153" s="173">
        <f>Q154</f>
        <v>0</v>
      </c>
      <c r="R153" s="173">
        <f>R154</f>
        <v>0</v>
      </c>
      <c r="S153" s="173">
        <f t="shared" ref="S153:BN153" si="66">AVERAGE(S154)</f>
        <v>0</v>
      </c>
      <c r="T153" s="173">
        <f t="shared" si="66"/>
        <v>0</v>
      </c>
      <c r="U153" s="173">
        <f t="shared" si="66"/>
        <v>0</v>
      </c>
      <c r="V153" s="173">
        <f t="shared" si="66"/>
        <v>0</v>
      </c>
      <c r="W153" s="173">
        <f t="shared" si="66"/>
        <v>0</v>
      </c>
      <c r="X153" s="173">
        <f t="shared" si="66"/>
        <v>0</v>
      </c>
      <c r="Y153" s="173">
        <f t="shared" si="66"/>
        <v>0</v>
      </c>
      <c r="Z153" s="173">
        <f t="shared" si="66"/>
        <v>0</v>
      </c>
      <c r="AA153" s="173">
        <f t="shared" si="66"/>
        <v>0</v>
      </c>
      <c r="AB153" s="173">
        <f t="shared" si="66"/>
        <v>0</v>
      </c>
      <c r="AC153" s="173">
        <f t="shared" si="66"/>
        <v>0</v>
      </c>
      <c r="AD153" s="173">
        <f t="shared" si="66"/>
        <v>0</v>
      </c>
      <c r="AE153" s="173">
        <f t="shared" si="66"/>
        <v>0</v>
      </c>
      <c r="AF153" s="173">
        <f t="shared" si="66"/>
        <v>0</v>
      </c>
      <c r="AG153" s="173">
        <f t="shared" si="66"/>
        <v>0</v>
      </c>
      <c r="AH153" s="173">
        <f t="shared" si="66"/>
        <v>0</v>
      </c>
      <c r="AI153" s="173">
        <f t="shared" si="66"/>
        <v>0</v>
      </c>
      <c r="AJ153" s="173">
        <f t="shared" si="66"/>
        <v>0</v>
      </c>
      <c r="AK153" s="173">
        <f t="shared" si="66"/>
        <v>0</v>
      </c>
      <c r="AL153" s="173">
        <f t="shared" si="66"/>
        <v>0</v>
      </c>
      <c r="AM153" s="173">
        <f t="shared" si="66"/>
        <v>0</v>
      </c>
      <c r="AN153" s="173">
        <f t="shared" si="66"/>
        <v>0</v>
      </c>
      <c r="AO153" s="173">
        <f t="shared" si="66"/>
        <v>0</v>
      </c>
      <c r="AP153" s="173">
        <f t="shared" si="66"/>
        <v>0</v>
      </c>
      <c r="AQ153" s="173">
        <f t="shared" si="66"/>
        <v>0</v>
      </c>
      <c r="AR153" s="173">
        <f t="shared" si="66"/>
        <v>0</v>
      </c>
      <c r="AS153" s="173">
        <f t="shared" si="66"/>
        <v>0</v>
      </c>
      <c r="AT153" s="173">
        <f t="shared" si="66"/>
        <v>0</v>
      </c>
      <c r="AU153" s="173">
        <f t="shared" si="66"/>
        <v>0</v>
      </c>
      <c r="AV153" s="173">
        <f t="shared" si="66"/>
        <v>0</v>
      </c>
      <c r="AW153" s="173">
        <f t="shared" si="66"/>
        <v>0</v>
      </c>
      <c r="AX153" s="173">
        <f t="shared" si="66"/>
        <v>0</v>
      </c>
      <c r="AY153" s="173">
        <f t="shared" si="66"/>
        <v>0</v>
      </c>
      <c r="AZ153" s="173">
        <f t="shared" si="66"/>
        <v>0</v>
      </c>
      <c r="BA153" s="173">
        <f t="shared" si="66"/>
        <v>0</v>
      </c>
      <c r="BB153" s="173">
        <f t="shared" si="66"/>
        <v>0</v>
      </c>
      <c r="BC153" s="173">
        <f t="shared" si="66"/>
        <v>0</v>
      </c>
      <c r="BD153" s="173">
        <f t="shared" si="66"/>
        <v>0</v>
      </c>
      <c r="BE153" s="173">
        <f t="shared" si="66"/>
        <v>0</v>
      </c>
      <c r="BF153" s="173">
        <f t="shared" si="66"/>
        <v>0</v>
      </c>
      <c r="BG153" s="173">
        <f t="shared" si="66"/>
        <v>0</v>
      </c>
      <c r="BH153" s="173">
        <f t="shared" si="66"/>
        <v>0</v>
      </c>
      <c r="BI153" s="173">
        <f t="shared" si="66"/>
        <v>0</v>
      </c>
      <c r="BJ153" s="173">
        <f t="shared" si="66"/>
        <v>0</v>
      </c>
      <c r="BK153" s="173">
        <f t="shared" si="66"/>
        <v>0</v>
      </c>
      <c r="BL153" s="173">
        <f t="shared" si="66"/>
        <v>0</v>
      </c>
      <c r="BM153" s="173">
        <f t="shared" si="66"/>
        <v>0.5</v>
      </c>
      <c r="BN153" s="173">
        <f t="shared" si="66"/>
        <v>1</v>
      </c>
    </row>
    <row r="154" spans="2:66" ht="15" customHeight="1" x14ac:dyDescent="0.3">
      <c r="B154" s="174" t="str">
        <f t="array" ref="B154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4</v>
      </c>
      <c r="C154" s="174" t="s">
        <v>352</v>
      </c>
      <c r="D154" s="177" t="str">
        <f t="shared" si="51"/>
        <v>Arquitetura de projetos GERDAU</v>
      </c>
      <c r="E154" s="170" t="str">
        <f t="shared" si="54"/>
        <v>Dimensionamento de Headcount</v>
      </c>
      <c r="F154" s="174" t="str">
        <f>$H$153</f>
        <v>Nivelamento de Recursos e Proposta de Redimensionamento</v>
      </c>
      <c r="G154" s="174" t="s">
        <v>74</v>
      </c>
      <c r="H154" s="195" t="s">
        <v>351</v>
      </c>
      <c r="I154" s="174">
        <f>MIN(I155:I156)</f>
        <v>46006</v>
      </c>
      <c r="J154" s="174">
        <f>MAX(J155:J156)</f>
        <v>46014</v>
      </c>
      <c r="K154" s="174">
        <f>MIN(K155:K156)</f>
        <v>46006</v>
      </c>
      <c r="L154" s="174">
        <f>MAX(L155:L156)</f>
        <v>46014</v>
      </c>
      <c r="M154" s="175"/>
      <c r="N154" s="175" t="str">
        <f t="array" ref="N154">_xlfn.IFS(L154&lt;$M$3,"Concluído",AND(K154&gt;=$M$3,I154&lt;$M$3,L154&gt;$M$3),"Em andamento",AND(L154&gt;=$M$3,J154&lt;$M$3),"Atrasado",AND(L154&gt;=$M$3,J154&gt;=$M$3,I154&gt;$M$3,K154&lt;=$M$3),"Em andamento",AND(L154&gt;=$M$3,J154&gt;=$M$3,I154&lt;=$M$3,K154&lt;=$M$3),"Em andamento",AND(K154&gt;$M$3,I154&gt;$M$3),"Não iniciado",AND(L154&gt;=$M$3,J154&gt;=$M$3,K154&gt;=$M$3,I154&lt;$M$3),"Atrasado",AND(L154&gt;=$M$3,J154&gt;=$M$3,K154&gt;=$M$3,I154&gt;$M$3),"Não iniciado",AND($I154&lt;=$M$3,$K154&gt;$M$3),"Atrasado")</f>
        <v>Não iniciado</v>
      </c>
      <c r="O154" s="175">
        <f t="array" ref="O154">_xlfn.IFS(N154="Não iniciado",0,N154="Em andamento",1,N154="Concluído",2,N154="Atrasado",3)</f>
        <v>0</v>
      </c>
      <c r="P154" s="176"/>
      <c r="Q154" s="156">
        <f t="shared" ref="Q154:AV154" si="67">AVERAGE(Q155:Q156)</f>
        <v>0</v>
      </c>
      <c r="R154" s="156">
        <f t="shared" si="67"/>
        <v>0</v>
      </c>
      <c r="S154" s="205">
        <f t="shared" si="67"/>
        <v>0</v>
      </c>
      <c r="T154" s="205">
        <f t="shared" si="67"/>
        <v>0</v>
      </c>
      <c r="U154" s="205">
        <f t="shared" si="67"/>
        <v>0</v>
      </c>
      <c r="V154" s="205">
        <f t="shared" si="67"/>
        <v>0</v>
      </c>
      <c r="W154" s="205">
        <f t="shared" si="67"/>
        <v>0</v>
      </c>
      <c r="X154" s="205">
        <f t="shared" si="67"/>
        <v>0</v>
      </c>
      <c r="Y154" s="205">
        <f t="shared" si="67"/>
        <v>0</v>
      </c>
      <c r="Z154" s="205">
        <f t="shared" si="67"/>
        <v>0</v>
      </c>
      <c r="AA154" s="205">
        <f t="shared" si="67"/>
        <v>0</v>
      </c>
      <c r="AB154" s="205">
        <f t="shared" si="67"/>
        <v>0</v>
      </c>
      <c r="AC154" s="205">
        <f t="shared" si="67"/>
        <v>0</v>
      </c>
      <c r="AD154" s="205">
        <f t="shared" si="67"/>
        <v>0</v>
      </c>
      <c r="AE154" s="205">
        <f t="shared" si="67"/>
        <v>0</v>
      </c>
      <c r="AF154" s="205">
        <f t="shared" si="67"/>
        <v>0</v>
      </c>
      <c r="AG154" s="205">
        <f t="shared" si="67"/>
        <v>0</v>
      </c>
      <c r="AH154" s="205">
        <f t="shared" si="67"/>
        <v>0</v>
      </c>
      <c r="AI154" s="205">
        <f t="shared" si="67"/>
        <v>0</v>
      </c>
      <c r="AJ154" s="205">
        <f t="shared" si="67"/>
        <v>0</v>
      </c>
      <c r="AK154" s="205">
        <f t="shared" si="67"/>
        <v>0</v>
      </c>
      <c r="AL154" s="205">
        <f t="shared" si="67"/>
        <v>0</v>
      </c>
      <c r="AM154" s="205">
        <f t="shared" si="67"/>
        <v>0</v>
      </c>
      <c r="AN154" s="205">
        <f t="shared" si="67"/>
        <v>0</v>
      </c>
      <c r="AO154" s="205">
        <f t="shared" si="67"/>
        <v>0</v>
      </c>
      <c r="AP154" s="205">
        <f t="shared" si="67"/>
        <v>0</v>
      </c>
      <c r="AQ154" s="205">
        <f t="shared" si="67"/>
        <v>0</v>
      </c>
      <c r="AR154" s="205">
        <f t="shared" si="67"/>
        <v>0</v>
      </c>
      <c r="AS154" s="205">
        <f t="shared" si="67"/>
        <v>0</v>
      </c>
      <c r="AT154" s="205">
        <f t="shared" si="67"/>
        <v>0</v>
      </c>
      <c r="AU154" s="205">
        <f t="shared" si="67"/>
        <v>0</v>
      </c>
      <c r="AV154" s="205">
        <f t="shared" si="67"/>
        <v>0</v>
      </c>
      <c r="AW154" s="205">
        <f t="shared" ref="AW154:BN154" si="68">AVERAGE(AW155:AW156)</f>
        <v>0</v>
      </c>
      <c r="AX154" s="205">
        <f t="shared" si="68"/>
        <v>0</v>
      </c>
      <c r="AY154" s="205">
        <f t="shared" si="68"/>
        <v>0</v>
      </c>
      <c r="AZ154" s="205">
        <f t="shared" si="68"/>
        <v>0</v>
      </c>
      <c r="BA154" s="205">
        <f t="shared" si="68"/>
        <v>0</v>
      </c>
      <c r="BB154" s="205">
        <f t="shared" si="68"/>
        <v>0</v>
      </c>
      <c r="BC154" s="205">
        <f t="shared" si="68"/>
        <v>0</v>
      </c>
      <c r="BD154" s="205">
        <f t="shared" si="68"/>
        <v>0</v>
      </c>
      <c r="BE154" s="205">
        <f t="shared" si="68"/>
        <v>0</v>
      </c>
      <c r="BF154" s="205">
        <f t="shared" si="68"/>
        <v>0</v>
      </c>
      <c r="BG154" s="205">
        <f t="shared" si="68"/>
        <v>0</v>
      </c>
      <c r="BH154" s="205">
        <f t="shared" si="68"/>
        <v>0</v>
      </c>
      <c r="BI154" s="205">
        <f t="shared" si="68"/>
        <v>0</v>
      </c>
      <c r="BJ154" s="205">
        <f t="shared" si="68"/>
        <v>0</v>
      </c>
      <c r="BK154" s="205">
        <f t="shared" si="68"/>
        <v>0</v>
      </c>
      <c r="BL154" s="205">
        <f t="shared" si="68"/>
        <v>0</v>
      </c>
      <c r="BM154" s="205">
        <f t="shared" si="68"/>
        <v>0.5</v>
      </c>
      <c r="BN154" s="205">
        <f t="shared" si="68"/>
        <v>1</v>
      </c>
    </row>
    <row r="155" spans="2:66" x14ac:dyDescent="0.3">
      <c r="B155" s="166" t="str">
        <f t="array" ref="B155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55" s="166" t="s">
        <v>353</v>
      </c>
      <c r="D155" s="177" t="str">
        <f t="shared" si="51"/>
        <v>Arquitetura de projetos GERDAU</v>
      </c>
      <c r="E155" s="170" t="str">
        <f t="shared" si="54"/>
        <v>Dimensionamento de Headcount</v>
      </c>
      <c r="F155" s="174" t="str">
        <f>$H$153</f>
        <v>Nivelamento de Recursos e Proposta de Redimensionamento</v>
      </c>
      <c r="G155" s="166" t="str">
        <f>$H$154</f>
        <v>Nivelamento de Recursos e Proposta de Redimensionamento</v>
      </c>
      <c r="H155" s="197" t="s">
        <v>354</v>
      </c>
      <c r="I155" s="166">
        <v>46006</v>
      </c>
      <c r="J155" s="166">
        <v>46010</v>
      </c>
      <c r="K155" s="166">
        <v>46006</v>
      </c>
      <c r="L155" s="166">
        <v>46010</v>
      </c>
      <c r="M155" s="167"/>
      <c r="N155" s="167" t="str">
        <f t="array" ref="N155">_xlfn.IFS(L155&lt;$M$3,"Concluído",AND(K155&gt;=$M$3,I155&lt;$M$3,L155&gt;$M$3),"Em andamento",AND(L155&gt;=$M$3,J155&lt;$M$3),"Atrasado",AND(L155&gt;=$M$3,J155&gt;=$M$3,I155&gt;$M$3,K155&lt;=$M$3),"Em andamento",AND(L155&gt;=$M$3,J155&gt;=$M$3,I155&lt;=$M$3,K155&lt;=$M$3),"Em andamento",AND(K155&gt;$M$3,I155&gt;$M$3),"Não iniciado",AND(L155&gt;=$M$3,J155&gt;=$M$3,K155&gt;=$M$3,I155&lt;$M$3),"Atrasado",AND(L155&gt;=$M$3,J155&gt;=$M$3,K155&gt;=$M$3,I155&gt;$M$3),"Não iniciado",AND($I155&lt;=$M$3,$K155&gt;$M$3),"Atrasado")</f>
        <v>Não iniciado</v>
      </c>
      <c r="O155" s="167">
        <f t="array" ref="O155">_xlfn.IFS(N155="Não iniciado",0,N155="Em andamento",1,N155="Concluído",2,N155="Atrasado",3)</f>
        <v>0</v>
      </c>
      <c r="P155" s="168"/>
      <c r="Q155" s="152">
        <f t="array" ref="Q155">_xlfn.IFS(AND($I155&lt;$M$3,$J155&lt;$M$3),1,AND($I155&lt;=$M$3,$J155&gt;=$M$3),0.5,AND($I155&gt;=$M$3,$J155&gt;=$M$3),0)</f>
        <v>0</v>
      </c>
      <c r="R155" s="152">
        <f t="array" ref="R155">_xlfn.IFS(AND($K155&lt;$M$3,$L155&lt;$M$3),1,AND($K155&lt;=$M$3,$L155&gt;=$M$3),0.5,AND($K155&gt;=$M$3,$L155&gt;=$M$3),0)</f>
        <v>0</v>
      </c>
      <c r="S155" s="201">
        <f t="array" ref="S155">_xlfn.IFS(AND($K155&gt;R$7,$L155&gt;R$7),0,AND($K155&lt;=R$7,$L155&lt;=R$7),1,AND($K155&lt;=R$7,$L155&gt;R$7),((R$7-$K155)/($L155-$K155)))</f>
        <v>0</v>
      </c>
      <c r="T155" s="201">
        <f t="array" ref="T155">_xlfn.IFS(AND($K155&gt;S$7,$L155&gt;S$7),0,AND($K155&lt;=S$7,$L155&lt;=S$7),1,AND($K155&lt;=S$7,$L155&gt;S$7),((S$7-$K155)/($L155-$K155)))</f>
        <v>0</v>
      </c>
      <c r="U155" s="201">
        <f t="array" ref="U155">_xlfn.IFS(AND($K155&gt;T$7,$L155&gt;T$7),0,AND($K155&lt;=T$7,$L155&lt;=T$7),1,AND($K155&lt;=T$7,$L155&gt;T$7),((T$7-$K155)/($L155-$K155)))</f>
        <v>0</v>
      </c>
      <c r="V155" s="201">
        <f t="array" ref="V155">_xlfn.IFS(AND($K155&gt;U$7,$L155&gt;U$7),0,AND($K155&lt;=U$7,$L155&lt;=U$7),1,AND($K155&lt;=U$7,$L155&gt;U$7),((U$7-$K155)/($L155-$K155)))</f>
        <v>0</v>
      </c>
      <c r="W155" s="201">
        <f t="array" ref="W155">_xlfn.IFS(AND($K155&gt;V$7,$L155&gt;V$7),0,AND($K155&lt;=V$7,$L155&lt;=V$7),1,AND($K155&lt;=V$7,$L155&gt;V$7),((V$7-$K155)/($L155-$K155)))</f>
        <v>0</v>
      </c>
      <c r="X155" s="201">
        <f t="array" ref="X155">_xlfn.IFS(AND($K155&gt;W$7,$L155&gt;W$7),0,AND($K155&lt;=W$7,$L155&lt;=W$7),1,AND($K155&lt;=W$7,$L155&gt;W$7),((W$7-$K155)/($L155-$K155)))</f>
        <v>0</v>
      </c>
      <c r="Y155" s="201">
        <f t="array" ref="Y155">_xlfn.IFS(AND($K155&gt;X$7,$L155&gt;X$7),0,AND($K155&lt;=X$7,$L155&lt;=X$7),1,AND($K155&lt;=X$7,$L155&gt;X$7),((X$7-$K155)/($L155-$K155)))</f>
        <v>0</v>
      </c>
      <c r="Z155" s="201">
        <f t="array" ref="Z155">_xlfn.IFS(AND($K155&gt;Y$7,$L155&gt;Y$7),0,AND($K155&lt;=Y$7,$L155&lt;=Y$7),1,AND($K155&lt;=Y$7,$L155&gt;Y$7),((Y$7-$K155)/($L155-$K155)))</f>
        <v>0</v>
      </c>
      <c r="AA155" s="201">
        <f t="array" ref="AA155">_xlfn.IFS(AND($K155&gt;Z$7,$L155&gt;Z$7),0,AND($K155&lt;=Z$7,$L155&lt;=Z$7),1,AND($K155&lt;=Z$7,$L155&gt;Z$7),((Z$7-$K155)/($L155-$K155)))</f>
        <v>0</v>
      </c>
      <c r="AB155" s="201">
        <f t="array" ref="AB155">_xlfn.IFS(AND($K155&gt;AA$7,$L155&gt;AA$7),0,AND($K155&lt;=AA$7,$L155&lt;=AA$7),1,AND($K155&lt;=AA$7,$L155&gt;AA$7),((AA$7-$K155)/($L155-$K155)))</f>
        <v>0</v>
      </c>
      <c r="AC155" s="201">
        <f t="array" ref="AC155">_xlfn.IFS(AND($K155&gt;AB$7,$L155&gt;AB$7),0,AND($K155&lt;=AB$7,$L155&lt;=AB$7),1,AND($K155&lt;=AB$7,$L155&gt;AB$7),((AB$7-$K155)/($L155-$K155)))</f>
        <v>0</v>
      </c>
      <c r="AD155" s="201">
        <f t="array" ref="AD155">_xlfn.IFS(AND($K155&gt;AC$7,$L155&gt;AC$7),0,AND($K155&lt;=AC$7,$L155&lt;=AC$7),1,AND($K155&lt;=AC$7,$L155&gt;AC$7),((AC$7-$K155)/($L155-$K155)))</f>
        <v>0</v>
      </c>
      <c r="AE155" s="201">
        <f t="array" ref="AE155">_xlfn.IFS(AND($K155&gt;AD$7,$L155&gt;AD$7),0,AND($K155&lt;=AD$7,$L155&lt;=AD$7),1,AND($K155&lt;=AD$7,$L155&gt;AD$7),((AD$7-$K155)/($L155-$K155)))</f>
        <v>0</v>
      </c>
      <c r="AF155" s="201">
        <f t="array" ref="AF155">_xlfn.IFS(AND($K155&gt;AE$7,$L155&gt;AE$7),0,AND($K155&lt;=AE$7,$L155&lt;=AE$7),1,AND($K155&lt;=AE$7,$L155&gt;AE$7),((AE$7-$K155)/($L155-$K155)))</f>
        <v>0</v>
      </c>
      <c r="AG155" s="201">
        <f t="array" ref="AG155">_xlfn.IFS(AND($K155&gt;AF$7,$L155&gt;AF$7),0,AND($K155&lt;=AF$7,$L155&lt;=AF$7),1,AND($K155&lt;=AF$7,$L155&gt;AF$7),((AF$7-$K155)/($L155-$K155)))</f>
        <v>0</v>
      </c>
      <c r="AH155" s="201">
        <f t="array" ref="AH155">_xlfn.IFS(AND($K155&gt;AG$7,$L155&gt;AG$7),0,AND($K155&lt;=AG$7,$L155&lt;=AG$7),1,AND($K155&lt;=AG$7,$L155&gt;AG$7),((AG$7-$K155)/($L155-$K155)))</f>
        <v>0</v>
      </c>
      <c r="AI155" s="201">
        <f t="array" ref="AI155">_xlfn.IFS(AND($K155&gt;AH$7,$L155&gt;AH$7),0,AND($K155&lt;=AH$7,$L155&lt;=AH$7),1,AND($K155&lt;=AH$7,$L155&gt;AH$7),((AH$7-$K155)/($L155-$K155)))</f>
        <v>0</v>
      </c>
      <c r="AJ155" s="201">
        <f t="array" ref="AJ155">_xlfn.IFS(AND($K155&gt;AI$7,$L155&gt;AI$7),0,AND($K155&lt;=AI$7,$L155&lt;=AI$7),1,AND($K155&lt;=AI$7,$L155&gt;AI$7),((AI$7-$K155)/($L155-$K155)))</f>
        <v>0</v>
      </c>
      <c r="AK155" s="201">
        <f t="array" ref="AK155">_xlfn.IFS(AND($K155&gt;AJ$7,$L155&gt;AJ$7),0,AND($K155&lt;=AJ$7,$L155&lt;=AJ$7),1,AND($K155&lt;=AJ$7,$L155&gt;AJ$7),((AJ$7-$K155)/($L155-$K155)))</f>
        <v>0</v>
      </c>
      <c r="AL155" s="201">
        <f t="array" ref="AL155">_xlfn.IFS(AND($K155&gt;AK$7,$L155&gt;AK$7),0,AND($K155&lt;=AK$7,$L155&lt;=AK$7),1,AND($K155&lt;=AK$7,$L155&gt;AK$7),((AK$7-$K155)/($L155-$K155)))</f>
        <v>0</v>
      </c>
      <c r="AM155" s="201">
        <f t="array" ref="AM155">_xlfn.IFS(AND($K155&gt;AL$7,$L155&gt;AL$7),0,AND($K155&lt;=AL$7,$L155&lt;=AL$7),1,AND($K155&lt;=AL$7,$L155&gt;AL$7),((AL$7-$K155)/($L155-$K155)))</f>
        <v>0</v>
      </c>
      <c r="AN155" s="201">
        <f t="array" ref="AN155">_xlfn.IFS(AND($K155&gt;AM$7,$L155&gt;AM$7),0,AND($K155&lt;=AM$7,$L155&lt;=AM$7),1,AND($K155&lt;=AM$7,$L155&gt;AM$7),((AM$7-$K155)/($L155-$K155)))</f>
        <v>0</v>
      </c>
      <c r="AO155" s="201">
        <f t="array" ref="AO155">_xlfn.IFS(AND($K155&gt;AN$7,$L155&gt;AN$7),0,AND($K155&lt;=AN$7,$L155&lt;=AN$7),1,AND($K155&lt;=AN$7,$L155&gt;AN$7),((AN$7-$K155)/($L155-$K155)))</f>
        <v>0</v>
      </c>
      <c r="AP155" s="201">
        <f t="array" ref="AP155">_xlfn.IFS(AND($K155&gt;AO$7,$L155&gt;AO$7),0,AND($K155&lt;=AO$7,$L155&lt;=AO$7),1,AND($K155&lt;=AO$7,$L155&gt;AO$7),((AO$7-$K155)/($L155-$K155)))</f>
        <v>0</v>
      </c>
      <c r="AQ155" s="201">
        <f t="array" ref="AQ155">_xlfn.IFS(AND($K155&gt;AP$7,$L155&gt;AP$7),0,AND($K155&lt;=AP$7,$L155&lt;=AP$7),1,AND($K155&lt;=AP$7,$L155&gt;AP$7),((AP$7-$K155)/($L155-$K155)))</f>
        <v>0</v>
      </c>
      <c r="AR155" s="201">
        <f t="array" ref="AR155">_xlfn.IFS(AND($K155&gt;AQ$7,$L155&gt;AQ$7),0,AND($K155&lt;=AQ$7,$L155&lt;=AQ$7),1,AND($K155&lt;=AQ$7,$L155&gt;AQ$7),((AQ$7-$K155)/($L155-$K155)))</f>
        <v>0</v>
      </c>
      <c r="AS155" s="201">
        <f t="array" ref="AS155">_xlfn.IFS(AND($K155&gt;AR$7,$L155&gt;AR$7),0,AND($K155&lt;=AR$7,$L155&lt;=AR$7),1,AND($K155&lt;=AR$7,$L155&gt;AR$7),((AR$7-$K155)/($L155-$K155)))</f>
        <v>0</v>
      </c>
      <c r="AT155" s="201">
        <f t="array" ref="AT155">_xlfn.IFS(AND($K155&gt;AS$7,$L155&gt;AS$7),0,AND($K155&lt;=AS$7,$L155&lt;=AS$7),1,AND($K155&lt;=AS$7,$L155&gt;AS$7),((AS$7-$K155)/($L155-$K155)))</f>
        <v>0</v>
      </c>
      <c r="AU155" s="201">
        <f t="array" ref="AU155">_xlfn.IFS(AND($K155&gt;AT$7,$L155&gt;AT$7),0,AND($K155&lt;=AT$7,$L155&lt;=AT$7),1,AND($K155&lt;=AT$7,$L155&gt;AT$7),((AT$7-$K155)/($L155-$K155)))</f>
        <v>0</v>
      </c>
      <c r="AV155" s="201">
        <f t="array" ref="AV155">_xlfn.IFS(AND($K155&gt;AU$7,$L155&gt;AU$7),0,AND($K155&lt;=AU$7,$L155&lt;=AU$7),1,AND($K155&lt;=AU$7,$L155&gt;AU$7),((AU$7-$K155)/($L155-$K155)))</f>
        <v>0</v>
      </c>
      <c r="AW155" s="201">
        <f t="array" ref="AW155">_xlfn.IFS(AND($K155&gt;AV$7,$L155&gt;AV$7),0,AND($K155&lt;=AV$7,$L155&lt;=AV$7),1,AND($K155&lt;=AV$7,$L155&gt;AV$7),((AV$7-$K155)/($L155-$K155)))</f>
        <v>0</v>
      </c>
      <c r="AX155" s="201">
        <f t="array" ref="AX155">_xlfn.IFS(AND($K155&gt;AW$7,$L155&gt;AW$7),0,AND($K155&lt;=AW$7,$L155&lt;=AW$7),1,AND($K155&lt;=AW$7,$L155&gt;AW$7),((AW$7-$K155)/($L155-$K155)))</f>
        <v>0</v>
      </c>
      <c r="AY155" s="201">
        <f t="array" ref="AY155">_xlfn.IFS(AND($K155&gt;AX$7,$L155&gt;AX$7),0,AND($K155&lt;=AX$7,$L155&lt;=AX$7),1,AND($K155&lt;=AX$7,$L155&gt;AX$7),((AX$7-$K155)/($L155-$K155)))</f>
        <v>0</v>
      </c>
      <c r="AZ155" s="201">
        <f t="array" ref="AZ155">_xlfn.IFS(AND($K155&gt;AY$7,$L155&gt;AY$7),0,AND($K155&lt;=AY$7,$L155&lt;=AY$7),1,AND($K155&lt;=AY$7,$L155&gt;AY$7),((AY$7-$K155)/($L155-$K155)))</f>
        <v>0</v>
      </c>
      <c r="BA155" s="201">
        <f t="array" ref="BA155">_xlfn.IFS(AND($K155&gt;AZ$7,$L155&gt;AZ$7),0,AND($K155&lt;=AZ$7,$L155&lt;=AZ$7),1,AND($K155&lt;=AZ$7,$L155&gt;AZ$7),((AZ$7-$K155)/($L155-$K155)))</f>
        <v>0</v>
      </c>
      <c r="BB155" s="201">
        <f t="array" ref="BB155">_xlfn.IFS(AND($K155&gt;BA$7,$L155&gt;BA$7),0,AND($K155&lt;=BA$7,$L155&lt;=BA$7),1,AND($K155&lt;=BA$7,$L155&gt;BA$7),((BA$7-$K155)/($L155-$K155)))</f>
        <v>0</v>
      </c>
      <c r="BC155" s="201">
        <f t="array" ref="BC155">_xlfn.IFS(AND($K155&gt;BB$7,$L155&gt;BB$7),0,AND($K155&lt;=BB$7,$L155&lt;=BB$7),1,AND($K155&lt;=BB$7,$L155&gt;BB$7),((BB$7-$K155)/($L155-$K155)))</f>
        <v>0</v>
      </c>
      <c r="BD155" s="201">
        <f t="array" ref="BD155">_xlfn.IFS(AND($K155&gt;BC$7,$L155&gt;BC$7),0,AND($K155&lt;=BC$7,$L155&lt;=BC$7),1,AND($K155&lt;=BC$7,$L155&gt;BC$7),((BC$7-$K155)/($L155-$K155)))</f>
        <v>0</v>
      </c>
      <c r="BE155" s="201">
        <f t="array" ref="BE155">_xlfn.IFS(AND($K155&gt;BD$7,$L155&gt;BD$7),0,AND($K155&lt;=BD$7,$L155&lt;=BD$7),1,AND($K155&lt;=BD$7,$L155&gt;BD$7),((BD$7-$K155)/($L155-$K155)))</f>
        <v>0</v>
      </c>
      <c r="BF155" s="201">
        <f t="array" ref="BF155">_xlfn.IFS(AND($K155&gt;BE$7,$L155&gt;BE$7),0,AND($K155&lt;=BE$7,$L155&lt;=BE$7),1,AND($K155&lt;=BE$7,$L155&gt;BE$7),((BE$7-$K155)/($L155-$K155)))</f>
        <v>0</v>
      </c>
      <c r="BG155" s="201">
        <f t="array" ref="BG155">_xlfn.IFS(AND($K155&gt;BF$7,$L155&gt;BF$7),0,AND($K155&lt;=BF$7,$L155&lt;=BF$7),1,AND($K155&lt;=BF$7,$L155&gt;BF$7),((BF$7-$K155)/($L155-$K155)))</f>
        <v>0</v>
      </c>
      <c r="BH155" s="201">
        <f t="array" ref="BH155">_xlfn.IFS(AND($K155&gt;BG$7,$L155&gt;BG$7),0,AND($K155&lt;=BG$7,$L155&lt;=BG$7),1,AND($K155&lt;=BG$7,$L155&gt;BG$7),((BG$7-$K155)/($L155-$K155)))</f>
        <v>0</v>
      </c>
      <c r="BI155" s="201">
        <f t="array" ref="BI155">_xlfn.IFS(AND($K155&gt;BH$7,$L155&gt;BH$7),0,AND($K155&lt;=BH$7,$L155&lt;=BH$7),1,AND($K155&lt;=BH$7,$L155&gt;BH$7),((BH$7-$K155)/($L155-$K155)))</f>
        <v>0</v>
      </c>
      <c r="BJ155" s="201">
        <f t="array" ref="BJ155">_xlfn.IFS(AND($K155&gt;BI$7,$L155&gt;BI$7),0,AND($K155&lt;=BI$7,$L155&lt;=BI$7),1,AND($K155&lt;=BI$7,$L155&gt;BI$7),((BI$7-$K155)/($L155-$K155)))</f>
        <v>0</v>
      </c>
      <c r="BK155" s="201">
        <f t="array" ref="BK155">_xlfn.IFS(AND($K155&gt;BJ$7,$L155&gt;BJ$7),0,AND($K155&lt;=BJ$7,$L155&lt;=BJ$7),1,AND($K155&lt;=BJ$7,$L155&gt;BJ$7),((BJ$7-$K155)/($L155-$K155)))</f>
        <v>0</v>
      </c>
      <c r="BL155" s="201">
        <f t="array" ref="BL155">_xlfn.IFS(AND($K155&gt;BK$7,$L155&gt;BK$7),0,AND($K155&lt;=BK$7,$L155&lt;=BK$7),1,AND($K155&lt;=BK$7,$L155&gt;BK$7),((BK$7-$K155)/($L155-$K155)))</f>
        <v>0</v>
      </c>
      <c r="BM155" s="201">
        <f t="array" ref="BM155">_xlfn.IFS(AND($K155&gt;BL$7,$L155&gt;BL$7),0,AND($K155&lt;=BL$7,$L155&lt;=BL$7),1,AND($K155&lt;=BL$7,$L155&gt;BL$7),((BL$7-$K155)/($L155-$K155)))</f>
        <v>1</v>
      </c>
      <c r="BN155" s="201">
        <f t="array" ref="BN155">_xlfn.IFS(AND($K155&gt;BM$7,$L155&gt;BM$7),0,AND($K155&lt;=BM$7,$L155&lt;=BM$7),1,AND($K155&lt;=BM$7,$L155&gt;BM$7),((BM$7-$K155)/($L155-$K155)))</f>
        <v>1</v>
      </c>
    </row>
    <row r="156" spans="2:66" x14ac:dyDescent="0.3">
      <c r="B156" s="166" t="str">
        <f t="array" ref="B156">_xlfn.IFS(LEN(Tab.plano5[[#This Row],[EAP]])=1,"Nível 1",LEN(Tab.plano5[[#This Row],[EAP]])=3,"Nível 2",LEN(Tab.plano5[[#This Row],[EAP]])=5,"Nível 3",LEN(Tab.plano5[[#This Row],[EAP]])=7,"Nível 4",LEN(Tab.plano5[[#This Row],[EAP]])=9,"Nível 5",LEN(Tab.plano5[[#This Row],[EAP]])=11,"Nível 6",LEN(Tab.plano5[[#This Row],[EAP]])=11,"Nível 7")</f>
        <v>Nível 5</v>
      </c>
      <c r="C156" s="166" t="s">
        <v>355</v>
      </c>
      <c r="D156" s="177" t="str">
        <f t="shared" si="51"/>
        <v>Arquitetura de projetos GERDAU</v>
      </c>
      <c r="E156" s="170" t="str">
        <f t="shared" si="54"/>
        <v>Dimensionamento de Headcount</v>
      </c>
      <c r="F156" s="174" t="str">
        <f>$H$153</f>
        <v>Nivelamento de Recursos e Proposta de Redimensionamento</v>
      </c>
      <c r="G156" s="166" t="str">
        <f>$H$154</f>
        <v>Nivelamento de Recursos e Proposta de Redimensionamento</v>
      </c>
      <c r="H156" s="197" t="s">
        <v>356</v>
      </c>
      <c r="I156" s="166">
        <v>46013</v>
      </c>
      <c r="J156" s="166">
        <v>46014</v>
      </c>
      <c r="K156" s="166">
        <v>46013</v>
      </c>
      <c r="L156" s="166">
        <v>46014</v>
      </c>
      <c r="M156" s="167"/>
      <c r="N156" s="167" t="str">
        <f t="array" ref="N156">_xlfn.IFS(L156&lt;$M$3,"Concluído",AND(K156&gt;=$M$3,I156&lt;$M$3,L156&gt;$M$3),"Em andamento",AND(L156&gt;=$M$3,J156&lt;$M$3),"Atrasado",AND(L156&gt;=$M$3,J156&gt;=$M$3,I156&gt;$M$3,K156&lt;=$M$3),"Em andamento",AND(L156&gt;=$M$3,J156&gt;=$M$3,I156&lt;=$M$3,K156&lt;=$M$3),"Em andamento",AND(K156&gt;$M$3,I156&gt;$M$3),"Não iniciado",AND(L156&gt;=$M$3,J156&gt;=$M$3,K156&gt;=$M$3,I156&lt;$M$3),"Atrasado",AND(L156&gt;=$M$3,J156&gt;=$M$3,K156&gt;=$M$3,I156&gt;$M$3),"Não iniciado",AND($I156&lt;=$M$3,$K156&gt;$M$3),"Atrasado")</f>
        <v>Não iniciado</v>
      </c>
      <c r="O156" s="167">
        <f t="array" ref="O156">_xlfn.IFS(N156="Não iniciado",0,N156="Em andamento",1,N156="Concluído",2,N156="Atrasado",3)</f>
        <v>0</v>
      </c>
      <c r="P156" s="168"/>
      <c r="Q156" s="152">
        <f t="array" ref="Q156">_xlfn.IFS(AND($I156&lt;$M$3,$J156&lt;$M$3),1,AND($I156&lt;=$M$3,$J156&gt;=$M$3),0.5,AND($I156&gt;=$M$3,$J156&gt;=$M$3),0)</f>
        <v>0</v>
      </c>
      <c r="R156" s="152">
        <f t="array" ref="R156">_xlfn.IFS(AND($K156&lt;$M$3,$L156&lt;$M$3),1,AND($K156&lt;=$M$3,$L156&gt;=$M$3),0.5,AND($K156&gt;=$M$3,$L156&gt;=$M$3),0)</f>
        <v>0</v>
      </c>
      <c r="S156" s="201">
        <f t="array" ref="S156">_xlfn.IFS(AND($K156&gt;R$7,$L156&gt;R$7),0,AND($K156&lt;=R$7,$L156&lt;=R$7),1,AND($K156&lt;=R$7,$L156&gt;R$7),((R$7-$K156)/($L156-$K156)))</f>
        <v>0</v>
      </c>
      <c r="T156" s="201">
        <f t="array" ref="T156">_xlfn.IFS(AND($K156&gt;S$7,$L156&gt;S$7),0,AND($K156&lt;=S$7,$L156&lt;=S$7),1,AND($K156&lt;=S$7,$L156&gt;S$7),((S$7-$K156)/($L156-$K156)))</f>
        <v>0</v>
      </c>
      <c r="U156" s="201">
        <f t="array" ref="U156">_xlfn.IFS(AND($K156&gt;T$7,$L156&gt;T$7),0,AND($K156&lt;=T$7,$L156&lt;=T$7),1,AND($K156&lt;=T$7,$L156&gt;T$7),((T$7-$K156)/($L156-$K156)))</f>
        <v>0</v>
      </c>
      <c r="V156" s="201">
        <f t="array" ref="V156">_xlfn.IFS(AND($K156&gt;U$7,$L156&gt;U$7),0,AND($K156&lt;=U$7,$L156&lt;=U$7),1,AND($K156&lt;=U$7,$L156&gt;U$7),((U$7-$K156)/($L156-$K156)))</f>
        <v>0</v>
      </c>
      <c r="W156" s="201">
        <f t="array" ref="W156">_xlfn.IFS(AND($K156&gt;V$7,$L156&gt;V$7),0,AND($K156&lt;=V$7,$L156&lt;=V$7),1,AND($K156&lt;=V$7,$L156&gt;V$7),((V$7-$K156)/($L156-$K156)))</f>
        <v>0</v>
      </c>
      <c r="X156" s="201">
        <f t="array" ref="X156">_xlfn.IFS(AND($K156&gt;W$7,$L156&gt;W$7),0,AND($K156&lt;=W$7,$L156&lt;=W$7),1,AND($K156&lt;=W$7,$L156&gt;W$7),((W$7-$K156)/($L156-$K156)))</f>
        <v>0</v>
      </c>
      <c r="Y156" s="201">
        <f t="array" ref="Y156">_xlfn.IFS(AND($K156&gt;X$7,$L156&gt;X$7),0,AND($K156&lt;=X$7,$L156&lt;=X$7),1,AND($K156&lt;=X$7,$L156&gt;X$7),((X$7-$K156)/($L156-$K156)))</f>
        <v>0</v>
      </c>
      <c r="Z156" s="201">
        <f t="array" ref="Z156">_xlfn.IFS(AND($K156&gt;Y$7,$L156&gt;Y$7),0,AND($K156&lt;=Y$7,$L156&lt;=Y$7),1,AND($K156&lt;=Y$7,$L156&gt;Y$7),((Y$7-$K156)/($L156-$K156)))</f>
        <v>0</v>
      </c>
      <c r="AA156" s="201">
        <f t="array" ref="AA156">_xlfn.IFS(AND($K156&gt;Z$7,$L156&gt;Z$7),0,AND($K156&lt;=Z$7,$L156&lt;=Z$7),1,AND($K156&lt;=Z$7,$L156&gt;Z$7),((Z$7-$K156)/($L156-$K156)))</f>
        <v>0</v>
      </c>
      <c r="AB156" s="201">
        <f t="array" ref="AB156">_xlfn.IFS(AND($K156&gt;AA$7,$L156&gt;AA$7),0,AND($K156&lt;=AA$7,$L156&lt;=AA$7),1,AND($K156&lt;=AA$7,$L156&gt;AA$7),((AA$7-$K156)/($L156-$K156)))</f>
        <v>0</v>
      </c>
      <c r="AC156" s="201">
        <f t="array" ref="AC156">_xlfn.IFS(AND($K156&gt;AB$7,$L156&gt;AB$7),0,AND($K156&lt;=AB$7,$L156&lt;=AB$7),1,AND($K156&lt;=AB$7,$L156&gt;AB$7),((AB$7-$K156)/($L156-$K156)))</f>
        <v>0</v>
      </c>
      <c r="AD156" s="201">
        <f t="array" ref="AD156">_xlfn.IFS(AND($K156&gt;AC$7,$L156&gt;AC$7),0,AND($K156&lt;=AC$7,$L156&lt;=AC$7),1,AND($K156&lt;=AC$7,$L156&gt;AC$7),((AC$7-$K156)/($L156-$K156)))</f>
        <v>0</v>
      </c>
      <c r="AE156" s="201">
        <f t="array" ref="AE156">_xlfn.IFS(AND($K156&gt;AD$7,$L156&gt;AD$7),0,AND($K156&lt;=AD$7,$L156&lt;=AD$7),1,AND($K156&lt;=AD$7,$L156&gt;AD$7),((AD$7-$K156)/($L156-$K156)))</f>
        <v>0</v>
      </c>
      <c r="AF156" s="201">
        <f t="array" ref="AF156">_xlfn.IFS(AND($K156&gt;AE$7,$L156&gt;AE$7),0,AND($K156&lt;=AE$7,$L156&lt;=AE$7),1,AND($K156&lt;=AE$7,$L156&gt;AE$7),((AE$7-$K156)/($L156-$K156)))</f>
        <v>0</v>
      </c>
      <c r="AG156" s="201">
        <f t="array" ref="AG156">_xlfn.IFS(AND($K156&gt;AF$7,$L156&gt;AF$7),0,AND($K156&lt;=AF$7,$L156&lt;=AF$7),1,AND($K156&lt;=AF$7,$L156&gt;AF$7),((AF$7-$K156)/($L156-$K156)))</f>
        <v>0</v>
      </c>
      <c r="AH156" s="201">
        <f t="array" ref="AH156">_xlfn.IFS(AND($K156&gt;AG$7,$L156&gt;AG$7),0,AND($K156&lt;=AG$7,$L156&lt;=AG$7),1,AND($K156&lt;=AG$7,$L156&gt;AG$7),((AG$7-$K156)/($L156-$K156)))</f>
        <v>0</v>
      </c>
      <c r="AI156" s="201">
        <f t="array" ref="AI156">_xlfn.IFS(AND($K156&gt;AH$7,$L156&gt;AH$7),0,AND($K156&lt;=AH$7,$L156&lt;=AH$7),1,AND($K156&lt;=AH$7,$L156&gt;AH$7),((AH$7-$K156)/($L156-$K156)))</f>
        <v>0</v>
      </c>
      <c r="AJ156" s="201">
        <f t="array" ref="AJ156">_xlfn.IFS(AND($K156&gt;AI$7,$L156&gt;AI$7),0,AND($K156&lt;=AI$7,$L156&lt;=AI$7),1,AND($K156&lt;=AI$7,$L156&gt;AI$7),((AI$7-$K156)/($L156-$K156)))</f>
        <v>0</v>
      </c>
      <c r="AK156" s="201">
        <f t="array" ref="AK156">_xlfn.IFS(AND($K156&gt;AJ$7,$L156&gt;AJ$7),0,AND($K156&lt;=AJ$7,$L156&lt;=AJ$7),1,AND($K156&lt;=AJ$7,$L156&gt;AJ$7),((AJ$7-$K156)/($L156-$K156)))</f>
        <v>0</v>
      </c>
      <c r="AL156" s="201">
        <f t="array" ref="AL156">_xlfn.IFS(AND($K156&gt;AK$7,$L156&gt;AK$7),0,AND($K156&lt;=AK$7,$L156&lt;=AK$7),1,AND($K156&lt;=AK$7,$L156&gt;AK$7),((AK$7-$K156)/($L156-$K156)))</f>
        <v>0</v>
      </c>
      <c r="AM156" s="201">
        <f t="array" ref="AM156">_xlfn.IFS(AND($K156&gt;AL$7,$L156&gt;AL$7),0,AND($K156&lt;=AL$7,$L156&lt;=AL$7),1,AND($K156&lt;=AL$7,$L156&gt;AL$7),((AL$7-$K156)/($L156-$K156)))</f>
        <v>0</v>
      </c>
      <c r="AN156" s="201">
        <f t="array" ref="AN156">_xlfn.IFS(AND($K156&gt;AM$7,$L156&gt;AM$7),0,AND($K156&lt;=AM$7,$L156&lt;=AM$7),1,AND($K156&lt;=AM$7,$L156&gt;AM$7),((AM$7-$K156)/($L156-$K156)))</f>
        <v>0</v>
      </c>
      <c r="AO156" s="201">
        <f t="array" ref="AO156">_xlfn.IFS(AND($K156&gt;AN$7,$L156&gt;AN$7),0,AND($K156&lt;=AN$7,$L156&lt;=AN$7),1,AND($K156&lt;=AN$7,$L156&gt;AN$7),((AN$7-$K156)/($L156-$K156)))</f>
        <v>0</v>
      </c>
      <c r="AP156" s="201">
        <f t="array" ref="AP156">_xlfn.IFS(AND($K156&gt;AO$7,$L156&gt;AO$7),0,AND($K156&lt;=AO$7,$L156&lt;=AO$7),1,AND($K156&lt;=AO$7,$L156&gt;AO$7),((AO$7-$K156)/($L156-$K156)))</f>
        <v>0</v>
      </c>
      <c r="AQ156" s="201">
        <f t="array" ref="AQ156">_xlfn.IFS(AND($K156&gt;AP$7,$L156&gt;AP$7),0,AND($K156&lt;=AP$7,$L156&lt;=AP$7),1,AND($K156&lt;=AP$7,$L156&gt;AP$7),((AP$7-$K156)/($L156-$K156)))</f>
        <v>0</v>
      </c>
      <c r="AR156" s="201">
        <f t="array" ref="AR156">_xlfn.IFS(AND($K156&gt;AQ$7,$L156&gt;AQ$7),0,AND($K156&lt;=AQ$7,$L156&lt;=AQ$7),1,AND($K156&lt;=AQ$7,$L156&gt;AQ$7),((AQ$7-$K156)/($L156-$K156)))</f>
        <v>0</v>
      </c>
      <c r="AS156" s="201">
        <f t="array" ref="AS156">_xlfn.IFS(AND($K156&gt;AR$7,$L156&gt;AR$7),0,AND($K156&lt;=AR$7,$L156&lt;=AR$7),1,AND($K156&lt;=AR$7,$L156&gt;AR$7),((AR$7-$K156)/($L156-$K156)))</f>
        <v>0</v>
      </c>
      <c r="AT156" s="201">
        <f t="array" ref="AT156">_xlfn.IFS(AND($K156&gt;AS$7,$L156&gt;AS$7),0,AND($K156&lt;=AS$7,$L156&lt;=AS$7),1,AND($K156&lt;=AS$7,$L156&gt;AS$7),((AS$7-$K156)/($L156-$K156)))</f>
        <v>0</v>
      </c>
      <c r="AU156" s="201">
        <f t="array" ref="AU156">_xlfn.IFS(AND($K156&gt;AT$7,$L156&gt;AT$7),0,AND($K156&lt;=AT$7,$L156&lt;=AT$7),1,AND($K156&lt;=AT$7,$L156&gt;AT$7),((AT$7-$K156)/($L156-$K156)))</f>
        <v>0</v>
      </c>
      <c r="AV156" s="201">
        <f t="array" ref="AV156">_xlfn.IFS(AND($K156&gt;AU$7,$L156&gt;AU$7),0,AND($K156&lt;=AU$7,$L156&lt;=AU$7),1,AND($K156&lt;=AU$7,$L156&gt;AU$7),((AU$7-$K156)/($L156-$K156)))</f>
        <v>0</v>
      </c>
      <c r="AW156" s="201">
        <f t="array" ref="AW156">_xlfn.IFS(AND($K156&gt;AV$7,$L156&gt;AV$7),0,AND($K156&lt;=AV$7,$L156&lt;=AV$7),1,AND($K156&lt;=AV$7,$L156&gt;AV$7),((AV$7-$K156)/($L156-$K156)))</f>
        <v>0</v>
      </c>
      <c r="AX156" s="201">
        <f t="array" ref="AX156">_xlfn.IFS(AND($K156&gt;AW$7,$L156&gt;AW$7),0,AND($K156&lt;=AW$7,$L156&lt;=AW$7),1,AND($K156&lt;=AW$7,$L156&gt;AW$7),((AW$7-$K156)/($L156-$K156)))</f>
        <v>0</v>
      </c>
      <c r="AY156" s="201">
        <f t="array" ref="AY156">_xlfn.IFS(AND($K156&gt;AX$7,$L156&gt;AX$7),0,AND($K156&lt;=AX$7,$L156&lt;=AX$7),1,AND($K156&lt;=AX$7,$L156&gt;AX$7),((AX$7-$K156)/($L156-$K156)))</f>
        <v>0</v>
      </c>
      <c r="AZ156" s="201">
        <f t="array" ref="AZ156">_xlfn.IFS(AND($K156&gt;AY$7,$L156&gt;AY$7),0,AND($K156&lt;=AY$7,$L156&lt;=AY$7),1,AND($K156&lt;=AY$7,$L156&gt;AY$7),((AY$7-$K156)/($L156-$K156)))</f>
        <v>0</v>
      </c>
      <c r="BA156" s="201">
        <f t="array" ref="BA156">_xlfn.IFS(AND($K156&gt;AZ$7,$L156&gt;AZ$7),0,AND($K156&lt;=AZ$7,$L156&lt;=AZ$7),1,AND($K156&lt;=AZ$7,$L156&gt;AZ$7),((AZ$7-$K156)/($L156-$K156)))</f>
        <v>0</v>
      </c>
      <c r="BB156" s="201">
        <f t="array" ref="BB156">_xlfn.IFS(AND($K156&gt;BA$7,$L156&gt;BA$7),0,AND($K156&lt;=BA$7,$L156&lt;=BA$7),1,AND($K156&lt;=BA$7,$L156&gt;BA$7),((BA$7-$K156)/($L156-$K156)))</f>
        <v>0</v>
      </c>
      <c r="BC156" s="201">
        <f t="array" ref="BC156">_xlfn.IFS(AND($K156&gt;BB$7,$L156&gt;BB$7),0,AND($K156&lt;=BB$7,$L156&lt;=BB$7),1,AND($K156&lt;=BB$7,$L156&gt;BB$7),((BB$7-$K156)/($L156-$K156)))</f>
        <v>0</v>
      </c>
      <c r="BD156" s="201">
        <f t="array" ref="BD156">_xlfn.IFS(AND($K156&gt;BC$7,$L156&gt;BC$7),0,AND($K156&lt;=BC$7,$L156&lt;=BC$7),1,AND($K156&lt;=BC$7,$L156&gt;BC$7),((BC$7-$K156)/($L156-$K156)))</f>
        <v>0</v>
      </c>
      <c r="BE156" s="201">
        <f t="array" ref="BE156">_xlfn.IFS(AND($K156&gt;BD$7,$L156&gt;BD$7),0,AND($K156&lt;=BD$7,$L156&lt;=BD$7),1,AND($K156&lt;=BD$7,$L156&gt;BD$7),((BD$7-$K156)/($L156-$K156)))</f>
        <v>0</v>
      </c>
      <c r="BF156" s="201">
        <f t="array" ref="BF156">_xlfn.IFS(AND($K156&gt;BE$7,$L156&gt;BE$7),0,AND($K156&lt;=BE$7,$L156&lt;=BE$7),1,AND($K156&lt;=BE$7,$L156&gt;BE$7),((BE$7-$K156)/($L156-$K156)))</f>
        <v>0</v>
      </c>
      <c r="BG156" s="201">
        <f t="array" ref="BG156">_xlfn.IFS(AND($K156&gt;BF$7,$L156&gt;BF$7),0,AND($K156&lt;=BF$7,$L156&lt;=BF$7),1,AND($K156&lt;=BF$7,$L156&gt;BF$7),((BF$7-$K156)/($L156-$K156)))</f>
        <v>0</v>
      </c>
      <c r="BH156" s="201">
        <f t="array" ref="BH156">_xlfn.IFS(AND($K156&gt;BG$7,$L156&gt;BG$7),0,AND($K156&lt;=BG$7,$L156&lt;=BG$7),1,AND($K156&lt;=BG$7,$L156&gt;BG$7),((BG$7-$K156)/($L156-$K156)))</f>
        <v>0</v>
      </c>
      <c r="BI156" s="201">
        <f t="array" ref="BI156">_xlfn.IFS(AND($K156&gt;BH$7,$L156&gt;BH$7),0,AND($K156&lt;=BH$7,$L156&lt;=BH$7),1,AND($K156&lt;=BH$7,$L156&gt;BH$7),((BH$7-$K156)/($L156-$K156)))</f>
        <v>0</v>
      </c>
      <c r="BJ156" s="201">
        <f t="array" ref="BJ156">_xlfn.IFS(AND($K156&gt;BI$7,$L156&gt;BI$7),0,AND($K156&lt;=BI$7,$L156&lt;=BI$7),1,AND($K156&lt;=BI$7,$L156&gt;BI$7),((BI$7-$K156)/($L156-$K156)))</f>
        <v>0</v>
      </c>
      <c r="BK156" s="201">
        <f t="array" ref="BK156">_xlfn.IFS(AND($K156&gt;BJ$7,$L156&gt;BJ$7),0,AND($K156&lt;=BJ$7,$L156&lt;=BJ$7),1,AND($K156&lt;=BJ$7,$L156&gt;BJ$7),((BJ$7-$K156)/($L156-$K156)))</f>
        <v>0</v>
      </c>
      <c r="BL156" s="201">
        <f t="array" ref="BL156">_xlfn.IFS(AND($K156&gt;BK$7,$L156&gt;BK$7),0,AND($K156&lt;=BK$7,$L156&lt;=BK$7),1,AND($K156&lt;=BK$7,$L156&gt;BK$7),((BK$7-$K156)/($L156-$K156)))</f>
        <v>0</v>
      </c>
      <c r="BM156" s="201">
        <f t="array" ref="BM156">_xlfn.IFS(AND($K156&gt;BL$7,$L156&gt;BL$7),0,AND($K156&lt;=BL$7,$L156&lt;=BL$7),1,AND($K156&lt;=BL$7,$L156&gt;BL$7),((BL$7-$K156)/($L156-$K156)))</f>
        <v>0</v>
      </c>
      <c r="BN156" s="201">
        <f t="array" ref="BN156">_xlfn.IFS(AND($K156&gt;BM$7,$L156&gt;BM$7),0,AND($K156&lt;=BM$7,$L156&lt;=BM$7),1,AND($K156&lt;=BM$7,$L156&gt;BM$7),((BM$7-$K156)/($L156-$K156)))</f>
        <v>1</v>
      </c>
    </row>
    <row r="157" spans="2:66" x14ac:dyDescent="0.3">
      <c r="H157" s="199"/>
      <c r="I157" s="111"/>
      <c r="J157" s="111"/>
      <c r="K157" s="111"/>
      <c r="L157" s="6"/>
      <c r="M157" s="138"/>
      <c r="N157" s="138"/>
      <c r="O157" s="9"/>
      <c r="P157" s="9"/>
      <c r="Q157" s="153"/>
    </row>
    <row r="158" spans="2:66" x14ac:dyDescent="0.3">
      <c r="H158" s="199"/>
      <c r="I158" s="111"/>
      <c r="J158" s="111"/>
      <c r="K158" s="111"/>
      <c r="L158" s="6"/>
      <c r="M158" s="138"/>
      <c r="N158" s="138"/>
      <c r="O158" s="9"/>
      <c r="P158" s="9"/>
      <c r="Q158" s="153"/>
    </row>
    <row r="159" spans="2:66" x14ac:dyDescent="0.3">
      <c r="H159" s="199"/>
      <c r="I159" s="111"/>
      <c r="J159" s="111"/>
      <c r="K159" s="111"/>
      <c r="L159" s="6"/>
      <c r="M159" s="138"/>
      <c r="N159" s="138"/>
      <c r="O159" s="9"/>
      <c r="P159" s="9"/>
      <c r="Q159" s="153"/>
    </row>
    <row r="160" spans="2:66" x14ac:dyDescent="0.3">
      <c r="H160" s="199"/>
      <c r="I160" s="111"/>
      <c r="J160" s="111"/>
      <c r="K160" s="111"/>
      <c r="L160" s="6"/>
      <c r="M160" s="138"/>
      <c r="N160" s="138"/>
      <c r="O160" s="9"/>
      <c r="P160" s="9"/>
      <c r="Q160" s="153"/>
    </row>
    <row r="161" spans="8:17" x14ac:dyDescent="0.3">
      <c r="H161" s="199"/>
      <c r="I161" s="111"/>
      <c r="J161" s="111"/>
      <c r="K161" s="111"/>
      <c r="L161" s="6"/>
      <c r="M161" s="138"/>
      <c r="N161" s="138"/>
      <c r="O161" s="9"/>
      <c r="P161" s="9"/>
      <c r="Q161" s="153"/>
    </row>
    <row r="162" spans="8:17" x14ac:dyDescent="0.3">
      <c r="H162" s="199"/>
      <c r="I162" s="111"/>
      <c r="J162" s="111"/>
      <c r="K162" s="111"/>
      <c r="L162" s="6"/>
      <c r="M162" s="138"/>
      <c r="N162" s="138"/>
      <c r="O162" s="9"/>
      <c r="P162" s="9"/>
      <c r="Q162" s="153"/>
    </row>
    <row r="163" spans="8:17" x14ac:dyDescent="0.3">
      <c r="H163" s="199"/>
      <c r="I163" s="111"/>
      <c r="J163" s="111"/>
      <c r="K163" s="111"/>
      <c r="L163" s="6"/>
      <c r="M163" s="138"/>
      <c r="N163" s="138"/>
      <c r="O163" s="9"/>
      <c r="P163" s="9"/>
      <c r="Q163" s="153"/>
    </row>
    <row r="164" spans="8:17" x14ac:dyDescent="0.3">
      <c r="H164" s="199"/>
      <c r="I164" s="111"/>
      <c r="J164" s="111"/>
      <c r="K164" s="111"/>
      <c r="L164" s="6"/>
      <c r="M164" s="138"/>
      <c r="N164" s="138"/>
      <c r="O164" s="9"/>
      <c r="P164" s="9"/>
      <c r="Q164" s="153"/>
    </row>
    <row r="165" spans="8:17" x14ac:dyDescent="0.3">
      <c r="H165" s="199"/>
      <c r="I165" s="111"/>
      <c r="J165" s="111"/>
      <c r="K165" s="111"/>
      <c r="L165" s="6"/>
      <c r="M165" s="138"/>
      <c r="N165" s="138"/>
      <c r="O165" s="9"/>
      <c r="P165" s="9"/>
      <c r="Q165" s="153"/>
    </row>
    <row r="166" spans="8:17" x14ac:dyDescent="0.3">
      <c r="H166" s="199"/>
      <c r="I166" s="111"/>
      <c r="J166" s="111"/>
      <c r="K166" s="111"/>
      <c r="L166" s="6"/>
      <c r="M166" s="138"/>
      <c r="N166" s="138"/>
      <c r="O166" s="9"/>
      <c r="P166" s="9"/>
      <c r="Q166" s="153"/>
    </row>
    <row r="167" spans="8:17" x14ac:dyDescent="0.3">
      <c r="H167" s="199"/>
      <c r="I167" s="111"/>
      <c r="J167" s="111"/>
      <c r="K167" s="111"/>
      <c r="L167" s="6"/>
      <c r="M167" s="138"/>
      <c r="N167" s="138"/>
      <c r="O167" s="9"/>
      <c r="P167" s="9"/>
      <c r="Q167" s="153"/>
    </row>
    <row r="168" spans="8:17" x14ac:dyDescent="0.3">
      <c r="H168" s="199"/>
      <c r="I168" s="111"/>
      <c r="J168" s="111"/>
      <c r="K168" s="111"/>
      <c r="L168" s="6"/>
      <c r="M168" s="138"/>
      <c r="N168" s="138"/>
      <c r="O168" s="9"/>
      <c r="P168" s="9"/>
      <c r="Q168" s="153"/>
    </row>
    <row r="169" spans="8:17" x14ac:dyDescent="0.3">
      <c r="H169" s="199"/>
      <c r="I169" s="111"/>
      <c r="J169" s="111"/>
      <c r="K169" s="111"/>
      <c r="L169" s="6"/>
      <c r="M169" s="138"/>
      <c r="N169" s="138"/>
      <c r="O169" s="9"/>
      <c r="P169" s="9"/>
      <c r="Q169" s="153"/>
    </row>
    <row r="170" spans="8:17" x14ac:dyDescent="0.3">
      <c r="H170" s="199"/>
      <c r="I170" s="111"/>
      <c r="J170" s="111"/>
      <c r="K170" s="111"/>
      <c r="L170" s="6"/>
      <c r="M170" s="138"/>
      <c r="N170" s="138"/>
      <c r="O170" s="9"/>
      <c r="P170" s="9"/>
      <c r="Q170" s="153"/>
    </row>
    <row r="171" spans="8:17" x14ac:dyDescent="0.3">
      <c r="H171" s="199"/>
      <c r="I171" s="111"/>
      <c r="J171" s="111"/>
      <c r="K171" s="111"/>
      <c r="L171" s="6"/>
      <c r="M171" s="138"/>
      <c r="N171" s="138"/>
      <c r="O171" s="9"/>
      <c r="P171" s="9"/>
      <c r="Q171" s="153"/>
    </row>
    <row r="172" spans="8:17" x14ac:dyDescent="0.3">
      <c r="H172" s="199"/>
      <c r="I172" s="111"/>
      <c r="J172" s="111"/>
      <c r="K172" s="111"/>
      <c r="L172" s="6"/>
      <c r="M172" s="138"/>
      <c r="N172" s="138"/>
      <c r="O172" s="9"/>
      <c r="P172" s="9"/>
      <c r="Q172" s="153"/>
    </row>
    <row r="173" spans="8:17" x14ac:dyDescent="0.3">
      <c r="H173" s="199"/>
      <c r="I173" s="111"/>
      <c r="J173" s="111"/>
      <c r="K173" s="111"/>
      <c r="L173" s="6"/>
      <c r="M173" s="138"/>
      <c r="N173" s="138"/>
      <c r="O173" s="9"/>
      <c r="P173" s="9"/>
      <c r="Q173" s="153"/>
    </row>
    <row r="174" spans="8:17" x14ac:dyDescent="0.3">
      <c r="H174" s="199"/>
      <c r="I174" s="111"/>
      <c r="J174" s="111"/>
      <c r="K174" s="111"/>
      <c r="L174" s="6"/>
      <c r="M174" s="138"/>
      <c r="N174" s="138"/>
      <c r="O174" s="9"/>
      <c r="P174" s="9"/>
      <c r="Q174" s="153"/>
    </row>
    <row r="175" spans="8:17" x14ac:dyDescent="0.3">
      <c r="H175" s="199"/>
      <c r="I175" s="111"/>
      <c r="J175" s="111"/>
      <c r="K175" s="111"/>
      <c r="L175" s="6"/>
      <c r="M175" s="138"/>
      <c r="N175" s="138"/>
      <c r="O175" s="9"/>
      <c r="P175" s="9"/>
      <c r="Q175" s="153"/>
    </row>
    <row r="176" spans="8:17" x14ac:dyDescent="0.3">
      <c r="H176" s="199"/>
      <c r="I176" s="111"/>
      <c r="J176" s="111"/>
      <c r="K176" s="111"/>
      <c r="L176" s="6"/>
      <c r="M176" s="138"/>
      <c r="N176" s="138"/>
      <c r="O176" s="9"/>
      <c r="P176" s="9"/>
      <c r="Q176" s="153"/>
    </row>
    <row r="177" spans="8:17" x14ac:dyDescent="0.3">
      <c r="H177" s="199"/>
      <c r="I177" s="111"/>
      <c r="J177" s="111"/>
      <c r="K177" s="111"/>
      <c r="L177" s="6"/>
      <c r="M177" s="138"/>
      <c r="N177" s="138"/>
      <c r="O177" s="9"/>
      <c r="P177" s="9"/>
      <c r="Q177" s="153"/>
    </row>
    <row r="178" spans="8:17" x14ac:dyDescent="0.3">
      <c r="H178" s="199"/>
      <c r="I178" s="111"/>
      <c r="J178" s="111"/>
      <c r="K178" s="111"/>
      <c r="L178" s="6"/>
      <c r="M178" s="138"/>
      <c r="N178" s="138"/>
      <c r="O178" s="9"/>
      <c r="P178" s="9"/>
      <c r="Q178" s="153"/>
    </row>
    <row r="179" spans="8:17" x14ac:dyDescent="0.3">
      <c r="H179" s="199"/>
      <c r="I179" s="111"/>
      <c r="J179" s="111"/>
      <c r="K179" s="111"/>
      <c r="L179" s="6"/>
      <c r="M179" s="138"/>
      <c r="N179" s="138"/>
      <c r="O179" s="9"/>
      <c r="P179" s="9"/>
      <c r="Q179" s="153"/>
    </row>
    <row r="180" spans="8:17" x14ac:dyDescent="0.3">
      <c r="H180" s="199"/>
      <c r="I180" s="111"/>
      <c r="J180" s="111"/>
      <c r="K180" s="111"/>
      <c r="L180" s="6"/>
      <c r="M180" s="138"/>
      <c r="N180" s="138"/>
      <c r="O180" s="9"/>
      <c r="P180" s="9"/>
      <c r="Q180" s="153"/>
    </row>
    <row r="181" spans="8:17" x14ac:dyDescent="0.3">
      <c r="H181" s="199"/>
      <c r="I181" s="111"/>
      <c r="J181" s="111"/>
      <c r="K181" s="111"/>
      <c r="L181" s="6"/>
      <c r="M181" s="138"/>
      <c r="N181" s="138"/>
      <c r="O181" s="9"/>
      <c r="P181" s="9"/>
      <c r="Q181" s="153"/>
    </row>
    <row r="182" spans="8:17" x14ac:dyDescent="0.3">
      <c r="H182" s="199"/>
      <c r="I182" s="111"/>
      <c r="J182" s="111"/>
      <c r="K182" s="111"/>
      <c r="L182" s="6"/>
      <c r="M182" s="138"/>
      <c r="N182" s="138"/>
      <c r="O182" s="9"/>
      <c r="P182" s="9"/>
      <c r="Q182" s="153"/>
    </row>
    <row r="183" spans="8:17" x14ac:dyDescent="0.3">
      <c r="H183" s="199"/>
      <c r="I183" s="111"/>
      <c r="J183" s="111"/>
      <c r="K183" s="111"/>
      <c r="L183" s="6"/>
      <c r="M183" s="138"/>
      <c r="N183" s="138"/>
      <c r="O183" s="9"/>
      <c r="P183" s="9"/>
      <c r="Q183" s="153"/>
    </row>
    <row r="184" spans="8:17" x14ac:dyDescent="0.3">
      <c r="H184" s="199"/>
      <c r="I184" s="111"/>
      <c r="J184" s="111"/>
      <c r="K184" s="111"/>
      <c r="L184" s="6"/>
      <c r="M184" s="138"/>
      <c r="N184" s="138"/>
      <c r="O184" s="9"/>
      <c r="P184" s="9"/>
      <c r="Q184" s="153"/>
    </row>
    <row r="185" spans="8:17" x14ac:dyDescent="0.3">
      <c r="H185" s="199"/>
      <c r="I185" s="111"/>
      <c r="J185" s="111"/>
      <c r="K185" s="111"/>
      <c r="L185" s="6"/>
      <c r="M185" s="138"/>
      <c r="N185" s="138"/>
      <c r="O185" s="9"/>
      <c r="P185" s="9"/>
      <c r="Q185" s="153"/>
    </row>
    <row r="186" spans="8:17" x14ac:dyDescent="0.3">
      <c r="H186" s="199"/>
      <c r="I186" s="111"/>
      <c r="J186" s="111"/>
      <c r="K186" s="111"/>
      <c r="L186" s="6"/>
      <c r="M186" s="138"/>
      <c r="N186" s="138"/>
      <c r="O186" s="9"/>
      <c r="P186" s="9"/>
      <c r="Q186" s="153"/>
    </row>
    <row r="187" spans="8:17" x14ac:dyDescent="0.3">
      <c r="H187" s="199"/>
      <c r="I187" s="111"/>
      <c r="J187" s="111"/>
      <c r="K187" s="111"/>
      <c r="L187" s="6"/>
      <c r="M187" s="138"/>
      <c r="N187" s="138"/>
      <c r="O187" s="9"/>
      <c r="P187" s="9"/>
      <c r="Q187" s="153"/>
    </row>
    <row r="188" spans="8:17" x14ac:dyDescent="0.3">
      <c r="H188" s="199"/>
      <c r="I188" s="111"/>
      <c r="J188" s="111"/>
      <c r="K188" s="111"/>
      <c r="L188" s="6"/>
      <c r="M188" s="138"/>
      <c r="N188" s="138"/>
      <c r="O188" s="9"/>
      <c r="P188" s="9"/>
      <c r="Q188" s="153"/>
    </row>
    <row r="189" spans="8:17" x14ac:dyDescent="0.3">
      <c r="H189" s="199"/>
      <c r="I189" s="111"/>
      <c r="J189" s="111"/>
      <c r="K189" s="111"/>
      <c r="L189" s="6"/>
      <c r="M189" s="138"/>
      <c r="N189" s="138"/>
      <c r="O189" s="9"/>
      <c r="P189" s="9"/>
      <c r="Q189" s="153"/>
    </row>
    <row r="190" spans="8:17" x14ac:dyDescent="0.3">
      <c r="H190" s="199"/>
      <c r="I190" s="111"/>
      <c r="J190" s="111"/>
      <c r="K190" s="111"/>
      <c r="L190" s="6"/>
      <c r="M190" s="138"/>
      <c r="N190" s="138"/>
      <c r="O190" s="9"/>
      <c r="P190" s="9"/>
      <c r="Q190" s="153"/>
    </row>
    <row r="191" spans="8:17" x14ac:dyDescent="0.3">
      <c r="H191" s="199"/>
      <c r="I191" s="111"/>
      <c r="J191" s="111"/>
      <c r="K191" s="111"/>
      <c r="L191" s="6"/>
      <c r="M191" s="138"/>
      <c r="N191" s="138"/>
      <c r="O191" s="9"/>
      <c r="P191" s="9"/>
      <c r="Q191" s="153"/>
    </row>
    <row r="192" spans="8:17" x14ac:dyDescent="0.3">
      <c r="H192" s="199"/>
      <c r="I192" s="111"/>
      <c r="J192" s="111"/>
      <c r="K192" s="111"/>
      <c r="L192" s="6"/>
      <c r="M192" s="138"/>
      <c r="N192" s="138"/>
      <c r="O192" s="9"/>
      <c r="P192" s="9"/>
      <c r="Q192" s="153"/>
    </row>
    <row r="193" spans="8:17" x14ac:dyDescent="0.3">
      <c r="H193" s="199"/>
      <c r="I193" s="111"/>
      <c r="J193" s="111"/>
      <c r="K193" s="111"/>
      <c r="L193" s="6"/>
      <c r="M193" s="138"/>
      <c r="N193" s="138"/>
      <c r="O193" s="9"/>
      <c r="P193" s="9"/>
      <c r="Q193" s="153"/>
    </row>
    <row r="194" spans="8:17" x14ac:dyDescent="0.3">
      <c r="H194" s="199"/>
      <c r="I194" s="111"/>
      <c r="J194" s="111"/>
      <c r="K194" s="111"/>
      <c r="L194" s="6"/>
      <c r="M194" s="138"/>
      <c r="N194" s="138"/>
      <c r="O194" s="9"/>
      <c r="P194" s="9"/>
      <c r="Q194" s="153"/>
    </row>
    <row r="195" spans="8:17" x14ac:dyDescent="0.3">
      <c r="H195" s="199"/>
      <c r="I195" s="111"/>
      <c r="J195" s="111"/>
      <c r="K195" s="111"/>
      <c r="L195" s="6"/>
      <c r="M195" s="138"/>
      <c r="N195" s="138"/>
      <c r="O195" s="9"/>
      <c r="P195" s="9"/>
      <c r="Q195" s="153"/>
    </row>
    <row r="196" spans="8:17" x14ac:dyDescent="0.3">
      <c r="H196" s="199"/>
      <c r="I196" s="111"/>
      <c r="J196" s="111"/>
      <c r="K196" s="111"/>
      <c r="L196" s="6"/>
      <c r="M196" s="138"/>
      <c r="N196" s="138"/>
      <c r="O196" s="9"/>
      <c r="P196" s="9"/>
      <c r="Q196" s="153"/>
    </row>
    <row r="197" spans="8:17" x14ac:dyDescent="0.3">
      <c r="H197" s="199"/>
      <c r="I197" s="111"/>
      <c r="J197" s="111"/>
      <c r="K197" s="111"/>
      <c r="L197" s="6"/>
      <c r="M197" s="138"/>
      <c r="N197" s="138"/>
      <c r="O197" s="9"/>
      <c r="P197" s="9"/>
      <c r="Q197" s="153"/>
    </row>
    <row r="198" spans="8:17" x14ac:dyDescent="0.3">
      <c r="H198" s="199"/>
      <c r="I198" s="111"/>
      <c r="J198" s="111"/>
      <c r="K198" s="111"/>
      <c r="L198" s="6"/>
      <c r="M198" s="138"/>
      <c r="N198" s="138"/>
      <c r="O198" s="9"/>
      <c r="P198" s="9"/>
      <c r="Q198" s="153"/>
    </row>
    <row r="199" spans="8:17" x14ac:dyDescent="0.3">
      <c r="H199" s="199"/>
      <c r="I199" s="111"/>
      <c r="J199" s="111"/>
      <c r="K199" s="111"/>
      <c r="L199" s="6"/>
      <c r="M199" s="138"/>
      <c r="N199" s="138"/>
      <c r="O199" s="9"/>
      <c r="P199" s="9"/>
      <c r="Q199" s="153"/>
    </row>
    <row r="200" spans="8:17" x14ac:dyDescent="0.3">
      <c r="H200" s="199"/>
      <c r="I200" s="111"/>
      <c r="J200" s="111"/>
      <c r="K200" s="111"/>
      <c r="L200" s="6"/>
      <c r="M200" s="138"/>
      <c r="N200" s="138"/>
      <c r="O200" s="9"/>
      <c r="P200" s="9"/>
      <c r="Q200" s="153"/>
    </row>
    <row r="201" spans="8:17" x14ac:dyDescent="0.3">
      <c r="H201" s="199"/>
      <c r="I201" s="111"/>
      <c r="J201" s="111"/>
      <c r="K201" s="111"/>
      <c r="L201" s="6"/>
      <c r="M201" s="138"/>
      <c r="N201" s="138"/>
      <c r="O201" s="9"/>
      <c r="P201" s="9"/>
      <c r="Q201" s="153"/>
    </row>
    <row r="202" spans="8:17" x14ac:dyDescent="0.3">
      <c r="H202" s="199"/>
      <c r="I202" s="111"/>
      <c r="J202" s="111"/>
      <c r="K202" s="111"/>
      <c r="L202" s="6"/>
      <c r="M202" s="138"/>
      <c r="N202" s="138"/>
      <c r="O202" s="9"/>
      <c r="P202" s="9"/>
      <c r="Q202" s="153"/>
    </row>
    <row r="203" spans="8:17" x14ac:dyDescent="0.3">
      <c r="H203" s="199"/>
      <c r="I203" s="111"/>
      <c r="J203" s="111"/>
      <c r="K203" s="111"/>
      <c r="L203" s="6"/>
      <c r="M203" s="138"/>
      <c r="N203" s="138"/>
      <c r="O203" s="9"/>
      <c r="P203" s="9"/>
      <c r="Q203" s="153"/>
    </row>
    <row r="204" spans="8:17" x14ac:dyDescent="0.3">
      <c r="H204" s="199"/>
      <c r="I204" s="111"/>
      <c r="J204" s="111"/>
      <c r="K204" s="111"/>
      <c r="L204" s="6"/>
      <c r="M204" s="138"/>
      <c r="N204" s="138"/>
      <c r="O204" s="9"/>
      <c r="P204" s="9"/>
      <c r="Q204" s="153"/>
    </row>
    <row r="205" spans="8:17" x14ac:dyDescent="0.3">
      <c r="H205" s="199"/>
      <c r="I205" s="111"/>
      <c r="J205" s="111"/>
      <c r="K205" s="111"/>
      <c r="L205" s="6"/>
      <c r="M205" s="138"/>
      <c r="N205" s="138"/>
      <c r="O205" s="9"/>
      <c r="P205" s="9"/>
      <c r="Q205" s="153"/>
    </row>
    <row r="206" spans="8:17" x14ac:dyDescent="0.3">
      <c r="H206" s="199"/>
      <c r="I206" s="111"/>
      <c r="J206" s="111"/>
      <c r="K206" s="111"/>
      <c r="L206" s="6"/>
      <c r="M206" s="138"/>
      <c r="N206" s="138"/>
      <c r="O206" s="9"/>
      <c r="P206" s="9"/>
      <c r="Q206" s="153"/>
    </row>
    <row r="207" spans="8:17" x14ac:dyDescent="0.3">
      <c r="H207" s="199"/>
      <c r="I207" s="111"/>
      <c r="J207" s="111"/>
      <c r="K207" s="111"/>
      <c r="L207" s="6"/>
      <c r="M207" s="138"/>
      <c r="N207" s="138"/>
      <c r="O207" s="9"/>
      <c r="P207" s="9"/>
      <c r="Q207" s="153"/>
    </row>
    <row r="208" spans="8:17" x14ac:dyDescent="0.3">
      <c r="H208" s="199"/>
      <c r="I208" s="111"/>
      <c r="J208" s="111"/>
      <c r="K208" s="111"/>
      <c r="L208" s="6"/>
      <c r="M208" s="138"/>
      <c r="N208" s="138"/>
      <c r="O208" s="9"/>
      <c r="P208" s="9"/>
      <c r="Q208" s="153"/>
    </row>
    <row r="209" spans="8:17" x14ac:dyDescent="0.3">
      <c r="H209" s="199"/>
      <c r="I209" s="111"/>
      <c r="J209" s="111"/>
      <c r="K209" s="111"/>
      <c r="L209" s="6"/>
      <c r="M209" s="138"/>
      <c r="N209" s="138"/>
      <c r="O209" s="9"/>
      <c r="P209" s="9"/>
      <c r="Q209" s="153"/>
    </row>
    <row r="210" spans="8:17" x14ac:dyDescent="0.3">
      <c r="H210" s="199"/>
      <c r="I210" s="111"/>
      <c r="J210" s="111"/>
      <c r="K210" s="111"/>
      <c r="L210" s="6"/>
      <c r="M210" s="138"/>
      <c r="N210" s="138"/>
      <c r="O210" s="9"/>
      <c r="P210" s="9"/>
      <c r="Q210" s="153"/>
    </row>
    <row r="211" spans="8:17" x14ac:dyDescent="0.3">
      <c r="H211" s="199"/>
      <c r="I211" s="111"/>
      <c r="J211" s="111"/>
      <c r="K211" s="111"/>
      <c r="L211" s="6"/>
      <c r="M211" s="138"/>
      <c r="N211" s="138"/>
      <c r="O211" s="9"/>
      <c r="P211" s="9"/>
      <c r="Q211" s="153"/>
    </row>
    <row r="212" spans="8:17" x14ac:dyDescent="0.3">
      <c r="H212" s="199"/>
      <c r="I212" s="111"/>
      <c r="J212" s="111"/>
      <c r="K212" s="111"/>
      <c r="L212" s="6"/>
      <c r="M212" s="138"/>
      <c r="N212" s="138"/>
      <c r="O212" s="9"/>
      <c r="P212" s="9"/>
      <c r="Q212" s="153"/>
    </row>
    <row r="213" spans="8:17" x14ac:dyDescent="0.3">
      <c r="H213" s="199"/>
      <c r="I213" s="111"/>
      <c r="J213" s="111"/>
      <c r="K213" s="111"/>
      <c r="L213" s="6"/>
      <c r="M213" s="138"/>
      <c r="N213" s="138"/>
      <c r="O213" s="9"/>
      <c r="P213" s="9"/>
      <c r="Q213" s="153"/>
    </row>
    <row r="214" spans="8:17" x14ac:dyDescent="0.3">
      <c r="H214" s="199"/>
      <c r="I214" s="111"/>
      <c r="J214" s="111"/>
      <c r="K214" s="111"/>
      <c r="L214" s="6"/>
      <c r="M214" s="138"/>
      <c r="N214" s="138"/>
      <c r="O214" s="9"/>
      <c r="P214" s="9"/>
      <c r="Q214" s="153"/>
    </row>
    <row r="215" spans="8:17" x14ac:dyDescent="0.3">
      <c r="H215" s="199"/>
      <c r="I215" s="111"/>
      <c r="J215" s="111"/>
      <c r="K215" s="111"/>
      <c r="L215" s="6"/>
      <c r="M215" s="138"/>
      <c r="N215" s="138"/>
      <c r="O215" s="9"/>
      <c r="P215" s="9"/>
      <c r="Q215" s="153"/>
    </row>
    <row r="216" spans="8:17" x14ac:dyDescent="0.3">
      <c r="H216" s="199"/>
      <c r="I216" s="111"/>
      <c r="J216" s="111"/>
      <c r="K216" s="111"/>
      <c r="L216" s="6"/>
      <c r="M216" s="138"/>
      <c r="N216" s="138"/>
      <c r="O216" s="9"/>
      <c r="P216" s="9"/>
      <c r="Q216" s="153"/>
    </row>
    <row r="217" spans="8:17" x14ac:dyDescent="0.3">
      <c r="H217" s="199"/>
      <c r="I217" s="111"/>
      <c r="J217" s="111"/>
      <c r="K217" s="111"/>
      <c r="L217" s="6"/>
      <c r="M217" s="138"/>
      <c r="N217" s="138"/>
      <c r="O217" s="9"/>
      <c r="P217" s="9"/>
      <c r="Q217" s="153"/>
    </row>
    <row r="218" spans="8:17" x14ac:dyDescent="0.3">
      <c r="H218" s="199"/>
      <c r="I218" s="111"/>
      <c r="J218" s="111"/>
      <c r="K218" s="111"/>
      <c r="L218" s="6"/>
      <c r="M218" s="138"/>
      <c r="N218" s="138"/>
      <c r="O218" s="9"/>
      <c r="P218" s="9"/>
      <c r="Q218" s="153"/>
    </row>
    <row r="219" spans="8:17" x14ac:dyDescent="0.3">
      <c r="H219" s="199"/>
      <c r="I219" s="111"/>
      <c r="J219" s="111"/>
      <c r="K219" s="111"/>
      <c r="L219" s="6"/>
      <c r="M219" s="138"/>
      <c r="N219" s="138"/>
      <c r="O219" s="9"/>
      <c r="P219" s="9"/>
      <c r="Q219" s="153"/>
    </row>
    <row r="220" spans="8:17" x14ac:dyDescent="0.3">
      <c r="H220" s="199"/>
      <c r="I220" s="111"/>
      <c r="J220" s="111"/>
      <c r="K220" s="111"/>
      <c r="L220" s="6"/>
      <c r="M220" s="138"/>
      <c r="N220" s="138"/>
      <c r="O220" s="9"/>
      <c r="P220" s="9"/>
      <c r="Q220" s="153"/>
    </row>
    <row r="221" spans="8:17" x14ac:dyDescent="0.3">
      <c r="H221" s="199"/>
      <c r="I221" s="111"/>
      <c r="J221" s="111"/>
      <c r="K221" s="111"/>
      <c r="L221" s="6"/>
      <c r="M221" s="138"/>
      <c r="N221" s="138"/>
      <c r="O221" s="9"/>
      <c r="P221" s="9"/>
      <c r="Q221" s="153"/>
    </row>
    <row r="222" spans="8:17" x14ac:dyDescent="0.3">
      <c r="H222" s="199"/>
      <c r="I222" s="111"/>
      <c r="J222" s="111"/>
      <c r="K222" s="111"/>
      <c r="L222" s="6"/>
      <c r="M222" s="138"/>
      <c r="N222" s="138"/>
      <c r="O222" s="9"/>
      <c r="P222" s="9"/>
      <c r="Q222" s="153"/>
    </row>
    <row r="223" spans="8:17" x14ac:dyDescent="0.3">
      <c r="H223" s="199"/>
      <c r="I223" s="111"/>
      <c r="J223" s="111"/>
      <c r="K223" s="111"/>
      <c r="L223" s="6"/>
      <c r="M223" s="138"/>
      <c r="N223" s="138"/>
      <c r="O223" s="9"/>
      <c r="P223" s="9"/>
      <c r="Q223" s="153"/>
    </row>
    <row r="224" spans="8:17" x14ac:dyDescent="0.3">
      <c r="H224" s="199"/>
      <c r="I224" s="111"/>
      <c r="J224" s="111"/>
      <c r="K224" s="111"/>
      <c r="L224" s="6"/>
      <c r="M224" s="138"/>
      <c r="N224" s="138"/>
      <c r="O224" s="9"/>
      <c r="P224" s="9"/>
      <c r="Q224" s="153"/>
    </row>
    <row r="225" spans="8:17" x14ac:dyDescent="0.3">
      <c r="H225" s="199"/>
      <c r="I225" s="111"/>
      <c r="J225" s="111"/>
      <c r="K225" s="111"/>
      <c r="L225" s="6"/>
      <c r="M225" s="138"/>
      <c r="N225" s="138"/>
      <c r="O225" s="9"/>
      <c r="P225" s="9"/>
      <c r="Q225" s="153"/>
    </row>
    <row r="226" spans="8:17" x14ac:dyDescent="0.3">
      <c r="H226" s="199"/>
      <c r="I226" s="111"/>
      <c r="J226" s="111"/>
      <c r="K226" s="111"/>
      <c r="L226" s="6"/>
      <c r="M226" s="138"/>
      <c r="N226" s="138"/>
      <c r="O226" s="9"/>
      <c r="P226" s="9"/>
      <c r="Q226" s="153"/>
    </row>
    <row r="227" spans="8:17" x14ac:dyDescent="0.3">
      <c r="H227" s="199"/>
      <c r="I227" s="111"/>
      <c r="J227" s="111"/>
      <c r="K227" s="111"/>
      <c r="L227" s="6"/>
      <c r="M227" s="138"/>
      <c r="N227" s="138"/>
      <c r="O227" s="9"/>
      <c r="P227" s="9"/>
      <c r="Q227" s="153"/>
    </row>
    <row r="228" spans="8:17" x14ac:dyDescent="0.3">
      <c r="H228" s="199"/>
      <c r="I228" s="111"/>
      <c r="J228" s="111"/>
      <c r="K228" s="111"/>
      <c r="L228" s="6"/>
      <c r="M228" s="138"/>
      <c r="N228" s="138"/>
      <c r="O228" s="9"/>
      <c r="P228" s="9"/>
      <c r="Q228" s="153"/>
    </row>
    <row r="229" spans="8:17" x14ac:dyDescent="0.3">
      <c r="H229" s="199"/>
      <c r="I229" s="111"/>
      <c r="J229" s="111"/>
      <c r="K229" s="111"/>
      <c r="L229" s="6"/>
      <c r="M229" s="138"/>
      <c r="N229" s="138"/>
      <c r="O229" s="9"/>
      <c r="P229" s="9"/>
      <c r="Q229" s="153"/>
    </row>
    <row r="230" spans="8:17" x14ac:dyDescent="0.3">
      <c r="H230" s="199"/>
      <c r="I230" s="111"/>
      <c r="J230" s="111"/>
      <c r="K230" s="111"/>
      <c r="L230" s="6"/>
      <c r="M230" s="138"/>
      <c r="N230" s="138"/>
      <c r="O230" s="9"/>
      <c r="P230" s="9"/>
      <c r="Q230" s="153"/>
    </row>
    <row r="231" spans="8:17" x14ac:dyDescent="0.3">
      <c r="H231" s="199"/>
      <c r="I231" s="111"/>
      <c r="J231" s="111"/>
      <c r="K231" s="111"/>
      <c r="L231" s="6"/>
      <c r="M231" s="138"/>
      <c r="N231" s="138"/>
      <c r="O231" s="9"/>
      <c r="P231" s="9"/>
      <c r="Q231" s="153"/>
    </row>
    <row r="232" spans="8:17" x14ac:dyDescent="0.3">
      <c r="H232" s="199"/>
      <c r="I232" s="111"/>
      <c r="J232" s="111"/>
      <c r="K232" s="111"/>
      <c r="L232" s="6"/>
      <c r="M232" s="138"/>
      <c r="N232" s="138"/>
      <c r="O232" s="9"/>
      <c r="P232" s="9"/>
      <c r="Q232" s="153"/>
    </row>
    <row r="233" spans="8:17" x14ac:dyDescent="0.3">
      <c r="H233" s="199"/>
      <c r="I233" s="111"/>
      <c r="J233" s="111"/>
      <c r="K233" s="111"/>
      <c r="L233" s="6"/>
      <c r="M233" s="138"/>
      <c r="N233" s="138"/>
      <c r="O233" s="9"/>
      <c r="P233" s="9"/>
      <c r="Q233" s="153"/>
    </row>
    <row r="234" spans="8:17" x14ac:dyDescent="0.3">
      <c r="H234" s="199"/>
      <c r="I234" s="111"/>
      <c r="J234" s="111"/>
      <c r="K234" s="111"/>
      <c r="L234" s="6"/>
      <c r="M234" s="138"/>
      <c r="N234" s="138"/>
      <c r="O234" s="9"/>
      <c r="P234" s="9"/>
      <c r="Q234" s="153"/>
    </row>
    <row r="235" spans="8:17" x14ac:dyDescent="0.3">
      <c r="H235" s="199"/>
      <c r="I235" s="111"/>
      <c r="J235" s="111"/>
      <c r="K235" s="111"/>
      <c r="L235" s="6"/>
      <c r="M235" s="138"/>
      <c r="N235" s="138"/>
      <c r="O235" s="9"/>
      <c r="P235" s="9"/>
      <c r="Q235" s="153"/>
    </row>
    <row r="236" spans="8:17" x14ac:dyDescent="0.3">
      <c r="H236" s="199"/>
      <c r="I236" s="111"/>
      <c r="J236" s="111"/>
      <c r="K236" s="111"/>
      <c r="L236" s="6"/>
      <c r="M236" s="138"/>
      <c r="N236" s="138"/>
      <c r="O236" s="9"/>
      <c r="P236" s="9"/>
      <c r="Q236" s="153"/>
    </row>
    <row r="237" spans="8:17" x14ac:dyDescent="0.3">
      <c r="H237" s="199"/>
      <c r="I237" s="111"/>
      <c r="J237" s="111"/>
      <c r="K237" s="111"/>
      <c r="L237" s="6"/>
      <c r="M237" s="138"/>
      <c r="N237" s="138"/>
      <c r="O237" s="9"/>
      <c r="P237" s="9"/>
      <c r="Q237" s="153"/>
    </row>
    <row r="238" spans="8:17" x14ac:dyDescent="0.3">
      <c r="H238" s="199"/>
      <c r="I238" s="111"/>
      <c r="J238" s="111"/>
      <c r="K238" s="111"/>
      <c r="L238" s="6"/>
      <c r="M238" s="138"/>
      <c r="N238" s="138"/>
      <c r="O238" s="9"/>
      <c r="P238" s="9"/>
      <c r="Q238" s="153"/>
    </row>
    <row r="239" spans="8:17" x14ac:dyDescent="0.3">
      <c r="H239" s="199"/>
      <c r="I239" s="111"/>
      <c r="J239" s="111"/>
      <c r="K239" s="111"/>
      <c r="L239" s="6"/>
      <c r="M239" s="138"/>
      <c r="N239" s="138"/>
      <c r="O239" s="9"/>
      <c r="P239" s="9"/>
      <c r="Q239" s="153"/>
    </row>
    <row r="240" spans="8:17" x14ac:dyDescent="0.3">
      <c r="H240" s="199"/>
      <c r="I240" s="111"/>
      <c r="J240" s="111"/>
      <c r="K240" s="111"/>
      <c r="L240" s="6"/>
      <c r="M240" s="138"/>
      <c r="N240" s="138"/>
      <c r="O240" s="9"/>
      <c r="P240" s="9"/>
      <c r="Q240" s="153"/>
    </row>
    <row r="241" spans="8:17" x14ac:dyDescent="0.3">
      <c r="H241" s="199"/>
      <c r="I241" s="111"/>
      <c r="J241" s="111"/>
      <c r="K241" s="111"/>
      <c r="L241" s="6"/>
      <c r="M241" s="138"/>
      <c r="N241" s="138"/>
      <c r="O241" s="9"/>
      <c r="P241" s="9"/>
      <c r="Q241" s="153"/>
    </row>
    <row r="242" spans="8:17" x14ac:dyDescent="0.3">
      <c r="H242" s="199"/>
      <c r="I242" s="111"/>
      <c r="J242" s="111"/>
      <c r="K242" s="111"/>
      <c r="L242" s="6"/>
      <c r="M242" s="138"/>
      <c r="N242" s="138"/>
      <c r="O242" s="9"/>
      <c r="P242" s="9"/>
      <c r="Q242" s="153"/>
    </row>
    <row r="243" spans="8:17" x14ac:dyDescent="0.3">
      <c r="H243" s="199"/>
      <c r="I243" s="111"/>
      <c r="J243" s="111"/>
      <c r="K243" s="111"/>
      <c r="L243" s="6"/>
      <c r="M243" s="138"/>
      <c r="N243" s="138"/>
      <c r="O243" s="9"/>
      <c r="P243" s="9"/>
      <c r="Q243" s="153"/>
    </row>
    <row r="244" spans="8:17" x14ac:dyDescent="0.3">
      <c r="H244" s="199"/>
      <c r="I244" s="111"/>
      <c r="J244" s="111"/>
      <c r="K244" s="111"/>
      <c r="L244" s="6"/>
      <c r="M244" s="138"/>
      <c r="N244" s="138"/>
      <c r="O244" s="9"/>
      <c r="P244" s="9"/>
      <c r="Q244" s="153"/>
    </row>
    <row r="245" spans="8:17" x14ac:dyDescent="0.3">
      <c r="H245" s="199"/>
      <c r="I245" s="111"/>
      <c r="J245" s="111"/>
      <c r="K245" s="111"/>
      <c r="L245" s="6"/>
      <c r="M245" s="138"/>
      <c r="N245" s="138"/>
      <c r="O245" s="9"/>
      <c r="P245" s="9"/>
      <c r="Q245" s="153"/>
    </row>
    <row r="246" spans="8:17" x14ac:dyDescent="0.3">
      <c r="H246" s="199"/>
      <c r="I246" s="111"/>
      <c r="J246" s="111"/>
      <c r="K246" s="111"/>
      <c r="L246" s="6"/>
      <c r="M246" s="138"/>
      <c r="N246" s="138"/>
      <c r="O246" s="9"/>
      <c r="P246" s="9"/>
      <c r="Q246" s="153"/>
    </row>
    <row r="247" spans="8:17" x14ac:dyDescent="0.3">
      <c r="H247" s="199"/>
      <c r="I247" s="111"/>
      <c r="J247" s="111"/>
      <c r="K247" s="111"/>
      <c r="L247" s="6"/>
      <c r="M247" s="138"/>
      <c r="N247" s="138"/>
      <c r="O247" s="9"/>
      <c r="P247" s="9"/>
      <c r="Q247" s="153"/>
    </row>
    <row r="248" spans="8:17" x14ac:dyDescent="0.3">
      <c r="H248" s="199"/>
      <c r="I248" s="111"/>
      <c r="J248" s="111"/>
      <c r="K248" s="111"/>
      <c r="L248" s="6"/>
      <c r="M248" s="138"/>
      <c r="N248" s="138"/>
      <c r="O248" s="9"/>
      <c r="P248" s="9"/>
      <c r="Q248" s="153"/>
    </row>
    <row r="249" spans="8:17" x14ac:dyDescent="0.3">
      <c r="H249" s="199"/>
      <c r="I249" s="111"/>
      <c r="J249" s="111"/>
      <c r="K249" s="111"/>
      <c r="L249" s="6"/>
      <c r="M249" s="138"/>
      <c r="N249" s="138"/>
      <c r="O249" s="9"/>
      <c r="P249" s="9"/>
      <c r="Q249" s="153"/>
    </row>
    <row r="250" spans="8:17" x14ac:dyDescent="0.3">
      <c r="H250" s="199"/>
      <c r="I250" s="111"/>
      <c r="J250" s="111"/>
      <c r="K250" s="111"/>
      <c r="L250" s="6"/>
      <c r="M250" s="138"/>
      <c r="N250" s="138"/>
      <c r="O250" s="9"/>
      <c r="P250" s="9"/>
      <c r="Q250" s="153"/>
    </row>
    <row r="251" spans="8:17" x14ac:dyDescent="0.3">
      <c r="H251" s="199"/>
      <c r="I251" s="111"/>
      <c r="J251" s="111"/>
      <c r="K251" s="111"/>
      <c r="L251" s="6"/>
      <c r="M251" s="138"/>
      <c r="N251" s="138"/>
      <c r="O251" s="9"/>
      <c r="P251" s="9"/>
      <c r="Q251" s="153"/>
    </row>
    <row r="252" spans="8:17" x14ac:dyDescent="0.3">
      <c r="H252" s="199"/>
      <c r="I252" s="111"/>
      <c r="J252" s="111"/>
      <c r="K252" s="111"/>
      <c r="L252" s="6"/>
      <c r="M252" s="138"/>
      <c r="N252" s="138"/>
      <c r="O252" s="9"/>
      <c r="P252" s="9"/>
      <c r="Q252" s="153"/>
    </row>
    <row r="253" spans="8:17" x14ac:dyDescent="0.3">
      <c r="H253" s="199"/>
      <c r="I253" s="111"/>
      <c r="J253" s="111"/>
      <c r="K253" s="111"/>
      <c r="L253" s="6"/>
      <c r="M253" s="138"/>
      <c r="N253" s="138"/>
      <c r="O253" s="9"/>
      <c r="P253" s="9"/>
      <c r="Q253" s="153"/>
    </row>
    <row r="254" spans="8:17" x14ac:dyDescent="0.3">
      <c r="H254" s="199"/>
      <c r="I254" s="111"/>
      <c r="J254" s="111"/>
      <c r="K254" s="111"/>
      <c r="L254" s="6"/>
      <c r="M254" s="138"/>
      <c r="N254" s="138"/>
      <c r="O254" s="9"/>
      <c r="P254" s="9"/>
      <c r="Q254" s="153"/>
    </row>
    <row r="255" spans="8:17" x14ac:dyDescent="0.3">
      <c r="H255" s="199"/>
      <c r="I255" s="111"/>
      <c r="J255" s="111"/>
      <c r="K255" s="111"/>
      <c r="L255" s="6"/>
      <c r="M255" s="138"/>
      <c r="N255" s="138"/>
      <c r="O255" s="9"/>
      <c r="P255" s="9"/>
      <c r="Q255" s="153"/>
    </row>
    <row r="256" spans="8:17" x14ac:dyDescent="0.3">
      <c r="H256" s="199"/>
      <c r="I256" s="111"/>
      <c r="J256" s="111"/>
      <c r="K256" s="111"/>
      <c r="L256" s="6"/>
      <c r="M256" s="138"/>
      <c r="N256" s="138"/>
      <c r="O256" s="9"/>
      <c r="P256" s="9"/>
      <c r="Q256" s="153"/>
    </row>
    <row r="257" spans="8:17" x14ac:dyDescent="0.3">
      <c r="H257" s="199"/>
      <c r="I257" s="111"/>
      <c r="J257" s="111"/>
      <c r="K257" s="111"/>
      <c r="L257" s="6"/>
      <c r="M257" s="138"/>
      <c r="N257" s="138"/>
      <c r="O257" s="9"/>
      <c r="P257" s="9"/>
      <c r="Q257" s="153"/>
    </row>
    <row r="258" spans="8:17" x14ac:dyDescent="0.3">
      <c r="H258" s="199"/>
      <c r="I258" s="111"/>
      <c r="J258" s="111"/>
      <c r="K258" s="111"/>
      <c r="L258" s="6"/>
      <c r="M258" s="138"/>
      <c r="N258" s="138"/>
      <c r="O258" s="9"/>
      <c r="P258" s="9"/>
      <c r="Q258" s="153"/>
    </row>
    <row r="259" spans="8:17" x14ac:dyDescent="0.3">
      <c r="H259" s="199"/>
      <c r="I259" s="111"/>
      <c r="J259" s="111"/>
      <c r="K259" s="111"/>
      <c r="L259" s="6"/>
      <c r="M259" s="138"/>
      <c r="N259" s="138"/>
      <c r="O259" s="9"/>
      <c r="P259" s="9"/>
      <c r="Q259" s="153"/>
    </row>
    <row r="260" spans="8:17" x14ac:dyDescent="0.3">
      <c r="H260" s="199"/>
      <c r="I260" s="111"/>
      <c r="J260" s="111"/>
      <c r="K260" s="111"/>
      <c r="L260" s="6"/>
      <c r="M260" s="138"/>
      <c r="N260" s="138"/>
      <c r="O260" s="9"/>
      <c r="P260" s="9"/>
      <c r="Q260" s="153"/>
    </row>
    <row r="261" spans="8:17" x14ac:dyDescent="0.3">
      <c r="H261" s="199"/>
      <c r="I261" s="111"/>
      <c r="J261" s="111"/>
      <c r="K261" s="111"/>
      <c r="L261" s="6"/>
      <c r="M261" s="138"/>
      <c r="N261" s="138"/>
      <c r="O261" s="9"/>
      <c r="P261" s="9"/>
      <c r="Q261" s="153"/>
    </row>
    <row r="262" spans="8:17" x14ac:dyDescent="0.3">
      <c r="H262" s="199"/>
      <c r="I262" s="111"/>
      <c r="J262" s="111"/>
      <c r="K262" s="111"/>
      <c r="L262" s="6"/>
      <c r="M262" s="138"/>
      <c r="N262" s="138"/>
      <c r="O262" s="9"/>
      <c r="P262" s="9"/>
      <c r="Q262" s="153"/>
    </row>
    <row r="263" spans="8:17" x14ac:dyDescent="0.3">
      <c r="H263" s="199"/>
      <c r="I263" s="111"/>
      <c r="J263" s="111"/>
      <c r="K263" s="111"/>
      <c r="L263" s="6"/>
      <c r="M263" s="138"/>
      <c r="N263" s="138"/>
      <c r="O263" s="9"/>
      <c r="P263" s="9"/>
      <c r="Q263" s="153"/>
    </row>
    <row r="264" spans="8:17" x14ac:dyDescent="0.3">
      <c r="H264" s="199"/>
      <c r="I264" s="111"/>
      <c r="J264" s="111"/>
      <c r="K264" s="111"/>
      <c r="L264" s="6"/>
      <c r="M264" s="138"/>
      <c r="N264" s="138"/>
      <c r="O264" s="9"/>
      <c r="P264" s="9"/>
      <c r="Q264" s="153"/>
    </row>
    <row r="265" spans="8:17" x14ac:dyDescent="0.3">
      <c r="H265" s="199"/>
      <c r="I265" s="111"/>
      <c r="J265" s="111"/>
      <c r="K265" s="111"/>
      <c r="L265" s="6"/>
      <c r="M265" s="138"/>
      <c r="N265" s="138"/>
      <c r="O265" s="9"/>
      <c r="P265" s="9"/>
      <c r="Q265" s="153"/>
    </row>
    <row r="266" spans="8:17" x14ac:dyDescent="0.3">
      <c r="H266" s="199"/>
      <c r="I266" s="111"/>
      <c r="J266" s="111"/>
      <c r="K266" s="111"/>
      <c r="L266" s="6"/>
      <c r="M266" s="138"/>
      <c r="N266" s="138"/>
      <c r="O266" s="9"/>
      <c r="P266" s="9"/>
      <c r="Q266" s="153"/>
    </row>
    <row r="267" spans="8:17" x14ac:dyDescent="0.3">
      <c r="H267" s="199"/>
      <c r="I267" s="111"/>
      <c r="J267" s="111"/>
      <c r="K267" s="111"/>
      <c r="L267" s="6"/>
      <c r="M267" s="138"/>
      <c r="N267" s="138"/>
      <c r="O267" s="9"/>
      <c r="P267" s="9"/>
      <c r="Q267" s="153"/>
    </row>
    <row r="268" spans="8:17" x14ac:dyDescent="0.3">
      <c r="H268" s="199"/>
      <c r="I268" s="111"/>
      <c r="J268" s="111"/>
      <c r="K268" s="111"/>
      <c r="L268" s="6"/>
      <c r="M268" s="138"/>
      <c r="N268" s="138"/>
      <c r="O268" s="9"/>
      <c r="P268" s="9"/>
      <c r="Q268" s="153"/>
    </row>
    <row r="269" spans="8:17" x14ac:dyDescent="0.3">
      <c r="H269" s="199"/>
      <c r="I269" s="111"/>
      <c r="J269" s="111"/>
      <c r="K269" s="111"/>
      <c r="L269" s="6"/>
      <c r="M269" s="138"/>
      <c r="N269" s="138"/>
      <c r="O269" s="9"/>
      <c r="P269" s="9"/>
      <c r="Q269" s="153"/>
    </row>
    <row r="270" spans="8:17" x14ac:dyDescent="0.3">
      <c r="H270" s="199"/>
      <c r="I270" s="111"/>
      <c r="J270" s="111"/>
      <c r="K270" s="111"/>
      <c r="L270" s="6"/>
      <c r="M270" s="138"/>
      <c r="N270" s="138"/>
      <c r="O270" s="9"/>
      <c r="P270" s="9"/>
      <c r="Q270" s="153"/>
    </row>
    <row r="271" spans="8:17" x14ac:dyDescent="0.3">
      <c r="H271" s="199"/>
      <c r="I271" s="111"/>
      <c r="J271" s="111"/>
      <c r="K271" s="111"/>
      <c r="L271" s="6"/>
      <c r="M271" s="138"/>
      <c r="N271" s="138"/>
      <c r="O271" s="9"/>
      <c r="P271" s="9"/>
      <c r="Q271" s="153"/>
    </row>
    <row r="272" spans="8:17" x14ac:dyDescent="0.3">
      <c r="H272" s="199"/>
      <c r="I272" s="111"/>
      <c r="J272" s="111"/>
      <c r="K272" s="111"/>
      <c r="L272" s="6"/>
      <c r="M272" s="138"/>
      <c r="N272" s="138"/>
      <c r="O272" s="9"/>
      <c r="P272" s="9"/>
      <c r="Q272" s="153"/>
    </row>
    <row r="273" spans="8:17" x14ac:dyDescent="0.3">
      <c r="H273" s="199"/>
      <c r="I273" s="111"/>
      <c r="J273" s="111"/>
      <c r="K273" s="111"/>
      <c r="L273" s="6"/>
      <c r="M273" s="138"/>
      <c r="N273" s="138"/>
      <c r="O273" s="9"/>
      <c r="P273" s="9"/>
      <c r="Q273" s="153"/>
    </row>
    <row r="274" spans="8:17" x14ac:dyDescent="0.3">
      <c r="H274" s="199"/>
      <c r="I274" s="111"/>
      <c r="J274" s="111"/>
      <c r="K274" s="111"/>
      <c r="L274" s="6"/>
      <c r="M274" s="138"/>
      <c r="N274" s="138"/>
      <c r="O274" s="9"/>
      <c r="P274" s="9"/>
      <c r="Q274" s="153"/>
    </row>
    <row r="275" spans="8:17" x14ac:dyDescent="0.3">
      <c r="H275" s="199"/>
      <c r="I275" s="111"/>
      <c r="J275" s="111"/>
      <c r="K275" s="111"/>
      <c r="L275" s="6"/>
      <c r="M275" s="138"/>
      <c r="N275" s="138"/>
      <c r="O275" s="9"/>
      <c r="P275" s="9"/>
      <c r="Q275" s="153"/>
    </row>
    <row r="276" spans="8:17" x14ac:dyDescent="0.3">
      <c r="H276" s="199"/>
      <c r="I276" s="111"/>
      <c r="J276" s="111"/>
      <c r="K276" s="111"/>
      <c r="L276" s="6"/>
      <c r="M276" s="138"/>
      <c r="N276" s="138"/>
      <c r="O276" s="9"/>
      <c r="P276" s="9"/>
      <c r="Q276" s="153"/>
    </row>
    <row r="277" spans="8:17" x14ac:dyDescent="0.3">
      <c r="H277" s="199"/>
      <c r="I277" s="111"/>
      <c r="J277" s="111"/>
      <c r="K277" s="111"/>
      <c r="L277" s="6"/>
      <c r="M277" s="138"/>
      <c r="N277" s="138"/>
      <c r="O277" s="9"/>
      <c r="P277" s="9"/>
      <c r="Q277" s="153"/>
    </row>
    <row r="278" spans="8:17" x14ac:dyDescent="0.3">
      <c r="H278" s="199"/>
      <c r="I278" s="111"/>
      <c r="J278" s="111"/>
      <c r="K278" s="111"/>
      <c r="L278" s="6"/>
      <c r="M278" s="138"/>
      <c r="N278" s="138"/>
      <c r="O278" s="9"/>
      <c r="P278" s="9"/>
      <c r="Q278" s="153"/>
    </row>
    <row r="279" spans="8:17" x14ac:dyDescent="0.3">
      <c r="H279" s="199"/>
      <c r="I279" s="111"/>
      <c r="J279" s="111"/>
      <c r="K279" s="111"/>
      <c r="L279" s="6"/>
      <c r="M279" s="138"/>
      <c r="N279" s="138"/>
      <c r="O279" s="9"/>
      <c r="P279" s="9"/>
      <c r="Q279" s="153"/>
    </row>
    <row r="280" spans="8:17" x14ac:dyDescent="0.3">
      <c r="H280" s="199"/>
      <c r="I280" s="111"/>
      <c r="J280" s="111"/>
      <c r="K280" s="111"/>
      <c r="L280" s="6"/>
      <c r="M280" s="138"/>
      <c r="N280" s="138"/>
      <c r="O280" s="9"/>
      <c r="P280" s="9"/>
      <c r="Q280" s="153"/>
    </row>
    <row r="281" spans="8:17" x14ac:dyDescent="0.3">
      <c r="H281" s="199"/>
      <c r="I281" s="111"/>
      <c r="J281" s="111"/>
      <c r="K281" s="111"/>
      <c r="L281" s="6"/>
      <c r="M281" s="138"/>
      <c r="N281" s="138"/>
      <c r="O281" s="9"/>
      <c r="P281" s="9"/>
      <c r="Q281" s="153"/>
    </row>
    <row r="282" spans="8:17" x14ac:dyDescent="0.3">
      <c r="H282" s="199"/>
      <c r="I282" s="111"/>
      <c r="J282" s="111"/>
      <c r="K282" s="111"/>
      <c r="L282" s="6"/>
      <c r="M282" s="138"/>
      <c r="N282" s="138"/>
      <c r="O282" s="9"/>
      <c r="P282" s="9"/>
      <c r="Q282" s="153"/>
    </row>
    <row r="283" spans="8:17" x14ac:dyDescent="0.3">
      <c r="H283" s="199"/>
      <c r="I283" s="111"/>
      <c r="J283" s="111"/>
      <c r="K283" s="111"/>
      <c r="L283" s="6"/>
      <c r="M283" s="138"/>
      <c r="N283" s="138"/>
      <c r="O283" s="9"/>
      <c r="P283" s="9"/>
      <c r="Q283" s="153"/>
    </row>
    <row r="284" spans="8:17" x14ac:dyDescent="0.3">
      <c r="H284" s="199"/>
      <c r="I284" s="111"/>
      <c r="J284" s="111"/>
      <c r="K284" s="111"/>
      <c r="L284" s="6"/>
      <c r="M284" s="138"/>
      <c r="N284" s="138"/>
      <c r="O284" s="9"/>
      <c r="P284" s="9"/>
      <c r="Q284" s="153"/>
    </row>
    <row r="285" spans="8:17" x14ac:dyDescent="0.3">
      <c r="H285" s="199"/>
      <c r="I285" s="111"/>
      <c r="J285" s="111"/>
      <c r="K285" s="111"/>
      <c r="L285" s="6"/>
      <c r="M285" s="138"/>
      <c r="N285" s="138"/>
      <c r="O285" s="9"/>
      <c r="P285" s="9"/>
      <c r="Q285" s="153"/>
    </row>
    <row r="286" spans="8:17" x14ac:dyDescent="0.3">
      <c r="H286" s="199"/>
      <c r="I286" s="111"/>
      <c r="J286" s="111"/>
      <c r="K286" s="111"/>
      <c r="L286" s="6"/>
      <c r="M286" s="138"/>
      <c r="N286" s="138"/>
      <c r="O286" s="9"/>
      <c r="P286" s="9"/>
      <c r="Q286" s="153"/>
    </row>
    <row r="287" spans="8:17" x14ac:dyDescent="0.3">
      <c r="H287" s="199"/>
      <c r="I287" s="111"/>
      <c r="J287" s="111"/>
      <c r="K287" s="111"/>
      <c r="L287" s="6"/>
      <c r="M287" s="138"/>
      <c r="N287" s="138"/>
      <c r="O287" s="9"/>
      <c r="P287" s="9"/>
      <c r="Q287" s="153"/>
    </row>
    <row r="288" spans="8:17" x14ac:dyDescent="0.3">
      <c r="H288" s="199"/>
      <c r="I288" s="111"/>
      <c r="J288" s="111"/>
      <c r="K288" s="111"/>
      <c r="L288" s="6"/>
      <c r="M288" s="138"/>
      <c r="N288" s="138"/>
      <c r="O288" s="9"/>
      <c r="P288" s="9"/>
      <c r="Q288" s="153"/>
    </row>
    <row r="289" spans="8:17" x14ac:dyDescent="0.3">
      <c r="H289" s="199"/>
      <c r="I289" s="111"/>
      <c r="J289" s="111"/>
      <c r="K289" s="111"/>
      <c r="L289" s="6"/>
      <c r="M289" s="138"/>
      <c r="N289" s="138"/>
      <c r="O289" s="9"/>
      <c r="P289" s="9"/>
      <c r="Q289" s="153"/>
    </row>
    <row r="290" spans="8:17" x14ac:dyDescent="0.3">
      <c r="H290" s="199"/>
      <c r="I290" s="111"/>
      <c r="J290" s="111"/>
      <c r="K290" s="111"/>
      <c r="L290" s="6"/>
      <c r="M290" s="138"/>
      <c r="N290" s="138"/>
      <c r="O290" s="9"/>
      <c r="P290" s="9"/>
      <c r="Q290" s="153"/>
    </row>
    <row r="291" spans="8:17" x14ac:dyDescent="0.3">
      <c r="H291" s="199"/>
      <c r="I291" s="111"/>
      <c r="J291" s="111"/>
      <c r="K291" s="111"/>
      <c r="L291" s="6"/>
      <c r="M291" s="138"/>
      <c r="N291" s="138"/>
      <c r="O291" s="9"/>
      <c r="P291" s="9"/>
      <c r="Q291" s="153"/>
    </row>
    <row r="292" spans="8:17" x14ac:dyDescent="0.3">
      <c r="H292" s="199"/>
      <c r="I292" s="111"/>
      <c r="J292" s="111"/>
      <c r="K292" s="111"/>
      <c r="L292" s="6"/>
      <c r="M292" s="138"/>
      <c r="N292" s="138"/>
      <c r="O292" s="9"/>
      <c r="P292" s="9"/>
      <c r="Q292" s="153"/>
    </row>
    <row r="293" spans="8:17" x14ac:dyDescent="0.3">
      <c r="H293" s="199"/>
      <c r="I293" s="111"/>
      <c r="J293" s="111"/>
      <c r="K293" s="111"/>
      <c r="L293" s="6"/>
      <c r="M293" s="138"/>
      <c r="N293" s="138"/>
      <c r="O293" s="9"/>
      <c r="P293" s="9"/>
      <c r="Q293" s="153"/>
    </row>
    <row r="294" spans="8:17" x14ac:dyDescent="0.3">
      <c r="H294" s="199"/>
      <c r="I294" s="111"/>
      <c r="J294" s="111"/>
      <c r="K294" s="111"/>
      <c r="L294" s="6"/>
      <c r="M294" s="138"/>
      <c r="N294" s="138"/>
      <c r="O294" s="9"/>
      <c r="P294" s="9"/>
      <c r="Q294" s="153"/>
    </row>
    <row r="295" spans="8:17" x14ac:dyDescent="0.3">
      <c r="H295" s="199"/>
      <c r="I295" s="111"/>
      <c r="J295" s="111"/>
      <c r="K295" s="111"/>
      <c r="L295" s="6"/>
      <c r="M295" s="138"/>
      <c r="N295" s="138"/>
      <c r="O295" s="9"/>
      <c r="P295" s="9"/>
      <c r="Q295" s="153"/>
    </row>
    <row r="296" spans="8:17" x14ac:dyDescent="0.3">
      <c r="H296" s="199"/>
      <c r="I296" s="111"/>
      <c r="J296" s="111"/>
      <c r="K296" s="111"/>
      <c r="L296" s="6"/>
      <c r="M296" s="138"/>
      <c r="N296" s="138"/>
      <c r="O296" s="9"/>
      <c r="P296" s="9"/>
      <c r="Q296" s="153"/>
    </row>
    <row r="297" spans="8:17" x14ac:dyDescent="0.3">
      <c r="H297" s="199"/>
      <c r="I297" s="111"/>
      <c r="J297" s="111"/>
      <c r="K297" s="111"/>
      <c r="L297" s="6"/>
      <c r="M297" s="138"/>
      <c r="N297" s="138"/>
      <c r="O297" s="9"/>
      <c r="P297" s="9"/>
      <c r="Q297" s="153"/>
    </row>
    <row r="298" spans="8:17" x14ac:dyDescent="0.3">
      <c r="H298" s="199"/>
      <c r="I298" s="111"/>
      <c r="J298" s="111"/>
      <c r="K298" s="111"/>
      <c r="L298" s="6"/>
      <c r="M298" s="138"/>
      <c r="N298" s="138"/>
      <c r="O298" s="9"/>
      <c r="P298" s="9"/>
      <c r="Q298" s="153"/>
    </row>
    <row r="299" spans="8:17" x14ac:dyDescent="0.3">
      <c r="H299" s="199"/>
      <c r="I299" s="111"/>
      <c r="J299" s="111"/>
      <c r="K299" s="111"/>
      <c r="L299" s="6"/>
      <c r="M299" s="138"/>
      <c r="N299" s="138"/>
      <c r="O299" s="9"/>
      <c r="P299" s="9"/>
      <c r="Q299" s="153"/>
    </row>
    <row r="300" spans="8:17" x14ac:dyDescent="0.3">
      <c r="H300" s="199"/>
      <c r="I300" s="111"/>
      <c r="J300" s="111"/>
      <c r="K300" s="111"/>
      <c r="L300" s="6"/>
      <c r="M300" s="138"/>
      <c r="N300" s="138"/>
      <c r="O300" s="9"/>
      <c r="P300" s="9"/>
      <c r="Q300" s="153"/>
    </row>
    <row r="301" spans="8:17" x14ac:dyDescent="0.3">
      <c r="H301" s="199"/>
      <c r="I301" s="111"/>
      <c r="J301" s="111"/>
      <c r="K301" s="111"/>
      <c r="L301" s="6"/>
      <c r="M301" s="138"/>
      <c r="N301" s="138"/>
      <c r="O301" s="9"/>
      <c r="P301" s="9"/>
      <c r="Q301" s="153"/>
    </row>
    <row r="302" spans="8:17" x14ac:dyDescent="0.3">
      <c r="H302" s="199"/>
      <c r="I302" s="111"/>
      <c r="J302" s="111"/>
      <c r="K302" s="111"/>
      <c r="L302" s="6"/>
      <c r="M302" s="138"/>
      <c r="N302" s="138"/>
      <c r="O302" s="9"/>
      <c r="P302" s="9"/>
      <c r="Q302" s="153"/>
    </row>
    <row r="303" spans="8:17" x14ac:dyDescent="0.3">
      <c r="H303" s="199"/>
      <c r="I303" s="111"/>
      <c r="J303" s="111"/>
      <c r="K303" s="111"/>
      <c r="L303" s="6"/>
      <c r="M303" s="138"/>
      <c r="N303" s="138"/>
      <c r="O303" s="9"/>
      <c r="P303" s="9"/>
      <c r="Q303" s="153"/>
    </row>
    <row r="304" spans="8:17" x14ac:dyDescent="0.3">
      <c r="H304" s="199"/>
      <c r="I304" s="111"/>
      <c r="J304" s="111"/>
      <c r="K304" s="111"/>
      <c r="L304" s="6"/>
      <c r="M304" s="138"/>
      <c r="N304" s="138"/>
      <c r="O304" s="9"/>
      <c r="P304" s="9"/>
      <c r="Q304" s="153"/>
    </row>
    <row r="305" spans="8:17" x14ac:dyDescent="0.3">
      <c r="H305" s="199"/>
      <c r="I305" s="111"/>
      <c r="J305" s="111"/>
      <c r="K305" s="111"/>
      <c r="L305" s="6"/>
      <c r="M305" s="138"/>
      <c r="N305" s="138"/>
      <c r="O305" s="9"/>
      <c r="P305" s="9"/>
      <c r="Q305" s="153"/>
    </row>
    <row r="306" spans="8:17" x14ac:dyDescent="0.3">
      <c r="H306" s="199"/>
      <c r="I306" s="111"/>
      <c r="J306" s="111"/>
      <c r="K306" s="111"/>
      <c r="L306" s="6"/>
      <c r="M306" s="138"/>
      <c r="N306" s="138"/>
      <c r="O306" s="9"/>
      <c r="P306" s="9"/>
      <c r="Q306" s="153"/>
    </row>
    <row r="307" spans="8:17" x14ac:dyDescent="0.3">
      <c r="H307" s="199"/>
      <c r="I307" s="111"/>
      <c r="J307" s="111"/>
      <c r="K307" s="111"/>
      <c r="L307" s="6"/>
      <c r="M307" s="138"/>
      <c r="N307" s="138"/>
      <c r="O307" s="9"/>
      <c r="P307" s="9"/>
      <c r="Q307" s="153"/>
    </row>
    <row r="308" spans="8:17" x14ac:dyDescent="0.3">
      <c r="H308" s="199"/>
      <c r="I308" s="111"/>
      <c r="J308" s="111"/>
      <c r="K308" s="111"/>
      <c r="L308" s="6"/>
      <c r="M308" s="138"/>
      <c r="N308" s="138"/>
      <c r="O308" s="9"/>
      <c r="P308" s="9"/>
      <c r="Q308" s="153"/>
    </row>
    <row r="309" spans="8:17" x14ac:dyDescent="0.3">
      <c r="H309" s="199"/>
      <c r="I309" s="111"/>
      <c r="J309" s="111"/>
      <c r="K309" s="111"/>
      <c r="L309" s="6"/>
      <c r="M309" s="138"/>
      <c r="N309" s="138"/>
      <c r="O309" s="9"/>
      <c r="P309" s="9"/>
      <c r="Q309" s="153"/>
    </row>
    <row r="310" spans="8:17" x14ac:dyDescent="0.3">
      <c r="H310" s="199"/>
      <c r="I310" s="111"/>
      <c r="J310" s="111"/>
      <c r="K310" s="111"/>
      <c r="L310" s="6"/>
      <c r="M310" s="138"/>
      <c r="N310" s="138"/>
      <c r="O310" s="9"/>
      <c r="P310" s="9"/>
      <c r="Q310" s="153"/>
    </row>
    <row r="311" spans="8:17" x14ac:dyDescent="0.3">
      <c r="H311" s="199"/>
      <c r="I311" s="111"/>
      <c r="J311" s="111"/>
      <c r="K311" s="111"/>
      <c r="L311" s="6"/>
      <c r="M311" s="138"/>
      <c r="N311" s="138"/>
      <c r="O311" s="9"/>
      <c r="P311" s="9"/>
      <c r="Q311" s="153"/>
    </row>
    <row r="312" spans="8:17" x14ac:dyDescent="0.3">
      <c r="H312" s="199"/>
      <c r="I312" s="111"/>
      <c r="J312" s="111"/>
      <c r="K312" s="111"/>
      <c r="L312" s="6"/>
      <c r="M312" s="138"/>
      <c r="N312" s="138"/>
      <c r="O312" s="9"/>
      <c r="P312" s="9"/>
      <c r="Q312" s="153"/>
    </row>
    <row r="313" spans="8:17" x14ac:dyDescent="0.3">
      <c r="H313" s="199"/>
      <c r="I313" s="111"/>
      <c r="J313" s="111"/>
      <c r="K313" s="111"/>
      <c r="L313" s="6"/>
      <c r="M313" s="138"/>
      <c r="N313" s="138"/>
      <c r="O313" s="9"/>
      <c r="P313" s="9"/>
      <c r="Q313" s="153"/>
    </row>
    <row r="314" spans="8:17" x14ac:dyDescent="0.3">
      <c r="H314" s="199"/>
      <c r="I314" s="111"/>
      <c r="J314" s="111"/>
      <c r="K314" s="111"/>
      <c r="L314" s="6"/>
      <c r="M314" s="138"/>
      <c r="N314" s="138"/>
      <c r="O314" s="9"/>
      <c r="P314" s="9"/>
      <c r="Q314" s="153"/>
    </row>
    <row r="315" spans="8:17" x14ac:dyDescent="0.3">
      <c r="H315" s="199"/>
      <c r="I315" s="111"/>
      <c r="J315" s="111"/>
      <c r="K315" s="111"/>
      <c r="L315" s="6"/>
      <c r="M315" s="138"/>
      <c r="N315" s="138"/>
      <c r="O315" s="9"/>
      <c r="P315" s="9"/>
      <c r="Q315" s="153"/>
    </row>
    <row r="316" spans="8:17" x14ac:dyDescent="0.3">
      <c r="H316" s="199"/>
      <c r="I316" s="111"/>
      <c r="J316" s="111"/>
      <c r="K316" s="111"/>
      <c r="L316" s="6"/>
      <c r="M316" s="138"/>
      <c r="N316" s="138"/>
      <c r="O316" s="9"/>
      <c r="P316" s="9"/>
      <c r="Q316" s="153"/>
    </row>
    <row r="317" spans="8:17" x14ac:dyDescent="0.3">
      <c r="H317" s="199"/>
      <c r="I317" s="111"/>
      <c r="J317" s="111"/>
      <c r="K317" s="111"/>
      <c r="L317" s="6"/>
      <c r="M317" s="138"/>
      <c r="N317" s="138"/>
      <c r="O317" s="9"/>
      <c r="P317" s="9"/>
      <c r="Q317" s="153"/>
    </row>
    <row r="318" spans="8:17" x14ac:dyDescent="0.3">
      <c r="H318" s="199"/>
      <c r="I318" s="111"/>
      <c r="J318" s="111"/>
      <c r="K318" s="111"/>
      <c r="L318" s="6"/>
      <c r="M318" s="138"/>
      <c r="N318" s="138"/>
      <c r="O318" s="9"/>
      <c r="P318" s="9"/>
      <c r="Q318" s="153"/>
    </row>
    <row r="319" spans="8:17" x14ac:dyDescent="0.3">
      <c r="H319" s="199"/>
      <c r="I319" s="111"/>
      <c r="J319" s="111"/>
      <c r="K319" s="111"/>
      <c r="L319" s="6"/>
      <c r="M319" s="138"/>
      <c r="N319" s="138"/>
      <c r="O319" s="9"/>
      <c r="P319" s="9"/>
      <c r="Q319" s="153"/>
    </row>
    <row r="320" spans="8:17" x14ac:dyDescent="0.3">
      <c r="H320" s="199"/>
      <c r="I320" s="111"/>
      <c r="J320" s="111"/>
      <c r="K320" s="111"/>
      <c r="L320" s="6"/>
      <c r="M320" s="138"/>
      <c r="N320" s="138"/>
      <c r="O320" s="9"/>
      <c r="P320" s="9"/>
      <c r="Q320" s="153"/>
    </row>
    <row r="321" spans="8:17" x14ac:dyDescent="0.3">
      <c r="H321" s="199"/>
      <c r="I321" s="111"/>
      <c r="J321" s="111"/>
      <c r="K321" s="111"/>
      <c r="L321" s="6"/>
      <c r="M321" s="138"/>
      <c r="N321" s="138"/>
      <c r="O321" s="9"/>
      <c r="P321" s="9"/>
      <c r="Q321" s="153"/>
    </row>
    <row r="322" spans="8:17" x14ac:dyDescent="0.3">
      <c r="H322" s="199"/>
      <c r="I322" s="111"/>
      <c r="J322" s="111"/>
      <c r="K322" s="111"/>
      <c r="L322" s="6"/>
      <c r="M322" s="138"/>
      <c r="N322" s="138"/>
      <c r="O322" s="9"/>
      <c r="P322" s="9"/>
      <c r="Q322" s="153"/>
    </row>
    <row r="323" spans="8:17" x14ac:dyDescent="0.3">
      <c r="H323" s="199"/>
      <c r="I323" s="111"/>
      <c r="J323" s="111"/>
      <c r="K323" s="111"/>
      <c r="L323" s="6"/>
      <c r="M323" s="138"/>
      <c r="N323" s="138"/>
      <c r="O323" s="9"/>
      <c r="P323" s="9"/>
      <c r="Q323" s="153"/>
    </row>
    <row r="324" spans="8:17" x14ac:dyDescent="0.3">
      <c r="H324" s="199"/>
      <c r="I324" s="111"/>
      <c r="J324" s="111"/>
      <c r="K324" s="111"/>
      <c r="L324" s="6"/>
      <c r="M324" s="138"/>
      <c r="N324" s="138"/>
      <c r="O324" s="9"/>
      <c r="P324" s="9"/>
      <c r="Q324" s="153"/>
    </row>
    <row r="325" spans="8:17" x14ac:dyDescent="0.3">
      <c r="H325" s="199"/>
      <c r="I325" s="111"/>
      <c r="J325" s="111"/>
      <c r="K325" s="111"/>
      <c r="L325" s="6"/>
      <c r="M325" s="138"/>
      <c r="N325" s="138"/>
      <c r="O325" s="9"/>
      <c r="P325" s="9"/>
      <c r="Q325" s="153"/>
    </row>
    <row r="326" spans="8:17" x14ac:dyDescent="0.3">
      <c r="H326" s="199"/>
      <c r="I326" s="111"/>
      <c r="J326" s="111"/>
      <c r="K326" s="111"/>
      <c r="L326" s="6"/>
      <c r="M326" s="138"/>
      <c r="N326" s="138"/>
      <c r="O326" s="9"/>
      <c r="P326" s="9"/>
      <c r="Q326" s="153"/>
    </row>
    <row r="327" spans="8:17" x14ac:dyDescent="0.3">
      <c r="H327" s="199"/>
      <c r="I327" s="111"/>
      <c r="J327" s="111"/>
      <c r="K327" s="111"/>
      <c r="L327" s="6"/>
      <c r="M327" s="138"/>
      <c r="N327" s="138"/>
      <c r="O327" s="9"/>
      <c r="P327" s="9"/>
      <c r="Q327" s="153"/>
    </row>
    <row r="328" spans="8:17" x14ac:dyDescent="0.3">
      <c r="H328" s="199"/>
      <c r="I328" s="111"/>
      <c r="J328" s="111"/>
      <c r="K328" s="111"/>
      <c r="L328" s="6"/>
      <c r="M328" s="138"/>
      <c r="N328" s="138"/>
      <c r="O328" s="9"/>
      <c r="P328" s="9"/>
      <c r="Q328" s="153"/>
    </row>
    <row r="329" spans="8:17" x14ac:dyDescent="0.3">
      <c r="H329" s="199"/>
      <c r="I329" s="111"/>
      <c r="J329" s="111"/>
      <c r="K329" s="111"/>
      <c r="L329" s="6"/>
      <c r="M329" s="138"/>
      <c r="N329" s="138"/>
      <c r="O329" s="9"/>
      <c r="P329" s="9"/>
      <c r="Q329" s="153"/>
    </row>
    <row r="330" spans="8:17" x14ac:dyDescent="0.3">
      <c r="H330" s="199"/>
      <c r="I330" s="111"/>
      <c r="J330" s="111"/>
      <c r="K330" s="111"/>
      <c r="L330" s="6"/>
      <c r="M330" s="138"/>
      <c r="N330" s="138"/>
      <c r="O330" s="9"/>
      <c r="P330" s="9"/>
      <c r="Q330" s="153"/>
    </row>
    <row r="331" spans="8:17" x14ac:dyDescent="0.3">
      <c r="H331" s="199"/>
      <c r="I331" s="111"/>
      <c r="J331" s="111"/>
      <c r="K331" s="111"/>
      <c r="L331" s="6"/>
      <c r="M331" s="138"/>
      <c r="N331" s="138"/>
      <c r="O331" s="9"/>
      <c r="P331" s="9"/>
      <c r="Q331" s="153"/>
    </row>
    <row r="332" spans="8:17" x14ac:dyDescent="0.3">
      <c r="H332" s="199"/>
      <c r="I332" s="111"/>
      <c r="J332" s="111"/>
      <c r="K332" s="111"/>
      <c r="L332" s="6"/>
      <c r="M332" s="138"/>
      <c r="N332" s="138"/>
      <c r="O332" s="9"/>
      <c r="P332" s="9"/>
      <c r="Q332" s="153"/>
    </row>
    <row r="333" spans="8:17" x14ac:dyDescent="0.3">
      <c r="H333" s="199"/>
      <c r="I333" s="111"/>
      <c r="J333" s="111"/>
      <c r="K333" s="111"/>
      <c r="L333" s="6"/>
      <c r="M333" s="138"/>
      <c r="N333" s="138"/>
      <c r="O333" s="9"/>
      <c r="P333" s="9"/>
      <c r="Q333" s="153"/>
    </row>
    <row r="334" spans="8:17" x14ac:dyDescent="0.3">
      <c r="H334" s="199"/>
      <c r="I334" s="111"/>
      <c r="J334" s="111"/>
      <c r="K334" s="111"/>
      <c r="L334" s="6"/>
      <c r="M334" s="138"/>
      <c r="N334" s="138"/>
      <c r="O334" s="9"/>
      <c r="P334" s="9"/>
      <c r="Q334" s="153"/>
    </row>
    <row r="335" spans="8:17" x14ac:dyDescent="0.3">
      <c r="H335" s="199"/>
      <c r="I335" s="111"/>
      <c r="J335" s="111"/>
      <c r="K335" s="111"/>
      <c r="L335" s="6"/>
      <c r="M335" s="138"/>
      <c r="N335" s="138"/>
      <c r="O335" s="9"/>
      <c r="P335" s="9"/>
      <c r="Q335" s="153"/>
    </row>
    <row r="336" spans="8:17" x14ac:dyDescent="0.3">
      <c r="H336" s="199"/>
      <c r="I336" s="111"/>
      <c r="J336" s="111"/>
      <c r="K336" s="111"/>
      <c r="L336" s="6"/>
      <c r="M336" s="138"/>
      <c r="N336" s="138"/>
      <c r="O336" s="9"/>
      <c r="P336" s="9"/>
      <c r="Q336" s="153"/>
    </row>
    <row r="337" spans="8:17" x14ac:dyDescent="0.3">
      <c r="H337" s="199"/>
      <c r="I337" s="111"/>
      <c r="J337" s="111"/>
      <c r="K337" s="111"/>
      <c r="L337" s="6"/>
      <c r="M337" s="138"/>
      <c r="N337" s="138"/>
      <c r="O337" s="9"/>
      <c r="P337" s="9"/>
      <c r="Q337" s="153"/>
    </row>
    <row r="338" spans="8:17" x14ac:dyDescent="0.3">
      <c r="H338" s="199"/>
      <c r="I338" s="111"/>
      <c r="J338" s="111"/>
      <c r="K338" s="111"/>
      <c r="L338" s="6"/>
      <c r="M338" s="138"/>
      <c r="N338" s="138"/>
      <c r="O338" s="9"/>
      <c r="P338" s="9"/>
      <c r="Q338" s="153"/>
    </row>
    <row r="339" spans="8:17" x14ac:dyDescent="0.3">
      <c r="H339" s="199"/>
      <c r="I339" s="111"/>
      <c r="J339" s="111"/>
      <c r="K339" s="111"/>
      <c r="L339" s="6"/>
      <c r="M339" s="138"/>
      <c r="N339" s="138"/>
      <c r="O339" s="9"/>
      <c r="P339" s="9"/>
      <c r="Q339" s="153"/>
    </row>
    <row r="340" spans="8:17" x14ac:dyDescent="0.3">
      <c r="H340" s="199"/>
      <c r="I340" s="111"/>
      <c r="J340" s="111"/>
      <c r="K340" s="111"/>
      <c r="L340" s="6"/>
      <c r="M340" s="138"/>
      <c r="N340" s="138"/>
      <c r="O340" s="9"/>
      <c r="P340" s="9"/>
      <c r="Q340" s="153"/>
    </row>
    <row r="341" spans="8:17" x14ac:dyDescent="0.3">
      <c r="H341" s="199"/>
      <c r="I341" s="111"/>
      <c r="J341" s="111"/>
      <c r="K341" s="111"/>
      <c r="L341" s="6"/>
      <c r="M341" s="138"/>
      <c r="N341" s="138"/>
      <c r="O341" s="9"/>
      <c r="P341" s="9"/>
      <c r="Q341" s="153"/>
    </row>
    <row r="342" spans="8:17" x14ac:dyDescent="0.3">
      <c r="H342" s="199"/>
      <c r="I342" s="111"/>
      <c r="J342" s="111"/>
      <c r="K342" s="111"/>
      <c r="L342" s="6"/>
      <c r="M342" s="138"/>
      <c r="N342" s="138"/>
      <c r="O342" s="9"/>
      <c r="P342" s="9"/>
      <c r="Q342" s="153"/>
    </row>
    <row r="343" spans="8:17" x14ac:dyDescent="0.3">
      <c r="H343" s="199"/>
      <c r="I343" s="111"/>
      <c r="J343" s="111"/>
      <c r="K343" s="111"/>
      <c r="L343" s="6"/>
      <c r="M343" s="138"/>
      <c r="N343" s="138"/>
      <c r="O343" s="9"/>
      <c r="P343" s="9"/>
      <c r="Q343" s="153"/>
    </row>
    <row r="344" spans="8:17" x14ac:dyDescent="0.3">
      <c r="H344" s="199"/>
      <c r="I344" s="111"/>
      <c r="J344" s="111"/>
      <c r="K344" s="111"/>
      <c r="L344" s="6"/>
      <c r="M344" s="138"/>
      <c r="N344" s="138"/>
      <c r="O344" s="9"/>
      <c r="P344" s="9"/>
      <c r="Q344" s="153"/>
    </row>
    <row r="345" spans="8:17" x14ac:dyDescent="0.3">
      <c r="H345" s="199"/>
      <c r="I345" s="111"/>
      <c r="J345" s="111"/>
      <c r="K345" s="111"/>
      <c r="L345" s="6"/>
      <c r="M345" s="138"/>
      <c r="N345" s="138"/>
      <c r="O345" s="9"/>
      <c r="P345" s="9"/>
      <c r="Q345" s="153"/>
    </row>
    <row r="346" spans="8:17" x14ac:dyDescent="0.3">
      <c r="H346" s="199"/>
      <c r="I346" s="111"/>
      <c r="J346" s="111"/>
      <c r="K346" s="111"/>
      <c r="L346" s="6"/>
      <c r="M346" s="138"/>
      <c r="N346" s="138"/>
      <c r="O346" s="9"/>
      <c r="P346" s="9"/>
      <c r="Q346" s="153"/>
    </row>
    <row r="347" spans="8:17" x14ac:dyDescent="0.3">
      <c r="H347" s="199"/>
      <c r="I347" s="111"/>
      <c r="J347" s="111"/>
      <c r="K347" s="111"/>
      <c r="L347" s="6"/>
      <c r="M347" s="138"/>
      <c r="N347" s="138"/>
      <c r="O347" s="9"/>
      <c r="P347" s="9"/>
      <c r="Q347" s="153"/>
    </row>
    <row r="348" spans="8:17" x14ac:dyDescent="0.3">
      <c r="H348" s="199"/>
      <c r="I348" s="111"/>
      <c r="J348" s="111"/>
      <c r="K348" s="111"/>
      <c r="L348" s="6"/>
      <c r="M348" s="138"/>
      <c r="N348" s="138"/>
      <c r="O348" s="9"/>
      <c r="P348" s="9"/>
      <c r="Q348" s="153"/>
    </row>
    <row r="349" spans="8:17" x14ac:dyDescent="0.3">
      <c r="H349" s="199"/>
      <c r="I349" s="111"/>
      <c r="J349" s="111"/>
      <c r="K349" s="111"/>
      <c r="L349" s="6"/>
      <c r="M349" s="138"/>
      <c r="N349" s="138"/>
      <c r="O349" s="9"/>
      <c r="P349" s="9"/>
      <c r="Q349" s="153"/>
    </row>
    <row r="350" spans="8:17" x14ac:dyDescent="0.3">
      <c r="H350" s="199"/>
      <c r="I350" s="111"/>
      <c r="J350" s="111"/>
      <c r="K350" s="111"/>
      <c r="L350" s="6"/>
      <c r="M350" s="138"/>
      <c r="N350" s="138"/>
      <c r="O350" s="9"/>
      <c r="P350" s="9"/>
      <c r="Q350" s="153"/>
    </row>
    <row r="351" spans="8:17" x14ac:dyDescent="0.3">
      <c r="H351" s="199"/>
      <c r="I351" s="111"/>
      <c r="J351" s="111"/>
      <c r="K351" s="111"/>
      <c r="L351" s="6"/>
      <c r="M351" s="138"/>
      <c r="N351" s="138"/>
      <c r="O351" s="9"/>
      <c r="P351" s="9"/>
      <c r="Q351" s="153"/>
    </row>
    <row r="352" spans="8:17" x14ac:dyDescent="0.3">
      <c r="H352" s="199"/>
      <c r="I352" s="111"/>
      <c r="J352" s="111"/>
      <c r="K352" s="111"/>
      <c r="L352" s="6"/>
      <c r="M352" s="138"/>
      <c r="N352" s="138"/>
      <c r="O352" s="9"/>
      <c r="P352" s="9"/>
      <c r="Q352" s="153"/>
    </row>
    <row r="353" spans="8:17" x14ac:dyDescent="0.3">
      <c r="H353" s="199"/>
      <c r="I353" s="111"/>
      <c r="J353" s="111"/>
      <c r="K353" s="111"/>
      <c r="L353" s="6"/>
      <c r="M353" s="138"/>
      <c r="N353" s="138"/>
      <c r="O353" s="9"/>
      <c r="P353" s="9"/>
      <c r="Q353" s="153"/>
    </row>
    <row r="354" spans="8:17" x14ac:dyDescent="0.3">
      <c r="H354" s="199"/>
      <c r="I354" s="111"/>
      <c r="J354" s="111"/>
      <c r="K354" s="111"/>
      <c r="L354" s="6"/>
      <c r="M354" s="138"/>
      <c r="N354" s="138"/>
      <c r="O354" s="9"/>
      <c r="P354" s="9"/>
      <c r="Q354" s="153"/>
    </row>
    <row r="355" spans="8:17" x14ac:dyDescent="0.3">
      <c r="H355" s="199"/>
      <c r="I355" s="111"/>
      <c r="J355" s="111"/>
      <c r="K355" s="111"/>
      <c r="L355" s="6"/>
      <c r="M355" s="138"/>
      <c r="N355" s="138"/>
      <c r="O355" s="9"/>
      <c r="P355" s="9"/>
      <c r="Q355" s="153"/>
    </row>
    <row r="356" spans="8:17" x14ac:dyDescent="0.3">
      <c r="H356" s="199"/>
      <c r="I356" s="111"/>
      <c r="J356" s="111"/>
      <c r="K356" s="111"/>
      <c r="L356" s="6"/>
      <c r="M356" s="138"/>
      <c r="N356" s="138"/>
      <c r="O356" s="9"/>
      <c r="P356" s="9"/>
      <c r="Q356" s="153"/>
    </row>
    <row r="357" spans="8:17" x14ac:dyDescent="0.3">
      <c r="H357" s="199"/>
      <c r="I357" s="111"/>
      <c r="J357" s="111"/>
      <c r="K357" s="111"/>
      <c r="L357" s="6"/>
      <c r="M357" s="138"/>
      <c r="N357" s="138"/>
      <c r="O357" s="9"/>
      <c r="P357" s="9"/>
      <c r="Q357" s="153"/>
    </row>
    <row r="358" spans="8:17" x14ac:dyDescent="0.3">
      <c r="H358" s="199"/>
      <c r="I358" s="111"/>
      <c r="J358" s="111"/>
      <c r="K358" s="111"/>
      <c r="L358" s="6"/>
      <c r="M358" s="138"/>
      <c r="N358" s="138"/>
      <c r="O358" s="9"/>
      <c r="P358" s="9"/>
      <c r="Q358" s="153"/>
    </row>
    <row r="359" spans="8:17" x14ac:dyDescent="0.3">
      <c r="H359" s="199"/>
      <c r="I359" s="111"/>
      <c r="J359" s="111"/>
      <c r="K359" s="111"/>
      <c r="L359" s="6"/>
      <c r="M359" s="138"/>
      <c r="N359" s="138"/>
      <c r="O359" s="9"/>
      <c r="P359" s="9"/>
      <c r="Q359" s="153"/>
    </row>
    <row r="360" spans="8:17" x14ac:dyDescent="0.3">
      <c r="H360" s="199"/>
      <c r="I360" s="111"/>
      <c r="J360" s="111"/>
      <c r="K360" s="111"/>
      <c r="L360" s="6"/>
      <c r="M360" s="138"/>
      <c r="N360" s="138"/>
      <c r="O360" s="9"/>
      <c r="P360" s="9"/>
      <c r="Q360" s="153"/>
    </row>
    <row r="361" spans="8:17" x14ac:dyDescent="0.3">
      <c r="H361" s="199"/>
      <c r="I361" s="111"/>
      <c r="J361" s="111"/>
      <c r="K361" s="111"/>
      <c r="L361" s="6"/>
      <c r="M361" s="138"/>
      <c r="N361" s="138"/>
      <c r="O361" s="9"/>
      <c r="P361" s="9"/>
      <c r="Q361" s="153"/>
    </row>
    <row r="362" spans="8:17" x14ac:dyDescent="0.3">
      <c r="H362" s="199"/>
      <c r="I362" s="111"/>
      <c r="J362" s="111"/>
      <c r="K362" s="111"/>
      <c r="L362" s="6"/>
      <c r="M362" s="138"/>
      <c r="N362" s="138"/>
      <c r="O362" s="9"/>
      <c r="P362" s="9"/>
      <c r="Q362" s="153"/>
    </row>
    <row r="363" spans="8:17" x14ac:dyDescent="0.3">
      <c r="H363" s="199"/>
      <c r="I363" s="111"/>
      <c r="J363" s="111"/>
      <c r="K363" s="111"/>
      <c r="L363" s="6"/>
      <c r="M363" s="138"/>
      <c r="N363" s="138"/>
      <c r="O363" s="9"/>
      <c r="P363" s="9"/>
      <c r="Q363" s="153"/>
    </row>
    <row r="364" spans="8:17" x14ac:dyDescent="0.3">
      <c r="H364" s="199"/>
      <c r="I364" s="111"/>
      <c r="J364" s="111"/>
      <c r="K364" s="111"/>
      <c r="L364" s="6"/>
      <c r="M364" s="138"/>
      <c r="N364" s="138"/>
      <c r="O364" s="9"/>
      <c r="P364" s="9"/>
      <c r="Q364" s="153"/>
    </row>
    <row r="365" spans="8:17" x14ac:dyDescent="0.3">
      <c r="H365" s="199"/>
      <c r="I365" s="111"/>
      <c r="J365" s="111"/>
      <c r="K365" s="111"/>
      <c r="L365" s="6"/>
      <c r="M365" s="138"/>
      <c r="N365" s="138"/>
      <c r="O365" s="9"/>
      <c r="P365" s="9"/>
      <c r="Q365" s="153"/>
    </row>
    <row r="366" spans="8:17" x14ac:dyDescent="0.3">
      <c r="H366" s="199"/>
      <c r="I366" s="111"/>
      <c r="J366" s="111"/>
      <c r="K366" s="111"/>
      <c r="L366" s="6"/>
      <c r="M366" s="138"/>
      <c r="N366" s="138"/>
      <c r="O366" s="9"/>
      <c r="P366" s="9"/>
      <c r="Q366" s="153"/>
    </row>
    <row r="367" spans="8:17" x14ac:dyDescent="0.3">
      <c r="H367" s="199"/>
      <c r="I367" s="111"/>
      <c r="J367" s="111"/>
      <c r="K367" s="111"/>
      <c r="L367" s="6"/>
      <c r="M367" s="138"/>
      <c r="N367" s="138"/>
      <c r="O367" s="9"/>
      <c r="P367" s="9"/>
      <c r="Q367" s="153"/>
    </row>
    <row r="368" spans="8:17" x14ac:dyDescent="0.3">
      <c r="H368" s="199"/>
      <c r="I368" s="111"/>
      <c r="J368" s="111"/>
      <c r="K368" s="111"/>
      <c r="L368" s="6"/>
      <c r="M368" s="138"/>
      <c r="N368" s="138"/>
      <c r="O368" s="9"/>
      <c r="P368" s="9"/>
      <c r="Q368" s="153"/>
    </row>
    <row r="369" spans="8:17" x14ac:dyDescent="0.3">
      <c r="H369" s="199"/>
      <c r="I369" s="111"/>
      <c r="J369" s="111"/>
      <c r="K369" s="111"/>
      <c r="L369" s="6"/>
      <c r="M369" s="138"/>
      <c r="N369" s="138"/>
      <c r="O369" s="9"/>
      <c r="P369" s="9"/>
      <c r="Q369" s="153"/>
    </row>
    <row r="370" spans="8:17" x14ac:dyDescent="0.3">
      <c r="H370" s="199"/>
      <c r="I370" s="111"/>
      <c r="J370" s="111"/>
      <c r="K370" s="111"/>
      <c r="L370" s="6"/>
      <c r="M370" s="138"/>
      <c r="N370" s="138"/>
      <c r="O370" s="9"/>
      <c r="P370" s="9"/>
      <c r="Q370" s="153"/>
    </row>
    <row r="371" spans="8:17" x14ac:dyDescent="0.3">
      <c r="H371" s="199"/>
      <c r="I371" s="111"/>
      <c r="J371" s="111"/>
      <c r="K371" s="111"/>
      <c r="L371" s="6"/>
      <c r="M371" s="138"/>
      <c r="N371" s="138"/>
      <c r="O371" s="9"/>
      <c r="P371" s="9"/>
      <c r="Q371" s="153"/>
    </row>
    <row r="372" spans="8:17" x14ac:dyDescent="0.3">
      <c r="H372" s="199"/>
      <c r="I372" s="111"/>
      <c r="J372" s="111"/>
      <c r="K372" s="111"/>
      <c r="L372" s="6"/>
      <c r="M372" s="138"/>
      <c r="N372" s="138"/>
      <c r="O372" s="9"/>
      <c r="P372" s="9"/>
      <c r="Q372" s="153"/>
    </row>
    <row r="373" spans="8:17" x14ac:dyDescent="0.3">
      <c r="H373" s="199"/>
      <c r="I373" s="111"/>
      <c r="J373" s="111"/>
      <c r="K373" s="111"/>
      <c r="L373" s="6"/>
      <c r="M373" s="138"/>
      <c r="N373" s="138"/>
      <c r="O373" s="9"/>
      <c r="P373" s="9"/>
      <c r="Q373" s="153"/>
    </row>
    <row r="374" spans="8:17" x14ac:dyDescent="0.3">
      <c r="H374" s="199"/>
      <c r="I374" s="111"/>
      <c r="J374" s="111"/>
      <c r="K374" s="111"/>
      <c r="L374" s="6"/>
      <c r="M374" s="138"/>
      <c r="N374" s="138"/>
      <c r="O374" s="9"/>
      <c r="P374" s="9"/>
      <c r="Q374" s="153"/>
    </row>
    <row r="375" spans="8:17" x14ac:dyDescent="0.3">
      <c r="H375" s="199"/>
      <c r="I375" s="111"/>
      <c r="J375" s="111"/>
      <c r="K375" s="111"/>
      <c r="L375" s="6"/>
      <c r="M375" s="138"/>
      <c r="N375" s="138"/>
      <c r="O375" s="9"/>
      <c r="P375" s="9"/>
      <c r="Q375" s="153"/>
    </row>
    <row r="376" spans="8:17" x14ac:dyDescent="0.3">
      <c r="H376" s="199"/>
      <c r="I376" s="111"/>
      <c r="J376" s="111"/>
      <c r="K376" s="111"/>
      <c r="L376" s="6"/>
      <c r="M376" s="138"/>
      <c r="N376" s="138"/>
      <c r="O376" s="9"/>
      <c r="P376" s="9"/>
      <c r="Q376" s="153"/>
    </row>
    <row r="377" spans="8:17" x14ac:dyDescent="0.3">
      <c r="H377" s="199"/>
      <c r="I377" s="111"/>
      <c r="J377" s="111"/>
      <c r="K377" s="111"/>
      <c r="L377" s="6"/>
      <c r="M377" s="138"/>
      <c r="N377" s="138"/>
      <c r="O377" s="9"/>
      <c r="P377" s="9"/>
      <c r="Q377" s="153"/>
    </row>
    <row r="378" spans="8:17" x14ac:dyDescent="0.3">
      <c r="H378" s="199"/>
      <c r="I378" s="111"/>
      <c r="J378" s="111"/>
      <c r="K378" s="111"/>
      <c r="L378" s="6"/>
      <c r="M378" s="138"/>
      <c r="N378" s="138"/>
      <c r="O378" s="9"/>
      <c r="P378" s="9"/>
      <c r="Q378" s="153"/>
    </row>
    <row r="379" spans="8:17" x14ac:dyDescent="0.3">
      <c r="H379" s="199"/>
      <c r="I379" s="111"/>
      <c r="J379" s="111"/>
      <c r="K379" s="111"/>
      <c r="L379" s="6"/>
      <c r="M379" s="138"/>
      <c r="N379" s="138"/>
      <c r="O379" s="9"/>
      <c r="P379" s="9"/>
      <c r="Q379" s="153"/>
    </row>
    <row r="380" spans="8:17" x14ac:dyDescent="0.3">
      <c r="H380" s="199"/>
      <c r="I380" s="111"/>
      <c r="J380" s="111"/>
      <c r="K380" s="111"/>
      <c r="L380" s="6"/>
      <c r="M380" s="138"/>
      <c r="N380" s="138"/>
      <c r="O380" s="9"/>
      <c r="P380" s="9"/>
      <c r="Q380" s="153"/>
    </row>
    <row r="381" spans="8:17" x14ac:dyDescent="0.3">
      <c r="H381" s="199"/>
      <c r="I381" s="111"/>
      <c r="J381" s="111"/>
      <c r="K381" s="111"/>
      <c r="L381" s="6"/>
      <c r="M381" s="138"/>
      <c r="N381" s="138"/>
      <c r="O381" s="9"/>
      <c r="P381" s="9"/>
      <c r="Q381" s="153"/>
    </row>
    <row r="382" spans="8:17" x14ac:dyDescent="0.3">
      <c r="H382" s="199"/>
      <c r="I382" s="111"/>
      <c r="J382" s="111"/>
      <c r="K382" s="111"/>
      <c r="L382" s="6"/>
      <c r="M382" s="138"/>
      <c r="N382" s="138"/>
      <c r="O382" s="9"/>
      <c r="P382" s="9"/>
      <c r="Q382" s="153"/>
    </row>
    <row r="383" spans="8:17" x14ac:dyDescent="0.3">
      <c r="H383" s="199"/>
      <c r="I383" s="111"/>
      <c r="J383" s="111"/>
      <c r="K383" s="111"/>
      <c r="L383" s="6"/>
      <c r="M383" s="138"/>
      <c r="N383" s="138"/>
      <c r="O383" s="9"/>
      <c r="P383" s="9"/>
      <c r="Q383" s="153"/>
    </row>
    <row r="384" spans="8:17" x14ac:dyDescent="0.3">
      <c r="H384" s="199"/>
      <c r="I384" s="111"/>
      <c r="J384" s="111"/>
      <c r="K384" s="111"/>
      <c r="L384" s="6"/>
      <c r="M384" s="138"/>
      <c r="N384" s="138"/>
      <c r="O384" s="9"/>
      <c r="P384" s="9"/>
      <c r="Q384" s="153"/>
    </row>
    <row r="385" spans="8:17" x14ac:dyDescent="0.3">
      <c r="H385" s="199"/>
      <c r="I385" s="111"/>
      <c r="J385" s="111"/>
      <c r="K385" s="111"/>
      <c r="L385" s="6"/>
      <c r="M385" s="138"/>
      <c r="N385" s="138"/>
      <c r="O385" s="9"/>
      <c r="P385" s="9"/>
      <c r="Q385" s="153"/>
    </row>
    <row r="386" spans="8:17" x14ac:dyDescent="0.3">
      <c r="H386" s="199"/>
      <c r="I386" s="111"/>
      <c r="J386" s="111"/>
      <c r="K386" s="111"/>
      <c r="L386" s="6"/>
      <c r="M386" s="138"/>
      <c r="N386" s="138"/>
      <c r="O386" s="9"/>
      <c r="P386" s="9"/>
      <c r="Q386" s="153"/>
    </row>
    <row r="387" spans="8:17" x14ac:dyDescent="0.3">
      <c r="H387" s="199"/>
      <c r="I387" s="111"/>
      <c r="J387" s="111"/>
      <c r="K387" s="111"/>
      <c r="L387" s="6"/>
      <c r="M387" s="138"/>
      <c r="N387" s="138"/>
      <c r="O387" s="9"/>
      <c r="P387" s="9"/>
      <c r="Q387" s="153"/>
    </row>
    <row r="388" spans="8:17" x14ac:dyDescent="0.3">
      <c r="H388" s="199"/>
      <c r="I388" s="111"/>
      <c r="J388" s="111"/>
      <c r="K388" s="111"/>
      <c r="L388" s="6"/>
      <c r="M388" s="138"/>
      <c r="N388" s="138"/>
      <c r="O388" s="9"/>
      <c r="P388" s="9"/>
      <c r="Q388" s="153"/>
    </row>
    <row r="389" spans="8:17" x14ac:dyDescent="0.3">
      <c r="H389" s="199"/>
      <c r="I389" s="111"/>
      <c r="J389" s="111"/>
      <c r="K389" s="111"/>
      <c r="L389" s="6"/>
      <c r="M389" s="138"/>
      <c r="N389" s="138"/>
      <c r="O389" s="9"/>
      <c r="P389" s="9"/>
      <c r="Q389" s="153"/>
    </row>
    <row r="390" spans="8:17" x14ac:dyDescent="0.3">
      <c r="H390" s="199"/>
      <c r="I390" s="111"/>
      <c r="J390" s="111"/>
      <c r="K390" s="111"/>
      <c r="L390" s="6"/>
      <c r="M390" s="138"/>
      <c r="N390" s="138"/>
      <c r="O390" s="9"/>
      <c r="P390" s="9"/>
      <c r="Q390" s="153"/>
    </row>
    <row r="391" spans="8:17" x14ac:dyDescent="0.3">
      <c r="H391" s="199"/>
      <c r="I391" s="111"/>
      <c r="J391" s="111"/>
      <c r="K391" s="111"/>
      <c r="L391" s="6"/>
      <c r="M391" s="138"/>
      <c r="N391" s="138"/>
      <c r="O391" s="9"/>
      <c r="P391" s="9"/>
      <c r="Q391" s="153"/>
    </row>
    <row r="392" spans="8:17" x14ac:dyDescent="0.3">
      <c r="H392" s="199"/>
      <c r="I392" s="111"/>
      <c r="J392" s="111"/>
      <c r="K392" s="111"/>
      <c r="L392" s="6"/>
      <c r="M392" s="138"/>
      <c r="N392" s="138"/>
      <c r="O392" s="9"/>
      <c r="P392" s="9"/>
      <c r="Q392" s="153"/>
    </row>
    <row r="393" spans="8:17" x14ac:dyDescent="0.3">
      <c r="H393" s="199"/>
      <c r="I393" s="111"/>
      <c r="J393" s="111"/>
      <c r="K393" s="111"/>
      <c r="L393" s="6"/>
      <c r="M393" s="138"/>
      <c r="N393" s="138"/>
      <c r="O393" s="9"/>
      <c r="P393" s="9"/>
      <c r="Q393" s="153"/>
    </row>
    <row r="394" spans="8:17" x14ac:dyDescent="0.3">
      <c r="H394" s="199"/>
      <c r="I394" s="111"/>
      <c r="J394" s="111"/>
      <c r="K394" s="111"/>
      <c r="L394" s="6"/>
      <c r="M394" s="138"/>
      <c r="N394" s="138"/>
      <c r="O394" s="9"/>
      <c r="P394" s="9"/>
      <c r="Q394" s="153"/>
    </row>
    <row r="395" spans="8:17" x14ac:dyDescent="0.3">
      <c r="H395" s="199"/>
      <c r="I395" s="111"/>
      <c r="J395" s="111"/>
      <c r="K395" s="111"/>
      <c r="L395" s="6"/>
      <c r="M395" s="138"/>
      <c r="N395" s="138"/>
      <c r="O395" s="9"/>
      <c r="P395" s="9"/>
      <c r="Q395" s="153"/>
    </row>
    <row r="396" spans="8:17" x14ac:dyDescent="0.3">
      <c r="H396" s="199"/>
      <c r="I396" s="111"/>
      <c r="J396" s="111"/>
      <c r="K396" s="111"/>
      <c r="L396" s="6"/>
      <c r="M396" s="138"/>
      <c r="N396" s="138"/>
      <c r="O396" s="9"/>
      <c r="P396" s="9"/>
      <c r="Q396" s="153"/>
    </row>
    <row r="397" spans="8:17" x14ac:dyDescent="0.3">
      <c r="H397" s="199"/>
      <c r="I397" s="111"/>
      <c r="J397" s="111"/>
      <c r="K397" s="111"/>
      <c r="L397" s="6"/>
      <c r="M397" s="138"/>
      <c r="N397" s="138"/>
      <c r="O397" s="9"/>
      <c r="P397" s="9"/>
      <c r="Q397" s="153"/>
    </row>
    <row r="398" spans="8:17" x14ac:dyDescent="0.3">
      <c r="H398" s="199"/>
      <c r="I398" s="111"/>
      <c r="J398" s="111"/>
      <c r="K398" s="111"/>
      <c r="L398" s="6"/>
      <c r="M398" s="138"/>
      <c r="N398" s="138"/>
      <c r="O398" s="9"/>
      <c r="P398" s="9"/>
      <c r="Q398" s="153"/>
    </row>
    <row r="399" spans="8:17" x14ac:dyDescent="0.3">
      <c r="H399" s="199"/>
      <c r="I399" s="111"/>
      <c r="J399" s="111"/>
      <c r="K399" s="111"/>
      <c r="L399" s="6"/>
      <c r="M399" s="138"/>
      <c r="N399" s="138"/>
      <c r="O399" s="9"/>
      <c r="P399" s="9"/>
      <c r="Q399" s="153"/>
    </row>
    <row r="400" spans="8:17" x14ac:dyDescent="0.3">
      <c r="H400" s="199"/>
      <c r="I400" s="111"/>
      <c r="J400" s="111"/>
      <c r="K400" s="111"/>
      <c r="L400" s="6"/>
      <c r="M400" s="138"/>
      <c r="N400" s="138"/>
      <c r="O400" s="9"/>
      <c r="P400" s="9"/>
      <c r="Q400" s="153"/>
    </row>
    <row r="401" spans="8:17" x14ac:dyDescent="0.3">
      <c r="H401" s="199"/>
      <c r="I401" s="111"/>
      <c r="J401" s="111"/>
      <c r="K401" s="111"/>
      <c r="L401" s="6"/>
      <c r="M401" s="138"/>
      <c r="N401" s="138"/>
      <c r="O401" s="9"/>
      <c r="P401" s="9"/>
      <c r="Q401" s="153"/>
    </row>
    <row r="402" spans="8:17" x14ac:dyDescent="0.3">
      <c r="H402" s="199"/>
      <c r="I402" s="111"/>
      <c r="J402" s="111"/>
      <c r="K402" s="111"/>
      <c r="L402" s="6"/>
      <c r="M402" s="138"/>
      <c r="N402" s="138"/>
      <c r="O402" s="9"/>
      <c r="P402" s="9"/>
      <c r="Q402" s="153"/>
    </row>
    <row r="403" spans="8:17" x14ac:dyDescent="0.3">
      <c r="H403" s="199"/>
      <c r="I403" s="111"/>
      <c r="J403" s="111"/>
      <c r="K403" s="111"/>
      <c r="L403" s="6"/>
      <c r="M403" s="138"/>
      <c r="N403" s="138"/>
      <c r="O403" s="9"/>
      <c r="P403" s="9"/>
      <c r="Q403" s="153"/>
    </row>
    <row r="404" spans="8:17" x14ac:dyDescent="0.3">
      <c r="H404" s="199"/>
      <c r="I404" s="111"/>
      <c r="J404" s="111"/>
      <c r="K404" s="111"/>
      <c r="L404" s="6"/>
      <c r="M404" s="138"/>
      <c r="N404" s="138"/>
      <c r="O404" s="9"/>
      <c r="P404" s="9"/>
      <c r="Q404" s="153"/>
    </row>
    <row r="405" spans="8:17" x14ac:dyDescent="0.3">
      <c r="H405" s="199"/>
      <c r="I405" s="111"/>
      <c r="J405" s="111"/>
      <c r="K405" s="111"/>
      <c r="L405" s="6"/>
      <c r="M405" s="138"/>
      <c r="N405" s="138"/>
      <c r="O405" s="9"/>
      <c r="P405" s="9"/>
      <c r="Q405" s="153"/>
    </row>
    <row r="406" spans="8:17" x14ac:dyDescent="0.3">
      <c r="H406" s="199"/>
      <c r="I406" s="111"/>
      <c r="J406" s="111"/>
      <c r="K406" s="111"/>
      <c r="L406" s="6"/>
      <c r="M406" s="138"/>
      <c r="N406" s="138"/>
      <c r="O406" s="9"/>
      <c r="P406" s="9"/>
      <c r="Q406" s="153"/>
    </row>
    <row r="407" spans="8:17" x14ac:dyDescent="0.3">
      <c r="H407" s="199"/>
      <c r="I407" s="111"/>
      <c r="J407" s="111"/>
      <c r="K407" s="111"/>
      <c r="L407" s="6"/>
      <c r="M407" s="138"/>
      <c r="N407" s="138"/>
      <c r="O407" s="9"/>
      <c r="P407" s="9"/>
      <c r="Q407" s="153"/>
    </row>
    <row r="408" spans="8:17" x14ac:dyDescent="0.3">
      <c r="H408" s="199"/>
      <c r="I408" s="111"/>
      <c r="J408" s="111"/>
      <c r="K408" s="111"/>
      <c r="L408" s="6"/>
      <c r="M408" s="138"/>
      <c r="N408" s="138"/>
      <c r="O408" s="9"/>
      <c r="P408" s="9"/>
      <c r="Q408" s="153"/>
    </row>
    <row r="409" spans="8:17" x14ac:dyDescent="0.3">
      <c r="H409" s="199"/>
      <c r="I409" s="111"/>
      <c r="J409" s="111"/>
      <c r="K409" s="111"/>
      <c r="L409" s="6"/>
      <c r="M409" s="138"/>
      <c r="N409" s="138"/>
      <c r="O409" s="9"/>
      <c r="P409" s="9"/>
      <c r="Q409" s="153"/>
    </row>
    <row r="410" spans="8:17" x14ac:dyDescent="0.3">
      <c r="H410" s="199"/>
      <c r="I410" s="111"/>
      <c r="J410" s="111"/>
      <c r="K410" s="111"/>
      <c r="L410" s="6"/>
      <c r="M410" s="138"/>
      <c r="N410" s="138"/>
      <c r="O410" s="9"/>
      <c r="P410" s="9"/>
      <c r="Q410" s="153"/>
    </row>
    <row r="411" spans="8:17" x14ac:dyDescent="0.3">
      <c r="H411" s="199"/>
      <c r="I411" s="111"/>
      <c r="J411" s="111"/>
      <c r="K411" s="111"/>
      <c r="L411" s="6"/>
      <c r="M411" s="138"/>
      <c r="N411" s="138"/>
      <c r="O411" s="9"/>
      <c r="P411" s="9"/>
      <c r="Q411" s="153"/>
    </row>
    <row r="412" spans="8:17" x14ac:dyDescent="0.3">
      <c r="H412" s="199"/>
      <c r="I412" s="111"/>
      <c r="J412" s="111"/>
      <c r="K412" s="111"/>
      <c r="L412" s="6"/>
      <c r="M412" s="138"/>
      <c r="N412" s="138"/>
      <c r="O412" s="9"/>
      <c r="P412" s="9"/>
      <c r="Q412" s="153"/>
    </row>
    <row r="413" spans="8:17" x14ac:dyDescent="0.3">
      <c r="H413" s="199"/>
      <c r="I413" s="111"/>
      <c r="J413" s="111"/>
      <c r="K413" s="111"/>
      <c r="L413" s="6"/>
      <c r="M413" s="138"/>
      <c r="N413" s="138"/>
      <c r="O413" s="9"/>
      <c r="P413" s="9"/>
      <c r="Q413" s="153"/>
    </row>
    <row r="414" spans="8:17" x14ac:dyDescent="0.3">
      <c r="H414" s="199"/>
      <c r="I414" s="111"/>
      <c r="J414" s="111"/>
      <c r="K414" s="111"/>
      <c r="L414" s="6"/>
      <c r="M414" s="138"/>
      <c r="N414" s="138"/>
      <c r="O414" s="9"/>
      <c r="P414" s="9"/>
      <c r="Q414" s="153"/>
    </row>
    <row r="415" spans="8:17" x14ac:dyDescent="0.3">
      <c r="H415" s="199"/>
      <c r="I415" s="111"/>
      <c r="J415" s="111"/>
      <c r="K415" s="111"/>
      <c r="L415" s="6"/>
      <c r="M415" s="138"/>
      <c r="N415" s="138"/>
      <c r="O415" s="9"/>
      <c r="P415" s="9"/>
      <c r="Q415" s="153"/>
    </row>
    <row r="416" spans="8:17" x14ac:dyDescent="0.3">
      <c r="H416" s="199"/>
      <c r="I416" s="111"/>
      <c r="J416" s="111"/>
      <c r="K416" s="111"/>
      <c r="L416" s="6"/>
      <c r="M416" s="138"/>
      <c r="N416" s="138"/>
      <c r="O416" s="9"/>
      <c r="P416" s="9"/>
      <c r="Q416" s="153"/>
    </row>
    <row r="417" spans="8:17" x14ac:dyDescent="0.3">
      <c r="H417" s="199"/>
      <c r="I417" s="111"/>
      <c r="J417" s="111"/>
      <c r="K417" s="111"/>
      <c r="L417" s="6"/>
      <c r="M417" s="138"/>
      <c r="N417" s="138"/>
      <c r="O417" s="9"/>
      <c r="P417" s="9"/>
      <c r="Q417" s="153"/>
    </row>
    <row r="418" spans="8:17" x14ac:dyDescent="0.3">
      <c r="H418" s="199"/>
      <c r="I418" s="111"/>
      <c r="L418" s="6"/>
      <c r="M418" s="138"/>
      <c r="N418" s="138"/>
      <c r="O418" s="9"/>
      <c r="P418" s="9"/>
      <c r="Q418" s="153"/>
    </row>
  </sheetData>
  <pageMargins left="0.511811024" right="0.511811024" top="0.78740157499999996" bottom="0.78740157499999996" header="0.31496062000000002" footer="0.31496062000000002"/>
  <pageSetup scale="44" orientation="portrait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44A"/>
  </sheetPr>
  <dimension ref="A1:AR316"/>
  <sheetViews>
    <sheetView showGridLines="0" zoomScale="115" zoomScaleNormal="115"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F13" sqref="F13"/>
    </sheetView>
  </sheetViews>
  <sheetFormatPr defaultRowHeight="14.4" outlineLevelCol="1" x14ac:dyDescent="0.3"/>
  <cols>
    <col min="1" max="1" width="1" style="53" customWidth="1"/>
    <col min="2" max="2" width="2.44140625" style="24" customWidth="1"/>
    <col min="3" max="3" width="9.44140625" style="46" customWidth="1"/>
    <col min="4" max="5" width="5.44140625" style="1" customWidth="1"/>
    <col min="6" max="6" width="66.44140625" style="4" customWidth="1"/>
    <col min="7" max="7" width="16.44140625" style="4" bestFit="1" customWidth="1"/>
    <col min="8" max="8" width="11.44140625" style="4" bestFit="1" customWidth="1"/>
    <col min="9" max="9" width="8.44140625" style="4" customWidth="1"/>
    <col min="10" max="10" width="13.44140625" style="106" customWidth="1"/>
    <col min="11" max="11" width="12.5546875" style="106" customWidth="1"/>
    <col min="12" max="12" width="12.5546875" style="4" customWidth="1"/>
    <col min="13" max="13" width="14.5546875" style="4" customWidth="1"/>
    <col min="14" max="14" width="15" style="4" customWidth="1"/>
    <col min="15" max="15" width="13.5546875" style="4" customWidth="1"/>
    <col min="16" max="16" width="4.5546875" style="4" customWidth="1"/>
    <col min="17" max="17" width="50.5546875" style="8" hidden="1" customWidth="1"/>
    <col min="19" max="34" width="13" hidden="1" customWidth="1"/>
    <col min="35" max="38" width="7.44140625" hidden="1" customWidth="1"/>
    <col min="39" max="41" width="6.77734375" hidden="1" customWidth="1"/>
    <col min="42" max="42" width="13" hidden="1" customWidth="1"/>
    <col min="43" max="43" width="3.44140625" bestFit="1" customWidth="1"/>
    <col min="44" max="44" width="4.5546875" customWidth="1" outlineLevel="1"/>
    <col min="45" max="45" width="3.44140625" bestFit="1" customWidth="1"/>
  </cols>
  <sheetData>
    <row r="1" spans="3:17" ht="4.5" customHeight="1" x14ac:dyDescent="0.3"/>
    <row r="2" spans="3:17" ht="14.55" customHeight="1" x14ac:dyDescent="0.3">
      <c r="C2" s="11" t="s">
        <v>0</v>
      </c>
      <c r="D2" s="11"/>
      <c r="E2" s="11"/>
      <c r="N2" s="12"/>
      <c r="O2" s="12"/>
      <c r="P2" s="12"/>
      <c r="Q2" s="13"/>
    </row>
    <row r="3" spans="3:17" ht="15" customHeight="1" thickBot="1" x14ac:dyDescent="0.35">
      <c r="C3" s="14" t="s">
        <v>1</v>
      </c>
      <c r="D3" s="14"/>
      <c r="E3" s="14"/>
      <c r="N3" s="15"/>
      <c r="O3" s="15"/>
      <c r="P3" s="15"/>
      <c r="Q3" s="16"/>
    </row>
    <row r="4" spans="3:17" ht="5.25" customHeight="1" x14ac:dyDescent="0.3">
      <c r="C4" s="47"/>
      <c r="D4" s="17"/>
      <c r="E4" s="17"/>
      <c r="F4" s="19"/>
      <c r="G4" s="19"/>
      <c r="H4" s="19"/>
      <c r="I4" s="19"/>
      <c r="J4" s="107"/>
      <c r="K4" s="107"/>
      <c r="L4" s="19"/>
      <c r="M4" s="19"/>
      <c r="N4" s="18"/>
      <c r="O4" s="18"/>
      <c r="P4" s="18"/>
      <c r="Q4" s="20"/>
    </row>
    <row r="5" spans="3:17" ht="14.55" customHeight="1" x14ac:dyDescent="0.3">
      <c r="C5" s="48"/>
      <c r="D5" s="14"/>
      <c r="E5" s="14"/>
      <c r="F5" s="14" t="s">
        <v>3</v>
      </c>
      <c r="G5" s="14"/>
      <c r="H5" s="14"/>
      <c r="I5" s="15"/>
      <c r="N5" s="15"/>
      <c r="O5" s="15"/>
      <c r="P5" s="15"/>
      <c r="Q5" s="16"/>
    </row>
    <row r="6" spans="3:17" x14ac:dyDescent="0.3">
      <c r="C6" s="48"/>
      <c r="D6" s="14"/>
      <c r="E6" s="14"/>
      <c r="F6" s="54" t="s">
        <v>4</v>
      </c>
      <c r="G6" s="54"/>
      <c r="H6" s="54"/>
      <c r="I6" s="131"/>
      <c r="J6" s="132"/>
      <c r="K6" s="108"/>
      <c r="L6" s="22"/>
      <c r="M6" s="22"/>
      <c r="N6" s="15"/>
      <c r="O6" s="23"/>
      <c r="P6" s="23"/>
      <c r="Q6" s="38" t="s">
        <v>5</v>
      </c>
    </row>
    <row r="7" spans="3:17" ht="33" customHeight="1" x14ac:dyDescent="0.3">
      <c r="C7" s="48"/>
      <c r="D7" s="14"/>
      <c r="E7" s="14"/>
      <c r="F7" s="21" t="s">
        <v>6</v>
      </c>
      <c r="G7" s="21"/>
      <c r="H7" s="21"/>
      <c r="I7" s="15"/>
      <c r="K7" s="108"/>
      <c r="L7" s="22"/>
      <c r="M7" s="22"/>
      <c r="N7" s="15"/>
      <c r="O7" s="15"/>
      <c r="P7" s="15"/>
      <c r="Q7" s="23" t="s">
        <v>7</v>
      </c>
    </row>
    <row r="8" spans="3:17" x14ac:dyDescent="0.3">
      <c r="C8" s="48"/>
      <c r="D8" s="14"/>
      <c r="E8" s="14"/>
      <c r="F8" s="21"/>
      <c r="G8" s="21"/>
      <c r="H8" s="21"/>
      <c r="I8" s="15"/>
      <c r="K8" s="108"/>
      <c r="L8" s="22"/>
      <c r="M8" s="22"/>
      <c r="N8" s="15"/>
      <c r="O8" s="15"/>
      <c r="P8" s="15"/>
      <c r="Q8" s="16"/>
    </row>
    <row r="10" spans="3:17" ht="30" customHeight="1" x14ac:dyDescent="0.3">
      <c r="C10" s="121" t="s">
        <v>14</v>
      </c>
      <c r="D10" s="122"/>
      <c r="E10" s="123"/>
      <c r="F10" s="118"/>
      <c r="G10" s="118" t="s">
        <v>622</v>
      </c>
      <c r="H10" s="118" t="s">
        <v>623</v>
      </c>
      <c r="I10" s="133" t="s">
        <v>624</v>
      </c>
      <c r="J10" s="133" t="s">
        <v>625</v>
      </c>
      <c r="K10" s="133" t="s">
        <v>626</v>
      </c>
      <c r="L10" s="134" t="s">
        <v>627</v>
      </c>
      <c r="M10" s="134" t="s">
        <v>628</v>
      </c>
      <c r="N10" s="122" t="s">
        <v>19</v>
      </c>
      <c r="O10" s="124" t="s">
        <v>20</v>
      </c>
      <c r="P10" s="118"/>
      <c r="Q10" s="122" t="s">
        <v>629</v>
      </c>
    </row>
    <row r="11" spans="3:17" x14ac:dyDescent="0.3">
      <c r="C11" s="140" t="s">
        <v>630</v>
      </c>
      <c r="D11" s="141"/>
      <c r="E11" s="141"/>
      <c r="F11" s="140"/>
      <c r="G11" s="145">
        <f>SUM(G12:G13)</f>
        <v>193288.54</v>
      </c>
      <c r="H11" s="142"/>
      <c r="I11" s="135" t="e">
        <f>K11-J11+1</f>
        <v>#REF!</v>
      </c>
      <c r="J11" s="136" t="e">
        <f>MIN(J12)</f>
        <v>#REF!</v>
      </c>
      <c r="K11" s="136" t="e">
        <f>MAX(K12)</f>
        <v>#REF!</v>
      </c>
      <c r="L11" s="137"/>
      <c r="M11" s="137"/>
      <c r="N11" s="127"/>
      <c r="O11" s="119" t="s">
        <v>405</v>
      </c>
      <c r="P11" s="128">
        <f>VLOOKUP(O11,'Lista Suspensa'!$F$23:$G$27,2,FALSE)</f>
        <v>3</v>
      </c>
      <c r="Q11" s="129"/>
    </row>
    <row r="12" spans="3:17" x14ac:dyDescent="0.3">
      <c r="C12" s="139"/>
      <c r="D12" s="82"/>
      <c r="E12" s="100" t="s">
        <v>631</v>
      </c>
      <c r="F12" s="94"/>
      <c r="G12" s="144">
        <v>96644.27</v>
      </c>
      <c r="H12" s="144">
        <v>0</v>
      </c>
      <c r="I12" s="25" t="e">
        <f>IF(J12=K12,K12-J12+1,K12-J12)</f>
        <v>#REF!</v>
      </c>
      <c r="J12" s="110" t="e">
        <f>#REF!</f>
        <v>#REF!</v>
      </c>
      <c r="K12" s="110" t="e">
        <f>#REF!</f>
        <v>#REF!</v>
      </c>
      <c r="L12" s="84" t="s">
        <v>74</v>
      </c>
      <c r="M12" s="40" t="str">
        <f>IF(O12='Lista Suspensa'!$F$26,IF(L12="-",K12,L12),"")</f>
        <v/>
      </c>
      <c r="N12" s="25" t="s">
        <v>632</v>
      </c>
      <c r="O12" s="33" t="s">
        <v>633</v>
      </c>
      <c r="P12" s="25">
        <f>VLOOKUP(O12,'Lista Suspensa'!$F$23:$G$27,2,FALSE)</f>
        <v>2</v>
      </c>
      <c r="Q12" s="120"/>
    </row>
    <row r="13" spans="3:17" x14ac:dyDescent="0.3">
      <c r="C13" s="139"/>
      <c r="D13" s="82"/>
      <c r="E13" s="100" t="s">
        <v>634</v>
      </c>
      <c r="F13" s="94"/>
      <c r="G13" s="144">
        <v>96644.27</v>
      </c>
      <c r="H13" s="144">
        <v>0</v>
      </c>
      <c r="I13" s="25" t="e">
        <f>IF(J13=K13,K13-J13+1,K13-J13)</f>
        <v>#REF!</v>
      </c>
      <c r="J13" s="110" t="e">
        <f>#REF!</f>
        <v>#REF!</v>
      </c>
      <c r="K13" s="110" t="e">
        <f>#REF!</f>
        <v>#REF!</v>
      </c>
      <c r="L13" s="84" t="s">
        <v>74</v>
      </c>
      <c r="M13" s="40" t="str">
        <f>IF(O13='Lista Suspensa'!$F$26,IF(L13="-",K13,L13),"")</f>
        <v/>
      </c>
      <c r="N13" s="25" t="s">
        <v>632</v>
      </c>
      <c r="O13" s="33" t="s">
        <v>635</v>
      </c>
      <c r="P13" s="25">
        <f>VLOOKUP(O13,'Lista Suspensa'!$F$23:$G$27,2,FALSE)</f>
        <v>0</v>
      </c>
      <c r="Q13" s="130"/>
    </row>
    <row r="14" spans="3:17" x14ac:dyDescent="0.3">
      <c r="C14" s="140" t="s">
        <v>636</v>
      </c>
      <c r="D14" s="126"/>
      <c r="E14" s="126"/>
      <c r="F14" s="125"/>
      <c r="G14" s="145">
        <f>SUM(G15:G19)</f>
        <v>751711.45000000007</v>
      </c>
      <c r="H14" s="143"/>
      <c r="I14" s="135">
        <f>K14-J14+1</f>
        <v>1</v>
      </c>
      <c r="J14" s="136">
        <f>MIN(J15)</f>
        <v>45337</v>
      </c>
      <c r="K14" s="136">
        <f>MAX(K15)</f>
        <v>45337</v>
      </c>
      <c r="L14" s="137"/>
      <c r="M14" s="137"/>
      <c r="N14" s="127"/>
      <c r="O14" s="33" t="s">
        <v>633</v>
      </c>
      <c r="P14" s="128">
        <f>VLOOKUP(O14,'Lista Suspensa'!$F$23:$G$27,2,FALSE)</f>
        <v>2</v>
      </c>
      <c r="Q14" s="129"/>
    </row>
    <row r="15" spans="3:17" x14ac:dyDescent="0.3">
      <c r="C15" s="139"/>
      <c r="D15" s="82"/>
      <c r="E15" s="100" t="s">
        <v>637</v>
      </c>
      <c r="F15" s="94"/>
      <c r="G15" s="144">
        <v>150342.29</v>
      </c>
      <c r="H15" s="144">
        <v>0</v>
      </c>
      <c r="I15" s="25">
        <f>IF(J15=K15,K15-J15+1,K15-J15)</f>
        <v>1</v>
      </c>
      <c r="J15" s="110">
        <v>45337</v>
      </c>
      <c r="K15" s="110">
        <f>J15</f>
        <v>45337</v>
      </c>
      <c r="L15" s="84" t="s">
        <v>74</v>
      </c>
      <c r="M15" s="40" t="str">
        <f>IF(O15='Lista Suspensa'!$F$26,IF(L15="-",K15,L15),"")</f>
        <v/>
      </c>
      <c r="N15" s="25" t="s">
        <v>632</v>
      </c>
      <c r="O15" s="33" t="s">
        <v>635</v>
      </c>
      <c r="P15" s="25">
        <f>VLOOKUP(O15,'Lista Suspensa'!$F$23:$G$27,2,FALSE)</f>
        <v>0</v>
      </c>
      <c r="Q15" s="130"/>
    </row>
    <row r="16" spans="3:17" x14ac:dyDescent="0.3">
      <c r="C16" s="139"/>
      <c r="D16" s="82"/>
      <c r="E16" s="100" t="s">
        <v>638</v>
      </c>
      <c r="F16" s="94"/>
      <c r="G16" s="144">
        <v>150342.29</v>
      </c>
      <c r="H16" s="144">
        <v>0</v>
      </c>
      <c r="I16" s="25">
        <f>IF(J16=K16,K16-J16+1,K16-J16)</f>
        <v>1</v>
      </c>
      <c r="J16" s="110">
        <v>45366</v>
      </c>
      <c r="K16" s="110">
        <f>J16</f>
        <v>45366</v>
      </c>
      <c r="L16" s="84" t="s">
        <v>74</v>
      </c>
      <c r="M16" s="40" t="str">
        <f>IF(O16='Lista Suspensa'!$F$26,IF(L16="-",K16,L16),"")</f>
        <v/>
      </c>
      <c r="N16" s="25" t="s">
        <v>632</v>
      </c>
      <c r="O16" s="33" t="s">
        <v>635</v>
      </c>
      <c r="P16" s="25">
        <f>VLOOKUP(O16,'Lista Suspensa'!$F$23:$G$27,2,FALSE)</f>
        <v>0</v>
      </c>
      <c r="Q16" s="9"/>
    </row>
    <row r="17" spans="3:17" x14ac:dyDescent="0.3">
      <c r="C17" s="139"/>
      <c r="D17" s="82"/>
      <c r="E17" s="100" t="s">
        <v>639</v>
      </c>
      <c r="F17" s="94"/>
      <c r="G17" s="144">
        <v>150342.29</v>
      </c>
      <c r="H17" s="144">
        <v>0</v>
      </c>
      <c r="I17" s="25">
        <f>IF(J17=K17,K17-J17+1,K17-J17)</f>
        <v>1</v>
      </c>
      <c r="J17" s="110">
        <v>45397</v>
      </c>
      <c r="K17" s="110">
        <f>J17</f>
        <v>45397</v>
      </c>
      <c r="L17" s="84" t="s">
        <v>74</v>
      </c>
      <c r="M17" s="40" t="str">
        <f>IF(O17='Lista Suspensa'!$F$26,IF(L17="-",K17,L17),"")</f>
        <v/>
      </c>
      <c r="N17" s="25" t="s">
        <v>632</v>
      </c>
      <c r="O17" s="33" t="s">
        <v>635</v>
      </c>
      <c r="P17" s="25">
        <f>VLOOKUP(O17,'Lista Suspensa'!$F$23:$G$27,2,FALSE)</f>
        <v>0</v>
      </c>
      <c r="Q17" s="9"/>
    </row>
    <row r="18" spans="3:17" x14ac:dyDescent="0.3">
      <c r="C18" s="139"/>
      <c r="D18" s="82"/>
      <c r="E18" s="100" t="s">
        <v>640</v>
      </c>
      <c r="F18" s="94"/>
      <c r="G18" s="144">
        <v>150342.29</v>
      </c>
      <c r="H18" s="144">
        <v>0</v>
      </c>
      <c r="I18" s="25">
        <f>IF(J18=K18,K18-J18+1,K18-J18)</f>
        <v>1</v>
      </c>
      <c r="J18" s="110">
        <v>45427</v>
      </c>
      <c r="K18" s="110">
        <f>J18</f>
        <v>45427</v>
      </c>
      <c r="L18" s="84" t="s">
        <v>74</v>
      </c>
      <c r="M18" s="40" t="str">
        <f>IF(O18='Lista Suspensa'!$F$26,IF(L18="-",K18,L18),"")</f>
        <v/>
      </c>
      <c r="N18" s="25" t="s">
        <v>632</v>
      </c>
      <c r="O18" s="33" t="s">
        <v>635</v>
      </c>
      <c r="P18" s="25">
        <f>VLOOKUP(O18,'Lista Suspensa'!$F$23:$G$27,2,FALSE)</f>
        <v>0</v>
      </c>
      <c r="Q18" s="9"/>
    </row>
    <row r="19" spans="3:17" x14ac:dyDescent="0.3">
      <c r="C19" s="139"/>
      <c r="D19" s="82"/>
      <c r="E19" s="100" t="s">
        <v>641</v>
      </c>
      <c r="F19" s="94"/>
      <c r="G19" s="144">
        <v>150342.29</v>
      </c>
      <c r="H19" s="144">
        <v>0</v>
      </c>
      <c r="I19" s="25">
        <f>IF(J19=K19,K19-J19+1,K19-J19)</f>
        <v>1</v>
      </c>
      <c r="J19" s="110">
        <v>45458</v>
      </c>
      <c r="K19" s="110">
        <f>J19</f>
        <v>45458</v>
      </c>
      <c r="L19" s="84" t="s">
        <v>74</v>
      </c>
      <c r="M19" s="40" t="str">
        <f>IF(O19='Lista Suspensa'!$F$26,IF(L19="-",K19,L19),"")</f>
        <v/>
      </c>
      <c r="N19" s="25" t="s">
        <v>632</v>
      </c>
      <c r="O19" s="33" t="s">
        <v>635</v>
      </c>
      <c r="P19" s="25">
        <f>VLOOKUP(O19,'Lista Suspensa'!$F$23:$G$27,2,FALSE)</f>
        <v>0</v>
      </c>
      <c r="Q19" s="9"/>
    </row>
    <row r="20" spans="3:17" x14ac:dyDescent="0.3">
      <c r="C20" s="45"/>
      <c r="D20" s="5"/>
      <c r="E20" s="5"/>
      <c r="F20" s="6"/>
      <c r="G20" s="6"/>
      <c r="H20" s="6"/>
      <c r="I20" s="6"/>
      <c r="J20" s="111"/>
      <c r="K20" s="111"/>
      <c r="L20" s="6"/>
      <c r="M20" s="6"/>
      <c r="N20" s="6"/>
      <c r="O20" s="6"/>
      <c r="P20" s="6"/>
      <c r="Q20" s="9"/>
    </row>
    <row r="21" spans="3:17" x14ac:dyDescent="0.3">
      <c r="C21" s="45"/>
      <c r="D21" s="5"/>
      <c r="E21" s="5"/>
      <c r="F21" s="6"/>
      <c r="G21" s="6"/>
      <c r="H21" s="6"/>
      <c r="I21" s="6"/>
      <c r="J21" s="111"/>
      <c r="K21" s="111"/>
      <c r="L21" s="6"/>
      <c r="M21" s="6"/>
      <c r="N21" s="6"/>
      <c r="O21" s="6"/>
      <c r="P21" s="6"/>
      <c r="Q21" s="9"/>
    </row>
    <row r="22" spans="3:17" x14ac:dyDescent="0.3">
      <c r="C22" s="45"/>
      <c r="D22" s="5"/>
      <c r="E22" s="5"/>
      <c r="F22" s="6"/>
      <c r="G22" s="6">
        <f>G11/(G11+G14)</f>
        <v>0.20453813973056231</v>
      </c>
      <c r="H22" s="6"/>
      <c r="I22" s="6"/>
      <c r="J22" s="111"/>
      <c r="K22" s="111"/>
      <c r="L22" s="6"/>
      <c r="M22" s="6"/>
      <c r="N22" s="6"/>
      <c r="O22" s="6"/>
      <c r="P22" s="6"/>
      <c r="Q22" s="9"/>
    </row>
    <row r="23" spans="3:17" x14ac:dyDescent="0.3">
      <c r="C23" s="45"/>
      <c r="D23" s="5"/>
      <c r="E23" s="5"/>
      <c r="F23" s="6"/>
      <c r="G23" s="6"/>
      <c r="H23" s="6"/>
      <c r="I23" s="6"/>
      <c r="J23" s="111"/>
      <c r="K23" s="111"/>
      <c r="L23" s="6"/>
      <c r="M23" s="6"/>
      <c r="N23" s="6"/>
      <c r="O23" s="6"/>
      <c r="P23" s="6"/>
      <c r="Q23" s="9"/>
    </row>
    <row r="24" spans="3:17" x14ac:dyDescent="0.3">
      <c r="C24" s="45"/>
      <c r="D24" s="5"/>
      <c r="E24" s="5"/>
      <c r="F24" s="6"/>
      <c r="G24" s="6"/>
      <c r="H24" s="6"/>
      <c r="I24" s="6"/>
      <c r="J24" s="111"/>
      <c r="K24" s="111"/>
      <c r="L24" s="6"/>
      <c r="M24" s="6"/>
      <c r="N24" s="6"/>
      <c r="O24" s="6"/>
      <c r="P24" s="6"/>
      <c r="Q24" s="9"/>
    </row>
    <row r="25" spans="3:17" x14ac:dyDescent="0.3">
      <c r="C25" s="45"/>
      <c r="D25" s="5"/>
      <c r="E25" s="5"/>
      <c r="F25" s="6"/>
      <c r="G25" s="6"/>
      <c r="H25" s="6"/>
      <c r="I25" s="6"/>
      <c r="J25" s="111"/>
      <c r="K25" s="111"/>
      <c r="L25" s="6"/>
      <c r="M25" s="6"/>
      <c r="N25" s="6"/>
      <c r="O25" s="6"/>
      <c r="P25" s="6"/>
      <c r="Q25" s="9"/>
    </row>
    <row r="26" spans="3:17" x14ac:dyDescent="0.3">
      <c r="C26" s="45"/>
      <c r="D26" s="5"/>
      <c r="E26" s="5"/>
      <c r="F26" s="6"/>
      <c r="G26" s="6"/>
      <c r="H26" s="6"/>
      <c r="I26" s="6"/>
      <c r="J26" s="111"/>
      <c r="K26" s="111"/>
      <c r="L26" s="6"/>
      <c r="M26" s="6"/>
      <c r="N26" s="6"/>
      <c r="O26" s="6"/>
      <c r="P26" s="6"/>
      <c r="Q26" s="9"/>
    </row>
    <row r="27" spans="3:17" x14ac:dyDescent="0.3">
      <c r="C27" s="45"/>
      <c r="D27" s="5"/>
      <c r="E27" s="5"/>
      <c r="F27" s="6"/>
      <c r="G27" s="6"/>
      <c r="H27" s="6"/>
      <c r="I27" s="6"/>
      <c r="J27" s="111"/>
      <c r="K27" s="111"/>
      <c r="L27" s="6"/>
      <c r="M27" s="6"/>
      <c r="N27" s="6"/>
      <c r="O27" s="6"/>
      <c r="P27" s="6"/>
      <c r="Q27" s="9"/>
    </row>
    <row r="28" spans="3:17" x14ac:dyDescent="0.3">
      <c r="C28" s="45"/>
      <c r="D28" s="5"/>
      <c r="E28" s="5"/>
      <c r="F28" s="6"/>
      <c r="G28" s="6"/>
      <c r="H28" s="6"/>
      <c r="I28" s="6"/>
      <c r="J28" s="111"/>
      <c r="K28" s="111"/>
      <c r="L28" s="6"/>
      <c r="M28" s="6"/>
      <c r="N28" s="6"/>
      <c r="O28" s="6"/>
      <c r="P28" s="6"/>
      <c r="Q28" s="9"/>
    </row>
    <row r="29" spans="3:17" x14ac:dyDescent="0.3">
      <c r="C29" s="45"/>
      <c r="D29" s="5"/>
      <c r="E29" s="5"/>
      <c r="F29" s="6"/>
      <c r="G29" s="6"/>
      <c r="H29" s="6"/>
      <c r="I29" s="6"/>
      <c r="J29" s="111"/>
      <c r="K29" s="111"/>
      <c r="L29" s="6"/>
      <c r="M29" s="6"/>
      <c r="N29" s="6"/>
      <c r="O29" s="6"/>
      <c r="P29" s="6"/>
      <c r="Q29" s="9"/>
    </row>
    <row r="30" spans="3:17" x14ac:dyDescent="0.3">
      <c r="C30" s="45"/>
      <c r="D30" s="5"/>
      <c r="E30" s="5"/>
      <c r="F30" s="6"/>
      <c r="G30" s="6"/>
      <c r="H30" s="6"/>
      <c r="I30" s="6"/>
      <c r="J30" s="111"/>
      <c r="K30" s="111"/>
      <c r="L30" s="6"/>
      <c r="M30" s="6"/>
      <c r="N30" s="6"/>
      <c r="O30" s="6"/>
      <c r="P30" s="6"/>
      <c r="Q30" s="9"/>
    </row>
    <row r="31" spans="3:17" x14ac:dyDescent="0.3">
      <c r="C31" s="45"/>
      <c r="D31" s="5"/>
      <c r="E31" s="5"/>
      <c r="F31" s="6"/>
      <c r="G31" s="6"/>
      <c r="H31" s="6"/>
      <c r="I31" s="6"/>
      <c r="J31" s="111"/>
      <c r="K31" s="111"/>
      <c r="L31" s="6"/>
      <c r="M31" s="6"/>
      <c r="N31" s="6"/>
      <c r="O31" s="6"/>
      <c r="P31" s="6"/>
      <c r="Q31" s="9"/>
    </row>
    <row r="32" spans="3:17" x14ac:dyDescent="0.3">
      <c r="C32" s="45"/>
      <c r="D32" s="5"/>
      <c r="E32" s="5"/>
      <c r="F32" s="6"/>
      <c r="G32" s="6"/>
      <c r="H32" s="6"/>
      <c r="I32" s="6"/>
      <c r="J32" s="111"/>
      <c r="K32" s="111"/>
      <c r="L32" s="6"/>
      <c r="M32" s="6"/>
      <c r="N32" s="6"/>
      <c r="O32" s="6"/>
      <c r="P32" s="6"/>
      <c r="Q32" s="9"/>
    </row>
    <row r="33" spans="3:17" x14ac:dyDescent="0.3">
      <c r="C33" s="45"/>
      <c r="D33" s="5"/>
      <c r="E33" s="5"/>
      <c r="F33" s="6"/>
      <c r="G33" s="6"/>
      <c r="H33" s="6"/>
      <c r="I33" s="6"/>
      <c r="J33" s="111"/>
      <c r="K33" s="111"/>
      <c r="L33" s="6"/>
      <c r="M33" s="6"/>
      <c r="N33" s="6"/>
      <c r="O33" s="6"/>
      <c r="P33" s="6"/>
      <c r="Q33" s="9"/>
    </row>
    <row r="34" spans="3:17" x14ac:dyDescent="0.3">
      <c r="C34" s="45"/>
      <c r="D34" s="5"/>
      <c r="E34" s="5"/>
      <c r="F34" s="6"/>
      <c r="G34" s="6"/>
      <c r="H34" s="6"/>
      <c r="I34" s="6"/>
      <c r="J34" s="111"/>
      <c r="K34" s="111"/>
      <c r="L34" s="6"/>
      <c r="M34" s="6"/>
      <c r="N34" s="6"/>
      <c r="O34" s="6"/>
      <c r="P34" s="6"/>
      <c r="Q34" s="9"/>
    </row>
    <row r="35" spans="3:17" x14ac:dyDescent="0.3">
      <c r="C35" s="45"/>
      <c r="D35" s="5"/>
      <c r="E35" s="5"/>
      <c r="F35" s="6"/>
      <c r="G35" s="6"/>
      <c r="H35" s="6"/>
      <c r="I35" s="6"/>
      <c r="J35" s="111"/>
      <c r="K35" s="111"/>
      <c r="L35" s="6"/>
      <c r="M35" s="6"/>
      <c r="N35" s="6"/>
      <c r="O35" s="6"/>
      <c r="P35" s="6"/>
      <c r="Q35" s="9"/>
    </row>
    <row r="36" spans="3:17" x14ac:dyDescent="0.3">
      <c r="C36" s="45"/>
      <c r="D36" s="5"/>
      <c r="E36" s="5"/>
      <c r="F36" s="6"/>
      <c r="G36" s="6"/>
      <c r="H36" s="6"/>
      <c r="I36" s="6"/>
      <c r="J36" s="111"/>
      <c r="K36" s="111"/>
      <c r="L36" s="6"/>
      <c r="M36" s="6"/>
      <c r="N36" s="6"/>
      <c r="O36" s="6"/>
      <c r="P36" s="6"/>
      <c r="Q36" s="9"/>
    </row>
    <row r="37" spans="3:17" x14ac:dyDescent="0.3">
      <c r="C37" s="45"/>
      <c r="D37" s="5"/>
      <c r="E37" s="5"/>
      <c r="F37" s="6"/>
      <c r="G37" s="6"/>
      <c r="H37" s="6"/>
      <c r="I37" s="6"/>
      <c r="J37" s="111"/>
      <c r="K37" s="111"/>
      <c r="L37" s="6"/>
      <c r="M37" s="6"/>
      <c r="N37" s="6"/>
      <c r="O37" s="6"/>
      <c r="P37" s="6"/>
      <c r="Q37" s="9"/>
    </row>
    <row r="38" spans="3:17" x14ac:dyDescent="0.3">
      <c r="C38" s="45"/>
      <c r="D38" s="5"/>
      <c r="E38" s="5"/>
      <c r="F38" s="6"/>
      <c r="G38" s="6"/>
      <c r="H38" s="6"/>
      <c r="I38" s="6"/>
      <c r="J38" s="111"/>
      <c r="K38" s="111"/>
      <c r="L38" s="6"/>
      <c r="M38" s="6"/>
      <c r="N38" s="6"/>
      <c r="O38" s="6"/>
      <c r="P38" s="6"/>
      <c r="Q38" s="9"/>
    </row>
    <row r="39" spans="3:17" x14ac:dyDescent="0.3">
      <c r="C39" s="45"/>
      <c r="D39" s="5"/>
      <c r="E39" s="5"/>
      <c r="F39" s="6"/>
      <c r="G39" s="6"/>
      <c r="H39" s="6"/>
      <c r="I39" s="6"/>
      <c r="J39" s="111"/>
      <c r="K39" s="111"/>
      <c r="L39" s="6"/>
      <c r="M39" s="6"/>
      <c r="N39" s="6"/>
      <c r="O39" s="6"/>
      <c r="P39" s="6"/>
      <c r="Q39" s="9"/>
    </row>
    <row r="40" spans="3:17" x14ac:dyDescent="0.3">
      <c r="C40" s="45"/>
      <c r="D40" s="5"/>
      <c r="E40" s="5"/>
      <c r="F40" s="6"/>
      <c r="G40" s="6"/>
      <c r="H40" s="6"/>
      <c r="I40" s="6"/>
      <c r="J40" s="111"/>
      <c r="K40" s="111"/>
      <c r="L40" s="6"/>
      <c r="M40" s="6"/>
      <c r="N40" s="6"/>
      <c r="O40" s="6"/>
      <c r="P40" s="6"/>
      <c r="Q40" s="9"/>
    </row>
    <row r="41" spans="3:17" x14ac:dyDescent="0.3">
      <c r="C41" s="45"/>
      <c r="D41" s="5"/>
      <c r="E41" s="5"/>
      <c r="F41" s="6"/>
      <c r="G41" s="6"/>
      <c r="H41" s="6"/>
      <c r="I41" s="6"/>
      <c r="J41" s="111"/>
      <c r="K41" s="111"/>
      <c r="L41" s="6"/>
      <c r="M41" s="6"/>
      <c r="N41" s="6"/>
      <c r="O41" s="6"/>
      <c r="P41" s="6"/>
      <c r="Q41" s="9"/>
    </row>
    <row r="42" spans="3:17" x14ac:dyDescent="0.3">
      <c r="C42" s="45"/>
      <c r="D42" s="5"/>
      <c r="E42" s="5"/>
      <c r="F42" s="6"/>
      <c r="G42" s="6"/>
      <c r="H42" s="6"/>
      <c r="I42" s="6"/>
      <c r="J42" s="111"/>
      <c r="K42" s="111"/>
      <c r="L42" s="6"/>
      <c r="M42" s="6"/>
      <c r="N42" s="6"/>
      <c r="O42" s="6"/>
      <c r="P42" s="6"/>
      <c r="Q42" s="9"/>
    </row>
    <row r="43" spans="3:17" x14ac:dyDescent="0.3">
      <c r="C43" s="45"/>
      <c r="D43" s="5"/>
      <c r="E43" s="5"/>
      <c r="F43" s="6"/>
      <c r="G43" s="6"/>
      <c r="H43" s="6"/>
      <c r="I43" s="6"/>
      <c r="J43" s="111"/>
      <c r="K43" s="111"/>
      <c r="L43" s="6"/>
      <c r="M43" s="6"/>
      <c r="N43" s="6"/>
      <c r="O43" s="6"/>
      <c r="P43" s="6"/>
      <c r="Q43" s="9"/>
    </row>
    <row r="44" spans="3:17" x14ac:dyDescent="0.3">
      <c r="C44" s="45"/>
      <c r="D44" s="5"/>
      <c r="E44" s="5"/>
      <c r="F44" s="6"/>
      <c r="G44" s="6"/>
      <c r="H44" s="6"/>
      <c r="I44" s="6"/>
      <c r="J44" s="111"/>
      <c r="K44" s="111"/>
      <c r="L44" s="6"/>
      <c r="M44" s="6"/>
      <c r="N44" s="6"/>
      <c r="O44" s="6"/>
      <c r="P44" s="6"/>
      <c r="Q44" s="9"/>
    </row>
    <row r="45" spans="3:17" x14ac:dyDescent="0.3">
      <c r="C45" s="45"/>
      <c r="D45" s="5"/>
      <c r="E45" s="5"/>
      <c r="F45" s="6"/>
      <c r="G45" s="6"/>
      <c r="H45" s="6"/>
      <c r="I45" s="6"/>
      <c r="J45" s="111"/>
      <c r="K45" s="111"/>
      <c r="L45" s="6"/>
      <c r="M45" s="6"/>
      <c r="N45" s="6"/>
      <c r="O45" s="6"/>
      <c r="P45" s="6"/>
      <c r="Q45" s="9"/>
    </row>
    <row r="46" spans="3:17" x14ac:dyDescent="0.3">
      <c r="C46" s="45"/>
      <c r="D46" s="5"/>
      <c r="E46" s="5"/>
      <c r="F46" s="6"/>
      <c r="G46" s="6"/>
      <c r="H46" s="6"/>
      <c r="I46" s="6"/>
      <c r="J46" s="111"/>
      <c r="K46" s="111"/>
      <c r="L46" s="6"/>
      <c r="M46" s="6"/>
      <c r="N46" s="6"/>
      <c r="O46" s="6"/>
      <c r="P46" s="6"/>
      <c r="Q46" s="9"/>
    </row>
    <row r="47" spans="3:17" x14ac:dyDescent="0.3">
      <c r="C47" s="45"/>
      <c r="D47" s="5"/>
      <c r="E47" s="5"/>
      <c r="F47" s="6"/>
      <c r="G47" s="6"/>
      <c r="H47" s="6"/>
      <c r="I47" s="6"/>
      <c r="J47" s="111"/>
      <c r="K47" s="111"/>
      <c r="L47" s="6"/>
      <c r="M47" s="6"/>
      <c r="N47" s="6"/>
      <c r="O47" s="6"/>
      <c r="P47" s="6"/>
      <c r="Q47" s="9"/>
    </row>
    <row r="48" spans="3:17" x14ac:dyDescent="0.3">
      <c r="C48" s="45"/>
      <c r="D48" s="5"/>
      <c r="E48" s="5"/>
      <c r="F48" s="6"/>
      <c r="G48" s="6"/>
      <c r="H48" s="6"/>
      <c r="I48" s="6"/>
      <c r="J48" s="111"/>
      <c r="K48" s="111"/>
      <c r="L48" s="6"/>
      <c r="M48" s="6"/>
      <c r="N48" s="6"/>
      <c r="O48" s="6"/>
      <c r="P48" s="6"/>
      <c r="Q48" s="9"/>
    </row>
    <row r="49" spans="3:17" x14ac:dyDescent="0.3">
      <c r="C49" s="45"/>
      <c r="D49" s="5"/>
      <c r="E49" s="5"/>
      <c r="F49" s="6"/>
      <c r="G49" s="6"/>
      <c r="H49" s="6"/>
      <c r="I49" s="6"/>
      <c r="J49" s="111"/>
      <c r="K49" s="111"/>
      <c r="L49" s="6"/>
      <c r="M49" s="6"/>
      <c r="N49" s="6"/>
      <c r="O49" s="6"/>
      <c r="P49" s="6"/>
      <c r="Q49" s="9"/>
    </row>
    <row r="50" spans="3:17" x14ac:dyDescent="0.3">
      <c r="C50" s="45"/>
      <c r="D50" s="5"/>
      <c r="E50" s="5"/>
      <c r="F50" s="6"/>
      <c r="G50" s="6"/>
      <c r="H50" s="6"/>
      <c r="I50" s="6"/>
      <c r="J50" s="111"/>
      <c r="K50" s="111"/>
      <c r="L50" s="6"/>
      <c r="M50" s="6"/>
      <c r="N50" s="6"/>
      <c r="O50" s="6"/>
      <c r="P50" s="6"/>
      <c r="Q50" s="9"/>
    </row>
    <row r="51" spans="3:17" x14ac:dyDescent="0.3">
      <c r="C51" s="45"/>
      <c r="D51" s="5"/>
      <c r="E51" s="5"/>
      <c r="F51" s="6"/>
      <c r="G51" s="6"/>
      <c r="H51" s="6"/>
      <c r="I51" s="6"/>
      <c r="J51" s="111"/>
      <c r="K51" s="111"/>
      <c r="L51" s="6"/>
      <c r="M51" s="6"/>
      <c r="N51" s="6"/>
      <c r="O51" s="6"/>
      <c r="P51" s="6"/>
      <c r="Q51" s="9"/>
    </row>
    <row r="52" spans="3:17" x14ac:dyDescent="0.3">
      <c r="C52" s="45"/>
      <c r="D52" s="5"/>
      <c r="E52" s="5"/>
      <c r="F52" s="6"/>
      <c r="G52" s="6"/>
      <c r="H52" s="6"/>
      <c r="I52" s="6"/>
      <c r="J52" s="111"/>
      <c r="K52" s="111"/>
      <c r="L52" s="6"/>
      <c r="M52" s="6"/>
      <c r="N52" s="6"/>
      <c r="O52" s="6"/>
      <c r="P52" s="6"/>
      <c r="Q52" s="9"/>
    </row>
    <row r="53" spans="3:17" x14ac:dyDescent="0.3">
      <c r="C53" s="45"/>
      <c r="D53" s="5"/>
      <c r="E53" s="5"/>
      <c r="F53" s="6"/>
      <c r="G53" s="6"/>
      <c r="H53" s="6"/>
      <c r="I53" s="6"/>
      <c r="J53" s="111"/>
      <c r="K53" s="111"/>
      <c r="L53" s="6"/>
      <c r="M53" s="6"/>
      <c r="N53" s="6"/>
      <c r="O53" s="6"/>
      <c r="P53" s="6"/>
      <c r="Q53" s="9"/>
    </row>
    <row r="54" spans="3:17" x14ac:dyDescent="0.3">
      <c r="C54" s="45"/>
      <c r="D54" s="5"/>
      <c r="E54" s="5"/>
      <c r="F54" s="6"/>
      <c r="G54" s="6"/>
      <c r="H54" s="6"/>
      <c r="I54" s="6"/>
      <c r="J54" s="111"/>
      <c r="K54" s="111"/>
      <c r="L54" s="6"/>
      <c r="M54" s="6"/>
      <c r="N54" s="6"/>
      <c r="O54" s="6"/>
      <c r="P54" s="6"/>
      <c r="Q54" s="9"/>
    </row>
    <row r="55" spans="3:17" x14ac:dyDescent="0.3">
      <c r="C55" s="45"/>
      <c r="D55" s="5"/>
      <c r="E55" s="5"/>
      <c r="F55" s="6"/>
      <c r="G55" s="6"/>
      <c r="H55" s="6"/>
      <c r="I55" s="6"/>
      <c r="J55" s="111"/>
      <c r="K55" s="111"/>
      <c r="L55" s="6"/>
      <c r="M55" s="6"/>
      <c r="N55" s="6"/>
      <c r="O55" s="6"/>
      <c r="P55" s="6"/>
      <c r="Q55" s="9"/>
    </row>
    <row r="56" spans="3:17" x14ac:dyDescent="0.3">
      <c r="C56" s="45"/>
      <c r="D56" s="5"/>
      <c r="E56" s="5"/>
      <c r="F56" s="6"/>
      <c r="G56" s="6"/>
      <c r="H56" s="6"/>
      <c r="I56" s="6"/>
      <c r="J56" s="111"/>
      <c r="K56" s="111"/>
      <c r="L56" s="6"/>
      <c r="M56" s="6"/>
      <c r="N56" s="6"/>
      <c r="O56" s="6"/>
      <c r="P56" s="6"/>
      <c r="Q56" s="9"/>
    </row>
    <row r="57" spans="3:17" x14ac:dyDescent="0.3">
      <c r="C57" s="45"/>
      <c r="D57" s="5"/>
      <c r="E57" s="5"/>
      <c r="F57" s="6"/>
      <c r="G57" s="6"/>
      <c r="H57" s="6"/>
      <c r="I57" s="6"/>
      <c r="J57" s="111"/>
      <c r="K57" s="111"/>
      <c r="L57" s="6"/>
      <c r="M57" s="6"/>
      <c r="N57" s="6"/>
      <c r="O57" s="6"/>
      <c r="P57" s="6"/>
      <c r="Q57" s="9"/>
    </row>
    <row r="58" spans="3:17" x14ac:dyDescent="0.3">
      <c r="C58" s="45"/>
      <c r="D58" s="5"/>
      <c r="E58" s="5"/>
      <c r="F58" s="6"/>
      <c r="G58" s="6"/>
      <c r="H58" s="6"/>
      <c r="I58" s="6"/>
      <c r="J58" s="111"/>
      <c r="K58" s="111"/>
      <c r="L58" s="6"/>
      <c r="M58" s="6"/>
      <c r="N58" s="6"/>
      <c r="O58" s="6"/>
      <c r="P58" s="6"/>
      <c r="Q58" s="9"/>
    </row>
    <row r="59" spans="3:17" x14ac:dyDescent="0.3">
      <c r="C59" s="45"/>
      <c r="D59" s="5"/>
      <c r="E59" s="5"/>
      <c r="F59" s="6"/>
      <c r="G59" s="6"/>
      <c r="H59" s="6"/>
      <c r="I59" s="6"/>
      <c r="J59" s="111"/>
      <c r="K59" s="111"/>
      <c r="L59" s="6"/>
      <c r="M59" s="6"/>
      <c r="N59" s="6"/>
      <c r="O59" s="6"/>
      <c r="P59" s="6"/>
      <c r="Q59" s="9"/>
    </row>
    <row r="60" spans="3:17" x14ac:dyDescent="0.3">
      <c r="C60" s="45"/>
      <c r="D60" s="5"/>
      <c r="E60" s="5"/>
      <c r="F60" s="6"/>
      <c r="G60" s="6"/>
      <c r="H60" s="6"/>
      <c r="I60" s="6"/>
      <c r="J60" s="111"/>
      <c r="K60" s="111"/>
      <c r="L60" s="6"/>
      <c r="M60" s="6"/>
      <c r="N60" s="6"/>
      <c r="O60" s="6"/>
      <c r="P60" s="6"/>
      <c r="Q60" s="9"/>
    </row>
    <row r="61" spans="3:17" x14ac:dyDescent="0.3">
      <c r="C61" s="45"/>
      <c r="D61" s="5"/>
      <c r="E61" s="5"/>
      <c r="F61" s="6"/>
      <c r="G61" s="6"/>
      <c r="H61" s="6"/>
      <c r="I61" s="6"/>
      <c r="J61" s="111"/>
      <c r="K61" s="111"/>
      <c r="L61" s="6"/>
      <c r="M61" s="6"/>
      <c r="N61" s="6"/>
      <c r="O61" s="6"/>
      <c r="P61" s="6"/>
      <c r="Q61" s="9"/>
    </row>
    <row r="62" spans="3:17" x14ac:dyDescent="0.3">
      <c r="C62" s="45"/>
      <c r="D62" s="5"/>
      <c r="E62" s="5"/>
      <c r="F62" s="6"/>
      <c r="G62" s="6"/>
      <c r="H62" s="6"/>
      <c r="I62" s="6"/>
      <c r="J62" s="111"/>
      <c r="K62" s="111"/>
      <c r="L62" s="6"/>
      <c r="M62" s="6"/>
      <c r="N62" s="6"/>
      <c r="O62" s="6"/>
      <c r="P62" s="6"/>
      <c r="Q62" s="9"/>
    </row>
    <row r="63" spans="3:17" x14ac:dyDescent="0.3">
      <c r="C63" s="45"/>
      <c r="D63" s="5"/>
      <c r="E63" s="5"/>
      <c r="F63" s="6"/>
      <c r="G63" s="6"/>
      <c r="H63" s="6"/>
      <c r="I63" s="6"/>
      <c r="J63" s="111"/>
      <c r="K63" s="111"/>
      <c r="L63" s="6"/>
      <c r="M63" s="6"/>
      <c r="N63" s="6"/>
      <c r="O63" s="6"/>
      <c r="P63" s="6"/>
      <c r="Q63" s="9"/>
    </row>
    <row r="64" spans="3:17" x14ac:dyDescent="0.3">
      <c r="C64" s="45"/>
      <c r="D64" s="5"/>
      <c r="E64" s="5"/>
      <c r="F64" s="6"/>
      <c r="G64" s="6"/>
      <c r="H64" s="6"/>
      <c r="I64" s="6"/>
      <c r="J64" s="111"/>
      <c r="K64" s="111"/>
      <c r="L64" s="6"/>
      <c r="M64" s="6"/>
      <c r="N64" s="6"/>
      <c r="O64" s="6"/>
      <c r="P64" s="6"/>
      <c r="Q64" s="9"/>
    </row>
    <row r="65" spans="3:17" x14ac:dyDescent="0.3">
      <c r="C65" s="45"/>
      <c r="D65" s="5"/>
      <c r="E65" s="5"/>
      <c r="F65" s="6"/>
      <c r="G65" s="6"/>
      <c r="H65" s="6"/>
      <c r="I65" s="6"/>
      <c r="J65" s="111"/>
      <c r="K65" s="111"/>
      <c r="L65" s="6"/>
      <c r="M65" s="6"/>
      <c r="N65" s="6"/>
      <c r="O65" s="6"/>
      <c r="P65" s="6"/>
      <c r="Q65" s="9"/>
    </row>
    <row r="66" spans="3:17" x14ac:dyDescent="0.3">
      <c r="C66" s="45"/>
      <c r="D66" s="5"/>
      <c r="E66" s="5"/>
      <c r="F66" s="6"/>
      <c r="G66" s="6"/>
      <c r="H66" s="6"/>
      <c r="I66" s="6"/>
      <c r="J66" s="111"/>
      <c r="K66" s="111"/>
      <c r="L66" s="6"/>
      <c r="M66" s="6"/>
      <c r="N66" s="6"/>
      <c r="O66" s="6"/>
      <c r="P66" s="6"/>
      <c r="Q66" s="9"/>
    </row>
    <row r="67" spans="3:17" x14ac:dyDescent="0.3">
      <c r="C67" s="45"/>
      <c r="D67" s="5"/>
      <c r="E67" s="5"/>
      <c r="F67" s="6"/>
      <c r="G67" s="6"/>
      <c r="H67" s="6"/>
      <c r="I67" s="6"/>
      <c r="J67" s="111"/>
      <c r="K67" s="111"/>
      <c r="L67" s="6"/>
      <c r="M67" s="6"/>
      <c r="N67" s="6"/>
      <c r="O67" s="6"/>
      <c r="P67" s="6"/>
      <c r="Q67" s="9"/>
    </row>
    <row r="68" spans="3:17" x14ac:dyDescent="0.3">
      <c r="C68" s="45"/>
      <c r="D68" s="5"/>
      <c r="E68" s="5"/>
      <c r="F68" s="6"/>
      <c r="G68" s="6"/>
      <c r="H68" s="6"/>
      <c r="I68" s="6"/>
      <c r="J68" s="111"/>
      <c r="K68" s="111"/>
      <c r="L68" s="6"/>
      <c r="M68" s="6"/>
      <c r="N68" s="6"/>
      <c r="O68" s="6"/>
      <c r="P68" s="6"/>
      <c r="Q68" s="9"/>
    </row>
    <row r="69" spans="3:17" x14ac:dyDescent="0.3">
      <c r="C69" s="45"/>
      <c r="D69" s="5"/>
      <c r="E69" s="5"/>
      <c r="F69" s="6"/>
      <c r="G69" s="6"/>
      <c r="H69" s="6"/>
      <c r="I69" s="6"/>
      <c r="J69" s="111"/>
      <c r="K69" s="111"/>
      <c r="L69" s="6"/>
      <c r="M69" s="6"/>
      <c r="N69" s="6"/>
      <c r="O69" s="6"/>
      <c r="P69" s="6"/>
      <c r="Q69" s="9"/>
    </row>
    <row r="70" spans="3:17" x14ac:dyDescent="0.3">
      <c r="C70" s="45"/>
      <c r="D70" s="5"/>
      <c r="E70" s="5"/>
      <c r="F70" s="6"/>
      <c r="G70" s="6"/>
      <c r="H70" s="6"/>
      <c r="I70" s="6"/>
      <c r="J70" s="111"/>
      <c r="K70" s="111"/>
      <c r="L70" s="6"/>
      <c r="M70" s="6"/>
      <c r="N70" s="6"/>
      <c r="O70" s="6"/>
      <c r="P70" s="6"/>
      <c r="Q70" s="9"/>
    </row>
    <row r="71" spans="3:17" x14ac:dyDescent="0.3">
      <c r="C71" s="45"/>
      <c r="D71" s="5"/>
      <c r="E71" s="5"/>
      <c r="F71" s="6"/>
      <c r="G71" s="6"/>
      <c r="H71" s="6"/>
      <c r="I71" s="6"/>
      <c r="J71" s="111"/>
      <c r="K71" s="111"/>
      <c r="L71" s="6"/>
      <c r="M71" s="6"/>
      <c r="N71" s="6"/>
      <c r="O71" s="6"/>
      <c r="P71" s="6"/>
      <c r="Q71" s="9"/>
    </row>
    <row r="72" spans="3:17" x14ac:dyDescent="0.3">
      <c r="C72" s="45"/>
      <c r="D72" s="5"/>
      <c r="E72" s="5"/>
      <c r="F72" s="6"/>
      <c r="G72" s="6"/>
      <c r="H72" s="6"/>
      <c r="I72" s="6"/>
      <c r="J72" s="111"/>
      <c r="K72" s="111"/>
      <c r="L72" s="6"/>
      <c r="M72" s="6"/>
      <c r="N72" s="6"/>
      <c r="O72" s="6"/>
      <c r="P72" s="6"/>
      <c r="Q72" s="9"/>
    </row>
    <row r="73" spans="3:17" x14ac:dyDescent="0.3">
      <c r="C73" s="45"/>
      <c r="D73" s="5"/>
      <c r="E73" s="5"/>
      <c r="F73" s="6"/>
      <c r="G73" s="6"/>
      <c r="H73" s="6"/>
      <c r="I73" s="6"/>
      <c r="J73" s="111"/>
      <c r="K73" s="111"/>
      <c r="L73" s="6"/>
      <c r="M73" s="6"/>
      <c r="N73" s="6"/>
      <c r="O73" s="6"/>
      <c r="P73" s="6"/>
      <c r="Q73" s="9"/>
    </row>
    <row r="74" spans="3:17" x14ac:dyDescent="0.3">
      <c r="C74" s="45"/>
      <c r="D74" s="5"/>
      <c r="E74" s="5"/>
      <c r="F74" s="6"/>
      <c r="G74" s="6"/>
      <c r="H74" s="6"/>
      <c r="I74" s="6"/>
      <c r="J74" s="111"/>
      <c r="K74" s="111"/>
      <c r="L74" s="6"/>
      <c r="M74" s="6"/>
      <c r="N74" s="6"/>
      <c r="O74" s="6"/>
      <c r="P74" s="6"/>
      <c r="Q74" s="9"/>
    </row>
    <row r="75" spans="3:17" x14ac:dyDescent="0.3">
      <c r="C75" s="45"/>
      <c r="D75" s="5"/>
      <c r="E75" s="5"/>
      <c r="F75" s="6"/>
      <c r="G75" s="6"/>
      <c r="H75" s="6"/>
      <c r="I75" s="6"/>
      <c r="J75" s="111"/>
      <c r="K75" s="111"/>
      <c r="L75" s="6"/>
      <c r="M75" s="6"/>
      <c r="N75" s="6"/>
      <c r="O75" s="6"/>
      <c r="P75" s="6"/>
      <c r="Q75" s="9"/>
    </row>
    <row r="76" spans="3:17" x14ac:dyDescent="0.3">
      <c r="C76" s="45"/>
      <c r="D76" s="5"/>
      <c r="E76" s="5"/>
      <c r="F76" s="6"/>
      <c r="G76" s="6"/>
      <c r="H76" s="6"/>
      <c r="I76" s="6"/>
      <c r="J76" s="111"/>
      <c r="K76" s="111"/>
      <c r="L76" s="6"/>
      <c r="M76" s="6"/>
      <c r="N76" s="6"/>
      <c r="O76" s="6"/>
      <c r="P76" s="6"/>
      <c r="Q76" s="9"/>
    </row>
    <row r="77" spans="3:17" x14ac:dyDescent="0.3">
      <c r="C77" s="45"/>
      <c r="D77" s="5"/>
      <c r="E77" s="5"/>
      <c r="F77" s="6"/>
      <c r="G77" s="6"/>
      <c r="H77" s="6"/>
      <c r="I77" s="6"/>
      <c r="J77" s="111"/>
      <c r="K77" s="111"/>
      <c r="L77" s="6"/>
      <c r="M77" s="6"/>
      <c r="N77" s="6"/>
      <c r="O77" s="6"/>
      <c r="P77" s="6"/>
      <c r="Q77" s="9"/>
    </row>
    <row r="78" spans="3:17" x14ac:dyDescent="0.3">
      <c r="C78" s="45"/>
      <c r="D78" s="5"/>
      <c r="E78" s="5"/>
      <c r="F78" s="6"/>
      <c r="G78" s="6"/>
      <c r="H78" s="6"/>
      <c r="I78" s="6"/>
      <c r="J78" s="111"/>
      <c r="K78" s="111"/>
      <c r="L78" s="6"/>
      <c r="M78" s="6"/>
      <c r="N78" s="6"/>
      <c r="O78" s="6"/>
      <c r="P78" s="6"/>
      <c r="Q78" s="9"/>
    </row>
    <row r="79" spans="3:17" x14ac:dyDescent="0.3">
      <c r="C79" s="45"/>
      <c r="D79" s="5"/>
      <c r="E79" s="5"/>
      <c r="F79" s="6"/>
      <c r="G79" s="6"/>
      <c r="H79" s="6"/>
      <c r="I79" s="6"/>
      <c r="J79" s="111"/>
      <c r="K79" s="111"/>
      <c r="L79" s="6"/>
      <c r="M79" s="6"/>
      <c r="N79" s="6"/>
      <c r="O79" s="6"/>
      <c r="P79" s="6"/>
      <c r="Q79" s="9"/>
    </row>
    <row r="80" spans="3:17" x14ac:dyDescent="0.3">
      <c r="C80" s="45"/>
      <c r="D80" s="5"/>
      <c r="E80" s="5"/>
      <c r="F80" s="6"/>
      <c r="G80" s="6"/>
      <c r="H80" s="6"/>
      <c r="I80" s="6"/>
      <c r="J80" s="111"/>
      <c r="K80" s="111"/>
      <c r="L80" s="6"/>
      <c r="M80" s="6"/>
      <c r="N80" s="6"/>
      <c r="O80" s="6"/>
      <c r="P80" s="6"/>
      <c r="Q80" s="9"/>
    </row>
    <row r="81" spans="3:17" x14ac:dyDescent="0.3">
      <c r="C81" s="45"/>
      <c r="D81" s="5"/>
      <c r="E81" s="5"/>
      <c r="F81" s="6"/>
      <c r="G81" s="6"/>
      <c r="H81" s="6"/>
      <c r="I81" s="6"/>
      <c r="J81" s="111"/>
      <c r="K81" s="111"/>
      <c r="L81" s="6"/>
      <c r="M81" s="6"/>
      <c r="N81" s="6"/>
      <c r="O81" s="6"/>
      <c r="P81" s="6"/>
      <c r="Q81" s="9"/>
    </row>
    <row r="82" spans="3:17" x14ac:dyDescent="0.3">
      <c r="C82" s="45"/>
      <c r="D82" s="5"/>
      <c r="E82" s="5"/>
      <c r="F82" s="6"/>
      <c r="G82" s="6"/>
      <c r="H82" s="6"/>
      <c r="I82" s="6"/>
      <c r="J82" s="111"/>
      <c r="K82" s="111"/>
      <c r="L82" s="6"/>
      <c r="M82" s="6"/>
      <c r="N82" s="6"/>
      <c r="O82" s="6"/>
      <c r="P82" s="6"/>
      <c r="Q82" s="9"/>
    </row>
    <row r="83" spans="3:17" x14ac:dyDescent="0.3">
      <c r="C83" s="45"/>
      <c r="D83" s="5"/>
      <c r="E83" s="5"/>
      <c r="F83" s="6"/>
      <c r="G83" s="6"/>
      <c r="H83" s="6"/>
      <c r="I83" s="6"/>
      <c r="J83" s="111"/>
      <c r="K83" s="111"/>
      <c r="L83" s="6"/>
      <c r="M83" s="6"/>
      <c r="N83" s="6"/>
      <c r="O83" s="6"/>
      <c r="P83" s="6"/>
      <c r="Q83" s="9"/>
    </row>
    <row r="84" spans="3:17" x14ac:dyDescent="0.3">
      <c r="C84" s="45"/>
      <c r="D84" s="5"/>
      <c r="E84" s="5"/>
      <c r="F84" s="6"/>
      <c r="G84" s="6"/>
      <c r="H84" s="6"/>
      <c r="I84" s="6"/>
      <c r="J84" s="111"/>
      <c r="K84" s="111"/>
      <c r="L84" s="6"/>
      <c r="M84" s="6"/>
      <c r="N84" s="6"/>
      <c r="O84" s="6"/>
      <c r="P84" s="6"/>
      <c r="Q84" s="9"/>
    </row>
    <row r="85" spans="3:17" x14ac:dyDescent="0.3">
      <c r="C85" s="45"/>
      <c r="D85" s="5"/>
      <c r="E85" s="5"/>
      <c r="F85" s="6"/>
      <c r="G85" s="6"/>
      <c r="H85" s="6"/>
      <c r="I85" s="6"/>
      <c r="J85" s="111"/>
      <c r="K85" s="111"/>
      <c r="L85" s="6"/>
      <c r="M85" s="6"/>
      <c r="N85" s="6"/>
      <c r="O85" s="6"/>
      <c r="P85" s="6"/>
      <c r="Q85" s="9"/>
    </row>
    <row r="86" spans="3:17" x14ac:dyDescent="0.3">
      <c r="C86" s="45"/>
      <c r="D86" s="5"/>
      <c r="E86" s="5"/>
      <c r="F86" s="6"/>
      <c r="G86" s="6"/>
      <c r="H86" s="6"/>
      <c r="I86" s="6"/>
      <c r="J86" s="111"/>
      <c r="K86" s="111"/>
      <c r="L86" s="6"/>
      <c r="M86" s="6"/>
      <c r="N86" s="6"/>
      <c r="O86" s="6"/>
      <c r="P86" s="6"/>
      <c r="Q86" s="9"/>
    </row>
    <row r="87" spans="3:17" x14ac:dyDescent="0.3">
      <c r="C87" s="45"/>
      <c r="D87" s="5"/>
      <c r="E87" s="5"/>
      <c r="F87" s="6"/>
      <c r="G87" s="6"/>
      <c r="H87" s="6"/>
      <c r="I87" s="6"/>
      <c r="J87" s="111"/>
      <c r="K87" s="111"/>
      <c r="L87" s="6"/>
      <c r="M87" s="6"/>
      <c r="N87" s="6"/>
      <c r="O87" s="6"/>
      <c r="P87" s="6"/>
      <c r="Q87" s="9"/>
    </row>
    <row r="88" spans="3:17" x14ac:dyDescent="0.3">
      <c r="C88" s="45"/>
      <c r="D88" s="5"/>
      <c r="E88" s="5"/>
      <c r="F88" s="6"/>
      <c r="G88" s="6"/>
      <c r="H88" s="6"/>
      <c r="I88" s="6"/>
      <c r="J88" s="111"/>
      <c r="K88" s="111"/>
      <c r="L88" s="6"/>
      <c r="M88" s="6"/>
      <c r="N88" s="6"/>
      <c r="O88" s="6"/>
      <c r="P88" s="6"/>
      <c r="Q88" s="9"/>
    </row>
    <row r="89" spans="3:17" x14ac:dyDescent="0.3">
      <c r="C89" s="45"/>
      <c r="D89" s="5"/>
      <c r="E89" s="5"/>
      <c r="F89" s="6"/>
      <c r="G89" s="6"/>
      <c r="H89" s="6"/>
      <c r="I89" s="6"/>
      <c r="J89" s="111"/>
      <c r="K89" s="111"/>
      <c r="L89" s="6"/>
      <c r="M89" s="6"/>
      <c r="N89" s="6"/>
      <c r="O89" s="6"/>
      <c r="P89" s="6"/>
      <c r="Q89" s="9"/>
    </row>
    <row r="90" spans="3:17" x14ac:dyDescent="0.3">
      <c r="C90" s="45"/>
      <c r="D90" s="5"/>
      <c r="E90" s="5"/>
      <c r="F90" s="6"/>
      <c r="G90" s="6"/>
      <c r="H90" s="6"/>
      <c r="I90" s="6"/>
      <c r="J90" s="111"/>
      <c r="K90" s="111"/>
      <c r="L90" s="6"/>
      <c r="M90" s="6"/>
      <c r="N90" s="6"/>
      <c r="O90" s="6"/>
      <c r="P90" s="6"/>
      <c r="Q90" s="9"/>
    </row>
    <row r="91" spans="3:17" x14ac:dyDescent="0.3">
      <c r="C91" s="45"/>
      <c r="D91" s="5"/>
      <c r="E91" s="5"/>
      <c r="F91" s="6"/>
      <c r="G91" s="6"/>
      <c r="H91" s="6"/>
      <c r="I91" s="6"/>
      <c r="J91" s="111"/>
      <c r="K91" s="111"/>
      <c r="L91" s="6"/>
      <c r="M91" s="6"/>
      <c r="N91" s="6"/>
      <c r="O91" s="6"/>
      <c r="P91" s="6"/>
      <c r="Q91" s="9"/>
    </row>
    <row r="92" spans="3:17" x14ac:dyDescent="0.3">
      <c r="C92" s="45"/>
      <c r="D92" s="5"/>
      <c r="E92" s="5"/>
      <c r="F92" s="6"/>
      <c r="G92" s="6"/>
      <c r="H92" s="6"/>
      <c r="I92" s="6"/>
      <c r="J92" s="111"/>
      <c r="K92" s="111"/>
      <c r="L92" s="6"/>
      <c r="M92" s="6"/>
      <c r="N92" s="6"/>
      <c r="O92" s="6"/>
      <c r="P92" s="6"/>
      <c r="Q92" s="9"/>
    </row>
    <row r="93" spans="3:17" x14ac:dyDescent="0.3">
      <c r="C93" s="45"/>
      <c r="D93" s="5"/>
      <c r="E93" s="5"/>
      <c r="F93" s="6"/>
      <c r="G93" s="6"/>
      <c r="H93" s="6"/>
      <c r="I93" s="6"/>
      <c r="J93" s="111"/>
      <c r="K93" s="111"/>
      <c r="L93" s="6"/>
      <c r="M93" s="6"/>
      <c r="N93" s="6"/>
      <c r="O93" s="6"/>
      <c r="P93" s="6"/>
      <c r="Q93" s="9"/>
    </row>
    <row r="94" spans="3:17" x14ac:dyDescent="0.3">
      <c r="C94" s="45"/>
      <c r="D94" s="5"/>
      <c r="E94" s="5"/>
      <c r="F94" s="6"/>
      <c r="G94" s="6"/>
      <c r="H94" s="6"/>
      <c r="I94" s="6"/>
      <c r="J94" s="111"/>
      <c r="K94" s="111"/>
      <c r="L94" s="6"/>
      <c r="M94" s="6"/>
      <c r="N94" s="6"/>
      <c r="O94" s="6"/>
      <c r="P94" s="6"/>
      <c r="Q94" s="9"/>
    </row>
    <row r="95" spans="3:17" x14ac:dyDescent="0.3">
      <c r="C95" s="45"/>
      <c r="D95" s="5"/>
      <c r="E95" s="5"/>
      <c r="F95" s="6"/>
      <c r="G95" s="6"/>
      <c r="H95" s="6"/>
      <c r="I95" s="6"/>
      <c r="J95" s="111"/>
      <c r="K95" s="111"/>
      <c r="L95" s="6"/>
      <c r="M95" s="6"/>
      <c r="N95" s="6"/>
      <c r="O95" s="6"/>
      <c r="P95" s="6"/>
      <c r="Q95" s="9"/>
    </row>
    <row r="96" spans="3:17" x14ac:dyDescent="0.3">
      <c r="C96" s="45"/>
      <c r="D96" s="5"/>
      <c r="E96" s="5"/>
      <c r="F96" s="6"/>
      <c r="G96" s="6"/>
      <c r="H96" s="6"/>
      <c r="I96" s="6"/>
      <c r="J96" s="111"/>
      <c r="K96" s="111"/>
      <c r="L96" s="6"/>
      <c r="M96" s="6"/>
      <c r="N96" s="6"/>
      <c r="O96" s="6"/>
      <c r="P96" s="6"/>
      <c r="Q96" s="9"/>
    </row>
    <row r="97" spans="3:17" x14ac:dyDescent="0.3">
      <c r="C97" s="45"/>
      <c r="D97" s="5"/>
      <c r="E97" s="5"/>
      <c r="F97" s="6"/>
      <c r="G97" s="6"/>
      <c r="H97" s="6"/>
      <c r="I97" s="6"/>
      <c r="J97" s="111"/>
      <c r="K97" s="111"/>
      <c r="L97" s="6"/>
      <c r="M97" s="6"/>
      <c r="N97" s="6"/>
      <c r="O97" s="6"/>
      <c r="P97" s="6"/>
      <c r="Q97" s="9"/>
    </row>
    <row r="98" spans="3:17" x14ac:dyDescent="0.3">
      <c r="C98" s="45"/>
      <c r="D98" s="5"/>
      <c r="E98" s="5"/>
      <c r="F98" s="6"/>
      <c r="G98" s="6"/>
      <c r="H98" s="6"/>
      <c r="I98" s="6"/>
      <c r="J98" s="111"/>
      <c r="K98" s="111"/>
      <c r="L98" s="6"/>
      <c r="M98" s="6"/>
      <c r="N98" s="6"/>
      <c r="O98" s="6"/>
      <c r="P98" s="6"/>
      <c r="Q98" s="9"/>
    </row>
    <row r="99" spans="3:17" x14ac:dyDescent="0.3">
      <c r="C99" s="45"/>
      <c r="D99" s="5"/>
      <c r="E99" s="5"/>
      <c r="F99" s="6"/>
      <c r="G99" s="6"/>
      <c r="H99" s="6"/>
      <c r="I99" s="6"/>
      <c r="J99" s="111"/>
      <c r="K99" s="111"/>
      <c r="L99" s="6"/>
      <c r="M99" s="6"/>
      <c r="N99" s="6"/>
      <c r="O99" s="6"/>
      <c r="P99" s="6"/>
      <c r="Q99" s="9"/>
    </row>
    <row r="100" spans="3:17" x14ac:dyDescent="0.3">
      <c r="C100" s="45"/>
      <c r="D100" s="5"/>
      <c r="E100" s="5"/>
      <c r="F100" s="6"/>
      <c r="G100" s="6"/>
      <c r="H100" s="6"/>
      <c r="I100" s="6"/>
      <c r="J100" s="111"/>
      <c r="K100" s="111"/>
      <c r="L100" s="6"/>
      <c r="M100" s="6"/>
      <c r="N100" s="6"/>
      <c r="O100" s="6"/>
      <c r="P100" s="6"/>
      <c r="Q100" s="9"/>
    </row>
    <row r="101" spans="3:17" x14ac:dyDescent="0.3">
      <c r="C101" s="45"/>
      <c r="D101" s="5"/>
      <c r="E101" s="5"/>
      <c r="F101" s="6"/>
      <c r="G101" s="6"/>
      <c r="H101" s="6"/>
      <c r="I101" s="6"/>
      <c r="J101" s="111"/>
      <c r="K101" s="111"/>
      <c r="L101" s="6"/>
      <c r="M101" s="6"/>
      <c r="N101" s="6"/>
      <c r="O101" s="6"/>
      <c r="P101" s="6"/>
      <c r="Q101" s="9"/>
    </row>
    <row r="102" spans="3:17" x14ac:dyDescent="0.3">
      <c r="C102" s="45"/>
      <c r="D102" s="5"/>
      <c r="E102" s="5"/>
      <c r="F102" s="6"/>
      <c r="G102" s="6"/>
      <c r="H102" s="6"/>
      <c r="I102" s="6"/>
      <c r="J102" s="111"/>
      <c r="K102" s="111"/>
      <c r="L102" s="6"/>
      <c r="M102" s="6"/>
      <c r="N102" s="6"/>
      <c r="O102" s="6"/>
      <c r="P102" s="6"/>
      <c r="Q102" s="9"/>
    </row>
    <row r="103" spans="3:17" x14ac:dyDescent="0.3">
      <c r="C103" s="45"/>
      <c r="D103" s="5"/>
      <c r="E103" s="5"/>
      <c r="F103" s="6"/>
      <c r="G103" s="6"/>
      <c r="H103" s="6"/>
      <c r="I103" s="6"/>
      <c r="J103" s="111"/>
      <c r="K103" s="111"/>
      <c r="L103" s="6"/>
      <c r="M103" s="6"/>
      <c r="N103" s="6"/>
      <c r="O103" s="6"/>
      <c r="P103" s="6"/>
      <c r="Q103" s="9"/>
    </row>
    <row r="104" spans="3:17" x14ac:dyDescent="0.3">
      <c r="C104" s="45"/>
      <c r="D104" s="5"/>
      <c r="E104" s="5"/>
      <c r="F104" s="6"/>
      <c r="G104" s="6"/>
      <c r="H104" s="6"/>
      <c r="I104" s="6"/>
      <c r="J104" s="111"/>
      <c r="K104" s="111"/>
      <c r="L104" s="6"/>
      <c r="M104" s="6"/>
      <c r="N104" s="6"/>
      <c r="O104" s="6"/>
      <c r="P104" s="6"/>
      <c r="Q104" s="9"/>
    </row>
    <row r="105" spans="3:17" x14ac:dyDescent="0.3">
      <c r="C105" s="45"/>
      <c r="D105" s="5"/>
      <c r="E105" s="5"/>
      <c r="F105" s="6"/>
      <c r="G105" s="6"/>
      <c r="H105" s="6"/>
      <c r="I105" s="6"/>
      <c r="J105" s="111"/>
      <c r="K105" s="111"/>
      <c r="L105" s="6"/>
      <c r="M105" s="6"/>
      <c r="N105" s="6"/>
      <c r="O105" s="6"/>
      <c r="P105" s="6"/>
      <c r="Q105" s="9"/>
    </row>
    <row r="106" spans="3:17" x14ac:dyDescent="0.3">
      <c r="C106" s="45"/>
      <c r="D106" s="5"/>
      <c r="E106" s="5"/>
      <c r="F106" s="6"/>
      <c r="G106" s="6"/>
      <c r="H106" s="6"/>
      <c r="I106" s="6"/>
      <c r="J106" s="111"/>
      <c r="K106" s="111"/>
      <c r="L106" s="6"/>
      <c r="M106" s="6"/>
      <c r="N106" s="6"/>
      <c r="O106" s="6"/>
      <c r="P106" s="6"/>
      <c r="Q106" s="9"/>
    </row>
    <row r="107" spans="3:17" x14ac:dyDescent="0.3">
      <c r="C107" s="45"/>
      <c r="D107" s="5"/>
      <c r="E107" s="5"/>
      <c r="F107" s="6"/>
      <c r="G107" s="6"/>
      <c r="H107" s="6"/>
      <c r="I107" s="6"/>
      <c r="J107" s="111"/>
      <c r="K107" s="111"/>
      <c r="L107" s="6"/>
      <c r="M107" s="6"/>
      <c r="N107" s="6"/>
      <c r="O107" s="6"/>
      <c r="P107" s="6"/>
      <c r="Q107" s="9"/>
    </row>
    <row r="108" spans="3:17" x14ac:dyDescent="0.3">
      <c r="C108" s="45"/>
      <c r="D108" s="5"/>
      <c r="E108" s="5"/>
      <c r="F108" s="6"/>
      <c r="G108" s="6"/>
      <c r="H108" s="6"/>
      <c r="I108" s="6"/>
      <c r="J108" s="111"/>
      <c r="K108" s="111"/>
      <c r="L108" s="6"/>
      <c r="M108" s="6"/>
      <c r="N108" s="6"/>
      <c r="O108" s="6"/>
      <c r="P108" s="6"/>
      <c r="Q108" s="9"/>
    </row>
    <row r="109" spans="3:17" x14ac:dyDescent="0.3">
      <c r="C109" s="45"/>
      <c r="D109" s="5"/>
      <c r="E109" s="5"/>
      <c r="F109" s="6"/>
      <c r="G109" s="6"/>
      <c r="H109" s="6"/>
      <c r="I109" s="6"/>
      <c r="J109" s="111"/>
      <c r="K109" s="111"/>
      <c r="L109" s="6"/>
      <c r="M109" s="6"/>
      <c r="N109" s="6"/>
      <c r="O109" s="6"/>
      <c r="P109" s="6"/>
      <c r="Q109" s="9"/>
    </row>
    <row r="110" spans="3:17" x14ac:dyDescent="0.3">
      <c r="C110" s="45"/>
      <c r="D110" s="5"/>
      <c r="E110" s="5"/>
      <c r="F110" s="6"/>
      <c r="G110" s="6"/>
      <c r="H110" s="6"/>
      <c r="I110" s="6"/>
      <c r="J110" s="111"/>
      <c r="K110" s="111"/>
      <c r="L110" s="6"/>
      <c r="M110" s="6"/>
      <c r="N110" s="6"/>
      <c r="O110" s="6"/>
      <c r="P110" s="6"/>
      <c r="Q110" s="9"/>
    </row>
    <row r="111" spans="3:17" x14ac:dyDescent="0.3">
      <c r="C111" s="45"/>
      <c r="D111" s="5"/>
      <c r="E111" s="5"/>
      <c r="F111" s="6"/>
      <c r="G111" s="6"/>
      <c r="H111" s="6"/>
      <c r="I111" s="6"/>
      <c r="J111" s="111"/>
      <c r="K111" s="111"/>
      <c r="L111" s="6"/>
      <c r="M111" s="6"/>
      <c r="N111" s="6"/>
      <c r="O111" s="6"/>
      <c r="P111" s="6"/>
      <c r="Q111" s="9"/>
    </row>
    <row r="112" spans="3:17" x14ac:dyDescent="0.3">
      <c r="C112" s="45"/>
      <c r="D112" s="5"/>
      <c r="E112" s="5"/>
      <c r="F112" s="6"/>
      <c r="G112" s="6"/>
      <c r="H112" s="6"/>
      <c r="I112" s="6"/>
      <c r="J112" s="111"/>
      <c r="K112" s="111"/>
      <c r="L112" s="6"/>
      <c r="M112" s="6"/>
      <c r="N112" s="6"/>
      <c r="O112" s="6"/>
      <c r="P112" s="6"/>
      <c r="Q112" s="9"/>
    </row>
    <row r="113" spans="3:17" x14ac:dyDescent="0.3">
      <c r="C113" s="45"/>
      <c r="D113" s="5"/>
      <c r="E113" s="5"/>
      <c r="F113" s="6"/>
      <c r="G113" s="6"/>
      <c r="H113" s="6"/>
      <c r="I113" s="6"/>
      <c r="J113" s="111"/>
      <c r="K113" s="111"/>
      <c r="L113" s="6"/>
      <c r="M113" s="6"/>
      <c r="N113" s="6"/>
      <c r="O113" s="6"/>
      <c r="P113" s="6"/>
      <c r="Q113" s="9"/>
    </row>
    <row r="114" spans="3:17" x14ac:dyDescent="0.3">
      <c r="C114" s="45"/>
      <c r="D114" s="5"/>
      <c r="E114" s="5"/>
      <c r="F114" s="6"/>
      <c r="G114" s="6"/>
      <c r="H114" s="6"/>
      <c r="I114" s="6"/>
      <c r="J114" s="111"/>
      <c r="K114" s="111"/>
      <c r="L114" s="6"/>
      <c r="M114" s="6"/>
      <c r="N114" s="6"/>
      <c r="O114" s="6"/>
      <c r="P114" s="6"/>
      <c r="Q114" s="9"/>
    </row>
    <row r="115" spans="3:17" x14ac:dyDescent="0.3">
      <c r="C115" s="45"/>
      <c r="D115" s="5"/>
      <c r="E115" s="5"/>
      <c r="F115" s="6"/>
      <c r="G115" s="6"/>
      <c r="H115" s="6"/>
      <c r="I115" s="6"/>
      <c r="J115" s="111"/>
      <c r="K115" s="111"/>
      <c r="L115" s="6"/>
      <c r="M115" s="6"/>
      <c r="N115" s="6"/>
      <c r="O115" s="6"/>
      <c r="P115" s="6"/>
      <c r="Q115" s="9"/>
    </row>
    <row r="116" spans="3:17" x14ac:dyDescent="0.3">
      <c r="C116" s="45"/>
      <c r="D116" s="5"/>
      <c r="E116" s="5"/>
      <c r="F116" s="6"/>
      <c r="G116" s="6"/>
      <c r="H116" s="6"/>
      <c r="I116" s="6"/>
      <c r="J116" s="111"/>
      <c r="K116" s="111"/>
      <c r="L116" s="6"/>
      <c r="M116" s="6"/>
      <c r="N116" s="6"/>
      <c r="O116" s="6"/>
      <c r="P116" s="6"/>
      <c r="Q116" s="9"/>
    </row>
    <row r="117" spans="3:17" x14ac:dyDescent="0.3">
      <c r="C117" s="45"/>
      <c r="D117" s="5"/>
      <c r="E117" s="5"/>
      <c r="F117" s="6"/>
      <c r="G117" s="6"/>
      <c r="H117" s="6"/>
      <c r="I117" s="6"/>
      <c r="J117" s="111"/>
      <c r="K117" s="111"/>
      <c r="L117" s="6"/>
      <c r="M117" s="6"/>
      <c r="N117" s="6"/>
      <c r="O117" s="6"/>
      <c r="P117" s="6"/>
      <c r="Q117" s="9"/>
    </row>
    <row r="118" spans="3:17" x14ac:dyDescent="0.3">
      <c r="C118" s="45"/>
      <c r="D118" s="5"/>
      <c r="E118" s="5"/>
      <c r="F118" s="6"/>
      <c r="G118" s="6"/>
      <c r="H118" s="6"/>
      <c r="I118" s="6"/>
      <c r="J118" s="111"/>
      <c r="K118" s="111"/>
      <c r="L118" s="6"/>
      <c r="M118" s="6"/>
      <c r="N118" s="6"/>
      <c r="O118" s="6"/>
      <c r="P118" s="6"/>
      <c r="Q118" s="9"/>
    </row>
    <row r="119" spans="3:17" x14ac:dyDescent="0.3">
      <c r="C119" s="45"/>
      <c r="D119" s="5"/>
      <c r="E119" s="5"/>
      <c r="F119" s="6"/>
      <c r="G119" s="6"/>
      <c r="H119" s="6"/>
      <c r="I119" s="6"/>
      <c r="J119" s="111"/>
      <c r="K119" s="111"/>
      <c r="L119" s="6"/>
      <c r="M119" s="6"/>
      <c r="N119" s="6"/>
      <c r="O119" s="6"/>
      <c r="P119" s="6"/>
      <c r="Q119" s="9"/>
    </row>
    <row r="120" spans="3:17" x14ac:dyDescent="0.3">
      <c r="C120" s="45"/>
      <c r="D120" s="5"/>
      <c r="E120" s="5"/>
      <c r="F120" s="6"/>
      <c r="G120" s="6"/>
      <c r="H120" s="6"/>
      <c r="I120" s="6"/>
      <c r="J120" s="111"/>
      <c r="K120" s="111"/>
      <c r="L120" s="6"/>
      <c r="M120" s="6"/>
      <c r="N120" s="6"/>
      <c r="O120" s="6"/>
      <c r="P120" s="6"/>
      <c r="Q120" s="9"/>
    </row>
    <row r="121" spans="3:17" x14ac:dyDescent="0.3">
      <c r="C121" s="45"/>
      <c r="D121" s="5"/>
      <c r="E121" s="5"/>
      <c r="F121" s="6"/>
      <c r="G121" s="6"/>
      <c r="H121" s="6"/>
      <c r="I121" s="6"/>
      <c r="J121" s="111"/>
      <c r="K121" s="111"/>
      <c r="L121" s="6"/>
      <c r="M121" s="6"/>
      <c r="N121" s="6"/>
      <c r="O121" s="6"/>
      <c r="P121" s="6"/>
      <c r="Q121" s="9"/>
    </row>
    <row r="122" spans="3:17" x14ac:dyDescent="0.3">
      <c r="C122" s="45"/>
      <c r="D122" s="5"/>
      <c r="E122" s="5"/>
      <c r="F122" s="6"/>
      <c r="G122" s="6"/>
      <c r="H122" s="6"/>
      <c r="I122" s="6"/>
      <c r="J122" s="111"/>
      <c r="K122" s="111"/>
      <c r="L122" s="6"/>
      <c r="M122" s="6"/>
      <c r="N122" s="6"/>
      <c r="O122" s="6"/>
      <c r="P122" s="6"/>
      <c r="Q122" s="9"/>
    </row>
    <row r="123" spans="3:17" x14ac:dyDescent="0.3">
      <c r="C123" s="45"/>
      <c r="D123" s="5"/>
      <c r="E123" s="5"/>
      <c r="F123" s="6"/>
      <c r="G123" s="6"/>
      <c r="H123" s="6"/>
      <c r="I123" s="6"/>
      <c r="J123" s="111"/>
      <c r="K123" s="111"/>
      <c r="L123" s="6"/>
      <c r="M123" s="6"/>
      <c r="N123" s="6"/>
      <c r="O123" s="6"/>
      <c r="P123" s="6"/>
      <c r="Q123" s="9"/>
    </row>
    <row r="124" spans="3:17" x14ac:dyDescent="0.3">
      <c r="C124" s="45"/>
      <c r="D124" s="5"/>
      <c r="E124" s="5"/>
      <c r="F124" s="6"/>
      <c r="G124" s="6"/>
      <c r="H124" s="6"/>
      <c r="I124" s="6"/>
      <c r="J124" s="111"/>
      <c r="K124" s="111"/>
      <c r="L124" s="6"/>
      <c r="M124" s="6"/>
      <c r="N124" s="6"/>
      <c r="O124" s="6"/>
      <c r="P124" s="6"/>
      <c r="Q124" s="9"/>
    </row>
    <row r="125" spans="3:17" x14ac:dyDescent="0.3">
      <c r="C125" s="45"/>
      <c r="D125" s="5"/>
      <c r="E125" s="5"/>
      <c r="F125" s="6"/>
      <c r="G125" s="6"/>
      <c r="H125" s="6"/>
      <c r="I125" s="6"/>
      <c r="J125" s="111"/>
      <c r="K125" s="111"/>
      <c r="L125" s="6"/>
      <c r="M125" s="6"/>
      <c r="N125" s="6"/>
      <c r="O125" s="6"/>
      <c r="P125" s="6"/>
      <c r="Q125" s="9"/>
    </row>
    <row r="126" spans="3:17" x14ac:dyDescent="0.3">
      <c r="C126" s="45"/>
      <c r="D126" s="5"/>
      <c r="E126" s="5"/>
      <c r="F126" s="6"/>
      <c r="G126" s="6"/>
      <c r="H126" s="6"/>
      <c r="I126" s="6"/>
      <c r="J126" s="111"/>
      <c r="K126" s="111"/>
      <c r="L126" s="6"/>
      <c r="M126" s="6"/>
      <c r="N126" s="6"/>
      <c r="O126" s="6"/>
      <c r="P126" s="6"/>
      <c r="Q126" s="9"/>
    </row>
    <row r="127" spans="3:17" x14ac:dyDescent="0.3">
      <c r="C127" s="45"/>
      <c r="D127" s="5"/>
      <c r="E127" s="5"/>
      <c r="F127" s="6"/>
      <c r="G127" s="6"/>
      <c r="H127" s="6"/>
      <c r="I127" s="6"/>
      <c r="J127" s="111"/>
      <c r="K127" s="111"/>
      <c r="L127" s="6"/>
      <c r="M127" s="6"/>
      <c r="N127" s="6"/>
      <c r="O127" s="6"/>
      <c r="P127" s="6"/>
      <c r="Q127" s="9"/>
    </row>
    <row r="128" spans="3:17" x14ac:dyDescent="0.3">
      <c r="C128" s="45"/>
      <c r="D128" s="5"/>
      <c r="E128" s="5"/>
      <c r="F128" s="6"/>
      <c r="G128" s="6"/>
      <c r="H128" s="6"/>
      <c r="I128" s="6"/>
      <c r="J128" s="111"/>
      <c r="K128" s="111"/>
      <c r="L128" s="6"/>
      <c r="M128" s="6"/>
      <c r="N128" s="6"/>
      <c r="O128" s="6"/>
      <c r="P128" s="6"/>
      <c r="Q128" s="9"/>
    </row>
    <row r="129" spans="3:17" x14ac:dyDescent="0.3">
      <c r="C129" s="45"/>
      <c r="D129" s="5"/>
      <c r="E129" s="5"/>
      <c r="F129" s="6"/>
      <c r="G129" s="6"/>
      <c r="H129" s="6"/>
      <c r="I129" s="6"/>
      <c r="J129" s="111"/>
      <c r="K129" s="111"/>
      <c r="L129" s="6"/>
      <c r="M129" s="6"/>
      <c r="N129" s="6"/>
      <c r="O129" s="6"/>
      <c r="P129" s="6"/>
      <c r="Q129" s="9"/>
    </row>
    <row r="130" spans="3:17" x14ac:dyDescent="0.3">
      <c r="C130" s="45"/>
      <c r="D130" s="5"/>
      <c r="E130" s="5"/>
      <c r="F130" s="6"/>
      <c r="G130" s="6"/>
      <c r="H130" s="6"/>
      <c r="I130" s="6"/>
      <c r="J130" s="111"/>
      <c r="K130" s="111"/>
      <c r="L130" s="6"/>
      <c r="M130" s="6"/>
      <c r="N130" s="6"/>
      <c r="O130" s="6"/>
      <c r="P130" s="6"/>
      <c r="Q130" s="9"/>
    </row>
    <row r="131" spans="3:17" x14ac:dyDescent="0.3">
      <c r="C131" s="45"/>
      <c r="D131" s="5"/>
      <c r="E131" s="5"/>
      <c r="F131" s="6"/>
      <c r="G131" s="6"/>
      <c r="H131" s="6"/>
      <c r="I131" s="6"/>
      <c r="J131" s="111"/>
      <c r="K131" s="111"/>
      <c r="L131" s="6"/>
      <c r="M131" s="6"/>
      <c r="N131" s="6"/>
      <c r="O131" s="6"/>
      <c r="P131" s="6"/>
      <c r="Q131" s="9"/>
    </row>
    <row r="132" spans="3:17" x14ac:dyDescent="0.3">
      <c r="C132" s="45"/>
      <c r="D132" s="5"/>
      <c r="E132" s="5"/>
      <c r="F132" s="6"/>
      <c r="G132" s="6"/>
      <c r="H132" s="6"/>
      <c r="I132" s="6"/>
      <c r="J132" s="111"/>
      <c r="K132" s="111"/>
      <c r="L132" s="6"/>
      <c r="M132" s="6"/>
      <c r="N132" s="6"/>
      <c r="O132" s="6"/>
      <c r="P132" s="6"/>
      <c r="Q132" s="9"/>
    </row>
    <row r="133" spans="3:17" x14ac:dyDescent="0.3">
      <c r="C133" s="45"/>
      <c r="D133" s="5"/>
      <c r="E133" s="5"/>
      <c r="F133" s="6"/>
      <c r="G133" s="6"/>
      <c r="H133" s="6"/>
      <c r="I133" s="6"/>
      <c r="J133" s="111"/>
      <c r="K133" s="111"/>
      <c r="L133" s="6"/>
      <c r="M133" s="6"/>
      <c r="N133" s="6"/>
      <c r="O133" s="6"/>
      <c r="P133" s="6"/>
      <c r="Q133" s="9"/>
    </row>
    <row r="134" spans="3:17" x14ac:dyDescent="0.3">
      <c r="C134" s="45"/>
      <c r="D134" s="5"/>
      <c r="E134" s="5"/>
      <c r="F134" s="6"/>
      <c r="G134" s="6"/>
      <c r="H134" s="6"/>
      <c r="I134" s="6"/>
      <c r="J134" s="111"/>
      <c r="K134" s="111"/>
      <c r="L134" s="6"/>
      <c r="M134" s="6"/>
      <c r="N134" s="6"/>
      <c r="O134" s="6"/>
      <c r="P134" s="6"/>
      <c r="Q134" s="9"/>
    </row>
    <row r="135" spans="3:17" x14ac:dyDescent="0.3">
      <c r="C135" s="45"/>
      <c r="D135" s="5"/>
      <c r="E135" s="5"/>
      <c r="F135" s="6"/>
      <c r="G135" s="6"/>
      <c r="H135" s="6"/>
      <c r="I135" s="6"/>
      <c r="J135" s="111"/>
      <c r="K135" s="111"/>
      <c r="L135" s="6"/>
      <c r="M135" s="6"/>
      <c r="N135" s="6"/>
      <c r="O135" s="6"/>
      <c r="P135" s="6"/>
      <c r="Q135" s="9"/>
    </row>
    <row r="136" spans="3:17" x14ac:dyDescent="0.3">
      <c r="C136" s="45"/>
      <c r="D136" s="5"/>
      <c r="E136" s="5"/>
      <c r="F136" s="6"/>
      <c r="G136" s="6"/>
      <c r="H136" s="6"/>
      <c r="I136" s="6"/>
      <c r="J136" s="111"/>
      <c r="K136" s="111"/>
      <c r="L136" s="6"/>
      <c r="M136" s="6"/>
      <c r="N136" s="6"/>
      <c r="O136" s="6"/>
      <c r="P136" s="6"/>
      <c r="Q136" s="9"/>
    </row>
    <row r="137" spans="3:17" x14ac:dyDescent="0.3">
      <c r="C137" s="45"/>
      <c r="D137" s="5"/>
      <c r="E137" s="5"/>
      <c r="F137" s="6"/>
      <c r="G137" s="6"/>
      <c r="H137" s="6"/>
      <c r="I137" s="6"/>
      <c r="J137" s="111"/>
      <c r="K137" s="111"/>
      <c r="L137" s="6"/>
      <c r="M137" s="6"/>
      <c r="N137" s="6"/>
      <c r="O137" s="6"/>
      <c r="P137" s="6"/>
      <c r="Q137" s="9"/>
    </row>
    <row r="138" spans="3:17" x14ac:dyDescent="0.3">
      <c r="C138" s="45"/>
      <c r="D138" s="5"/>
      <c r="E138" s="5"/>
      <c r="F138" s="6"/>
      <c r="G138" s="6"/>
      <c r="H138" s="6"/>
      <c r="I138" s="6"/>
      <c r="J138" s="111"/>
      <c r="K138" s="111"/>
      <c r="L138" s="6"/>
      <c r="M138" s="6"/>
      <c r="N138" s="6"/>
      <c r="O138" s="6"/>
      <c r="P138" s="6"/>
      <c r="Q138" s="9"/>
    </row>
    <row r="139" spans="3:17" x14ac:dyDescent="0.3">
      <c r="C139" s="45"/>
      <c r="D139" s="5"/>
      <c r="E139" s="5"/>
      <c r="F139" s="6"/>
      <c r="G139" s="6"/>
      <c r="H139" s="6"/>
      <c r="I139" s="6"/>
      <c r="J139" s="111"/>
      <c r="K139" s="111"/>
      <c r="L139" s="6"/>
      <c r="M139" s="6"/>
      <c r="N139" s="6"/>
      <c r="O139" s="6"/>
      <c r="P139" s="6"/>
      <c r="Q139" s="9"/>
    </row>
    <row r="140" spans="3:17" x14ac:dyDescent="0.3">
      <c r="C140" s="45"/>
      <c r="D140" s="5"/>
      <c r="E140" s="5"/>
      <c r="F140" s="6"/>
      <c r="G140" s="6"/>
      <c r="H140" s="6"/>
      <c r="I140" s="6"/>
      <c r="J140" s="111"/>
      <c r="K140" s="111"/>
      <c r="L140" s="6"/>
      <c r="M140" s="6"/>
      <c r="N140" s="6"/>
      <c r="O140" s="6"/>
      <c r="P140" s="6"/>
      <c r="Q140" s="9"/>
    </row>
    <row r="141" spans="3:17" x14ac:dyDescent="0.3">
      <c r="C141" s="45"/>
      <c r="D141" s="5"/>
      <c r="E141" s="5"/>
      <c r="F141" s="6"/>
      <c r="G141" s="6"/>
      <c r="H141" s="6"/>
      <c r="I141" s="6"/>
      <c r="J141" s="111"/>
      <c r="K141" s="111"/>
      <c r="L141" s="6"/>
      <c r="M141" s="6"/>
      <c r="N141" s="6"/>
      <c r="O141" s="6"/>
      <c r="P141" s="6"/>
      <c r="Q141" s="9"/>
    </row>
    <row r="142" spans="3:17" x14ac:dyDescent="0.3">
      <c r="C142" s="45"/>
      <c r="D142" s="5"/>
      <c r="E142" s="5"/>
      <c r="F142" s="6"/>
      <c r="G142" s="6"/>
      <c r="H142" s="6"/>
      <c r="I142" s="6"/>
      <c r="J142" s="111"/>
      <c r="K142" s="111"/>
      <c r="L142" s="6"/>
      <c r="M142" s="6"/>
      <c r="N142" s="6"/>
      <c r="O142" s="6"/>
      <c r="P142" s="6"/>
      <c r="Q142" s="9"/>
    </row>
    <row r="143" spans="3:17" x14ac:dyDescent="0.3">
      <c r="C143" s="45"/>
      <c r="D143" s="5"/>
      <c r="E143" s="5"/>
      <c r="F143" s="6"/>
      <c r="G143" s="6"/>
      <c r="H143" s="6"/>
      <c r="I143" s="6"/>
      <c r="J143" s="111"/>
      <c r="K143" s="111"/>
      <c r="L143" s="6"/>
      <c r="M143" s="6"/>
      <c r="N143" s="6"/>
      <c r="O143" s="6"/>
      <c r="P143" s="6"/>
      <c r="Q143" s="9"/>
    </row>
    <row r="144" spans="3:17" x14ac:dyDescent="0.3">
      <c r="C144" s="45"/>
      <c r="D144" s="5"/>
      <c r="E144" s="5"/>
      <c r="F144" s="6"/>
      <c r="G144" s="6"/>
      <c r="H144" s="6"/>
      <c r="I144" s="6"/>
      <c r="J144" s="111"/>
      <c r="K144" s="111"/>
      <c r="L144" s="6"/>
      <c r="M144" s="6"/>
      <c r="N144" s="6"/>
      <c r="O144" s="6"/>
      <c r="P144" s="6"/>
      <c r="Q144" s="9"/>
    </row>
    <row r="145" spans="3:17" x14ac:dyDescent="0.3">
      <c r="C145" s="45"/>
      <c r="D145" s="5"/>
      <c r="E145" s="5"/>
      <c r="F145" s="6"/>
      <c r="G145" s="6"/>
      <c r="H145" s="6"/>
      <c r="I145" s="6"/>
      <c r="J145" s="111"/>
      <c r="K145" s="111"/>
      <c r="L145" s="6"/>
      <c r="M145" s="6"/>
      <c r="N145" s="6"/>
      <c r="O145" s="6"/>
      <c r="P145" s="6"/>
      <c r="Q145" s="9"/>
    </row>
    <row r="146" spans="3:17" x14ac:dyDescent="0.3">
      <c r="C146" s="45"/>
      <c r="D146" s="5"/>
      <c r="E146" s="5"/>
      <c r="F146" s="6"/>
      <c r="G146" s="6"/>
      <c r="H146" s="6"/>
      <c r="I146" s="6"/>
      <c r="J146" s="111"/>
      <c r="K146" s="111"/>
      <c r="L146" s="6"/>
      <c r="M146" s="6"/>
      <c r="N146" s="6"/>
      <c r="O146" s="6"/>
      <c r="P146" s="6"/>
      <c r="Q146" s="9"/>
    </row>
    <row r="147" spans="3:17" x14ac:dyDescent="0.3">
      <c r="C147" s="45"/>
      <c r="D147" s="5"/>
      <c r="E147" s="5"/>
      <c r="F147" s="6"/>
      <c r="G147" s="6"/>
      <c r="H147" s="6"/>
      <c r="I147" s="6"/>
      <c r="J147" s="111"/>
      <c r="K147" s="111"/>
      <c r="L147" s="6"/>
      <c r="M147" s="6"/>
      <c r="N147" s="6"/>
      <c r="O147" s="6"/>
      <c r="P147" s="6"/>
      <c r="Q147" s="9"/>
    </row>
    <row r="148" spans="3:17" x14ac:dyDescent="0.3">
      <c r="C148" s="45"/>
      <c r="D148" s="5"/>
      <c r="E148" s="5"/>
      <c r="F148" s="6"/>
      <c r="G148" s="6"/>
      <c r="H148" s="6"/>
      <c r="I148" s="6"/>
      <c r="J148" s="111"/>
      <c r="K148" s="111"/>
      <c r="L148" s="6"/>
      <c r="M148" s="6"/>
      <c r="N148" s="6"/>
      <c r="O148" s="6"/>
      <c r="P148" s="6"/>
      <c r="Q148" s="9"/>
    </row>
    <row r="149" spans="3:17" x14ac:dyDescent="0.3">
      <c r="C149" s="45"/>
      <c r="D149" s="5"/>
      <c r="E149" s="5"/>
      <c r="F149" s="6"/>
      <c r="G149" s="6"/>
      <c r="H149" s="6"/>
      <c r="I149" s="6"/>
      <c r="J149" s="111"/>
      <c r="K149" s="111"/>
      <c r="L149" s="6"/>
      <c r="M149" s="6"/>
      <c r="N149" s="6"/>
      <c r="O149" s="6"/>
      <c r="P149" s="6"/>
      <c r="Q149" s="9"/>
    </row>
    <row r="150" spans="3:17" x14ac:dyDescent="0.3">
      <c r="C150" s="45"/>
      <c r="D150" s="5"/>
      <c r="E150" s="5"/>
      <c r="F150" s="6"/>
      <c r="G150" s="6"/>
      <c r="H150" s="6"/>
      <c r="I150" s="6"/>
      <c r="J150" s="111"/>
      <c r="K150" s="111"/>
      <c r="L150" s="6"/>
      <c r="M150" s="6"/>
      <c r="N150" s="6"/>
      <c r="O150" s="6"/>
      <c r="P150" s="6"/>
      <c r="Q150" s="9"/>
    </row>
    <row r="151" spans="3:17" x14ac:dyDescent="0.3">
      <c r="C151" s="45"/>
      <c r="D151" s="5"/>
      <c r="E151" s="5"/>
      <c r="F151" s="6"/>
      <c r="G151" s="6"/>
      <c r="H151" s="6"/>
      <c r="I151" s="6"/>
      <c r="J151" s="111"/>
      <c r="K151" s="111"/>
      <c r="L151" s="6"/>
      <c r="M151" s="6"/>
      <c r="N151" s="6"/>
      <c r="O151" s="6"/>
      <c r="P151" s="6"/>
      <c r="Q151" s="9"/>
    </row>
    <row r="152" spans="3:17" x14ac:dyDescent="0.3">
      <c r="C152" s="45"/>
      <c r="D152" s="5"/>
      <c r="E152" s="5"/>
      <c r="F152" s="6"/>
      <c r="G152" s="6"/>
      <c r="H152" s="6"/>
      <c r="I152" s="6"/>
      <c r="J152" s="111"/>
      <c r="K152" s="111"/>
      <c r="L152" s="6"/>
      <c r="M152" s="6"/>
      <c r="N152" s="6"/>
      <c r="O152" s="6"/>
      <c r="P152" s="6"/>
      <c r="Q152" s="9"/>
    </row>
    <row r="153" spans="3:17" x14ac:dyDescent="0.3">
      <c r="C153" s="45"/>
      <c r="D153" s="5"/>
      <c r="E153" s="5"/>
      <c r="F153" s="6"/>
      <c r="G153" s="6"/>
      <c r="H153" s="6"/>
      <c r="I153" s="6"/>
      <c r="J153" s="111"/>
      <c r="K153" s="111"/>
      <c r="L153" s="6"/>
      <c r="M153" s="6"/>
      <c r="N153" s="6"/>
      <c r="O153" s="6"/>
      <c r="P153" s="6"/>
      <c r="Q153" s="9"/>
    </row>
    <row r="154" spans="3:17" x14ac:dyDescent="0.3">
      <c r="C154" s="45"/>
      <c r="D154" s="5"/>
      <c r="E154" s="5"/>
      <c r="F154" s="6"/>
      <c r="G154" s="6"/>
      <c r="H154" s="6"/>
      <c r="I154" s="6"/>
      <c r="J154" s="111"/>
      <c r="K154" s="111"/>
      <c r="L154" s="6"/>
      <c r="M154" s="6"/>
      <c r="N154" s="6"/>
      <c r="O154" s="6"/>
      <c r="P154" s="6"/>
      <c r="Q154" s="9"/>
    </row>
    <row r="155" spans="3:17" x14ac:dyDescent="0.3">
      <c r="C155" s="45"/>
      <c r="D155" s="5"/>
      <c r="E155" s="5"/>
      <c r="F155" s="6"/>
      <c r="G155" s="6"/>
      <c r="H155" s="6"/>
      <c r="I155" s="6"/>
      <c r="J155" s="111"/>
      <c r="K155" s="111"/>
      <c r="L155" s="6"/>
      <c r="M155" s="6"/>
      <c r="N155" s="6"/>
      <c r="O155" s="6"/>
      <c r="P155" s="6"/>
      <c r="Q155" s="9"/>
    </row>
    <row r="156" spans="3:17" x14ac:dyDescent="0.3">
      <c r="C156" s="45"/>
      <c r="D156" s="5"/>
      <c r="E156" s="5"/>
      <c r="F156" s="6"/>
      <c r="G156" s="6"/>
      <c r="H156" s="6"/>
      <c r="I156" s="6"/>
      <c r="J156" s="111"/>
      <c r="K156" s="111"/>
      <c r="L156" s="6"/>
      <c r="M156" s="6"/>
      <c r="N156" s="6"/>
      <c r="O156" s="6"/>
      <c r="P156" s="6"/>
      <c r="Q156" s="9"/>
    </row>
    <row r="157" spans="3:17" x14ac:dyDescent="0.3">
      <c r="C157" s="45"/>
      <c r="D157" s="5"/>
      <c r="E157" s="5"/>
      <c r="F157" s="6"/>
      <c r="G157" s="6"/>
      <c r="H157" s="6"/>
      <c r="I157" s="6"/>
      <c r="J157" s="111"/>
      <c r="K157" s="111"/>
      <c r="L157" s="6"/>
      <c r="M157" s="6"/>
      <c r="N157" s="6"/>
      <c r="O157" s="6"/>
      <c r="P157" s="6"/>
      <c r="Q157" s="9"/>
    </row>
    <row r="158" spans="3:17" x14ac:dyDescent="0.3">
      <c r="C158" s="45"/>
      <c r="D158" s="5"/>
      <c r="E158" s="5"/>
      <c r="F158" s="6"/>
      <c r="G158" s="6"/>
      <c r="H158" s="6"/>
      <c r="I158" s="6"/>
      <c r="J158" s="111"/>
      <c r="K158" s="111"/>
      <c r="L158" s="6"/>
      <c r="M158" s="6"/>
      <c r="N158" s="6"/>
      <c r="O158" s="6"/>
      <c r="P158" s="6"/>
      <c r="Q158" s="9"/>
    </row>
    <row r="159" spans="3:17" x14ac:dyDescent="0.3">
      <c r="C159" s="45"/>
      <c r="D159" s="5"/>
      <c r="E159" s="5"/>
      <c r="F159" s="6"/>
      <c r="G159" s="6"/>
      <c r="H159" s="6"/>
      <c r="I159" s="6"/>
      <c r="J159" s="111"/>
      <c r="K159" s="111"/>
      <c r="L159" s="6"/>
      <c r="M159" s="6"/>
      <c r="N159" s="6"/>
      <c r="O159" s="6"/>
      <c r="P159" s="6"/>
      <c r="Q159" s="9"/>
    </row>
    <row r="160" spans="3:17" x14ac:dyDescent="0.3">
      <c r="C160" s="45"/>
      <c r="D160" s="5"/>
      <c r="E160" s="5"/>
      <c r="F160" s="6"/>
      <c r="G160" s="6"/>
      <c r="H160" s="6"/>
      <c r="I160" s="6"/>
      <c r="J160" s="111"/>
      <c r="K160" s="111"/>
      <c r="L160" s="6"/>
      <c r="M160" s="6"/>
      <c r="N160" s="6"/>
      <c r="O160" s="6"/>
      <c r="P160" s="6"/>
      <c r="Q160" s="9"/>
    </row>
    <row r="161" spans="3:17" x14ac:dyDescent="0.3">
      <c r="C161" s="45"/>
      <c r="D161" s="5"/>
      <c r="E161" s="5"/>
      <c r="F161" s="6"/>
      <c r="G161" s="6"/>
      <c r="H161" s="6"/>
      <c r="I161" s="6"/>
      <c r="J161" s="111"/>
      <c r="K161" s="111"/>
      <c r="L161" s="6"/>
      <c r="M161" s="6"/>
      <c r="N161" s="6"/>
      <c r="O161" s="6"/>
      <c r="P161" s="6"/>
      <c r="Q161" s="9"/>
    </row>
    <row r="162" spans="3:17" x14ac:dyDescent="0.3">
      <c r="C162" s="45"/>
      <c r="D162" s="5"/>
      <c r="E162" s="5"/>
      <c r="F162" s="6"/>
      <c r="G162" s="6"/>
      <c r="H162" s="6"/>
      <c r="I162" s="6"/>
      <c r="J162" s="111"/>
      <c r="K162" s="111"/>
      <c r="L162" s="6"/>
      <c r="M162" s="6"/>
      <c r="N162" s="6"/>
      <c r="O162" s="6"/>
      <c r="P162" s="6"/>
      <c r="Q162" s="9"/>
    </row>
    <row r="163" spans="3:17" x14ac:dyDescent="0.3">
      <c r="C163" s="45"/>
      <c r="D163" s="5"/>
      <c r="E163" s="5"/>
      <c r="F163" s="6"/>
      <c r="G163" s="6"/>
      <c r="H163" s="6"/>
      <c r="I163" s="6"/>
      <c r="J163" s="111"/>
      <c r="K163" s="111"/>
      <c r="L163" s="6"/>
      <c r="M163" s="6"/>
      <c r="N163" s="6"/>
      <c r="O163" s="6"/>
      <c r="P163" s="6"/>
      <c r="Q163" s="9"/>
    </row>
    <row r="164" spans="3:17" x14ac:dyDescent="0.3">
      <c r="C164" s="45"/>
      <c r="D164" s="5"/>
      <c r="E164" s="5"/>
      <c r="F164" s="6"/>
      <c r="G164" s="6"/>
      <c r="H164" s="6"/>
      <c r="I164" s="6"/>
      <c r="J164" s="111"/>
      <c r="K164" s="111"/>
      <c r="L164" s="6"/>
      <c r="M164" s="6"/>
      <c r="N164" s="6"/>
      <c r="O164" s="6"/>
      <c r="P164" s="6"/>
      <c r="Q164" s="9"/>
    </row>
    <row r="165" spans="3:17" x14ac:dyDescent="0.3">
      <c r="C165" s="45"/>
      <c r="D165" s="5"/>
      <c r="E165" s="5"/>
      <c r="F165" s="6"/>
      <c r="G165" s="6"/>
      <c r="H165" s="6"/>
      <c r="I165" s="6"/>
      <c r="J165" s="111"/>
      <c r="K165" s="111"/>
      <c r="L165" s="6"/>
      <c r="M165" s="6"/>
      <c r="N165" s="6"/>
      <c r="O165" s="6"/>
      <c r="P165" s="6"/>
      <c r="Q165" s="9"/>
    </row>
    <row r="166" spans="3:17" x14ac:dyDescent="0.3">
      <c r="C166" s="45"/>
      <c r="D166" s="5"/>
      <c r="E166" s="5"/>
      <c r="F166" s="6"/>
      <c r="G166" s="6"/>
      <c r="H166" s="6"/>
      <c r="I166" s="6"/>
      <c r="J166" s="111"/>
      <c r="K166" s="111"/>
      <c r="L166" s="6"/>
      <c r="M166" s="6"/>
      <c r="N166" s="6"/>
      <c r="O166" s="6"/>
      <c r="P166" s="6"/>
      <c r="Q166" s="9"/>
    </row>
    <row r="167" spans="3:17" x14ac:dyDescent="0.3">
      <c r="C167" s="45"/>
      <c r="D167" s="5"/>
      <c r="E167" s="5"/>
      <c r="F167" s="6"/>
      <c r="G167" s="6"/>
      <c r="H167" s="6"/>
      <c r="I167" s="6"/>
      <c r="J167" s="111"/>
      <c r="K167" s="111"/>
      <c r="L167" s="6"/>
      <c r="M167" s="6"/>
      <c r="N167" s="6"/>
      <c r="O167" s="6"/>
      <c r="P167" s="6"/>
      <c r="Q167" s="9"/>
    </row>
    <row r="168" spans="3:17" x14ac:dyDescent="0.3">
      <c r="C168" s="45"/>
      <c r="D168" s="5"/>
      <c r="E168" s="5"/>
      <c r="F168" s="6"/>
      <c r="G168" s="6"/>
      <c r="H168" s="6"/>
      <c r="I168" s="6"/>
      <c r="J168" s="111"/>
      <c r="K168" s="111"/>
      <c r="L168" s="6"/>
      <c r="M168" s="6"/>
      <c r="N168" s="6"/>
      <c r="O168" s="6"/>
      <c r="P168" s="6"/>
      <c r="Q168" s="9"/>
    </row>
    <row r="169" spans="3:17" x14ac:dyDescent="0.3">
      <c r="C169" s="45"/>
      <c r="D169" s="5"/>
      <c r="E169" s="5"/>
      <c r="F169" s="6"/>
      <c r="G169" s="6"/>
      <c r="H169" s="6"/>
      <c r="I169" s="6"/>
      <c r="J169" s="111"/>
      <c r="K169" s="111"/>
      <c r="L169" s="6"/>
      <c r="M169" s="6"/>
      <c r="N169" s="6"/>
      <c r="O169" s="6"/>
      <c r="P169" s="6"/>
      <c r="Q169" s="9"/>
    </row>
    <row r="170" spans="3:17" x14ac:dyDescent="0.3">
      <c r="C170" s="45"/>
      <c r="D170" s="5"/>
      <c r="E170" s="5"/>
      <c r="F170" s="6"/>
      <c r="G170" s="6"/>
      <c r="H170" s="6"/>
      <c r="I170" s="6"/>
      <c r="J170" s="111"/>
      <c r="K170" s="111"/>
      <c r="L170" s="6"/>
      <c r="M170" s="6"/>
      <c r="N170" s="6"/>
      <c r="O170" s="6"/>
      <c r="P170" s="6"/>
      <c r="Q170" s="9"/>
    </row>
    <row r="171" spans="3:17" x14ac:dyDescent="0.3">
      <c r="C171" s="45"/>
      <c r="D171" s="5"/>
      <c r="E171" s="5"/>
      <c r="F171" s="6"/>
      <c r="G171" s="6"/>
      <c r="H171" s="6"/>
      <c r="I171" s="6"/>
      <c r="J171" s="111"/>
      <c r="K171" s="111"/>
      <c r="L171" s="6"/>
      <c r="M171" s="6"/>
      <c r="N171" s="6"/>
      <c r="O171" s="6"/>
      <c r="P171" s="6"/>
      <c r="Q171" s="9"/>
    </row>
    <row r="172" spans="3:17" x14ac:dyDescent="0.3">
      <c r="C172" s="45"/>
      <c r="D172" s="5"/>
      <c r="E172" s="5"/>
      <c r="F172" s="6"/>
      <c r="G172" s="6"/>
      <c r="H172" s="6"/>
      <c r="I172" s="6"/>
      <c r="J172" s="111"/>
      <c r="K172" s="111"/>
      <c r="L172" s="6"/>
      <c r="M172" s="6"/>
      <c r="N172" s="6"/>
      <c r="O172" s="6"/>
      <c r="P172" s="6"/>
      <c r="Q172" s="9"/>
    </row>
    <row r="173" spans="3:17" x14ac:dyDescent="0.3">
      <c r="C173" s="45"/>
      <c r="D173" s="5"/>
      <c r="E173" s="5"/>
      <c r="F173" s="6"/>
      <c r="G173" s="6"/>
      <c r="H173" s="6"/>
      <c r="I173" s="6"/>
      <c r="J173" s="111"/>
      <c r="K173" s="111"/>
      <c r="L173" s="6"/>
      <c r="M173" s="6"/>
      <c r="N173" s="6"/>
      <c r="O173" s="6"/>
      <c r="P173" s="6"/>
      <c r="Q173" s="9"/>
    </row>
    <row r="174" spans="3:17" x14ac:dyDescent="0.3">
      <c r="C174" s="45"/>
      <c r="D174" s="5"/>
      <c r="E174" s="5"/>
      <c r="F174" s="6"/>
      <c r="G174" s="6"/>
      <c r="H174" s="6"/>
      <c r="I174" s="6"/>
      <c r="J174" s="111"/>
      <c r="K174" s="111"/>
      <c r="L174" s="6"/>
      <c r="M174" s="6"/>
      <c r="N174" s="6"/>
      <c r="O174" s="6"/>
      <c r="P174" s="6"/>
      <c r="Q174" s="9"/>
    </row>
    <row r="175" spans="3:17" x14ac:dyDescent="0.3">
      <c r="C175" s="45"/>
      <c r="D175" s="5"/>
      <c r="E175" s="5"/>
      <c r="F175" s="6"/>
      <c r="G175" s="6"/>
      <c r="H175" s="6"/>
      <c r="I175" s="6"/>
      <c r="J175" s="111"/>
      <c r="K175" s="111"/>
      <c r="L175" s="6"/>
      <c r="M175" s="6"/>
      <c r="N175" s="6"/>
      <c r="O175" s="6"/>
      <c r="P175" s="6"/>
      <c r="Q175" s="9"/>
    </row>
    <row r="176" spans="3:17" x14ac:dyDescent="0.3">
      <c r="C176" s="45"/>
      <c r="D176" s="5"/>
      <c r="E176" s="5"/>
      <c r="F176" s="6"/>
      <c r="G176" s="6"/>
      <c r="H176" s="6"/>
      <c r="I176" s="6"/>
      <c r="J176" s="111"/>
      <c r="K176" s="111"/>
      <c r="L176" s="6"/>
      <c r="M176" s="6"/>
      <c r="N176" s="6"/>
      <c r="O176" s="6"/>
      <c r="P176" s="6"/>
      <c r="Q176" s="9"/>
    </row>
    <row r="177" spans="3:17" x14ac:dyDescent="0.3">
      <c r="C177" s="45"/>
      <c r="D177" s="5"/>
      <c r="E177" s="5"/>
      <c r="F177" s="6"/>
      <c r="G177" s="6"/>
      <c r="H177" s="6"/>
      <c r="I177" s="6"/>
      <c r="J177" s="111"/>
      <c r="K177" s="111"/>
      <c r="L177" s="6"/>
      <c r="M177" s="6"/>
      <c r="N177" s="6"/>
      <c r="O177" s="6"/>
      <c r="P177" s="6"/>
      <c r="Q177" s="9"/>
    </row>
    <row r="178" spans="3:17" x14ac:dyDescent="0.3">
      <c r="C178" s="45"/>
      <c r="D178" s="5"/>
      <c r="E178" s="5"/>
      <c r="F178" s="6"/>
      <c r="G178" s="6"/>
      <c r="H178" s="6"/>
      <c r="I178" s="6"/>
      <c r="J178" s="111"/>
      <c r="K178" s="111"/>
      <c r="L178" s="6"/>
      <c r="M178" s="6"/>
      <c r="N178" s="6"/>
      <c r="O178" s="6"/>
      <c r="P178" s="6"/>
      <c r="Q178" s="9"/>
    </row>
    <row r="179" spans="3:17" x14ac:dyDescent="0.3">
      <c r="C179" s="45"/>
      <c r="D179" s="5"/>
      <c r="E179" s="5"/>
      <c r="F179" s="6"/>
      <c r="G179" s="6"/>
      <c r="H179" s="6"/>
      <c r="I179" s="6"/>
      <c r="J179" s="111"/>
      <c r="K179" s="111"/>
      <c r="L179" s="6"/>
      <c r="M179" s="6"/>
      <c r="N179" s="6"/>
      <c r="O179" s="6"/>
      <c r="P179" s="6"/>
      <c r="Q179" s="9"/>
    </row>
    <row r="180" spans="3:17" x14ac:dyDescent="0.3">
      <c r="C180" s="45"/>
      <c r="D180" s="5"/>
      <c r="E180" s="5"/>
      <c r="F180" s="6"/>
      <c r="G180" s="6"/>
      <c r="H180" s="6"/>
      <c r="I180" s="6"/>
      <c r="J180" s="111"/>
      <c r="K180" s="111"/>
      <c r="L180" s="6"/>
      <c r="M180" s="6"/>
      <c r="N180" s="6"/>
      <c r="O180" s="6"/>
      <c r="P180" s="6"/>
      <c r="Q180" s="9"/>
    </row>
    <row r="181" spans="3:17" x14ac:dyDescent="0.3">
      <c r="C181" s="45"/>
      <c r="D181" s="5"/>
      <c r="E181" s="5"/>
      <c r="F181" s="6"/>
      <c r="G181" s="6"/>
      <c r="H181" s="6"/>
      <c r="I181" s="6"/>
      <c r="J181" s="111"/>
      <c r="K181" s="111"/>
      <c r="L181" s="6"/>
      <c r="M181" s="6"/>
      <c r="N181" s="6"/>
      <c r="O181" s="6"/>
      <c r="P181" s="6"/>
      <c r="Q181" s="9"/>
    </row>
    <row r="182" spans="3:17" x14ac:dyDescent="0.3">
      <c r="C182" s="45"/>
      <c r="D182" s="5"/>
      <c r="E182" s="5"/>
      <c r="F182" s="6"/>
      <c r="G182" s="6"/>
      <c r="H182" s="6"/>
      <c r="I182" s="6"/>
      <c r="J182" s="111"/>
      <c r="K182" s="111"/>
      <c r="L182" s="6"/>
      <c r="M182" s="6"/>
      <c r="N182" s="6"/>
      <c r="O182" s="6"/>
      <c r="P182" s="6"/>
      <c r="Q182" s="9"/>
    </row>
    <row r="183" spans="3:17" x14ac:dyDescent="0.3">
      <c r="C183" s="45"/>
      <c r="D183" s="5"/>
      <c r="E183" s="5"/>
      <c r="F183" s="6"/>
      <c r="G183" s="6"/>
      <c r="H183" s="6"/>
      <c r="I183" s="6"/>
      <c r="J183" s="111"/>
      <c r="K183" s="111"/>
      <c r="L183" s="6"/>
      <c r="M183" s="6"/>
      <c r="N183" s="6"/>
      <c r="O183" s="6"/>
      <c r="P183" s="6"/>
      <c r="Q183" s="9"/>
    </row>
    <row r="184" spans="3:17" x14ac:dyDescent="0.3">
      <c r="C184" s="45"/>
      <c r="D184" s="5"/>
      <c r="E184" s="5"/>
      <c r="F184" s="6"/>
      <c r="G184" s="6"/>
      <c r="H184" s="6"/>
      <c r="I184" s="6"/>
      <c r="J184" s="111"/>
      <c r="K184" s="111"/>
      <c r="L184" s="6"/>
      <c r="M184" s="6"/>
      <c r="N184" s="6"/>
      <c r="O184" s="6"/>
      <c r="P184" s="6"/>
      <c r="Q184" s="9"/>
    </row>
    <row r="185" spans="3:17" x14ac:dyDescent="0.3">
      <c r="C185" s="45"/>
      <c r="D185" s="5"/>
      <c r="E185" s="5"/>
      <c r="F185" s="6"/>
      <c r="G185" s="6"/>
      <c r="H185" s="6"/>
      <c r="I185" s="6"/>
      <c r="J185" s="111"/>
      <c r="K185" s="111"/>
      <c r="L185" s="6"/>
      <c r="M185" s="6"/>
      <c r="N185" s="6"/>
      <c r="O185" s="6"/>
      <c r="P185" s="6"/>
      <c r="Q185" s="9"/>
    </row>
    <row r="186" spans="3:17" x14ac:dyDescent="0.3">
      <c r="C186" s="45"/>
      <c r="D186" s="5"/>
      <c r="E186" s="5"/>
      <c r="F186" s="6"/>
      <c r="G186" s="6"/>
      <c r="H186" s="6"/>
      <c r="I186" s="6"/>
      <c r="J186" s="111"/>
      <c r="K186" s="111"/>
      <c r="L186" s="6"/>
      <c r="M186" s="6"/>
      <c r="N186" s="6"/>
      <c r="O186" s="6"/>
      <c r="P186" s="6"/>
      <c r="Q186" s="9"/>
    </row>
    <row r="187" spans="3:17" x14ac:dyDescent="0.3">
      <c r="C187" s="45"/>
      <c r="D187" s="5"/>
      <c r="E187" s="5"/>
      <c r="F187" s="6"/>
      <c r="G187" s="6"/>
      <c r="H187" s="6"/>
      <c r="I187" s="6"/>
      <c r="J187" s="111"/>
      <c r="K187" s="111"/>
      <c r="L187" s="6"/>
      <c r="M187" s="6"/>
      <c r="N187" s="6"/>
      <c r="O187" s="6"/>
      <c r="P187" s="6"/>
      <c r="Q187" s="9"/>
    </row>
    <row r="188" spans="3:17" x14ac:dyDescent="0.3">
      <c r="C188" s="45"/>
      <c r="D188" s="5"/>
      <c r="E188" s="5"/>
      <c r="F188" s="6"/>
      <c r="G188" s="6"/>
      <c r="H188" s="6"/>
      <c r="I188" s="6"/>
      <c r="J188" s="111"/>
      <c r="K188" s="111"/>
      <c r="L188" s="6"/>
      <c r="M188" s="6"/>
      <c r="N188" s="6"/>
      <c r="O188" s="6"/>
      <c r="P188" s="6"/>
      <c r="Q188" s="9"/>
    </row>
    <row r="189" spans="3:17" x14ac:dyDescent="0.3">
      <c r="C189" s="45"/>
      <c r="D189" s="5"/>
      <c r="E189" s="5"/>
      <c r="F189" s="6"/>
      <c r="G189" s="6"/>
      <c r="H189" s="6"/>
      <c r="I189" s="6"/>
      <c r="J189" s="111"/>
      <c r="K189" s="111"/>
      <c r="L189" s="6"/>
      <c r="M189" s="6"/>
      <c r="N189" s="6"/>
      <c r="O189" s="6"/>
      <c r="P189" s="6"/>
      <c r="Q189" s="9"/>
    </row>
    <row r="190" spans="3:17" x14ac:dyDescent="0.3">
      <c r="C190" s="45"/>
      <c r="D190" s="5"/>
      <c r="E190" s="5"/>
      <c r="F190" s="6"/>
      <c r="G190" s="6"/>
      <c r="H190" s="6"/>
      <c r="I190" s="6"/>
      <c r="J190" s="111"/>
      <c r="K190" s="111"/>
      <c r="L190" s="6"/>
      <c r="M190" s="6"/>
      <c r="N190" s="6"/>
      <c r="O190" s="6"/>
      <c r="P190" s="6"/>
      <c r="Q190" s="9"/>
    </row>
    <row r="191" spans="3:17" x14ac:dyDescent="0.3">
      <c r="C191" s="45"/>
      <c r="D191" s="5"/>
      <c r="E191" s="5"/>
      <c r="F191" s="6"/>
      <c r="G191" s="6"/>
      <c r="H191" s="6"/>
      <c r="I191" s="6"/>
      <c r="J191" s="111"/>
      <c r="K191" s="111"/>
      <c r="L191" s="6"/>
      <c r="M191" s="6"/>
      <c r="N191" s="6"/>
      <c r="O191" s="6"/>
      <c r="P191" s="6"/>
      <c r="Q191" s="9"/>
    </row>
    <row r="192" spans="3:17" x14ac:dyDescent="0.3">
      <c r="C192" s="45"/>
      <c r="D192" s="5"/>
      <c r="E192" s="5"/>
      <c r="F192" s="6"/>
      <c r="G192" s="6"/>
      <c r="H192" s="6"/>
      <c r="I192" s="6"/>
      <c r="J192" s="111"/>
      <c r="K192" s="111"/>
      <c r="L192" s="6"/>
      <c r="M192" s="6"/>
      <c r="N192" s="6"/>
      <c r="O192" s="6"/>
      <c r="P192" s="6"/>
      <c r="Q192" s="9"/>
    </row>
    <row r="193" spans="3:17" x14ac:dyDescent="0.3">
      <c r="C193" s="45"/>
      <c r="D193" s="5"/>
      <c r="E193" s="5"/>
      <c r="F193" s="6"/>
      <c r="G193" s="6"/>
      <c r="H193" s="6"/>
      <c r="I193" s="6"/>
      <c r="J193" s="111"/>
      <c r="K193" s="111"/>
      <c r="L193" s="6"/>
      <c r="M193" s="6"/>
      <c r="N193" s="6"/>
      <c r="O193" s="6"/>
      <c r="P193" s="6"/>
      <c r="Q193" s="9"/>
    </row>
    <row r="194" spans="3:17" x14ac:dyDescent="0.3">
      <c r="C194" s="45"/>
      <c r="D194" s="5"/>
      <c r="E194" s="5"/>
      <c r="F194" s="6"/>
      <c r="G194" s="6"/>
      <c r="H194" s="6"/>
      <c r="I194" s="6"/>
      <c r="J194" s="111"/>
      <c r="K194" s="111"/>
      <c r="L194" s="6"/>
      <c r="M194" s="6"/>
      <c r="N194" s="6"/>
      <c r="O194" s="6"/>
      <c r="P194" s="6"/>
      <c r="Q194" s="9"/>
    </row>
    <row r="195" spans="3:17" x14ac:dyDescent="0.3">
      <c r="C195" s="45"/>
      <c r="D195" s="5"/>
      <c r="E195" s="5"/>
      <c r="F195" s="6"/>
      <c r="G195" s="6"/>
      <c r="H195" s="6"/>
      <c r="I195" s="6"/>
      <c r="J195" s="111"/>
      <c r="K195" s="111"/>
      <c r="L195" s="6"/>
      <c r="M195" s="6"/>
      <c r="N195" s="6"/>
      <c r="O195" s="6"/>
      <c r="P195" s="6"/>
      <c r="Q195" s="9"/>
    </row>
    <row r="196" spans="3:17" x14ac:dyDescent="0.3">
      <c r="C196" s="45"/>
      <c r="D196" s="5"/>
      <c r="E196" s="5"/>
      <c r="F196" s="6"/>
      <c r="G196" s="6"/>
      <c r="H196" s="6"/>
      <c r="I196" s="6"/>
      <c r="J196" s="111"/>
      <c r="K196" s="111"/>
      <c r="L196" s="6"/>
      <c r="M196" s="6"/>
      <c r="N196" s="6"/>
      <c r="O196" s="6"/>
      <c r="P196" s="6"/>
      <c r="Q196" s="9"/>
    </row>
    <row r="197" spans="3:17" x14ac:dyDescent="0.3">
      <c r="C197" s="45"/>
      <c r="D197" s="5"/>
      <c r="E197" s="5"/>
      <c r="F197" s="6"/>
      <c r="G197" s="6"/>
      <c r="H197" s="6"/>
      <c r="I197" s="6"/>
      <c r="J197" s="111"/>
      <c r="K197" s="111"/>
      <c r="L197" s="6"/>
      <c r="M197" s="6"/>
      <c r="N197" s="6"/>
      <c r="O197" s="6"/>
      <c r="P197" s="6"/>
      <c r="Q197" s="9"/>
    </row>
    <row r="198" spans="3:17" x14ac:dyDescent="0.3">
      <c r="C198" s="45"/>
      <c r="D198" s="5"/>
      <c r="E198" s="5"/>
      <c r="F198" s="6"/>
      <c r="G198" s="6"/>
      <c r="H198" s="6"/>
      <c r="I198" s="6"/>
      <c r="J198" s="111"/>
      <c r="K198" s="111"/>
      <c r="L198" s="6"/>
      <c r="M198" s="6"/>
      <c r="N198" s="6"/>
      <c r="O198" s="6"/>
      <c r="P198" s="6"/>
      <c r="Q198" s="9"/>
    </row>
    <row r="199" spans="3:17" x14ac:dyDescent="0.3">
      <c r="C199" s="45"/>
      <c r="D199" s="5"/>
      <c r="E199" s="5"/>
      <c r="F199" s="6"/>
      <c r="G199" s="6"/>
      <c r="H199" s="6"/>
      <c r="I199" s="6"/>
      <c r="J199" s="111"/>
      <c r="K199" s="111"/>
      <c r="L199" s="6"/>
      <c r="M199" s="6"/>
      <c r="N199" s="6"/>
      <c r="O199" s="6"/>
      <c r="P199" s="6"/>
      <c r="Q199" s="9"/>
    </row>
    <row r="200" spans="3:17" x14ac:dyDescent="0.3">
      <c r="C200" s="45"/>
      <c r="D200" s="5"/>
      <c r="E200" s="5"/>
      <c r="F200" s="6"/>
      <c r="G200" s="6"/>
      <c r="H200" s="6"/>
      <c r="I200" s="6"/>
      <c r="J200" s="111"/>
      <c r="K200" s="111"/>
      <c r="L200" s="6"/>
      <c r="M200" s="6"/>
      <c r="N200" s="6"/>
      <c r="O200" s="6"/>
      <c r="P200" s="6"/>
      <c r="Q200" s="9"/>
    </row>
    <row r="201" spans="3:17" x14ac:dyDescent="0.3">
      <c r="C201" s="45"/>
      <c r="D201" s="5"/>
      <c r="E201" s="5"/>
      <c r="F201" s="6"/>
      <c r="G201" s="6"/>
      <c r="H201" s="6"/>
      <c r="I201" s="6"/>
      <c r="J201" s="111"/>
      <c r="K201" s="111"/>
      <c r="L201" s="6"/>
      <c r="M201" s="6"/>
      <c r="N201" s="6"/>
      <c r="O201" s="6"/>
      <c r="P201" s="6"/>
      <c r="Q201" s="9"/>
    </row>
    <row r="202" spans="3:17" x14ac:dyDescent="0.3">
      <c r="C202" s="45"/>
      <c r="D202" s="5"/>
      <c r="E202" s="5"/>
      <c r="F202" s="6"/>
      <c r="G202" s="6"/>
      <c r="H202" s="6"/>
      <c r="I202" s="6"/>
      <c r="J202" s="111"/>
      <c r="K202" s="111"/>
      <c r="L202" s="6"/>
      <c r="M202" s="6"/>
      <c r="N202" s="6"/>
      <c r="O202" s="6"/>
      <c r="P202" s="6"/>
      <c r="Q202" s="9"/>
    </row>
    <row r="203" spans="3:17" x14ac:dyDescent="0.3">
      <c r="C203" s="45"/>
      <c r="D203" s="5"/>
      <c r="E203" s="5"/>
      <c r="F203" s="6"/>
      <c r="G203" s="6"/>
      <c r="H203" s="6"/>
      <c r="I203" s="6"/>
      <c r="J203" s="111"/>
      <c r="K203" s="111"/>
      <c r="L203" s="6"/>
      <c r="M203" s="6"/>
      <c r="N203" s="6"/>
      <c r="O203" s="6"/>
      <c r="P203" s="6"/>
      <c r="Q203" s="9"/>
    </row>
    <row r="204" spans="3:17" x14ac:dyDescent="0.3">
      <c r="C204" s="45"/>
      <c r="D204" s="5"/>
      <c r="E204" s="5"/>
      <c r="F204" s="6"/>
      <c r="G204" s="6"/>
      <c r="H204" s="6"/>
      <c r="I204" s="6"/>
      <c r="J204" s="111"/>
      <c r="K204" s="111"/>
      <c r="L204" s="6"/>
      <c r="M204" s="6"/>
      <c r="N204" s="6"/>
      <c r="O204" s="6"/>
      <c r="P204" s="6"/>
      <c r="Q204" s="9"/>
    </row>
    <row r="205" spans="3:17" x14ac:dyDescent="0.3">
      <c r="C205" s="45"/>
      <c r="D205" s="5"/>
      <c r="E205" s="5"/>
      <c r="F205" s="6"/>
      <c r="G205" s="6"/>
      <c r="H205" s="6"/>
      <c r="I205" s="6"/>
      <c r="J205" s="111"/>
      <c r="K205" s="111"/>
      <c r="L205" s="6"/>
      <c r="M205" s="6"/>
      <c r="N205" s="6"/>
      <c r="O205" s="6"/>
      <c r="P205" s="6"/>
      <c r="Q205" s="9"/>
    </row>
    <row r="206" spans="3:17" x14ac:dyDescent="0.3">
      <c r="C206" s="45"/>
      <c r="D206" s="5"/>
      <c r="E206" s="5"/>
      <c r="F206" s="6"/>
      <c r="G206" s="6"/>
      <c r="H206" s="6"/>
      <c r="I206" s="6"/>
      <c r="J206" s="111"/>
      <c r="K206" s="111"/>
      <c r="L206" s="6"/>
      <c r="M206" s="6"/>
      <c r="N206" s="6"/>
      <c r="O206" s="6"/>
      <c r="P206" s="6"/>
      <c r="Q206" s="9"/>
    </row>
    <row r="207" spans="3:17" x14ac:dyDescent="0.3">
      <c r="C207" s="45"/>
      <c r="D207" s="5"/>
      <c r="E207" s="5"/>
      <c r="F207" s="6"/>
      <c r="G207" s="6"/>
      <c r="H207" s="6"/>
      <c r="I207" s="6"/>
      <c r="J207" s="111"/>
      <c r="K207" s="111"/>
      <c r="L207" s="6"/>
      <c r="M207" s="6"/>
      <c r="N207" s="6"/>
      <c r="O207" s="6"/>
      <c r="P207" s="6"/>
      <c r="Q207" s="9"/>
    </row>
    <row r="208" spans="3:17" x14ac:dyDescent="0.3">
      <c r="C208" s="45"/>
      <c r="D208" s="5"/>
      <c r="E208" s="5"/>
      <c r="F208" s="6"/>
      <c r="G208" s="6"/>
      <c r="H208" s="6"/>
      <c r="I208" s="6"/>
      <c r="J208" s="111"/>
      <c r="K208" s="111"/>
      <c r="L208" s="6"/>
      <c r="M208" s="6"/>
      <c r="N208" s="6"/>
      <c r="O208" s="6"/>
      <c r="P208" s="6"/>
      <c r="Q208" s="9"/>
    </row>
    <row r="209" spans="3:17" x14ac:dyDescent="0.3">
      <c r="C209" s="45"/>
      <c r="D209" s="5"/>
      <c r="E209" s="5"/>
      <c r="F209" s="6"/>
      <c r="G209" s="6"/>
      <c r="H209" s="6"/>
      <c r="I209" s="6"/>
      <c r="J209" s="111"/>
      <c r="K209" s="111"/>
      <c r="L209" s="6"/>
      <c r="M209" s="6"/>
      <c r="N209" s="6"/>
      <c r="O209" s="6"/>
      <c r="P209" s="6"/>
      <c r="Q209" s="9"/>
    </row>
    <row r="210" spans="3:17" x14ac:dyDescent="0.3">
      <c r="C210" s="45"/>
      <c r="D210" s="5"/>
      <c r="E210" s="5"/>
      <c r="F210" s="6"/>
      <c r="G210" s="6"/>
      <c r="H210" s="6"/>
      <c r="I210" s="6"/>
      <c r="J210" s="111"/>
      <c r="K210" s="111"/>
      <c r="L210" s="6"/>
      <c r="M210" s="6"/>
      <c r="N210" s="6"/>
      <c r="O210" s="6"/>
      <c r="P210" s="6"/>
      <c r="Q210" s="9"/>
    </row>
    <row r="211" spans="3:17" x14ac:dyDescent="0.3">
      <c r="C211" s="45"/>
      <c r="D211" s="5"/>
      <c r="E211" s="5"/>
      <c r="F211" s="6"/>
      <c r="G211" s="6"/>
      <c r="H211" s="6"/>
      <c r="I211" s="6"/>
      <c r="J211" s="111"/>
      <c r="K211" s="111"/>
      <c r="L211" s="6"/>
      <c r="M211" s="6"/>
      <c r="N211" s="6"/>
      <c r="O211" s="6"/>
      <c r="P211" s="6"/>
      <c r="Q211" s="9"/>
    </row>
    <row r="212" spans="3:17" x14ac:dyDescent="0.3">
      <c r="C212" s="45"/>
      <c r="D212" s="5"/>
      <c r="E212" s="5"/>
      <c r="F212" s="6"/>
      <c r="G212" s="6"/>
      <c r="H212" s="6"/>
      <c r="I212" s="6"/>
      <c r="J212" s="111"/>
      <c r="K212" s="111"/>
      <c r="L212" s="6"/>
      <c r="M212" s="6"/>
      <c r="N212" s="6"/>
      <c r="O212" s="6"/>
      <c r="P212" s="6"/>
      <c r="Q212" s="9"/>
    </row>
    <row r="213" spans="3:17" x14ac:dyDescent="0.3">
      <c r="C213" s="45"/>
      <c r="D213" s="5"/>
      <c r="E213" s="5"/>
      <c r="F213" s="6"/>
      <c r="G213" s="6"/>
      <c r="H213" s="6"/>
      <c r="I213" s="6"/>
      <c r="J213" s="111"/>
      <c r="K213" s="111"/>
      <c r="L213" s="6"/>
      <c r="M213" s="6"/>
      <c r="N213" s="6"/>
      <c r="O213" s="6"/>
      <c r="P213" s="6"/>
      <c r="Q213" s="9"/>
    </row>
    <row r="214" spans="3:17" x14ac:dyDescent="0.3">
      <c r="C214" s="45"/>
      <c r="D214" s="5"/>
      <c r="E214" s="5"/>
      <c r="F214" s="6"/>
      <c r="G214" s="6"/>
      <c r="H214" s="6"/>
      <c r="I214" s="6"/>
      <c r="J214" s="111"/>
      <c r="K214" s="111"/>
      <c r="L214" s="6"/>
      <c r="M214" s="6"/>
      <c r="N214" s="6"/>
      <c r="O214" s="6"/>
      <c r="P214" s="6"/>
      <c r="Q214" s="9"/>
    </row>
    <row r="215" spans="3:17" x14ac:dyDescent="0.3">
      <c r="C215" s="45"/>
      <c r="D215" s="5"/>
      <c r="E215" s="5"/>
      <c r="F215" s="6"/>
      <c r="G215" s="6"/>
      <c r="H215" s="6"/>
      <c r="I215" s="6"/>
      <c r="J215" s="111"/>
      <c r="K215" s="111"/>
      <c r="L215" s="6"/>
      <c r="M215" s="6"/>
      <c r="N215" s="6"/>
      <c r="O215" s="6"/>
      <c r="P215" s="6"/>
      <c r="Q215" s="9"/>
    </row>
    <row r="216" spans="3:17" x14ac:dyDescent="0.3">
      <c r="C216" s="45"/>
      <c r="D216" s="5"/>
      <c r="E216" s="5"/>
      <c r="F216" s="6"/>
      <c r="G216" s="6"/>
      <c r="H216" s="6"/>
      <c r="I216" s="6"/>
      <c r="J216" s="111"/>
      <c r="K216" s="111"/>
      <c r="L216" s="6"/>
      <c r="M216" s="6"/>
      <c r="N216" s="6"/>
      <c r="O216" s="6"/>
      <c r="P216" s="6"/>
      <c r="Q216" s="9"/>
    </row>
    <row r="217" spans="3:17" x14ac:dyDescent="0.3">
      <c r="C217" s="45"/>
      <c r="D217" s="5"/>
      <c r="E217" s="5"/>
      <c r="F217" s="6"/>
      <c r="G217" s="6"/>
      <c r="H217" s="6"/>
      <c r="I217" s="6"/>
      <c r="J217" s="111"/>
      <c r="K217" s="111"/>
      <c r="L217" s="6"/>
      <c r="M217" s="6"/>
      <c r="N217" s="6"/>
      <c r="O217" s="6"/>
      <c r="P217" s="6"/>
      <c r="Q217" s="9"/>
    </row>
    <row r="218" spans="3:17" x14ac:dyDescent="0.3">
      <c r="C218" s="45"/>
      <c r="D218" s="5"/>
      <c r="E218" s="5"/>
      <c r="F218" s="6"/>
      <c r="G218" s="6"/>
      <c r="H218" s="6"/>
      <c r="I218" s="6"/>
      <c r="J218" s="111"/>
      <c r="K218" s="111"/>
      <c r="L218" s="6"/>
      <c r="M218" s="6"/>
      <c r="N218" s="6"/>
      <c r="O218" s="6"/>
      <c r="P218" s="6"/>
      <c r="Q218" s="9"/>
    </row>
    <row r="219" spans="3:17" x14ac:dyDescent="0.3">
      <c r="C219" s="45"/>
      <c r="D219" s="5"/>
      <c r="E219" s="5"/>
      <c r="F219" s="6"/>
      <c r="G219" s="6"/>
      <c r="H219" s="6"/>
      <c r="I219" s="6"/>
      <c r="J219" s="111"/>
      <c r="K219" s="111"/>
      <c r="L219" s="6"/>
      <c r="M219" s="6"/>
      <c r="N219" s="6"/>
      <c r="O219" s="6"/>
      <c r="P219" s="6"/>
      <c r="Q219" s="9"/>
    </row>
    <row r="220" spans="3:17" x14ac:dyDescent="0.3">
      <c r="C220" s="45"/>
      <c r="D220" s="5"/>
      <c r="E220" s="5"/>
      <c r="F220" s="6"/>
      <c r="G220" s="6"/>
      <c r="H220" s="6"/>
      <c r="I220" s="6"/>
      <c r="J220" s="111"/>
      <c r="K220" s="111"/>
      <c r="L220" s="6"/>
      <c r="M220" s="6"/>
      <c r="N220" s="6"/>
      <c r="O220" s="6"/>
      <c r="P220" s="6"/>
      <c r="Q220" s="9"/>
    </row>
    <row r="221" spans="3:17" x14ac:dyDescent="0.3">
      <c r="C221" s="45"/>
      <c r="D221" s="5"/>
      <c r="E221" s="5"/>
      <c r="F221" s="6"/>
      <c r="G221" s="6"/>
      <c r="H221" s="6"/>
      <c r="I221" s="6"/>
      <c r="J221" s="111"/>
      <c r="K221" s="111"/>
      <c r="L221" s="6"/>
      <c r="M221" s="6"/>
      <c r="N221" s="6"/>
      <c r="O221" s="6"/>
      <c r="P221" s="6"/>
      <c r="Q221" s="9"/>
    </row>
    <row r="222" spans="3:17" x14ac:dyDescent="0.3">
      <c r="C222" s="45"/>
      <c r="D222" s="5"/>
      <c r="E222" s="5"/>
      <c r="F222" s="6"/>
      <c r="G222" s="6"/>
      <c r="H222" s="6"/>
      <c r="I222" s="6"/>
      <c r="J222" s="111"/>
      <c r="K222" s="111"/>
      <c r="L222" s="6"/>
      <c r="M222" s="6"/>
      <c r="N222" s="6"/>
      <c r="O222" s="6"/>
      <c r="P222" s="6"/>
      <c r="Q222" s="9"/>
    </row>
    <row r="223" spans="3:17" x14ac:dyDescent="0.3">
      <c r="C223" s="45"/>
      <c r="D223" s="5"/>
      <c r="E223" s="5"/>
      <c r="F223" s="6"/>
      <c r="G223" s="6"/>
      <c r="H223" s="6"/>
      <c r="I223" s="6"/>
      <c r="J223" s="111"/>
      <c r="K223" s="111"/>
      <c r="L223" s="6"/>
      <c r="M223" s="6"/>
      <c r="N223" s="6"/>
      <c r="O223" s="6"/>
      <c r="P223" s="6"/>
      <c r="Q223" s="9"/>
    </row>
    <row r="224" spans="3:17" x14ac:dyDescent="0.3">
      <c r="C224" s="45"/>
      <c r="D224" s="5"/>
      <c r="E224" s="5"/>
      <c r="F224" s="6"/>
      <c r="G224" s="6"/>
      <c r="H224" s="6"/>
      <c r="I224" s="6"/>
      <c r="J224" s="111"/>
      <c r="K224" s="111"/>
      <c r="L224" s="6"/>
      <c r="M224" s="6"/>
      <c r="N224" s="6"/>
      <c r="O224" s="6"/>
      <c r="P224" s="6"/>
      <c r="Q224" s="9"/>
    </row>
    <row r="225" spans="3:17" x14ac:dyDescent="0.3">
      <c r="C225" s="45"/>
      <c r="D225" s="5"/>
      <c r="E225" s="5"/>
      <c r="F225" s="6"/>
      <c r="G225" s="6"/>
      <c r="H225" s="6"/>
      <c r="I225" s="6"/>
      <c r="J225" s="111"/>
      <c r="K225" s="111"/>
      <c r="L225" s="6"/>
      <c r="M225" s="6"/>
      <c r="N225" s="6"/>
      <c r="O225" s="6"/>
      <c r="P225" s="6"/>
      <c r="Q225" s="9"/>
    </row>
    <row r="226" spans="3:17" x14ac:dyDescent="0.3">
      <c r="C226" s="45"/>
      <c r="D226" s="5"/>
      <c r="E226" s="5"/>
      <c r="F226" s="6"/>
      <c r="G226" s="6"/>
      <c r="H226" s="6"/>
      <c r="I226" s="6"/>
      <c r="J226" s="111"/>
      <c r="K226" s="111"/>
      <c r="L226" s="6"/>
      <c r="M226" s="6"/>
      <c r="N226" s="6"/>
      <c r="O226" s="6"/>
      <c r="P226" s="6"/>
      <c r="Q226" s="9"/>
    </row>
    <row r="227" spans="3:17" x14ac:dyDescent="0.3">
      <c r="C227" s="45"/>
      <c r="D227" s="5"/>
      <c r="E227" s="5"/>
      <c r="F227" s="6"/>
      <c r="G227" s="6"/>
      <c r="H227" s="6"/>
      <c r="I227" s="6"/>
      <c r="J227" s="111"/>
      <c r="K227" s="111"/>
      <c r="L227" s="6"/>
      <c r="M227" s="6"/>
      <c r="N227" s="6"/>
      <c r="O227" s="6"/>
      <c r="P227" s="6"/>
      <c r="Q227" s="9"/>
    </row>
    <row r="228" spans="3:17" x14ac:dyDescent="0.3">
      <c r="C228" s="45"/>
      <c r="D228" s="5"/>
      <c r="E228" s="5"/>
      <c r="F228" s="6"/>
      <c r="G228" s="6"/>
      <c r="H228" s="6"/>
      <c r="I228" s="6"/>
      <c r="J228" s="111"/>
      <c r="K228" s="111"/>
      <c r="L228" s="6"/>
      <c r="M228" s="6"/>
      <c r="N228" s="6"/>
      <c r="O228" s="6"/>
      <c r="P228" s="6"/>
      <c r="Q228" s="9"/>
    </row>
    <row r="229" spans="3:17" x14ac:dyDescent="0.3">
      <c r="C229" s="45"/>
      <c r="D229" s="5"/>
      <c r="E229" s="5"/>
      <c r="F229" s="6"/>
      <c r="G229" s="6"/>
      <c r="H229" s="6"/>
      <c r="I229" s="6"/>
      <c r="J229" s="111"/>
      <c r="K229" s="111"/>
      <c r="L229" s="6"/>
      <c r="M229" s="6"/>
      <c r="N229" s="6"/>
      <c r="O229" s="6"/>
      <c r="P229" s="6"/>
      <c r="Q229" s="9"/>
    </row>
    <row r="230" spans="3:17" x14ac:dyDescent="0.3">
      <c r="C230" s="45"/>
      <c r="D230" s="5"/>
      <c r="E230" s="5"/>
      <c r="F230" s="6"/>
      <c r="G230" s="6"/>
      <c r="H230" s="6"/>
      <c r="I230" s="6"/>
      <c r="J230" s="111"/>
      <c r="K230" s="111"/>
      <c r="L230" s="6"/>
      <c r="M230" s="6"/>
      <c r="N230" s="6"/>
      <c r="O230" s="6"/>
      <c r="P230" s="6"/>
      <c r="Q230" s="9"/>
    </row>
    <row r="231" spans="3:17" x14ac:dyDescent="0.3">
      <c r="C231" s="45"/>
      <c r="D231" s="5"/>
      <c r="E231" s="5"/>
      <c r="F231" s="6"/>
      <c r="G231" s="6"/>
      <c r="H231" s="6"/>
      <c r="I231" s="6"/>
      <c r="J231" s="111"/>
      <c r="K231" s="111"/>
      <c r="L231" s="6"/>
      <c r="M231" s="6"/>
      <c r="N231" s="6"/>
      <c r="O231" s="6"/>
      <c r="P231" s="6"/>
      <c r="Q231" s="9"/>
    </row>
    <row r="232" spans="3:17" x14ac:dyDescent="0.3">
      <c r="C232" s="45"/>
      <c r="D232" s="5"/>
      <c r="E232" s="5"/>
      <c r="F232" s="6"/>
      <c r="G232" s="6"/>
      <c r="H232" s="6"/>
      <c r="I232" s="6"/>
      <c r="J232" s="111"/>
      <c r="K232" s="111"/>
      <c r="L232" s="6"/>
      <c r="M232" s="6"/>
      <c r="N232" s="6"/>
      <c r="O232" s="6"/>
      <c r="P232" s="6"/>
      <c r="Q232" s="9"/>
    </row>
    <row r="233" spans="3:17" x14ac:dyDescent="0.3">
      <c r="C233" s="45"/>
      <c r="D233" s="5"/>
      <c r="E233" s="5"/>
      <c r="F233" s="6"/>
      <c r="G233" s="6"/>
      <c r="H233" s="6"/>
      <c r="I233" s="6"/>
      <c r="J233" s="111"/>
      <c r="K233" s="111"/>
      <c r="L233" s="6"/>
      <c r="M233" s="6"/>
      <c r="N233" s="6"/>
      <c r="O233" s="6"/>
      <c r="P233" s="6"/>
      <c r="Q233" s="9"/>
    </row>
    <row r="234" spans="3:17" x14ac:dyDescent="0.3">
      <c r="C234" s="45"/>
      <c r="D234" s="5"/>
      <c r="E234" s="5"/>
      <c r="F234" s="6"/>
      <c r="G234" s="6"/>
      <c r="H234" s="6"/>
      <c r="I234" s="6"/>
      <c r="J234" s="111"/>
      <c r="K234" s="111"/>
      <c r="L234" s="6"/>
      <c r="M234" s="6"/>
      <c r="N234" s="6"/>
      <c r="O234" s="6"/>
      <c r="P234" s="6"/>
      <c r="Q234" s="9"/>
    </row>
    <row r="235" spans="3:17" x14ac:dyDescent="0.3">
      <c r="C235" s="45"/>
      <c r="D235" s="5"/>
      <c r="E235" s="5"/>
      <c r="F235" s="6"/>
      <c r="G235" s="6"/>
      <c r="H235" s="6"/>
      <c r="I235" s="6"/>
      <c r="J235" s="111"/>
      <c r="K235" s="111"/>
      <c r="L235" s="6"/>
      <c r="M235" s="6"/>
      <c r="N235" s="6"/>
      <c r="O235" s="6"/>
      <c r="P235" s="6"/>
      <c r="Q235" s="9"/>
    </row>
    <row r="236" spans="3:17" x14ac:dyDescent="0.3">
      <c r="C236" s="45"/>
      <c r="D236" s="5"/>
      <c r="E236" s="5"/>
      <c r="F236" s="6"/>
      <c r="G236" s="6"/>
      <c r="H236" s="6"/>
      <c r="I236" s="6"/>
      <c r="J236" s="111"/>
      <c r="K236" s="111"/>
      <c r="L236" s="6"/>
      <c r="M236" s="6"/>
      <c r="N236" s="6"/>
      <c r="O236" s="6"/>
      <c r="P236" s="6"/>
      <c r="Q236" s="9"/>
    </row>
    <row r="237" spans="3:17" x14ac:dyDescent="0.3">
      <c r="C237" s="45"/>
      <c r="D237" s="5"/>
      <c r="E237" s="5"/>
      <c r="F237" s="6"/>
      <c r="G237" s="6"/>
      <c r="H237" s="6"/>
      <c r="I237" s="6"/>
      <c r="J237" s="111"/>
      <c r="K237" s="111"/>
      <c r="L237" s="6"/>
      <c r="M237" s="6"/>
      <c r="N237" s="6"/>
      <c r="O237" s="6"/>
      <c r="P237" s="6"/>
      <c r="Q237" s="9"/>
    </row>
    <row r="238" spans="3:17" x14ac:dyDescent="0.3">
      <c r="C238" s="45"/>
      <c r="D238" s="5"/>
      <c r="E238" s="5"/>
      <c r="F238" s="6"/>
      <c r="G238" s="6"/>
      <c r="H238" s="6"/>
      <c r="I238" s="6"/>
      <c r="J238" s="111"/>
      <c r="K238" s="111"/>
      <c r="L238" s="6"/>
      <c r="M238" s="6"/>
      <c r="N238" s="6"/>
      <c r="O238" s="6"/>
      <c r="P238" s="6"/>
      <c r="Q238" s="9"/>
    </row>
    <row r="239" spans="3:17" x14ac:dyDescent="0.3">
      <c r="C239" s="45"/>
      <c r="D239" s="5"/>
      <c r="E239" s="5"/>
      <c r="F239" s="6"/>
      <c r="G239" s="6"/>
      <c r="H239" s="6"/>
      <c r="I239" s="6"/>
      <c r="J239" s="111"/>
      <c r="K239" s="111"/>
      <c r="L239" s="6"/>
      <c r="M239" s="6"/>
      <c r="N239" s="6"/>
      <c r="O239" s="6"/>
      <c r="P239" s="6"/>
      <c r="Q239" s="9"/>
    </row>
    <row r="240" spans="3:17" x14ac:dyDescent="0.3">
      <c r="C240" s="45"/>
      <c r="D240" s="5"/>
      <c r="E240" s="5"/>
      <c r="F240" s="6"/>
      <c r="G240" s="6"/>
      <c r="H240" s="6"/>
      <c r="I240" s="6"/>
      <c r="J240" s="111"/>
      <c r="K240" s="111"/>
      <c r="L240" s="6"/>
      <c r="M240" s="6"/>
      <c r="N240" s="6"/>
      <c r="O240" s="6"/>
      <c r="P240" s="6"/>
      <c r="Q240" s="9"/>
    </row>
    <row r="241" spans="3:17" x14ac:dyDescent="0.3">
      <c r="C241" s="45"/>
      <c r="D241" s="5"/>
      <c r="E241" s="5"/>
      <c r="F241" s="6"/>
      <c r="G241" s="6"/>
      <c r="H241" s="6"/>
      <c r="I241" s="6"/>
      <c r="J241" s="111"/>
      <c r="K241" s="111"/>
      <c r="L241" s="6"/>
      <c r="M241" s="6"/>
      <c r="N241" s="6"/>
      <c r="O241" s="6"/>
      <c r="P241" s="6"/>
      <c r="Q241" s="9"/>
    </row>
    <row r="242" spans="3:17" x14ac:dyDescent="0.3">
      <c r="C242" s="45"/>
      <c r="D242" s="5"/>
      <c r="E242" s="5"/>
      <c r="F242" s="6"/>
      <c r="G242" s="6"/>
      <c r="H242" s="6"/>
      <c r="I242" s="6"/>
      <c r="J242" s="111"/>
      <c r="K242" s="111"/>
      <c r="L242" s="6"/>
      <c r="M242" s="6"/>
      <c r="N242" s="6"/>
      <c r="O242" s="6"/>
      <c r="P242" s="6"/>
      <c r="Q242" s="9"/>
    </row>
    <row r="243" spans="3:17" x14ac:dyDescent="0.3">
      <c r="C243" s="45"/>
      <c r="D243" s="5"/>
      <c r="E243" s="5"/>
      <c r="F243" s="6"/>
      <c r="G243" s="6"/>
      <c r="H243" s="6"/>
      <c r="I243" s="6"/>
      <c r="J243" s="111"/>
      <c r="K243" s="111"/>
      <c r="L243" s="6"/>
      <c r="M243" s="6"/>
      <c r="N243" s="6"/>
      <c r="O243" s="6"/>
      <c r="P243" s="6"/>
      <c r="Q243" s="9"/>
    </row>
    <row r="244" spans="3:17" x14ac:dyDescent="0.3">
      <c r="C244" s="45"/>
      <c r="D244" s="5"/>
      <c r="E244" s="5"/>
      <c r="F244" s="6"/>
      <c r="G244" s="6"/>
      <c r="H244" s="6"/>
      <c r="I244" s="6"/>
      <c r="J244" s="111"/>
      <c r="K244" s="111"/>
      <c r="L244" s="6"/>
      <c r="M244" s="6"/>
      <c r="N244" s="6"/>
      <c r="O244" s="6"/>
      <c r="P244" s="6"/>
      <c r="Q244" s="9"/>
    </row>
    <row r="245" spans="3:17" x14ac:dyDescent="0.3">
      <c r="C245" s="45"/>
      <c r="D245" s="5"/>
      <c r="E245" s="5"/>
      <c r="F245" s="6"/>
      <c r="G245" s="6"/>
      <c r="H245" s="6"/>
      <c r="I245" s="6"/>
      <c r="J245" s="111"/>
      <c r="K245" s="111"/>
      <c r="L245" s="6"/>
      <c r="M245" s="6"/>
      <c r="N245" s="6"/>
      <c r="O245" s="6"/>
      <c r="P245" s="6"/>
      <c r="Q245" s="9"/>
    </row>
    <row r="246" spans="3:17" x14ac:dyDescent="0.3">
      <c r="C246" s="45"/>
      <c r="D246" s="5"/>
      <c r="E246" s="5"/>
      <c r="F246" s="6"/>
      <c r="G246" s="6"/>
      <c r="H246" s="6"/>
      <c r="I246" s="6"/>
      <c r="J246" s="111"/>
      <c r="K246" s="111"/>
      <c r="L246" s="6"/>
      <c r="M246" s="6"/>
      <c r="N246" s="6"/>
      <c r="O246" s="6"/>
      <c r="P246" s="6"/>
      <c r="Q246" s="9"/>
    </row>
    <row r="247" spans="3:17" x14ac:dyDescent="0.3">
      <c r="C247" s="45"/>
      <c r="D247" s="5"/>
      <c r="E247" s="5"/>
      <c r="F247" s="6"/>
      <c r="G247" s="6"/>
      <c r="H247" s="6"/>
      <c r="I247" s="6"/>
      <c r="J247" s="111"/>
      <c r="K247" s="111"/>
      <c r="L247" s="6"/>
      <c r="M247" s="6"/>
      <c r="N247" s="6"/>
      <c r="O247" s="6"/>
      <c r="P247" s="6"/>
      <c r="Q247" s="9"/>
    </row>
    <row r="248" spans="3:17" x14ac:dyDescent="0.3">
      <c r="C248" s="45"/>
      <c r="D248" s="5"/>
      <c r="E248" s="5"/>
      <c r="F248" s="6"/>
      <c r="G248" s="6"/>
      <c r="H248" s="6"/>
      <c r="I248" s="6"/>
      <c r="J248" s="111"/>
      <c r="K248" s="111"/>
      <c r="L248" s="6"/>
      <c r="M248" s="6"/>
      <c r="N248" s="6"/>
      <c r="O248" s="6"/>
      <c r="P248" s="6"/>
      <c r="Q248" s="9"/>
    </row>
    <row r="249" spans="3:17" x14ac:dyDescent="0.3">
      <c r="C249" s="45"/>
      <c r="D249" s="5"/>
      <c r="E249" s="5"/>
      <c r="F249" s="6"/>
      <c r="G249" s="6"/>
      <c r="H249" s="6"/>
      <c r="I249" s="6"/>
      <c r="J249" s="111"/>
      <c r="K249" s="111"/>
      <c r="L249" s="6"/>
      <c r="M249" s="6"/>
      <c r="N249" s="6"/>
      <c r="O249" s="6"/>
      <c r="P249" s="6"/>
      <c r="Q249" s="9"/>
    </row>
    <row r="250" spans="3:17" x14ac:dyDescent="0.3">
      <c r="C250" s="45"/>
      <c r="D250" s="5"/>
      <c r="E250" s="5"/>
      <c r="F250" s="6"/>
      <c r="G250" s="6"/>
      <c r="H250" s="6"/>
      <c r="I250" s="6"/>
      <c r="J250" s="111"/>
      <c r="K250" s="111"/>
      <c r="L250" s="6"/>
      <c r="M250" s="6"/>
      <c r="N250" s="6"/>
      <c r="O250" s="6"/>
      <c r="P250" s="6"/>
      <c r="Q250" s="9"/>
    </row>
    <row r="251" spans="3:17" x14ac:dyDescent="0.3">
      <c r="C251" s="45"/>
      <c r="D251" s="5"/>
      <c r="E251" s="5"/>
      <c r="F251" s="6"/>
      <c r="G251" s="6"/>
      <c r="H251" s="6"/>
      <c r="I251" s="6"/>
      <c r="J251" s="111"/>
      <c r="K251" s="111"/>
      <c r="L251" s="6"/>
      <c r="M251" s="6"/>
      <c r="N251" s="6"/>
      <c r="O251" s="6"/>
      <c r="P251" s="6"/>
      <c r="Q251" s="9"/>
    </row>
    <row r="252" spans="3:17" x14ac:dyDescent="0.3">
      <c r="C252" s="45"/>
      <c r="D252" s="5"/>
      <c r="E252" s="5"/>
      <c r="F252" s="6"/>
      <c r="G252" s="6"/>
      <c r="H252" s="6"/>
      <c r="I252" s="6"/>
      <c r="J252" s="111"/>
      <c r="K252" s="111"/>
      <c r="L252" s="6"/>
      <c r="M252" s="6"/>
      <c r="N252" s="6"/>
      <c r="O252" s="6"/>
      <c r="P252" s="6"/>
      <c r="Q252" s="9"/>
    </row>
    <row r="253" spans="3:17" x14ac:dyDescent="0.3">
      <c r="C253" s="45"/>
      <c r="D253" s="5"/>
      <c r="E253" s="5"/>
      <c r="F253" s="6"/>
      <c r="G253" s="6"/>
      <c r="H253" s="6"/>
      <c r="I253" s="6"/>
      <c r="J253" s="111"/>
      <c r="K253" s="111"/>
      <c r="L253" s="6"/>
      <c r="M253" s="6"/>
      <c r="N253" s="6"/>
      <c r="O253" s="6"/>
      <c r="P253" s="6"/>
      <c r="Q253" s="9"/>
    </row>
    <row r="254" spans="3:17" x14ac:dyDescent="0.3">
      <c r="C254" s="45"/>
      <c r="D254" s="5"/>
      <c r="E254" s="5"/>
      <c r="F254" s="6"/>
      <c r="G254" s="6"/>
      <c r="H254" s="6"/>
      <c r="I254" s="6"/>
      <c r="J254" s="111"/>
      <c r="K254" s="111"/>
      <c r="L254" s="6"/>
      <c r="M254" s="6"/>
      <c r="N254" s="6"/>
      <c r="O254" s="6"/>
      <c r="P254" s="6"/>
      <c r="Q254" s="9"/>
    </row>
    <row r="255" spans="3:17" x14ac:dyDescent="0.3">
      <c r="C255" s="45"/>
      <c r="D255" s="5"/>
      <c r="E255" s="5"/>
      <c r="F255" s="6"/>
      <c r="G255" s="6"/>
      <c r="H255" s="6"/>
      <c r="I255" s="6"/>
      <c r="J255" s="111"/>
      <c r="K255" s="111"/>
      <c r="L255" s="6"/>
      <c r="M255" s="6"/>
      <c r="N255" s="6"/>
      <c r="O255" s="6"/>
      <c r="P255" s="6"/>
      <c r="Q255" s="9"/>
    </row>
    <row r="256" spans="3:17" x14ac:dyDescent="0.3">
      <c r="C256" s="45"/>
      <c r="D256" s="5"/>
      <c r="E256" s="5"/>
      <c r="F256" s="6"/>
      <c r="G256" s="6"/>
      <c r="H256" s="6"/>
      <c r="I256" s="6"/>
      <c r="J256" s="111"/>
      <c r="K256" s="111"/>
      <c r="L256" s="6"/>
      <c r="M256" s="6"/>
      <c r="N256" s="6"/>
      <c r="O256" s="6"/>
      <c r="P256" s="6"/>
      <c r="Q256" s="9"/>
    </row>
    <row r="257" spans="3:17" x14ac:dyDescent="0.3">
      <c r="C257" s="45"/>
      <c r="D257" s="5"/>
      <c r="E257" s="5"/>
      <c r="F257" s="6"/>
      <c r="G257" s="6"/>
      <c r="H257" s="6"/>
      <c r="I257" s="6"/>
      <c r="J257" s="111"/>
      <c r="K257" s="111"/>
      <c r="L257" s="6"/>
      <c r="M257" s="6"/>
      <c r="N257" s="6"/>
      <c r="O257" s="6"/>
      <c r="P257" s="6"/>
      <c r="Q257" s="9"/>
    </row>
    <row r="258" spans="3:17" x14ac:dyDescent="0.3">
      <c r="C258" s="45"/>
      <c r="D258" s="5"/>
      <c r="E258" s="5"/>
      <c r="F258" s="6"/>
      <c r="G258" s="6"/>
      <c r="H258" s="6"/>
      <c r="I258" s="6"/>
      <c r="J258" s="111"/>
      <c r="K258" s="111"/>
      <c r="L258" s="6"/>
      <c r="M258" s="6"/>
      <c r="N258" s="6"/>
      <c r="O258" s="6"/>
      <c r="P258" s="6"/>
      <c r="Q258" s="9"/>
    </row>
    <row r="259" spans="3:17" x14ac:dyDescent="0.3">
      <c r="C259" s="45"/>
      <c r="D259" s="5"/>
      <c r="E259" s="5"/>
      <c r="F259" s="6"/>
      <c r="G259" s="6"/>
      <c r="H259" s="6"/>
      <c r="I259" s="6"/>
      <c r="J259" s="111"/>
      <c r="K259" s="111"/>
      <c r="L259" s="6"/>
      <c r="M259" s="6"/>
      <c r="N259" s="6"/>
      <c r="O259" s="6"/>
      <c r="P259" s="6"/>
      <c r="Q259" s="9"/>
    </row>
    <row r="260" spans="3:17" x14ac:dyDescent="0.3">
      <c r="C260" s="45"/>
      <c r="D260" s="5"/>
      <c r="E260" s="5"/>
      <c r="F260" s="6"/>
      <c r="G260" s="6"/>
      <c r="H260" s="6"/>
      <c r="I260" s="6"/>
      <c r="J260" s="111"/>
      <c r="K260" s="111"/>
      <c r="L260" s="6"/>
      <c r="M260" s="6"/>
      <c r="N260" s="6"/>
      <c r="O260" s="6"/>
      <c r="P260" s="6"/>
      <c r="Q260" s="9"/>
    </row>
    <row r="261" spans="3:17" x14ac:dyDescent="0.3">
      <c r="C261" s="45"/>
      <c r="D261" s="5"/>
      <c r="E261" s="5"/>
      <c r="F261" s="6"/>
      <c r="G261" s="6"/>
      <c r="H261" s="6"/>
      <c r="I261" s="6"/>
      <c r="J261" s="111"/>
      <c r="K261" s="111"/>
      <c r="L261" s="6"/>
      <c r="M261" s="6"/>
      <c r="N261" s="6"/>
      <c r="O261" s="6"/>
      <c r="P261" s="6"/>
      <c r="Q261" s="9"/>
    </row>
    <row r="262" spans="3:17" x14ac:dyDescent="0.3">
      <c r="C262" s="45"/>
      <c r="D262" s="5"/>
      <c r="E262" s="5"/>
      <c r="F262" s="6"/>
      <c r="G262" s="6"/>
      <c r="H262" s="6"/>
      <c r="I262" s="6"/>
      <c r="J262" s="111"/>
      <c r="K262" s="111"/>
      <c r="L262" s="6"/>
      <c r="M262" s="6"/>
      <c r="N262" s="6"/>
      <c r="O262" s="6"/>
      <c r="P262" s="6"/>
      <c r="Q262" s="9"/>
    </row>
    <row r="263" spans="3:17" x14ac:dyDescent="0.3">
      <c r="C263" s="45"/>
      <c r="D263" s="5"/>
      <c r="E263" s="5"/>
      <c r="F263" s="6"/>
      <c r="G263" s="6"/>
      <c r="H263" s="6"/>
      <c r="I263" s="6"/>
      <c r="J263" s="111"/>
      <c r="K263" s="111"/>
      <c r="L263" s="6"/>
      <c r="M263" s="6"/>
      <c r="N263" s="6"/>
      <c r="O263" s="6"/>
      <c r="P263" s="6"/>
      <c r="Q263" s="9"/>
    </row>
    <row r="264" spans="3:17" x14ac:dyDescent="0.3">
      <c r="C264" s="45"/>
      <c r="D264" s="5"/>
      <c r="E264" s="5"/>
      <c r="F264" s="6"/>
      <c r="G264" s="6"/>
      <c r="H264" s="6"/>
      <c r="I264" s="6"/>
      <c r="J264" s="111"/>
      <c r="K264" s="111"/>
      <c r="L264" s="6"/>
      <c r="M264" s="6"/>
      <c r="N264" s="6"/>
      <c r="O264" s="6"/>
      <c r="P264" s="6"/>
      <c r="Q264" s="9"/>
    </row>
    <row r="265" spans="3:17" x14ac:dyDescent="0.3">
      <c r="C265" s="45"/>
      <c r="D265" s="5"/>
      <c r="E265" s="5"/>
      <c r="F265" s="6"/>
      <c r="G265" s="6"/>
      <c r="H265" s="6"/>
      <c r="I265" s="6"/>
      <c r="J265" s="111"/>
      <c r="K265" s="111"/>
      <c r="L265" s="6"/>
      <c r="M265" s="6"/>
      <c r="N265" s="6"/>
      <c r="O265" s="6"/>
      <c r="P265" s="6"/>
      <c r="Q265" s="9"/>
    </row>
    <row r="266" spans="3:17" x14ac:dyDescent="0.3">
      <c r="C266" s="45"/>
      <c r="D266" s="5"/>
      <c r="E266" s="5"/>
      <c r="F266" s="6"/>
      <c r="G266" s="6"/>
      <c r="H266" s="6"/>
      <c r="I266" s="6"/>
      <c r="J266" s="111"/>
      <c r="K266" s="111"/>
      <c r="L266" s="6"/>
      <c r="M266" s="6"/>
      <c r="N266" s="6"/>
      <c r="O266" s="6"/>
      <c r="P266" s="6"/>
      <c r="Q266" s="9"/>
    </row>
    <row r="267" spans="3:17" x14ac:dyDescent="0.3">
      <c r="C267" s="45"/>
      <c r="D267" s="5"/>
      <c r="E267" s="5"/>
      <c r="F267" s="6"/>
      <c r="G267" s="6"/>
      <c r="H267" s="6"/>
      <c r="I267" s="6"/>
      <c r="J267" s="111"/>
      <c r="K267" s="111"/>
      <c r="L267" s="6"/>
      <c r="M267" s="6"/>
      <c r="N267" s="6"/>
      <c r="O267" s="6"/>
      <c r="P267" s="6"/>
      <c r="Q267" s="9"/>
    </row>
    <row r="268" spans="3:17" x14ac:dyDescent="0.3">
      <c r="C268" s="45"/>
      <c r="D268" s="5"/>
      <c r="E268" s="5"/>
      <c r="F268" s="6"/>
      <c r="G268" s="6"/>
      <c r="H268" s="6"/>
      <c r="I268" s="6"/>
      <c r="J268" s="111"/>
      <c r="K268" s="111"/>
      <c r="L268" s="6"/>
      <c r="M268" s="6"/>
      <c r="N268" s="6"/>
      <c r="O268" s="6"/>
      <c r="P268" s="6"/>
      <c r="Q268" s="9"/>
    </row>
    <row r="269" spans="3:17" x14ac:dyDescent="0.3">
      <c r="C269" s="45"/>
      <c r="D269" s="5"/>
      <c r="E269" s="5"/>
      <c r="F269" s="6"/>
      <c r="G269" s="6"/>
      <c r="H269" s="6"/>
      <c r="I269" s="6"/>
      <c r="J269" s="111"/>
      <c r="K269" s="111"/>
      <c r="L269" s="6"/>
      <c r="M269" s="6"/>
      <c r="N269" s="6"/>
      <c r="O269" s="6"/>
      <c r="P269" s="6"/>
      <c r="Q269" s="9"/>
    </row>
    <row r="270" spans="3:17" x14ac:dyDescent="0.3">
      <c r="C270" s="45"/>
      <c r="D270" s="5"/>
      <c r="E270" s="5"/>
      <c r="F270" s="6"/>
      <c r="G270" s="6"/>
      <c r="H270" s="6"/>
      <c r="I270" s="6"/>
      <c r="J270" s="111"/>
      <c r="K270" s="111"/>
      <c r="L270" s="6"/>
      <c r="M270" s="6"/>
      <c r="N270" s="6"/>
      <c r="O270" s="6"/>
      <c r="P270" s="6"/>
      <c r="Q270" s="9"/>
    </row>
    <row r="271" spans="3:17" x14ac:dyDescent="0.3">
      <c r="C271" s="45"/>
      <c r="D271" s="5"/>
      <c r="E271" s="5"/>
      <c r="F271" s="6"/>
      <c r="G271" s="6"/>
      <c r="H271" s="6"/>
      <c r="I271" s="6"/>
      <c r="J271" s="111"/>
      <c r="K271" s="111"/>
      <c r="L271" s="6"/>
      <c r="M271" s="6"/>
      <c r="N271" s="6"/>
      <c r="O271" s="6"/>
      <c r="P271" s="6"/>
      <c r="Q271" s="9"/>
    </row>
    <row r="272" spans="3:17" x14ac:dyDescent="0.3">
      <c r="C272" s="45"/>
      <c r="D272" s="5"/>
      <c r="E272" s="5"/>
      <c r="F272" s="6"/>
      <c r="G272" s="6"/>
      <c r="H272" s="6"/>
      <c r="I272" s="6"/>
      <c r="J272" s="111"/>
      <c r="K272" s="111"/>
      <c r="L272" s="6"/>
      <c r="M272" s="6"/>
      <c r="N272" s="6"/>
      <c r="O272" s="6"/>
      <c r="P272" s="6"/>
      <c r="Q272" s="9"/>
    </row>
    <row r="273" spans="3:17" x14ac:dyDescent="0.3">
      <c r="C273" s="45"/>
      <c r="D273" s="5"/>
      <c r="E273" s="5"/>
      <c r="F273" s="6"/>
      <c r="G273" s="6"/>
      <c r="H273" s="6"/>
      <c r="I273" s="6"/>
      <c r="J273" s="111"/>
      <c r="K273" s="111"/>
      <c r="L273" s="6"/>
      <c r="M273" s="6"/>
      <c r="N273" s="6"/>
      <c r="O273" s="6"/>
      <c r="P273" s="6"/>
      <c r="Q273" s="9"/>
    </row>
    <row r="274" spans="3:17" x14ac:dyDescent="0.3">
      <c r="C274" s="45"/>
      <c r="D274" s="5"/>
      <c r="E274" s="5"/>
      <c r="F274" s="6"/>
      <c r="G274" s="6"/>
      <c r="H274" s="6"/>
      <c r="I274" s="6"/>
      <c r="J274" s="111"/>
      <c r="K274" s="111"/>
      <c r="L274" s="6"/>
      <c r="M274" s="6"/>
      <c r="N274" s="6"/>
      <c r="O274" s="6"/>
      <c r="P274" s="6"/>
      <c r="Q274" s="9"/>
    </row>
    <row r="275" spans="3:17" x14ac:dyDescent="0.3">
      <c r="C275" s="45"/>
      <c r="D275" s="5"/>
      <c r="E275" s="5"/>
      <c r="F275" s="6"/>
      <c r="G275" s="6"/>
      <c r="H275" s="6"/>
      <c r="I275" s="6"/>
      <c r="J275" s="111"/>
      <c r="K275" s="111"/>
      <c r="L275" s="6"/>
      <c r="M275" s="6"/>
      <c r="N275" s="6"/>
      <c r="O275" s="6"/>
      <c r="P275" s="6"/>
      <c r="Q275" s="9"/>
    </row>
    <row r="276" spans="3:17" x14ac:dyDescent="0.3">
      <c r="C276" s="45"/>
      <c r="D276" s="5"/>
      <c r="E276" s="5"/>
      <c r="F276" s="6"/>
      <c r="G276" s="6"/>
      <c r="H276" s="6"/>
      <c r="I276" s="6"/>
      <c r="J276" s="111"/>
      <c r="K276" s="111"/>
      <c r="L276" s="6"/>
      <c r="M276" s="6"/>
      <c r="N276" s="6"/>
      <c r="O276" s="6"/>
      <c r="P276" s="6"/>
      <c r="Q276" s="9"/>
    </row>
    <row r="277" spans="3:17" x14ac:dyDescent="0.3">
      <c r="C277" s="45"/>
      <c r="D277" s="5"/>
      <c r="E277" s="5"/>
      <c r="F277" s="6"/>
      <c r="G277" s="6"/>
      <c r="H277" s="6"/>
      <c r="I277" s="6"/>
      <c r="J277" s="111"/>
      <c r="K277" s="111"/>
      <c r="L277" s="6"/>
      <c r="M277" s="6"/>
      <c r="N277" s="6"/>
      <c r="O277" s="6"/>
      <c r="P277" s="6"/>
      <c r="Q277" s="9"/>
    </row>
    <row r="278" spans="3:17" x14ac:dyDescent="0.3">
      <c r="C278" s="45"/>
      <c r="D278" s="5"/>
      <c r="E278" s="5"/>
      <c r="F278" s="6"/>
      <c r="G278" s="6"/>
      <c r="H278" s="6"/>
      <c r="I278" s="6"/>
      <c r="J278" s="111"/>
      <c r="K278" s="111"/>
      <c r="L278" s="6"/>
      <c r="M278" s="6"/>
      <c r="N278" s="6"/>
      <c r="O278" s="6"/>
      <c r="P278" s="6"/>
      <c r="Q278" s="9"/>
    </row>
    <row r="279" spans="3:17" x14ac:dyDescent="0.3">
      <c r="C279" s="45"/>
      <c r="D279" s="5"/>
      <c r="E279" s="5"/>
      <c r="F279" s="6"/>
      <c r="G279" s="6"/>
      <c r="H279" s="6"/>
      <c r="I279" s="6"/>
      <c r="J279" s="111"/>
      <c r="K279" s="111"/>
      <c r="L279" s="6"/>
      <c r="M279" s="6"/>
      <c r="N279" s="6"/>
      <c r="O279" s="6"/>
      <c r="P279" s="6"/>
      <c r="Q279" s="9"/>
    </row>
    <row r="280" spans="3:17" x14ac:dyDescent="0.3">
      <c r="C280" s="45"/>
      <c r="D280" s="5"/>
      <c r="E280" s="5"/>
      <c r="F280" s="6"/>
      <c r="G280" s="6"/>
      <c r="H280" s="6"/>
      <c r="I280" s="6"/>
      <c r="J280" s="111"/>
      <c r="K280" s="111"/>
      <c r="L280" s="6"/>
      <c r="M280" s="6"/>
      <c r="N280" s="6"/>
      <c r="O280" s="6"/>
      <c r="P280" s="6"/>
      <c r="Q280" s="9"/>
    </row>
    <row r="281" spans="3:17" x14ac:dyDescent="0.3">
      <c r="C281" s="45"/>
      <c r="D281" s="5"/>
      <c r="E281" s="5"/>
      <c r="F281" s="6"/>
      <c r="G281" s="6"/>
      <c r="H281" s="6"/>
      <c r="I281" s="6"/>
      <c r="J281" s="111"/>
      <c r="K281" s="111"/>
      <c r="L281" s="6"/>
      <c r="M281" s="6"/>
      <c r="N281" s="6"/>
      <c r="O281" s="6"/>
      <c r="P281" s="6"/>
      <c r="Q281" s="9"/>
    </row>
    <row r="282" spans="3:17" x14ac:dyDescent="0.3">
      <c r="C282" s="45"/>
      <c r="D282" s="5"/>
      <c r="E282" s="5"/>
      <c r="F282" s="6"/>
      <c r="G282" s="6"/>
      <c r="H282" s="6"/>
      <c r="I282" s="6"/>
      <c r="J282" s="111"/>
      <c r="K282" s="111"/>
      <c r="L282" s="6"/>
      <c r="M282" s="6"/>
      <c r="N282" s="6"/>
      <c r="O282" s="6"/>
      <c r="P282" s="6"/>
      <c r="Q282" s="9"/>
    </row>
    <row r="283" spans="3:17" x14ac:dyDescent="0.3">
      <c r="C283" s="45"/>
      <c r="D283" s="5"/>
      <c r="E283" s="5"/>
      <c r="F283" s="6"/>
      <c r="G283" s="6"/>
      <c r="H283" s="6"/>
      <c r="I283" s="6"/>
      <c r="J283" s="111"/>
      <c r="K283" s="111"/>
      <c r="L283" s="6"/>
      <c r="M283" s="6"/>
      <c r="N283" s="6"/>
      <c r="O283" s="6"/>
      <c r="P283" s="6"/>
      <c r="Q283" s="9"/>
    </row>
    <row r="284" spans="3:17" x14ac:dyDescent="0.3">
      <c r="C284" s="45"/>
      <c r="D284" s="5"/>
      <c r="E284" s="5"/>
      <c r="F284" s="6"/>
      <c r="G284" s="6"/>
      <c r="H284" s="6"/>
      <c r="I284" s="6"/>
      <c r="J284" s="111"/>
      <c r="K284" s="111"/>
      <c r="L284" s="6"/>
      <c r="M284" s="6"/>
      <c r="N284" s="6"/>
      <c r="O284" s="6"/>
      <c r="P284" s="6"/>
      <c r="Q284" s="9"/>
    </row>
    <row r="285" spans="3:17" x14ac:dyDescent="0.3">
      <c r="C285" s="45"/>
      <c r="D285" s="5"/>
      <c r="E285" s="5"/>
      <c r="F285" s="6"/>
      <c r="G285" s="6"/>
      <c r="H285" s="6"/>
      <c r="I285" s="6"/>
      <c r="J285" s="111"/>
      <c r="K285" s="111"/>
      <c r="L285" s="6"/>
      <c r="M285" s="6"/>
      <c r="N285" s="6"/>
      <c r="O285" s="6"/>
      <c r="P285" s="6"/>
      <c r="Q285" s="9"/>
    </row>
    <row r="286" spans="3:17" x14ac:dyDescent="0.3">
      <c r="C286" s="45"/>
      <c r="D286" s="5"/>
      <c r="E286" s="5"/>
      <c r="F286" s="6"/>
      <c r="G286" s="6"/>
      <c r="H286" s="6"/>
      <c r="I286" s="6"/>
      <c r="J286" s="111"/>
      <c r="K286" s="111"/>
      <c r="L286" s="6"/>
      <c r="M286" s="6"/>
      <c r="N286" s="6"/>
      <c r="O286" s="6"/>
      <c r="P286" s="6"/>
      <c r="Q286" s="9"/>
    </row>
    <row r="287" spans="3:17" x14ac:dyDescent="0.3">
      <c r="C287" s="45"/>
      <c r="D287" s="5"/>
      <c r="E287" s="5"/>
      <c r="F287" s="6"/>
      <c r="G287" s="6"/>
      <c r="H287" s="6"/>
      <c r="I287" s="6"/>
      <c r="J287" s="111"/>
      <c r="K287" s="111"/>
      <c r="L287" s="6"/>
      <c r="M287" s="6"/>
      <c r="N287" s="6"/>
      <c r="O287" s="6"/>
      <c r="P287" s="6"/>
      <c r="Q287" s="9"/>
    </row>
    <row r="288" spans="3:17" x14ac:dyDescent="0.3">
      <c r="C288" s="45"/>
      <c r="D288" s="5"/>
      <c r="E288" s="5"/>
      <c r="F288" s="6"/>
      <c r="G288" s="6"/>
      <c r="H288" s="6"/>
      <c r="I288" s="6"/>
      <c r="J288" s="111"/>
      <c r="K288" s="111"/>
      <c r="L288" s="6"/>
      <c r="M288" s="6"/>
      <c r="N288" s="6"/>
      <c r="O288" s="6"/>
      <c r="P288" s="6"/>
      <c r="Q288" s="9"/>
    </row>
    <row r="289" spans="3:17" x14ac:dyDescent="0.3">
      <c r="C289" s="45"/>
      <c r="D289" s="5"/>
      <c r="E289" s="5"/>
      <c r="F289" s="6"/>
      <c r="G289" s="6"/>
      <c r="H289" s="6"/>
      <c r="I289" s="6"/>
      <c r="J289" s="111"/>
      <c r="K289" s="111"/>
      <c r="L289" s="6"/>
      <c r="M289" s="6"/>
      <c r="N289" s="6"/>
      <c r="O289" s="6"/>
      <c r="P289" s="6"/>
      <c r="Q289" s="9"/>
    </row>
    <row r="290" spans="3:17" x14ac:dyDescent="0.3">
      <c r="C290" s="45"/>
      <c r="D290" s="5"/>
      <c r="E290" s="5"/>
      <c r="F290" s="6"/>
      <c r="G290" s="6"/>
      <c r="H290" s="6"/>
      <c r="I290" s="6"/>
      <c r="J290" s="111"/>
      <c r="K290" s="111"/>
      <c r="L290" s="6"/>
      <c r="M290" s="6"/>
      <c r="N290" s="6"/>
      <c r="O290" s="6"/>
      <c r="P290" s="6"/>
      <c r="Q290" s="9"/>
    </row>
    <row r="291" spans="3:17" x14ac:dyDescent="0.3">
      <c r="C291" s="45"/>
      <c r="D291" s="5"/>
      <c r="E291" s="5"/>
      <c r="F291" s="6"/>
      <c r="G291" s="6"/>
      <c r="H291" s="6"/>
      <c r="I291" s="6"/>
      <c r="J291" s="111"/>
      <c r="K291" s="111"/>
      <c r="L291" s="6"/>
      <c r="M291" s="6"/>
      <c r="N291" s="6"/>
      <c r="O291" s="6"/>
      <c r="P291" s="6"/>
      <c r="Q291" s="9"/>
    </row>
    <row r="292" spans="3:17" x14ac:dyDescent="0.3">
      <c r="C292" s="45"/>
      <c r="D292" s="5"/>
      <c r="E292" s="5"/>
      <c r="F292" s="6"/>
      <c r="G292" s="6"/>
      <c r="H292" s="6"/>
      <c r="I292" s="6"/>
      <c r="J292" s="111"/>
      <c r="K292" s="111"/>
      <c r="L292" s="6"/>
      <c r="M292" s="6"/>
      <c r="N292" s="6"/>
      <c r="O292" s="6"/>
      <c r="P292" s="6"/>
      <c r="Q292" s="9"/>
    </row>
    <row r="293" spans="3:17" x14ac:dyDescent="0.3">
      <c r="C293" s="45"/>
      <c r="D293" s="5"/>
      <c r="E293" s="5"/>
      <c r="F293" s="6"/>
      <c r="G293" s="6"/>
      <c r="H293" s="6"/>
      <c r="I293" s="6"/>
      <c r="J293" s="111"/>
      <c r="K293" s="111"/>
      <c r="L293" s="6"/>
      <c r="M293" s="6"/>
      <c r="N293" s="6"/>
      <c r="O293" s="6"/>
      <c r="P293" s="6"/>
      <c r="Q293" s="9"/>
    </row>
    <row r="294" spans="3:17" x14ac:dyDescent="0.3">
      <c r="C294" s="45"/>
      <c r="D294" s="5"/>
      <c r="E294" s="5"/>
      <c r="F294" s="6"/>
      <c r="G294" s="6"/>
      <c r="H294" s="6"/>
      <c r="I294" s="6"/>
      <c r="J294" s="111"/>
      <c r="K294" s="111"/>
      <c r="L294" s="6"/>
      <c r="M294" s="6"/>
      <c r="N294" s="6"/>
      <c r="O294" s="6"/>
      <c r="P294" s="6"/>
      <c r="Q294" s="9"/>
    </row>
    <row r="295" spans="3:17" x14ac:dyDescent="0.3">
      <c r="C295" s="45"/>
      <c r="D295" s="5"/>
      <c r="E295" s="5"/>
      <c r="F295" s="6"/>
      <c r="G295" s="6"/>
      <c r="H295" s="6"/>
      <c r="I295" s="6"/>
      <c r="J295" s="111"/>
      <c r="K295" s="111"/>
      <c r="L295" s="6"/>
      <c r="M295" s="6"/>
      <c r="N295" s="6"/>
      <c r="O295" s="6"/>
      <c r="P295" s="6"/>
      <c r="Q295" s="9"/>
    </row>
    <row r="296" spans="3:17" x14ac:dyDescent="0.3">
      <c r="C296" s="45"/>
      <c r="D296" s="5"/>
      <c r="E296" s="5"/>
      <c r="F296" s="6"/>
      <c r="G296" s="6"/>
      <c r="H296" s="6"/>
      <c r="I296" s="6"/>
      <c r="J296" s="111"/>
      <c r="K296" s="111"/>
      <c r="L296" s="6"/>
      <c r="M296" s="6"/>
      <c r="N296" s="6"/>
      <c r="O296" s="6"/>
      <c r="P296" s="6"/>
      <c r="Q296" s="9"/>
    </row>
    <row r="297" spans="3:17" x14ac:dyDescent="0.3">
      <c r="C297" s="45"/>
      <c r="D297" s="5"/>
      <c r="E297" s="5"/>
      <c r="F297" s="6"/>
      <c r="G297" s="6"/>
      <c r="H297" s="6"/>
      <c r="I297" s="6"/>
      <c r="J297" s="111"/>
      <c r="K297" s="111"/>
      <c r="L297" s="6"/>
      <c r="M297" s="6"/>
      <c r="N297" s="6"/>
      <c r="O297" s="6"/>
      <c r="P297" s="6"/>
      <c r="Q297" s="9"/>
    </row>
    <row r="298" spans="3:17" x14ac:dyDescent="0.3">
      <c r="C298" s="45"/>
      <c r="D298" s="5"/>
      <c r="E298" s="5"/>
      <c r="F298" s="6"/>
      <c r="G298" s="6"/>
      <c r="H298" s="6"/>
      <c r="I298" s="6"/>
      <c r="J298" s="111"/>
      <c r="K298" s="111"/>
      <c r="L298" s="6"/>
      <c r="M298" s="6"/>
      <c r="N298" s="6"/>
      <c r="O298" s="6"/>
      <c r="P298" s="6"/>
      <c r="Q298" s="9"/>
    </row>
    <row r="299" spans="3:17" x14ac:dyDescent="0.3">
      <c r="C299" s="45"/>
      <c r="D299" s="5"/>
      <c r="E299" s="5"/>
      <c r="F299" s="6"/>
      <c r="G299" s="6"/>
      <c r="H299" s="6"/>
      <c r="I299" s="6"/>
      <c r="J299" s="111"/>
      <c r="K299" s="111"/>
      <c r="L299" s="6"/>
      <c r="M299" s="6"/>
      <c r="N299" s="6"/>
      <c r="O299" s="6"/>
      <c r="P299" s="6"/>
      <c r="Q299" s="9"/>
    </row>
    <row r="300" spans="3:17" x14ac:dyDescent="0.3">
      <c r="C300" s="45"/>
      <c r="D300" s="5"/>
      <c r="E300" s="5"/>
      <c r="F300" s="6"/>
      <c r="G300" s="6"/>
      <c r="H300" s="6"/>
      <c r="I300" s="6"/>
      <c r="J300" s="111"/>
      <c r="K300" s="111"/>
      <c r="L300" s="6"/>
      <c r="M300" s="6"/>
      <c r="N300" s="6"/>
      <c r="O300" s="6"/>
      <c r="P300" s="6"/>
      <c r="Q300" s="9"/>
    </row>
    <row r="301" spans="3:17" x14ac:dyDescent="0.3">
      <c r="C301" s="45"/>
      <c r="D301" s="5"/>
      <c r="E301" s="5"/>
      <c r="F301" s="6"/>
      <c r="G301" s="6"/>
      <c r="H301" s="6"/>
      <c r="I301" s="6"/>
      <c r="J301" s="111"/>
      <c r="K301" s="111"/>
      <c r="L301" s="6"/>
      <c r="M301" s="6"/>
      <c r="N301" s="6"/>
      <c r="O301" s="6"/>
      <c r="P301" s="6"/>
      <c r="Q301" s="9"/>
    </row>
    <row r="302" spans="3:17" x14ac:dyDescent="0.3">
      <c r="C302" s="45"/>
      <c r="D302" s="5"/>
      <c r="E302" s="5"/>
      <c r="F302" s="6"/>
      <c r="G302" s="6"/>
      <c r="H302" s="6"/>
      <c r="I302" s="6"/>
      <c r="J302" s="111"/>
      <c r="K302" s="111"/>
      <c r="L302" s="6"/>
      <c r="M302" s="6"/>
      <c r="N302" s="6"/>
      <c r="O302" s="6"/>
      <c r="P302" s="6"/>
      <c r="Q302" s="9"/>
    </row>
    <row r="303" spans="3:17" x14ac:dyDescent="0.3">
      <c r="C303" s="45"/>
      <c r="D303" s="5"/>
      <c r="E303" s="5"/>
      <c r="F303" s="6"/>
      <c r="G303" s="6"/>
      <c r="H303" s="6"/>
      <c r="I303" s="6"/>
      <c r="J303" s="111"/>
      <c r="K303" s="111"/>
      <c r="L303" s="6"/>
      <c r="M303" s="6"/>
      <c r="N303" s="6"/>
      <c r="O303" s="6"/>
      <c r="P303" s="6"/>
      <c r="Q303" s="9"/>
    </row>
    <row r="304" spans="3:17" x14ac:dyDescent="0.3">
      <c r="C304" s="45"/>
      <c r="D304" s="5"/>
      <c r="E304" s="5"/>
      <c r="F304" s="6"/>
      <c r="G304" s="6"/>
      <c r="H304" s="6"/>
      <c r="I304" s="6"/>
      <c r="J304" s="111"/>
      <c r="K304" s="111"/>
      <c r="L304" s="6"/>
      <c r="M304" s="6"/>
      <c r="N304" s="6"/>
      <c r="O304" s="6"/>
      <c r="P304" s="6"/>
      <c r="Q304" s="9"/>
    </row>
    <row r="305" spans="3:17" x14ac:dyDescent="0.3">
      <c r="C305" s="45"/>
      <c r="D305" s="5"/>
      <c r="E305" s="5"/>
      <c r="F305" s="6"/>
      <c r="G305" s="6"/>
      <c r="H305" s="6"/>
      <c r="I305" s="6"/>
      <c r="J305" s="111"/>
      <c r="K305" s="111"/>
      <c r="L305" s="6"/>
      <c r="M305" s="6"/>
      <c r="N305" s="6"/>
      <c r="O305" s="6"/>
      <c r="P305" s="6"/>
      <c r="Q305" s="9"/>
    </row>
    <row r="306" spans="3:17" x14ac:dyDescent="0.3">
      <c r="C306" s="45"/>
      <c r="D306" s="5"/>
      <c r="E306" s="5"/>
      <c r="F306" s="6"/>
      <c r="G306" s="6"/>
      <c r="H306" s="6"/>
      <c r="I306" s="6"/>
      <c r="J306" s="111"/>
      <c r="K306" s="111"/>
      <c r="L306" s="6"/>
      <c r="M306" s="6"/>
      <c r="N306" s="6"/>
      <c r="O306" s="6"/>
      <c r="P306" s="6"/>
      <c r="Q306" s="9"/>
    </row>
    <row r="307" spans="3:17" x14ac:dyDescent="0.3">
      <c r="C307" s="45"/>
      <c r="D307" s="5"/>
      <c r="E307" s="5"/>
      <c r="F307" s="6"/>
      <c r="G307" s="6"/>
      <c r="H307" s="6"/>
      <c r="I307" s="6"/>
      <c r="J307" s="111"/>
      <c r="K307" s="111"/>
      <c r="L307" s="6"/>
      <c r="M307" s="6"/>
      <c r="N307" s="6"/>
      <c r="O307" s="6"/>
      <c r="P307" s="6"/>
      <c r="Q307" s="9"/>
    </row>
    <row r="308" spans="3:17" x14ac:dyDescent="0.3">
      <c r="C308" s="45"/>
      <c r="D308" s="5"/>
      <c r="E308" s="5"/>
      <c r="F308" s="6"/>
      <c r="G308" s="6"/>
      <c r="H308" s="6"/>
      <c r="I308" s="6"/>
      <c r="J308" s="111"/>
      <c r="K308" s="111"/>
      <c r="L308" s="6"/>
      <c r="M308" s="6"/>
      <c r="N308" s="6"/>
      <c r="O308" s="6"/>
      <c r="P308" s="6"/>
      <c r="Q308" s="9"/>
    </row>
    <row r="309" spans="3:17" x14ac:dyDescent="0.3">
      <c r="C309" s="45"/>
      <c r="D309" s="5"/>
      <c r="E309" s="5"/>
      <c r="F309" s="6"/>
      <c r="G309" s="6"/>
      <c r="H309" s="6"/>
      <c r="I309" s="6"/>
      <c r="J309" s="111"/>
      <c r="K309" s="111"/>
      <c r="L309" s="6"/>
      <c r="M309" s="6"/>
      <c r="N309" s="6"/>
      <c r="O309" s="6"/>
      <c r="P309" s="6"/>
      <c r="Q309" s="9"/>
    </row>
    <row r="310" spans="3:17" x14ac:dyDescent="0.3">
      <c r="C310" s="45"/>
      <c r="D310" s="5"/>
      <c r="E310" s="5"/>
      <c r="F310" s="6"/>
      <c r="G310" s="6"/>
      <c r="H310" s="6"/>
      <c r="I310" s="6"/>
      <c r="J310" s="111"/>
      <c r="K310" s="111"/>
      <c r="L310" s="6"/>
      <c r="M310" s="6"/>
      <c r="N310" s="6"/>
      <c r="O310" s="6"/>
      <c r="P310" s="6"/>
      <c r="Q310" s="9"/>
    </row>
    <row r="311" spans="3:17" x14ac:dyDescent="0.3">
      <c r="C311" s="45"/>
      <c r="D311" s="5"/>
      <c r="E311" s="5"/>
      <c r="F311" s="6"/>
      <c r="G311" s="6"/>
      <c r="H311" s="6"/>
      <c r="I311" s="6"/>
      <c r="J311" s="111"/>
      <c r="K311" s="111"/>
      <c r="L311" s="6"/>
      <c r="M311" s="6"/>
      <c r="N311" s="6"/>
      <c r="O311" s="6"/>
      <c r="P311" s="6"/>
      <c r="Q311" s="9"/>
    </row>
    <row r="312" spans="3:17" x14ac:dyDescent="0.3">
      <c r="C312" s="45"/>
      <c r="D312" s="5"/>
      <c r="E312" s="5"/>
      <c r="F312" s="6"/>
      <c r="G312" s="6"/>
      <c r="H312" s="6"/>
      <c r="I312" s="6"/>
      <c r="J312" s="111"/>
      <c r="K312" s="111"/>
      <c r="L312" s="6"/>
      <c r="M312" s="6"/>
      <c r="N312" s="6"/>
      <c r="O312" s="6"/>
      <c r="P312" s="6"/>
      <c r="Q312" s="9"/>
    </row>
    <row r="313" spans="3:17" x14ac:dyDescent="0.3">
      <c r="C313" s="45"/>
      <c r="D313" s="5"/>
      <c r="E313" s="5"/>
      <c r="F313" s="6"/>
      <c r="G313" s="6"/>
      <c r="H313" s="6"/>
      <c r="I313" s="6"/>
      <c r="J313" s="111"/>
      <c r="K313" s="111"/>
      <c r="L313" s="6"/>
      <c r="M313" s="6"/>
      <c r="N313" s="6"/>
      <c r="O313" s="6"/>
      <c r="P313" s="6"/>
      <c r="Q313" s="9"/>
    </row>
    <row r="314" spans="3:17" x14ac:dyDescent="0.3">
      <c r="C314" s="45"/>
      <c r="D314" s="5"/>
      <c r="E314" s="5"/>
      <c r="F314" s="6"/>
      <c r="G314" s="6"/>
      <c r="H314" s="6"/>
      <c r="I314" s="6"/>
      <c r="J314" s="111"/>
      <c r="K314" s="111"/>
      <c r="L314" s="6"/>
      <c r="M314" s="6"/>
      <c r="N314" s="6"/>
      <c r="O314" s="6"/>
      <c r="P314" s="6"/>
      <c r="Q314" s="9"/>
    </row>
    <row r="315" spans="3:17" x14ac:dyDescent="0.3">
      <c r="C315" s="45"/>
      <c r="D315" s="5"/>
      <c r="E315" s="5"/>
      <c r="F315" s="6"/>
      <c r="G315" s="6"/>
      <c r="H315" s="6"/>
      <c r="I315" s="6"/>
      <c r="J315" s="111"/>
      <c r="K315" s="111"/>
      <c r="L315" s="6"/>
      <c r="M315" s="6"/>
      <c r="N315" s="6"/>
      <c r="O315" s="6"/>
      <c r="P315" s="6"/>
      <c r="Q315" s="9"/>
    </row>
    <row r="316" spans="3:17" x14ac:dyDescent="0.3">
      <c r="C316" s="45"/>
      <c r="D316" s="5"/>
      <c r="E316" s="5"/>
      <c r="F316" s="6"/>
      <c r="G316" s="6"/>
      <c r="H316" s="6"/>
      <c r="I316" s="6"/>
      <c r="J316" s="111"/>
      <c r="N316" s="6"/>
      <c r="O316" s="6"/>
      <c r="P316" s="6"/>
      <c r="Q316" s="9"/>
    </row>
  </sheetData>
  <conditionalFormatting sqref="S11:AP15">
    <cfRule type="cellIs" dxfId="3" priority="19" operator="equal">
      <formula>0</formula>
    </cfRule>
  </conditionalFormatting>
  <conditionalFormatting sqref="AQ11:AQ136">
    <cfRule type="cellIs" dxfId="2" priority="3" operator="equal">
      <formula>1</formula>
    </cfRule>
  </conditionalFormatting>
  <conditionalFormatting sqref="AR12:AR202">
    <cfRule type="cellIs" dxfId="1" priority="1" operator="equal">
      <formula>1</formula>
    </cfRule>
  </conditionalFormatting>
  <conditionalFormatting sqref="AS11:AS136">
    <cfRule type="cellIs" dxfId="0" priority="2" operator="equal">
      <formula>1</formula>
    </cfRule>
  </conditionalFormatting>
  <pageMargins left="0.511811024" right="0.511811024" top="0.78740157499999996" bottom="0.78740157499999996" header="0.31496062000000002" footer="0.31496062000000002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">
    <tabColor rgb="FF00244A"/>
  </sheetPr>
  <dimension ref="A1:O587"/>
  <sheetViews>
    <sheetView showGridLines="0" zoomScale="86" zoomScaleNormal="70" workbookViewId="0">
      <selection activeCell="J165" sqref="J165"/>
    </sheetView>
  </sheetViews>
  <sheetFormatPr defaultRowHeight="14.4" outlineLevelRow="2" x14ac:dyDescent="0.3"/>
  <cols>
    <col min="1" max="1" width="1" style="53" customWidth="1"/>
    <col min="2" max="2" width="2.44140625" style="24" customWidth="1"/>
    <col min="3" max="3" width="9.44140625" style="46" customWidth="1"/>
    <col min="4" max="5" width="5.44140625" style="1" customWidth="1"/>
    <col min="6" max="6" width="66.44140625" style="4" customWidth="1"/>
    <col min="7" max="7" width="11.44140625" style="4" customWidth="1"/>
    <col min="8" max="8" width="13.44140625" style="106" customWidth="1"/>
    <col min="9" max="9" width="12.5546875" style="106" customWidth="1"/>
    <col min="10" max="10" width="12.5546875" style="4" customWidth="1"/>
    <col min="11" max="11" width="14.5546875" style="4" customWidth="1"/>
    <col min="12" max="12" width="15" style="4" customWidth="1"/>
    <col min="13" max="13" width="13.5546875" style="4" customWidth="1"/>
    <col min="14" max="14" width="6.5546875" style="4" customWidth="1"/>
    <col min="15" max="15" width="50.5546875" style="8" customWidth="1"/>
    <col min="16" max="16" width="14.44140625" bestFit="1" customWidth="1"/>
  </cols>
  <sheetData>
    <row r="1" spans="1:15" ht="4.5" customHeight="1" x14ac:dyDescent="0.3"/>
    <row r="2" spans="1:15" x14ac:dyDescent="0.3">
      <c r="C2" s="11" t="s">
        <v>0</v>
      </c>
      <c r="D2" s="11"/>
      <c r="E2" s="11"/>
      <c r="L2" s="12"/>
      <c r="M2" s="12"/>
      <c r="N2" s="12"/>
      <c r="O2" s="13"/>
    </row>
    <row r="3" spans="1:15" ht="15" customHeight="1" thickBot="1" x14ac:dyDescent="0.35">
      <c r="C3" s="14" t="s">
        <v>1</v>
      </c>
      <c r="D3" s="14"/>
      <c r="E3" s="14"/>
      <c r="L3" s="15"/>
      <c r="M3" s="15"/>
      <c r="N3" s="15"/>
      <c r="O3" s="16"/>
    </row>
    <row r="4" spans="1:15" ht="5.25" customHeight="1" x14ac:dyDescent="0.3">
      <c r="C4" s="47"/>
      <c r="D4" s="17"/>
      <c r="E4" s="17"/>
      <c r="F4" s="19"/>
      <c r="G4" s="19"/>
      <c r="H4" s="107"/>
      <c r="I4" s="107"/>
      <c r="J4" s="19"/>
      <c r="K4" s="19"/>
      <c r="L4" s="18"/>
      <c r="M4" s="18"/>
      <c r="N4" s="18"/>
      <c r="O4" s="20"/>
    </row>
    <row r="5" spans="1:15" x14ac:dyDescent="0.3">
      <c r="C5" s="48"/>
      <c r="D5" s="14"/>
      <c r="E5" s="14"/>
      <c r="F5" s="14" t="s">
        <v>642</v>
      </c>
      <c r="G5" s="15"/>
      <c r="L5" s="15"/>
      <c r="M5" s="15"/>
      <c r="N5" s="15"/>
      <c r="O5" s="16"/>
    </row>
    <row r="6" spans="1:15" x14ac:dyDescent="0.3">
      <c r="C6" s="48"/>
      <c r="D6" s="14"/>
      <c r="E6" s="14"/>
      <c r="F6" s="54" t="s">
        <v>643</v>
      </c>
      <c r="G6" s="103"/>
      <c r="H6" s="112"/>
      <c r="I6" s="108"/>
      <c r="J6" s="22"/>
      <c r="K6" s="22"/>
      <c r="L6" s="15"/>
      <c r="M6" s="23"/>
      <c r="N6" s="42"/>
      <c r="O6" s="38" t="s">
        <v>644</v>
      </c>
    </row>
    <row r="7" spans="1:15" x14ac:dyDescent="0.3">
      <c r="C7" s="48"/>
      <c r="D7" s="14"/>
      <c r="E7" s="14"/>
      <c r="F7" s="21" t="s">
        <v>6</v>
      </c>
      <c r="G7" s="42"/>
      <c r="H7" s="113"/>
      <c r="I7" s="108"/>
      <c r="J7" s="22"/>
      <c r="K7" s="22"/>
      <c r="L7" s="15"/>
      <c r="M7" s="15"/>
      <c r="N7" s="15"/>
      <c r="O7" s="23" t="s">
        <v>645</v>
      </c>
    </row>
    <row r="8" spans="1:15" x14ac:dyDescent="0.3">
      <c r="C8" s="48"/>
      <c r="D8" s="14"/>
      <c r="E8" s="14"/>
      <c r="F8" s="21"/>
      <c r="G8" s="42"/>
      <c r="H8" s="113"/>
      <c r="I8" s="108"/>
      <c r="J8" s="22"/>
      <c r="K8" s="22"/>
      <c r="L8" s="15"/>
      <c r="M8" s="15"/>
      <c r="N8" s="15"/>
      <c r="O8" s="16"/>
    </row>
    <row r="9" spans="1:15" ht="4.5" customHeight="1" x14ac:dyDescent="0.3"/>
    <row r="10" spans="1:15" ht="30" customHeight="1" x14ac:dyDescent="0.3">
      <c r="C10" s="34" t="s">
        <v>14</v>
      </c>
      <c r="D10" s="35"/>
      <c r="E10" s="37"/>
      <c r="F10" s="36"/>
      <c r="G10" s="36" t="s">
        <v>624</v>
      </c>
      <c r="H10" s="36" t="s">
        <v>625</v>
      </c>
      <c r="I10" s="36" t="s">
        <v>626</v>
      </c>
      <c r="J10" s="35" t="s">
        <v>627</v>
      </c>
      <c r="K10" s="35" t="s">
        <v>628</v>
      </c>
      <c r="L10" s="35" t="s">
        <v>19</v>
      </c>
      <c r="M10" s="41" t="s">
        <v>20</v>
      </c>
      <c r="N10" s="36"/>
      <c r="O10" s="35" t="s">
        <v>629</v>
      </c>
    </row>
    <row r="11" spans="1:15" ht="15" customHeight="1" x14ac:dyDescent="0.3">
      <c r="C11" s="69" t="s">
        <v>646</v>
      </c>
      <c r="D11" s="70"/>
      <c r="E11" s="70"/>
      <c r="F11" s="71"/>
      <c r="G11" s="74">
        <f t="shared" ref="G11:G43" si="0">I11-H11</f>
        <v>1</v>
      </c>
      <c r="H11" s="72">
        <f>MAX(H12,H14,H24,H20)</f>
        <v>45181</v>
      </c>
      <c r="I11" s="72">
        <f>MAX(I12,I14,I24,I20)</f>
        <v>45182</v>
      </c>
      <c r="J11" s="73"/>
      <c r="K11" s="73"/>
      <c r="L11" s="74"/>
      <c r="M11" s="74"/>
      <c r="N11" s="74"/>
      <c r="O11" s="75"/>
    </row>
    <row r="12" spans="1:15" ht="15" customHeight="1" x14ac:dyDescent="0.3">
      <c r="C12" s="63" t="s">
        <v>647</v>
      </c>
      <c r="D12" s="64"/>
      <c r="E12" s="64"/>
      <c r="F12" s="65"/>
      <c r="G12" s="68">
        <f t="shared" si="0"/>
        <v>2</v>
      </c>
      <c r="H12" s="66">
        <f>MAX(H13,H16,H25,H21)</f>
        <v>45161</v>
      </c>
      <c r="I12" s="66">
        <f>MAX(I13,I16,I25,I21)</f>
        <v>45163</v>
      </c>
      <c r="J12" s="67"/>
      <c r="K12" s="67"/>
      <c r="L12" s="68"/>
      <c r="M12" s="68"/>
      <c r="N12" s="68"/>
      <c r="O12" s="26"/>
    </row>
    <row r="13" spans="1:15" ht="15" customHeight="1" x14ac:dyDescent="0.3">
      <c r="C13" s="43"/>
      <c r="D13" s="28" t="s">
        <v>648</v>
      </c>
      <c r="E13" s="28"/>
      <c r="F13" s="29"/>
      <c r="G13" s="31">
        <f t="shared" si="0"/>
        <v>2</v>
      </c>
      <c r="H13" s="49">
        <f>MAX(H14:H14)</f>
        <v>45152</v>
      </c>
      <c r="I13" s="49">
        <f>MAX(I14:I14)</f>
        <v>45154</v>
      </c>
      <c r="J13" s="30"/>
      <c r="K13" s="49"/>
      <c r="L13" s="31"/>
      <c r="M13" s="31"/>
      <c r="N13" s="31"/>
      <c r="O13" s="32"/>
    </row>
    <row r="14" spans="1:15" ht="15" customHeight="1" outlineLevel="1" x14ac:dyDescent="0.3">
      <c r="A14" s="53">
        <v>36</v>
      </c>
      <c r="C14" s="44"/>
      <c r="D14" s="82"/>
      <c r="E14" s="82" t="s">
        <v>649</v>
      </c>
      <c r="F14" s="82"/>
      <c r="G14" s="25">
        <f t="shared" si="0"/>
        <v>2</v>
      </c>
      <c r="H14" s="110">
        <v>45152</v>
      </c>
      <c r="I14" s="109">
        <v>45154</v>
      </c>
      <c r="J14" s="84" t="s">
        <v>74</v>
      </c>
      <c r="K14" s="40">
        <f>IF(M14='Lista Suspensa'!$F$26,IF(J14="-",I14,J14),"")</f>
        <v>45154</v>
      </c>
      <c r="L14" s="25" t="s">
        <v>650</v>
      </c>
      <c r="M14" s="33" t="s">
        <v>405</v>
      </c>
      <c r="N14" s="25">
        <f>VLOOKUP(M14,'Lista Suspensa'!$F$23:$G$27,2,FALSE)</f>
        <v>3</v>
      </c>
      <c r="O14" s="27"/>
    </row>
    <row r="15" spans="1:15" ht="15" customHeight="1" outlineLevel="1" x14ac:dyDescent="0.3">
      <c r="A15" s="53">
        <v>43</v>
      </c>
      <c r="C15" s="44"/>
      <c r="D15" s="82"/>
      <c r="E15" s="83" t="s">
        <v>651</v>
      </c>
      <c r="F15" s="83"/>
      <c r="G15" s="25">
        <f t="shared" si="0"/>
        <v>0</v>
      </c>
      <c r="H15" s="110">
        <v>45155</v>
      </c>
      <c r="I15" s="109">
        <v>45155</v>
      </c>
      <c r="J15" s="84" t="s">
        <v>74</v>
      </c>
      <c r="K15" s="40" t="str">
        <f>IF(M15='Lista Suspensa'!$F$26,IF(J15="-",I15,J15),"")</f>
        <v/>
      </c>
      <c r="L15" s="25" t="s">
        <v>652</v>
      </c>
      <c r="M15" s="33" t="s">
        <v>633</v>
      </c>
      <c r="N15" s="39">
        <f>VLOOKUP(M15,'Lista Suspensa'!$F$23:$G$27,2,FALSE)</f>
        <v>2</v>
      </c>
      <c r="O15" s="27"/>
    </row>
    <row r="16" spans="1:15" ht="15" customHeight="1" x14ac:dyDescent="0.3">
      <c r="C16" s="43"/>
      <c r="D16" s="28" t="s">
        <v>653</v>
      </c>
      <c r="E16" s="28"/>
      <c r="F16" s="29"/>
      <c r="G16" s="31">
        <f t="shared" si="0"/>
        <v>5</v>
      </c>
      <c r="H16" s="49">
        <f>MAX(H17:H20)</f>
        <v>45156</v>
      </c>
      <c r="I16" s="49">
        <f>MAX(I17:I20)</f>
        <v>45161</v>
      </c>
      <c r="J16" s="30"/>
      <c r="K16" s="49"/>
      <c r="L16" s="31"/>
      <c r="M16" s="31"/>
      <c r="N16" s="31"/>
      <c r="O16" s="32"/>
    </row>
    <row r="17" spans="1:15" ht="15" customHeight="1" outlineLevel="1" x14ac:dyDescent="0.3">
      <c r="A17" s="53">
        <v>36</v>
      </c>
      <c r="C17" s="44"/>
      <c r="D17" s="82"/>
      <c r="E17" s="82" t="s">
        <v>654</v>
      </c>
      <c r="F17" s="82"/>
      <c r="G17" s="25">
        <f t="shared" si="0"/>
        <v>1</v>
      </c>
      <c r="H17" s="110">
        <f>I15</f>
        <v>45155</v>
      </c>
      <c r="I17" s="109">
        <v>45156</v>
      </c>
      <c r="J17" s="84" t="s">
        <v>74</v>
      </c>
      <c r="K17" s="40">
        <f>IF(M17='Lista Suspensa'!$F$26,IF(J17="-",I17,J17),"")</f>
        <v>45156</v>
      </c>
      <c r="L17" s="25" t="s">
        <v>650</v>
      </c>
      <c r="M17" s="33" t="s">
        <v>405</v>
      </c>
      <c r="N17" s="25">
        <f>VLOOKUP(M17,'Lista Suspensa'!$F$23:$G$27,2,FALSE)</f>
        <v>3</v>
      </c>
      <c r="O17" s="27"/>
    </row>
    <row r="18" spans="1:15" ht="15" customHeight="1" outlineLevel="1" x14ac:dyDescent="0.3">
      <c r="A18" s="53">
        <v>43</v>
      </c>
      <c r="C18" s="44"/>
      <c r="D18" s="82"/>
      <c r="E18" s="83" t="s">
        <v>655</v>
      </c>
      <c r="F18" s="93"/>
      <c r="G18" s="104">
        <f t="shared" si="0"/>
        <v>1</v>
      </c>
      <c r="H18" s="110">
        <f>H17</f>
        <v>45155</v>
      </c>
      <c r="I18" s="109">
        <v>45156</v>
      </c>
      <c r="J18" s="84" t="s">
        <v>74</v>
      </c>
      <c r="K18" s="40">
        <f>IF(M18='Lista Suspensa'!$F$26,IF(J18="-",I18,J18),"")</f>
        <v>45156</v>
      </c>
      <c r="L18" s="25" t="s">
        <v>650</v>
      </c>
      <c r="M18" s="33" t="s">
        <v>405</v>
      </c>
      <c r="N18" s="39">
        <f>VLOOKUP(M18,'Lista Suspensa'!$F$23:$G$27,2,FALSE)</f>
        <v>3</v>
      </c>
      <c r="O18" s="27"/>
    </row>
    <row r="19" spans="1:15" ht="15" customHeight="1" outlineLevel="1" x14ac:dyDescent="0.3">
      <c r="A19" s="53">
        <v>36</v>
      </c>
      <c r="C19" s="44"/>
      <c r="D19" s="82"/>
      <c r="E19" s="82" t="s">
        <v>656</v>
      </c>
      <c r="F19" s="85"/>
      <c r="G19" s="104">
        <f t="shared" si="0"/>
        <v>5</v>
      </c>
      <c r="H19" s="109">
        <f>I18</f>
        <v>45156</v>
      </c>
      <c r="I19" s="109">
        <v>45161</v>
      </c>
      <c r="J19" s="84" t="s">
        <v>74</v>
      </c>
      <c r="K19" s="40" t="str">
        <f>IF(M19='Lista Suspensa'!$F$26,IF(J19="-",I19,J19),"")</f>
        <v/>
      </c>
      <c r="L19" s="25" t="s">
        <v>657</v>
      </c>
      <c r="M19" s="33" t="s">
        <v>633</v>
      </c>
      <c r="N19" s="25">
        <f>VLOOKUP(M19,'Lista Suspensa'!$F$23:$G$27,2,FALSE)</f>
        <v>2</v>
      </c>
      <c r="O19" s="27" t="s">
        <v>658</v>
      </c>
    </row>
    <row r="20" spans="1:15" ht="15" customHeight="1" outlineLevel="1" x14ac:dyDescent="0.3">
      <c r="A20" s="53">
        <v>36</v>
      </c>
      <c r="C20" s="44"/>
      <c r="D20" s="82"/>
      <c r="E20" s="82" t="s">
        <v>659</v>
      </c>
      <c r="F20" s="85"/>
      <c r="G20" s="104">
        <f t="shared" si="0"/>
        <v>5</v>
      </c>
      <c r="H20" s="110">
        <f>H19</f>
        <v>45156</v>
      </c>
      <c r="I20" s="109">
        <v>45161</v>
      </c>
      <c r="J20" s="84" t="s">
        <v>74</v>
      </c>
      <c r="K20" s="40" t="str">
        <f>IF(M20='Lista Suspensa'!$F$26,IF(J20="-",I20,J20),"")</f>
        <v/>
      </c>
      <c r="L20" s="25" t="s">
        <v>657</v>
      </c>
      <c r="M20" s="33" t="s">
        <v>633</v>
      </c>
      <c r="N20" s="25">
        <f>VLOOKUP(M20,'Lista Suspensa'!$F$23:$G$27,2,FALSE)</f>
        <v>2</v>
      </c>
      <c r="O20" s="27" t="s">
        <v>658</v>
      </c>
    </row>
    <row r="21" spans="1:15" ht="15" customHeight="1" x14ac:dyDescent="0.3">
      <c r="C21" s="43"/>
      <c r="D21" s="28" t="s">
        <v>660</v>
      </c>
      <c r="E21" s="28"/>
      <c r="F21" s="29"/>
      <c r="G21" s="31">
        <f t="shared" si="0"/>
        <v>2</v>
      </c>
      <c r="H21" s="49">
        <f>MAX(H22:H23)</f>
        <v>45161</v>
      </c>
      <c r="I21" s="49">
        <f>MAX(I22:I23)</f>
        <v>45163</v>
      </c>
      <c r="J21" s="30"/>
      <c r="K21" s="49"/>
      <c r="L21" s="31"/>
      <c r="M21" s="31"/>
      <c r="N21" s="31"/>
      <c r="O21" s="32"/>
    </row>
    <row r="22" spans="1:15" ht="15" customHeight="1" outlineLevel="1" x14ac:dyDescent="0.3">
      <c r="C22" s="44"/>
      <c r="D22" s="82"/>
      <c r="E22" s="82" t="s">
        <v>661</v>
      </c>
      <c r="F22" s="82"/>
      <c r="G22" s="25">
        <f t="shared" si="0"/>
        <v>2</v>
      </c>
      <c r="H22" s="110">
        <f>I20</f>
        <v>45161</v>
      </c>
      <c r="I22" s="109">
        <v>45163</v>
      </c>
      <c r="J22" s="84" t="s">
        <v>74</v>
      </c>
      <c r="K22" s="40" t="str">
        <f>IF(M22='Lista Suspensa'!$F$26,IF(J22="-",I22,J22),"")</f>
        <v/>
      </c>
      <c r="L22" s="25" t="s">
        <v>650</v>
      </c>
      <c r="M22" s="33" t="s">
        <v>635</v>
      </c>
      <c r="N22" s="25">
        <f>VLOOKUP(M22,'Lista Suspensa'!$F$23:$G$27,2,FALSE)</f>
        <v>0</v>
      </c>
      <c r="O22" s="27"/>
    </row>
    <row r="23" spans="1:15" ht="15" customHeight="1" outlineLevel="1" x14ac:dyDescent="0.3">
      <c r="C23" s="44"/>
      <c r="D23" s="82"/>
      <c r="E23" s="82" t="s">
        <v>662</v>
      </c>
      <c r="F23" s="82"/>
      <c r="G23" s="25">
        <f t="shared" si="0"/>
        <v>2</v>
      </c>
      <c r="H23" s="110">
        <f>H22</f>
        <v>45161</v>
      </c>
      <c r="I23" s="109">
        <v>45163</v>
      </c>
      <c r="J23" s="84" t="s">
        <v>74</v>
      </c>
      <c r="K23" s="40" t="str">
        <f>IF(M23='Lista Suspensa'!$F$26,IF(J23="-",I23,J23),"")</f>
        <v/>
      </c>
      <c r="L23" s="25" t="s">
        <v>650</v>
      </c>
      <c r="M23" s="33" t="s">
        <v>635</v>
      </c>
      <c r="N23" s="25">
        <f>VLOOKUP(M23,'Lista Suspensa'!$F$23:$G$27,2,FALSE)</f>
        <v>0</v>
      </c>
      <c r="O23" s="27"/>
    </row>
    <row r="24" spans="1:15" ht="15" customHeight="1" x14ac:dyDescent="0.3">
      <c r="C24" s="55" t="s">
        <v>663</v>
      </c>
      <c r="D24" s="56"/>
      <c r="E24" s="56"/>
      <c r="F24" s="57"/>
      <c r="G24" s="59">
        <f t="shared" si="0"/>
        <v>1</v>
      </c>
      <c r="H24" s="61">
        <f>MAX(H29:H34)</f>
        <v>45181</v>
      </c>
      <c r="I24" s="61">
        <f>MAX(I29:I34)</f>
        <v>45182</v>
      </c>
      <c r="J24" s="58"/>
      <c r="K24" s="58"/>
      <c r="L24" s="59"/>
      <c r="M24" s="59"/>
      <c r="N24" s="59"/>
      <c r="O24" s="60"/>
    </row>
    <row r="25" spans="1:15" ht="15" customHeight="1" x14ac:dyDescent="0.3">
      <c r="C25" s="43"/>
      <c r="D25" s="28" t="s">
        <v>664</v>
      </c>
      <c r="E25" s="28"/>
      <c r="F25" s="29"/>
      <c r="G25" s="31">
        <f t="shared" si="0"/>
        <v>5</v>
      </c>
      <c r="H25" s="49">
        <f>MAX(H20:H20)</f>
        <v>45156</v>
      </c>
      <c r="I25" s="49">
        <f>MAX(I20:I20)</f>
        <v>45161</v>
      </c>
      <c r="J25" s="30"/>
      <c r="K25" s="49"/>
      <c r="L25" s="31"/>
      <c r="M25" s="31"/>
      <c r="N25" s="31"/>
      <c r="O25" s="32"/>
    </row>
    <row r="26" spans="1:15" ht="15" customHeight="1" outlineLevel="2" x14ac:dyDescent="0.3">
      <c r="C26" s="44"/>
      <c r="D26" s="82"/>
      <c r="E26" s="82" t="s">
        <v>665</v>
      </c>
      <c r="F26" s="85"/>
      <c r="G26" s="104">
        <f t="shared" si="0"/>
        <v>5</v>
      </c>
      <c r="H26" s="109">
        <f>I23</f>
        <v>45163</v>
      </c>
      <c r="I26" s="109">
        <v>45168</v>
      </c>
      <c r="J26" s="84" t="s">
        <v>74</v>
      </c>
      <c r="K26" s="40" t="str">
        <f>IF(M26='Lista Suspensa'!$F$26,IF(J26="-",I26,J26),"")</f>
        <v/>
      </c>
      <c r="L26" s="25" t="s">
        <v>657</v>
      </c>
      <c r="M26" s="33" t="s">
        <v>635</v>
      </c>
      <c r="N26" s="25">
        <f>VLOOKUP(M26,'Lista Suspensa'!$F$23:$G$27,2,FALSE)</f>
        <v>0</v>
      </c>
      <c r="O26" s="27" t="s">
        <v>666</v>
      </c>
    </row>
    <row r="27" spans="1:15" ht="15" customHeight="1" outlineLevel="2" x14ac:dyDescent="0.3">
      <c r="C27" s="44"/>
      <c r="D27" s="82"/>
      <c r="E27" s="82" t="s">
        <v>667</v>
      </c>
      <c r="F27" s="85"/>
      <c r="G27" s="104">
        <f t="shared" si="0"/>
        <v>5</v>
      </c>
      <c r="H27" s="109">
        <f>H26</f>
        <v>45163</v>
      </c>
      <c r="I27" s="109">
        <v>45168</v>
      </c>
      <c r="J27" s="84" t="s">
        <v>74</v>
      </c>
      <c r="K27" s="40" t="str">
        <f>IF(M27='Lista Suspensa'!$F$26,IF(J27="-",I27,J27),"")</f>
        <v/>
      </c>
      <c r="L27" s="25" t="s">
        <v>657</v>
      </c>
      <c r="M27" s="33" t="s">
        <v>635</v>
      </c>
      <c r="N27" s="25">
        <f>VLOOKUP(M27,'Lista Suspensa'!$F$23:$G$27,2,FALSE)</f>
        <v>0</v>
      </c>
      <c r="O27" s="27"/>
    </row>
    <row r="28" spans="1:15" ht="15" customHeight="1" outlineLevel="2" x14ac:dyDescent="0.3">
      <c r="C28" s="44"/>
      <c r="D28" s="82"/>
      <c r="E28" s="82" t="s">
        <v>668</v>
      </c>
      <c r="F28" s="85"/>
      <c r="G28" s="104">
        <f t="shared" si="0"/>
        <v>5</v>
      </c>
      <c r="H28" s="109">
        <f>H27</f>
        <v>45163</v>
      </c>
      <c r="I28" s="109">
        <v>45168</v>
      </c>
      <c r="J28" s="84" t="s">
        <v>74</v>
      </c>
      <c r="K28" s="40" t="str">
        <f>IF(M28='Lista Suspensa'!$F$26,IF(J28="-",I28,J28),"")</f>
        <v/>
      </c>
      <c r="L28" s="25" t="s">
        <v>657</v>
      </c>
      <c r="M28" s="33" t="s">
        <v>635</v>
      </c>
      <c r="N28" s="25">
        <f>VLOOKUP(M28,'Lista Suspensa'!$F$23:$G$27,2,FALSE)</f>
        <v>0</v>
      </c>
      <c r="O28" s="27"/>
    </row>
    <row r="29" spans="1:15" ht="15" customHeight="1" outlineLevel="1" x14ac:dyDescent="0.3">
      <c r="C29" s="44"/>
      <c r="D29" s="82" t="s">
        <v>669</v>
      </c>
      <c r="E29" s="82"/>
      <c r="F29" s="83"/>
      <c r="G29" s="25">
        <f t="shared" si="0"/>
        <v>2</v>
      </c>
      <c r="H29" s="110">
        <f>I28</f>
        <v>45168</v>
      </c>
      <c r="I29" s="109">
        <v>45170</v>
      </c>
      <c r="J29" s="84" t="s">
        <v>74</v>
      </c>
      <c r="K29" s="40" t="str">
        <f>IF(M29='Lista Suspensa'!$F$26,IF(J29="-",I29,J29),"")</f>
        <v/>
      </c>
      <c r="L29" s="25" t="s">
        <v>657</v>
      </c>
      <c r="M29" s="25" t="s">
        <v>635</v>
      </c>
      <c r="N29" s="25">
        <f>VLOOKUP(M29,'Lista Suspensa'!$F$23:$G$27,2,FALSE)</f>
        <v>0</v>
      </c>
      <c r="O29" s="27"/>
    </row>
    <row r="30" spans="1:15" ht="15" customHeight="1" outlineLevel="1" x14ac:dyDescent="0.3">
      <c r="A30" s="53">
        <v>35</v>
      </c>
      <c r="C30" s="44"/>
      <c r="D30" s="82" t="s">
        <v>670</v>
      </c>
      <c r="E30" s="82"/>
      <c r="F30" s="83"/>
      <c r="G30" s="25">
        <f t="shared" si="0"/>
        <v>2</v>
      </c>
      <c r="H30" s="110">
        <f>H29</f>
        <v>45168</v>
      </c>
      <c r="I30" s="109">
        <v>45170</v>
      </c>
      <c r="J30" s="84" t="s">
        <v>74</v>
      </c>
      <c r="K30" s="40" t="str">
        <f>IF(M30='Lista Suspensa'!$F$26,IF(J30="-",I30,J30),"")</f>
        <v/>
      </c>
      <c r="L30" s="25" t="s">
        <v>671</v>
      </c>
      <c r="M30" s="25" t="s">
        <v>635</v>
      </c>
      <c r="N30" s="25">
        <f>VLOOKUP(M30,'Lista Suspensa'!$F$23:$G$27,2,FALSE)</f>
        <v>0</v>
      </c>
      <c r="O30" s="27"/>
    </row>
    <row r="31" spans="1:15" ht="15" customHeight="1" outlineLevel="1" x14ac:dyDescent="0.3">
      <c r="A31" s="53">
        <v>1126</v>
      </c>
      <c r="C31" s="44"/>
      <c r="D31" s="82" t="s">
        <v>672</v>
      </c>
      <c r="E31" s="94"/>
      <c r="F31" s="95"/>
      <c r="G31" s="105">
        <f t="shared" si="0"/>
        <v>11</v>
      </c>
      <c r="H31" s="110">
        <f>I30</f>
        <v>45170</v>
      </c>
      <c r="I31" s="109">
        <v>45181</v>
      </c>
      <c r="J31" s="96" t="s">
        <v>74</v>
      </c>
      <c r="K31" s="40" t="str">
        <f>IF(M31='Lista Suspensa'!$F$26,IF(J31="-",I31,J31),"")</f>
        <v/>
      </c>
      <c r="L31" s="25" t="s">
        <v>657</v>
      </c>
      <c r="M31" s="25" t="s">
        <v>635</v>
      </c>
      <c r="N31" s="25">
        <f>VLOOKUP(M31,'Lista Suspensa'!$F$23:$G$27,2,FALSE)</f>
        <v>0</v>
      </c>
      <c r="O31" s="27"/>
    </row>
    <row r="32" spans="1:15" outlineLevel="1" x14ac:dyDescent="0.3">
      <c r="C32" s="44"/>
      <c r="D32" s="82" t="s">
        <v>673</v>
      </c>
      <c r="E32" s="82"/>
      <c r="F32" s="97"/>
      <c r="G32" s="104">
        <f t="shared" si="0"/>
        <v>11</v>
      </c>
      <c r="H32" s="109">
        <f>H31</f>
        <v>45170</v>
      </c>
      <c r="I32" s="109">
        <v>45181</v>
      </c>
      <c r="J32" s="84" t="s">
        <v>74</v>
      </c>
      <c r="K32" s="40" t="str">
        <f>IF(M32='Lista Suspensa'!$F$26,IF(J32="-",#REF!,J32),"")</f>
        <v/>
      </c>
      <c r="L32" s="25" t="s">
        <v>657</v>
      </c>
      <c r="M32" s="25" t="s">
        <v>635</v>
      </c>
      <c r="N32" s="25">
        <f>VLOOKUP(M32,'Lista Suspensa'!$F$23:$G$27,2,FALSE)</f>
        <v>0</v>
      </c>
      <c r="O32" s="27" t="s">
        <v>674</v>
      </c>
    </row>
    <row r="33" spans="1:15" outlineLevel="1" x14ac:dyDescent="0.3">
      <c r="C33" s="44"/>
      <c r="D33" s="82" t="s">
        <v>675</v>
      </c>
      <c r="E33" s="82"/>
      <c r="F33" s="97"/>
      <c r="G33" s="104">
        <f t="shared" si="0"/>
        <v>1</v>
      </c>
      <c r="H33" s="109">
        <f>I32</f>
        <v>45181</v>
      </c>
      <c r="I33" s="109">
        <v>45182</v>
      </c>
      <c r="J33" s="84" t="s">
        <v>74</v>
      </c>
      <c r="K33" s="40" t="str">
        <f>IF(M33='Lista Suspensa'!$F$26,IF(J33="-",I32,J33),"")</f>
        <v/>
      </c>
      <c r="L33" s="25" t="s">
        <v>657</v>
      </c>
      <c r="M33" s="25" t="s">
        <v>635</v>
      </c>
      <c r="N33" s="25">
        <f>VLOOKUP(M33,'Lista Suspensa'!$F$23:$G$27,2,FALSE)</f>
        <v>0</v>
      </c>
      <c r="O33" s="27"/>
    </row>
    <row r="34" spans="1:15" outlineLevel="1" x14ac:dyDescent="0.3">
      <c r="C34" s="44"/>
      <c r="D34" s="82" t="s">
        <v>676</v>
      </c>
      <c r="E34" s="82"/>
      <c r="F34" s="97"/>
      <c r="G34" s="104">
        <f t="shared" si="0"/>
        <v>1</v>
      </c>
      <c r="H34" s="109">
        <f>H33</f>
        <v>45181</v>
      </c>
      <c r="I34" s="109">
        <v>45182</v>
      </c>
      <c r="J34" s="84" t="s">
        <v>74</v>
      </c>
      <c r="K34" s="40" t="str">
        <f>IF(M34='Lista Suspensa'!$F$26,IF(J34="-",I34,J34),"")</f>
        <v/>
      </c>
      <c r="L34" s="25" t="s">
        <v>657</v>
      </c>
      <c r="M34" s="25" t="s">
        <v>635</v>
      </c>
      <c r="N34" s="25">
        <f>VLOOKUP(M34,'Lista Suspensa'!$F$23:$G$27,2,FALSE)</f>
        <v>0</v>
      </c>
      <c r="O34" s="27"/>
    </row>
    <row r="35" spans="1:15" ht="15" customHeight="1" x14ac:dyDescent="0.3">
      <c r="C35" s="55" t="s">
        <v>677</v>
      </c>
      <c r="D35" s="56"/>
      <c r="E35" s="56"/>
      <c r="F35" s="57"/>
      <c r="G35" s="59">
        <f t="shared" si="0"/>
        <v>20</v>
      </c>
      <c r="H35" s="61">
        <f>MAX(H36:H41)</f>
        <v>45260</v>
      </c>
      <c r="I35" s="61">
        <f>MAX(I36:I41)</f>
        <v>45280</v>
      </c>
      <c r="J35" s="58"/>
      <c r="K35" s="58"/>
      <c r="L35" s="59"/>
      <c r="M35" s="59"/>
      <c r="N35" s="59"/>
      <c r="O35" s="60"/>
    </row>
    <row r="36" spans="1:15" ht="15" customHeight="1" outlineLevel="1" x14ac:dyDescent="0.3">
      <c r="C36" s="44"/>
      <c r="D36" s="82" t="s">
        <v>678</v>
      </c>
      <c r="E36" s="82"/>
      <c r="F36" s="83"/>
      <c r="G36" s="25">
        <f t="shared" si="0"/>
        <v>17</v>
      </c>
      <c r="H36" s="110">
        <f>I34</f>
        <v>45182</v>
      </c>
      <c r="I36" s="109">
        <v>45199</v>
      </c>
      <c r="J36" s="96" t="s">
        <v>74</v>
      </c>
      <c r="K36" s="40" t="str">
        <f>IF(M36='Lista Suspensa'!$F$26,IF(J36="-",I36,J36),"")</f>
        <v/>
      </c>
      <c r="L36" s="25" t="s">
        <v>650</v>
      </c>
      <c r="M36" s="25" t="s">
        <v>635</v>
      </c>
      <c r="N36" s="25">
        <f>VLOOKUP(M36,'Lista Suspensa'!$F$23:$G$27,2,FALSE)</f>
        <v>0</v>
      </c>
      <c r="O36" s="27"/>
    </row>
    <row r="37" spans="1:15" ht="15" customHeight="1" outlineLevel="1" x14ac:dyDescent="0.3">
      <c r="A37" s="53">
        <v>35</v>
      </c>
      <c r="C37" s="44"/>
      <c r="D37" s="82" t="s">
        <v>679</v>
      </c>
      <c r="E37" s="82"/>
      <c r="F37" s="83"/>
      <c r="G37" s="25">
        <f t="shared" si="0"/>
        <v>17</v>
      </c>
      <c r="H37" s="110">
        <f>H36</f>
        <v>45182</v>
      </c>
      <c r="I37" s="109">
        <v>45199</v>
      </c>
      <c r="J37" s="84" t="s">
        <v>74</v>
      </c>
      <c r="K37" s="40" t="str">
        <f>IF(M37='Lista Suspensa'!$F$26,IF(J37="-",I37,J37),"")</f>
        <v/>
      </c>
      <c r="L37" s="25" t="s">
        <v>650</v>
      </c>
      <c r="M37" s="25" t="s">
        <v>635</v>
      </c>
      <c r="N37" s="25">
        <f>VLOOKUP(M37,'Lista Suspensa'!$F$23:$G$27,2,FALSE)</f>
        <v>0</v>
      </c>
      <c r="O37" s="27"/>
    </row>
    <row r="38" spans="1:15" ht="15" customHeight="1" outlineLevel="1" x14ac:dyDescent="0.3">
      <c r="A38" s="53">
        <v>1126</v>
      </c>
      <c r="C38" s="44"/>
      <c r="D38" s="82" t="s">
        <v>680</v>
      </c>
      <c r="E38" s="98"/>
      <c r="F38" s="95"/>
      <c r="G38" s="105">
        <f t="shared" si="0"/>
        <v>17</v>
      </c>
      <c r="H38" s="114">
        <f>H37</f>
        <v>45182</v>
      </c>
      <c r="I38" s="109">
        <v>45199</v>
      </c>
      <c r="J38" s="96" t="s">
        <v>74</v>
      </c>
      <c r="K38" s="40" t="str">
        <f>IF(M38='Lista Suspensa'!$F$26,IF(J38="-",I38,J38),"")</f>
        <v/>
      </c>
      <c r="L38" s="25" t="s">
        <v>650</v>
      </c>
      <c r="M38" s="25" t="s">
        <v>635</v>
      </c>
      <c r="N38" s="25">
        <f>VLOOKUP(M38,'Lista Suspensa'!$F$23:$G$27,2,FALSE)</f>
        <v>0</v>
      </c>
      <c r="O38" s="27"/>
    </row>
    <row r="39" spans="1:15" ht="15" customHeight="1" outlineLevel="1" x14ac:dyDescent="0.3">
      <c r="C39" s="44"/>
      <c r="D39" s="82" t="s">
        <v>681</v>
      </c>
      <c r="E39" s="82"/>
      <c r="F39" s="83"/>
      <c r="G39" s="25">
        <f t="shared" si="0"/>
        <v>31</v>
      </c>
      <c r="H39" s="110">
        <f>I38</f>
        <v>45199</v>
      </c>
      <c r="I39" s="109">
        <v>45230</v>
      </c>
      <c r="J39" s="96" t="s">
        <v>74</v>
      </c>
      <c r="K39" s="40" t="str">
        <f>IF(M39='Lista Suspensa'!$F$26,IF(J39="-",I39,J39),"")</f>
        <v/>
      </c>
      <c r="L39" s="25" t="s">
        <v>650</v>
      </c>
      <c r="M39" s="25" t="s">
        <v>635</v>
      </c>
      <c r="N39" s="25">
        <f>VLOOKUP(M39,'Lista Suspensa'!$F$23:$G$27,2,FALSE)</f>
        <v>0</v>
      </c>
      <c r="O39" s="27"/>
    </row>
    <row r="40" spans="1:15" ht="15" customHeight="1" outlineLevel="1" x14ac:dyDescent="0.3">
      <c r="C40" s="44"/>
      <c r="D40" s="82" t="s">
        <v>682</v>
      </c>
      <c r="E40" s="82"/>
      <c r="F40" s="83"/>
      <c r="G40" s="25">
        <f t="shared" si="0"/>
        <v>30</v>
      </c>
      <c r="H40" s="110">
        <f>I39</f>
        <v>45230</v>
      </c>
      <c r="I40" s="109">
        <v>45260</v>
      </c>
      <c r="J40" s="96" t="s">
        <v>74</v>
      </c>
      <c r="K40" s="40" t="str">
        <f>IF(M40='Lista Suspensa'!$F$26,IF(J40="-",I40,J40),"")</f>
        <v/>
      </c>
      <c r="L40" s="25" t="s">
        <v>650</v>
      </c>
      <c r="M40" s="25" t="s">
        <v>635</v>
      </c>
      <c r="N40" s="25">
        <f>VLOOKUP(M40,'Lista Suspensa'!$F$23:$G$27,2,FALSE)</f>
        <v>0</v>
      </c>
      <c r="O40" s="27"/>
    </row>
    <row r="41" spans="1:15" ht="15" customHeight="1" outlineLevel="1" x14ac:dyDescent="0.3">
      <c r="C41" s="44"/>
      <c r="D41" s="82" t="s">
        <v>683</v>
      </c>
      <c r="E41" s="82"/>
      <c r="F41" s="83"/>
      <c r="G41" s="25">
        <f t="shared" si="0"/>
        <v>20</v>
      </c>
      <c r="H41" s="110">
        <f>I40</f>
        <v>45260</v>
      </c>
      <c r="I41" s="109">
        <v>45280</v>
      </c>
      <c r="J41" s="84" t="s">
        <v>74</v>
      </c>
      <c r="K41" s="40" t="str">
        <f>IF(M41='Lista Suspensa'!$F$26,IF(J41="-",I41,J41),"")</f>
        <v/>
      </c>
      <c r="L41" s="25" t="s">
        <v>650</v>
      </c>
      <c r="M41" s="25" t="s">
        <v>635</v>
      </c>
      <c r="N41" s="25">
        <f>VLOOKUP(M41,'Lista Suspensa'!$F$23:$G$27,2,FALSE)</f>
        <v>0</v>
      </c>
      <c r="O41" s="27"/>
    </row>
    <row r="42" spans="1:15" ht="15" customHeight="1" outlineLevel="1" x14ac:dyDescent="0.3">
      <c r="C42" s="43"/>
      <c r="D42" s="28" t="s">
        <v>684</v>
      </c>
      <c r="E42" s="28"/>
      <c r="F42" s="29"/>
      <c r="G42" s="31">
        <f t="shared" si="0"/>
        <v>0</v>
      </c>
      <c r="H42" s="31"/>
      <c r="I42" s="49"/>
      <c r="J42" s="30"/>
      <c r="K42" s="49"/>
      <c r="L42" s="31"/>
      <c r="M42" s="31"/>
      <c r="N42" s="31"/>
      <c r="O42" s="32"/>
    </row>
    <row r="43" spans="1:15" ht="15" customHeight="1" outlineLevel="2" x14ac:dyDescent="0.3">
      <c r="C43" s="44"/>
      <c r="D43" s="82"/>
      <c r="E43" s="82" t="s">
        <v>685</v>
      </c>
      <c r="F43" s="85"/>
      <c r="G43" s="104">
        <f t="shared" si="0"/>
        <v>0</v>
      </c>
      <c r="H43" s="109">
        <f>I43</f>
        <v>45141</v>
      </c>
      <c r="I43" s="109">
        <v>45141</v>
      </c>
      <c r="J43" s="84" t="s">
        <v>74</v>
      </c>
      <c r="K43" s="40">
        <f>IF(M43='Lista Suspensa'!$F$26,IF(J43="-",I43,J43),"")</f>
        <v>45141</v>
      </c>
      <c r="L43" s="25" t="s">
        <v>652</v>
      </c>
      <c r="M43" s="25" t="s">
        <v>405</v>
      </c>
      <c r="N43" s="25">
        <f>VLOOKUP(M43,'Lista Suspensa'!$F$23:$G$27,2,FALSE)</f>
        <v>3</v>
      </c>
      <c r="O43" s="27"/>
    </row>
    <row r="44" spans="1:15" ht="28.5" customHeight="1" outlineLevel="2" x14ac:dyDescent="0.3">
      <c r="C44" s="44"/>
      <c r="D44" s="82"/>
      <c r="E44" s="82" t="s">
        <v>686</v>
      </c>
      <c r="F44" s="85"/>
      <c r="G44" s="104"/>
      <c r="H44" s="115" t="s">
        <v>687</v>
      </c>
      <c r="I44" s="109">
        <v>45169</v>
      </c>
      <c r="J44" s="84" t="s">
        <v>74</v>
      </c>
      <c r="K44" s="40" t="str">
        <f>IF(M44='Lista Suspensa'!$F$26,IF(J44="-",I44,J44),"")</f>
        <v/>
      </c>
      <c r="L44" s="25" t="s">
        <v>657</v>
      </c>
      <c r="M44" s="33" t="s">
        <v>633</v>
      </c>
      <c r="N44" s="25">
        <f>VLOOKUP(M44,'Lista Suspensa'!$F$23:$G$27,2,FALSE)</f>
        <v>2</v>
      </c>
      <c r="O44" s="27" t="s">
        <v>688</v>
      </c>
    </row>
    <row r="45" spans="1:15" ht="22.35" customHeight="1" outlineLevel="2" x14ac:dyDescent="0.3">
      <c r="C45" s="44"/>
      <c r="D45" s="82"/>
      <c r="E45" s="273" t="s">
        <v>689</v>
      </c>
      <c r="F45" s="274"/>
      <c r="G45" s="104">
        <f>I45-H45</f>
        <v>28</v>
      </c>
      <c r="H45" s="109">
        <f>I43</f>
        <v>45141</v>
      </c>
      <c r="I45" s="109">
        <v>45169</v>
      </c>
      <c r="J45" s="84" t="s">
        <v>74</v>
      </c>
      <c r="K45" s="40" t="str">
        <f>IF(M45='Lista Suspensa'!$F$26,IF(J45="-",I45,J45),"")</f>
        <v/>
      </c>
      <c r="L45" s="25" t="s">
        <v>657</v>
      </c>
      <c r="M45" s="33" t="s">
        <v>633</v>
      </c>
      <c r="N45" s="25">
        <f>VLOOKUP(M45,'Lista Suspensa'!$F$23:$G$27,2,FALSE)</f>
        <v>2</v>
      </c>
      <c r="O45" s="27" t="s">
        <v>690</v>
      </c>
    </row>
    <row r="46" spans="1:15" ht="15" customHeight="1" outlineLevel="2" x14ac:dyDescent="0.3">
      <c r="C46" s="44"/>
      <c r="D46" s="82"/>
      <c r="E46" s="82" t="s">
        <v>691</v>
      </c>
      <c r="F46" s="85"/>
      <c r="G46" s="104">
        <f>I46-H46</f>
        <v>0</v>
      </c>
      <c r="H46" s="109">
        <f>I46</f>
        <v>45169</v>
      </c>
      <c r="I46" s="109">
        <v>45169</v>
      </c>
      <c r="J46" s="84"/>
      <c r="K46" s="40"/>
      <c r="L46" s="25" t="s">
        <v>657</v>
      </c>
      <c r="M46" s="33" t="s">
        <v>635</v>
      </c>
      <c r="N46" s="25">
        <f>VLOOKUP(M46,'Lista Suspensa'!$F$23:$G$27,2,FALSE)</f>
        <v>0</v>
      </c>
      <c r="O46" s="27"/>
    </row>
    <row r="47" spans="1:15" ht="24" customHeight="1" outlineLevel="2" x14ac:dyDescent="0.3">
      <c r="C47" s="44"/>
      <c r="D47" s="82"/>
      <c r="E47" s="82" t="s">
        <v>692</v>
      </c>
      <c r="F47" s="85"/>
      <c r="G47" s="104">
        <f>I47-H47</f>
        <v>14</v>
      </c>
      <c r="H47" s="109">
        <f>H46</f>
        <v>45169</v>
      </c>
      <c r="I47" s="109">
        <v>45183</v>
      </c>
      <c r="J47" s="84" t="s">
        <v>74</v>
      </c>
      <c r="K47" s="40" t="str">
        <f>IF(M47='Lista Suspensa'!$F$26,IF(J47="-",I47,J47),"")</f>
        <v/>
      </c>
      <c r="L47" s="25" t="s">
        <v>657</v>
      </c>
      <c r="M47" s="33" t="s">
        <v>635</v>
      </c>
      <c r="N47" s="25">
        <f>VLOOKUP(M47,'Lista Suspensa'!$F$23:$G$27,2,FALSE)</f>
        <v>0</v>
      </c>
      <c r="O47" s="27" t="s">
        <v>693</v>
      </c>
    </row>
    <row r="48" spans="1:15" ht="15" customHeight="1" outlineLevel="2" x14ac:dyDescent="0.3">
      <c r="C48" s="44"/>
      <c r="D48" s="82"/>
      <c r="E48" s="82" t="s">
        <v>694</v>
      </c>
      <c r="F48" s="85"/>
      <c r="G48" s="104"/>
      <c r="H48" s="115" t="s">
        <v>687</v>
      </c>
      <c r="I48" s="109" t="s">
        <v>687</v>
      </c>
      <c r="J48" s="84" t="s">
        <v>74</v>
      </c>
      <c r="K48" s="40" t="str">
        <f>IF(M48='Lista Suspensa'!$F$26,IF(J48="-",I48,J48),"")</f>
        <v/>
      </c>
      <c r="L48" s="25" t="s">
        <v>657</v>
      </c>
      <c r="M48" s="33" t="s">
        <v>635</v>
      </c>
      <c r="N48" s="25">
        <f>VLOOKUP(M48,'Lista Suspensa'!$F$23:$G$27,2,FALSE)</f>
        <v>0</v>
      </c>
      <c r="O48" s="27" t="s">
        <v>695</v>
      </c>
    </row>
    <row r="49" spans="1:15" ht="25.5" customHeight="1" outlineLevel="2" x14ac:dyDescent="0.3">
      <c r="A49" s="53">
        <v>1172</v>
      </c>
      <c r="C49" s="44"/>
      <c r="D49" s="82"/>
      <c r="E49" s="82" t="s">
        <v>696</v>
      </c>
      <c r="F49" s="83"/>
      <c r="G49" s="25"/>
      <c r="H49" s="116" t="s">
        <v>687</v>
      </c>
      <c r="I49" s="109" t="s">
        <v>687</v>
      </c>
      <c r="J49" s="84" t="s">
        <v>74</v>
      </c>
      <c r="K49" s="84" t="str">
        <f>IF(M49='Lista Suspensa'!$F$26,IF(J49="-",I49,J49),"")</f>
        <v/>
      </c>
      <c r="L49" s="25" t="s">
        <v>657</v>
      </c>
      <c r="M49" s="25" t="s">
        <v>635</v>
      </c>
      <c r="N49" s="25">
        <f>VLOOKUP(M49,'Lista Suspensa'!$F$23:$G$27,2,FALSE)</f>
        <v>0</v>
      </c>
      <c r="O49" s="27" t="s">
        <v>697</v>
      </c>
    </row>
    <row r="50" spans="1:15" ht="15" customHeight="1" x14ac:dyDescent="0.3">
      <c r="C50" s="76" t="s">
        <v>698</v>
      </c>
      <c r="D50" s="77"/>
      <c r="E50" s="77"/>
      <c r="F50" s="78"/>
      <c r="G50" s="80"/>
      <c r="H50" s="80"/>
      <c r="I50" s="62"/>
      <c r="J50" s="79"/>
      <c r="K50" s="79"/>
      <c r="L50" s="80"/>
      <c r="M50" s="80"/>
      <c r="N50" s="80"/>
      <c r="O50" s="81"/>
    </row>
    <row r="51" spans="1:15" ht="15" customHeight="1" x14ac:dyDescent="0.3">
      <c r="C51" s="63" t="s">
        <v>699</v>
      </c>
      <c r="D51" s="64"/>
      <c r="E51" s="64"/>
      <c r="F51" s="65"/>
      <c r="G51" s="68">
        <f t="shared" ref="G51:G82" si="1">I51-H51</f>
        <v>60</v>
      </c>
      <c r="H51" s="66">
        <v>45152</v>
      </c>
      <c r="I51" s="66">
        <v>45212</v>
      </c>
      <c r="J51" s="67"/>
      <c r="K51" s="67" t="s">
        <v>700</v>
      </c>
      <c r="L51" s="68"/>
      <c r="M51" s="68"/>
      <c r="N51" s="68"/>
      <c r="O51" s="26"/>
    </row>
    <row r="52" spans="1:15" ht="15" customHeight="1" x14ac:dyDescent="0.3">
      <c r="C52" s="43"/>
      <c r="D52" s="28" t="s">
        <v>701</v>
      </c>
      <c r="E52" s="28"/>
      <c r="F52" s="29"/>
      <c r="G52" s="31">
        <f t="shared" si="1"/>
        <v>8</v>
      </c>
      <c r="H52" s="49">
        <v>45152</v>
      </c>
      <c r="I52" s="49">
        <v>45160</v>
      </c>
      <c r="J52" s="30"/>
      <c r="K52" s="49" t="s">
        <v>700</v>
      </c>
      <c r="L52" s="31"/>
      <c r="M52" s="31"/>
      <c r="N52" s="31"/>
      <c r="O52" s="32"/>
    </row>
    <row r="53" spans="1:15" ht="15" customHeight="1" outlineLevel="1" x14ac:dyDescent="0.3">
      <c r="A53" s="53">
        <v>36</v>
      </c>
      <c r="C53" s="86"/>
      <c r="D53" s="82"/>
      <c r="E53" s="82" t="s">
        <v>702</v>
      </c>
      <c r="F53" s="82"/>
      <c r="G53" s="25">
        <f t="shared" si="1"/>
        <v>8</v>
      </c>
      <c r="H53" s="109">
        <v>45152</v>
      </c>
      <c r="I53" s="109">
        <v>45160</v>
      </c>
      <c r="J53" s="84" t="s">
        <v>74</v>
      </c>
      <c r="K53" s="40" t="s">
        <v>700</v>
      </c>
      <c r="L53" s="25" t="s">
        <v>657</v>
      </c>
      <c r="M53" s="33" t="s">
        <v>633</v>
      </c>
      <c r="N53" s="25">
        <f>VLOOKUP(M53,'Lista Suspensa'!$F$23:$G$27,2,FALSE)</f>
        <v>2</v>
      </c>
      <c r="O53" s="27" t="s">
        <v>703</v>
      </c>
    </row>
    <row r="54" spans="1:15" outlineLevel="1" x14ac:dyDescent="0.3">
      <c r="C54" s="87"/>
      <c r="D54" s="5"/>
      <c r="E54" s="5" t="s">
        <v>704</v>
      </c>
      <c r="F54" s="6"/>
      <c r="G54" s="6">
        <f t="shared" si="1"/>
        <v>8</v>
      </c>
      <c r="H54" s="109">
        <v>45152</v>
      </c>
      <c r="I54" s="109">
        <v>45160</v>
      </c>
      <c r="J54" s="6"/>
      <c r="K54" s="40" t="s">
        <v>700</v>
      </c>
      <c r="L54" s="25" t="s">
        <v>657</v>
      </c>
      <c r="M54" s="33" t="s">
        <v>633</v>
      </c>
      <c r="N54" s="25">
        <f>VLOOKUP(M54,'Lista Suspensa'!$F$23:$G$27,2,FALSE)</f>
        <v>2</v>
      </c>
      <c r="O54" s="99"/>
    </row>
    <row r="55" spans="1:15" outlineLevel="1" x14ac:dyDescent="0.3">
      <c r="C55" s="87"/>
      <c r="D55" s="5"/>
      <c r="E55" s="5" t="s">
        <v>705</v>
      </c>
      <c r="F55" s="6"/>
      <c r="G55" s="6">
        <f t="shared" si="1"/>
        <v>8</v>
      </c>
      <c r="H55" s="109">
        <v>45152</v>
      </c>
      <c r="I55" s="109">
        <v>45160</v>
      </c>
      <c r="J55" s="6"/>
      <c r="K55" s="40" t="s">
        <v>700</v>
      </c>
      <c r="L55" s="25" t="s">
        <v>657</v>
      </c>
      <c r="M55" s="33" t="s">
        <v>633</v>
      </c>
      <c r="N55" s="25">
        <f>VLOOKUP(M55,'Lista Suspensa'!$F$23:$G$27,2,FALSE)</f>
        <v>2</v>
      </c>
      <c r="O55" s="99"/>
    </row>
    <row r="56" spans="1:15" outlineLevel="1" x14ac:dyDescent="0.3">
      <c r="C56" s="87"/>
      <c r="D56" s="5"/>
      <c r="E56" s="5" t="s">
        <v>706</v>
      </c>
      <c r="F56" s="6"/>
      <c r="G56" s="6">
        <f t="shared" si="1"/>
        <v>8</v>
      </c>
      <c r="H56" s="109">
        <v>45152</v>
      </c>
      <c r="I56" s="109">
        <v>45160</v>
      </c>
      <c r="J56" s="6"/>
      <c r="K56" s="40" t="s">
        <v>700</v>
      </c>
      <c r="L56" s="25" t="s">
        <v>657</v>
      </c>
      <c r="M56" s="33" t="s">
        <v>633</v>
      </c>
      <c r="N56" s="25">
        <f>VLOOKUP(M56,'Lista Suspensa'!$F$23:$G$27,2,FALSE)</f>
        <v>2</v>
      </c>
      <c r="O56" s="99"/>
    </row>
    <row r="57" spans="1:15" outlineLevel="1" x14ac:dyDescent="0.3">
      <c r="C57" s="87"/>
      <c r="D57" s="5"/>
      <c r="E57" s="5" t="s">
        <v>707</v>
      </c>
      <c r="F57" s="6"/>
      <c r="G57" s="6">
        <f t="shared" si="1"/>
        <v>8</v>
      </c>
      <c r="H57" s="109">
        <v>45152</v>
      </c>
      <c r="I57" s="109">
        <v>45160</v>
      </c>
      <c r="J57" s="6"/>
      <c r="K57" s="40" t="s">
        <v>700</v>
      </c>
      <c r="L57" s="25" t="s">
        <v>657</v>
      </c>
      <c r="M57" s="33" t="s">
        <v>633</v>
      </c>
      <c r="N57" s="25">
        <f>VLOOKUP(M57,'Lista Suspensa'!$F$23:$G$27,2,FALSE)</f>
        <v>2</v>
      </c>
      <c r="O57" s="99"/>
    </row>
    <row r="58" spans="1:15" outlineLevel="1" x14ac:dyDescent="0.3">
      <c r="C58" s="87"/>
      <c r="D58" s="5"/>
      <c r="E58" s="5" t="s">
        <v>708</v>
      </c>
      <c r="F58" s="6"/>
      <c r="G58" s="6">
        <f t="shared" si="1"/>
        <v>1</v>
      </c>
      <c r="H58" s="109">
        <v>45160</v>
      </c>
      <c r="I58" s="109">
        <v>45161</v>
      </c>
      <c r="J58" s="6"/>
      <c r="K58" s="40" t="s">
        <v>700</v>
      </c>
      <c r="L58" s="25" t="s">
        <v>657</v>
      </c>
      <c r="M58" s="33" t="s">
        <v>635</v>
      </c>
      <c r="N58" s="25">
        <f>VLOOKUP(M58,'Lista Suspensa'!$F$23:$G$27,2,FALSE)</f>
        <v>0</v>
      </c>
      <c r="O58" s="99"/>
    </row>
    <row r="59" spans="1:15" x14ac:dyDescent="0.3">
      <c r="C59" s="43"/>
      <c r="D59" s="28" t="s">
        <v>709</v>
      </c>
      <c r="E59" s="28"/>
      <c r="F59" s="29"/>
      <c r="G59" s="31">
        <f t="shared" si="1"/>
        <v>10</v>
      </c>
      <c r="H59" s="49">
        <v>45157</v>
      </c>
      <c r="I59" s="49">
        <v>45167</v>
      </c>
      <c r="J59" s="30"/>
      <c r="K59" s="40" t="s">
        <v>700</v>
      </c>
      <c r="L59" s="31"/>
      <c r="M59" s="31"/>
      <c r="N59" s="31"/>
      <c r="O59" s="32"/>
    </row>
    <row r="60" spans="1:15" outlineLevel="1" x14ac:dyDescent="0.3">
      <c r="C60" s="87"/>
      <c r="D60" s="5"/>
      <c r="E60" s="5" t="s">
        <v>710</v>
      </c>
      <c r="F60" s="6"/>
      <c r="G60" s="6">
        <f t="shared" si="1"/>
        <v>10</v>
      </c>
      <c r="H60" s="109">
        <v>45157</v>
      </c>
      <c r="I60" s="109">
        <v>45167</v>
      </c>
      <c r="J60" s="6"/>
      <c r="K60" s="40" t="s">
        <v>700</v>
      </c>
      <c r="L60" s="25" t="s">
        <v>657</v>
      </c>
      <c r="M60" s="33" t="s">
        <v>635</v>
      </c>
      <c r="N60" s="25">
        <f>VLOOKUP(M60,'Lista Suspensa'!$F$23:$G$27,2,FALSE)</f>
        <v>0</v>
      </c>
      <c r="O60" s="99"/>
    </row>
    <row r="61" spans="1:15" outlineLevel="1" x14ac:dyDescent="0.3">
      <c r="C61" s="87"/>
      <c r="D61" s="5"/>
      <c r="E61" s="5" t="s">
        <v>711</v>
      </c>
      <c r="F61" s="6"/>
      <c r="G61" s="6">
        <f t="shared" si="1"/>
        <v>10</v>
      </c>
      <c r="H61" s="109">
        <v>45157</v>
      </c>
      <c r="I61" s="109">
        <v>45167</v>
      </c>
      <c r="J61" s="6"/>
      <c r="K61" s="40" t="s">
        <v>700</v>
      </c>
      <c r="L61" s="25" t="s">
        <v>657</v>
      </c>
      <c r="M61" s="33" t="s">
        <v>635</v>
      </c>
      <c r="N61" s="25">
        <f>VLOOKUP(M61,'Lista Suspensa'!$F$23:$G$27,2,FALSE)</f>
        <v>0</v>
      </c>
      <c r="O61" s="99"/>
    </row>
    <row r="62" spans="1:15" outlineLevel="1" x14ac:dyDescent="0.3">
      <c r="C62" s="87"/>
      <c r="D62" s="5"/>
      <c r="E62" s="5" t="s">
        <v>712</v>
      </c>
      <c r="F62" s="6"/>
      <c r="G62" s="6">
        <f t="shared" si="1"/>
        <v>10</v>
      </c>
      <c r="H62" s="109">
        <v>45157</v>
      </c>
      <c r="I62" s="109">
        <v>45167</v>
      </c>
      <c r="J62" s="6"/>
      <c r="K62" s="40" t="s">
        <v>700</v>
      </c>
      <c r="L62" s="25" t="s">
        <v>657</v>
      </c>
      <c r="M62" s="33" t="s">
        <v>635</v>
      </c>
      <c r="N62" s="25">
        <f>VLOOKUP(M62,'Lista Suspensa'!$F$23:$G$27,2,FALSE)</f>
        <v>0</v>
      </c>
      <c r="O62" s="99"/>
    </row>
    <row r="63" spans="1:15" outlineLevel="1" x14ac:dyDescent="0.3">
      <c r="C63" s="87"/>
      <c r="D63" s="5"/>
      <c r="E63" s="5" t="s">
        <v>713</v>
      </c>
      <c r="F63" s="6"/>
      <c r="G63" s="6">
        <f t="shared" si="1"/>
        <v>10</v>
      </c>
      <c r="H63" s="109">
        <v>45157</v>
      </c>
      <c r="I63" s="109">
        <v>45167</v>
      </c>
      <c r="J63" s="6"/>
      <c r="K63" s="40" t="s">
        <v>700</v>
      </c>
      <c r="L63" s="25" t="s">
        <v>657</v>
      </c>
      <c r="M63" s="33" t="s">
        <v>635</v>
      </c>
      <c r="N63" s="25">
        <f>VLOOKUP(M63,'Lista Suspensa'!$F$23:$G$27,2,FALSE)</f>
        <v>0</v>
      </c>
      <c r="O63" s="99"/>
    </row>
    <row r="64" spans="1:15" x14ac:dyDescent="0.3">
      <c r="C64" s="43"/>
      <c r="D64" s="28" t="s">
        <v>714</v>
      </c>
      <c r="E64" s="28"/>
      <c r="F64" s="29"/>
      <c r="G64" s="31">
        <f t="shared" si="1"/>
        <v>30</v>
      </c>
      <c r="H64" s="49">
        <v>45167</v>
      </c>
      <c r="I64" s="49">
        <v>45197</v>
      </c>
      <c r="J64" s="30"/>
      <c r="K64" s="40" t="s">
        <v>700</v>
      </c>
      <c r="L64" s="31"/>
      <c r="M64" s="31"/>
      <c r="N64" s="31"/>
      <c r="O64" s="32"/>
    </row>
    <row r="65" spans="1:15" outlineLevel="1" x14ac:dyDescent="0.3">
      <c r="C65" s="87"/>
      <c r="D65" s="5"/>
      <c r="E65" s="5" t="s">
        <v>715</v>
      </c>
      <c r="F65" s="6"/>
      <c r="G65" s="6">
        <f t="shared" si="1"/>
        <v>30</v>
      </c>
      <c r="H65" s="109">
        <v>45167</v>
      </c>
      <c r="I65" s="109">
        <v>45197</v>
      </c>
      <c r="J65" s="6"/>
      <c r="K65" s="40" t="s">
        <v>700</v>
      </c>
      <c r="L65" s="25" t="s">
        <v>657</v>
      </c>
      <c r="M65" s="33" t="s">
        <v>635</v>
      </c>
      <c r="N65" s="25">
        <f>VLOOKUP(M65,'Lista Suspensa'!$F$23:$G$27,2,FALSE)</f>
        <v>0</v>
      </c>
      <c r="O65" s="99"/>
    </row>
    <row r="66" spans="1:15" outlineLevel="1" x14ac:dyDescent="0.3">
      <c r="C66" s="87"/>
      <c r="D66" s="5"/>
      <c r="E66" s="5" t="s">
        <v>716</v>
      </c>
      <c r="F66" s="6"/>
      <c r="G66" s="6">
        <f t="shared" si="1"/>
        <v>30</v>
      </c>
      <c r="H66" s="109">
        <v>45167</v>
      </c>
      <c r="I66" s="109">
        <v>45197</v>
      </c>
      <c r="J66" s="6"/>
      <c r="K66" s="40" t="s">
        <v>700</v>
      </c>
      <c r="L66" s="25" t="s">
        <v>657</v>
      </c>
      <c r="M66" s="33" t="s">
        <v>635</v>
      </c>
      <c r="N66" s="25">
        <f>VLOOKUP(M66,'Lista Suspensa'!$F$23:$G$27,2,FALSE)</f>
        <v>0</v>
      </c>
      <c r="O66" s="99"/>
    </row>
    <row r="67" spans="1:15" outlineLevel="1" x14ac:dyDescent="0.3">
      <c r="C67" s="87"/>
      <c r="D67" s="5"/>
      <c r="E67" s="5" t="s">
        <v>717</v>
      </c>
      <c r="F67" s="6"/>
      <c r="G67" s="6">
        <f t="shared" si="1"/>
        <v>30</v>
      </c>
      <c r="H67" s="109">
        <v>45167</v>
      </c>
      <c r="I67" s="109">
        <v>45197</v>
      </c>
      <c r="J67" s="6"/>
      <c r="K67" s="40" t="s">
        <v>700</v>
      </c>
      <c r="L67" s="25" t="s">
        <v>657</v>
      </c>
      <c r="M67" s="33" t="s">
        <v>635</v>
      </c>
      <c r="N67" s="25">
        <f>VLOOKUP(M67,'Lista Suspensa'!$F$23:$G$27,2,FALSE)</f>
        <v>0</v>
      </c>
      <c r="O67" s="99"/>
    </row>
    <row r="68" spans="1:15" x14ac:dyDescent="0.3">
      <c r="C68" s="43"/>
      <c r="D68" s="28" t="s">
        <v>718</v>
      </c>
      <c r="E68" s="28"/>
      <c r="F68" s="29"/>
      <c r="G68" s="31">
        <f t="shared" si="1"/>
        <v>15</v>
      </c>
      <c r="H68" s="49">
        <v>45197</v>
      </c>
      <c r="I68" s="49">
        <v>45212</v>
      </c>
      <c r="J68" s="30"/>
      <c r="K68" s="40" t="s">
        <v>700</v>
      </c>
      <c r="L68" s="31"/>
      <c r="M68" s="31"/>
      <c r="N68" s="31"/>
      <c r="O68" s="32"/>
    </row>
    <row r="69" spans="1:15" outlineLevel="1" x14ac:dyDescent="0.3">
      <c r="C69" s="87"/>
      <c r="D69" s="5"/>
      <c r="E69" s="5" t="s">
        <v>719</v>
      </c>
      <c r="F69" s="6"/>
      <c r="G69" s="6">
        <f t="shared" si="1"/>
        <v>15</v>
      </c>
      <c r="H69" s="109">
        <v>45197</v>
      </c>
      <c r="I69" s="109">
        <v>45212</v>
      </c>
      <c r="J69" s="6"/>
      <c r="K69" s="40" t="s">
        <v>700</v>
      </c>
      <c r="L69" s="25" t="s">
        <v>657</v>
      </c>
      <c r="M69" s="33" t="s">
        <v>635</v>
      </c>
      <c r="N69" s="25">
        <f>VLOOKUP(M69,'Lista Suspensa'!$F$23:$G$27,2,FALSE)</f>
        <v>0</v>
      </c>
      <c r="O69" s="99"/>
    </row>
    <row r="70" spans="1:15" outlineLevel="1" x14ac:dyDescent="0.3">
      <c r="C70" s="87"/>
      <c r="D70" s="5"/>
      <c r="E70" s="5" t="s">
        <v>720</v>
      </c>
      <c r="F70" s="6"/>
      <c r="G70" s="6">
        <f t="shared" si="1"/>
        <v>15</v>
      </c>
      <c r="H70" s="109">
        <v>45197</v>
      </c>
      <c r="I70" s="109">
        <v>45212</v>
      </c>
      <c r="J70" s="6"/>
      <c r="K70" s="40" t="s">
        <v>700</v>
      </c>
      <c r="L70" s="25" t="s">
        <v>657</v>
      </c>
      <c r="M70" s="33" t="s">
        <v>635</v>
      </c>
      <c r="N70" s="25">
        <f>VLOOKUP(M70,'Lista Suspensa'!$F$23:$G$27,2,FALSE)</f>
        <v>0</v>
      </c>
      <c r="O70" s="99"/>
    </row>
    <row r="71" spans="1:15" outlineLevel="1" x14ac:dyDescent="0.3">
      <c r="C71" s="87"/>
      <c r="D71" s="5"/>
      <c r="E71" s="5" t="s">
        <v>721</v>
      </c>
      <c r="F71" s="6"/>
      <c r="G71" s="6">
        <f t="shared" si="1"/>
        <v>15</v>
      </c>
      <c r="H71" s="109">
        <v>45197</v>
      </c>
      <c r="I71" s="109">
        <v>45212</v>
      </c>
      <c r="J71" s="6"/>
      <c r="K71" s="40" t="s">
        <v>700</v>
      </c>
      <c r="L71" s="25" t="s">
        <v>657</v>
      </c>
      <c r="M71" s="33" t="s">
        <v>635</v>
      </c>
      <c r="N71" s="25">
        <f>VLOOKUP(M71,'Lista Suspensa'!$F$23:$G$27,2,FALSE)</f>
        <v>0</v>
      </c>
      <c r="O71" s="99"/>
    </row>
    <row r="72" spans="1:15" outlineLevel="1" x14ac:dyDescent="0.3">
      <c r="C72" s="87"/>
      <c r="D72" s="5"/>
      <c r="E72" s="5" t="s">
        <v>722</v>
      </c>
      <c r="F72" s="6"/>
      <c r="G72" s="6">
        <f t="shared" si="1"/>
        <v>15</v>
      </c>
      <c r="H72" s="109">
        <v>45197</v>
      </c>
      <c r="I72" s="109">
        <v>45212</v>
      </c>
      <c r="J72" s="6"/>
      <c r="K72" s="40" t="s">
        <v>700</v>
      </c>
      <c r="L72" s="25" t="s">
        <v>657</v>
      </c>
      <c r="M72" s="33" t="s">
        <v>635</v>
      </c>
      <c r="N72" s="25">
        <f>VLOOKUP(M72,'Lista Suspensa'!$F$23:$G$27,2,FALSE)</f>
        <v>0</v>
      </c>
      <c r="O72" s="99"/>
    </row>
    <row r="73" spans="1:15" ht="15" customHeight="1" x14ac:dyDescent="0.3">
      <c r="C73" s="63" t="s">
        <v>723</v>
      </c>
      <c r="D73" s="64"/>
      <c r="E73" s="64"/>
      <c r="F73" s="65"/>
      <c r="G73" s="68">
        <f t="shared" si="1"/>
        <v>60</v>
      </c>
      <c r="H73" s="66">
        <v>45157</v>
      </c>
      <c r="I73" s="66">
        <v>45217</v>
      </c>
      <c r="J73" s="67"/>
      <c r="K73" s="67"/>
      <c r="L73" s="68"/>
      <c r="M73" s="68"/>
      <c r="N73" s="68"/>
      <c r="O73" s="26"/>
    </row>
    <row r="74" spans="1:15" ht="15" customHeight="1" x14ac:dyDescent="0.3">
      <c r="C74" s="43"/>
      <c r="D74" s="28" t="s">
        <v>701</v>
      </c>
      <c r="E74" s="28"/>
      <c r="F74" s="29"/>
      <c r="G74" s="31">
        <f t="shared" si="1"/>
        <v>5</v>
      </c>
      <c r="H74" s="49">
        <v>45157</v>
      </c>
      <c r="I74" s="49">
        <v>45162</v>
      </c>
      <c r="J74" s="30"/>
      <c r="K74" s="49"/>
      <c r="L74" s="31"/>
      <c r="M74" s="31"/>
      <c r="N74" s="31"/>
      <c r="O74" s="32"/>
    </row>
    <row r="75" spans="1:15" ht="15" customHeight="1" outlineLevel="1" x14ac:dyDescent="0.3">
      <c r="A75" s="53">
        <v>36</v>
      </c>
      <c r="C75" s="86"/>
      <c r="D75" s="82"/>
      <c r="E75" s="82" t="s">
        <v>702</v>
      </c>
      <c r="F75" s="82"/>
      <c r="G75" s="25">
        <f t="shared" si="1"/>
        <v>5</v>
      </c>
      <c r="H75" s="109">
        <v>45157</v>
      </c>
      <c r="I75" s="109">
        <v>45162</v>
      </c>
      <c r="J75" s="84" t="s">
        <v>74</v>
      </c>
      <c r="K75" s="40" t="str">
        <f>IF(M75='Lista Suspensa'!$F$26,IF(J75="-",I75,J75),"")</f>
        <v/>
      </c>
      <c r="L75" s="25" t="s">
        <v>657</v>
      </c>
      <c r="M75" s="33" t="s">
        <v>635</v>
      </c>
      <c r="N75" s="25">
        <f>VLOOKUP(M75,'Lista Suspensa'!$F$23:$G$27,2,FALSE)</f>
        <v>0</v>
      </c>
      <c r="O75" s="27"/>
    </row>
    <row r="76" spans="1:15" outlineLevel="1" x14ac:dyDescent="0.3">
      <c r="C76" s="87"/>
      <c r="D76" s="5"/>
      <c r="E76" s="5" t="s">
        <v>704</v>
      </c>
      <c r="F76" s="6"/>
      <c r="G76" s="6">
        <f t="shared" si="1"/>
        <v>5</v>
      </c>
      <c r="H76" s="109">
        <v>45157</v>
      </c>
      <c r="I76" s="109">
        <v>45162</v>
      </c>
      <c r="J76" s="6"/>
      <c r="K76" s="40" t="str">
        <f>IF(M76='Lista Suspensa'!$F$26,IF(J76="-",I76,J76),"")</f>
        <v/>
      </c>
      <c r="L76" s="25" t="s">
        <v>657</v>
      </c>
      <c r="M76" s="33" t="s">
        <v>635</v>
      </c>
      <c r="N76" s="25">
        <f>VLOOKUP(M76,'Lista Suspensa'!$F$23:$G$27,2,FALSE)</f>
        <v>0</v>
      </c>
      <c r="O76" s="99"/>
    </row>
    <row r="77" spans="1:15" outlineLevel="1" x14ac:dyDescent="0.3">
      <c r="C77" s="87"/>
      <c r="D77" s="5"/>
      <c r="E77" s="5" t="s">
        <v>705</v>
      </c>
      <c r="F77" s="6"/>
      <c r="G77" s="6">
        <f t="shared" si="1"/>
        <v>5</v>
      </c>
      <c r="H77" s="109">
        <v>45157</v>
      </c>
      <c r="I77" s="109">
        <v>45162</v>
      </c>
      <c r="J77" s="6"/>
      <c r="K77" s="40" t="str">
        <f>IF(M77='Lista Suspensa'!$F$26,IF(J77="-",I77,J77),"")</f>
        <v/>
      </c>
      <c r="L77" s="25" t="s">
        <v>657</v>
      </c>
      <c r="M77" s="33" t="s">
        <v>635</v>
      </c>
      <c r="N77" s="25">
        <f>VLOOKUP(M77,'Lista Suspensa'!$F$23:$G$27,2,FALSE)</f>
        <v>0</v>
      </c>
      <c r="O77" s="99"/>
    </row>
    <row r="78" spans="1:15" outlineLevel="1" x14ac:dyDescent="0.3">
      <c r="C78" s="87"/>
      <c r="D78" s="5"/>
      <c r="E78" s="5" t="s">
        <v>706</v>
      </c>
      <c r="F78" s="6"/>
      <c r="G78" s="6">
        <f t="shared" si="1"/>
        <v>5</v>
      </c>
      <c r="H78" s="109">
        <v>45157</v>
      </c>
      <c r="I78" s="109">
        <v>45162</v>
      </c>
      <c r="J78" s="6"/>
      <c r="K78" s="40" t="str">
        <f>IF(M78='Lista Suspensa'!$F$26,IF(J78="-",I78,J78),"")</f>
        <v/>
      </c>
      <c r="L78" s="25" t="s">
        <v>657</v>
      </c>
      <c r="M78" s="33" t="s">
        <v>635</v>
      </c>
      <c r="N78" s="25">
        <f>VLOOKUP(M78,'Lista Suspensa'!$F$23:$G$27,2,FALSE)</f>
        <v>0</v>
      </c>
      <c r="O78" s="99"/>
    </row>
    <row r="79" spans="1:15" outlineLevel="1" x14ac:dyDescent="0.3">
      <c r="C79" s="87"/>
      <c r="D79" s="5"/>
      <c r="E79" s="5" t="s">
        <v>707</v>
      </c>
      <c r="F79" s="6"/>
      <c r="G79" s="6">
        <f t="shared" si="1"/>
        <v>5</v>
      </c>
      <c r="H79" s="109">
        <v>45157</v>
      </c>
      <c r="I79" s="109">
        <v>45162</v>
      </c>
      <c r="J79" s="6"/>
      <c r="K79" s="40" t="str">
        <f>IF(M79='Lista Suspensa'!$F$26,IF(J79="-",I79,J79),"")</f>
        <v/>
      </c>
      <c r="L79" s="25" t="s">
        <v>657</v>
      </c>
      <c r="M79" s="33" t="s">
        <v>635</v>
      </c>
      <c r="N79" s="25">
        <f>VLOOKUP(M79,'Lista Suspensa'!$F$23:$G$27,2,FALSE)</f>
        <v>0</v>
      </c>
      <c r="O79" s="99"/>
    </row>
    <row r="80" spans="1:15" outlineLevel="1" x14ac:dyDescent="0.3">
      <c r="C80" s="87"/>
      <c r="D80" s="5"/>
      <c r="E80" s="5" t="s">
        <v>708</v>
      </c>
      <c r="F80" s="6"/>
      <c r="G80" s="6">
        <f t="shared" si="1"/>
        <v>5</v>
      </c>
      <c r="H80" s="109">
        <v>45157</v>
      </c>
      <c r="I80" s="109">
        <v>45162</v>
      </c>
      <c r="J80" s="6"/>
      <c r="K80" s="40" t="str">
        <f>IF(M80='Lista Suspensa'!$F$26,IF(J80="-",I80,J80),"")</f>
        <v/>
      </c>
      <c r="L80" s="25" t="s">
        <v>657</v>
      </c>
      <c r="M80" s="33" t="s">
        <v>635</v>
      </c>
      <c r="N80" s="25">
        <f>VLOOKUP(M80,'Lista Suspensa'!$F$23:$G$27,2,FALSE)</f>
        <v>0</v>
      </c>
      <c r="O80" s="99"/>
    </row>
    <row r="81" spans="3:15" x14ac:dyDescent="0.3">
      <c r="C81" s="43"/>
      <c r="D81" s="28" t="s">
        <v>709</v>
      </c>
      <c r="E81" s="28"/>
      <c r="F81" s="29"/>
      <c r="G81" s="31">
        <f t="shared" si="1"/>
        <v>10</v>
      </c>
      <c r="H81" s="49">
        <v>45162</v>
      </c>
      <c r="I81" s="49">
        <v>45172</v>
      </c>
      <c r="J81" s="30"/>
      <c r="K81" s="49"/>
      <c r="L81" s="31"/>
      <c r="M81" s="31"/>
      <c r="N81" s="31"/>
      <c r="O81" s="32"/>
    </row>
    <row r="82" spans="3:15" outlineLevel="1" x14ac:dyDescent="0.3">
      <c r="C82" s="87"/>
      <c r="D82" s="5"/>
      <c r="E82" s="5" t="s">
        <v>710</v>
      </c>
      <c r="F82" s="6"/>
      <c r="G82" s="6">
        <f t="shared" si="1"/>
        <v>10</v>
      </c>
      <c r="H82" s="109">
        <v>45162</v>
      </c>
      <c r="I82" s="109">
        <v>45172</v>
      </c>
      <c r="J82" s="6"/>
      <c r="K82" s="40" t="str">
        <f>IF(M82='Lista Suspensa'!$F$26,IF(J82="-",I82,J82),"")</f>
        <v/>
      </c>
      <c r="L82" s="25" t="s">
        <v>657</v>
      </c>
      <c r="M82" s="33" t="s">
        <v>635</v>
      </c>
      <c r="N82" s="25">
        <f>VLOOKUP(M82,'Lista Suspensa'!$F$23:$G$27,2,FALSE)</f>
        <v>0</v>
      </c>
      <c r="O82" s="99"/>
    </row>
    <row r="83" spans="3:15" outlineLevel="1" x14ac:dyDescent="0.3">
      <c r="C83" s="87"/>
      <c r="D83" s="5"/>
      <c r="E83" s="5" t="s">
        <v>711</v>
      </c>
      <c r="F83" s="6"/>
      <c r="G83" s="6">
        <f t="shared" ref="G83:G114" si="2">I83-H83</f>
        <v>10</v>
      </c>
      <c r="H83" s="109">
        <v>45162</v>
      </c>
      <c r="I83" s="109">
        <v>45172</v>
      </c>
      <c r="J83" s="6"/>
      <c r="K83" s="40" t="str">
        <f>IF(M83='Lista Suspensa'!$F$26,IF(J83="-",I83,J83),"")</f>
        <v/>
      </c>
      <c r="L83" s="25" t="s">
        <v>657</v>
      </c>
      <c r="M83" s="33" t="s">
        <v>635</v>
      </c>
      <c r="N83" s="25">
        <f>VLOOKUP(M83,'Lista Suspensa'!$F$23:$G$27,2,FALSE)</f>
        <v>0</v>
      </c>
      <c r="O83" s="99"/>
    </row>
    <row r="84" spans="3:15" outlineLevel="1" x14ac:dyDescent="0.3">
      <c r="C84" s="87"/>
      <c r="D84" s="5"/>
      <c r="E84" s="5" t="s">
        <v>712</v>
      </c>
      <c r="F84" s="6"/>
      <c r="G84" s="6">
        <f t="shared" si="2"/>
        <v>10</v>
      </c>
      <c r="H84" s="109">
        <v>45162</v>
      </c>
      <c r="I84" s="109">
        <v>45172</v>
      </c>
      <c r="J84" s="6"/>
      <c r="K84" s="40" t="str">
        <f>IF(M84='Lista Suspensa'!$F$26,IF(J84="-",I84,J84),"")</f>
        <v/>
      </c>
      <c r="L84" s="25" t="s">
        <v>657</v>
      </c>
      <c r="M84" s="33" t="s">
        <v>635</v>
      </c>
      <c r="N84" s="25">
        <f>VLOOKUP(M84,'Lista Suspensa'!$F$23:$G$27,2,FALSE)</f>
        <v>0</v>
      </c>
      <c r="O84" s="99"/>
    </row>
    <row r="85" spans="3:15" outlineLevel="1" x14ac:dyDescent="0.3">
      <c r="C85" s="87"/>
      <c r="D85" s="5"/>
      <c r="E85" s="5" t="s">
        <v>713</v>
      </c>
      <c r="F85" s="6"/>
      <c r="G85" s="6">
        <f t="shared" si="2"/>
        <v>10</v>
      </c>
      <c r="H85" s="109">
        <v>45162</v>
      </c>
      <c r="I85" s="109">
        <v>45172</v>
      </c>
      <c r="J85" s="6"/>
      <c r="K85" s="40" t="str">
        <f>IF(M85='Lista Suspensa'!$F$26,IF(J85="-",I85,J85),"")</f>
        <v/>
      </c>
      <c r="L85" s="25" t="s">
        <v>657</v>
      </c>
      <c r="M85" s="33" t="s">
        <v>635</v>
      </c>
      <c r="N85" s="25">
        <f>VLOOKUP(M85,'Lista Suspensa'!$F$23:$G$27,2,FALSE)</f>
        <v>0</v>
      </c>
      <c r="O85" s="99"/>
    </row>
    <row r="86" spans="3:15" x14ac:dyDescent="0.3">
      <c r="C86" s="43"/>
      <c r="D86" s="28" t="s">
        <v>714</v>
      </c>
      <c r="E86" s="28"/>
      <c r="F86" s="29"/>
      <c r="G86" s="31">
        <f t="shared" si="2"/>
        <v>30</v>
      </c>
      <c r="H86" s="49">
        <v>45172</v>
      </c>
      <c r="I86" s="49">
        <v>45202</v>
      </c>
      <c r="J86" s="30"/>
      <c r="K86" s="49"/>
      <c r="L86" s="31"/>
      <c r="M86" s="31"/>
      <c r="N86" s="31"/>
      <c r="O86" s="32"/>
    </row>
    <row r="87" spans="3:15" outlineLevel="1" x14ac:dyDescent="0.3">
      <c r="C87" s="87"/>
      <c r="D87" s="5"/>
      <c r="E87" s="5" t="s">
        <v>715</v>
      </c>
      <c r="F87" s="6"/>
      <c r="G87" s="6">
        <f t="shared" si="2"/>
        <v>30</v>
      </c>
      <c r="H87" s="109">
        <v>45172</v>
      </c>
      <c r="I87" s="109">
        <v>45202</v>
      </c>
      <c r="J87" s="6"/>
      <c r="K87" s="40" t="str">
        <f>IF(M87='Lista Suspensa'!$F$26,IF(J87="-",I87,J87),"")</f>
        <v/>
      </c>
      <c r="L87" s="25" t="s">
        <v>657</v>
      </c>
      <c r="M87" s="33" t="s">
        <v>635</v>
      </c>
      <c r="N87" s="25">
        <f>VLOOKUP(M87,'Lista Suspensa'!$F$23:$G$27,2,FALSE)</f>
        <v>0</v>
      </c>
      <c r="O87" s="99"/>
    </row>
    <row r="88" spans="3:15" outlineLevel="1" x14ac:dyDescent="0.3">
      <c r="C88" s="87"/>
      <c r="D88" s="5"/>
      <c r="E88" s="5" t="s">
        <v>716</v>
      </c>
      <c r="F88" s="6"/>
      <c r="G88" s="6">
        <f t="shared" si="2"/>
        <v>30</v>
      </c>
      <c r="H88" s="109">
        <v>45172</v>
      </c>
      <c r="I88" s="109">
        <v>45202</v>
      </c>
      <c r="J88" s="6"/>
      <c r="K88" s="40" t="str">
        <f>IF(M88='Lista Suspensa'!$F$26,IF(J88="-",I88,J88),"")</f>
        <v/>
      </c>
      <c r="L88" s="25" t="s">
        <v>657</v>
      </c>
      <c r="M88" s="33" t="s">
        <v>635</v>
      </c>
      <c r="N88" s="25">
        <f>VLOOKUP(M88,'Lista Suspensa'!$F$23:$G$27,2,FALSE)</f>
        <v>0</v>
      </c>
      <c r="O88" s="99"/>
    </row>
    <row r="89" spans="3:15" outlineLevel="1" x14ac:dyDescent="0.3">
      <c r="C89" s="87"/>
      <c r="D89" s="5"/>
      <c r="E89" s="5" t="s">
        <v>717</v>
      </c>
      <c r="F89" s="6"/>
      <c r="G89" s="6">
        <f t="shared" si="2"/>
        <v>30</v>
      </c>
      <c r="H89" s="109">
        <v>45172</v>
      </c>
      <c r="I89" s="109">
        <v>45202</v>
      </c>
      <c r="J89" s="6"/>
      <c r="K89" s="40" t="str">
        <f>IF(M89='Lista Suspensa'!$F$26,IF(J89="-",I89,J89),"")</f>
        <v/>
      </c>
      <c r="L89" s="25" t="s">
        <v>657</v>
      </c>
      <c r="M89" s="33" t="s">
        <v>635</v>
      </c>
      <c r="N89" s="25">
        <f>VLOOKUP(M89,'Lista Suspensa'!$F$23:$G$27,2,FALSE)</f>
        <v>0</v>
      </c>
      <c r="O89" s="99"/>
    </row>
    <row r="90" spans="3:15" x14ac:dyDescent="0.3">
      <c r="C90" s="43"/>
      <c r="D90" s="28" t="s">
        <v>718</v>
      </c>
      <c r="E90" s="28"/>
      <c r="F90" s="29"/>
      <c r="G90" s="31">
        <f t="shared" si="2"/>
        <v>15</v>
      </c>
      <c r="H90" s="49">
        <v>45202</v>
      </c>
      <c r="I90" s="49">
        <v>45217</v>
      </c>
      <c r="J90" s="30"/>
      <c r="K90" s="49"/>
      <c r="L90" s="31"/>
      <c r="M90" s="31"/>
      <c r="N90" s="31"/>
      <c r="O90" s="32"/>
    </row>
    <row r="91" spans="3:15" outlineLevel="1" x14ac:dyDescent="0.3">
      <c r="C91" s="87"/>
      <c r="D91" s="5"/>
      <c r="E91" s="5" t="s">
        <v>719</v>
      </c>
      <c r="F91" s="6"/>
      <c r="G91" s="6">
        <f t="shared" si="2"/>
        <v>15</v>
      </c>
      <c r="H91" s="109">
        <v>45202</v>
      </c>
      <c r="I91" s="109">
        <v>45217</v>
      </c>
      <c r="J91" s="6"/>
      <c r="K91" s="40" t="str">
        <f>IF(M91='Lista Suspensa'!$F$26,IF(J91="-",I91,J91),"")</f>
        <v/>
      </c>
      <c r="L91" s="25" t="s">
        <v>657</v>
      </c>
      <c r="M91" s="33" t="s">
        <v>635</v>
      </c>
      <c r="N91" s="25">
        <f>VLOOKUP(M91,'Lista Suspensa'!$F$23:$G$27,2,FALSE)</f>
        <v>0</v>
      </c>
      <c r="O91" s="99"/>
    </row>
    <row r="92" spans="3:15" outlineLevel="1" x14ac:dyDescent="0.3">
      <c r="C92" s="87"/>
      <c r="D92" s="5"/>
      <c r="E92" s="5" t="s">
        <v>720</v>
      </c>
      <c r="F92" s="6"/>
      <c r="G92" s="6">
        <f t="shared" si="2"/>
        <v>15</v>
      </c>
      <c r="H92" s="109">
        <v>45202</v>
      </c>
      <c r="I92" s="109">
        <v>45217</v>
      </c>
      <c r="J92" s="6"/>
      <c r="K92" s="40" t="str">
        <f>IF(M92='Lista Suspensa'!$F$26,IF(J92="-",I92,J92),"")</f>
        <v/>
      </c>
      <c r="L92" s="25" t="s">
        <v>657</v>
      </c>
      <c r="M92" s="33" t="s">
        <v>635</v>
      </c>
      <c r="N92" s="25">
        <f>VLOOKUP(M92,'Lista Suspensa'!$F$23:$G$27,2,FALSE)</f>
        <v>0</v>
      </c>
      <c r="O92" s="99"/>
    </row>
    <row r="93" spans="3:15" outlineLevel="1" x14ac:dyDescent="0.3">
      <c r="C93" s="87"/>
      <c r="D93" s="5"/>
      <c r="E93" s="5" t="s">
        <v>721</v>
      </c>
      <c r="F93" s="6"/>
      <c r="G93" s="6">
        <f t="shared" si="2"/>
        <v>15</v>
      </c>
      <c r="H93" s="109">
        <v>45202</v>
      </c>
      <c r="I93" s="109">
        <v>45217</v>
      </c>
      <c r="J93" s="6"/>
      <c r="K93" s="40" t="str">
        <f>IF(M93='Lista Suspensa'!$F$26,IF(J93="-",I93,J93),"")</f>
        <v/>
      </c>
      <c r="L93" s="25" t="s">
        <v>657</v>
      </c>
      <c r="M93" s="33" t="s">
        <v>635</v>
      </c>
      <c r="N93" s="25">
        <f>VLOOKUP(M93,'Lista Suspensa'!$F$23:$G$27,2,FALSE)</f>
        <v>0</v>
      </c>
      <c r="O93" s="99"/>
    </row>
    <row r="94" spans="3:15" outlineLevel="1" x14ac:dyDescent="0.3">
      <c r="C94" s="87"/>
      <c r="D94" s="5"/>
      <c r="E94" s="5" t="s">
        <v>722</v>
      </c>
      <c r="F94" s="6"/>
      <c r="G94" s="6">
        <f t="shared" si="2"/>
        <v>15</v>
      </c>
      <c r="H94" s="109">
        <v>45202</v>
      </c>
      <c r="I94" s="109">
        <v>45217</v>
      </c>
      <c r="J94" s="6"/>
      <c r="K94" s="40" t="str">
        <f>IF(M94='Lista Suspensa'!$F$26,IF(J94="-",I94,J94),"")</f>
        <v/>
      </c>
      <c r="L94" s="25" t="s">
        <v>657</v>
      </c>
      <c r="M94" s="33" t="s">
        <v>635</v>
      </c>
      <c r="N94" s="25">
        <f>VLOOKUP(M94,'Lista Suspensa'!$F$23:$G$27,2,FALSE)</f>
        <v>0</v>
      </c>
      <c r="O94" s="99"/>
    </row>
    <row r="95" spans="3:15" ht="15" customHeight="1" x14ac:dyDescent="0.3">
      <c r="C95" s="63" t="s">
        <v>724</v>
      </c>
      <c r="D95" s="64"/>
      <c r="E95" s="64"/>
      <c r="F95" s="65"/>
      <c r="G95" s="68">
        <f t="shared" si="2"/>
        <v>60</v>
      </c>
      <c r="H95" s="66">
        <v>45162</v>
      </c>
      <c r="I95" s="66">
        <v>45222</v>
      </c>
      <c r="J95" s="67"/>
      <c r="K95" s="67" t="s">
        <v>700</v>
      </c>
      <c r="L95" s="68"/>
      <c r="M95" s="68"/>
      <c r="N95" s="68"/>
      <c r="O95" s="26"/>
    </row>
    <row r="96" spans="3:15" ht="15" customHeight="1" x14ac:dyDescent="0.3">
      <c r="C96" s="43"/>
      <c r="D96" s="28" t="s">
        <v>701</v>
      </c>
      <c r="E96" s="28"/>
      <c r="F96" s="29"/>
      <c r="G96" s="31">
        <f t="shared" si="2"/>
        <v>5</v>
      </c>
      <c r="H96" s="49">
        <v>45162</v>
      </c>
      <c r="I96" s="49">
        <v>45167</v>
      </c>
      <c r="J96" s="30"/>
      <c r="K96" s="49" t="s">
        <v>700</v>
      </c>
      <c r="L96" s="31"/>
      <c r="M96" s="31"/>
      <c r="N96" s="31"/>
      <c r="O96" s="32"/>
    </row>
    <row r="97" spans="1:15" ht="15" customHeight="1" outlineLevel="1" x14ac:dyDescent="0.3">
      <c r="A97" s="53">
        <v>36</v>
      </c>
      <c r="C97" s="86"/>
      <c r="D97" s="82"/>
      <c r="E97" s="100" t="s">
        <v>702</v>
      </c>
      <c r="F97" s="82"/>
      <c r="G97" s="25">
        <f t="shared" si="2"/>
        <v>5</v>
      </c>
      <c r="H97" s="109">
        <v>45162</v>
      </c>
      <c r="I97" s="109">
        <v>45167</v>
      </c>
      <c r="J97" s="84" t="s">
        <v>74</v>
      </c>
      <c r="K97" s="40" t="s">
        <v>700</v>
      </c>
      <c r="L97" s="25" t="s">
        <v>657</v>
      </c>
      <c r="M97" s="33" t="s">
        <v>635</v>
      </c>
      <c r="N97" s="25">
        <f>VLOOKUP(M97,'Lista Suspensa'!$F$23:$G$27,2,FALSE)</f>
        <v>0</v>
      </c>
      <c r="O97" s="27"/>
    </row>
    <row r="98" spans="1:15" outlineLevel="1" x14ac:dyDescent="0.3">
      <c r="C98" s="87"/>
      <c r="D98" s="5"/>
      <c r="E98" s="101" t="s">
        <v>704</v>
      </c>
      <c r="F98" s="6"/>
      <c r="G98" s="6">
        <f t="shared" si="2"/>
        <v>5</v>
      </c>
      <c r="H98" s="109">
        <v>45162</v>
      </c>
      <c r="I98" s="109">
        <v>45167</v>
      </c>
      <c r="J98" s="6"/>
      <c r="K98" s="40" t="s">
        <v>700</v>
      </c>
      <c r="L98" s="25" t="s">
        <v>657</v>
      </c>
      <c r="M98" s="33" t="s">
        <v>635</v>
      </c>
      <c r="N98" s="25">
        <f>VLOOKUP(M98,'Lista Suspensa'!$F$23:$G$27,2,FALSE)</f>
        <v>0</v>
      </c>
      <c r="O98" s="99"/>
    </row>
    <row r="99" spans="1:15" outlineLevel="1" x14ac:dyDescent="0.3">
      <c r="C99" s="87"/>
      <c r="D99" s="5"/>
      <c r="E99" s="5" t="s">
        <v>705</v>
      </c>
      <c r="F99" s="6"/>
      <c r="G99" s="6">
        <f t="shared" si="2"/>
        <v>5</v>
      </c>
      <c r="H99" s="109">
        <v>45162</v>
      </c>
      <c r="I99" s="109">
        <v>45167</v>
      </c>
      <c r="J99" s="6"/>
      <c r="K99" s="40" t="s">
        <v>700</v>
      </c>
      <c r="L99" s="25" t="s">
        <v>657</v>
      </c>
      <c r="M99" s="33" t="s">
        <v>635</v>
      </c>
      <c r="N99" s="25">
        <f>VLOOKUP(M99,'Lista Suspensa'!$F$23:$G$27,2,FALSE)</f>
        <v>0</v>
      </c>
      <c r="O99" s="99"/>
    </row>
    <row r="100" spans="1:15" outlineLevel="1" x14ac:dyDescent="0.3">
      <c r="C100" s="87"/>
      <c r="D100" s="5"/>
      <c r="E100" s="5" t="s">
        <v>706</v>
      </c>
      <c r="F100" s="6"/>
      <c r="G100" s="6">
        <f t="shared" si="2"/>
        <v>5</v>
      </c>
      <c r="H100" s="109">
        <v>45162</v>
      </c>
      <c r="I100" s="109">
        <v>45167</v>
      </c>
      <c r="J100" s="6"/>
      <c r="K100" s="40" t="s">
        <v>700</v>
      </c>
      <c r="L100" s="25" t="s">
        <v>657</v>
      </c>
      <c r="M100" s="33" t="s">
        <v>635</v>
      </c>
      <c r="N100" s="25">
        <f>VLOOKUP(M100,'Lista Suspensa'!$F$23:$G$27,2,FALSE)</f>
        <v>0</v>
      </c>
      <c r="O100" s="99"/>
    </row>
    <row r="101" spans="1:15" outlineLevel="1" x14ac:dyDescent="0.3">
      <c r="C101" s="87"/>
      <c r="D101" s="5"/>
      <c r="E101" s="5" t="s">
        <v>707</v>
      </c>
      <c r="F101" s="6"/>
      <c r="G101" s="6">
        <f t="shared" si="2"/>
        <v>5</v>
      </c>
      <c r="H101" s="109">
        <v>45162</v>
      </c>
      <c r="I101" s="109">
        <v>45167</v>
      </c>
      <c r="J101" s="6"/>
      <c r="K101" s="40" t="s">
        <v>700</v>
      </c>
      <c r="L101" s="25" t="s">
        <v>657</v>
      </c>
      <c r="M101" s="33" t="s">
        <v>635</v>
      </c>
      <c r="N101" s="25">
        <f>VLOOKUP(M101,'Lista Suspensa'!$F$23:$G$27,2,FALSE)</f>
        <v>0</v>
      </c>
      <c r="O101" s="99"/>
    </row>
    <row r="102" spans="1:15" outlineLevel="1" x14ac:dyDescent="0.3">
      <c r="C102" s="87"/>
      <c r="D102" s="5"/>
      <c r="E102" s="5" t="s">
        <v>708</v>
      </c>
      <c r="F102" s="6"/>
      <c r="G102" s="6">
        <f t="shared" si="2"/>
        <v>5</v>
      </c>
      <c r="H102" s="109">
        <v>45162</v>
      </c>
      <c r="I102" s="109">
        <v>45167</v>
      </c>
      <c r="J102" s="6"/>
      <c r="K102" s="40" t="s">
        <v>700</v>
      </c>
      <c r="L102" s="25" t="s">
        <v>657</v>
      </c>
      <c r="M102" s="33" t="s">
        <v>635</v>
      </c>
      <c r="N102" s="25">
        <f>VLOOKUP(M102,'Lista Suspensa'!$F$23:$G$27,2,FALSE)</f>
        <v>0</v>
      </c>
      <c r="O102" s="99"/>
    </row>
    <row r="103" spans="1:15" x14ac:dyDescent="0.3">
      <c r="C103" s="43"/>
      <c r="D103" s="28" t="s">
        <v>709</v>
      </c>
      <c r="E103" s="28"/>
      <c r="F103" s="29"/>
      <c r="G103" s="31">
        <f t="shared" si="2"/>
        <v>10</v>
      </c>
      <c r="H103" s="49">
        <v>45167</v>
      </c>
      <c r="I103" s="49">
        <v>45177</v>
      </c>
      <c r="J103" s="30"/>
      <c r="K103" s="40" t="s">
        <v>700</v>
      </c>
      <c r="L103" s="31"/>
      <c r="M103" s="31"/>
      <c r="N103" s="31"/>
      <c r="O103" s="32"/>
    </row>
    <row r="104" spans="1:15" ht="15" customHeight="1" outlineLevel="1" x14ac:dyDescent="0.3">
      <c r="C104" s="86"/>
      <c r="D104" s="82"/>
      <c r="E104" s="82" t="s">
        <v>710</v>
      </c>
      <c r="F104" s="82"/>
      <c r="G104" s="25">
        <f t="shared" si="2"/>
        <v>10</v>
      </c>
      <c r="H104" s="109">
        <v>45167</v>
      </c>
      <c r="I104" s="109">
        <v>45177</v>
      </c>
      <c r="J104" s="84"/>
      <c r="K104" s="40" t="s">
        <v>700</v>
      </c>
      <c r="L104" s="25" t="s">
        <v>657</v>
      </c>
      <c r="M104" s="33" t="s">
        <v>635</v>
      </c>
      <c r="N104" s="25">
        <f>VLOOKUP(M104,'Lista Suspensa'!$F$23:$G$27,2,FALSE)</f>
        <v>0</v>
      </c>
      <c r="O104" s="27"/>
    </row>
    <row r="105" spans="1:15" outlineLevel="1" x14ac:dyDescent="0.3">
      <c r="C105" s="87"/>
      <c r="D105" s="5"/>
      <c r="E105" s="5" t="s">
        <v>711</v>
      </c>
      <c r="F105" s="6"/>
      <c r="G105" s="6">
        <f t="shared" si="2"/>
        <v>10</v>
      </c>
      <c r="H105" s="109">
        <v>45167</v>
      </c>
      <c r="I105" s="109">
        <v>45177</v>
      </c>
      <c r="J105" s="6"/>
      <c r="K105" s="40" t="s">
        <v>700</v>
      </c>
      <c r="L105" s="25" t="s">
        <v>657</v>
      </c>
      <c r="M105" s="33" t="s">
        <v>635</v>
      </c>
      <c r="N105" s="25">
        <f>VLOOKUP(M105,'Lista Suspensa'!$F$23:$G$27,2,FALSE)</f>
        <v>0</v>
      </c>
      <c r="O105" s="99"/>
    </row>
    <row r="106" spans="1:15" outlineLevel="1" x14ac:dyDescent="0.3">
      <c r="C106" s="87"/>
      <c r="D106" s="5"/>
      <c r="E106" s="5" t="s">
        <v>712</v>
      </c>
      <c r="F106" s="6"/>
      <c r="G106" s="6">
        <f t="shared" si="2"/>
        <v>10</v>
      </c>
      <c r="H106" s="109">
        <v>45167</v>
      </c>
      <c r="I106" s="109">
        <v>45177</v>
      </c>
      <c r="J106" s="6"/>
      <c r="K106" s="40" t="s">
        <v>700</v>
      </c>
      <c r="L106" s="25" t="s">
        <v>657</v>
      </c>
      <c r="M106" s="33" t="s">
        <v>635</v>
      </c>
      <c r="N106" s="25">
        <f>VLOOKUP(M106,'Lista Suspensa'!$F$23:$G$27,2,FALSE)</f>
        <v>0</v>
      </c>
      <c r="O106" s="99"/>
    </row>
    <row r="107" spans="1:15" outlineLevel="1" x14ac:dyDescent="0.3">
      <c r="C107" s="87"/>
      <c r="D107" s="5"/>
      <c r="E107" s="5" t="s">
        <v>713</v>
      </c>
      <c r="F107" s="6"/>
      <c r="G107" s="6">
        <f t="shared" si="2"/>
        <v>10</v>
      </c>
      <c r="H107" s="109">
        <v>45167</v>
      </c>
      <c r="I107" s="109">
        <v>45177</v>
      </c>
      <c r="J107" s="6"/>
      <c r="K107" s="40" t="s">
        <v>700</v>
      </c>
      <c r="L107" s="25" t="s">
        <v>657</v>
      </c>
      <c r="M107" s="33" t="s">
        <v>635</v>
      </c>
      <c r="N107" s="25">
        <f>VLOOKUP(M107,'Lista Suspensa'!$F$23:$G$27,2,FALSE)</f>
        <v>0</v>
      </c>
      <c r="O107" s="99"/>
    </row>
    <row r="108" spans="1:15" x14ac:dyDescent="0.3">
      <c r="C108" s="43"/>
      <c r="D108" s="28" t="s">
        <v>714</v>
      </c>
      <c r="E108" s="28"/>
      <c r="F108" s="29"/>
      <c r="G108" s="31">
        <f t="shared" si="2"/>
        <v>30</v>
      </c>
      <c r="H108" s="49">
        <v>45177</v>
      </c>
      <c r="I108" s="49">
        <v>45207</v>
      </c>
      <c r="J108" s="30"/>
      <c r="K108" s="40" t="s">
        <v>700</v>
      </c>
      <c r="L108" s="31"/>
      <c r="M108" s="31"/>
      <c r="N108" s="31"/>
      <c r="O108" s="32"/>
    </row>
    <row r="109" spans="1:15" ht="15" customHeight="1" outlineLevel="1" x14ac:dyDescent="0.3">
      <c r="C109" s="86"/>
      <c r="D109" s="82"/>
      <c r="E109" s="82" t="s">
        <v>715</v>
      </c>
      <c r="F109" s="82"/>
      <c r="G109" s="25">
        <f t="shared" si="2"/>
        <v>30</v>
      </c>
      <c r="H109" s="109">
        <v>45177</v>
      </c>
      <c r="I109" s="109">
        <v>45207</v>
      </c>
      <c r="J109" s="84"/>
      <c r="K109" s="40" t="s">
        <v>700</v>
      </c>
      <c r="L109" s="25" t="s">
        <v>657</v>
      </c>
      <c r="M109" s="33" t="s">
        <v>635</v>
      </c>
      <c r="N109" s="25">
        <f>VLOOKUP(M109,'Lista Suspensa'!$F$23:$G$27,2,FALSE)</f>
        <v>0</v>
      </c>
      <c r="O109" s="27"/>
    </row>
    <row r="110" spans="1:15" outlineLevel="1" x14ac:dyDescent="0.3">
      <c r="C110" s="87"/>
      <c r="D110" s="5"/>
      <c r="E110" s="5" t="s">
        <v>716</v>
      </c>
      <c r="F110" s="6"/>
      <c r="G110" s="6">
        <f t="shared" si="2"/>
        <v>30</v>
      </c>
      <c r="H110" s="109">
        <v>45177</v>
      </c>
      <c r="I110" s="109">
        <v>45207</v>
      </c>
      <c r="J110" s="6"/>
      <c r="K110" s="40" t="s">
        <v>700</v>
      </c>
      <c r="L110" s="25" t="s">
        <v>657</v>
      </c>
      <c r="M110" s="33" t="s">
        <v>635</v>
      </c>
      <c r="N110" s="25">
        <f>VLOOKUP(M110,'Lista Suspensa'!$F$23:$G$27,2,FALSE)</f>
        <v>0</v>
      </c>
      <c r="O110" s="99"/>
    </row>
    <row r="111" spans="1:15" outlineLevel="1" x14ac:dyDescent="0.3">
      <c r="C111" s="87"/>
      <c r="D111" s="5"/>
      <c r="E111" s="5" t="s">
        <v>717</v>
      </c>
      <c r="F111" s="6"/>
      <c r="G111" s="6">
        <f t="shared" si="2"/>
        <v>30</v>
      </c>
      <c r="H111" s="109">
        <v>45177</v>
      </c>
      <c r="I111" s="109">
        <v>45207</v>
      </c>
      <c r="J111" s="6"/>
      <c r="K111" s="40" t="s">
        <v>700</v>
      </c>
      <c r="L111" s="25" t="s">
        <v>657</v>
      </c>
      <c r="M111" s="33" t="s">
        <v>635</v>
      </c>
      <c r="N111" s="25">
        <f>VLOOKUP(M111,'Lista Suspensa'!$F$23:$G$27,2,FALSE)</f>
        <v>0</v>
      </c>
      <c r="O111" s="99"/>
    </row>
    <row r="112" spans="1:15" x14ac:dyDescent="0.3">
      <c r="C112" s="43"/>
      <c r="D112" s="28" t="s">
        <v>718</v>
      </c>
      <c r="E112" s="28"/>
      <c r="F112" s="29"/>
      <c r="G112" s="31">
        <f t="shared" si="2"/>
        <v>15</v>
      </c>
      <c r="H112" s="49">
        <v>45207</v>
      </c>
      <c r="I112" s="49">
        <v>45222</v>
      </c>
      <c r="J112" s="30"/>
      <c r="K112" s="40" t="s">
        <v>700</v>
      </c>
      <c r="L112" s="31"/>
      <c r="M112" s="31"/>
      <c r="N112" s="31"/>
      <c r="O112" s="32"/>
    </row>
    <row r="113" spans="1:15" ht="15" customHeight="1" outlineLevel="1" x14ac:dyDescent="0.3">
      <c r="C113" s="86"/>
      <c r="D113" s="82"/>
      <c r="E113" s="82" t="s">
        <v>719</v>
      </c>
      <c r="F113" s="82"/>
      <c r="G113" s="25">
        <f t="shared" si="2"/>
        <v>15</v>
      </c>
      <c r="H113" s="109">
        <v>45207</v>
      </c>
      <c r="I113" s="109">
        <v>45222</v>
      </c>
      <c r="J113" s="84"/>
      <c r="K113" s="40" t="s">
        <v>700</v>
      </c>
      <c r="L113" s="25" t="s">
        <v>657</v>
      </c>
      <c r="M113" s="33" t="s">
        <v>635</v>
      </c>
      <c r="N113" s="25">
        <f>VLOOKUP(M113,'Lista Suspensa'!$F$23:$G$27,2,FALSE)</f>
        <v>0</v>
      </c>
      <c r="O113" s="27"/>
    </row>
    <row r="114" spans="1:15" outlineLevel="1" x14ac:dyDescent="0.3">
      <c r="C114" s="87"/>
      <c r="D114" s="5"/>
      <c r="E114" s="5" t="s">
        <v>720</v>
      </c>
      <c r="F114" s="6"/>
      <c r="G114" s="6">
        <f t="shared" si="2"/>
        <v>15</v>
      </c>
      <c r="H114" s="109">
        <v>45207</v>
      </c>
      <c r="I114" s="109">
        <v>45222</v>
      </c>
      <c r="J114" s="6"/>
      <c r="K114" s="40" t="s">
        <v>700</v>
      </c>
      <c r="L114" s="25" t="s">
        <v>657</v>
      </c>
      <c r="M114" s="33" t="s">
        <v>635</v>
      </c>
      <c r="N114" s="25">
        <f>VLOOKUP(M114,'Lista Suspensa'!$F$23:$G$27,2,FALSE)</f>
        <v>0</v>
      </c>
      <c r="O114" s="99"/>
    </row>
    <row r="115" spans="1:15" outlineLevel="1" x14ac:dyDescent="0.3">
      <c r="C115" s="87"/>
      <c r="D115" s="5"/>
      <c r="E115" s="5" t="s">
        <v>721</v>
      </c>
      <c r="F115" s="6"/>
      <c r="G115" s="6">
        <f t="shared" ref="G115:G146" si="3">I115-H115</f>
        <v>15</v>
      </c>
      <c r="H115" s="109">
        <v>45207</v>
      </c>
      <c r="I115" s="109">
        <v>45222</v>
      </c>
      <c r="J115" s="6"/>
      <c r="K115" s="40" t="s">
        <v>700</v>
      </c>
      <c r="L115" s="25" t="s">
        <v>657</v>
      </c>
      <c r="M115" s="33" t="s">
        <v>635</v>
      </c>
      <c r="N115" s="25">
        <f>VLOOKUP(M115,'Lista Suspensa'!$F$23:$G$27,2,FALSE)</f>
        <v>0</v>
      </c>
      <c r="O115" s="99"/>
    </row>
    <row r="116" spans="1:15" ht="15" customHeight="1" outlineLevel="1" x14ac:dyDescent="0.3">
      <c r="C116" s="44"/>
      <c r="D116" s="82"/>
      <c r="E116" s="82" t="s">
        <v>722</v>
      </c>
      <c r="F116" s="82"/>
      <c r="G116" s="25">
        <f t="shared" si="3"/>
        <v>15</v>
      </c>
      <c r="H116" s="109">
        <v>45207</v>
      </c>
      <c r="I116" s="109">
        <v>45222</v>
      </c>
      <c r="J116" s="84"/>
      <c r="K116" s="40" t="s">
        <v>700</v>
      </c>
      <c r="L116" s="25" t="s">
        <v>657</v>
      </c>
      <c r="M116" s="33" t="s">
        <v>635</v>
      </c>
      <c r="N116" s="25">
        <f>VLOOKUP(M116,'Lista Suspensa'!$F$23:$G$27,2,FALSE)</f>
        <v>0</v>
      </c>
      <c r="O116" s="27"/>
    </row>
    <row r="117" spans="1:15" ht="15" customHeight="1" x14ac:dyDescent="0.3">
      <c r="C117" s="63" t="s">
        <v>725</v>
      </c>
      <c r="D117" s="64"/>
      <c r="E117" s="64"/>
      <c r="F117" s="65"/>
      <c r="G117" s="68">
        <f t="shared" si="3"/>
        <v>60</v>
      </c>
      <c r="H117" s="66">
        <v>45167</v>
      </c>
      <c r="I117" s="66">
        <v>45227</v>
      </c>
      <c r="J117" s="67"/>
      <c r="K117" s="67"/>
      <c r="L117" s="68"/>
      <c r="M117" s="68"/>
      <c r="N117" s="68"/>
      <c r="O117" s="26"/>
    </row>
    <row r="118" spans="1:15" ht="15" customHeight="1" x14ac:dyDescent="0.3">
      <c r="C118" s="43"/>
      <c r="D118" s="28" t="s">
        <v>701</v>
      </c>
      <c r="E118" s="28"/>
      <c r="F118" s="29"/>
      <c r="G118" s="31">
        <f t="shared" si="3"/>
        <v>5</v>
      </c>
      <c r="H118" s="49">
        <v>45167</v>
      </c>
      <c r="I118" s="49">
        <v>45172</v>
      </c>
      <c r="J118" s="30"/>
      <c r="K118" s="49"/>
      <c r="L118" s="31"/>
      <c r="M118" s="31"/>
      <c r="N118" s="31"/>
      <c r="O118" s="32"/>
    </row>
    <row r="119" spans="1:15" ht="15" customHeight="1" outlineLevel="1" x14ac:dyDescent="0.3">
      <c r="A119" s="53">
        <v>36</v>
      </c>
      <c r="C119" s="86"/>
      <c r="D119" s="82"/>
      <c r="E119" s="100" t="s">
        <v>702</v>
      </c>
      <c r="F119" s="82"/>
      <c r="G119" s="25">
        <f t="shared" si="3"/>
        <v>5</v>
      </c>
      <c r="H119" s="109">
        <v>45167</v>
      </c>
      <c r="I119" s="109">
        <v>45172</v>
      </c>
      <c r="J119" s="84" t="s">
        <v>74</v>
      </c>
      <c r="K119" s="40" t="str">
        <f>IF(M119='Lista Suspensa'!$F$26,IF(J119="-",I119,J119),"")</f>
        <v/>
      </c>
      <c r="L119" s="25" t="s">
        <v>657</v>
      </c>
      <c r="M119" s="33" t="s">
        <v>635</v>
      </c>
      <c r="N119" s="25">
        <f>VLOOKUP(M119,'Lista Suspensa'!$F$23:$G$27,2,FALSE)</f>
        <v>0</v>
      </c>
      <c r="O119" s="27"/>
    </row>
    <row r="120" spans="1:15" outlineLevel="1" x14ac:dyDescent="0.3">
      <c r="C120" s="87"/>
      <c r="D120" s="5"/>
      <c r="E120" s="5" t="s">
        <v>704</v>
      </c>
      <c r="F120" s="6"/>
      <c r="G120" s="6">
        <f t="shared" si="3"/>
        <v>5</v>
      </c>
      <c r="H120" s="109">
        <v>45167</v>
      </c>
      <c r="I120" s="109">
        <v>45172</v>
      </c>
      <c r="J120" s="6"/>
      <c r="K120" s="40" t="str">
        <f>IF(M120='Lista Suspensa'!$F$26,IF(J120="-",I120,J120),"")</f>
        <v/>
      </c>
      <c r="L120" s="25" t="s">
        <v>657</v>
      </c>
      <c r="M120" s="33" t="s">
        <v>635</v>
      </c>
      <c r="N120" s="25">
        <f>VLOOKUP(M120,'Lista Suspensa'!$F$23:$G$27,2,FALSE)</f>
        <v>0</v>
      </c>
      <c r="O120" s="99"/>
    </row>
    <row r="121" spans="1:15" outlineLevel="1" x14ac:dyDescent="0.3">
      <c r="C121" s="87"/>
      <c r="D121" s="5"/>
      <c r="E121" s="5" t="s">
        <v>705</v>
      </c>
      <c r="F121" s="6"/>
      <c r="G121" s="6">
        <f t="shared" si="3"/>
        <v>5</v>
      </c>
      <c r="H121" s="109">
        <v>45167</v>
      </c>
      <c r="I121" s="109">
        <v>45172</v>
      </c>
      <c r="J121" s="6"/>
      <c r="K121" s="40" t="str">
        <f>IF(M121='Lista Suspensa'!$F$26,IF(J121="-",I121,J121),"")</f>
        <v/>
      </c>
      <c r="L121" s="25" t="s">
        <v>657</v>
      </c>
      <c r="M121" s="33" t="s">
        <v>635</v>
      </c>
      <c r="N121" s="25">
        <f>VLOOKUP(M121,'Lista Suspensa'!$F$23:$G$27,2,FALSE)</f>
        <v>0</v>
      </c>
      <c r="O121" s="99"/>
    </row>
    <row r="122" spans="1:15" outlineLevel="1" x14ac:dyDescent="0.3">
      <c r="C122" s="87"/>
      <c r="D122" s="5"/>
      <c r="E122" s="5" t="s">
        <v>706</v>
      </c>
      <c r="F122" s="6"/>
      <c r="G122" s="6">
        <f t="shared" si="3"/>
        <v>5</v>
      </c>
      <c r="H122" s="109">
        <v>45167</v>
      </c>
      <c r="I122" s="109">
        <v>45172</v>
      </c>
      <c r="J122" s="6"/>
      <c r="K122" s="40" t="str">
        <f>IF(M122='Lista Suspensa'!$F$26,IF(J122="-",I122,J122),"")</f>
        <v/>
      </c>
      <c r="L122" s="25" t="s">
        <v>657</v>
      </c>
      <c r="M122" s="33" t="s">
        <v>635</v>
      </c>
      <c r="N122" s="25">
        <f>VLOOKUP(M122,'Lista Suspensa'!$F$23:$G$27,2,FALSE)</f>
        <v>0</v>
      </c>
      <c r="O122" s="99"/>
    </row>
    <row r="123" spans="1:15" outlineLevel="1" x14ac:dyDescent="0.3">
      <c r="C123" s="87"/>
      <c r="D123" s="5"/>
      <c r="E123" s="5" t="s">
        <v>707</v>
      </c>
      <c r="F123" s="6"/>
      <c r="G123" s="6">
        <f t="shared" si="3"/>
        <v>5</v>
      </c>
      <c r="H123" s="109">
        <v>45167</v>
      </c>
      <c r="I123" s="109">
        <v>45172</v>
      </c>
      <c r="J123" s="6"/>
      <c r="K123" s="40" t="str">
        <f>IF(M123='Lista Suspensa'!$F$26,IF(J123="-",I123,J123),"")</f>
        <v/>
      </c>
      <c r="L123" s="25" t="s">
        <v>657</v>
      </c>
      <c r="M123" s="33" t="s">
        <v>635</v>
      </c>
      <c r="N123" s="25">
        <f>VLOOKUP(M123,'Lista Suspensa'!$F$23:$G$27,2,FALSE)</f>
        <v>0</v>
      </c>
      <c r="O123" s="99"/>
    </row>
    <row r="124" spans="1:15" outlineLevel="1" x14ac:dyDescent="0.3">
      <c r="C124" s="87"/>
      <c r="D124" s="5"/>
      <c r="E124" s="5" t="s">
        <v>708</v>
      </c>
      <c r="F124" s="6"/>
      <c r="G124" s="6">
        <f t="shared" si="3"/>
        <v>5</v>
      </c>
      <c r="H124" s="109">
        <v>45167</v>
      </c>
      <c r="I124" s="109">
        <v>45172</v>
      </c>
      <c r="J124" s="6"/>
      <c r="K124" s="40" t="str">
        <f>IF(M124='Lista Suspensa'!$F$26,IF(J124="-",I124,J124),"")</f>
        <v/>
      </c>
      <c r="L124" s="25" t="s">
        <v>657</v>
      </c>
      <c r="M124" s="33" t="s">
        <v>635</v>
      </c>
      <c r="N124" s="25">
        <f>VLOOKUP(M124,'Lista Suspensa'!$F$23:$G$27,2,FALSE)</f>
        <v>0</v>
      </c>
      <c r="O124" s="99"/>
    </row>
    <row r="125" spans="1:15" x14ac:dyDescent="0.3">
      <c r="C125" s="43"/>
      <c r="D125" s="28" t="s">
        <v>709</v>
      </c>
      <c r="E125" s="28"/>
      <c r="F125" s="29"/>
      <c r="G125" s="31">
        <f t="shared" si="3"/>
        <v>10</v>
      </c>
      <c r="H125" s="49">
        <v>45172</v>
      </c>
      <c r="I125" s="49">
        <v>45182</v>
      </c>
      <c r="J125" s="30"/>
      <c r="K125" s="49"/>
      <c r="L125" s="31"/>
      <c r="M125" s="31"/>
      <c r="N125" s="31"/>
      <c r="O125" s="32"/>
    </row>
    <row r="126" spans="1:15" ht="15" customHeight="1" outlineLevel="1" x14ac:dyDescent="0.3">
      <c r="C126" s="86"/>
      <c r="D126" s="82"/>
      <c r="E126" s="100" t="s">
        <v>710</v>
      </c>
      <c r="F126" s="82"/>
      <c r="G126" s="25">
        <f t="shared" si="3"/>
        <v>10</v>
      </c>
      <c r="H126" s="109">
        <v>45172</v>
      </c>
      <c r="I126" s="109">
        <v>45182</v>
      </c>
      <c r="J126" s="84"/>
      <c r="K126" s="40" t="str">
        <f>IF(M126='Lista Suspensa'!$F$26,IF(J126="-",I126,J126),"")</f>
        <v/>
      </c>
      <c r="L126" s="25" t="s">
        <v>657</v>
      </c>
      <c r="M126" s="33" t="s">
        <v>635</v>
      </c>
      <c r="N126" s="25">
        <f>VLOOKUP(M126,'Lista Suspensa'!$F$23:$G$27,2,FALSE)</f>
        <v>0</v>
      </c>
      <c r="O126" s="27"/>
    </row>
    <row r="127" spans="1:15" outlineLevel="1" x14ac:dyDescent="0.3">
      <c r="C127" s="87"/>
      <c r="D127" s="5"/>
      <c r="E127" s="5" t="s">
        <v>711</v>
      </c>
      <c r="F127" s="6"/>
      <c r="G127" s="6">
        <f t="shared" si="3"/>
        <v>10</v>
      </c>
      <c r="H127" s="109">
        <v>45172</v>
      </c>
      <c r="I127" s="109">
        <v>45182</v>
      </c>
      <c r="J127" s="6"/>
      <c r="K127" s="40" t="str">
        <f>IF(M127='Lista Suspensa'!$F$26,IF(J127="-",I127,J127),"")</f>
        <v/>
      </c>
      <c r="L127" s="25" t="s">
        <v>657</v>
      </c>
      <c r="M127" s="33" t="s">
        <v>635</v>
      </c>
      <c r="N127" s="25">
        <f>VLOOKUP(M127,'Lista Suspensa'!$F$23:$G$27,2,FALSE)</f>
        <v>0</v>
      </c>
      <c r="O127" s="99"/>
    </row>
    <row r="128" spans="1:15" outlineLevel="1" x14ac:dyDescent="0.3">
      <c r="C128" s="87"/>
      <c r="D128" s="5"/>
      <c r="E128" s="5" t="s">
        <v>712</v>
      </c>
      <c r="F128" s="6"/>
      <c r="G128" s="6">
        <f t="shared" si="3"/>
        <v>10</v>
      </c>
      <c r="H128" s="109">
        <v>45172</v>
      </c>
      <c r="I128" s="109">
        <v>45182</v>
      </c>
      <c r="J128" s="6"/>
      <c r="K128" s="40" t="str">
        <f>IF(M128='Lista Suspensa'!$F$26,IF(J128="-",I128,J128),"")</f>
        <v/>
      </c>
      <c r="L128" s="25" t="s">
        <v>657</v>
      </c>
      <c r="M128" s="33" t="s">
        <v>635</v>
      </c>
      <c r="N128" s="25">
        <f>VLOOKUP(M128,'Lista Suspensa'!$F$23:$G$27,2,FALSE)</f>
        <v>0</v>
      </c>
      <c r="O128" s="99"/>
    </row>
    <row r="129" spans="1:15" outlineLevel="1" x14ac:dyDescent="0.3">
      <c r="C129" s="87"/>
      <c r="D129" s="5"/>
      <c r="E129" s="5" t="s">
        <v>713</v>
      </c>
      <c r="F129" s="6"/>
      <c r="G129" s="6">
        <f t="shared" si="3"/>
        <v>10</v>
      </c>
      <c r="H129" s="109">
        <v>45172</v>
      </c>
      <c r="I129" s="109">
        <v>45182</v>
      </c>
      <c r="J129" s="6"/>
      <c r="K129" s="40" t="str">
        <f>IF(M129='Lista Suspensa'!$F$26,IF(J129="-",I129,J129),"")</f>
        <v/>
      </c>
      <c r="L129" s="25" t="s">
        <v>657</v>
      </c>
      <c r="M129" s="33" t="s">
        <v>635</v>
      </c>
      <c r="N129" s="25">
        <f>VLOOKUP(M129,'Lista Suspensa'!$F$23:$G$27,2,FALSE)</f>
        <v>0</v>
      </c>
      <c r="O129" s="99"/>
    </row>
    <row r="130" spans="1:15" x14ac:dyDescent="0.3">
      <c r="C130" s="43"/>
      <c r="D130" s="28" t="s">
        <v>714</v>
      </c>
      <c r="E130" s="28"/>
      <c r="F130" s="29"/>
      <c r="G130" s="31">
        <f t="shared" si="3"/>
        <v>30</v>
      </c>
      <c r="H130" s="49">
        <v>45182</v>
      </c>
      <c r="I130" s="49">
        <v>45212</v>
      </c>
      <c r="J130" s="30"/>
      <c r="K130" s="49"/>
      <c r="L130" s="31"/>
      <c r="M130" s="31"/>
      <c r="N130" s="31"/>
      <c r="O130" s="32"/>
    </row>
    <row r="131" spans="1:15" ht="15" customHeight="1" outlineLevel="1" x14ac:dyDescent="0.3">
      <c r="C131" s="86"/>
      <c r="D131" s="82"/>
      <c r="E131" s="100" t="s">
        <v>715</v>
      </c>
      <c r="F131" s="82"/>
      <c r="G131" s="25">
        <f t="shared" si="3"/>
        <v>30</v>
      </c>
      <c r="H131" s="109">
        <v>45182</v>
      </c>
      <c r="I131" s="109">
        <v>45212</v>
      </c>
      <c r="J131" s="84"/>
      <c r="K131" s="40" t="str">
        <f>IF(M131='Lista Suspensa'!$F$26,IF(J131="-",I131,J131),"")</f>
        <v/>
      </c>
      <c r="L131" s="25" t="s">
        <v>657</v>
      </c>
      <c r="M131" s="33" t="s">
        <v>635</v>
      </c>
      <c r="N131" s="25">
        <f>VLOOKUP(M131,'Lista Suspensa'!$F$23:$G$27,2,FALSE)</f>
        <v>0</v>
      </c>
      <c r="O131" s="27"/>
    </row>
    <row r="132" spans="1:15" outlineLevel="1" x14ac:dyDescent="0.3">
      <c r="C132" s="87"/>
      <c r="D132" s="5"/>
      <c r="E132" s="5" t="s">
        <v>716</v>
      </c>
      <c r="F132" s="6"/>
      <c r="G132" s="6">
        <f t="shared" si="3"/>
        <v>30</v>
      </c>
      <c r="H132" s="109">
        <v>45182</v>
      </c>
      <c r="I132" s="109">
        <v>45212</v>
      </c>
      <c r="J132" s="6"/>
      <c r="K132" s="40" t="str">
        <f>IF(M132='Lista Suspensa'!$F$26,IF(J132="-",I132,J132),"")</f>
        <v/>
      </c>
      <c r="L132" s="25" t="s">
        <v>657</v>
      </c>
      <c r="M132" s="33" t="s">
        <v>635</v>
      </c>
      <c r="N132" s="25">
        <f>VLOOKUP(M132,'Lista Suspensa'!$F$23:$G$27,2,FALSE)</f>
        <v>0</v>
      </c>
      <c r="O132" s="99"/>
    </row>
    <row r="133" spans="1:15" outlineLevel="1" x14ac:dyDescent="0.3">
      <c r="C133" s="87"/>
      <c r="D133" s="5"/>
      <c r="E133" s="5" t="s">
        <v>717</v>
      </c>
      <c r="F133" s="6"/>
      <c r="G133" s="6">
        <f t="shared" si="3"/>
        <v>30</v>
      </c>
      <c r="H133" s="109">
        <v>45182</v>
      </c>
      <c r="I133" s="109">
        <v>45212</v>
      </c>
      <c r="J133" s="6"/>
      <c r="K133" s="40" t="str">
        <f>IF(M133='Lista Suspensa'!$F$26,IF(J133="-",I133,J133),"")</f>
        <v/>
      </c>
      <c r="L133" s="25" t="s">
        <v>657</v>
      </c>
      <c r="M133" s="33" t="s">
        <v>635</v>
      </c>
      <c r="N133" s="25">
        <f>VLOOKUP(M133,'Lista Suspensa'!$F$23:$G$27,2,FALSE)</f>
        <v>0</v>
      </c>
      <c r="O133" s="99"/>
    </row>
    <row r="134" spans="1:15" x14ac:dyDescent="0.3">
      <c r="C134" s="43"/>
      <c r="D134" s="28" t="s">
        <v>718</v>
      </c>
      <c r="E134" s="28"/>
      <c r="F134" s="29"/>
      <c r="G134" s="31">
        <f t="shared" si="3"/>
        <v>15</v>
      </c>
      <c r="H134" s="49">
        <v>45212</v>
      </c>
      <c r="I134" s="49">
        <v>45227</v>
      </c>
      <c r="J134" s="30"/>
      <c r="K134" s="49"/>
      <c r="L134" s="31"/>
      <c r="M134" s="31"/>
      <c r="N134" s="31"/>
      <c r="O134" s="32"/>
    </row>
    <row r="135" spans="1:15" ht="15" customHeight="1" outlineLevel="1" x14ac:dyDescent="0.3">
      <c r="C135" s="86"/>
      <c r="D135" s="82"/>
      <c r="E135" s="100" t="s">
        <v>719</v>
      </c>
      <c r="F135" s="82"/>
      <c r="G135" s="25">
        <f t="shared" si="3"/>
        <v>30</v>
      </c>
      <c r="H135" s="109">
        <v>45182</v>
      </c>
      <c r="I135" s="109">
        <v>45212</v>
      </c>
      <c r="J135" s="84"/>
      <c r="K135" s="40" t="str">
        <f>IF(M135='Lista Suspensa'!$F$26,IF(J135="-",I135,J135),"")</f>
        <v/>
      </c>
      <c r="L135" s="25" t="s">
        <v>657</v>
      </c>
      <c r="M135" s="33" t="s">
        <v>635</v>
      </c>
      <c r="N135" s="25">
        <f>VLOOKUP(M135,'Lista Suspensa'!$F$23:$G$27,2,FALSE)</f>
        <v>0</v>
      </c>
      <c r="O135" s="27"/>
    </row>
    <row r="136" spans="1:15" outlineLevel="1" x14ac:dyDescent="0.3">
      <c r="C136" s="87"/>
      <c r="D136" s="5"/>
      <c r="E136" s="5" t="s">
        <v>720</v>
      </c>
      <c r="F136" s="6"/>
      <c r="G136" s="6">
        <f t="shared" si="3"/>
        <v>30</v>
      </c>
      <c r="H136" s="109">
        <v>45182</v>
      </c>
      <c r="I136" s="109">
        <v>45212</v>
      </c>
      <c r="J136" s="6"/>
      <c r="K136" s="40" t="str">
        <f>IF(M136='Lista Suspensa'!$F$26,IF(J136="-",I136,J136),"")</f>
        <v/>
      </c>
      <c r="L136" s="25" t="s">
        <v>657</v>
      </c>
      <c r="M136" s="33" t="s">
        <v>635</v>
      </c>
      <c r="N136" s="25">
        <f>VLOOKUP(M136,'Lista Suspensa'!$F$23:$G$27,2,FALSE)</f>
        <v>0</v>
      </c>
      <c r="O136" s="99"/>
    </row>
    <row r="137" spans="1:15" outlineLevel="1" x14ac:dyDescent="0.3">
      <c r="C137" s="87"/>
      <c r="D137" s="5"/>
      <c r="E137" s="5" t="s">
        <v>721</v>
      </c>
      <c r="F137" s="6"/>
      <c r="G137" s="6">
        <f t="shared" si="3"/>
        <v>30</v>
      </c>
      <c r="H137" s="109">
        <v>45182</v>
      </c>
      <c r="I137" s="109">
        <v>45212</v>
      </c>
      <c r="J137" s="6"/>
      <c r="K137" s="40" t="str">
        <f>IF(M137='Lista Suspensa'!$F$26,IF(J137="-",I137,J137),"")</f>
        <v/>
      </c>
      <c r="L137" s="25" t="s">
        <v>657</v>
      </c>
      <c r="M137" s="33" t="s">
        <v>635</v>
      </c>
      <c r="N137" s="25">
        <f>VLOOKUP(M137,'Lista Suspensa'!$F$23:$G$27,2,FALSE)</f>
        <v>0</v>
      </c>
      <c r="O137" s="99"/>
    </row>
    <row r="138" spans="1:15" ht="15" customHeight="1" outlineLevel="1" x14ac:dyDescent="0.3">
      <c r="C138" s="44"/>
      <c r="D138" s="82"/>
      <c r="E138" s="100" t="s">
        <v>722</v>
      </c>
      <c r="F138" s="82"/>
      <c r="G138" s="25">
        <f t="shared" si="3"/>
        <v>30</v>
      </c>
      <c r="H138" s="109">
        <v>45182</v>
      </c>
      <c r="I138" s="109">
        <v>45212</v>
      </c>
      <c r="J138" s="84"/>
      <c r="K138" s="40" t="str">
        <f>IF(M138='Lista Suspensa'!$F$26,IF(J138="-",I138,J138),"")</f>
        <v/>
      </c>
      <c r="L138" s="25" t="s">
        <v>657</v>
      </c>
      <c r="M138" s="33" t="s">
        <v>635</v>
      </c>
      <c r="N138" s="25">
        <f>VLOOKUP(M138,'Lista Suspensa'!$F$23:$G$27,2,FALSE)</f>
        <v>0</v>
      </c>
      <c r="O138" s="27"/>
    </row>
    <row r="139" spans="1:15" ht="15" customHeight="1" x14ac:dyDescent="0.3">
      <c r="C139" s="63" t="s">
        <v>726</v>
      </c>
      <c r="D139" s="64"/>
      <c r="E139" s="64"/>
      <c r="F139" s="65"/>
      <c r="G139" s="68">
        <f t="shared" si="3"/>
        <v>60</v>
      </c>
      <c r="H139" s="66">
        <v>45172</v>
      </c>
      <c r="I139" s="66">
        <v>45232</v>
      </c>
      <c r="J139" s="67"/>
      <c r="K139" s="67"/>
      <c r="L139" s="68"/>
      <c r="M139" s="68"/>
      <c r="N139" s="68"/>
      <c r="O139" s="26"/>
    </row>
    <row r="140" spans="1:15" ht="15" customHeight="1" x14ac:dyDescent="0.3">
      <c r="C140" s="43"/>
      <c r="D140" s="28" t="s">
        <v>701</v>
      </c>
      <c r="E140" s="28"/>
      <c r="F140" s="29"/>
      <c r="G140" s="31">
        <f t="shared" si="3"/>
        <v>5</v>
      </c>
      <c r="H140" s="49">
        <v>45172</v>
      </c>
      <c r="I140" s="49">
        <v>45177</v>
      </c>
      <c r="J140" s="30"/>
      <c r="K140" s="49"/>
      <c r="L140" s="31"/>
      <c r="M140" s="31"/>
      <c r="N140" s="31"/>
      <c r="O140" s="32"/>
    </row>
    <row r="141" spans="1:15" ht="15" customHeight="1" outlineLevel="1" x14ac:dyDescent="0.3">
      <c r="A141" s="53">
        <v>36</v>
      </c>
      <c r="C141" s="86"/>
      <c r="D141" s="82"/>
      <c r="E141" s="82" t="s">
        <v>702</v>
      </c>
      <c r="F141" s="82"/>
      <c r="G141" s="25">
        <f t="shared" si="3"/>
        <v>5</v>
      </c>
      <c r="H141" s="109">
        <v>45172</v>
      </c>
      <c r="I141" s="109">
        <v>45177</v>
      </c>
      <c r="J141" s="84" t="s">
        <v>74</v>
      </c>
      <c r="K141" s="40" t="str">
        <f>IF(M141='Lista Suspensa'!$F$26,IF(J141="-",I141,J141),"")</f>
        <v/>
      </c>
      <c r="L141" s="25" t="s">
        <v>657</v>
      </c>
      <c r="M141" s="33" t="s">
        <v>635</v>
      </c>
      <c r="N141" s="25">
        <f>VLOOKUP(M141,'Lista Suspensa'!$F$23:$G$27,2,FALSE)</f>
        <v>0</v>
      </c>
      <c r="O141" s="27"/>
    </row>
    <row r="142" spans="1:15" outlineLevel="1" x14ac:dyDescent="0.3">
      <c r="C142" s="87"/>
      <c r="D142" s="5"/>
      <c r="E142" s="5" t="s">
        <v>704</v>
      </c>
      <c r="F142" s="6"/>
      <c r="G142" s="6">
        <f t="shared" si="3"/>
        <v>5</v>
      </c>
      <c r="H142" s="109">
        <v>45172</v>
      </c>
      <c r="I142" s="109">
        <v>45177</v>
      </c>
      <c r="J142" s="6"/>
      <c r="K142" s="40" t="str">
        <f>IF(M142='Lista Suspensa'!$F$26,IF(J142="-",I142,J142),"")</f>
        <v/>
      </c>
      <c r="L142" s="25" t="s">
        <v>657</v>
      </c>
      <c r="M142" s="33" t="s">
        <v>635</v>
      </c>
      <c r="N142" s="25">
        <f>VLOOKUP(M142,'Lista Suspensa'!$F$23:$G$27,2,FALSE)</f>
        <v>0</v>
      </c>
      <c r="O142" s="99"/>
    </row>
    <row r="143" spans="1:15" outlineLevel="1" x14ac:dyDescent="0.3">
      <c r="C143" s="87"/>
      <c r="D143" s="5"/>
      <c r="E143" s="5" t="s">
        <v>705</v>
      </c>
      <c r="F143" s="6"/>
      <c r="G143" s="6">
        <f t="shared" si="3"/>
        <v>5</v>
      </c>
      <c r="H143" s="109">
        <v>45172</v>
      </c>
      <c r="I143" s="109">
        <v>45177</v>
      </c>
      <c r="J143" s="6"/>
      <c r="K143" s="40" t="str">
        <f>IF(M143='Lista Suspensa'!$F$26,IF(J143="-",I143,J143),"")</f>
        <v/>
      </c>
      <c r="L143" s="25" t="s">
        <v>657</v>
      </c>
      <c r="M143" s="33" t="s">
        <v>635</v>
      </c>
      <c r="N143" s="25">
        <f>VLOOKUP(M143,'Lista Suspensa'!$F$23:$G$27,2,FALSE)</f>
        <v>0</v>
      </c>
      <c r="O143" s="99"/>
    </row>
    <row r="144" spans="1:15" outlineLevel="1" x14ac:dyDescent="0.3">
      <c r="C144" s="87"/>
      <c r="D144" s="5"/>
      <c r="E144" s="5" t="s">
        <v>706</v>
      </c>
      <c r="F144" s="6"/>
      <c r="G144" s="6">
        <f t="shared" si="3"/>
        <v>5</v>
      </c>
      <c r="H144" s="109">
        <v>45172</v>
      </c>
      <c r="I144" s="109">
        <v>45177</v>
      </c>
      <c r="J144" s="6"/>
      <c r="K144" s="40" t="str">
        <f>IF(M144='Lista Suspensa'!$F$26,IF(J144="-",I144,J144),"")</f>
        <v/>
      </c>
      <c r="L144" s="25" t="s">
        <v>657</v>
      </c>
      <c r="M144" s="33" t="s">
        <v>635</v>
      </c>
      <c r="N144" s="25">
        <f>VLOOKUP(M144,'Lista Suspensa'!$F$23:$G$27,2,FALSE)</f>
        <v>0</v>
      </c>
      <c r="O144" s="99"/>
    </row>
    <row r="145" spans="3:15" outlineLevel="1" x14ac:dyDescent="0.3">
      <c r="C145" s="87"/>
      <c r="D145" s="5"/>
      <c r="E145" s="5" t="s">
        <v>707</v>
      </c>
      <c r="F145" s="6"/>
      <c r="G145" s="6">
        <f t="shared" si="3"/>
        <v>5</v>
      </c>
      <c r="H145" s="109">
        <v>45172</v>
      </c>
      <c r="I145" s="109">
        <v>45177</v>
      </c>
      <c r="J145" s="6"/>
      <c r="K145" s="40" t="str">
        <f>IF(M145='Lista Suspensa'!$F$26,IF(J145="-",I145,J145),"")</f>
        <v/>
      </c>
      <c r="L145" s="25" t="s">
        <v>657</v>
      </c>
      <c r="M145" s="33" t="s">
        <v>635</v>
      </c>
      <c r="N145" s="25">
        <f>VLOOKUP(M145,'Lista Suspensa'!$F$23:$G$27,2,FALSE)</f>
        <v>0</v>
      </c>
      <c r="O145" s="99"/>
    </row>
    <row r="146" spans="3:15" outlineLevel="1" x14ac:dyDescent="0.3">
      <c r="C146" s="87"/>
      <c r="D146" s="5"/>
      <c r="E146" s="5" t="s">
        <v>708</v>
      </c>
      <c r="F146" s="6"/>
      <c r="G146" s="6">
        <f t="shared" si="3"/>
        <v>5</v>
      </c>
      <c r="H146" s="109">
        <v>45172</v>
      </c>
      <c r="I146" s="109">
        <v>45177</v>
      </c>
      <c r="J146" s="6"/>
      <c r="K146" s="40" t="str">
        <f>IF(M146='Lista Suspensa'!$F$26,IF(J146="-",I146,J146),"")</f>
        <v/>
      </c>
      <c r="L146" s="25" t="s">
        <v>657</v>
      </c>
      <c r="M146" s="33" t="s">
        <v>635</v>
      </c>
      <c r="N146" s="25">
        <f>VLOOKUP(M146,'Lista Suspensa'!$F$23:$G$27,2,FALSE)</f>
        <v>0</v>
      </c>
      <c r="O146" s="99"/>
    </row>
    <row r="147" spans="3:15" x14ac:dyDescent="0.3">
      <c r="C147" s="43"/>
      <c r="D147" s="28" t="s">
        <v>709</v>
      </c>
      <c r="E147" s="28"/>
      <c r="F147" s="29"/>
      <c r="G147" s="31">
        <f t="shared" ref="G147:G178" si="4">I147-H147</f>
        <v>10</v>
      </c>
      <c r="H147" s="49">
        <v>45177</v>
      </c>
      <c r="I147" s="49">
        <v>45187</v>
      </c>
      <c r="J147" s="30"/>
      <c r="K147" s="49"/>
      <c r="L147" s="31"/>
      <c r="M147" s="31"/>
      <c r="N147" s="31"/>
      <c r="O147" s="32"/>
    </row>
    <row r="148" spans="3:15" ht="15" customHeight="1" outlineLevel="1" x14ac:dyDescent="0.3">
      <c r="C148" s="86"/>
      <c r="D148" s="82"/>
      <c r="E148" s="100" t="s">
        <v>710</v>
      </c>
      <c r="F148" s="82"/>
      <c r="G148" s="25">
        <f t="shared" si="4"/>
        <v>10</v>
      </c>
      <c r="H148" s="109">
        <v>45177</v>
      </c>
      <c r="I148" s="109">
        <v>45187</v>
      </c>
      <c r="J148" s="84"/>
      <c r="K148" s="40" t="str">
        <f>IF(M148='Lista Suspensa'!$F$26,IF(J148="-",I148,J148),"")</f>
        <v/>
      </c>
      <c r="L148" s="25" t="s">
        <v>657</v>
      </c>
      <c r="M148" s="33" t="s">
        <v>635</v>
      </c>
      <c r="N148" s="25">
        <f>VLOOKUP(M148,'Lista Suspensa'!$F$23:$G$27,2,FALSE)</f>
        <v>0</v>
      </c>
      <c r="O148" s="27"/>
    </row>
    <row r="149" spans="3:15" outlineLevel="1" x14ac:dyDescent="0.3">
      <c r="C149" s="87"/>
      <c r="D149" s="5"/>
      <c r="E149" s="5" t="s">
        <v>711</v>
      </c>
      <c r="F149" s="6"/>
      <c r="G149" s="6">
        <f t="shared" si="4"/>
        <v>10</v>
      </c>
      <c r="H149" s="109">
        <v>45177</v>
      </c>
      <c r="I149" s="109">
        <v>45187</v>
      </c>
      <c r="J149" s="6"/>
      <c r="K149" s="40" t="str">
        <f>IF(M149='Lista Suspensa'!$F$26,IF(J149="-",I149,J149),"")</f>
        <v/>
      </c>
      <c r="L149" s="25" t="s">
        <v>657</v>
      </c>
      <c r="M149" s="33" t="s">
        <v>635</v>
      </c>
      <c r="N149" s="25">
        <f>VLOOKUP(M149,'Lista Suspensa'!$F$23:$G$27,2,FALSE)</f>
        <v>0</v>
      </c>
      <c r="O149" s="99"/>
    </row>
    <row r="150" spans="3:15" outlineLevel="1" x14ac:dyDescent="0.3">
      <c r="C150" s="87"/>
      <c r="D150" s="5"/>
      <c r="E150" s="5" t="s">
        <v>712</v>
      </c>
      <c r="F150" s="6"/>
      <c r="G150" s="6">
        <f t="shared" si="4"/>
        <v>10</v>
      </c>
      <c r="H150" s="109">
        <v>45177</v>
      </c>
      <c r="I150" s="109">
        <v>45187</v>
      </c>
      <c r="J150" s="6"/>
      <c r="K150" s="40" t="str">
        <f>IF(M150='Lista Suspensa'!$F$26,IF(J150="-",I150,J150),"")</f>
        <v/>
      </c>
      <c r="L150" s="25" t="s">
        <v>657</v>
      </c>
      <c r="M150" s="33" t="s">
        <v>635</v>
      </c>
      <c r="N150" s="25">
        <f>VLOOKUP(M150,'Lista Suspensa'!$F$23:$G$27,2,FALSE)</f>
        <v>0</v>
      </c>
      <c r="O150" s="99"/>
    </row>
    <row r="151" spans="3:15" ht="15" customHeight="1" outlineLevel="1" x14ac:dyDescent="0.3">
      <c r="C151" s="44"/>
      <c r="D151" s="82"/>
      <c r="E151" s="100" t="s">
        <v>713</v>
      </c>
      <c r="F151" s="82"/>
      <c r="G151" s="25">
        <f t="shared" si="4"/>
        <v>10</v>
      </c>
      <c r="H151" s="109">
        <v>45177</v>
      </c>
      <c r="I151" s="109">
        <v>45187</v>
      </c>
      <c r="J151" s="84"/>
      <c r="K151" s="40" t="str">
        <f>IF(M151='Lista Suspensa'!$F$26,IF(J151="-",I151,J151),"")</f>
        <v/>
      </c>
      <c r="L151" s="25" t="s">
        <v>657</v>
      </c>
      <c r="M151" s="33" t="s">
        <v>635</v>
      </c>
      <c r="N151" s="25">
        <f>VLOOKUP(M151,'Lista Suspensa'!$F$23:$G$27,2,FALSE)</f>
        <v>0</v>
      </c>
      <c r="O151" s="27"/>
    </row>
    <row r="152" spans="3:15" x14ac:dyDescent="0.3">
      <c r="C152" s="43"/>
      <c r="D152" s="28" t="s">
        <v>714</v>
      </c>
      <c r="E152" s="28"/>
      <c r="F152" s="29"/>
      <c r="G152" s="31">
        <f t="shared" si="4"/>
        <v>30</v>
      </c>
      <c r="H152" s="49">
        <v>45187</v>
      </c>
      <c r="I152" s="49">
        <v>45217</v>
      </c>
      <c r="J152" s="30"/>
      <c r="K152" s="49"/>
      <c r="L152" s="31"/>
      <c r="M152" s="31"/>
      <c r="N152" s="31"/>
      <c r="O152" s="32"/>
    </row>
    <row r="153" spans="3:15" ht="15" customHeight="1" outlineLevel="1" x14ac:dyDescent="0.3">
      <c r="C153" s="86"/>
      <c r="D153" s="82"/>
      <c r="E153" s="100" t="s">
        <v>715</v>
      </c>
      <c r="F153" s="82"/>
      <c r="G153" s="25">
        <f t="shared" si="4"/>
        <v>30</v>
      </c>
      <c r="H153" s="109">
        <v>45187</v>
      </c>
      <c r="I153" s="109">
        <v>45217</v>
      </c>
      <c r="J153" s="84"/>
      <c r="K153" s="40" t="str">
        <f>IF(M153='Lista Suspensa'!$F$26,IF(J153="-",I153,J153),"")</f>
        <v/>
      </c>
      <c r="L153" s="25" t="s">
        <v>657</v>
      </c>
      <c r="M153" s="33" t="s">
        <v>635</v>
      </c>
      <c r="N153" s="25">
        <f>VLOOKUP(M153,'Lista Suspensa'!$F$23:$G$27,2,FALSE)</f>
        <v>0</v>
      </c>
      <c r="O153" s="27"/>
    </row>
    <row r="154" spans="3:15" outlineLevel="1" x14ac:dyDescent="0.3">
      <c r="C154" s="87"/>
      <c r="D154" s="5"/>
      <c r="E154" s="5" t="s">
        <v>716</v>
      </c>
      <c r="F154" s="6"/>
      <c r="G154" s="6">
        <f t="shared" si="4"/>
        <v>30</v>
      </c>
      <c r="H154" s="109">
        <v>45187</v>
      </c>
      <c r="I154" s="109">
        <v>45217</v>
      </c>
      <c r="J154" s="6"/>
      <c r="K154" s="40" t="str">
        <f>IF(M154='Lista Suspensa'!$F$26,IF(J154="-",I154,J154),"")</f>
        <v/>
      </c>
      <c r="L154" s="25" t="s">
        <v>657</v>
      </c>
      <c r="M154" s="33" t="s">
        <v>635</v>
      </c>
      <c r="N154" s="25">
        <f>VLOOKUP(M154,'Lista Suspensa'!$F$23:$G$27,2,FALSE)</f>
        <v>0</v>
      </c>
      <c r="O154" s="99"/>
    </row>
    <row r="155" spans="3:15" outlineLevel="1" x14ac:dyDescent="0.3">
      <c r="C155" s="87"/>
      <c r="D155" s="5"/>
      <c r="E155" s="5" t="s">
        <v>717</v>
      </c>
      <c r="F155" s="6"/>
      <c r="G155" s="6">
        <f t="shared" si="4"/>
        <v>30</v>
      </c>
      <c r="H155" s="109">
        <v>45187</v>
      </c>
      <c r="I155" s="109">
        <v>45217</v>
      </c>
      <c r="J155" s="6"/>
      <c r="K155" s="40" t="str">
        <f>IF(M155='Lista Suspensa'!$F$26,IF(J155="-",I155,J155),"")</f>
        <v/>
      </c>
      <c r="L155" s="25" t="s">
        <v>657</v>
      </c>
      <c r="M155" s="33" t="s">
        <v>635</v>
      </c>
      <c r="N155" s="25">
        <f>VLOOKUP(M155,'Lista Suspensa'!$F$23:$G$27,2,FALSE)</f>
        <v>0</v>
      </c>
      <c r="O155" s="99"/>
    </row>
    <row r="156" spans="3:15" x14ac:dyDescent="0.3">
      <c r="C156" s="43"/>
      <c r="D156" s="28" t="s">
        <v>718</v>
      </c>
      <c r="E156" s="28"/>
      <c r="F156" s="29"/>
      <c r="G156" s="31">
        <f t="shared" si="4"/>
        <v>15</v>
      </c>
      <c r="H156" s="49">
        <v>45217</v>
      </c>
      <c r="I156" s="49">
        <v>45232</v>
      </c>
      <c r="J156" s="30"/>
      <c r="K156" s="49"/>
      <c r="L156" s="31"/>
      <c r="M156" s="31"/>
      <c r="N156" s="31"/>
      <c r="O156" s="32"/>
    </row>
    <row r="157" spans="3:15" ht="15" customHeight="1" outlineLevel="1" x14ac:dyDescent="0.3">
      <c r="C157" s="86"/>
      <c r="D157" s="82"/>
      <c r="E157" s="100" t="s">
        <v>719</v>
      </c>
      <c r="F157" s="82"/>
      <c r="G157" s="25">
        <f t="shared" si="4"/>
        <v>15</v>
      </c>
      <c r="H157" s="109">
        <v>45217</v>
      </c>
      <c r="I157" s="109">
        <v>45232</v>
      </c>
      <c r="J157" s="84"/>
      <c r="K157" s="40" t="str">
        <f>IF(M157='Lista Suspensa'!$F$26,IF(J157="-",I157,J157),"")</f>
        <v/>
      </c>
      <c r="L157" s="25" t="s">
        <v>657</v>
      </c>
      <c r="M157" s="33" t="s">
        <v>635</v>
      </c>
      <c r="N157" s="25">
        <f>VLOOKUP(M157,'Lista Suspensa'!$F$23:$G$27,2,FALSE)</f>
        <v>0</v>
      </c>
      <c r="O157" s="27"/>
    </row>
    <row r="158" spans="3:15" outlineLevel="1" x14ac:dyDescent="0.3">
      <c r="C158" s="87"/>
      <c r="D158" s="5"/>
      <c r="E158" s="5" t="s">
        <v>720</v>
      </c>
      <c r="F158" s="6"/>
      <c r="G158" s="6">
        <f t="shared" si="4"/>
        <v>15</v>
      </c>
      <c r="H158" s="109">
        <v>45217</v>
      </c>
      <c r="I158" s="109">
        <v>45232</v>
      </c>
      <c r="J158" s="6"/>
      <c r="K158" s="40" t="str">
        <f>IF(M158='Lista Suspensa'!$F$26,IF(J158="-",I158,J158),"")</f>
        <v/>
      </c>
      <c r="L158" s="25" t="s">
        <v>657</v>
      </c>
      <c r="M158" s="33" t="s">
        <v>635</v>
      </c>
      <c r="N158" s="25">
        <f>VLOOKUP(M158,'Lista Suspensa'!$F$23:$G$27,2,FALSE)</f>
        <v>0</v>
      </c>
      <c r="O158" s="99"/>
    </row>
    <row r="159" spans="3:15" outlineLevel="1" x14ac:dyDescent="0.3">
      <c r="C159" s="87"/>
      <c r="D159" s="5"/>
      <c r="E159" s="5" t="s">
        <v>721</v>
      </c>
      <c r="F159" s="6"/>
      <c r="G159" s="6">
        <f t="shared" si="4"/>
        <v>15</v>
      </c>
      <c r="H159" s="109">
        <v>45217</v>
      </c>
      <c r="I159" s="109">
        <v>45232</v>
      </c>
      <c r="J159" s="6"/>
      <c r="K159" s="40" t="str">
        <f>IF(M159='Lista Suspensa'!$F$26,IF(J159="-",I159,J159),"")</f>
        <v/>
      </c>
      <c r="L159" s="25" t="s">
        <v>657</v>
      </c>
      <c r="M159" s="33" t="s">
        <v>635</v>
      </c>
      <c r="N159" s="25">
        <f>VLOOKUP(M159,'Lista Suspensa'!$F$23:$G$27,2,FALSE)</f>
        <v>0</v>
      </c>
      <c r="O159" s="99"/>
    </row>
    <row r="160" spans="3:15" ht="15" customHeight="1" outlineLevel="1" x14ac:dyDescent="0.3">
      <c r="C160" s="44"/>
      <c r="D160" s="82"/>
      <c r="E160" s="100" t="s">
        <v>722</v>
      </c>
      <c r="F160" s="82"/>
      <c r="G160" s="25">
        <f t="shared" si="4"/>
        <v>15</v>
      </c>
      <c r="H160" s="109">
        <v>45217</v>
      </c>
      <c r="I160" s="109">
        <v>45232</v>
      </c>
      <c r="J160" s="84"/>
      <c r="K160" s="40" t="str">
        <f>IF(M160='Lista Suspensa'!$F$26,IF(J160="-",I160,J160),"")</f>
        <v/>
      </c>
      <c r="L160" s="25" t="s">
        <v>657</v>
      </c>
      <c r="M160" s="33" t="s">
        <v>635</v>
      </c>
      <c r="N160" s="25">
        <f>VLOOKUP(M160,'Lista Suspensa'!$F$23:$G$27,2,FALSE)</f>
        <v>0</v>
      </c>
      <c r="O160" s="27"/>
    </row>
    <row r="161" spans="1:15" ht="15" customHeight="1" x14ac:dyDescent="0.3">
      <c r="C161" s="63" t="s">
        <v>727</v>
      </c>
      <c r="D161" s="64"/>
      <c r="E161" s="64"/>
      <c r="F161" s="65"/>
      <c r="G161" s="68">
        <f t="shared" si="4"/>
        <v>60</v>
      </c>
      <c r="H161" s="68">
        <v>45177</v>
      </c>
      <c r="I161" s="66">
        <v>45237</v>
      </c>
      <c r="J161" s="67"/>
      <c r="K161" s="67"/>
      <c r="L161" s="68"/>
      <c r="M161" s="68"/>
      <c r="N161" s="68"/>
      <c r="O161" s="26"/>
    </row>
    <row r="162" spans="1:15" ht="15" customHeight="1" x14ac:dyDescent="0.3">
      <c r="C162" s="43"/>
      <c r="D162" s="28" t="s">
        <v>701</v>
      </c>
      <c r="E162" s="28"/>
      <c r="F162" s="29"/>
      <c r="G162" s="31">
        <f t="shared" si="4"/>
        <v>5</v>
      </c>
      <c r="H162" s="49">
        <v>45177</v>
      </c>
      <c r="I162" s="49">
        <v>45182</v>
      </c>
      <c r="J162" s="30"/>
      <c r="K162" s="49"/>
      <c r="L162" s="31"/>
      <c r="M162" s="31"/>
      <c r="N162" s="31"/>
      <c r="O162" s="32"/>
    </row>
    <row r="163" spans="1:15" ht="15" customHeight="1" outlineLevel="1" x14ac:dyDescent="0.3">
      <c r="A163" s="53">
        <v>36</v>
      </c>
      <c r="C163" s="86"/>
      <c r="D163" s="82"/>
      <c r="E163" s="100" t="s">
        <v>702</v>
      </c>
      <c r="F163" s="82"/>
      <c r="G163" s="25">
        <f t="shared" si="4"/>
        <v>5</v>
      </c>
      <c r="H163" s="109">
        <v>45177</v>
      </c>
      <c r="I163" s="109">
        <v>45182</v>
      </c>
      <c r="J163" s="84" t="s">
        <v>74</v>
      </c>
      <c r="K163" s="40" t="str">
        <f>IF(M163='Lista Suspensa'!$F$26,IF(J163="-",I163,J163),"")</f>
        <v/>
      </c>
      <c r="L163" s="25" t="s">
        <v>657</v>
      </c>
      <c r="M163" s="33" t="s">
        <v>635</v>
      </c>
      <c r="N163" s="25">
        <f>VLOOKUP(M163,'Lista Suspensa'!$F$23:$G$27,2,FALSE)</f>
        <v>0</v>
      </c>
      <c r="O163" s="27"/>
    </row>
    <row r="164" spans="1:15" outlineLevel="1" x14ac:dyDescent="0.3">
      <c r="C164" s="87"/>
      <c r="D164" s="5"/>
      <c r="E164" s="5" t="s">
        <v>704</v>
      </c>
      <c r="F164" s="6"/>
      <c r="G164" s="6">
        <f t="shared" si="4"/>
        <v>5</v>
      </c>
      <c r="H164" s="109">
        <v>45177</v>
      </c>
      <c r="I164" s="109">
        <v>45182</v>
      </c>
      <c r="J164" s="6"/>
      <c r="K164" s="40" t="str">
        <f>IF(M164='Lista Suspensa'!$F$26,IF(J164="-",I164,J164),"")</f>
        <v/>
      </c>
      <c r="L164" s="25" t="s">
        <v>657</v>
      </c>
      <c r="M164" s="33" t="s">
        <v>635</v>
      </c>
      <c r="N164" s="25">
        <f>VLOOKUP(M164,'Lista Suspensa'!$F$23:$G$27,2,FALSE)</f>
        <v>0</v>
      </c>
      <c r="O164" s="99"/>
    </row>
    <row r="165" spans="1:15" outlineLevel="1" x14ac:dyDescent="0.3">
      <c r="C165" s="87"/>
      <c r="D165" s="5"/>
      <c r="E165" s="5" t="s">
        <v>705</v>
      </c>
      <c r="F165" s="6"/>
      <c r="G165" s="6">
        <f t="shared" si="4"/>
        <v>5</v>
      </c>
      <c r="H165" s="109">
        <v>45177</v>
      </c>
      <c r="I165" s="109">
        <v>45182</v>
      </c>
      <c r="J165" s="6"/>
      <c r="K165" s="40" t="str">
        <f>IF(M165='Lista Suspensa'!$F$26,IF(J165="-",I165,J165),"")</f>
        <v/>
      </c>
      <c r="L165" s="25" t="s">
        <v>657</v>
      </c>
      <c r="M165" s="33" t="s">
        <v>635</v>
      </c>
      <c r="N165" s="25">
        <f>VLOOKUP(M165,'Lista Suspensa'!$F$23:$G$27,2,FALSE)</f>
        <v>0</v>
      </c>
      <c r="O165" s="99"/>
    </row>
    <row r="166" spans="1:15" ht="15" customHeight="1" outlineLevel="1" x14ac:dyDescent="0.3">
      <c r="C166" s="44"/>
      <c r="D166" s="82"/>
      <c r="E166" s="100" t="s">
        <v>706</v>
      </c>
      <c r="F166" s="82"/>
      <c r="G166" s="25">
        <f t="shared" si="4"/>
        <v>5</v>
      </c>
      <c r="H166" s="109">
        <v>45177</v>
      </c>
      <c r="I166" s="109">
        <v>45182</v>
      </c>
      <c r="J166" s="84"/>
      <c r="K166" s="40" t="str">
        <f>IF(M166='Lista Suspensa'!$F$26,IF(J166="-",I166,J166),"")</f>
        <v/>
      </c>
      <c r="L166" s="25" t="s">
        <v>657</v>
      </c>
      <c r="M166" s="33" t="s">
        <v>635</v>
      </c>
      <c r="N166" s="25">
        <f>VLOOKUP(M166,'Lista Suspensa'!$F$23:$G$27,2,FALSE)</f>
        <v>0</v>
      </c>
      <c r="O166" s="27"/>
    </row>
    <row r="167" spans="1:15" ht="15" customHeight="1" outlineLevel="1" x14ac:dyDescent="0.3">
      <c r="C167" s="44"/>
      <c r="D167" s="82"/>
      <c r="E167" s="100" t="s">
        <v>707</v>
      </c>
      <c r="F167" s="82"/>
      <c r="G167" s="25">
        <f t="shared" si="4"/>
        <v>5</v>
      </c>
      <c r="H167" s="109">
        <v>45177</v>
      </c>
      <c r="I167" s="109">
        <v>45182</v>
      </c>
      <c r="J167" s="84"/>
      <c r="K167" s="40" t="str">
        <f>IF(M167='Lista Suspensa'!$F$26,IF(J167="-",I167,J167),"")</f>
        <v/>
      </c>
      <c r="L167" s="25" t="s">
        <v>657</v>
      </c>
      <c r="M167" s="33" t="s">
        <v>635</v>
      </c>
      <c r="N167" s="25">
        <f>VLOOKUP(M167,'Lista Suspensa'!$F$23:$G$27,2,FALSE)</f>
        <v>0</v>
      </c>
      <c r="O167" s="27"/>
    </row>
    <row r="168" spans="1:15" outlineLevel="1" x14ac:dyDescent="0.3">
      <c r="C168" s="87"/>
      <c r="D168" s="5"/>
      <c r="E168" s="5" t="s">
        <v>708</v>
      </c>
      <c r="F168" s="6"/>
      <c r="G168" s="6">
        <f t="shared" si="4"/>
        <v>5</v>
      </c>
      <c r="H168" s="109">
        <v>45177</v>
      </c>
      <c r="I168" s="109">
        <v>45182</v>
      </c>
      <c r="J168" s="6"/>
      <c r="K168" s="40" t="str">
        <f>IF(M168='Lista Suspensa'!$F$26,IF(J168="-",I168,J168),"")</f>
        <v/>
      </c>
      <c r="L168" s="25" t="s">
        <v>657</v>
      </c>
      <c r="M168" s="33" t="s">
        <v>635</v>
      </c>
      <c r="N168" s="25">
        <f>VLOOKUP(M168,'Lista Suspensa'!$F$23:$G$27,2,FALSE)</f>
        <v>0</v>
      </c>
      <c r="O168" s="99"/>
    </row>
    <row r="169" spans="1:15" x14ac:dyDescent="0.3">
      <c r="C169" s="43"/>
      <c r="D169" s="28" t="s">
        <v>709</v>
      </c>
      <c r="E169" s="28"/>
      <c r="F169" s="29"/>
      <c r="G169" s="31">
        <f t="shared" si="4"/>
        <v>10</v>
      </c>
      <c r="H169" s="49">
        <v>45182</v>
      </c>
      <c r="I169" s="49">
        <v>45192</v>
      </c>
      <c r="J169" s="30"/>
      <c r="K169" s="49"/>
      <c r="L169" s="31"/>
      <c r="M169" s="31"/>
      <c r="N169" s="31"/>
      <c r="O169" s="32"/>
    </row>
    <row r="170" spans="1:15" ht="15" customHeight="1" outlineLevel="1" x14ac:dyDescent="0.3">
      <c r="C170" s="86"/>
      <c r="D170" s="82"/>
      <c r="E170" s="100" t="s">
        <v>710</v>
      </c>
      <c r="F170" s="82"/>
      <c r="G170" s="25">
        <f t="shared" si="4"/>
        <v>10</v>
      </c>
      <c r="H170" s="109">
        <v>45182</v>
      </c>
      <c r="I170" s="109">
        <v>45192</v>
      </c>
      <c r="J170" s="84"/>
      <c r="K170" s="40" t="str">
        <f>IF(M170='Lista Suspensa'!$F$26,IF(J170="-",I170,J170),"")</f>
        <v/>
      </c>
      <c r="L170" s="25" t="s">
        <v>657</v>
      </c>
      <c r="M170" s="33" t="s">
        <v>635</v>
      </c>
      <c r="N170" s="25">
        <f>VLOOKUP(M170,'Lista Suspensa'!$F$23:$G$27,2,FALSE)</f>
        <v>0</v>
      </c>
      <c r="O170" s="27"/>
    </row>
    <row r="171" spans="1:15" outlineLevel="1" x14ac:dyDescent="0.3">
      <c r="C171" s="87"/>
      <c r="D171" s="5"/>
      <c r="E171" s="5" t="s">
        <v>711</v>
      </c>
      <c r="F171" s="6"/>
      <c r="G171" s="6">
        <f t="shared" si="4"/>
        <v>10</v>
      </c>
      <c r="H171" s="109">
        <v>45182</v>
      </c>
      <c r="I171" s="109">
        <v>45192</v>
      </c>
      <c r="J171" s="6"/>
      <c r="K171" s="40" t="str">
        <f>IF(M171='Lista Suspensa'!$F$26,IF(J171="-",I171,J171),"")</f>
        <v/>
      </c>
      <c r="L171" s="25" t="s">
        <v>657</v>
      </c>
      <c r="M171" s="33" t="s">
        <v>635</v>
      </c>
      <c r="N171" s="25">
        <f>VLOOKUP(M171,'Lista Suspensa'!$F$23:$G$27,2,FALSE)</f>
        <v>0</v>
      </c>
      <c r="O171" s="99"/>
    </row>
    <row r="172" spans="1:15" outlineLevel="1" x14ac:dyDescent="0.3">
      <c r="C172" s="87"/>
      <c r="D172" s="5"/>
      <c r="E172" s="5" t="s">
        <v>712</v>
      </c>
      <c r="F172" s="6"/>
      <c r="G172" s="6">
        <f t="shared" si="4"/>
        <v>10</v>
      </c>
      <c r="H172" s="109">
        <v>45182</v>
      </c>
      <c r="I172" s="109">
        <v>45192</v>
      </c>
      <c r="J172" s="6"/>
      <c r="K172" s="40" t="str">
        <f>IF(M172='Lista Suspensa'!$F$26,IF(J172="-",I172,J172),"")</f>
        <v/>
      </c>
      <c r="L172" s="25" t="s">
        <v>657</v>
      </c>
      <c r="M172" s="33" t="s">
        <v>635</v>
      </c>
      <c r="N172" s="25">
        <f>VLOOKUP(M172,'Lista Suspensa'!$F$23:$G$27,2,FALSE)</f>
        <v>0</v>
      </c>
      <c r="O172" s="99"/>
    </row>
    <row r="173" spans="1:15" ht="15" customHeight="1" outlineLevel="1" x14ac:dyDescent="0.3">
      <c r="C173" s="44"/>
      <c r="D173" s="82"/>
      <c r="E173" s="100" t="s">
        <v>713</v>
      </c>
      <c r="F173" s="82"/>
      <c r="G173" s="25">
        <f t="shared" si="4"/>
        <v>10</v>
      </c>
      <c r="H173" s="109">
        <v>45182</v>
      </c>
      <c r="I173" s="109">
        <v>45192</v>
      </c>
      <c r="J173" s="84"/>
      <c r="K173" s="40" t="str">
        <f>IF(M173='Lista Suspensa'!$F$26,IF(J173="-",I173,J173),"")</f>
        <v/>
      </c>
      <c r="L173" s="25" t="s">
        <v>657</v>
      </c>
      <c r="M173" s="33" t="s">
        <v>635</v>
      </c>
      <c r="N173" s="25">
        <f>VLOOKUP(M173,'Lista Suspensa'!$F$23:$G$27,2,FALSE)</f>
        <v>0</v>
      </c>
      <c r="O173" s="27"/>
    </row>
    <row r="174" spans="1:15" x14ac:dyDescent="0.3">
      <c r="C174" s="43"/>
      <c r="D174" s="28" t="s">
        <v>714</v>
      </c>
      <c r="E174" s="28"/>
      <c r="F174" s="29"/>
      <c r="G174" s="31">
        <f t="shared" si="4"/>
        <v>30</v>
      </c>
      <c r="H174" s="49">
        <v>45192</v>
      </c>
      <c r="I174" s="49">
        <v>45222</v>
      </c>
      <c r="J174" s="30"/>
      <c r="K174" s="49"/>
      <c r="L174" s="31"/>
      <c r="M174" s="31"/>
      <c r="N174" s="31"/>
      <c r="O174" s="32"/>
    </row>
    <row r="175" spans="1:15" ht="15" customHeight="1" outlineLevel="1" x14ac:dyDescent="0.3">
      <c r="C175" s="86"/>
      <c r="D175" s="82"/>
      <c r="E175" s="100" t="s">
        <v>715</v>
      </c>
      <c r="F175" s="82"/>
      <c r="G175" s="25">
        <f t="shared" si="4"/>
        <v>30</v>
      </c>
      <c r="H175" s="109">
        <v>45192</v>
      </c>
      <c r="I175" s="109">
        <v>45222</v>
      </c>
      <c r="J175" s="84"/>
      <c r="K175" s="40" t="str">
        <f>IF(M175='Lista Suspensa'!$F$26,IF(J175="-",I175,J175),"")</f>
        <v/>
      </c>
      <c r="L175" s="25" t="s">
        <v>657</v>
      </c>
      <c r="M175" s="33" t="s">
        <v>635</v>
      </c>
      <c r="N175" s="25">
        <f>VLOOKUP(M175,'Lista Suspensa'!$F$23:$G$27,2,FALSE)</f>
        <v>0</v>
      </c>
      <c r="O175" s="27"/>
    </row>
    <row r="176" spans="1:15" outlineLevel="1" x14ac:dyDescent="0.3">
      <c r="C176" s="87"/>
      <c r="D176" s="5"/>
      <c r="E176" s="5" t="s">
        <v>716</v>
      </c>
      <c r="F176" s="6"/>
      <c r="G176" s="6">
        <f t="shared" si="4"/>
        <v>30</v>
      </c>
      <c r="H176" s="109">
        <v>45192</v>
      </c>
      <c r="I176" s="109">
        <v>45222</v>
      </c>
      <c r="J176" s="6"/>
      <c r="K176" s="40" t="str">
        <f>IF(M176='Lista Suspensa'!$F$26,IF(J176="-",I176,J176),"")</f>
        <v/>
      </c>
      <c r="L176" s="25" t="s">
        <v>657</v>
      </c>
      <c r="M176" s="33" t="s">
        <v>635</v>
      </c>
      <c r="N176" s="25">
        <f>VLOOKUP(M176,'Lista Suspensa'!$F$23:$G$27,2,FALSE)</f>
        <v>0</v>
      </c>
      <c r="O176" s="99"/>
    </row>
    <row r="177" spans="3:15" outlineLevel="1" x14ac:dyDescent="0.3">
      <c r="C177" s="87"/>
      <c r="D177" s="5"/>
      <c r="E177" s="5" t="s">
        <v>717</v>
      </c>
      <c r="F177" s="6"/>
      <c r="G177" s="6">
        <f t="shared" si="4"/>
        <v>30</v>
      </c>
      <c r="H177" s="109">
        <v>45192</v>
      </c>
      <c r="I177" s="109">
        <v>45222</v>
      </c>
      <c r="J177" s="6"/>
      <c r="K177" s="40" t="str">
        <f>IF(M177='Lista Suspensa'!$F$26,IF(J177="-",I177,J177),"")</f>
        <v/>
      </c>
      <c r="L177" s="25" t="s">
        <v>657</v>
      </c>
      <c r="M177" s="33" t="s">
        <v>635</v>
      </c>
      <c r="N177" s="25">
        <f>VLOOKUP(M177,'Lista Suspensa'!$F$23:$G$27,2,FALSE)</f>
        <v>0</v>
      </c>
      <c r="O177" s="99"/>
    </row>
    <row r="178" spans="3:15" x14ac:dyDescent="0.3">
      <c r="C178" s="43"/>
      <c r="D178" s="28" t="s">
        <v>718</v>
      </c>
      <c r="E178" s="28"/>
      <c r="F178" s="29"/>
      <c r="G178" s="31">
        <f t="shared" si="4"/>
        <v>15</v>
      </c>
      <c r="H178" s="49">
        <v>45222</v>
      </c>
      <c r="I178" s="49">
        <v>45237</v>
      </c>
      <c r="J178" s="30"/>
      <c r="K178" s="49"/>
      <c r="L178" s="31"/>
      <c r="M178" s="31"/>
      <c r="N178" s="31"/>
      <c r="O178" s="32"/>
    </row>
    <row r="179" spans="3:15" ht="15" customHeight="1" outlineLevel="1" x14ac:dyDescent="0.3">
      <c r="C179" s="86"/>
      <c r="D179" s="82"/>
      <c r="E179" s="100" t="s">
        <v>719</v>
      </c>
      <c r="F179" s="82"/>
      <c r="G179" s="25">
        <f t="shared" ref="G179:G210" si="5">I179-H179</f>
        <v>15</v>
      </c>
      <c r="H179" s="109">
        <v>45222</v>
      </c>
      <c r="I179" s="109">
        <v>45237</v>
      </c>
      <c r="J179" s="84"/>
      <c r="K179" s="40" t="str">
        <f>IF(M179='Lista Suspensa'!$F$26,IF(J179="-",I179,J179),"")</f>
        <v/>
      </c>
      <c r="L179" s="25" t="s">
        <v>657</v>
      </c>
      <c r="M179" s="33" t="s">
        <v>635</v>
      </c>
      <c r="N179" s="25">
        <f>VLOOKUP(M179,'Lista Suspensa'!$F$23:$G$27,2,FALSE)</f>
        <v>0</v>
      </c>
      <c r="O179" s="27"/>
    </row>
    <row r="180" spans="3:15" outlineLevel="1" x14ac:dyDescent="0.3">
      <c r="C180" s="87"/>
      <c r="D180" s="5"/>
      <c r="E180" s="5" t="s">
        <v>720</v>
      </c>
      <c r="F180" s="6"/>
      <c r="G180" s="6">
        <f t="shared" si="5"/>
        <v>15</v>
      </c>
      <c r="H180" s="109">
        <v>45222</v>
      </c>
      <c r="I180" s="109">
        <v>45237</v>
      </c>
      <c r="J180" s="6"/>
      <c r="K180" s="40" t="str">
        <f>IF(M180='Lista Suspensa'!$F$26,IF(J180="-",I180,J180),"")</f>
        <v/>
      </c>
      <c r="L180" s="25" t="s">
        <v>657</v>
      </c>
      <c r="M180" s="33" t="s">
        <v>635</v>
      </c>
      <c r="N180" s="25">
        <f>VLOOKUP(M180,'Lista Suspensa'!$F$23:$G$27,2,FALSE)</f>
        <v>0</v>
      </c>
      <c r="O180" s="99"/>
    </row>
    <row r="181" spans="3:15" outlineLevel="1" x14ac:dyDescent="0.3">
      <c r="C181" s="87"/>
      <c r="D181" s="5"/>
      <c r="E181" s="5" t="s">
        <v>721</v>
      </c>
      <c r="F181" s="6"/>
      <c r="G181" s="6">
        <f t="shared" si="5"/>
        <v>15</v>
      </c>
      <c r="H181" s="109">
        <v>45222</v>
      </c>
      <c r="I181" s="109">
        <v>45237</v>
      </c>
      <c r="J181" s="6"/>
      <c r="K181" s="40" t="str">
        <f>IF(M181='Lista Suspensa'!$F$26,IF(J181="-",I181,J181),"")</f>
        <v/>
      </c>
      <c r="L181" s="25" t="s">
        <v>657</v>
      </c>
      <c r="M181" s="33" t="s">
        <v>635</v>
      </c>
      <c r="N181" s="25">
        <f>VLOOKUP(M181,'Lista Suspensa'!$F$23:$G$27,2,FALSE)</f>
        <v>0</v>
      </c>
      <c r="O181" s="99"/>
    </row>
    <row r="182" spans="3:15" ht="15" customHeight="1" outlineLevel="1" x14ac:dyDescent="0.3">
      <c r="C182" s="44"/>
      <c r="D182" s="82"/>
      <c r="E182" s="100" t="s">
        <v>722</v>
      </c>
      <c r="F182" s="82"/>
      <c r="G182" s="25">
        <f t="shared" si="5"/>
        <v>15</v>
      </c>
      <c r="H182" s="109">
        <v>45222</v>
      </c>
      <c r="I182" s="109">
        <v>45237</v>
      </c>
      <c r="J182" s="84"/>
      <c r="K182" s="40" t="str">
        <f>IF(M182='Lista Suspensa'!$F$26,IF(J182="-",I182,J182),"")</f>
        <v/>
      </c>
      <c r="L182" s="25" t="s">
        <v>657</v>
      </c>
      <c r="M182" s="33" t="s">
        <v>635</v>
      </c>
      <c r="N182" s="25">
        <f>VLOOKUP(M182,'Lista Suspensa'!$F$23:$G$27,2,FALSE)</f>
        <v>0</v>
      </c>
      <c r="O182" s="27"/>
    </row>
    <row r="183" spans="3:15" ht="15" customHeight="1" x14ac:dyDescent="0.3">
      <c r="C183" s="76" t="s">
        <v>728</v>
      </c>
      <c r="D183" s="77"/>
      <c r="E183" s="77"/>
      <c r="F183" s="78"/>
      <c r="G183" s="80">
        <f t="shared" si="5"/>
        <v>125</v>
      </c>
      <c r="H183" s="62">
        <v>45152</v>
      </c>
      <c r="I183" s="62">
        <v>45277</v>
      </c>
      <c r="J183" s="79"/>
      <c r="K183" s="79"/>
      <c r="L183" s="80"/>
      <c r="M183" s="80"/>
      <c r="N183" s="80"/>
      <c r="O183" s="81"/>
    </row>
    <row r="184" spans="3:15" x14ac:dyDescent="0.3">
      <c r="C184" s="43"/>
      <c r="D184" s="28" t="s">
        <v>592</v>
      </c>
      <c r="E184" s="28"/>
      <c r="F184" s="29"/>
      <c r="G184" s="31">
        <f t="shared" si="5"/>
        <v>30</v>
      </c>
      <c r="H184" s="49">
        <v>45152</v>
      </c>
      <c r="I184" s="49">
        <v>45182</v>
      </c>
      <c r="J184" s="30"/>
      <c r="K184" s="49"/>
      <c r="L184" s="31"/>
      <c r="M184" s="31"/>
      <c r="N184" s="31"/>
      <c r="O184" s="32"/>
    </row>
    <row r="185" spans="3:15" outlineLevel="1" x14ac:dyDescent="0.3">
      <c r="C185" s="87"/>
      <c r="D185" s="5"/>
      <c r="E185" s="5" t="s">
        <v>702</v>
      </c>
      <c r="F185" s="6"/>
      <c r="G185" s="6">
        <f t="shared" si="5"/>
        <v>10</v>
      </c>
      <c r="H185" s="109">
        <v>45152</v>
      </c>
      <c r="I185" s="109">
        <v>45162</v>
      </c>
      <c r="J185" s="6"/>
      <c r="K185" s="40" t="str">
        <f>IF(M185='Lista Suspensa'!$F$26,IF(J185="-",I185,J185),"")</f>
        <v/>
      </c>
      <c r="L185" s="25" t="s">
        <v>657</v>
      </c>
      <c r="M185" s="33" t="s">
        <v>633</v>
      </c>
      <c r="N185" s="25">
        <f>VLOOKUP(M185,'Lista Suspensa'!$F$23:$G$27,2,FALSE)</f>
        <v>2</v>
      </c>
      <c r="O185" s="99"/>
    </row>
    <row r="186" spans="3:15" outlineLevel="1" x14ac:dyDescent="0.3">
      <c r="C186" s="87"/>
      <c r="D186" s="5"/>
      <c r="E186" s="5" t="s">
        <v>704</v>
      </c>
      <c r="F186" s="6"/>
      <c r="G186" s="6">
        <f t="shared" si="5"/>
        <v>5</v>
      </c>
      <c r="H186" s="109">
        <v>45152</v>
      </c>
      <c r="I186" s="109">
        <v>45157</v>
      </c>
      <c r="J186" s="6"/>
      <c r="K186" s="40" t="str">
        <f>IF(M186='Lista Suspensa'!$F$26,IF(J186="-",I186,J186),"")</f>
        <v/>
      </c>
      <c r="L186" s="25" t="s">
        <v>657</v>
      </c>
      <c r="M186" s="33" t="s">
        <v>633</v>
      </c>
      <c r="N186" s="25">
        <f>VLOOKUP(M186,'Lista Suspensa'!$F$23:$G$27,2,FALSE)</f>
        <v>2</v>
      </c>
      <c r="O186" s="99"/>
    </row>
    <row r="187" spans="3:15" outlineLevel="1" x14ac:dyDescent="0.3">
      <c r="C187" s="87"/>
      <c r="D187" s="5"/>
      <c r="E187" s="5" t="s">
        <v>729</v>
      </c>
      <c r="F187" s="6"/>
      <c r="G187" s="6">
        <f t="shared" si="5"/>
        <v>10</v>
      </c>
      <c r="H187" s="109">
        <v>45152</v>
      </c>
      <c r="I187" s="109">
        <v>45162</v>
      </c>
      <c r="J187" s="6"/>
      <c r="K187" s="40" t="str">
        <f>IF(M187='Lista Suspensa'!$F$26,IF(J187="-",I187,J187),"")</f>
        <v/>
      </c>
      <c r="L187" s="25" t="s">
        <v>657</v>
      </c>
      <c r="M187" s="33" t="s">
        <v>633</v>
      </c>
      <c r="N187" s="25">
        <f>VLOOKUP(M187,'Lista Suspensa'!$F$23:$G$27,2,FALSE)</f>
        <v>2</v>
      </c>
      <c r="O187" s="99"/>
    </row>
    <row r="188" spans="3:15" outlineLevel="1" x14ac:dyDescent="0.3">
      <c r="C188" s="87"/>
      <c r="D188" s="5"/>
      <c r="E188" s="5" t="s">
        <v>706</v>
      </c>
      <c r="F188" s="6"/>
      <c r="G188" s="6">
        <f t="shared" si="5"/>
        <v>20</v>
      </c>
      <c r="H188" s="109">
        <v>45152</v>
      </c>
      <c r="I188" s="109">
        <v>45172</v>
      </c>
      <c r="J188" s="6"/>
      <c r="K188" s="40" t="str">
        <f>IF(M188='Lista Suspensa'!$F$26,IF(J188="-",I188,J188),"")</f>
        <v/>
      </c>
      <c r="L188" s="25" t="s">
        <v>657</v>
      </c>
      <c r="M188" s="33" t="s">
        <v>633</v>
      </c>
      <c r="N188" s="25">
        <f>VLOOKUP(M188,'Lista Suspensa'!$F$23:$G$27,2,FALSE)</f>
        <v>2</v>
      </c>
      <c r="O188" s="99"/>
    </row>
    <row r="189" spans="3:15" outlineLevel="1" x14ac:dyDescent="0.3">
      <c r="C189" s="87"/>
      <c r="D189" s="5"/>
      <c r="E189" s="5" t="s">
        <v>730</v>
      </c>
      <c r="F189" s="6"/>
      <c r="G189" s="6">
        <f t="shared" si="5"/>
        <v>5</v>
      </c>
      <c r="H189" s="109">
        <v>45172</v>
      </c>
      <c r="I189" s="109">
        <v>45177</v>
      </c>
      <c r="J189" s="6"/>
      <c r="K189" s="40" t="str">
        <f>IF(M189='Lista Suspensa'!$F$26,IF(J189="-",I189,J189),"")</f>
        <v/>
      </c>
      <c r="L189" s="25" t="s">
        <v>657</v>
      </c>
      <c r="M189" s="33" t="s">
        <v>635</v>
      </c>
      <c r="N189" s="25">
        <f>VLOOKUP(M189,'Lista Suspensa'!$F$23:$G$27,2,FALSE)</f>
        <v>0</v>
      </c>
      <c r="O189" s="99"/>
    </row>
    <row r="190" spans="3:15" outlineLevel="1" x14ac:dyDescent="0.3">
      <c r="C190" s="87"/>
      <c r="D190" s="5"/>
      <c r="E190" s="5" t="s">
        <v>707</v>
      </c>
      <c r="F190" s="6"/>
      <c r="G190" s="6">
        <f t="shared" si="5"/>
        <v>4</v>
      </c>
      <c r="H190" s="109">
        <v>45177</v>
      </c>
      <c r="I190" s="109">
        <v>45181</v>
      </c>
      <c r="J190" s="6"/>
      <c r="K190" s="40" t="str">
        <f>IF(M190='Lista Suspensa'!$F$26,IF(J190="-",I190,J190),"")</f>
        <v/>
      </c>
      <c r="L190" s="25" t="s">
        <v>657</v>
      </c>
      <c r="M190" s="33" t="s">
        <v>635</v>
      </c>
      <c r="N190" s="25">
        <f>VLOOKUP(M190,'Lista Suspensa'!$F$23:$G$27,2,FALSE)</f>
        <v>0</v>
      </c>
      <c r="O190" s="99"/>
    </row>
    <row r="191" spans="3:15" outlineLevel="1" x14ac:dyDescent="0.3">
      <c r="C191" s="87"/>
      <c r="D191" s="5"/>
      <c r="E191" s="5" t="s">
        <v>708</v>
      </c>
      <c r="F191" s="6"/>
      <c r="G191" s="6">
        <f t="shared" si="5"/>
        <v>1</v>
      </c>
      <c r="H191" s="109">
        <v>45181</v>
      </c>
      <c r="I191" s="109">
        <v>45182</v>
      </c>
      <c r="J191" s="6"/>
      <c r="K191" s="40" t="str">
        <f>IF(M191='Lista Suspensa'!$F$26,IF(J191="-",I191,J191),"")</f>
        <v/>
      </c>
      <c r="L191" s="25" t="s">
        <v>657</v>
      </c>
      <c r="M191" s="33" t="s">
        <v>635</v>
      </c>
      <c r="N191" s="25">
        <f>VLOOKUP(M191,'Lista Suspensa'!$F$23:$G$27,2,FALSE)</f>
        <v>0</v>
      </c>
      <c r="O191" s="99"/>
    </row>
    <row r="192" spans="3:15" x14ac:dyDescent="0.3">
      <c r="C192" s="43"/>
      <c r="D192" s="28" t="s">
        <v>731</v>
      </c>
      <c r="E192" s="28"/>
      <c r="F192" s="29"/>
      <c r="G192" s="31">
        <f t="shared" si="5"/>
        <v>45</v>
      </c>
      <c r="H192" s="49">
        <v>45182</v>
      </c>
      <c r="I192" s="49">
        <v>45227</v>
      </c>
      <c r="J192" s="30"/>
      <c r="K192" s="49"/>
      <c r="L192" s="31"/>
      <c r="M192" s="31"/>
      <c r="N192" s="31"/>
      <c r="O192" s="32"/>
    </row>
    <row r="193" spans="3:15" outlineLevel="1" x14ac:dyDescent="0.3">
      <c r="C193" s="87"/>
      <c r="D193" s="5"/>
      <c r="E193" s="5" t="s">
        <v>710</v>
      </c>
      <c r="F193" s="6"/>
      <c r="G193" s="6">
        <f t="shared" si="5"/>
        <v>45</v>
      </c>
      <c r="H193" s="109">
        <v>45182</v>
      </c>
      <c r="I193" s="109">
        <v>45227</v>
      </c>
      <c r="J193" s="6"/>
      <c r="K193" s="40" t="str">
        <f>IF(M193='Lista Suspensa'!$F$26,IF(J193="-",I193,J193),"")</f>
        <v/>
      </c>
      <c r="L193" s="25" t="s">
        <v>657</v>
      </c>
      <c r="M193" s="33" t="s">
        <v>635</v>
      </c>
      <c r="N193" s="25">
        <f>VLOOKUP(M193,'Lista Suspensa'!$F$23:$G$27,2,FALSE)</f>
        <v>0</v>
      </c>
      <c r="O193" s="99"/>
    </row>
    <row r="194" spans="3:15" outlineLevel="1" x14ac:dyDescent="0.3">
      <c r="C194" s="87"/>
      <c r="D194" s="5"/>
      <c r="E194" s="5" t="s">
        <v>732</v>
      </c>
      <c r="F194" s="6"/>
      <c r="G194" s="6">
        <f t="shared" si="5"/>
        <v>45</v>
      </c>
      <c r="H194" s="109">
        <v>45182</v>
      </c>
      <c r="I194" s="109">
        <v>45227</v>
      </c>
      <c r="J194" s="6"/>
      <c r="K194" s="40" t="str">
        <f>IF(M194='Lista Suspensa'!$F$26,IF(J194="-",I194,J194),"")</f>
        <v/>
      </c>
      <c r="L194" s="25" t="s">
        <v>657</v>
      </c>
      <c r="M194" s="33" t="s">
        <v>635</v>
      </c>
      <c r="N194" s="25">
        <f>VLOOKUP(M194,'Lista Suspensa'!$F$23:$G$27,2,FALSE)</f>
        <v>0</v>
      </c>
      <c r="O194" s="99"/>
    </row>
    <row r="195" spans="3:15" outlineLevel="1" x14ac:dyDescent="0.3">
      <c r="C195" s="87"/>
      <c r="D195" s="5"/>
      <c r="E195" s="5" t="s">
        <v>733</v>
      </c>
      <c r="F195" s="6"/>
      <c r="G195" s="6">
        <f t="shared" si="5"/>
        <v>45</v>
      </c>
      <c r="H195" s="109">
        <v>45182</v>
      </c>
      <c r="I195" s="109">
        <v>45227</v>
      </c>
      <c r="J195" s="6"/>
      <c r="K195" s="40" t="str">
        <f>IF(M195='Lista Suspensa'!$F$26,IF(J195="-",I195,J195),"")</f>
        <v/>
      </c>
      <c r="L195" s="25" t="s">
        <v>657</v>
      </c>
      <c r="M195" s="33" t="s">
        <v>635</v>
      </c>
      <c r="N195" s="25">
        <f>VLOOKUP(M195,'Lista Suspensa'!$F$23:$G$27,2,FALSE)</f>
        <v>0</v>
      </c>
      <c r="O195" s="99"/>
    </row>
    <row r="196" spans="3:15" outlineLevel="1" x14ac:dyDescent="0.3">
      <c r="C196" s="87"/>
      <c r="D196" s="5"/>
      <c r="E196" s="5" t="s">
        <v>734</v>
      </c>
      <c r="F196" s="6"/>
      <c r="G196" s="6">
        <f t="shared" si="5"/>
        <v>45</v>
      </c>
      <c r="H196" s="109">
        <v>45182</v>
      </c>
      <c r="I196" s="109">
        <v>45227</v>
      </c>
      <c r="J196" s="6"/>
      <c r="K196" s="40" t="str">
        <f>IF(M196='Lista Suspensa'!$F$26,IF(J196="-",I196,J196),"")</f>
        <v/>
      </c>
      <c r="L196" s="25" t="s">
        <v>657</v>
      </c>
      <c r="M196" s="33" t="s">
        <v>635</v>
      </c>
      <c r="N196" s="25">
        <f>VLOOKUP(M196,'Lista Suspensa'!$F$23:$G$27,2,FALSE)</f>
        <v>0</v>
      </c>
      <c r="O196" s="99"/>
    </row>
    <row r="197" spans="3:15" outlineLevel="1" x14ac:dyDescent="0.3">
      <c r="C197" s="87"/>
      <c r="D197" s="5"/>
      <c r="E197" s="45" t="s">
        <v>735</v>
      </c>
      <c r="F197" s="6"/>
      <c r="G197" s="6">
        <f t="shared" si="5"/>
        <v>45</v>
      </c>
      <c r="H197" s="109">
        <v>45182</v>
      </c>
      <c r="I197" s="109">
        <v>45227</v>
      </c>
      <c r="J197" s="6"/>
      <c r="K197" s="40" t="str">
        <f>IF(M197='Lista Suspensa'!$F$26,IF(J197="-",I197,J197),"")</f>
        <v/>
      </c>
      <c r="L197" s="25" t="s">
        <v>657</v>
      </c>
      <c r="M197" s="33" t="s">
        <v>635</v>
      </c>
      <c r="N197" s="25">
        <f>VLOOKUP(M197,'Lista Suspensa'!$F$23:$G$27,2,FALSE)</f>
        <v>0</v>
      </c>
      <c r="O197" s="99"/>
    </row>
    <row r="198" spans="3:15" outlineLevel="1" x14ac:dyDescent="0.3">
      <c r="C198" s="87"/>
      <c r="D198" s="5"/>
      <c r="E198" s="45" t="s">
        <v>736</v>
      </c>
      <c r="F198" s="6"/>
      <c r="G198" s="6">
        <f t="shared" si="5"/>
        <v>45</v>
      </c>
      <c r="H198" s="109">
        <v>45182</v>
      </c>
      <c r="I198" s="109">
        <v>45227</v>
      </c>
      <c r="J198" s="6"/>
      <c r="K198" s="40" t="str">
        <f>IF(M198='Lista Suspensa'!$F$26,IF(J198="-",I198,J198),"")</f>
        <v/>
      </c>
      <c r="L198" s="25" t="s">
        <v>657</v>
      </c>
      <c r="M198" s="33" t="s">
        <v>635</v>
      </c>
      <c r="N198" s="25">
        <f>VLOOKUP(M198,'Lista Suspensa'!$F$23:$G$27,2,FALSE)</f>
        <v>0</v>
      </c>
      <c r="O198" s="99"/>
    </row>
    <row r="199" spans="3:15" outlineLevel="1" x14ac:dyDescent="0.3">
      <c r="C199" s="87"/>
      <c r="D199" s="5"/>
      <c r="E199" s="45" t="s">
        <v>737</v>
      </c>
      <c r="F199" s="6"/>
      <c r="G199" s="6">
        <f t="shared" si="5"/>
        <v>45</v>
      </c>
      <c r="H199" s="109">
        <v>45182</v>
      </c>
      <c r="I199" s="109">
        <v>45227</v>
      </c>
      <c r="J199" s="6"/>
      <c r="K199" s="40" t="str">
        <f>IF(M199='Lista Suspensa'!$F$26,IF(J199="-",I199,J199),"")</f>
        <v/>
      </c>
      <c r="L199" s="25" t="s">
        <v>657</v>
      </c>
      <c r="M199" s="33" t="s">
        <v>635</v>
      </c>
      <c r="N199" s="25">
        <f>VLOOKUP(M199,'Lista Suspensa'!$F$23:$G$27,2,FALSE)</f>
        <v>0</v>
      </c>
      <c r="O199" s="99"/>
    </row>
    <row r="200" spans="3:15" outlineLevel="1" x14ac:dyDescent="0.3">
      <c r="C200" s="87"/>
      <c r="D200" s="5"/>
      <c r="E200" s="45" t="s">
        <v>738</v>
      </c>
      <c r="F200" s="6"/>
      <c r="G200" s="6">
        <f t="shared" si="5"/>
        <v>45</v>
      </c>
      <c r="H200" s="109">
        <v>45182</v>
      </c>
      <c r="I200" s="109">
        <v>45227</v>
      </c>
      <c r="J200" s="6"/>
      <c r="K200" s="40" t="str">
        <f>IF(M200='Lista Suspensa'!$F$26,IF(J200="-",I200,J200),"")</f>
        <v/>
      </c>
      <c r="L200" s="25" t="s">
        <v>657</v>
      </c>
      <c r="M200" s="33" t="s">
        <v>635</v>
      </c>
      <c r="N200" s="25">
        <f>VLOOKUP(M200,'Lista Suspensa'!$F$23:$G$27,2,FALSE)</f>
        <v>0</v>
      </c>
      <c r="O200" s="99"/>
    </row>
    <row r="201" spans="3:15" outlineLevel="1" x14ac:dyDescent="0.3">
      <c r="C201" s="87"/>
      <c r="D201" s="5"/>
      <c r="E201" s="45" t="s">
        <v>739</v>
      </c>
      <c r="F201" s="6"/>
      <c r="G201" s="6">
        <f t="shared" si="5"/>
        <v>45</v>
      </c>
      <c r="H201" s="109">
        <v>45182</v>
      </c>
      <c r="I201" s="109">
        <v>45227</v>
      </c>
      <c r="J201" s="6"/>
      <c r="K201" s="40" t="str">
        <f>IF(M201='Lista Suspensa'!$F$26,IF(J201="-",I201,J201),"")</f>
        <v/>
      </c>
      <c r="L201" s="25" t="s">
        <v>657</v>
      </c>
      <c r="M201" s="33" t="s">
        <v>635</v>
      </c>
      <c r="N201" s="25">
        <f>VLOOKUP(M201,'Lista Suspensa'!$F$23:$G$27,2,FALSE)</f>
        <v>0</v>
      </c>
      <c r="O201" s="99"/>
    </row>
    <row r="202" spans="3:15" outlineLevel="1" x14ac:dyDescent="0.3">
      <c r="C202" s="87"/>
      <c r="D202" s="5"/>
      <c r="E202" s="5" t="s">
        <v>740</v>
      </c>
      <c r="F202" s="6"/>
      <c r="G202" s="6">
        <f t="shared" si="5"/>
        <v>45</v>
      </c>
      <c r="H202" s="109">
        <v>45182</v>
      </c>
      <c r="I202" s="109">
        <v>45227</v>
      </c>
      <c r="J202" s="6"/>
      <c r="K202" s="40" t="str">
        <f>IF(M202='Lista Suspensa'!$F$26,IF(J202="-",I202,J202),"")</f>
        <v/>
      </c>
      <c r="L202" s="25" t="s">
        <v>657</v>
      </c>
      <c r="M202" s="33" t="s">
        <v>635</v>
      </c>
      <c r="N202" s="25">
        <f>VLOOKUP(M202,'Lista Suspensa'!$F$23:$G$27,2,FALSE)</f>
        <v>0</v>
      </c>
      <c r="O202" s="99"/>
    </row>
    <row r="203" spans="3:15" x14ac:dyDescent="0.3">
      <c r="C203" s="43"/>
      <c r="D203" s="28" t="s">
        <v>741</v>
      </c>
      <c r="E203" s="28"/>
      <c r="F203" s="29"/>
      <c r="G203" s="31">
        <f t="shared" si="5"/>
        <v>30</v>
      </c>
      <c r="H203" s="49">
        <v>45227</v>
      </c>
      <c r="I203" s="49">
        <v>45257</v>
      </c>
      <c r="J203" s="30"/>
      <c r="K203" s="49"/>
      <c r="L203" s="31"/>
      <c r="M203" s="31"/>
      <c r="N203" s="31"/>
      <c r="O203" s="32"/>
    </row>
    <row r="204" spans="3:15" outlineLevel="1" x14ac:dyDescent="0.3">
      <c r="C204" s="87"/>
      <c r="D204" s="5"/>
      <c r="E204" s="5" t="s">
        <v>715</v>
      </c>
      <c r="F204" s="6"/>
      <c r="G204" s="6">
        <f t="shared" si="5"/>
        <v>30</v>
      </c>
      <c r="H204" s="109">
        <v>45227</v>
      </c>
      <c r="I204" s="109">
        <v>45257</v>
      </c>
      <c r="J204" s="6"/>
      <c r="K204" s="40" t="str">
        <f>IF(M204='Lista Suspensa'!$F$26,IF(J204="-",I204,J204),"")</f>
        <v/>
      </c>
      <c r="L204" s="25" t="s">
        <v>657</v>
      </c>
      <c r="M204" s="33" t="s">
        <v>635</v>
      </c>
      <c r="N204" s="25">
        <f>VLOOKUP(M204,'Lista Suspensa'!$F$23:$G$27,2,FALSE)</f>
        <v>0</v>
      </c>
      <c r="O204" s="99"/>
    </row>
    <row r="205" spans="3:15" outlineLevel="1" x14ac:dyDescent="0.3">
      <c r="C205" s="87"/>
      <c r="D205" s="5"/>
      <c r="E205" s="5" t="s">
        <v>716</v>
      </c>
      <c r="F205" s="6"/>
      <c r="G205" s="6">
        <f t="shared" si="5"/>
        <v>30</v>
      </c>
      <c r="H205" s="109">
        <v>45227</v>
      </c>
      <c r="I205" s="109">
        <v>45257</v>
      </c>
      <c r="J205" s="6"/>
      <c r="K205" s="40" t="str">
        <f>IF(M205='Lista Suspensa'!$F$26,IF(J205="-",I205,J205),"")</f>
        <v/>
      </c>
      <c r="L205" s="25" t="s">
        <v>657</v>
      </c>
      <c r="M205" s="33" t="s">
        <v>635</v>
      </c>
      <c r="N205" s="25">
        <f>VLOOKUP(M205,'Lista Suspensa'!$F$23:$G$27,2,FALSE)</f>
        <v>0</v>
      </c>
      <c r="O205" s="99"/>
    </row>
    <row r="206" spans="3:15" outlineLevel="1" x14ac:dyDescent="0.3">
      <c r="C206" s="87"/>
      <c r="D206" s="5"/>
      <c r="E206" s="5" t="s">
        <v>717</v>
      </c>
      <c r="F206" s="6"/>
      <c r="G206" s="6">
        <f t="shared" si="5"/>
        <v>30</v>
      </c>
      <c r="H206" s="109">
        <v>45227</v>
      </c>
      <c r="I206" s="109">
        <v>45257</v>
      </c>
      <c r="J206" s="6"/>
      <c r="K206" s="40" t="str">
        <f>IF(M206='Lista Suspensa'!$F$26,IF(J206="-",I206,J206),"")</f>
        <v/>
      </c>
      <c r="L206" s="25" t="s">
        <v>657</v>
      </c>
      <c r="M206" s="33" t="s">
        <v>635</v>
      </c>
      <c r="N206" s="25">
        <f>VLOOKUP(M206,'Lista Suspensa'!$F$23:$G$27,2,FALSE)</f>
        <v>0</v>
      </c>
      <c r="O206" s="99"/>
    </row>
    <row r="207" spans="3:15" x14ac:dyDescent="0.3">
      <c r="C207" s="43"/>
      <c r="D207" s="28" t="s">
        <v>742</v>
      </c>
      <c r="E207" s="28"/>
      <c r="F207" s="29"/>
      <c r="G207" s="31">
        <f t="shared" si="5"/>
        <v>20</v>
      </c>
      <c r="H207" s="49">
        <v>45257</v>
      </c>
      <c r="I207" s="49">
        <v>45277</v>
      </c>
      <c r="J207" s="30"/>
      <c r="K207" s="49"/>
      <c r="L207" s="31"/>
      <c r="M207" s="31"/>
      <c r="N207" s="31"/>
      <c r="O207" s="32"/>
    </row>
    <row r="208" spans="3:15" outlineLevel="1" x14ac:dyDescent="0.3">
      <c r="C208" s="87"/>
      <c r="D208" s="5"/>
      <c r="E208" s="5" t="s">
        <v>719</v>
      </c>
      <c r="F208" s="6"/>
      <c r="G208" s="6">
        <f t="shared" si="5"/>
        <v>20</v>
      </c>
      <c r="H208" s="109">
        <v>45257</v>
      </c>
      <c r="I208" s="109">
        <v>45277</v>
      </c>
      <c r="J208" s="6"/>
      <c r="K208" s="40" t="str">
        <f>IF(M208='Lista Suspensa'!$F$26,IF(J208="-",I208,J208),"")</f>
        <v/>
      </c>
      <c r="L208" s="25" t="s">
        <v>657</v>
      </c>
      <c r="M208" s="33" t="s">
        <v>635</v>
      </c>
      <c r="N208" s="25">
        <f>VLOOKUP(M208,'Lista Suspensa'!$F$23:$G$27,2,FALSE)</f>
        <v>0</v>
      </c>
      <c r="O208" s="99"/>
    </row>
    <row r="209" spans="3:15" outlineLevel="1" x14ac:dyDescent="0.3">
      <c r="C209" s="87"/>
      <c r="D209" s="5"/>
      <c r="E209" s="5" t="s">
        <v>720</v>
      </c>
      <c r="F209" s="6"/>
      <c r="G209" s="6">
        <f t="shared" si="5"/>
        <v>20</v>
      </c>
      <c r="H209" s="109">
        <v>45257</v>
      </c>
      <c r="I209" s="109">
        <v>45277</v>
      </c>
      <c r="J209" s="6"/>
      <c r="K209" s="40" t="str">
        <f>IF(M209='Lista Suspensa'!$F$26,IF(J209="-",I209,J209),"")</f>
        <v/>
      </c>
      <c r="L209" s="25" t="s">
        <v>657</v>
      </c>
      <c r="M209" s="33" t="s">
        <v>635</v>
      </c>
      <c r="N209" s="25">
        <f>VLOOKUP(M209,'Lista Suspensa'!$F$23:$G$27,2,FALSE)</f>
        <v>0</v>
      </c>
      <c r="O209" s="99"/>
    </row>
    <row r="210" spans="3:15" outlineLevel="1" x14ac:dyDescent="0.3">
      <c r="C210" s="87"/>
      <c r="D210" s="5"/>
      <c r="E210" s="5" t="s">
        <v>721</v>
      </c>
      <c r="F210" s="6"/>
      <c r="G210" s="6">
        <f t="shared" si="5"/>
        <v>20</v>
      </c>
      <c r="H210" s="109">
        <v>45257</v>
      </c>
      <c r="I210" s="109">
        <v>45277</v>
      </c>
      <c r="J210" s="6"/>
      <c r="K210" s="40" t="str">
        <f>IF(M210='Lista Suspensa'!$F$26,IF(J210="-",I210,J210),"")</f>
        <v/>
      </c>
      <c r="L210" s="25" t="s">
        <v>657</v>
      </c>
      <c r="M210" s="33" t="s">
        <v>635</v>
      </c>
      <c r="N210" s="25">
        <f>VLOOKUP(M210,'Lista Suspensa'!$F$23:$G$27,2,FALSE)</f>
        <v>0</v>
      </c>
      <c r="O210" s="99"/>
    </row>
    <row r="211" spans="3:15" outlineLevel="1" x14ac:dyDescent="0.3">
      <c r="C211" s="88"/>
      <c r="D211" s="89"/>
      <c r="E211" s="89" t="s">
        <v>722</v>
      </c>
      <c r="F211" s="90"/>
      <c r="G211" s="90">
        <f t="shared" ref="G211" si="6">I211-H211</f>
        <v>20</v>
      </c>
      <c r="H211" s="117">
        <v>45257</v>
      </c>
      <c r="I211" s="117">
        <v>45277</v>
      </c>
      <c r="J211" s="90"/>
      <c r="K211" s="91" t="str">
        <f>IF(M211='Lista Suspensa'!$F$26,IF(J211="-",I211,J211),"")</f>
        <v/>
      </c>
      <c r="L211" s="50" t="s">
        <v>657</v>
      </c>
      <c r="M211" s="92" t="s">
        <v>635</v>
      </c>
      <c r="N211" s="50">
        <f>VLOOKUP(M211,'Lista Suspensa'!$F$23:$G$27,2,FALSE)</f>
        <v>0</v>
      </c>
      <c r="O211" s="102"/>
    </row>
    <row r="212" spans="3:15" x14ac:dyDescent="0.3">
      <c r="C212" s="45"/>
      <c r="D212" s="5"/>
      <c r="E212" s="5"/>
      <c r="F212" s="6"/>
      <c r="G212" s="6"/>
      <c r="H212" s="111"/>
      <c r="I212" s="111"/>
      <c r="J212" s="6"/>
      <c r="K212" s="40" t="str">
        <f>IF(M212='Lista Suspensa'!$F$26,IF(J212="-",I212,J212),"")</f>
        <v/>
      </c>
      <c r="L212" s="25"/>
      <c r="M212" s="33"/>
      <c r="N212" s="25"/>
      <c r="O212" s="9"/>
    </row>
    <row r="213" spans="3:15" x14ac:dyDescent="0.3">
      <c r="C213" s="45"/>
      <c r="D213" s="5"/>
      <c r="E213" s="5"/>
      <c r="F213" s="6"/>
      <c r="G213" s="6"/>
      <c r="H213" s="111"/>
      <c r="I213" s="111"/>
      <c r="J213" s="6"/>
      <c r="K213" s="40" t="str">
        <f>IF(M213='Lista Suspensa'!$F$26,IF(J213="-",I213,J213),"")</f>
        <v/>
      </c>
      <c r="L213" s="25"/>
      <c r="M213" s="33"/>
      <c r="N213" s="25"/>
      <c r="O213" s="9"/>
    </row>
    <row r="214" spans="3:15" x14ac:dyDescent="0.3">
      <c r="C214" s="45"/>
      <c r="D214" s="5"/>
      <c r="E214" s="5"/>
      <c r="F214" s="6"/>
      <c r="G214" s="6"/>
      <c r="H214" s="111"/>
      <c r="I214" s="111"/>
      <c r="J214" s="6"/>
      <c r="K214" s="6"/>
      <c r="L214" s="6"/>
      <c r="M214" s="6"/>
      <c r="N214" s="6"/>
      <c r="O214" s="9"/>
    </row>
    <row r="215" spans="3:15" x14ac:dyDescent="0.3">
      <c r="C215" s="45"/>
      <c r="D215" s="5"/>
      <c r="E215" s="5"/>
      <c r="F215" s="6"/>
      <c r="G215" s="6"/>
      <c r="H215" s="111"/>
      <c r="I215" s="111"/>
      <c r="J215" s="6"/>
      <c r="K215" s="6"/>
      <c r="L215" s="6"/>
      <c r="M215" s="6"/>
      <c r="N215" s="6"/>
      <c r="O215" s="9"/>
    </row>
    <row r="216" spans="3:15" x14ac:dyDescent="0.3">
      <c r="C216" s="45"/>
      <c r="D216" s="5"/>
      <c r="E216" s="5"/>
      <c r="F216" s="6"/>
      <c r="G216" s="6"/>
      <c r="H216" s="111"/>
      <c r="I216" s="111"/>
      <c r="J216" s="6"/>
      <c r="K216" s="6"/>
      <c r="L216" s="6"/>
      <c r="M216" s="6"/>
      <c r="N216" s="6"/>
      <c r="O216" s="9"/>
    </row>
    <row r="217" spans="3:15" x14ac:dyDescent="0.3">
      <c r="C217" s="45"/>
      <c r="D217" s="5"/>
      <c r="E217" s="5"/>
      <c r="F217" s="6"/>
      <c r="G217" s="6"/>
      <c r="H217" s="111"/>
      <c r="I217" s="111"/>
      <c r="J217" s="6"/>
      <c r="K217" s="6"/>
      <c r="L217" s="6"/>
      <c r="M217" s="6"/>
      <c r="N217" s="6"/>
      <c r="O217" s="9"/>
    </row>
    <row r="218" spans="3:15" x14ac:dyDescent="0.3">
      <c r="C218" s="45"/>
      <c r="D218" s="5"/>
      <c r="E218" s="5"/>
      <c r="F218" s="6"/>
      <c r="G218" s="6"/>
      <c r="H218" s="111"/>
      <c r="I218" s="111"/>
      <c r="J218" s="6"/>
      <c r="K218" s="6"/>
      <c r="L218" s="6"/>
      <c r="M218" s="6"/>
      <c r="N218" s="6"/>
      <c r="O218" s="9"/>
    </row>
    <row r="219" spans="3:15" x14ac:dyDescent="0.3">
      <c r="C219" s="45"/>
      <c r="D219" s="5"/>
      <c r="E219" s="5"/>
      <c r="F219" s="6"/>
      <c r="G219" s="6"/>
      <c r="H219" s="111"/>
      <c r="I219" s="111"/>
      <c r="J219" s="6"/>
      <c r="K219" s="6"/>
      <c r="L219" s="6"/>
      <c r="M219" s="6"/>
      <c r="N219" s="6"/>
      <c r="O219" s="9"/>
    </row>
    <row r="220" spans="3:15" x14ac:dyDescent="0.3">
      <c r="C220" s="45"/>
      <c r="D220" s="5"/>
      <c r="E220" s="5"/>
      <c r="F220" s="6"/>
      <c r="G220" s="6"/>
      <c r="H220" s="111"/>
      <c r="I220" s="111"/>
      <c r="J220" s="6"/>
      <c r="K220" s="6"/>
      <c r="L220" s="6"/>
      <c r="M220" s="6"/>
      <c r="N220" s="6"/>
      <c r="O220" s="9"/>
    </row>
    <row r="221" spans="3:15" x14ac:dyDescent="0.3">
      <c r="C221" s="45"/>
      <c r="D221" s="5"/>
      <c r="E221" s="5"/>
      <c r="F221" s="6"/>
      <c r="G221" s="6"/>
      <c r="H221" s="111"/>
      <c r="I221" s="111"/>
      <c r="J221" s="6"/>
      <c r="K221" s="6"/>
      <c r="L221" s="6"/>
      <c r="M221" s="6"/>
      <c r="N221" s="6"/>
      <c r="O221" s="9"/>
    </row>
    <row r="222" spans="3:15" x14ac:dyDescent="0.3">
      <c r="C222" s="45"/>
      <c r="D222" s="5"/>
      <c r="E222" s="5"/>
      <c r="F222" s="6"/>
      <c r="G222" s="6"/>
      <c r="H222" s="111"/>
      <c r="I222" s="111"/>
      <c r="J222" s="6"/>
      <c r="K222" s="6"/>
      <c r="L222" s="6"/>
      <c r="M222" s="6"/>
      <c r="N222" s="6"/>
      <c r="O222" s="9"/>
    </row>
    <row r="223" spans="3:15" x14ac:dyDescent="0.3">
      <c r="C223" s="45"/>
      <c r="D223" s="5"/>
      <c r="E223" s="5"/>
      <c r="F223" s="6"/>
      <c r="G223" s="6"/>
      <c r="H223" s="111"/>
      <c r="I223" s="111"/>
      <c r="J223" s="6"/>
      <c r="K223" s="6"/>
      <c r="L223" s="6"/>
      <c r="M223" s="6"/>
      <c r="N223" s="6"/>
      <c r="O223" s="9"/>
    </row>
    <row r="224" spans="3:15" x14ac:dyDescent="0.3">
      <c r="C224" s="45"/>
      <c r="D224" s="5"/>
      <c r="E224" s="5"/>
      <c r="F224" s="6"/>
      <c r="G224" s="6"/>
      <c r="H224" s="111"/>
      <c r="I224" s="111"/>
      <c r="J224" s="6"/>
      <c r="K224" s="6"/>
      <c r="L224" s="6"/>
      <c r="M224" s="6"/>
      <c r="N224" s="6"/>
      <c r="O224" s="9"/>
    </row>
    <row r="225" spans="3:15" x14ac:dyDescent="0.3">
      <c r="C225" s="45"/>
      <c r="D225" s="5"/>
      <c r="E225" s="5"/>
      <c r="F225" s="6"/>
      <c r="G225" s="6"/>
      <c r="H225" s="111"/>
      <c r="I225" s="111"/>
      <c r="J225" s="6"/>
      <c r="K225" s="6"/>
      <c r="L225" s="6"/>
      <c r="M225" s="6"/>
      <c r="N225" s="6"/>
      <c r="O225" s="9"/>
    </row>
    <row r="226" spans="3:15" x14ac:dyDescent="0.3">
      <c r="C226" s="45"/>
      <c r="D226" s="5"/>
      <c r="E226" s="5"/>
      <c r="F226" s="6"/>
      <c r="G226" s="6"/>
      <c r="H226" s="111"/>
      <c r="I226" s="111"/>
      <c r="J226" s="6"/>
      <c r="K226" s="6"/>
      <c r="L226" s="6"/>
      <c r="M226" s="6"/>
      <c r="N226" s="6"/>
      <c r="O226" s="9"/>
    </row>
    <row r="227" spans="3:15" x14ac:dyDescent="0.3">
      <c r="C227" s="45"/>
      <c r="D227" s="5"/>
      <c r="E227" s="5"/>
      <c r="F227" s="6"/>
      <c r="G227" s="6"/>
      <c r="H227" s="111"/>
      <c r="I227" s="111"/>
      <c r="J227" s="6"/>
      <c r="K227" s="6"/>
      <c r="L227" s="6"/>
      <c r="M227" s="6"/>
      <c r="N227" s="6"/>
      <c r="O227" s="9"/>
    </row>
    <row r="228" spans="3:15" x14ac:dyDescent="0.3">
      <c r="C228" s="45"/>
      <c r="D228" s="5"/>
      <c r="E228" s="5"/>
      <c r="F228" s="6"/>
      <c r="G228" s="6"/>
      <c r="H228" s="111"/>
      <c r="I228" s="111"/>
      <c r="J228" s="6"/>
      <c r="K228" s="6"/>
      <c r="L228" s="6"/>
      <c r="M228" s="6"/>
      <c r="N228" s="6"/>
      <c r="O228" s="9"/>
    </row>
    <row r="229" spans="3:15" x14ac:dyDescent="0.3">
      <c r="C229" s="45"/>
      <c r="D229" s="5"/>
      <c r="E229" s="5"/>
      <c r="F229" s="6"/>
      <c r="G229" s="6"/>
      <c r="H229" s="111"/>
      <c r="I229" s="111"/>
      <c r="J229" s="6"/>
      <c r="K229" s="6"/>
      <c r="L229" s="6"/>
      <c r="M229" s="6"/>
      <c r="N229" s="6"/>
      <c r="O229" s="9"/>
    </row>
    <row r="230" spans="3:15" x14ac:dyDescent="0.3">
      <c r="C230" s="45"/>
      <c r="D230" s="5"/>
      <c r="E230" s="5"/>
      <c r="F230" s="6"/>
      <c r="G230" s="6"/>
      <c r="H230" s="111"/>
      <c r="I230" s="111"/>
      <c r="J230" s="6"/>
      <c r="K230" s="6"/>
      <c r="L230" s="6"/>
      <c r="M230" s="6"/>
      <c r="N230" s="6"/>
      <c r="O230" s="9"/>
    </row>
    <row r="231" spans="3:15" x14ac:dyDescent="0.3">
      <c r="C231" s="45"/>
      <c r="D231" s="5"/>
      <c r="E231" s="5"/>
      <c r="F231" s="6"/>
      <c r="G231" s="6"/>
      <c r="H231" s="111"/>
      <c r="I231" s="111"/>
      <c r="J231" s="6"/>
      <c r="K231" s="6"/>
      <c r="L231" s="6"/>
      <c r="M231" s="6"/>
      <c r="N231" s="6"/>
      <c r="O231" s="9"/>
    </row>
    <row r="232" spans="3:15" x14ac:dyDescent="0.3">
      <c r="C232" s="45"/>
      <c r="D232" s="5"/>
      <c r="E232" s="5"/>
      <c r="F232" s="6"/>
      <c r="G232" s="6"/>
      <c r="H232" s="111"/>
      <c r="I232" s="111"/>
      <c r="J232" s="6"/>
      <c r="K232" s="6"/>
      <c r="L232" s="6"/>
      <c r="M232" s="6"/>
      <c r="N232" s="6"/>
      <c r="O232" s="9"/>
    </row>
    <row r="233" spans="3:15" x14ac:dyDescent="0.3">
      <c r="C233" s="45"/>
      <c r="D233" s="5"/>
      <c r="E233" s="5"/>
      <c r="F233" s="6"/>
      <c r="G233" s="6"/>
      <c r="H233" s="111"/>
      <c r="I233" s="111"/>
      <c r="J233" s="6"/>
      <c r="K233" s="6"/>
      <c r="L233" s="6"/>
      <c r="M233" s="6"/>
      <c r="N233" s="6"/>
      <c r="O233" s="9"/>
    </row>
    <row r="234" spans="3:15" x14ac:dyDescent="0.3">
      <c r="C234" s="45"/>
      <c r="D234" s="5"/>
      <c r="E234" s="5"/>
      <c r="F234" s="6"/>
      <c r="G234" s="6"/>
      <c r="H234" s="111"/>
      <c r="I234" s="111"/>
      <c r="J234" s="6"/>
      <c r="K234" s="6"/>
      <c r="L234" s="6"/>
      <c r="M234" s="6"/>
      <c r="N234" s="6"/>
      <c r="O234" s="9"/>
    </row>
    <row r="235" spans="3:15" x14ac:dyDescent="0.3">
      <c r="C235" s="45"/>
      <c r="D235" s="5"/>
      <c r="E235" s="5"/>
      <c r="F235" s="6"/>
      <c r="G235" s="6"/>
      <c r="H235" s="111"/>
      <c r="I235" s="111"/>
      <c r="J235" s="6"/>
      <c r="K235" s="6"/>
      <c r="L235" s="6"/>
      <c r="M235" s="6"/>
      <c r="N235" s="6"/>
      <c r="O235" s="9"/>
    </row>
    <row r="236" spans="3:15" x14ac:dyDescent="0.3">
      <c r="C236" s="45"/>
      <c r="D236" s="5"/>
      <c r="E236" s="5"/>
      <c r="F236" s="6"/>
      <c r="G236" s="6"/>
      <c r="H236" s="111"/>
      <c r="I236" s="111"/>
      <c r="J236" s="6"/>
      <c r="K236" s="6"/>
      <c r="L236" s="6"/>
      <c r="M236" s="6"/>
      <c r="N236" s="6"/>
      <c r="O236" s="9"/>
    </row>
    <row r="237" spans="3:15" x14ac:dyDescent="0.3">
      <c r="C237" s="45"/>
      <c r="D237" s="5"/>
      <c r="E237" s="5"/>
      <c r="F237" s="6"/>
      <c r="G237" s="6"/>
      <c r="H237" s="111"/>
      <c r="I237" s="111"/>
      <c r="J237" s="6"/>
      <c r="K237" s="6"/>
      <c r="L237" s="6"/>
      <c r="M237" s="6"/>
      <c r="N237" s="6"/>
      <c r="O237" s="9"/>
    </row>
    <row r="238" spans="3:15" x14ac:dyDescent="0.3">
      <c r="C238" s="45"/>
      <c r="D238" s="5"/>
      <c r="E238" s="5"/>
      <c r="F238" s="6"/>
      <c r="G238" s="6"/>
      <c r="H238" s="111"/>
      <c r="I238" s="111"/>
      <c r="J238" s="6"/>
      <c r="K238" s="6"/>
      <c r="L238" s="6"/>
      <c r="M238" s="6"/>
      <c r="N238" s="6"/>
      <c r="O238" s="9"/>
    </row>
    <row r="239" spans="3:15" x14ac:dyDescent="0.3">
      <c r="C239" s="45"/>
      <c r="D239" s="5"/>
      <c r="E239" s="5"/>
      <c r="F239" s="6"/>
      <c r="G239" s="6"/>
      <c r="H239" s="111"/>
      <c r="I239" s="111"/>
      <c r="J239" s="6"/>
      <c r="K239" s="6"/>
      <c r="L239" s="6"/>
      <c r="M239" s="6"/>
      <c r="N239" s="6"/>
      <c r="O239" s="9"/>
    </row>
    <row r="240" spans="3:15" x14ac:dyDescent="0.3">
      <c r="C240" s="45"/>
      <c r="D240" s="5"/>
      <c r="E240" s="5"/>
      <c r="F240" s="6"/>
      <c r="G240" s="6"/>
      <c r="H240" s="111"/>
      <c r="I240" s="111"/>
      <c r="J240" s="6"/>
      <c r="K240" s="6"/>
      <c r="L240" s="6"/>
      <c r="M240" s="6"/>
      <c r="N240" s="6"/>
      <c r="O240" s="9"/>
    </row>
    <row r="241" spans="3:15" x14ac:dyDescent="0.3">
      <c r="C241" s="45"/>
      <c r="D241" s="5"/>
      <c r="E241" s="5"/>
      <c r="F241" s="6"/>
      <c r="G241" s="6"/>
      <c r="H241" s="111"/>
      <c r="I241" s="111"/>
      <c r="J241" s="6"/>
      <c r="K241" s="6"/>
      <c r="L241" s="6"/>
      <c r="M241" s="6"/>
      <c r="N241" s="6"/>
      <c r="O241" s="9"/>
    </row>
    <row r="242" spans="3:15" x14ac:dyDescent="0.3">
      <c r="C242" s="45"/>
      <c r="D242" s="5"/>
      <c r="E242" s="5"/>
      <c r="F242" s="6"/>
      <c r="G242" s="6"/>
      <c r="H242" s="111"/>
      <c r="I242" s="111"/>
      <c r="J242" s="6"/>
      <c r="K242" s="6"/>
      <c r="L242" s="6"/>
      <c r="M242" s="6"/>
      <c r="N242" s="6"/>
      <c r="O242" s="9"/>
    </row>
    <row r="243" spans="3:15" x14ac:dyDescent="0.3">
      <c r="C243" s="45"/>
      <c r="D243" s="5"/>
      <c r="E243" s="5"/>
      <c r="F243" s="6"/>
      <c r="G243" s="6"/>
      <c r="H243" s="111"/>
      <c r="I243" s="111"/>
      <c r="J243" s="6"/>
      <c r="K243" s="6"/>
      <c r="L243" s="6"/>
      <c r="M243" s="6"/>
      <c r="N243" s="6"/>
      <c r="O243" s="9"/>
    </row>
    <row r="244" spans="3:15" x14ac:dyDescent="0.3">
      <c r="C244" s="45"/>
      <c r="D244" s="5"/>
      <c r="E244" s="5"/>
      <c r="F244" s="6"/>
      <c r="G244" s="6"/>
      <c r="H244" s="111"/>
      <c r="I244" s="111"/>
      <c r="J244" s="6"/>
      <c r="K244" s="6"/>
      <c r="L244" s="6"/>
      <c r="M244" s="6"/>
      <c r="N244" s="6"/>
      <c r="O244" s="9"/>
    </row>
    <row r="245" spans="3:15" x14ac:dyDescent="0.3">
      <c r="C245" s="45"/>
      <c r="D245" s="5"/>
      <c r="E245" s="5"/>
      <c r="F245" s="6"/>
      <c r="G245" s="6"/>
      <c r="H245" s="111"/>
      <c r="I245" s="111"/>
      <c r="J245" s="6"/>
      <c r="K245" s="6"/>
      <c r="L245" s="6"/>
      <c r="M245" s="6"/>
      <c r="N245" s="6"/>
      <c r="O245" s="9"/>
    </row>
    <row r="246" spans="3:15" x14ac:dyDescent="0.3">
      <c r="C246" s="45"/>
      <c r="D246" s="5"/>
      <c r="E246" s="5"/>
      <c r="F246" s="6"/>
      <c r="G246" s="6"/>
      <c r="H246" s="111"/>
      <c r="I246" s="111"/>
      <c r="J246" s="6"/>
      <c r="K246" s="6"/>
      <c r="L246" s="6"/>
      <c r="M246" s="6"/>
      <c r="N246" s="6"/>
      <c r="O246" s="9"/>
    </row>
    <row r="247" spans="3:15" x14ac:dyDescent="0.3">
      <c r="C247" s="45"/>
      <c r="D247" s="5"/>
      <c r="E247" s="5"/>
      <c r="F247" s="6"/>
      <c r="G247" s="6"/>
      <c r="H247" s="111"/>
      <c r="I247" s="111"/>
      <c r="J247" s="6"/>
      <c r="K247" s="6"/>
      <c r="L247" s="6"/>
      <c r="M247" s="6"/>
      <c r="N247" s="6"/>
      <c r="O247" s="9"/>
    </row>
    <row r="248" spans="3:15" x14ac:dyDescent="0.3">
      <c r="C248" s="45"/>
      <c r="D248" s="5"/>
      <c r="E248" s="5"/>
      <c r="F248" s="6"/>
      <c r="G248" s="6"/>
      <c r="H248" s="111"/>
      <c r="I248" s="111"/>
      <c r="J248" s="6"/>
      <c r="K248" s="6"/>
      <c r="L248" s="6"/>
      <c r="M248" s="6"/>
      <c r="N248" s="6"/>
      <c r="O248" s="9"/>
    </row>
    <row r="249" spans="3:15" x14ac:dyDescent="0.3">
      <c r="C249" s="45"/>
      <c r="D249" s="5"/>
      <c r="E249" s="5"/>
      <c r="F249" s="6"/>
      <c r="G249" s="6"/>
      <c r="H249" s="111"/>
      <c r="I249" s="111"/>
      <c r="J249" s="6"/>
      <c r="K249" s="6"/>
      <c r="L249" s="6"/>
      <c r="M249" s="6"/>
      <c r="N249" s="6"/>
      <c r="O249" s="9"/>
    </row>
    <row r="250" spans="3:15" x14ac:dyDescent="0.3">
      <c r="C250" s="45"/>
      <c r="D250" s="5"/>
      <c r="E250" s="5"/>
      <c r="F250" s="6"/>
      <c r="G250" s="6"/>
      <c r="H250" s="111"/>
      <c r="I250" s="111"/>
      <c r="J250" s="6"/>
      <c r="K250" s="6"/>
      <c r="L250" s="6"/>
      <c r="M250" s="6"/>
      <c r="N250" s="6"/>
      <c r="O250" s="9"/>
    </row>
    <row r="251" spans="3:15" x14ac:dyDescent="0.3">
      <c r="C251" s="45"/>
      <c r="D251" s="5"/>
      <c r="E251" s="5"/>
      <c r="F251" s="6"/>
      <c r="G251" s="6"/>
      <c r="H251" s="111"/>
      <c r="I251" s="111"/>
      <c r="J251" s="6"/>
      <c r="K251" s="6"/>
      <c r="L251" s="6"/>
      <c r="M251" s="6"/>
      <c r="N251" s="6"/>
      <c r="O251" s="9"/>
    </row>
    <row r="252" spans="3:15" x14ac:dyDescent="0.3">
      <c r="C252" s="45"/>
      <c r="D252" s="5"/>
      <c r="E252" s="5"/>
      <c r="F252" s="6"/>
      <c r="G252" s="6"/>
      <c r="H252" s="111"/>
      <c r="I252" s="111"/>
      <c r="J252" s="6"/>
      <c r="K252" s="6"/>
      <c r="L252" s="6"/>
      <c r="M252" s="6"/>
      <c r="N252" s="6"/>
      <c r="O252" s="9"/>
    </row>
    <row r="253" spans="3:15" x14ac:dyDescent="0.3">
      <c r="C253" s="45"/>
      <c r="D253" s="5"/>
      <c r="E253" s="5"/>
      <c r="F253" s="6"/>
      <c r="G253" s="6"/>
      <c r="H253" s="111"/>
      <c r="I253" s="111"/>
      <c r="J253" s="6"/>
      <c r="K253" s="6"/>
      <c r="L253" s="6"/>
      <c r="M253" s="6"/>
      <c r="N253" s="6"/>
      <c r="O253" s="9"/>
    </row>
    <row r="254" spans="3:15" x14ac:dyDescent="0.3">
      <c r="C254" s="45"/>
      <c r="D254" s="5"/>
      <c r="E254" s="5"/>
      <c r="F254" s="6"/>
      <c r="G254" s="6"/>
      <c r="H254" s="111"/>
      <c r="I254" s="111"/>
      <c r="J254" s="6"/>
      <c r="K254" s="6"/>
      <c r="L254" s="6"/>
      <c r="M254" s="6"/>
      <c r="N254" s="6"/>
      <c r="O254" s="9"/>
    </row>
    <row r="255" spans="3:15" x14ac:dyDescent="0.3">
      <c r="C255" s="45"/>
      <c r="D255" s="5"/>
      <c r="E255" s="5"/>
      <c r="F255" s="6"/>
      <c r="G255" s="6"/>
      <c r="H255" s="111"/>
      <c r="I255" s="111"/>
      <c r="J255" s="6"/>
      <c r="K255" s="6"/>
      <c r="L255" s="6"/>
      <c r="M255" s="6"/>
      <c r="N255" s="6"/>
      <c r="O255" s="9"/>
    </row>
    <row r="256" spans="3:15" x14ac:dyDescent="0.3">
      <c r="C256" s="45"/>
      <c r="D256" s="5"/>
      <c r="E256" s="5"/>
      <c r="F256" s="6"/>
      <c r="G256" s="6"/>
      <c r="H256" s="111"/>
      <c r="I256" s="111"/>
      <c r="J256" s="6"/>
      <c r="K256" s="6"/>
      <c r="L256" s="6"/>
      <c r="M256" s="6"/>
      <c r="N256" s="6"/>
      <c r="O256" s="9"/>
    </row>
    <row r="257" spans="3:15" x14ac:dyDescent="0.3">
      <c r="C257" s="45"/>
      <c r="D257" s="5"/>
      <c r="E257" s="5"/>
      <c r="F257" s="6"/>
      <c r="G257" s="6"/>
      <c r="H257" s="111"/>
      <c r="I257" s="111"/>
      <c r="J257" s="6"/>
      <c r="K257" s="6"/>
      <c r="L257" s="6"/>
      <c r="M257" s="6"/>
      <c r="N257" s="6"/>
      <c r="O257" s="9"/>
    </row>
    <row r="258" spans="3:15" x14ac:dyDescent="0.3">
      <c r="C258" s="45"/>
      <c r="D258" s="5"/>
      <c r="E258" s="5"/>
      <c r="F258" s="6"/>
      <c r="G258" s="6"/>
      <c r="H258" s="111"/>
      <c r="I258" s="111"/>
      <c r="J258" s="6"/>
      <c r="K258" s="6"/>
      <c r="L258" s="6"/>
      <c r="M258" s="6"/>
      <c r="N258" s="6"/>
      <c r="O258" s="9"/>
    </row>
    <row r="259" spans="3:15" x14ac:dyDescent="0.3">
      <c r="C259" s="45"/>
      <c r="D259" s="5"/>
      <c r="E259" s="5"/>
      <c r="F259" s="6"/>
      <c r="G259" s="6"/>
      <c r="H259" s="111"/>
      <c r="I259" s="111"/>
      <c r="J259" s="6"/>
      <c r="K259" s="6"/>
      <c r="L259" s="6"/>
      <c r="M259" s="6"/>
      <c r="N259" s="6"/>
      <c r="O259" s="9"/>
    </row>
    <row r="260" spans="3:15" x14ac:dyDescent="0.3">
      <c r="C260" s="45"/>
      <c r="D260" s="5"/>
      <c r="E260" s="5"/>
      <c r="F260" s="6"/>
      <c r="G260" s="6"/>
      <c r="H260" s="111"/>
      <c r="I260" s="111"/>
      <c r="J260" s="6"/>
      <c r="K260" s="6"/>
      <c r="L260" s="6"/>
      <c r="M260" s="6"/>
      <c r="N260" s="6"/>
      <c r="O260" s="9"/>
    </row>
    <row r="261" spans="3:15" x14ac:dyDescent="0.3">
      <c r="C261" s="45"/>
      <c r="D261" s="5"/>
      <c r="E261" s="5"/>
      <c r="F261" s="6"/>
      <c r="G261" s="6"/>
      <c r="H261" s="111"/>
      <c r="I261" s="111"/>
      <c r="J261" s="6"/>
      <c r="K261" s="6"/>
      <c r="L261" s="6"/>
      <c r="M261" s="6"/>
      <c r="N261" s="6"/>
      <c r="O261" s="9"/>
    </row>
    <row r="262" spans="3:15" x14ac:dyDescent="0.3">
      <c r="C262" s="45"/>
      <c r="D262" s="5"/>
      <c r="E262" s="5"/>
      <c r="F262" s="6"/>
      <c r="G262" s="6"/>
      <c r="H262" s="111"/>
      <c r="I262" s="111"/>
      <c r="J262" s="6"/>
      <c r="K262" s="6"/>
      <c r="L262" s="6"/>
      <c r="M262" s="6"/>
      <c r="N262" s="6"/>
      <c r="O262" s="9"/>
    </row>
    <row r="263" spans="3:15" x14ac:dyDescent="0.3">
      <c r="C263" s="45"/>
      <c r="D263" s="5"/>
      <c r="E263" s="5"/>
      <c r="F263" s="6"/>
      <c r="G263" s="6"/>
      <c r="H263" s="111"/>
      <c r="I263" s="111"/>
      <c r="J263" s="6"/>
      <c r="K263" s="6"/>
      <c r="L263" s="6"/>
      <c r="M263" s="6"/>
      <c r="N263" s="6"/>
      <c r="O263" s="9"/>
    </row>
    <row r="264" spans="3:15" x14ac:dyDescent="0.3">
      <c r="C264" s="45"/>
      <c r="D264" s="5"/>
      <c r="E264" s="5"/>
      <c r="F264" s="6"/>
      <c r="G264" s="6"/>
      <c r="H264" s="111"/>
      <c r="I264" s="111"/>
      <c r="J264" s="6"/>
      <c r="K264" s="6"/>
      <c r="L264" s="6"/>
      <c r="M264" s="6"/>
      <c r="N264" s="6"/>
      <c r="O264" s="9"/>
    </row>
    <row r="265" spans="3:15" x14ac:dyDescent="0.3">
      <c r="C265" s="45"/>
      <c r="D265" s="5"/>
      <c r="E265" s="5"/>
      <c r="F265" s="6"/>
      <c r="G265" s="6"/>
      <c r="H265" s="111"/>
      <c r="I265" s="111"/>
      <c r="J265" s="6"/>
      <c r="K265" s="6"/>
      <c r="L265" s="6"/>
      <c r="M265" s="6"/>
      <c r="N265" s="6"/>
      <c r="O265" s="9"/>
    </row>
    <row r="266" spans="3:15" x14ac:dyDescent="0.3">
      <c r="C266" s="45"/>
      <c r="D266" s="5"/>
      <c r="E266" s="5"/>
      <c r="F266" s="6"/>
      <c r="G266" s="6"/>
      <c r="H266" s="111"/>
      <c r="I266" s="111"/>
      <c r="J266" s="6"/>
      <c r="K266" s="6"/>
      <c r="L266" s="6"/>
      <c r="M266" s="6"/>
      <c r="N266" s="6"/>
      <c r="O266" s="9"/>
    </row>
    <row r="267" spans="3:15" x14ac:dyDescent="0.3">
      <c r="C267" s="45"/>
      <c r="D267" s="5"/>
      <c r="E267" s="5"/>
      <c r="F267" s="6"/>
      <c r="G267" s="6"/>
      <c r="H267" s="111"/>
      <c r="I267" s="111"/>
      <c r="J267" s="6"/>
      <c r="K267" s="6"/>
      <c r="L267" s="6"/>
      <c r="M267" s="6"/>
      <c r="N267" s="6"/>
      <c r="O267" s="9"/>
    </row>
    <row r="268" spans="3:15" x14ac:dyDescent="0.3">
      <c r="C268" s="45"/>
      <c r="D268" s="5"/>
      <c r="E268" s="5"/>
      <c r="F268" s="6"/>
      <c r="G268" s="6"/>
      <c r="H268" s="111"/>
      <c r="I268" s="111"/>
      <c r="J268" s="6"/>
      <c r="K268" s="6"/>
      <c r="L268" s="6"/>
      <c r="M268" s="6"/>
      <c r="N268" s="6"/>
      <c r="O268" s="9"/>
    </row>
    <row r="269" spans="3:15" x14ac:dyDescent="0.3">
      <c r="C269" s="45"/>
      <c r="D269" s="5"/>
      <c r="E269" s="5"/>
      <c r="F269" s="6"/>
      <c r="G269" s="6"/>
      <c r="H269" s="111"/>
      <c r="I269" s="111"/>
      <c r="J269" s="6"/>
      <c r="K269" s="6"/>
      <c r="L269" s="6"/>
      <c r="M269" s="6"/>
      <c r="N269" s="6"/>
      <c r="O269" s="9"/>
    </row>
    <row r="270" spans="3:15" x14ac:dyDescent="0.3">
      <c r="C270" s="45"/>
      <c r="D270" s="5"/>
      <c r="E270" s="5"/>
      <c r="F270" s="6"/>
      <c r="G270" s="6"/>
      <c r="H270" s="111"/>
      <c r="I270" s="111"/>
      <c r="J270" s="6"/>
      <c r="K270" s="6"/>
      <c r="L270" s="6"/>
      <c r="M270" s="6"/>
      <c r="N270" s="6"/>
      <c r="O270" s="9"/>
    </row>
    <row r="271" spans="3:15" x14ac:dyDescent="0.3">
      <c r="C271" s="45"/>
      <c r="D271" s="5"/>
      <c r="E271" s="5"/>
      <c r="F271" s="6"/>
      <c r="G271" s="6"/>
      <c r="H271" s="111"/>
      <c r="I271" s="111"/>
      <c r="J271" s="6"/>
      <c r="K271" s="6"/>
      <c r="L271" s="6"/>
      <c r="M271" s="6"/>
      <c r="N271" s="6"/>
      <c r="O271" s="9"/>
    </row>
    <row r="272" spans="3:15" x14ac:dyDescent="0.3">
      <c r="C272" s="45"/>
      <c r="D272" s="5"/>
      <c r="E272" s="5"/>
      <c r="F272" s="6"/>
      <c r="G272" s="6"/>
      <c r="H272" s="111"/>
      <c r="I272" s="111"/>
      <c r="J272" s="6"/>
      <c r="K272" s="6"/>
      <c r="L272" s="6"/>
      <c r="M272" s="6"/>
      <c r="N272" s="6"/>
      <c r="O272" s="9"/>
    </row>
    <row r="273" spans="3:15" x14ac:dyDescent="0.3">
      <c r="C273" s="45"/>
      <c r="D273" s="5"/>
      <c r="E273" s="5"/>
      <c r="F273" s="6"/>
      <c r="G273" s="6"/>
      <c r="H273" s="111"/>
      <c r="I273" s="111"/>
      <c r="J273" s="6"/>
      <c r="K273" s="6"/>
      <c r="L273" s="6"/>
      <c r="M273" s="6"/>
      <c r="N273" s="6"/>
      <c r="O273" s="9"/>
    </row>
    <row r="274" spans="3:15" x14ac:dyDescent="0.3">
      <c r="C274" s="45"/>
      <c r="D274" s="5"/>
      <c r="E274" s="5"/>
      <c r="F274" s="6"/>
      <c r="G274" s="6"/>
      <c r="H274" s="111"/>
      <c r="I274" s="111"/>
      <c r="J274" s="6"/>
      <c r="K274" s="6"/>
      <c r="L274" s="6"/>
      <c r="M274" s="6"/>
      <c r="N274" s="6"/>
      <c r="O274" s="9"/>
    </row>
    <row r="275" spans="3:15" x14ac:dyDescent="0.3">
      <c r="C275" s="45"/>
      <c r="D275" s="5"/>
      <c r="E275" s="5"/>
      <c r="F275" s="6"/>
      <c r="G275" s="6"/>
      <c r="H275" s="111"/>
      <c r="I275" s="111"/>
      <c r="J275" s="6"/>
      <c r="K275" s="6"/>
      <c r="L275" s="6"/>
      <c r="M275" s="6"/>
      <c r="N275" s="6"/>
      <c r="O275" s="9"/>
    </row>
    <row r="276" spans="3:15" x14ac:dyDescent="0.3">
      <c r="C276" s="45"/>
      <c r="D276" s="5"/>
      <c r="E276" s="5"/>
      <c r="F276" s="6"/>
      <c r="G276" s="6"/>
      <c r="H276" s="111"/>
      <c r="I276" s="111"/>
      <c r="J276" s="6"/>
      <c r="K276" s="6"/>
      <c r="L276" s="6"/>
      <c r="M276" s="6"/>
      <c r="N276" s="6"/>
      <c r="O276" s="9"/>
    </row>
    <row r="277" spans="3:15" x14ac:dyDescent="0.3">
      <c r="C277" s="45"/>
      <c r="D277" s="5"/>
      <c r="E277" s="5"/>
      <c r="F277" s="6"/>
      <c r="G277" s="6"/>
      <c r="H277" s="111"/>
      <c r="I277" s="111"/>
      <c r="J277" s="6"/>
      <c r="K277" s="6"/>
      <c r="L277" s="6"/>
      <c r="M277" s="6"/>
      <c r="N277" s="6"/>
      <c r="O277" s="9"/>
    </row>
    <row r="278" spans="3:15" x14ac:dyDescent="0.3">
      <c r="C278" s="45"/>
      <c r="D278" s="5"/>
      <c r="E278" s="5"/>
      <c r="F278" s="6"/>
      <c r="G278" s="6"/>
      <c r="H278" s="111"/>
      <c r="I278" s="111"/>
      <c r="J278" s="6"/>
      <c r="K278" s="6"/>
      <c r="L278" s="6"/>
      <c r="M278" s="6"/>
      <c r="N278" s="6"/>
      <c r="O278" s="9"/>
    </row>
    <row r="279" spans="3:15" x14ac:dyDescent="0.3">
      <c r="C279" s="45"/>
      <c r="D279" s="5"/>
      <c r="E279" s="5"/>
      <c r="F279" s="6"/>
      <c r="G279" s="6"/>
      <c r="H279" s="111"/>
      <c r="I279" s="111"/>
      <c r="J279" s="6"/>
      <c r="K279" s="6"/>
      <c r="L279" s="6"/>
      <c r="M279" s="6"/>
      <c r="N279" s="6"/>
      <c r="O279" s="9"/>
    </row>
    <row r="280" spans="3:15" x14ac:dyDescent="0.3">
      <c r="C280" s="45"/>
      <c r="D280" s="5"/>
      <c r="E280" s="5"/>
      <c r="F280" s="6"/>
      <c r="G280" s="6"/>
      <c r="H280" s="111"/>
      <c r="I280" s="111"/>
      <c r="J280" s="6"/>
      <c r="K280" s="6"/>
      <c r="L280" s="6"/>
      <c r="M280" s="6"/>
      <c r="N280" s="6"/>
      <c r="O280" s="9"/>
    </row>
    <row r="281" spans="3:15" x14ac:dyDescent="0.3">
      <c r="C281" s="45"/>
      <c r="D281" s="5"/>
      <c r="E281" s="5"/>
      <c r="F281" s="6"/>
      <c r="G281" s="6"/>
      <c r="H281" s="111"/>
      <c r="I281" s="111"/>
      <c r="J281" s="6"/>
      <c r="K281" s="6"/>
      <c r="L281" s="6"/>
      <c r="M281" s="6"/>
      <c r="N281" s="6"/>
      <c r="O281" s="9"/>
    </row>
    <row r="282" spans="3:15" x14ac:dyDescent="0.3">
      <c r="C282" s="45"/>
      <c r="D282" s="5"/>
      <c r="E282" s="5"/>
      <c r="F282" s="6"/>
      <c r="G282" s="6"/>
      <c r="H282" s="111"/>
      <c r="I282" s="111"/>
      <c r="J282" s="6"/>
      <c r="K282" s="6"/>
      <c r="L282" s="6"/>
      <c r="M282" s="6"/>
      <c r="N282" s="6"/>
      <c r="O282" s="9"/>
    </row>
    <row r="283" spans="3:15" x14ac:dyDescent="0.3">
      <c r="C283" s="45"/>
      <c r="D283" s="5"/>
      <c r="E283" s="5"/>
      <c r="F283" s="6"/>
      <c r="G283" s="6"/>
      <c r="H283" s="111"/>
      <c r="I283" s="111"/>
      <c r="J283" s="6"/>
      <c r="K283" s="6"/>
      <c r="L283" s="6"/>
      <c r="M283" s="6"/>
      <c r="N283" s="6"/>
      <c r="O283" s="9"/>
    </row>
    <row r="284" spans="3:15" x14ac:dyDescent="0.3">
      <c r="C284" s="45"/>
      <c r="D284" s="5"/>
      <c r="E284" s="5"/>
      <c r="F284" s="6"/>
      <c r="G284" s="6"/>
      <c r="H284" s="111"/>
      <c r="I284" s="111"/>
      <c r="J284" s="6"/>
      <c r="K284" s="6"/>
      <c r="L284" s="6"/>
      <c r="M284" s="6"/>
      <c r="N284" s="6"/>
      <c r="O284" s="9"/>
    </row>
    <row r="285" spans="3:15" x14ac:dyDescent="0.3">
      <c r="C285" s="45"/>
      <c r="D285" s="5"/>
      <c r="E285" s="5"/>
      <c r="F285" s="6"/>
      <c r="G285" s="6"/>
      <c r="H285" s="111"/>
      <c r="I285" s="111"/>
      <c r="J285" s="6"/>
      <c r="K285" s="6"/>
      <c r="L285" s="6"/>
      <c r="M285" s="6"/>
      <c r="N285" s="6"/>
      <c r="O285" s="9"/>
    </row>
    <row r="286" spans="3:15" x14ac:dyDescent="0.3">
      <c r="C286" s="45"/>
      <c r="D286" s="5"/>
      <c r="E286" s="5"/>
      <c r="F286" s="6"/>
      <c r="G286" s="6"/>
      <c r="H286" s="111"/>
      <c r="I286" s="111"/>
      <c r="J286" s="6"/>
      <c r="K286" s="6"/>
      <c r="L286" s="6"/>
      <c r="M286" s="6"/>
      <c r="N286" s="6"/>
      <c r="O286" s="9"/>
    </row>
    <row r="287" spans="3:15" x14ac:dyDescent="0.3">
      <c r="C287" s="45"/>
      <c r="D287" s="5"/>
      <c r="E287" s="5"/>
      <c r="F287" s="6"/>
      <c r="G287" s="6"/>
      <c r="H287" s="111"/>
      <c r="I287" s="111"/>
      <c r="J287" s="6"/>
      <c r="K287" s="6"/>
      <c r="L287" s="6"/>
      <c r="M287" s="6"/>
      <c r="N287" s="6"/>
      <c r="O287" s="9"/>
    </row>
    <row r="288" spans="3:15" x14ac:dyDescent="0.3">
      <c r="C288" s="45"/>
      <c r="D288" s="5"/>
      <c r="E288" s="5"/>
      <c r="F288" s="6"/>
      <c r="G288" s="6"/>
      <c r="H288" s="111"/>
      <c r="I288" s="111"/>
      <c r="J288" s="6"/>
      <c r="K288" s="6"/>
      <c r="L288" s="6"/>
      <c r="M288" s="6"/>
      <c r="N288" s="6"/>
      <c r="O288" s="9"/>
    </row>
    <row r="289" spans="3:15" x14ac:dyDescent="0.3">
      <c r="C289" s="45"/>
      <c r="D289" s="5"/>
      <c r="E289" s="5"/>
      <c r="F289" s="6"/>
      <c r="G289" s="6"/>
      <c r="H289" s="111"/>
      <c r="I289" s="111"/>
      <c r="J289" s="6"/>
      <c r="K289" s="6"/>
      <c r="L289" s="6"/>
      <c r="M289" s="6"/>
      <c r="N289" s="6"/>
      <c r="O289" s="9"/>
    </row>
    <row r="290" spans="3:15" x14ac:dyDescent="0.3">
      <c r="C290" s="45"/>
      <c r="D290" s="5"/>
      <c r="E290" s="5"/>
      <c r="F290" s="6"/>
      <c r="G290" s="6"/>
      <c r="H290" s="111"/>
      <c r="I290" s="111"/>
      <c r="J290" s="6"/>
      <c r="K290" s="6"/>
      <c r="L290" s="6"/>
      <c r="M290" s="6"/>
      <c r="N290" s="6"/>
      <c r="O290" s="9"/>
    </row>
    <row r="291" spans="3:15" x14ac:dyDescent="0.3">
      <c r="C291" s="45"/>
      <c r="D291" s="5"/>
      <c r="E291" s="5"/>
      <c r="F291" s="6"/>
      <c r="G291" s="6"/>
      <c r="H291" s="111"/>
      <c r="I291" s="111"/>
      <c r="J291" s="6"/>
      <c r="K291" s="6"/>
      <c r="L291" s="6"/>
      <c r="M291" s="6"/>
      <c r="N291" s="6"/>
      <c r="O291" s="9"/>
    </row>
    <row r="292" spans="3:15" x14ac:dyDescent="0.3">
      <c r="C292" s="45"/>
      <c r="D292" s="5"/>
      <c r="E292" s="5"/>
      <c r="F292" s="6"/>
      <c r="G292" s="6"/>
      <c r="H292" s="111"/>
      <c r="I292" s="111"/>
      <c r="J292" s="6"/>
      <c r="K292" s="6"/>
      <c r="L292" s="6"/>
      <c r="M292" s="6"/>
      <c r="N292" s="6"/>
      <c r="O292" s="9"/>
    </row>
    <row r="293" spans="3:15" x14ac:dyDescent="0.3">
      <c r="C293" s="45"/>
      <c r="D293" s="5"/>
      <c r="E293" s="5"/>
      <c r="F293" s="6"/>
      <c r="G293" s="6"/>
      <c r="H293" s="111"/>
      <c r="I293" s="111"/>
      <c r="J293" s="6"/>
      <c r="K293" s="6"/>
      <c r="L293" s="6"/>
      <c r="M293" s="6"/>
      <c r="N293" s="6"/>
      <c r="O293" s="9"/>
    </row>
    <row r="294" spans="3:15" x14ac:dyDescent="0.3">
      <c r="C294" s="45"/>
      <c r="D294" s="5"/>
      <c r="E294" s="5"/>
      <c r="F294" s="6"/>
      <c r="G294" s="6"/>
      <c r="H294" s="111"/>
      <c r="I294" s="111"/>
      <c r="J294" s="6"/>
      <c r="K294" s="6"/>
      <c r="L294" s="6"/>
      <c r="M294" s="6"/>
      <c r="N294" s="6"/>
      <c r="O294" s="9"/>
    </row>
    <row r="295" spans="3:15" x14ac:dyDescent="0.3">
      <c r="C295" s="45"/>
      <c r="D295" s="5"/>
      <c r="E295" s="5"/>
      <c r="F295" s="6"/>
      <c r="G295" s="6"/>
      <c r="H295" s="111"/>
      <c r="I295" s="111"/>
      <c r="J295" s="6"/>
      <c r="K295" s="6"/>
      <c r="L295" s="6"/>
      <c r="M295" s="6"/>
      <c r="N295" s="6"/>
      <c r="O295" s="9"/>
    </row>
    <row r="296" spans="3:15" x14ac:dyDescent="0.3">
      <c r="C296" s="45"/>
      <c r="D296" s="5"/>
      <c r="E296" s="5"/>
      <c r="F296" s="6"/>
      <c r="G296" s="6"/>
      <c r="H296" s="111"/>
      <c r="I296" s="111"/>
      <c r="J296" s="6"/>
      <c r="K296" s="6"/>
      <c r="L296" s="6"/>
      <c r="M296" s="6"/>
      <c r="N296" s="6"/>
      <c r="O296" s="9"/>
    </row>
    <row r="297" spans="3:15" x14ac:dyDescent="0.3">
      <c r="C297" s="45"/>
      <c r="D297" s="5"/>
      <c r="E297" s="5"/>
      <c r="F297" s="6"/>
      <c r="G297" s="6"/>
      <c r="H297" s="111"/>
      <c r="I297" s="111"/>
      <c r="J297" s="6"/>
      <c r="K297" s="6"/>
      <c r="L297" s="6"/>
      <c r="M297" s="6"/>
      <c r="N297" s="6"/>
      <c r="O297" s="9"/>
    </row>
    <row r="298" spans="3:15" x14ac:dyDescent="0.3">
      <c r="C298" s="45"/>
      <c r="D298" s="5"/>
      <c r="E298" s="5"/>
      <c r="F298" s="6"/>
      <c r="G298" s="6"/>
      <c r="H298" s="111"/>
      <c r="I298" s="111"/>
      <c r="J298" s="6"/>
      <c r="K298" s="6"/>
      <c r="L298" s="6"/>
      <c r="M298" s="6"/>
      <c r="N298" s="6"/>
      <c r="O298" s="9"/>
    </row>
    <row r="299" spans="3:15" x14ac:dyDescent="0.3">
      <c r="C299" s="45"/>
      <c r="D299" s="5"/>
      <c r="E299" s="5"/>
      <c r="F299" s="6"/>
      <c r="G299" s="6"/>
      <c r="H299" s="111"/>
      <c r="I299" s="111"/>
      <c r="J299" s="6"/>
      <c r="K299" s="6"/>
      <c r="L299" s="6"/>
      <c r="M299" s="6"/>
      <c r="N299" s="6"/>
      <c r="O299" s="9"/>
    </row>
    <row r="300" spans="3:15" x14ac:dyDescent="0.3">
      <c r="C300" s="45"/>
      <c r="D300" s="5"/>
      <c r="E300" s="5"/>
      <c r="F300" s="6"/>
      <c r="G300" s="6"/>
      <c r="H300" s="111"/>
      <c r="I300" s="111"/>
      <c r="J300" s="6"/>
      <c r="K300" s="6"/>
      <c r="L300" s="6"/>
      <c r="M300" s="6"/>
      <c r="N300" s="6"/>
      <c r="O300" s="9"/>
    </row>
    <row r="301" spans="3:15" x14ac:dyDescent="0.3">
      <c r="C301" s="45"/>
      <c r="D301" s="5"/>
      <c r="E301" s="5"/>
      <c r="F301" s="6"/>
      <c r="G301" s="6"/>
      <c r="H301" s="111"/>
      <c r="I301" s="111"/>
      <c r="J301" s="6"/>
      <c r="K301" s="6"/>
      <c r="L301" s="6"/>
      <c r="M301" s="6"/>
      <c r="N301" s="6"/>
      <c r="O301" s="9"/>
    </row>
    <row r="302" spans="3:15" x14ac:dyDescent="0.3">
      <c r="C302" s="45"/>
      <c r="D302" s="5"/>
      <c r="E302" s="5"/>
      <c r="F302" s="6"/>
      <c r="G302" s="6"/>
      <c r="H302" s="111"/>
      <c r="I302" s="111"/>
      <c r="J302" s="6"/>
      <c r="K302" s="6"/>
      <c r="L302" s="6"/>
      <c r="M302" s="6"/>
      <c r="N302" s="6"/>
      <c r="O302" s="9"/>
    </row>
    <row r="303" spans="3:15" x14ac:dyDescent="0.3">
      <c r="C303" s="45"/>
      <c r="D303" s="5"/>
      <c r="E303" s="5"/>
      <c r="F303" s="6"/>
      <c r="G303" s="6"/>
      <c r="H303" s="111"/>
      <c r="I303" s="111"/>
      <c r="J303" s="6"/>
      <c r="K303" s="6"/>
      <c r="L303" s="6"/>
      <c r="M303" s="6"/>
      <c r="N303" s="6"/>
      <c r="O303" s="9"/>
    </row>
    <row r="304" spans="3:15" x14ac:dyDescent="0.3">
      <c r="C304" s="45"/>
      <c r="D304" s="5"/>
      <c r="E304" s="5"/>
      <c r="F304" s="6"/>
      <c r="G304" s="6"/>
      <c r="H304" s="111"/>
      <c r="I304" s="111"/>
      <c r="J304" s="6"/>
      <c r="K304" s="6"/>
      <c r="L304" s="6"/>
      <c r="M304" s="6"/>
      <c r="N304" s="6"/>
      <c r="O304" s="9"/>
    </row>
    <row r="305" spans="3:15" x14ac:dyDescent="0.3">
      <c r="C305" s="45"/>
      <c r="D305" s="5"/>
      <c r="E305" s="5"/>
      <c r="F305" s="6"/>
      <c r="G305" s="6"/>
      <c r="H305" s="111"/>
      <c r="I305" s="111"/>
      <c r="J305" s="6"/>
      <c r="K305" s="6"/>
      <c r="L305" s="6"/>
      <c r="M305" s="6"/>
      <c r="N305" s="6"/>
      <c r="O305" s="9"/>
    </row>
    <row r="306" spans="3:15" x14ac:dyDescent="0.3">
      <c r="C306" s="45"/>
      <c r="D306" s="5"/>
      <c r="E306" s="5"/>
      <c r="F306" s="6"/>
      <c r="G306" s="6"/>
      <c r="H306" s="111"/>
      <c r="I306" s="111"/>
      <c r="J306" s="6"/>
      <c r="K306" s="6"/>
      <c r="L306" s="6"/>
      <c r="M306" s="6"/>
      <c r="N306" s="6"/>
      <c r="O306" s="9"/>
    </row>
    <row r="307" spans="3:15" x14ac:dyDescent="0.3">
      <c r="C307" s="45"/>
      <c r="D307" s="5"/>
      <c r="E307" s="5"/>
      <c r="F307" s="6"/>
      <c r="G307" s="6"/>
      <c r="H307" s="111"/>
      <c r="I307" s="111"/>
      <c r="J307" s="6"/>
      <c r="K307" s="6"/>
      <c r="L307" s="6"/>
      <c r="M307" s="6"/>
      <c r="N307" s="6"/>
      <c r="O307" s="9"/>
    </row>
    <row r="308" spans="3:15" x14ac:dyDescent="0.3">
      <c r="C308" s="45"/>
      <c r="D308" s="5"/>
      <c r="E308" s="5"/>
      <c r="F308" s="6"/>
      <c r="G308" s="6"/>
      <c r="H308" s="111"/>
      <c r="I308" s="111"/>
      <c r="J308" s="6"/>
      <c r="K308" s="6"/>
      <c r="L308" s="6"/>
      <c r="M308" s="6"/>
      <c r="N308" s="6"/>
      <c r="O308" s="9"/>
    </row>
    <row r="309" spans="3:15" x14ac:dyDescent="0.3">
      <c r="C309" s="45"/>
      <c r="D309" s="5"/>
      <c r="E309" s="5"/>
      <c r="F309" s="6"/>
      <c r="G309" s="6"/>
      <c r="H309" s="111"/>
      <c r="I309" s="111"/>
      <c r="J309" s="6"/>
      <c r="K309" s="6"/>
      <c r="L309" s="6"/>
      <c r="M309" s="6"/>
      <c r="N309" s="6"/>
      <c r="O309" s="9"/>
    </row>
    <row r="310" spans="3:15" x14ac:dyDescent="0.3">
      <c r="C310" s="45"/>
      <c r="D310" s="5"/>
      <c r="E310" s="5"/>
      <c r="F310" s="6"/>
      <c r="G310" s="6"/>
      <c r="H310" s="111"/>
      <c r="I310" s="111"/>
      <c r="J310" s="6"/>
      <c r="K310" s="6"/>
      <c r="L310" s="6"/>
      <c r="M310" s="6"/>
      <c r="N310" s="6"/>
      <c r="O310" s="9"/>
    </row>
    <row r="311" spans="3:15" x14ac:dyDescent="0.3">
      <c r="C311" s="45"/>
      <c r="D311" s="5"/>
      <c r="E311" s="5"/>
      <c r="F311" s="6"/>
      <c r="G311" s="6"/>
      <c r="H311" s="111"/>
      <c r="I311" s="111"/>
      <c r="J311" s="6"/>
      <c r="K311" s="6"/>
      <c r="L311" s="6"/>
      <c r="M311" s="6"/>
      <c r="N311" s="6"/>
      <c r="O311" s="9"/>
    </row>
    <row r="312" spans="3:15" x14ac:dyDescent="0.3">
      <c r="C312" s="45"/>
      <c r="D312" s="5"/>
      <c r="E312" s="5"/>
      <c r="F312" s="6"/>
      <c r="G312" s="6"/>
      <c r="H312" s="111"/>
      <c r="I312" s="111"/>
      <c r="J312" s="6"/>
      <c r="K312" s="6"/>
      <c r="L312" s="6"/>
      <c r="M312" s="6"/>
      <c r="N312" s="6"/>
      <c r="O312" s="9"/>
    </row>
    <row r="313" spans="3:15" x14ac:dyDescent="0.3">
      <c r="C313" s="45"/>
      <c r="D313" s="5"/>
      <c r="E313" s="5"/>
      <c r="F313" s="6"/>
      <c r="G313" s="6"/>
      <c r="H313" s="111"/>
      <c r="I313" s="111"/>
      <c r="J313" s="6"/>
      <c r="K313" s="6"/>
      <c r="L313" s="6"/>
      <c r="M313" s="6"/>
      <c r="N313" s="6"/>
      <c r="O313" s="9"/>
    </row>
    <row r="314" spans="3:15" x14ac:dyDescent="0.3">
      <c r="C314" s="45"/>
      <c r="D314" s="5"/>
      <c r="E314" s="5"/>
      <c r="F314" s="6"/>
      <c r="G314" s="6"/>
      <c r="H314" s="111"/>
      <c r="I314" s="111"/>
      <c r="J314" s="6"/>
      <c r="K314" s="6"/>
      <c r="L314" s="6"/>
      <c r="M314" s="6"/>
      <c r="N314" s="6"/>
      <c r="O314" s="9"/>
    </row>
    <row r="315" spans="3:15" x14ac:dyDescent="0.3">
      <c r="C315" s="45"/>
      <c r="D315" s="5"/>
      <c r="E315" s="5"/>
      <c r="F315" s="6"/>
      <c r="G315" s="6"/>
      <c r="H315" s="111"/>
      <c r="I315" s="111"/>
      <c r="J315" s="6"/>
      <c r="K315" s="6"/>
      <c r="L315" s="6"/>
      <c r="M315" s="6"/>
      <c r="N315" s="6"/>
      <c r="O315" s="9"/>
    </row>
    <row r="316" spans="3:15" x14ac:dyDescent="0.3">
      <c r="C316" s="45"/>
      <c r="D316" s="5"/>
      <c r="E316" s="5"/>
      <c r="F316" s="6"/>
      <c r="G316" s="6"/>
      <c r="H316" s="111"/>
      <c r="I316" s="111"/>
      <c r="J316" s="6"/>
      <c r="K316" s="6"/>
      <c r="L316" s="6"/>
      <c r="M316" s="6"/>
      <c r="N316" s="6"/>
      <c r="O316" s="9"/>
    </row>
    <row r="317" spans="3:15" x14ac:dyDescent="0.3">
      <c r="C317" s="45"/>
      <c r="D317" s="5"/>
      <c r="E317" s="5"/>
      <c r="F317" s="6"/>
      <c r="G317" s="6"/>
      <c r="H317" s="111"/>
      <c r="I317" s="111"/>
      <c r="J317" s="6"/>
      <c r="K317" s="6"/>
      <c r="L317" s="6"/>
      <c r="M317" s="6"/>
      <c r="N317" s="6"/>
      <c r="O317" s="9"/>
    </row>
    <row r="318" spans="3:15" x14ac:dyDescent="0.3">
      <c r="C318" s="45"/>
      <c r="D318" s="5"/>
      <c r="E318" s="5"/>
      <c r="F318" s="6"/>
      <c r="G318" s="6"/>
      <c r="H318" s="111"/>
      <c r="I318" s="111"/>
      <c r="J318" s="6"/>
      <c r="K318" s="6"/>
      <c r="L318" s="6"/>
      <c r="M318" s="6"/>
      <c r="N318" s="6"/>
      <c r="O318" s="9"/>
    </row>
    <row r="319" spans="3:15" x14ac:dyDescent="0.3">
      <c r="C319" s="45"/>
      <c r="D319" s="5"/>
      <c r="E319" s="5"/>
      <c r="F319" s="6"/>
      <c r="G319" s="6"/>
      <c r="H319" s="111"/>
      <c r="I319" s="111"/>
      <c r="J319" s="6"/>
      <c r="K319" s="6"/>
      <c r="L319" s="6"/>
      <c r="M319" s="6"/>
      <c r="N319" s="6"/>
      <c r="O319" s="9"/>
    </row>
    <row r="320" spans="3:15" x14ac:dyDescent="0.3">
      <c r="C320" s="45"/>
      <c r="D320" s="5"/>
      <c r="E320" s="5"/>
      <c r="F320" s="6"/>
      <c r="G320" s="6"/>
      <c r="H320" s="111"/>
      <c r="I320" s="111"/>
      <c r="J320" s="6"/>
      <c r="K320" s="6"/>
      <c r="L320" s="6"/>
      <c r="M320" s="6"/>
      <c r="N320" s="6"/>
      <c r="O320" s="9"/>
    </row>
    <row r="321" spans="3:15" x14ac:dyDescent="0.3">
      <c r="C321" s="45"/>
      <c r="D321" s="5"/>
      <c r="E321" s="5"/>
      <c r="F321" s="6"/>
      <c r="G321" s="6"/>
      <c r="H321" s="111"/>
      <c r="I321" s="111"/>
      <c r="J321" s="6"/>
      <c r="K321" s="6"/>
      <c r="L321" s="6"/>
      <c r="M321" s="6"/>
      <c r="N321" s="6"/>
      <c r="O321" s="9"/>
    </row>
    <row r="322" spans="3:15" x14ac:dyDescent="0.3">
      <c r="C322" s="45"/>
      <c r="D322" s="5"/>
      <c r="E322" s="5"/>
      <c r="F322" s="6"/>
      <c r="G322" s="6"/>
      <c r="H322" s="111"/>
      <c r="I322" s="111"/>
      <c r="J322" s="6"/>
      <c r="K322" s="6"/>
      <c r="L322" s="6"/>
      <c r="M322" s="6"/>
      <c r="N322" s="6"/>
      <c r="O322" s="9"/>
    </row>
    <row r="323" spans="3:15" x14ac:dyDescent="0.3">
      <c r="C323" s="45"/>
      <c r="D323" s="5"/>
      <c r="E323" s="5"/>
      <c r="F323" s="6"/>
      <c r="G323" s="6"/>
      <c r="H323" s="111"/>
      <c r="I323" s="111"/>
      <c r="J323" s="6"/>
      <c r="K323" s="6"/>
      <c r="L323" s="6"/>
      <c r="M323" s="6"/>
      <c r="N323" s="6"/>
      <c r="O323" s="9"/>
    </row>
    <row r="324" spans="3:15" x14ac:dyDescent="0.3">
      <c r="C324" s="45"/>
      <c r="D324" s="5"/>
      <c r="E324" s="5"/>
      <c r="F324" s="6"/>
      <c r="G324" s="6"/>
      <c r="H324" s="111"/>
      <c r="I324" s="111"/>
      <c r="J324" s="6"/>
      <c r="K324" s="6"/>
      <c r="L324" s="6"/>
      <c r="M324" s="6"/>
      <c r="N324" s="6"/>
      <c r="O324" s="9"/>
    </row>
    <row r="325" spans="3:15" x14ac:dyDescent="0.3">
      <c r="C325" s="45"/>
      <c r="D325" s="5"/>
      <c r="E325" s="5"/>
      <c r="F325" s="6"/>
      <c r="G325" s="6"/>
      <c r="H325" s="111"/>
      <c r="I325" s="111"/>
      <c r="J325" s="6"/>
      <c r="K325" s="6"/>
      <c r="L325" s="6"/>
      <c r="M325" s="6"/>
      <c r="N325" s="6"/>
      <c r="O325" s="9"/>
    </row>
    <row r="326" spans="3:15" x14ac:dyDescent="0.3">
      <c r="C326" s="45"/>
      <c r="D326" s="5"/>
      <c r="E326" s="5"/>
      <c r="F326" s="6"/>
      <c r="G326" s="6"/>
      <c r="H326" s="111"/>
      <c r="I326" s="111"/>
      <c r="J326" s="6"/>
      <c r="K326" s="6"/>
      <c r="L326" s="6"/>
      <c r="M326" s="6"/>
      <c r="N326" s="6"/>
      <c r="O326" s="9"/>
    </row>
    <row r="327" spans="3:15" x14ac:dyDescent="0.3">
      <c r="C327" s="45"/>
      <c r="D327" s="5"/>
      <c r="E327" s="5"/>
      <c r="F327" s="6"/>
      <c r="G327" s="6"/>
      <c r="H327" s="111"/>
      <c r="I327" s="111"/>
      <c r="J327" s="6"/>
      <c r="K327" s="6"/>
      <c r="L327" s="6"/>
      <c r="M327" s="6"/>
      <c r="N327" s="6"/>
      <c r="O327" s="9"/>
    </row>
    <row r="328" spans="3:15" x14ac:dyDescent="0.3">
      <c r="C328" s="45"/>
      <c r="D328" s="5"/>
      <c r="E328" s="5"/>
      <c r="F328" s="6"/>
      <c r="G328" s="6"/>
      <c r="H328" s="111"/>
      <c r="I328" s="111"/>
      <c r="J328" s="6"/>
      <c r="K328" s="6"/>
      <c r="L328" s="6"/>
      <c r="M328" s="6"/>
      <c r="N328" s="6"/>
      <c r="O328" s="9"/>
    </row>
    <row r="329" spans="3:15" x14ac:dyDescent="0.3">
      <c r="C329" s="45"/>
      <c r="D329" s="5"/>
      <c r="E329" s="5"/>
      <c r="F329" s="6"/>
      <c r="G329" s="6"/>
      <c r="H329" s="111"/>
      <c r="I329" s="111"/>
      <c r="J329" s="6"/>
      <c r="K329" s="6"/>
      <c r="L329" s="6"/>
      <c r="M329" s="6"/>
      <c r="N329" s="6"/>
      <c r="O329" s="9"/>
    </row>
    <row r="330" spans="3:15" x14ac:dyDescent="0.3">
      <c r="C330" s="45"/>
      <c r="D330" s="5"/>
      <c r="E330" s="5"/>
      <c r="F330" s="6"/>
      <c r="G330" s="6"/>
      <c r="H330" s="111"/>
      <c r="I330" s="111"/>
      <c r="J330" s="6"/>
      <c r="K330" s="6"/>
      <c r="L330" s="6"/>
      <c r="M330" s="6"/>
      <c r="N330" s="6"/>
      <c r="O330" s="9"/>
    </row>
    <row r="331" spans="3:15" x14ac:dyDescent="0.3">
      <c r="C331" s="45"/>
      <c r="D331" s="5"/>
      <c r="E331" s="5"/>
      <c r="F331" s="6"/>
      <c r="G331" s="6"/>
      <c r="H331" s="111"/>
      <c r="I331" s="111"/>
      <c r="J331" s="6"/>
      <c r="K331" s="6"/>
      <c r="L331" s="6"/>
      <c r="M331" s="6"/>
      <c r="N331" s="6"/>
      <c r="O331" s="9"/>
    </row>
    <row r="332" spans="3:15" x14ac:dyDescent="0.3">
      <c r="C332" s="45"/>
      <c r="D332" s="5"/>
      <c r="E332" s="5"/>
      <c r="F332" s="6"/>
      <c r="G332" s="6"/>
      <c r="H332" s="111"/>
      <c r="I332" s="111"/>
      <c r="J332" s="6"/>
      <c r="K332" s="6"/>
      <c r="L332" s="6"/>
      <c r="M332" s="6"/>
      <c r="N332" s="6"/>
      <c r="O332" s="9"/>
    </row>
    <row r="333" spans="3:15" x14ac:dyDescent="0.3">
      <c r="C333" s="45"/>
      <c r="D333" s="5"/>
      <c r="E333" s="5"/>
      <c r="F333" s="6"/>
      <c r="G333" s="6"/>
      <c r="H333" s="111"/>
      <c r="I333" s="111"/>
      <c r="J333" s="6"/>
      <c r="K333" s="6"/>
      <c r="L333" s="6"/>
      <c r="M333" s="6"/>
      <c r="N333" s="6"/>
      <c r="O333" s="9"/>
    </row>
    <row r="334" spans="3:15" x14ac:dyDescent="0.3">
      <c r="C334" s="45"/>
      <c r="D334" s="5"/>
      <c r="E334" s="5"/>
      <c r="F334" s="6"/>
      <c r="G334" s="6"/>
      <c r="H334" s="111"/>
      <c r="I334" s="111"/>
      <c r="J334" s="6"/>
      <c r="K334" s="6"/>
      <c r="L334" s="6"/>
      <c r="M334" s="6"/>
      <c r="N334" s="6"/>
      <c r="O334" s="9"/>
    </row>
    <row r="335" spans="3:15" x14ac:dyDescent="0.3">
      <c r="C335" s="45"/>
      <c r="D335" s="5"/>
      <c r="E335" s="5"/>
      <c r="F335" s="6"/>
      <c r="G335" s="6"/>
      <c r="H335" s="111"/>
      <c r="I335" s="111"/>
      <c r="J335" s="6"/>
      <c r="K335" s="6"/>
      <c r="L335" s="6"/>
      <c r="M335" s="6"/>
      <c r="N335" s="6"/>
      <c r="O335" s="9"/>
    </row>
    <row r="336" spans="3:15" x14ac:dyDescent="0.3">
      <c r="C336" s="45"/>
      <c r="D336" s="5"/>
      <c r="E336" s="5"/>
      <c r="F336" s="6"/>
      <c r="G336" s="6"/>
      <c r="H336" s="111"/>
      <c r="I336" s="111"/>
      <c r="J336" s="6"/>
      <c r="K336" s="6"/>
      <c r="L336" s="6"/>
      <c r="M336" s="6"/>
      <c r="N336" s="6"/>
      <c r="O336" s="9"/>
    </row>
    <row r="337" spans="3:15" x14ac:dyDescent="0.3">
      <c r="C337" s="45"/>
      <c r="D337" s="5"/>
      <c r="E337" s="5"/>
      <c r="F337" s="6"/>
      <c r="G337" s="6"/>
      <c r="H337" s="111"/>
      <c r="I337" s="111"/>
      <c r="J337" s="6"/>
      <c r="K337" s="6"/>
      <c r="L337" s="6"/>
      <c r="M337" s="6"/>
      <c r="N337" s="6"/>
      <c r="O337" s="9"/>
    </row>
    <row r="338" spans="3:15" x14ac:dyDescent="0.3">
      <c r="C338" s="45"/>
      <c r="D338" s="5"/>
      <c r="E338" s="5"/>
      <c r="F338" s="6"/>
      <c r="G338" s="6"/>
      <c r="H338" s="111"/>
      <c r="I338" s="111"/>
      <c r="J338" s="6"/>
      <c r="K338" s="6"/>
      <c r="L338" s="6"/>
      <c r="M338" s="6"/>
      <c r="N338" s="6"/>
      <c r="O338" s="9"/>
    </row>
    <row r="339" spans="3:15" x14ac:dyDescent="0.3">
      <c r="C339" s="45"/>
      <c r="D339" s="5"/>
      <c r="E339" s="5"/>
      <c r="F339" s="6"/>
      <c r="G339" s="6"/>
      <c r="H339" s="111"/>
      <c r="I339" s="111"/>
      <c r="J339" s="6"/>
      <c r="K339" s="6"/>
      <c r="L339" s="6"/>
      <c r="M339" s="6"/>
      <c r="N339" s="6"/>
      <c r="O339" s="9"/>
    </row>
    <row r="340" spans="3:15" x14ac:dyDescent="0.3">
      <c r="C340" s="45"/>
      <c r="D340" s="5"/>
      <c r="E340" s="5"/>
      <c r="F340" s="6"/>
      <c r="G340" s="6"/>
      <c r="H340" s="111"/>
      <c r="I340" s="111"/>
      <c r="J340" s="6"/>
      <c r="K340" s="6"/>
      <c r="L340" s="6"/>
      <c r="M340" s="6"/>
      <c r="N340" s="6"/>
      <c r="O340" s="9"/>
    </row>
    <row r="341" spans="3:15" x14ac:dyDescent="0.3">
      <c r="C341" s="45"/>
      <c r="D341" s="5"/>
      <c r="E341" s="5"/>
      <c r="F341" s="6"/>
      <c r="G341" s="6"/>
      <c r="H341" s="111"/>
      <c r="I341" s="111"/>
      <c r="J341" s="6"/>
      <c r="K341" s="6"/>
      <c r="L341" s="6"/>
      <c r="M341" s="6"/>
      <c r="N341" s="6"/>
      <c r="O341" s="9"/>
    </row>
    <row r="342" spans="3:15" x14ac:dyDescent="0.3">
      <c r="C342" s="45"/>
      <c r="D342" s="5"/>
      <c r="E342" s="5"/>
      <c r="F342" s="6"/>
      <c r="G342" s="6"/>
      <c r="H342" s="111"/>
      <c r="I342" s="111"/>
      <c r="J342" s="6"/>
      <c r="K342" s="6"/>
      <c r="L342" s="6"/>
      <c r="M342" s="6"/>
      <c r="N342" s="6"/>
      <c r="O342" s="9"/>
    </row>
    <row r="343" spans="3:15" x14ac:dyDescent="0.3">
      <c r="C343" s="45"/>
      <c r="D343" s="5"/>
      <c r="E343" s="5"/>
      <c r="F343" s="6"/>
      <c r="G343" s="6"/>
      <c r="H343" s="111"/>
      <c r="I343" s="111"/>
      <c r="J343" s="6"/>
      <c r="K343" s="6"/>
      <c r="L343" s="6"/>
      <c r="M343" s="6"/>
      <c r="N343" s="6"/>
      <c r="O343" s="9"/>
    </row>
    <row r="344" spans="3:15" x14ac:dyDescent="0.3">
      <c r="C344" s="45"/>
      <c r="D344" s="5"/>
      <c r="E344" s="5"/>
      <c r="F344" s="6"/>
      <c r="G344" s="6"/>
      <c r="H344" s="111"/>
      <c r="I344" s="111"/>
      <c r="J344" s="6"/>
      <c r="K344" s="6"/>
      <c r="L344" s="6"/>
      <c r="M344" s="6"/>
      <c r="N344" s="6"/>
      <c r="O344" s="9"/>
    </row>
    <row r="345" spans="3:15" x14ac:dyDescent="0.3">
      <c r="C345" s="45"/>
      <c r="D345" s="5"/>
      <c r="E345" s="5"/>
      <c r="F345" s="6"/>
      <c r="G345" s="6"/>
      <c r="H345" s="111"/>
      <c r="I345" s="111"/>
      <c r="J345" s="6"/>
      <c r="K345" s="6"/>
      <c r="L345" s="6"/>
      <c r="M345" s="6"/>
      <c r="N345" s="6"/>
      <c r="O345" s="9"/>
    </row>
    <row r="346" spans="3:15" x14ac:dyDescent="0.3">
      <c r="C346" s="45"/>
      <c r="D346" s="5"/>
      <c r="E346" s="5"/>
      <c r="F346" s="6"/>
      <c r="G346" s="6"/>
      <c r="H346" s="111"/>
      <c r="I346" s="111"/>
      <c r="J346" s="6"/>
      <c r="K346" s="6"/>
      <c r="L346" s="6"/>
      <c r="M346" s="6"/>
      <c r="N346" s="6"/>
      <c r="O346" s="9"/>
    </row>
    <row r="347" spans="3:15" x14ac:dyDescent="0.3">
      <c r="C347" s="45"/>
      <c r="D347" s="5"/>
      <c r="E347" s="5"/>
      <c r="F347" s="6"/>
      <c r="G347" s="6"/>
      <c r="H347" s="111"/>
      <c r="I347" s="111"/>
      <c r="J347" s="6"/>
      <c r="K347" s="6"/>
      <c r="L347" s="6"/>
      <c r="M347" s="6"/>
      <c r="N347" s="6"/>
      <c r="O347" s="9"/>
    </row>
    <row r="348" spans="3:15" x14ac:dyDescent="0.3">
      <c r="C348" s="45"/>
      <c r="D348" s="5"/>
      <c r="E348" s="5"/>
      <c r="F348" s="6"/>
      <c r="G348" s="6"/>
      <c r="H348" s="111"/>
      <c r="I348" s="111"/>
      <c r="J348" s="6"/>
      <c r="K348" s="6"/>
      <c r="L348" s="6"/>
      <c r="M348" s="6"/>
      <c r="N348" s="6"/>
      <c r="O348" s="9"/>
    </row>
    <row r="349" spans="3:15" x14ac:dyDescent="0.3">
      <c r="C349" s="45"/>
      <c r="D349" s="5"/>
      <c r="E349" s="5"/>
      <c r="F349" s="6"/>
      <c r="G349" s="6"/>
      <c r="H349" s="111"/>
      <c r="I349" s="111"/>
      <c r="J349" s="6"/>
      <c r="K349" s="6"/>
      <c r="L349" s="6"/>
      <c r="M349" s="6"/>
      <c r="N349" s="6"/>
      <c r="O349" s="9"/>
    </row>
    <row r="350" spans="3:15" x14ac:dyDescent="0.3">
      <c r="C350" s="45"/>
      <c r="D350" s="5"/>
      <c r="E350" s="5"/>
      <c r="F350" s="6"/>
      <c r="G350" s="6"/>
      <c r="H350" s="111"/>
      <c r="I350" s="111"/>
      <c r="J350" s="6"/>
      <c r="K350" s="6"/>
      <c r="L350" s="6"/>
      <c r="M350" s="6"/>
      <c r="N350" s="6"/>
      <c r="O350" s="9"/>
    </row>
    <row r="351" spans="3:15" x14ac:dyDescent="0.3">
      <c r="C351" s="45"/>
      <c r="D351" s="5"/>
      <c r="E351" s="5"/>
      <c r="F351" s="6"/>
      <c r="G351" s="6"/>
      <c r="H351" s="111"/>
      <c r="I351" s="111"/>
      <c r="J351" s="6"/>
      <c r="K351" s="6"/>
      <c r="L351" s="6"/>
      <c r="M351" s="6"/>
      <c r="N351" s="6"/>
      <c r="O351" s="9"/>
    </row>
    <row r="352" spans="3:15" x14ac:dyDescent="0.3">
      <c r="C352" s="45"/>
      <c r="D352" s="5"/>
      <c r="E352" s="5"/>
      <c r="F352" s="6"/>
      <c r="G352" s="6"/>
      <c r="H352" s="111"/>
      <c r="I352" s="111"/>
      <c r="J352" s="6"/>
      <c r="K352" s="6"/>
      <c r="L352" s="6"/>
      <c r="M352" s="6"/>
      <c r="N352" s="6"/>
      <c r="O352" s="9"/>
    </row>
    <row r="353" spans="3:15" x14ac:dyDescent="0.3">
      <c r="C353" s="45"/>
      <c r="D353" s="5"/>
      <c r="E353" s="5"/>
      <c r="F353" s="6"/>
      <c r="G353" s="6"/>
      <c r="H353" s="111"/>
      <c r="I353" s="111"/>
      <c r="J353" s="6"/>
      <c r="K353" s="6"/>
      <c r="L353" s="6"/>
      <c r="M353" s="6"/>
      <c r="N353" s="6"/>
      <c r="O353" s="9"/>
    </row>
    <row r="354" spans="3:15" x14ac:dyDescent="0.3">
      <c r="C354" s="45"/>
      <c r="D354" s="5"/>
      <c r="E354" s="5"/>
      <c r="F354" s="6"/>
      <c r="G354" s="6"/>
      <c r="H354" s="111"/>
      <c r="I354" s="111"/>
      <c r="J354" s="6"/>
      <c r="K354" s="6"/>
      <c r="L354" s="6"/>
      <c r="M354" s="6"/>
      <c r="N354" s="6"/>
      <c r="O354" s="9"/>
    </row>
    <row r="355" spans="3:15" x14ac:dyDescent="0.3">
      <c r="C355" s="45"/>
      <c r="D355" s="5"/>
      <c r="E355" s="5"/>
      <c r="F355" s="6"/>
      <c r="G355" s="6"/>
      <c r="H355" s="111"/>
      <c r="I355" s="111"/>
      <c r="J355" s="6"/>
      <c r="K355" s="6"/>
      <c r="L355" s="6"/>
      <c r="M355" s="6"/>
      <c r="N355" s="6"/>
      <c r="O355" s="9"/>
    </row>
    <row r="356" spans="3:15" x14ac:dyDescent="0.3">
      <c r="C356" s="45"/>
      <c r="D356" s="5"/>
      <c r="E356" s="5"/>
      <c r="F356" s="6"/>
      <c r="G356" s="6"/>
      <c r="H356" s="111"/>
      <c r="I356" s="111"/>
      <c r="J356" s="6"/>
      <c r="K356" s="6"/>
      <c r="L356" s="6"/>
      <c r="M356" s="6"/>
      <c r="N356" s="6"/>
      <c r="O356" s="9"/>
    </row>
    <row r="357" spans="3:15" x14ac:dyDescent="0.3">
      <c r="C357" s="45"/>
      <c r="D357" s="5"/>
      <c r="E357" s="5"/>
      <c r="F357" s="6"/>
      <c r="G357" s="6"/>
      <c r="H357" s="111"/>
      <c r="I357" s="111"/>
      <c r="J357" s="6"/>
      <c r="K357" s="6"/>
      <c r="L357" s="6"/>
      <c r="M357" s="6"/>
      <c r="N357" s="6"/>
      <c r="O357" s="9"/>
    </row>
    <row r="358" spans="3:15" x14ac:dyDescent="0.3">
      <c r="C358" s="45"/>
      <c r="D358" s="5"/>
      <c r="E358" s="5"/>
      <c r="F358" s="6"/>
      <c r="G358" s="6"/>
      <c r="H358" s="111"/>
      <c r="I358" s="111"/>
      <c r="J358" s="6"/>
      <c r="K358" s="6"/>
      <c r="L358" s="6"/>
      <c r="M358" s="6"/>
      <c r="N358" s="6"/>
      <c r="O358" s="9"/>
    </row>
    <row r="359" spans="3:15" x14ac:dyDescent="0.3">
      <c r="C359" s="45"/>
      <c r="D359" s="5"/>
      <c r="E359" s="5"/>
      <c r="F359" s="6"/>
      <c r="G359" s="6"/>
      <c r="H359" s="111"/>
      <c r="I359" s="111"/>
      <c r="J359" s="6"/>
      <c r="K359" s="6"/>
      <c r="L359" s="6"/>
      <c r="M359" s="6"/>
      <c r="N359" s="6"/>
      <c r="O359" s="9"/>
    </row>
    <row r="360" spans="3:15" x14ac:dyDescent="0.3">
      <c r="C360" s="45"/>
      <c r="D360" s="5"/>
      <c r="E360" s="5"/>
      <c r="F360" s="6"/>
      <c r="G360" s="6"/>
      <c r="H360" s="111"/>
      <c r="I360" s="111"/>
      <c r="J360" s="6"/>
      <c r="K360" s="6"/>
      <c r="L360" s="6"/>
      <c r="M360" s="6"/>
      <c r="N360" s="6"/>
      <c r="O360" s="9"/>
    </row>
    <row r="361" spans="3:15" x14ac:dyDescent="0.3">
      <c r="C361" s="45"/>
      <c r="D361" s="5"/>
      <c r="E361" s="5"/>
      <c r="F361" s="6"/>
      <c r="G361" s="6"/>
      <c r="H361" s="111"/>
      <c r="I361" s="111"/>
      <c r="J361" s="6"/>
      <c r="K361" s="6"/>
      <c r="L361" s="6"/>
      <c r="M361" s="6"/>
      <c r="N361" s="6"/>
      <c r="O361" s="9"/>
    </row>
    <row r="362" spans="3:15" x14ac:dyDescent="0.3">
      <c r="C362" s="45"/>
      <c r="D362" s="5"/>
      <c r="E362" s="5"/>
      <c r="F362" s="6"/>
      <c r="G362" s="6"/>
      <c r="H362" s="111"/>
      <c r="I362" s="111"/>
      <c r="J362" s="6"/>
      <c r="K362" s="6"/>
      <c r="L362" s="6"/>
      <c r="M362" s="6"/>
      <c r="N362" s="6"/>
      <c r="O362" s="9"/>
    </row>
    <row r="363" spans="3:15" x14ac:dyDescent="0.3">
      <c r="C363" s="45"/>
      <c r="D363" s="5"/>
      <c r="E363" s="5"/>
      <c r="F363" s="6"/>
      <c r="G363" s="6"/>
      <c r="H363" s="111"/>
      <c r="I363" s="111"/>
      <c r="J363" s="6"/>
      <c r="K363" s="6"/>
      <c r="L363" s="6"/>
      <c r="M363" s="6"/>
      <c r="N363" s="6"/>
      <c r="O363" s="9"/>
    </row>
    <row r="364" spans="3:15" x14ac:dyDescent="0.3">
      <c r="C364" s="45"/>
      <c r="D364" s="5"/>
      <c r="E364" s="5"/>
      <c r="F364" s="6"/>
      <c r="G364" s="6"/>
      <c r="H364" s="111"/>
      <c r="I364" s="111"/>
      <c r="J364" s="6"/>
      <c r="K364" s="6"/>
      <c r="L364" s="6"/>
      <c r="M364" s="6"/>
      <c r="N364" s="6"/>
      <c r="O364" s="9"/>
    </row>
    <row r="365" spans="3:15" x14ac:dyDescent="0.3">
      <c r="C365" s="45"/>
      <c r="D365" s="5"/>
      <c r="E365" s="5"/>
      <c r="F365" s="6"/>
      <c r="G365" s="6"/>
      <c r="H365" s="111"/>
      <c r="I365" s="111"/>
      <c r="J365" s="6"/>
      <c r="K365" s="6"/>
      <c r="L365" s="6"/>
      <c r="M365" s="6"/>
      <c r="N365" s="6"/>
      <c r="O365" s="9"/>
    </row>
    <row r="366" spans="3:15" x14ac:dyDescent="0.3">
      <c r="C366" s="45"/>
      <c r="D366" s="5"/>
      <c r="E366" s="5"/>
      <c r="F366" s="6"/>
      <c r="G366" s="6"/>
      <c r="H366" s="111"/>
      <c r="I366" s="111"/>
      <c r="J366" s="6"/>
      <c r="K366" s="6"/>
      <c r="L366" s="6"/>
      <c r="M366" s="6"/>
      <c r="N366" s="6"/>
      <c r="O366" s="9"/>
    </row>
    <row r="367" spans="3:15" x14ac:dyDescent="0.3">
      <c r="C367" s="45"/>
      <c r="D367" s="5"/>
      <c r="E367" s="5"/>
      <c r="F367" s="6"/>
      <c r="G367" s="6"/>
      <c r="H367" s="111"/>
      <c r="I367" s="111"/>
      <c r="J367" s="6"/>
      <c r="K367" s="6"/>
      <c r="L367" s="6"/>
      <c r="M367" s="6"/>
      <c r="N367" s="6"/>
      <c r="O367" s="9"/>
    </row>
    <row r="368" spans="3:15" x14ac:dyDescent="0.3">
      <c r="C368" s="45"/>
      <c r="D368" s="5"/>
      <c r="E368" s="5"/>
      <c r="F368" s="6"/>
      <c r="G368" s="6"/>
      <c r="H368" s="111"/>
      <c r="I368" s="111"/>
      <c r="J368" s="6"/>
      <c r="K368" s="6"/>
      <c r="L368" s="6"/>
      <c r="M368" s="6"/>
      <c r="N368" s="6"/>
      <c r="O368" s="9"/>
    </row>
    <row r="369" spans="3:15" x14ac:dyDescent="0.3">
      <c r="C369" s="45"/>
      <c r="D369" s="5"/>
      <c r="E369" s="5"/>
      <c r="F369" s="6"/>
      <c r="G369" s="6"/>
      <c r="H369" s="111"/>
      <c r="I369" s="111"/>
      <c r="J369" s="6"/>
      <c r="K369" s="6"/>
      <c r="L369" s="6"/>
      <c r="M369" s="6"/>
      <c r="N369" s="6"/>
      <c r="O369" s="9"/>
    </row>
    <row r="370" spans="3:15" x14ac:dyDescent="0.3">
      <c r="C370" s="45"/>
      <c r="D370" s="5"/>
      <c r="E370" s="5"/>
      <c r="F370" s="6"/>
      <c r="G370" s="6"/>
      <c r="H370" s="111"/>
      <c r="I370" s="111"/>
      <c r="J370" s="6"/>
      <c r="K370" s="6"/>
      <c r="L370" s="6"/>
      <c r="M370" s="6"/>
      <c r="N370" s="6"/>
      <c r="O370" s="9"/>
    </row>
    <row r="371" spans="3:15" x14ac:dyDescent="0.3">
      <c r="C371" s="45"/>
      <c r="D371" s="5"/>
      <c r="E371" s="5"/>
      <c r="F371" s="6"/>
      <c r="G371" s="6"/>
      <c r="H371" s="111"/>
      <c r="I371" s="111"/>
      <c r="J371" s="6"/>
      <c r="K371" s="6"/>
      <c r="L371" s="6"/>
      <c r="M371" s="6"/>
      <c r="N371" s="6"/>
      <c r="O371" s="9"/>
    </row>
    <row r="372" spans="3:15" x14ac:dyDescent="0.3">
      <c r="C372" s="45"/>
      <c r="D372" s="5"/>
      <c r="E372" s="5"/>
      <c r="F372" s="6"/>
      <c r="G372" s="6"/>
      <c r="H372" s="111"/>
      <c r="I372" s="111"/>
      <c r="J372" s="6"/>
      <c r="K372" s="6"/>
      <c r="L372" s="6"/>
      <c r="M372" s="6"/>
      <c r="N372" s="6"/>
      <c r="O372" s="9"/>
    </row>
    <row r="373" spans="3:15" x14ac:dyDescent="0.3">
      <c r="C373" s="45"/>
      <c r="D373" s="5"/>
      <c r="E373" s="5"/>
      <c r="F373" s="6"/>
      <c r="G373" s="6"/>
      <c r="H373" s="111"/>
      <c r="I373" s="111"/>
      <c r="J373" s="6"/>
      <c r="K373" s="6"/>
      <c r="L373" s="6"/>
      <c r="M373" s="6"/>
      <c r="N373" s="6"/>
      <c r="O373" s="9"/>
    </row>
    <row r="374" spans="3:15" x14ac:dyDescent="0.3">
      <c r="C374" s="45"/>
      <c r="D374" s="5"/>
      <c r="E374" s="5"/>
      <c r="F374" s="6"/>
      <c r="G374" s="6"/>
      <c r="H374" s="111"/>
      <c r="I374" s="111"/>
      <c r="J374" s="6"/>
      <c r="K374" s="6"/>
      <c r="L374" s="6"/>
      <c r="M374" s="6"/>
      <c r="N374" s="6"/>
      <c r="O374" s="9"/>
    </row>
    <row r="375" spans="3:15" x14ac:dyDescent="0.3">
      <c r="C375" s="45"/>
      <c r="D375" s="5"/>
      <c r="E375" s="5"/>
      <c r="F375" s="6"/>
      <c r="G375" s="6"/>
      <c r="H375" s="111"/>
      <c r="I375" s="111"/>
      <c r="J375" s="6"/>
      <c r="K375" s="6"/>
      <c r="L375" s="6"/>
      <c r="M375" s="6"/>
      <c r="N375" s="6"/>
      <c r="O375" s="9"/>
    </row>
    <row r="376" spans="3:15" x14ac:dyDescent="0.3">
      <c r="C376" s="45"/>
      <c r="D376" s="5"/>
      <c r="E376" s="5"/>
      <c r="F376" s="6"/>
      <c r="G376" s="6"/>
      <c r="H376" s="111"/>
      <c r="I376" s="111"/>
      <c r="J376" s="6"/>
      <c r="K376" s="6"/>
      <c r="L376" s="6"/>
      <c r="M376" s="6"/>
      <c r="N376" s="6"/>
      <c r="O376" s="9"/>
    </row>
    <row r="377" spans="3:15" x14ac:dyDescent="0.3">
      <c r="C377" s="45"/>
      <c r="D377" s="5"/>
      <c r="E377" s="5"/>
      <c r="F377" s="6"/>
      <c r="G377" s="6"/>
      <c r="H377" s="111"/>
      <c r="I377" s="111"/>
      <c r="J377" s="6"/>
      <c r="K377" s="6"/>
      <c r="L377" s="6"/>
      <c r="M377" s="6"/>
      <c r="N377" s="6"/>
      <c r="O377" s="9"/>
    </row>
    <row r="378" spans="3:15" x14ac:dyDescent="0.3">
      <c r="C378" s="45"/>
      <c r="D378" s="5"/>
      <c r="E378" s="5"/>
      <c r="F378" s="6"/>
      <c r="G378" s="6"/>
      <c r="H378" s="111"/>
      <c r="I378" s="111"/>
      <c r="J378" s="6"/>
      <c r="K378" s="6"/>
      <c r="L378" s="6"/>
      <c r="M378" s="6"/>
      <c r="N378" s="6"/>
      <c r="O378" s="9"/>
    </row>
    <row r="379" spans="3:15" x14ac:dyDescent="0.3">
      <c r="C379" s="45"/>
      <c r="D379" s="5"/>
      <c r="E379" s="5"/>
      <c r="F379" s="6"/>
      <c r="G379" s="6"/>
      <c r="H379" s="111"/>
      <c r="I379" s="111"/>
      <c r="J379" s="6"/>
      <c r="K379" s="6"/>
      <c r="L379" s="6"/>
      <c r="M379" s="6"/>
      <c r="N379" s="6"/>
      <c r="O379" s="9"/>
    </row>
    <row r="380" spans="3:15" x14ac:dyDescent="0.3">
      <c r="C380" s="45"/>
      <c r="D380" s="5"/>
      <c r="E380" s="5"/>
      <c r="F380" s="6"/>
      <c r="G380" s="6"/>
      <c r="H380" s="111"/>
      <c r="I380" s="111"/>
      <c r="J380" s="6"/>
      <c r="K380" s="6"/>
      <c r="L380" s="6"/>
      <c r="M380" s="6"/>
      <c r="N380" s="6"/>
      <c r="O380" s="9"/>
    </row>
    <row r="381" spans="3:15" x14ac:dyDescent="0.3">
      <c r="C381" s="45"/>
      <c r="D381" s="5"/>
      <c r="E381" s="5"/>
      <c r="F381" s="6"/>
      <c r="G381" s="6"/>
      <c r="H381" s="111"/>
      <c r="I381" s="111"/>
      <c r="J381" s="6"/>
      <c r="K381" s="6"/>
      <c r="L381" s="6"/>
      <c r="M381" s="6"/>
      <c r="N381" s="6"/>
      <c r="O381" s="9"/>
    </row>
    <row r="382" spans="3:15" x14ac:dyDescent="0.3">
      <c r="C382" s="45"/>
      <c r="D382" s="5"/>
      <c r="E382" s="5"/>
      <c r="F382" s="6"/>
      <c r="G382" s="6"/>
      <c r="H382" s="111"/>
      <c r="I382" s="111"/>
      <c r="J382" s="6"/>
      <c r="K382" s="6"/>
      <c r="L382" s="6"/>
      <c r="M382" s="6"/>
      <c r="N382" s="6"/>
      <c r="O382" s="9"/>
    </row>
    <row r="383" spans="3:15" x14ac:dyDescent="0.3">
      <c r="C383" s="45"/>
      <c r="D383" s="5"/>
      <c r="E383" s="5"/>
      <c r="F383" s="6"/>
      <c r="G383" s="6"/>
      <c r="H383" s="111"/>
      <c r="I383" s="111"/>
      <c r="J383" s="6"/>
      <c r="K383" s="6"/>
      <c r="L383" s="6"/>
      <c r="M383" s="6"/>
      <c r="N383" s="6"/>
      <c r="O383" s="9"/>
    </row>
    <row r="384" spans="3:15" x14ac:dyDescent="0.3">
      <c r="C384" s="45"/>
      <c r="D384" s="5"/>
      <c r="E384" s="5"/>
      <c r="F384" s="6"/>
      <c r="G384" s="6"/>
      <c r="H384" s="111"/>
      <c r="I384" s="111"/>
      <c r="J384" s="6"/>
      <c r="K384" s="6"/>
      <c r="L384" s="6"/>
      <c r="M384" s="6"/>
      <c r="N384" s="6"/>
      <c r="O384" s="9"/>
    </row>
    <row r="385" spans="3:15" x14ac:dyDescent="0.3">
      <c r="C385" s="45"/>
      <c r="D385" s="5"/>
      <c r="E385" s="5"/>
      <c r="F385" s="6"/>
      <c r="G385" s="6"/>
      <c r="H385" s="111"/>
      <c r="I385" s="111"/>
      <c r="J385" s="6"/>
      <c r="K385" s="6"/>
      <c r="L385" s="6"/>
      <c r="M385" s="6"/>
      <c r="N385" s="6"/>
      <c r="O385" s="9"/>
    </row>
    <row r="386" spans="3:15" x14ac:dyDescent="0.3">
      <c r="C386" s="45"/>
      <c r="D386" s="5"/>
      <c r="E386" s="5"/>
      <c r="F386" s="6"/>
      <c r="G386" s="6"/>
      <c r="H386" s="111"/>
      <c r="I386" s="111"/>
      <c r="J386" s="6"/>
      <c r="K386" s="6"/>
      <c r="L386" s="6"/>
      <c r="M386" s="6"/>
      <c r="N386" s="6"/>
      <c r="O386" s="9"/>
    </row>
    <row r="387" spans="3:15" x14ac:dyDescent="0.3">
      <c r="C387" s="45"/>
      <c r="D387" s="5"/>
      <c r="E387" s="5"/>
      <c r="F387" s="6"/>
      <c r="G387" s="6"/>
      <c r="H387" s="111"/>
      <c r="I387" s="111"/>
      <c r="J387" s="6"/>
      <c r="K387" s="6"/>
      <c r="L387" s="6"/>
      <c r="M387" s="6"/>
      <c r="N387" s="6"/>
      <c r="O387" s="9"/>
    </row>
    <row r="388" spans="3:15" x14ac:dyDescent="0.3">
      <c r="C388" s="45"/>
      <c r="D388" s="5"/>
      <c r="E388" s="5"/>
      <c r="F388" s="6"/>
      <c r="G388" s="6"/>
      <c r="H388" s="111"/>
      <c r="I388" s="111"/>
      <c r="J388" s="6"/>
      <c r="K388" s="6"/>
      <c r="L388" s="6"/>
      <c r="M388" s="6"/>
      <c r="N388" s="6"/>
      <c r="O388" s="9"/>
    </row>
    <row r="389" spans="3:15" x14ac:dyDescent="0.3">
      <c r="C389" s="45"/>
      <c r="D389" s="5"/>
      <c r="E389" s="5"/>
      <c r="F389" s="6"/>
      <c r="G389" s="6"/>
      <c r="H389" s="111"/>
      <c r="I389" s="111"/>
      <c r="J389" s="6"/>
      <c r="K389" s="6"/>
      <c r="L389" s="6"/>
      <c r="M389" s="6"/>
      <c r="N389" s="6"/>
      <c r="O389" s="9"/>
    </row>
    <row r="390" spans="3:15" x14ac:dyDescent="0.3">
      <c r="C390" s="45"/>
      <c r="D390" s="5"/>
      <c r="E390" s="5"/>
      <c r="F390" s="6"/>
      <c r="G390" s="6"/>
      <c r="H390" s="111"/>
      <c r="I390" s="111"/>
      <c r="J390" s="6"/>
      <c r="K390" s="6"/>
      <c r="L390" s="6"/>
      <c r="M390" s="6"/>
      <c r="N390" s="6"/>
      <c r="O390" s="9"/>
    </row>
    <row r="391" spans="3:15" x14ac:dyDescent="0.3">
      <c r="C391" s="45"/>
      <c r="D391" s="5"/>
      <c r="E391" s="5"/>
      <c r="F391" s="6"/>
      <c r="G391" s="6"/>
      <c r="H391" s="111"/>
      <c r="I391" s="111"/>
      <c r="J391" s="6"/>
      <c r="K391" s="6"/>
      <c r="L391" s="6"/>
      <c r="M391" s="6"/>
      <c r="N391" s="6"/>
      <c r="O391" s="9"/>
    </row>
    <row r="392" spans="3:15" x14ac:dyDescent="0.3">
      <c r="C392" s="45"/>
      <c r="D392" s="5"/>
      <c r="E392" s="5"/>
      <c r="F392" s="6"/>
      <c r="G392" s="6"/>
      <c r="H392" s="111"/>
      <c r="I392" s="111"/>
      <c r="J392" s="6"/>
      <c r="K392" s="6"/>
      <c r="L392" s="6"/>
      <c r="M392" s="6"/>
      <c r="N392" s="6"/>
      <c r="O392" s="9"/>
    </row>
    <row r="393" spans="3:15" x14ac:dyDescent="0.3">
      <c r="C393" s="45"/>
      <c r="D393" s="5"/>
      <c r="E393" s="5"/>
      <c r="F393" s="6"/>
      <c r="G393" s="6"/>
      <c r="H393" s="111"/>
      <c r="I393" s="111"/>
      <c r="J393" s="6"/>
      <c r="K393" s="6"/>
      <c r="L393" s="6"/>
      <c r="M393" s="6"/>
      <c r="N393" s="6"/>
      <c r="O393" s="9"/>
    </row>
    <row r="394" spans="3:15" x14ac:dyDescent="0.3">
      <c r="C394" s="45"/>
      <c r="D394" s="5"/>
      <c r="E394" s="5"/>
      <c r="F394" s="6"/>
      <c r="G394" s="6"/>
      <c r="H394" s="111"/>
      <c r="I394" s="111"/>
      <c r="J394" s="6"/>
      <c r="K394" s="6"/>
      <c r="L394" s="6"/>
      <c r="M394" s="6"/>
      <c r="N394" s="6"/>
      <c r="O394" s="9"/>
    </row>
    <row r="395" spans="3:15" x14ac:dyDescent="0.3">
      <c r="C395" s="45"/>
      <c r="D395" s="5"/>
      <c r="E395" s="5"/>
      <c r="F395" s="6"/>
      <c r="G395" s="6"/>
      <c r="H395" s="111"/>
      <c r="I395" s="111"/>
      <c r="J395" s="6"/>
      <c r="K395" s="6"/>
      <c r="L395" s="6"/>
      <c r="M395" s="6"/>
      <c r="N395" s="6"/>
      <c r="O395" s="9"/>
    </row>
    <row r="396" spans="3:15" x14ac:dyDescent="0.3">
      <c r="C396" s="45"/>
      <c r="D396" s="5"/>
      <c r="E396" s="5"/>
      <c r="F396" s="6"/>
      <c r="G396" s="6"/>
      <c r="H396" s="111"/>
      <c r="I396" s="111"/>
      <c r="J396" s="6"/>
      <c r="K396" s="6"/>
      <c r="L396" s="6"/>
      <c r="M396" s="6"/>
      <c r="N396" s="6"/>
      <c r="O396" s="9"/>
    </row>
    <row r="397" spans="3:15" x14ac:dyDescent="0.3">
      <c r="C397" s="45"/>
      <c r="D397" s="5"/>
      <c r="E397" s="5"/>
      <c r="F397" s="6"/>
      <c r="G397" s="6"/>
      <c r="H397" s="111"/>
      <c r="I397" s="111"/>
      <c r="J397" s="6"/>
      <c r="K397" s="6"/>
      <c r="L397" s="6"/>
      <c r="M397" s="6"/>
      <c r="N397" s="6"/>
      <c r="O397" s="9"/>
    </row>
    <row r="398" spans="3:15" x14ac:dyDescent="0.3">
      <c r="C398" s="45"/>
      <c r="D398" s="5"/>
      <c r="E398" s="5"/>
      <c r="F398" s="6"/>
      <c r="G398" s="6"/>
      <c r="H398" s="111"/>
      <c r="I398" s="111"/>
      <c r="J398" s="6"/>
      <c r="K398" s="6"/>
      <c r="L398" s="6"/>
      <c r="M398" s="6"/>
      <c r="N398" s="6"/>
      <c r="O398" s="9"/>
    </row>
    <row r="399" spans="3:15" x14ac:dyDescent="0.3">
      <c r="C399" s="45"/>
      <c r="D399" s="5"/>
      <c r="E399" s="5"/>
      <c r="F399" s="6"/>
      <c r="G399" s="6"/>
      <c r="H399" s="111"/>
      <c r="I399" s="111"/>
      <c r="J399" s="6"/>
      <c r="K399" s="6"/>
      <c r="L399" s="6"/>
      <c r="M399" s="6"/>
      <c r="N399" s="6"/>
      <c r="O399" s="9"/>
    </row>
    <row r="400" spans="3:15" x14ac:dyDescent="0.3">
      <c r="C400" s="45"/>
      <c r="D400" s="5"/>
      <c r="E400" s="5"/>
      <c r="F400" s="6"/>
      <c r="G400" s="6"/>
      <c r="H400" s="111"/>
      <c r="I400" s="111"/>
      <c r="J400" s="6"/>
      <c r="K400" s="6"/>
      <c r="L400" s="6"/>
      <c r="M400" s="6"/>
      <c r="N400" s="6"/>
      <c r="O400" s="9"/>
    </row>
    <row r="401" spans="3:15" x14ac:dyDescent="0.3">
      <c r="C401" s="45"/>
      <c r="D401" s="5"/>
      <c r="E401" s="5"/>
      <c r="F401" s="6"/>
      <c r="G401" s="6"/>
      <c r="H401" s="111"/>
      <c r="I401" s="111"/>
      <c r="J401" s="6"/>
      <c r="K401" s="6"/>
      <c r="L401" s="6"/>
      <c r="M401" s="6"/>
      <c r="N401" s="6"/>
      <c r="O401" s="9"/>
    </row>
    <row r="402" spans="3:15" x14ac:dyDescent="0.3">
      <c r="C402" s="45"/>
      <c r="D402" s="5"/>
      <c r="E402" s="5"/>
      <c r="F402" s="6"/>
      <c r="G402" s="6"/>
      <c r="H402" s="111"/>
      <c r="I402" s="111"/>
      <c r="J402" s="6"/>
      <c r="K402" s="6"/>
      <c r="L402" s="6"/>
      <c r="M402" s="6"/>
      <c r="N402" s="6"/>
      <c r="O402" s="9"/>
    </row>
    <row r="403" spans="3:15" x14ac:dyDescent="0.3">
      <c r="C403" s="45"/>
      <c r="D403" s="5"/>
      <c r="E403" s="5"/>
      <c r="F403" s="6"/>
      <c r="G403" s="6"/>
      <c r="H403" s="111"/>
      <c r="I403" s="111"/>
      <c r="J403" s="6"/>
      <c r="K403" s="6"/>
      <c r="L403" s="6"/>
      <c r="M403" s="6"/>
      <c r="N403" s="6"/>
      <c r="O403" s="9"/>
    </row>
    <row r="404" spans="3:15" x14ac:dyDescent="0.3">
      <c r="C404" s="45"/>
      <c r="D404" s="5"/>
      <c r="E404" s="5"/>
      <c r="F404" s="6"/>
      <c r="G404" s="6"/>
      <c r="H404" s="111"/>
      <c r="I404" s="111"/>
      <c r="J404" s="6"/>
      <c r="K404" s="6"/>
      <c r="L404" s="6"/>
      <c r="M404" s="6"/>
      <c r="N404" s="6"/>
      <c r="O404" s="9"/>
    </row>
    <row r="405" spans="3:15" x14ac:dyDescent="0.3">
      <c r="C405" s="45"/>
      <c r="D405" s="5"/>
      <c r="E405" s="5"/>
      <c r="F405" s="6"/>
      <c r="G405" s="6"/>
      <c r="H405" s="111"/>
      <c r="I405" s="111"/>
      <c r="J405" s="6"/>
      <c r="K405" s="6"/>
      <c r="L405" s="6"/>
      <c r="M405" s="6"/>
      <c r="N405" s="6"/>
      <c r="O405" s="9"/>
    </row>
    <row r="406" spans="3:15" x14ac:dyDescent="0.3">
      <c r="C406" s="45"/>
      <c r="D406" s="5"/>
      <c r="E406" s="5"/>
      <c r="F406" s="6"/>
      <c r="G406" s="6"/>
      <c r="H406" s="111"/>
      <c r="I406" s="111"/>
      <c r="J406" s="6"/>
      <c r="K406" s="6"/>
      <c r="L406" s="6"/>
      <c r="M406" s="6"/>
      <c r="N406" s="6"/>
      <c r="O406" s="9"/>
    </row>
    <row r="407" spans="3:15" x14ac:dyDescent="0.3">
      <c r="C407" s="45"/>
      <c r="D407" s="5"/>
      <c r="E407" s="5"/>
      <c r="F407" s="6"/>
      <c r="G407" s="6"/>
      <c r="H407" s="111"/>
      <c r="I407" s="111"/>
      <c r="J407" s="6"/>
      <c r="K407" s="6"/>
      <c r="L407" s="6"/>
      <c r="M407" s="6"/>
      <c r="N407" s="6"/>
      <c r="O407" s="9"/>
    </row>
    <row r="408" spans="3:15" x14ac:dyDescent="0.3">
      <c r="C408" s="45"/>
      <c r="D408" s="5"/>
      <c r="E408" s="5"/>
      <c r="F408" s="6"/>
      <c r="G408" s="6"/>
      <c r="H408" s="111"/>
      <c r="I408" s="111"/>
      <c r="J408" s="6"/>
      <c r="K408" s="6"/>
      <c r="L408" s="6"/>
      <c r="M408" s="6"/>
      <c r="N408" s="6"/>
      <c r="O408" s="9"/>
    </row>
    <row r="409" spans="3:15" x14ac:dyDescent="0.3">
      <c r="C409" s="45"/>
      <c r="D409" s="5"/>
      <c r="E409" s="5"/>
      <c r="F409" s="6"/>
      <c r="G409" s="6"/>
      <c r="H409" s="111"/>
      <c r="I409" s="111"/>
      <c r="J409" s="6"/>
      <c r="K409" s="6"/>
      <c r="L409" s="6"/>
      <c r="M409" s="6"/>
      <c r="N409" s="6"/>
      <c r="O409" s="9"/>
    </row>
    <row r="410" spans="3:15" x14ac:dyDescent="0.3">
      <c r="C410" s="45"/>
      <c r="D410" s="5"/>
      <c r="E410" s="5"/>
      <c r="F410" s="6"/>
      <c r="G410" s="6"/>
      <c r="H410" s="111"/>
      <c r="I410" s="111"/>
      <c r="J410" s="6"/>
      <c r="K410" s="6"/>
      <c r="L410" s="6"/>
      <c r="M410" s="6"/>
      <c r="N410" s="6"/>
      <c r="O410" s="9"/>
    </row>
    <row r="411" spans="3:15" x14ac:dyDescent="0.3">
      <c r="C411" s="45"/>
      <c r="D411" s="5"/>
      <c r="E411" s="5"/>
      <c r="F411" s="6"/>
      <c r="G411" s="6"/>
      <c r="H411" s="111"/>
      <c r="I411" s="111"/>
      <c r="J411" s="6"/>
      <c r="K411" s="6"/>
      <c r="L411" s="6"/>
      <c r="M411" s="6"/>
      <c r="N411" s="6"/>
      <c r="O411" s="9"/>
    </row>
    <row r="412" spans="3:15" x14ac:dyDescent="0.3">
      <c r="C412" s="45"/>
      <c r="D412" s="5"/>
      <c r="E412" s="5"/>
      <c r="F412" s="6"/>
      <c r="G412" s="6"/>
      <c r="H412" s="111"/>
      <c r="I412" s="111"/>
      <c r="J412" s="6"/>
      <c r="K412" s="6"/>
      <c r="L412" s="6"/>
      <c r="M412" s="6"/>
      <c r="N412" s="6"/>
      <c r="O412" s="9"/>
    </row>
    <row r="413" spans="3:15" x14ac:dyDescent="0.3">
      <c r="C413" s="45"/>
      <c r="D413" s="5"/>
      <c r="E413" s="5"/>
      <c r="F413" s="6"/>
      <c r="G413" s="6"/>
      <c r="H413" s="111"/>
      <c r="I413" s="111"/>
      <c r="J413" s="6"/>
      <c r="K413" s="6"/>
      <c r="L413" s="6"/>
      <c r="M413" s="6"/>
      <c r="N413" s="6"/>
      <c r="O413" s="9"/>
    </row>
    <row r="414" spans="3:15" x14ac:dyDescent="0.3">
      <c r="C414" s="45"/>
      <c r="D414" s="5"/>
      <c r="E414" s="5"/>
      <c r="F414" s="6"/>
      <c r="G414" s="6"/>
      <c r="H414" s="111"/>
      <c r="I414" s="111"/>
      <c r="J414" s="6"/>
      <c r="K414" s="6"/>
      <c r="L414" s="6"/>
      <c r="M414" s="6"/>
      <c r="N414" s="6"/>
      <c r="O414" s="9"/>
    </row>
    <row r="415" spans="3:15" x14ac:dyDescent="0.3">
      <c r="C415" s="45"/>
      <c r="D415" s="5"/>
      <c r="E415" s="5"/>
      <c r="F415" s="6"/>
      <c r="G415" s="6"/>
      <c r="H415" s="111"/>
      <c r="I415" s="111"/>
      <c r="J415" s="6"/>
      <c r="K415" s="6"/>
      <c r="L415" s="6"/>
      <c r="M415" s="6"/>
      <c r="N415" s="6"/>
      <c r="O415" s="9"/>
    </row>
    <row r="416" spans="3:15" x14ac:dyDescent="0.3">
      <c r="C416" s="45"/>
      <c r="D416" s="5"/>
      <c r="E416" s="5"/>
      <c r="F416" s="6"/>
      <c r="G416" s="6"/>
      <c r="H416" s="111"/>
      <c r="I416" s="111"/>
      <c r="J416" s="6"/>
      <c r="K416" s="6"/>
      <c r="L416" s="6"/>
      <c r="M416" s="6"/>
      <c r="N416" s="6"/>
      <c r="O416" s="9"/>
    </row>
    <row r="417" spans="3:15" x14ac:dyDescent="0.3">
      <c r="C417" s="45"/>
      <c r="D417" s="5"/>
      <c r="E417" s="5"/>
      <c r="F417" s="6"/>
      <c r="G417" s="6"/>
      <c r="H417" s="111"/>
      <c r="I417" s="111"/>
      <c r="J417" s="6"/>
      <c r="K417" s="6"/>
      <c r="L417" s="6"/>
      <c r="M417" s="6"/>
      <c r="N417" s="6"/>
      <c r="O417" s="9"/>
    </row>
    <row r="418" spans="3:15" x14ac:dyDescent="0.3">
      <c r="C418" s="45"/>
      <c r="D418" s="5"/>
      <c r="E418" s="5"/>
      <c r="F418" s="6"/>
      <c r="G418" s="6"/>
      <c r="H418" s="111"/>
      <c r="I418" s="111"/>
      <c r="J418" s="6"/>
      <c r="K418" s="6"/>
      <c r="L418" s="6"/>
      <c r="M418" s="6"/>
      <c r="N418" s="6"/>
      <c r="O418" s="9"/>
    </row>
    <row r="419" spans="3:15" x14ac:dyDescent="0.3">
      <c r="C419" s="45"/>
      <c r="D419" s="5"/>
      <c r="E419" s="5"/>
      <c r="F419" s="6"/>
      <c r="G419" s="6"/>
      <c r="H419" s="111"/>
      <c r="I419" s="111"/>
      <c r="J419" s="6"/>
      <c r="K419" s="6"/>
      <c r="L419" s="6"/>
      <c r="M419" s="6"/>
      <c r="N419" s="6"/>
      <c r="O419" s="9"/>
    </row>
    <row r="420" spans="3:15" x14ac:dyDescent="0.3">
      <c r="C420" s="45"/>
      <c r="D420" s="5"/>
      <c r="E420" s="5"/>
      <c r="F420" s="6"/>
      <c r="G420" s="6"/>
      <c r="H420" s="111"/>
      <c r="I420" s="111"/>
      <c r="J420" s="6"/>
      <c r="K420" s="6"/>
      <c r="L420" s="6"/>
      <c r="M420" s="6"/>
      <c r="N420" s="6"/>
      <c r="O420" s="9"/>
    </row>
    <row r="421" spans="3:15" x14ac:dyDescent="0.3">
      <c r="C421" s="45"/>
      <c r="D421" s="5"/>
      <c r="E421" s="5"/>
      <c r="F421" s="6"/>
      <c r="G421" s="6"/>
      <c r="H421" s="111"/>
      <c r="I421" s="111"/>
      <c r="J421" s="6"/>
      <c r="K421" s="6"/>
      <c r="L421" s="6"/>
      <c r="M421" s="6"/>
      <c r="N421" s="6"/>
      <c r="O421" s="9"/>
    </row>
    <row r="422" spans="3:15" x14ac:dyDescent="0.3">
      <c r="C422" s="45"/>
      <c r="D422" s="5"/>
      <c r="E422" s="5"/>
      <c r="F422" s="6"/>
      <c r="G422" s="6"/>
      <c r="H422" s="111"/>
      <c r="I422" s="111"/>
      <c r="J422" s="6"/>
      <c r="K422" s="6"/>
      <c r="L422" s="6"/>
      <c r="M422" s="6"/>
      <c r="N422" s="6"/>
      <c r="O422" s="9"/>
    </row>
    <row r="423" spans="3:15" x14ac:dyDescent="0.3">
      <c r="C423" s="45"/>
      <c r="D423" s="5"/>
      <c r="E423" s="5"/>
      <c r="F423" s="6"/>
      <c r="G423" s="6"/>
      <c r="H423" s="111"/>
      <c r="I423" s="111"/>
      <c r="J423" s="6"/>
      <c r="K423" s="6"/>
      <c r="L423" s="6"/>
      <c r="M423" s="6"/>
      <c r="N423" s="6"/>
      <c r="O423" s="9"/>
    </row>
    <row r="424" spans="3:15" x14ac:dyDescent="0.3">
      <c r="C424" s="45"/>
      <c r="D424" s="5"/>
      <c r="E424" s="5"/>
      <c r="F424" s="6"/>
      <c r="G424" s="6"/>
      <c r="H424" s="111"/>
      <c r="I424" s="111"/>
      <c r="J424" s="6"/>
      <c r="K424" s="6"/>
      <c r="L424" s="6"/>
      <c r="M424" s="6"/>
      <c r="N424" s="6"/>
      <c r="O424" s="9"/>
    </row>
    <row r="425" spans="3:15" x14ac:dyDescent="0.3">
      <c r="C425" s="45"/>
      <c r="D425" s="5"/>
      <c r="E425" s="5"/>
      <c r="F425" s="6"/>
      <c r="G425" s="6"/>
      <c r="H425" s="111"/>
      <c r="I425" s="111"/>
      <c r="J425" s="6"/>
      <c r="K425" s="6"/>
      <c r="L425" s="6"/>
      <c r="M425" s="6"/>
      <c r="N425" s="6"/>
      <c r="O425" s="9"/>
    </row>
    <row r="426" spans="3:15" x14ac:dyDescent="0.3">
      <c r="C426" s="45"/>
      <c r="D426" s="5"/>
      <c r="E426" s="5"/>
      <c r="F426" s="6"/>
      <c r="G426" s="6"/>
      <c r="H426" s="111"/>
      <c r="I426" s="111"/>
      <c r="J426" s="6"/>
      <c r="K426" s="6"/>
      <c r="L426" s="6"/>
      <c r="M426" s="6"/>
      <c r="N426" s="6"/>
      <c r="O426" s="9"/>
    </row>
    <row r="427" spans="3:15" x14ac:dyDescent="0.3">
      <c r="C427" s="45"/>
      <c r="D427" s="5"/>
      <c r="E427" s="5"/>
      <c r="F427" s="6"/>
      <c r="G427" s="6"/>
      <c r="H427" s="111"/>
      <c r="I427" s="111"/>
      <c r="J427" s="6"/>
      <c r="K427" s="6"/>
      <c r="L427" s="6"/>
      <c r="M427" s="6"/>
      <c r="N427" s="6"/>
      <c r="O427" s="9"/>
    </row>
    <row r="428" spans="3:15" x14ac:dyDescent="0.3">
      <c r="C428" s="45"/>
      <c r="D428" s="5"/>
      <c r="E428" s="5"/>
      <c r="F428" s="6"/>
      <c r="G428" s="6"/>
      <c r="H428" s="111"/>
      <c r="I428" s="111"/>
      <c r="J428" s="6"/>
      <c r="K428" s="6"/>
      <c r="L428" s="6"/>
      <c r="M428" s="6"/>
      <c r="N428" s="6"/>
      <c r="O428" s="9"/>
    </row>
    <row r="429" spans="3:15" x14ac:dyDescent="0.3">
      <c r="C429" s="45"/>
      <c r="D429" s="5"/>
      <c r="E429" s="5"/>
      <c r="F429" s="6"/>
      <c r="G429" s="6"/>
      <c r="H429" s="111"/>
      <c r="I429" s="111"/>
      <c r="J429" s="6"/>
      <c r="K429" s="6"/>
      <c r="L429" s="6"/>
      <c r="M429" s="6"/>
      <c r="N429" s="6"/>
      <c r="O429" s="9"/>
    </row>
    <row r="430" spans="3:15" x14ac:dyDescent="0.3">
      <c r="C430" s="45"/>
      <c r="D430" s="5"/>
      <c r="E430" s="5"/>
      <c r="F430" s="6"/>
      <c r="G430" s="6"/>
      <c r="H430" s="111"/>
      <c r="I430" s="111"/>
      <c r="J430" s="6"/>
      <c r="K430" s="6"/>
      <c r="L430" s="6"/>
      <c r="M430" s="6"/>
      <c r="N430" s="6"/>
      <c r="O430" s="9"/>
    </row>
    <row r="431" spans="3:15" x14ac:dyDescent="0.3">
      <c r="C431" s="45"/>
      <c r="D431" s="5"/>
      <c r="E431" s="5"/>
      <c r="F431" s="6"/>
      <c r="G431" s="6"/>
      <c r="H431" s="111"/>
      <c r="I431" s="111"/>
      <c r="J431" s="6"/>
      <c r="K431" s="6"/>
      <c r="L431" s="6"/>
      <c r="M431" s="6"/>
      <c r="N431" s="6"/>
      <c r="O431" s="9"/>
    </row>
    <row r="432" spans="3:15" x14ac:dyDescent="0.3">
      <c r="C432" s="45"/>
      <c r="D432" s="5"/>
      <c r="E432" s="5"/>
      <c r="F432" s="6"/>
      <c r="G432" s="6"/>
      <c r="H432" s="111"/>
      <c r="I432" s="111"/>
      <c r="J432" s="6"/>
      <c r="K432" s="6"/>
      <c r="L432" s="6"/>
      <c r="M432" s="6"/>
      <c r="N432" s="6"/>
      <c r="O432" s="9"/>
    </row>
    <row r="433" spans="3:15" x14ac:dyDescent="0.3">
      <c r="C433" s="45"/>
      <c r="D433" s="5"/>
      <c r="E433" s="5"/>
      <c r="F433" s="6"/>
      <c r="G433" s="6"/>
      <c r="H433" s="111"/>
      <c r="I433" s="111"/>
      <c r="J433" s="6"/>
      <c r="K433" s="6"/>
      <c r="L433" s="6"/>
      <c r="M433" s="6"/>
      <c r="N433" s="6"/>
      <c r="O433" s="9"/>
    </row>
    <row r="434" spans="3:15" x14ac:dyDescent="0.3">
      <c r="C434" s="45"/>
      <c r="D434" s="5"/>
      <c r="E434" s="5"/>
      <c r="F434" s="6"/>
      <c r="G434" s="6"/>
      <c r="H434" s="111"/>
      <c r="I434" s="111"/>
      <c r="J434" s="6"/>
      <c r="K434" s="6"/>
      <c r="L434" s="6"/>
      <c r="M434" s="6"/>
      <c r="N434" s="6"/>
      <c r="O434" s="9"/>
    </row>
    <row r="435" spans="3:15" x14ac:dyDescent="0.3">
      <c r="C435" s="45"/>
      <c r="D435" s="5"/>
      <c r="E435" s="5"/>
      <c r="F435" s="6"/>
      <c r="G435" s="6"/>
      <c r="H435" s="111"/>
      <c r="I435" s="111"/>
      <c r="J435" s="6"/>
      <c r="K435" s="6"/>
      <c r="L435" s="6"/>
      <c r="M435" s="6"/>
      <c r="N435" s="6"/>
      <c r="O435" s="9"/>
    </row>
    <row r="436" spans="3:15" x14ac:dyDescent="0.3">
      <c r="C436" s="45"/>
      <c r="D436" s="5"/>
      <c r="E436" s="5"/>
      <c r="F436" s="6"/>
      <c r="G436" s="6"/>
      <c r="H436" s="111"/>
      <c r="I436" s="111"/>
      <c r="J436" s="6"/>
      <c r="K436" s="6"/>
      <c r="L436" s="6"/>
      <c r="M436" s="6"/>
      <c r="N436" s="6"/>
      <c r="O436" s="9"/>
    </row>
    <row r="437" spans="3:15" x14ac:dyDescent="0.3">
      <c r="C437" s="45"/>
      <c r="D437" s="5"/>
      <c r="E437" s="5"/>
      <c r="F437" s="6"/>
      <c r="G437" s="6"/>
      <c r="H437" s="111"/>
      <c r="I437" s="111"/>
      <c r="J437" s="6"/>
      <c r="K437" s="6"/>
      <c r="L437" s="6"/>
      <c r="M437" s="6"/>
      <c r="N437" s="6"/>
      <c r="O437" s="9"/>
    </row>
    <row r="438" spans="3:15" x14ac:dyDescent="0.3">
      <c r="C438" s="45"/>
      <c r="D438" s="5"/>
      <c r="E438" s="5"/>
      <c r="F438" s="6"/>
      <c r="G438" s="6"/>
      <c r="H438" s="111"/>
      <c r="I438" s="111"/>
      <c r="J438" s="6"/>
      <c r="K438" s="6"/>
      <c r="L438" s="6"/>
      <c r="M438" s="6"/>
      <c r="N438" s="6"/>
      <c r="O438" s="9"/>
    </row>
    <row r="439" spans="3:15" x14ac:dyDescent="0.3">
      <c r="C439" s="45"/>
      <c r="D439" s="5"/>
      <c r="E439" s="5"/>
      <c r="F439" s="6"/>
      <c r="G439" s="6"/>
      <c r="H439" s="111"/>
      <c r="I439" s="111"/>
      <c r="J439" s="6"/>
      <c r="K439" s="6"/>
      <c r="L439" s="6"/>
      <c r="M439" s="6"/>
      <c r="N439" s="6"/>
      <c r="O439" s="9"/>
    </row>
    <row r="440" spans="3:15" x14ac:dyDescent="0.3">
      <c r="C440" s="45"/>
      <c r="D440" s="5"/>
      <c r="E440" s="5"/>
      <c r="F440" s="6"/>
      <c r="G440" s="6"/>
      <c r="H440" s="111"/>
      <c r="I440" s="111"/>
      <c r="J440" s="6"/>
      <c r="K440" s="6"/>
      <c r="L440" s="6"/>
      <c r="M440" s="6"/>
      <c r="N440" s="6"/>
      <c r="O440" s="9"/>
    </row>
    <row r="441" spans="3:15" x14ac:dyDescent="0.3">
      <c r="C441" s="45"/>
      <c r="D441" s="5"/>
      <c r="E441" s="5"/>
      <c r="F441" s="6"/>
      <c r="G441" s="6"/>
      <c r="H441" s="111"/>
      <c r="I441" s="111"/>
      <c r="J441" s="6"/>
      <c r="K441" s="6"/>
      <c r="L441" s="6"/>
      <c r="M441" s="6"/>
      <c r="N441" s="6"/>
      <c r="O441" s="9"/>
    </row>
    <row r="442" spans="3:15" x14ac:dyDescent="0.3">
      <c r="C442" s="45"/>
      <c r="D442" s="5"/>
      <c r="E442" s="5"/>
      <c r="F442" s="6"/>
      <c r="G442" s="6"/>
      <c r="H442" s="111"/>
      <c r="I442" s="111"/>
      <c r="J442" s="6"/>
      <c r="K442" s="6"/>
      <c r="L442" s="6"/>
      <c r="M442" s="6"/>
      <c r="N442" s="6"/>
      <c r="O442" s="9"/>
    </row>
    <row r="443" spans="3:15" x14ac:dyDescent="0.3">
      <c r="C443" s="45"/>
      <c r="D443" s="5"/>
      <c r="E443" s="5"/>
      <c r="F443" s="6"/>
      <c r="G443" s="6"/>
      <c r="H443" s="111"/>
      <c r="I443" s="111"/>
      <c r="J443" s="6"/>
      <c r="K443" s="6"/>
      <c r="L443" s="6"/>
      <c r="M443" s="6"/>
      <c r="N443" s="6"/>
      <c r="O443" s="9"/>
    </row>
    <row r="444" spans="3:15" x14ac:dyDescent="0.3">
      <c r="C444" s="45"/>
      <c r="D444" s="5"/>
      <c r="E444" s="5"/>
      <c r="F444" s="6"/>
      <c r="G444" s="6"/>
      <c r="H444" s="111"/>
      <c r="I444" s="111"/>
      <c r="J444" s="6"/>
      <c r="K444" s="6"/>
      <c r="L444" s="6"/>
      <c r="M444" s="6"/>
      <c r="N444" s="6"/>
      <c r="O444" s="9"/>
    </row>
    <row r="445" spans="3:15" x14ac:dyDescent="0.3">
      <c r="C445" s="45"/>
      <c r="D445" s="5"/>
      <c r="E445" s="5"/>
      <c r="F445" s="6"/>
      <c r="G445" s="6"/>
      <c r="H445" s="111"/>
      <c r="I445" s="111"/>
      <c r="J445" s="6"/>
      <c r="K445" s="6"/>
      <c r="L445" s="6"/>
      <c r="M445" s="6"/>
      <c r="N445" s="6"/>
      <c r="O445" s="9"/>
    </row>
    <row r="446" spans="3:15" x14ac:dyDescent="0.3">
      <c r="C446" s="45"/>
      <c r="D446" s="5"/>
      <c r="E446" s="5"/>
      <c r="F446" s="6"/>
      <c r="G446" s="6"/>
      <c r="H446" s="111"/>
      <c r="I446" s="111"/>
      <c r="J446" s="6"/>
      <c r="K446" s="6"/>
      <c r="L446" s="6"/>
      <c r="M446" s="6"/>
      <c r="N446" s="6"/>
      <c r="O446" s="9"/>
    </row>
    <row r="447" spans="3:15" x14ac:dyDescent="0.3">
      <c r="C447" s="45"/>
      <c r="D447" s="5"/>
      <c r="E447" s="5"/>
      <c r="F447" s="6"/>
      <c r="G447" s="6"/>
      <c r="H447" s="111"/>
      <c r="I447" s="111"/>
      <c r="J447" s="6"/>
      <c r="K447" s="6"/>
      <c r="L447" s="6"/>
      <c r="M447" s="6"/>
      <c r="N447" s="6"/>
      <c r="O447" s="9"/>
    </row>
    <row r="448" spans="3:15" x14ac:dyDescent="0.3">
      <c r="C448" s="45"/>
      <c r="D448" s="5"/>
      <c r="E448" s="5"/>
      <c r="F448" s="6"/>
      <c r="G448" s="6"/>
      <c r="H448" s="111"/>
      <c r="I448" s="111"/>
      <c r="J448" s="6"/>
      <c r="K448" s="6"/>
      <c r="L448" s="6"/>
      <c r="M448" s="6"/>
      <c r="N448" s="6"/>
      <c r="O448" s="9"/>
    </row>
    <row r="449" spans="3:15" x14ac:dyDescent="0.3">
      <c r="C449" s="45"/>
      <c r="D449" s="5"/>
      <c r="E449" s="5"/>
      <c r="F449" s="6"/>
      <c r="G449" s="6"/>
      <c r="H449" s="111"/>
      <c r="I449" s="111"/>
      <c r="J449" s="6"/>
      <c r="K449" s="6"/>
      <c r="L449" s="6"/>
      <c r="M449" s="6"/>
      <c r="N449" s="6"/>
      <c r="O449" s="9"/>
    </row>
    <row r="450" spans="3:15" x14ac:dyDescent="0.3">
      <c r="C450" s="45"/>
      <c r="D450" s="5"/>
      <c r="E450" s="5"/>
      <c r="F450" s="6"/>
      <c r="G450" s="6"/>
      <c r="H450" s="111"/>
      <c r="I450" s="111"/>
      <c r="J450" s="6"/>
      <c r="K450" s="6"/>
      <c r="L450" s="6"/>
      <c r="M450" s="6"/>
      <c r="N450" s="6"/>
      <c r="O450" s="9"/>
    </row>
    <row r="451" spans="3:15" x14ac:dyDescent="0.3">
      <c r="C451" s="45"/>
      <c r="D451" s="5"/>
      <c r="E451" s="5"/>
      <c r="F451" s="6"/>
      <c r="G451" s="6"/>
      <c r="H451" s="111"/>
      <c r="I451" s="111"/>
      <c r="J451" s="6"/>
      <c r="K451" s="6"/>
      <c r="L451" s="6"/>
      <c r="M451" s="6"/>
      <c r="N451" s="6"/>
      <c r="O451" s="9"/>
    </row>
    <row r="452" spans="3:15" x14ac:dyDescent="0.3">
      <c r="C452" s="45"/>
      <c r="D452" s="5"/>
      <c r="E452" s="5"/>
      <c r="F452" s="6"/>
      <c r="G452" s="6"/>
      <c r="H452" s="111"/>
      <c r="I452" s="111"/>
      <c r="J452" s="6"/>
      <c r="K452" s="6"/>
      <c r="L452" s="6"/>
      <c r="M452" s="6"/>
      <c r="N452" s="6"/>
      <c r="O452" s="9"/>
    </row>
    <row r="453" spans="3:15" x14ac:dyDescent="0.3">
      <c r="C453" s="45"/>
      <c r="D453" s="5"/>
      <c r="E453" s="5"/>
      <c r="F453" s="6"/>
      <c r="G453" s="6"/>
      <c r="H453" s="111"/>
      <c r="I453" s="111"/>
      <c r="J453" s="6"/>
      <c r="K453" s="6"/>
      <c r="L453" s="6"/>
      <c r="M453" s="6"/>
      <c r="N453" s="6"/>
      <c r="O453" s="9"/>
    </row>
    <row r="454" spans="3:15" x14ac:dyDescent="0.3">
      <c r="C454" s="45"/>
      <c r="D454" s="5"/>
      <c r="E454" s="5"/>
      <c r="F454" s="6"/>
      <c r="G454" s="6"/>
      <c r="H454" s="111"/>
      <c r="I454" s="111"/>
      <c r="J454" s="6"/>
      <c r="K454" s="6"/>
      <c r="L454" s="6"/>
      <c r="M454" s="6"/>
      <c r="N454" s="6"/>
      <c r="O454" s="9"/>
    </row>
    <row r="455" spans="3:15" x14ac:dyDescent="0.3">
      <c r="C455" s="45"/>
      <c r="D455" s="5"/>
      <c r="E455" s="5"/>
      <c r="F455" s="6"/>
      <c r="G455" s="6"/>
      <c r="H455" s="111"/>
      <c r="I455" s="111"/>
      <c r="J455" s="6"/>
      <c r="K455" s="6"/>
      <c r="L455" s="6"/>
      <c r="M455" s="6"/>
      <c r="N455" s="6"/>
      <c r="O455" s="9"/>
    </row>
    <row r="456" spans="3:15" x14ac:dyDescent="0.3">
      <c r="C456" s="45"/>
      <c r="D456" s="5"/>
      <c r="E456" s="5"/>
      <c r="F456" s="6"/>
      <c r="G456" s="6"/>
      <c r="H456" s="111"/>
      <c r="I456" s="111"/>
      <c r="J456" s="6"/>
      <c r="K456" s="6"/>
      <c r="L456" s="6"/>
      <c r="M456" s="6"/>
      <c r="N456" s="6"/>
      <c r="O456" s="9"/>
    </row>
    <row r="457" spans="3:15" x14ac:dyDescent="0.3">
      <c r="C457" s="45"/>
      <c r="D457" s="5"/>
      <c r="E457" s="5"/>
      <c r="F457" s="6"/>
      <c r="G457" s="6"/>
      <c r="H457" s="111"/>
      <c r="I457" s="111"/>
      <c r="J457" s="6"/>
      <c r="K457" s="6"/>
      <c r="L457" s="6"/>
      <c r="M457" s="6"/>
      <c r="N457" s="6"/>
      <c r="O457" s="9"/>
    </row>
    <row r="458" spans="3:15" x14ac:dyDescent="0.3">
      <c r="C458" s="45"/>
      <c r="D458" s="5"/>
      <c r="E458" s="5"/>
      <c r="F458" s="6"/>
      <c r="G458" s="6"/>
      <c r="H458" s="111"/>
      <c r="I458" s="111"/>
      <c r="J458" s="6"/>
      <c r="K458" s="6"/>
      <c r="L458" s="6"/>
      <c r="M458" s="6"/>
      <c r="N458" s="6"/>
      <c r="O458" s="9"/>
    </row>
    <row r="459" spans="3:15" x14ac:dyDescent="0.3">
      <c r="C459" s="45"/>
      <c r="D459" s="5"/>
      <c r="E459" s="5"/>
      <c r="F459" s="6"/>
      <c r="G459" s="6"/>
      <c r="H459" s="111"/>
      <c r="I459" s="111"/>
      <c r="J459" s="6"/>
      <c r="K459" s="6"/>
      <c r="L459" s="6"/>
      <c r="M459" s="6"/>
      <c r="N459" s="6"/>
      <c r="O459" s="9"/>
    </row>
    <row r="460" spans="3:15" x14ac:dyDescent="0.3">
      <c r="C460" s="45"/>
      <c r="D460" s="5"/>
      <c r="E460" s="5"/>
      <c r="F460" s="6"/>
      <c r="G460" s="6"/>
      <c r="H460" s="111"/>
      <c r="I460" s="111"/>
      <c r="J460" s="6"/>
      <c r="K460" s="6"/>
      <c r="L460" s="6"/>
      <c r="M460" s="6"/>
      <c r="N460" s="6"/>
      <c r="O460" s="9"/>
    </row>
    <row r="461" spans="3:15" x14ac:dyDescent="0.3">
      <c r="C461" s="45"/>
      <c r="D461" s="5"/>
      <c r="E461" s="5"/>
      <c r="F461" s="6"/>
      <c r="G461" s="6"/>
      <c r="H461" s="111"/>
      <c r="I461" s="111"/>
      <c r="J461" s="6"/>
      <c r="K461" s="6"/>
      <c r="L461" s="6"/>
      <c r="M461" s="6"/>
      <c r="N461" s="6"/>
      <c r="O461" s="9"/>
    </row>
    <row r="462" spans="3:15" x14ac:dyDescent="0.3">
      <c r="C462" s="45"/>
      <c r="D462" s="5"/>
      <c r="E462" s="5"/>
      <c r="F462" s="6"/>
      <c r="G462" s="6"/>
      <c r="H462" s="111"/>
      <c r="I462" s="111"/>
      <c r="J462" s="6"/>
      <c r="K462" s="6"/>
      <c r="L462" s="6"/>
      <c r="M462" s="6"/>
      <c r="N462" s="6"/>
      <c r="O462" s="9"/>
    </row>
    <row r="463" spans="3:15" x14ac:dyDescent="0.3">
      <c r="C463" s="45"/>
      <c r="D463" s="5"/>
      <c r="E463" s="5"/>
      <c r="F463" s="6"/>
      <c r="G463" s="6"/>
      <c r="H463" s="111"/>
      <c r="I463" s="111"/>
      <c r="J463" s="6"/>
      <c r="K463" s="6"/>
      <c r="L463" s="6"/>
      <c r="M463" s="6"/>
      <c r="N463" s="6"/>
      <c r="O463" s="9"/>
    </row>
    <row r="464" spans="3:15" x14ac:dyDescent="0.3">
      <c r="C464" s="45"/>
      <c r="D464" s="5"/>
      <c r="E464" s="5"/>
      <c r="F464" s="6"/>
      <c r="G464" s="6"/>
      <c r="H464" s="111"/>
      <c r="I464" s="111"/>
      <c r="J464" s="6"/>
      <c r="K464" s="6"/>
      <c r="L464" s="6"/>
      <c r="M464" s="6"/>
      <c r="N464" s="6"/>
      <c r="O464" s="9"/>
    </row>
    <row r="465" spans="3:15" x14ac:dyDescent="0.3">
      <c r="C465" s="45"/>
      <c r="D465" s="5"/>
      <c r="E465" s="5"/>
      <c r="F465" s="6"/>
      <c r="G465" s="6"/>
      <c r="H465" s="111"/>
      <c r="I465" s="111"/>
      <c r="J465" s="6"/>
      <c r="K465" s="6"/>
      <c r="L465" s="6"/>
      <c r="M465" s="6"/>
      <c r="N465" s="6"/>
      <c r="O465" s="9"/>
    </row>
    <row r="466" spans="3:15" x14ac:dyDescent="0.3">
      <c r="C466" s="45"/>
      <c r="D466" s="5"/>
      <c r="E466" s="5"/>
      <c r="F466" s="6"/>
      <c r="G466" s="6"/>
      <c r="H466" s="111"/>
      <c r="I466" s="111"/>
      <c r="J466" s="6"/>
      <c r="K466" s="6"/>
      <c r="L466" s="6"/>
      <c r="M466" s="6"/>
      <c r="N466" s="6"/>
      <c r="O466" s="9"/>
    </row>
    <row r="467" spans="3:15" x14ac:dyDescent="0.3">
      <c r="C467" s="45"/>
      <c r="D467" s="5"/>
      <c r="E467" s="5"/>
      <c r="F467" s="6"/>
      <c r="G467" s="6"/>
      <c r="H467" s="111"/>
      <c r="I467" s="111"/>
      <c r="J467" s="6"/>
      <c r="K467" s="6"/>
      <c r="L467" s="6"/>
      <c r="M467" s="6"/>
      <c r="N467" s="6"/>
      <c r="O467" s="9"/>
    </row>
    <row r="468" spans="3:15" x14ac:dyDescent="0.3">
      <c r="C468" s="45"/>
      <c r="D468" s="5"/>
      <c r="E468" s="5"/>
      <c r="F468" s="6"/>
      <c r="G468" s="6"/>
      <c r="H468" s="111"/>
      <c r="I468" s="111"/>
      <c r="J468" s="6"/>
      <c r="K468" s="6"/>
      <c r="L468" s="6"/>
      <c r="M468" s="6"/>
      <c r="N468" s="6"/>
      <c r="O468" s="9"/>
    </row>
    <row r="469" spans="3:15" x14ac:dyDescent="0.3">
      <c r="C469" s="45"/>
      <c r="D469" s="5"/>
      <c r="E469" s="5"/>
      <c r="F469" s="6"/>
      <c r="G469" s="6"/>
      <c r="H469" s="111"/>
      <c r="I469" s="111"/>
      <c r="J469" s="6"/>
      <c r="K469" s="6"/>
      <c r="L469" s="6"/>
      <c r="M469" s="6"/>
      <c r="N469" s="6"/>
      <c r="O469" s="9"/>
    </row>
    <row r="470" spans="3:15" x14ac:dyDescent="0.3">
      <c r="C470" s="45"/>
      <c r="D470" s="5"/>
      <c r="E470" s="5"/>
      <c r="F470" s="6"/>
      <c r="G470" s="6"/>
      <c r="H470" s="111"/>
      <c r="I470" s="111"/>
      <c r="J470" s="6"/>
      <c r="K470" s="6"/>
      <c r="L470" s="6"/>
      <c r="M470" s="6"/>
      <c r="N470" s="6"/>
      <c r="O470" s="9"/>
    </row>
    <row r="471" spans="3:15" x14ac:dyDescent="0.3">
      <c r="C471" s="45"/>
      <c r="D471" s="5"/>
      <c r="E471" s="5"/>
      <c r="F471" s="6"/>
      <c r="G471" s="6"/>
      <c r="H471" s="111"/>
      <c r="I471" s="111"/>
      <c r="J471" s="6"/>
      <c r="K471" s="6"/>
      <c r="L471" s="6"/>
      <c r="M471" s="6"/>
      <c r="N471" s="6"/>
      <c r="O471" s="9"/>
    </row>
    <row r="472" spans="3:15" x14ac:dyDescent="0.3">
      <c r="C472" s="45"/>
      <c r="D472" s="5"/>
      <c r="E472" s="5"/>
      <c r="F472" s="6"/>
      <c r="G472" s="6"/>
      <c r="H472" s="111"/>
      <c r="I472" s="111"/>
      <c r="J472" s="6"/>
      <c r="K472" s="6"/>
      <c r="L472" s="6"/>
      <c r="M472" s="6"/>
      <c r="N472" s="6"/>
      <c r="O472" s="9"/>
    </row>
    <row r="473" spans="3:15" x14ac:dyDescent="0.3">
      <c r="C473" s="45"/>
      <c r="D473" s="5"/>
      <c r="E473" s="5"/>
      <c r="F473" s="6"/>
      <c r="G473" s="6"/>
      <c r="H473" s="111"/>
      <c r="I473" s="111"/>
      <c r="J473" s="6"/>
      <c r="K473" s="6"/>
      <c r="L473" s="6"/>
      <c r="M473" s="6"/>
      <c r="N473" s="6"/>
      <c r="O473" s="9"/>
    </row>
    <row r="474" spans="3:15" x14ac:dyDescent="0.3">
      <c r="C474" s="45"/>
      <c r="D474" s="5"/>
      <c r="E474" s="5"/>
      <c r="F474" s="6"/>
      <c r="G474" s="6"/>
      <c r="H474" s="111"/>
      <c r="I474" s="111"/>
      <c r="J474" s="6"/>
      <c r="K474" s="6"/>
      <c r="L474" s="6"/>
      <c r="M474" s="6"/>
      <c r="N474" s="6"/>
      <c r="O474" s="9"/>
    </row>
    <row r="475" spans="3:15" x14ac:dyDescent="0.3">
      <c r="C475" s="45"/>
      <c r="D475" s="5"/>
      <c r="E475" s="5"/>
      <c r="F475" s="6"/>
      <c r="G475" s="6"/>
      <c r="H475" s="111"/>
      <c r="I475" s="111"/>
      <c r="J475" s="6"/>
      <c r="K475" s="6"/>
      <c r="L475" s="6"/>
      <c r="M475" s="6"/>
      <c r="N475" s="6"/>
      <c r="O475" s="9"/>
    </row>
    <row r="476" spans="3:15" x14ac:dyDescent="0.3">
      <c r="C476" s="45"/>
      <c r="D476" s="5"/>
      <c r="E476" s="5"/>
      <c r="F476" s="6"/>
      <c r="G476" s="6"/>
      <c r="H476" s="111"/>
      <c r="I476" s="111"/>
      <c r="J476" s="6"/>
      <c r="K476" s="6"/>
      <c r="L476" s="6"/>
      <c r="M476" s="6"/>
      <c r="N476" s="6"/>
      <c r="O476" s="9"/>
    </row>
    <row r="477" spans="3:15" x14ac:dyDescent="0.3">
      <c r="C477" s="45"/>
      <c r="D477" s="5"/>
      <c r="E477" s="5"/>
      <c r="F477" s="6"/>
      <c r="G477" s="6"/>
      <c r="H477" s="111"/>
      <c r="I477" s="111"/>
      <c r="J477" s="6"/>
      <c r="K477" s="6"/>
      <c r="L477" s="6"/>
      <c r="M477" s="6"/>
      <c r="N477" s="6"/>
      <c r="O477" s="9"/>
    </row>
    <row r="478" spans="3:15" x14ac:dyDescent="0.3">
      <c r="C478" s="45"/>
      <c r="D478" s="5"/>
      <c r="E478" s="5"/>
      <c r="F478" s="6"/>
      <c r="G478" s="6"/>
      <c r="H478" s="111"/>
      <c r="I478" s="111"/>
      <c r="J478" s="6"/>
      <c r="K478" s="6"/>
      <c r="L478" s="6"/>
      <c r="M478" s="6"/>
      <c r="N478" s="6"/>
      <c r="O478" s="9"/>
    </row>
    <row r="479" spans="3:15" x14ac:dyDescent="0.3">
      <c r="C479" s="45"/>
      <c r="D479" s="5"/>
      <c r="E479" s="5"/>
      <c r="F479" s="6"/>
      <c r="G479" s="6"/>
      <c r="H479" s="111"/>
      <c r="I479" s="111"/>
      <c r="J479" s="6"/>
      <c r="K479" s="6"/>
      <c r="L479" s="6"/>
      <c r="M479" s="6"/>
      <c r="N479" s="6"/>
      <c r="O479" s="9"/>
    </row>
    <row r="480" spans="3:15" x14ac:dyDescent="0.3">
      <c r="C480" s="45"/>
      <c r="D480" s="5"/>
      <c r="E480" s="5"/>
      <c r="F480" s="6"/>
      <c r="G480" s="6"/>
      <c r="H480" s="111"/>
      <c r="I480" s="111"/>
      <c r="J480" s="6"/>
      <c r="K480" s="6"/>
      <c r="L480" s="6"/>
      <c r="M480" s="6"/>
      <c r="N480" s="6"/>
      <c r="O480" s="9"/>
    </row>
    <row r="481" spans="3:15" x14ac:dyDescent="0.3">
      <c r="C481" s="45"/>
      <c r="D481" s="5"/>
      <c r="E481" s="5"/>
      <c r="F481" s="6"/>
      <c r="G481" s="6"/>
      <c r="H481" s="111"/>
      <c r="I481" s="111"/>
      <c r="J481" s="6"/>
      <c r="K481" s="6"/>
      <c r="L481" s="6"/>
      <c r="M481" s="6"/>
      <c r="N481" s="6"/>
      <c r="O481" s="9"/>
    </row>
    <row r="482" spans="3:15" x14ac:dyDescent="0.3">
      <c r="C482" s="45"/>
      <c r="D482" s="5"/>
      <c r="E482" s="5"/>
      <c r="F482" s="6"/>
      <c r="G482" s="6"/>
      <c r="H482" s="111"/>
      <c r="I482" s="111"/>
      <c r="J482" s="6"/>
      <c r="K482" s="6"/>
      <c r="L482" s="6"/>
      <c r="M482" s="6"/>
      <c r="N482" s="6"/>
      <c r="O482" s="9"/>
    </row>
    <row r="483" spans="3:15" x14ac:dyDescent="0.3">
      <c r="C483" s="45"/>
      <c r="D483" s="5"/>
      <c r="E483" s="5"/>
      <c r="F483" s="6"/>
      <c r="G483" s="6"/>
      <c r="H483" s="111"/>
      <c r="I483" s="111"/>
      <c r="J483" s="6"/>
      <c r="K483" s="6"/>
      <c r="L483" s="6"/>
      <c r="M483" s="6"/>
      <c r="N483" s="6"/>
      <c r="O483" s="9"/>
    </row>
    <row r="484" spans="3:15" x14ac:dyDescent="0.3">
      <c r="C484" s="45"/>
      <c r="D484" s="5"/>
      <c r="E484" s="5"/>
      <c r="F484" s="6"/>
      <c r="G484" s="6"/>
      <c r="H484" s="111"/>
      <c r="I484" s="111"/>
      <c r="J484" s="6"/>
      <c r="K484" s="6"/>
      <c r="L484" s="6"/>
      <c r="M484" s="6"/>
      <c r="N484" s="6"/>
      <c r="O484" s="9"/>
    </row>
    <row r="485" spans="3:15" x14ac:dyDescent="0.3">
      <c r="C485" s="45"/>
      <c r="D485" s="5"/>
      <c r="E485" s="5"/>
      <c r="F485" s="6"/>
      <c r="G485" s="6"/>
      <c r="H485" s="111"/>
      <c r="I485" s="111"/>
      <c r="J485" s="6"/>
      <c r="K485" s="6"/>
      <c r="L485" s="6"/>
      <c r="M485" s="6"/>
      <c r="N485" s="6"/>
      <c r="O485" s="9"/>
    </row>
    <row r="486" spans="3:15" x14ac:dyDescent="0.3">
      <c r="C486" s="45"/>
      <c r="D486" s="5"/>
      <c r="E486" s="5"/>
      <c r="F486" s="6"/>
      <c r="G486" s="6"/>
      <c r="H486" s="111"/>
      <c r="I486" s="111"/>
      <c r="J486" s="6"/>
      <c r="K486" s="6"/>
      <c r="L486" s="6"/>
      <c r="M486" s="6"/>
      <c r="N486" s="6"/>
      <c r="O486" s="9"/>
    </row>
    <row r="487" spans="3:15" x14ac:dyDescent="0.3">
      <c r="C487" s="45"/>
      <c r="D487" s="5"/>
      <c r="E487" s="5"/>
      <c r="F487" s="6"/>
      <c r="G487" s="6"/>
      <c r="H487" s="111"/>
      <c r="I487" s="111"/>
      <c r="J487" s="6"/>
      <c r="K487" s="6"/>
      <c r="L487" s="6"/>
      <c r="M487" s="6"/>
      <c r="N487" s="6"/>
      <c r="O487" s="9"/>
    </row>
    <row r="488" spans="3:15" x14ac:dyDescent="0.3">
      <c r="C488" s="45"/>
      <c r="D488" s="5"/>
      <c r="E488" s="5"/>
      <c r="F488" s="6"/>
      <c r="G488" s="6"/>
      <c r="H488" s="111"/>
      <c r="I488" s="111"/>
      <c r="J488" s="6"/>
      <c r="K488" s="6"/>
      <c r="L488" s="6"/>
      <c r="M488" s="6"/>
      <c r="N488" s="6"/>
      <c r="O488" s="9"/>
    </row>
    <row r="489" spans="3:15" x14ac:dyDescent="0.3">
      <c r="C489" s="45"/>
      <c r="D489" s="5"/>
      <c r="E489" s="5"/>
      <c r="F489" s="6"/>
      <c r="G489" s="6"/>
      <c r="H489" s="111"/>
      <c r="I489" s="111"/>
      <c r="J489" s="6"/>
      <c r="K489" s="6"/>
      <c r="L489" s="6"/>
      <c r="M489" s="6"/>
      <c r="N489" s="6"/>
      <c r="O489" s="9"/>
    </row>
    <row r="490" spans="3:15" x14ac:dyDescent="0.3">
      <c r="C490" s="45"/>
      <c r="D490" s="5"/>
      <c r="E490" s="5"/>
      <c r="F490" s="6"/>
      <c r="G490" s="6"/>
      <c r="H490" s="111"/>
      <c r="I490" s="111"/>
      <c r="J490" s="6"/>
      <c r="K490" s="6"/>
      <c r="L490" s="6"/>
      <c r="M490" s="6"/>
      <c r="N490" s="6"/>
      <c r="O490" s="9"/>
    </row>
    <row r="491" spans="3:15" x14ac:dyDescent="0.3">
      <c r="C491" s="45"/>
      <c r="D491" s="5"/>
      <c r="E491" s="5"/>
      <c r="F491" s="6"/>
      <c r="G491" s="6"/>
      <c r="H491" s="111"/>
      <c r="I491" s="111"/>
      <c r="J491" s="6"/>
      <c r="K491" s="6"/>
      <c r="L491" s="6"/>
      <c r="M491" s="6"/>
      <c r="N491" s="6"/>
      <c r="O491" s="9"/>
    </row>
    <row r="492" spans="3:15" x14ac:dyDescent="0.3">
      <c r="C492" s="45"/>
      <c r="D492" s="5"/>
      <c r="E492" s="5"/>
      <c r="F492" s="6"/>
      <c r="G492" s="6"/>
      <c r="H492" s="111"/>
      <c r="I492" s="111"/>
      <c r="J492" s="6"/>
      <c r="K492" s="6"/>
      <c r="L492" s="6"/>
      <c r="M492" s="6"/>
      <c r="N492" s="6"/>
      <c r="O492" s="9"/>
    </row>
    <row r="493" spans="3:15" x14ac:dyDescent="0.3">
      <c r="C493" s="45"/>
      <c r="D493" s="5"/>
      <c r="E493" s="5"/>
      <c r="F493" s="6"/>
      <c r="G493" s="6"/>
      <c r="H493" s="111"/>
      <c r="I493" s="111"/>
      <c r="J493" s="6"/>
      <c r="K493" s="6"/>
      <c r="L493" s="6"/>
      <c r="M493" s="6"/>
      <c r="N493" s="6"/>
      <c r="O493" s="9"/>
    </row>
    <row r="494" spans="3:15" x14ac:dyDescent="0.3">
      <c r="C494" s="45"/>
      <c r="D494" s="5"/>
      <c r="E494" s="5"/>
      <c r="F494" s="6"/>
      <c r="G494" s="6"/>
      <c r="H494" s="111"/>
      <c r="I494" s="111"/>
      <c r="J494" s="6"/>
      <c r="K494" s="6"/>
      <c r="L494" s="6"/>
      <c r="M494" s="6"/>
      <c r="N494" s="6"/>
      <c r="O494" s="9"/>
    </row>
    <row r="495" spans="3:15" x14ac:dyDescent="0.3">
      <c r="C495" s="45"/>
      <c r="D495" s="5"/>
      <c r="E495" s="5"/>
      <c r="F495" s="6"/>
      <c r="G495" s="6"/>
      <c r="H495" s="111"/>
      <c r="I495" s="111"/>
      <c r="J495" s="6"/>
      <c r="K495" s="6"/>
      <c r="L495" s="6"/>
      <c r="M495" s="6"/>
      <c r="N495" s="6"/>
      <c r="O495" s="9"/>
    </row>
    <row r="496" spans="3:15" x14ac:dyDescent="0.3">
      <c r="C496" s="45"/>
      <c r="D496" s="5"/>
      <c r="E496" s="5"/>
      <c r="F496" s="6"/>
      <c r="G496" s="6"/>
      <c r="H496" s="111"/>
      <c r="I496" s="111"/>
      <c r="J496" s="6"/>
      <c r="K496" s="6"/>
      <c r="L496" s="6"/>
      <c r="M496" s="6"/>
      <c r="N496" s="6"/>
      <c r="O496" s="9"/>
    </row>
    <row r="497" spans="3:15" x14ac:dyDescent="0.3">
      <c r="C497" s="45"/>
      <c r="D497" s="5"/>
      <c r="E497" s="5"/>
      <c r="F497" s="6"/>
      <c r="G497" s="6"/>
      <c r="H497" s="111"/>
      <c r="I497" s="111"/>
      <c r="J497" s="6"/>
      <c r="K497" s="6"/>
      <c r="L497" s="6"/>
      <c r="M497" s="6"/>
      <c r="N497" s="6"/>
      <c r="O497" s="9"/>
    </row>
    <row r="498" spans="3:15" x14ac:dyDescent="0.3">
      <c r="C498" s="45"/>
      <c r="D498" s="5"/>
      <c r="E498" s="5"/>
      <c r="F498" s="6"/>
      <c r="G498" s="6"/>
      <c r="H498" s="111"/>
      <c r="I498" s="111"/>
      <c r="J498" s="6"/>
      <c r="K498" s="6"/>
      <c r="L498" s="6"/>
      <c r="M498" s="6"/>
      <c r="N498" s="6"/>
      <c r="O498" s="9"/>
    </row>
    <row r="499" spans="3:15" x14ac:dyDescent="0.3">
      <c r="C499" s="45"/>
      <c r="D499" s="5"/>
      <c r="E499" s="5"/>
      <c r="F499" s="6"/>
      <c r="G499" s="6"/>
      <c r="H499" s="111"/>
      <c r="I499" s="111"/>
      <c r="J499" s="6"/>
      <c r="K499" s="6"/>
      <c r="L499" s="6"/>
      <c r="M499" s="6"/>
      <c r="N499" s="6"/>
      <c r="O499" s="9"/>
    </row>
    <row r="500" spans="3:15" x14ac:dyDescent="0.3">
      <c r="C500" s="45"/>
      <c r="D500" s="5"/>
      <c r="E500" s="5"/>
      <c r="F500" s="6"/>
      <c r="G500" s="6"/>
      <c r="H500" s="111"/>
      <c r="I500" s="111"/>
      <c r="J500" s="6"/>
      <c r="K500" s="6"/>
      <c r="L500" s="6"/>
      <c r="M500" s="6"/>
      <c r="N500" s="6"/>
      <c r="O500" s="9"/>
    </row>
    <row r="501" spans="3:15" x14ac:dyDescent="0.3">
      <c r="C501" s="45"/>
      <c r="D501" s="5"/>
      <c r="E501" s="5"/>
      <c r="F501" s="6"/>
      <c r="G501" s="6"/>
      <c r="H501" s="111"/>
      <c r="I501" s="111"/>
      <c r="J501" s="6"/>
      <c r="K501" s="6"/>
      <c r="L501" s="6"/>
      <c r="M501" s="6"/>
      <c r="N501" s="6"/>
      <c r="O501" s="9"/>
    </row>
    <row r="502" spans="3:15" x14ac:dyDescent="0.3">
      <c r="C502" s="45"/>
      <c r="D502" s="5"/>
      <c r="E502" s="5"/>
      <c r="F502" s="6"/>
      <c r="G502" s="6"/>
      <c r="H502" s="111"/>
      <c r="I502" s="111"/>
      <c r="J502" s="6"/>
      <c r="K502" s="6"/>
      <c r="L502" s="6"/>
      <c r="M502" s="6"/>
      <c r="N502" s="6"/>
      <c r="O502" s="9"/>
    </row>
    <row r="503" spans="3:15" x14ac:dyDescent="0.3">
      <c r="C503" s="45"/>
      <c r="D503" s="5"/>
      <c r="E503" s="5"/>
      <c r="F503" s="6"/>
      <c r="G503" s="6"/>
      <c r="H503" s="111"/>
      <c r="I503" s="111"/>
      <c r="J503" s="6"/>
      <c r="K503" s="6"/>
      <c r="L503" s="6"/>
      <c r="M503" s="6"/>
      <c r="N503" s="6"/>
      <c r="O503" s="9"/>
    </row>
    <row r="504" spans="3:15" x14ac:dyDescent="0.3">
      <c r="C504" s="45"/>
      <c r="D504" s="5"/>
      <c r="E504" s="5"/>
      <c r="F504" s="6"/>
      <c r="G504" s="6"/>
      <c r="H504" s="111"/>
      <c r="I504" s="111"/>
      <c r="J504" s="6"/>
      <c r="K504" s="6"/>
      <c r="L504" s="6"/>
      <c r="M504" s="6"/>
      <c r="N504" s="6"/>
      <c r="O504" s="9"/>
    </row>
    <row r="505" spans="3:15" x14ac:dyDescent="0.3">
      <c r="C505" s="45"/>
      <c r="D505" s="5"/>
      <c r="E505" s="5"/>
      <c r="F505" s="6"/>
      <c r="G505" s="6"/>
      <c r="H505" s="111"/>
      <c r="I505" s="111"/>
      <c r="J505" s="6"/>
      <c r="K505" s="6"/>
      <c r="L505" s="6"/>
      <c r="M505" s="6"/>
      <c r="N505" s="6"/>
      <c r="O505" s="9"/>
    </row>
    <row r="506" spans="3:15" x14ac:dyDescent="0.3">
      <c r="C506" s="45"/>
      <c r="D506" s="5"/>
      <c r="E506" s="5"/>
      <c r="F506" s="6"/>
      <c r="G506" s="6"/>
      <c r="H506" s="111"/>
      <c r="I506" s="111"/>
      <c r="J506" s="6"/>
      <c r="K506" s="6"/>
      <c r="L506" s="6"/>
      <c r="M506" s="6"/>
      <c r="N506" s="6"/>
      <c r="O506" s="9"/>
    </row>
    <row r="507" spans="3:15" x14ac:dyDescent="0.3">
      <c r="C507" s="45"/>
      <c r="D507" s="5"/>
      <c r="E507" s="5"/>
      <c r="F507" s="6"/>
      <c r="G507" s="6"/>
      <c r="H507" s="111"/>
      <c r="I507" s="111"/>
      <c r="J507" s="6"/>
      <c r="K507" s="6"/>
      <c r="L507" s="6"/>
      <c r="M507" s="6"/>
      <c r="N507" s="6"/>
      <c r="O507" s="9"/>
    </row>
    <row r="508" spans="3:15" x14ac:dyDescent="0.3">
      <c r="C508" s="45"/>
      <c r="D508" s="5"/>
      <c r="E508" s="5"/>
      <c r="F508" s="6"/>
      <c r="G508" s="6"/>
      <c r="H508" s="111"/>
      <c r="I508" s="111"/>
      <c r="J508" s="6"/>
      <c r="K508" s="6"/>
      <c r="L508" s="6"/>
      <c r="M508" s="6"/>
      <c r="N508" s="6"/>
      <c r="O508" s="9"/>
    </row>
    <row r="509" spans="3:15" x14ac:dyDescent="0.3">
      <c r="C509" s="45"/>
      <c r="D509" s="5"/>
      <c r="E509" s="5"/>
      <c r="F509" s="6"/>
      <c r="G509" s="6"/>
      <c r="H509" s="111"/>
      <c r="I509" s="111"/>
      <c r="J509" s="6"/>
      <c r="K509" s="6"/>
      <c r="L509" s="6"/>
      <c r="M509" s="6"/>
      <c r="N509" s="6"/>
      <c r="O509" s="9"/>
    </row>
    <row r="510" spans="3:15" x14ac:dyDescent="0.3">
      <c r="C510" s="45"/>
      <c r="D510" s="5"/>
      <c r="E510" s="5"/>
      <c r="F510" s="6"/>
      <c r="G510" s="6"/>
      <c r="H510" s="111"/>
      <c r="I510" s="111"/>
      <c r="J510" s="6"/>
      <c r="K510" s="6"/>
      <c r="L510" s="6"/>
      <c r="M510" s="6"/>
      <c r="N510" s="6"/>
      <c r="O510" s="9"/>
    </row>
    <row r="511" spans="3:15" x14ac:dyDescent="0.3">
      <c r="C511" s="45"/>
      <c r="D511" s="5"/>
      <c r="E511" s="5"/>
      <c r="F511" s="6"/>
      <c r="G511" s="6"/>
      <c r="H511" s="111"/>
      <c r="I511" s="111"/>
      <c r="J511" s="6"/>
      <c r="K511" s="6"/>
      <c r="L511" s="6"/>
      <c r="M511" s="6"/>
      <c r="N511" s="6"/>
      <c r="O511" s="9"/>
    </row>
    <row r="512" spans="3:15" x14ac:dyDescent="0.3">
      <c r="C512" s="45"/>
      <c r="D512" s="5"/>
      <c r="E512" s="5"/>
      <c r="F512" s="6"/>
      <c r="G512" s="6"/>
      <c r="H512" s="111"/>
      <c r="I512" s="111"/>
      <c r="J512" s="6"/>
      <c r="K512" s="6"/>
      <c r="L512" s="6"/>
      <c r="M512" s="6"/>
      <c r="N512" s="6"/>
      <c r="O512" s="9"/>
    </row>
    <row r="513" spans="3:15" x14ac:dyDescent="0.3">
      <c r="C513" s="45"/>
      <c r="D513" s="5"/>
      <c r="E513" s="5"/>
      <c r="F513" s="6"/>
      <c r="G513" s="6"/>
      <c r="H513" s="111"/>
      <c r="I513" s="111"/>
      <c r="J513" s="6"/>
      <c r="K513" s="6"/>
      <c r="L513" s="6"/>
      <c r="M513" s="6"/>
      <c r="N513" s="6"/>
      <c r="O513" s="9"/>
    </row>
    <row r="514" spans="3:15" x14ac:dyDescent="0.3">
      <c r="C514" s="45"/>
      <c r="D514" s="5"/>
      <c r="E514" s="5"/>
      <c r="F514" s="6"/>
      <c r="G514" s="6"/>
      <c r="H514" s="111"/>
      <c r="I514" s="111"/>
      <c r="J514" s="6"/>
      <c r="K514" s="6"/>
      <c r="L514" s="6"/>
      <c r="M514" s="6"/>
      <c r="N514" s="6"/>
      <c r="O514" s="9"/>
    </row>
    <row r="515" spans="3:15" x14ac:dyDescent="0.3">
      <c r="C515" s="45"/>
      <c r="D515" s="5"/>
      <c r="E515" s="5"/>
      <c r="F515" s="6"/>
      <c r="G515" s="6"/>
      <c r="H515" s="111"/>
      <c r="I515" s="111"/>
      <c r="J515" s="6"/>
      <c r="K515" s="6"/>
      <c r="L515" s="6"/>
      <c r="M515" s="6"/>
      <c r="N515" s="6"/>
      <c r="O515" s="9"/>
    </row>
    <row r="516" spans="3:15" x14ac:dyDescent="0.3">
      <c r="C516" s="45"/>
      <c r="D516" s="5"/>
      <c r="E516" s="5"/>
      <c r="F516" s="6"/>
      <c r="G516" s="6"/>
      <c r="H516" s="111"/>
      <c r="I516" s="111"/>
      <c r="J516" s="6"/>
      <c r="K516" s="6"/>
      <c r="L516" s="6"/>
      <c r="M516" s="6"/>
      <c r="N516" s="6"/>
      <c r="O516" s="9"/>
    </row>
    <row r="517" spans="3:15" x14ac:dyDescent="0.3">
      <c r="C517" s="45"/>
      <c r="D517" s="5"/>
      <c r="E517" s="5"/>
      <c r="F517" s="6"/>
      <c r="G517" s="6"/>
      <c r="H517" s="111"/>
      <c r="I517" s="111"/>
      <c r="J517" s="6"/>
      <c r="K517" s="6"/>
      <c r="L517" s="6"/>
      <c r="M517" s="6"/>
      <c r="N517" s="6"/>
      <c r="O517" s="9"/>
    </row>
    <row r="518" spans="3:15" x14ac:dyDescent="0.3">
      <c r="C518" s="45"/>
      <c r="D518" s="5"/>
      <c r="E518" s="5"/>
      <c r="F518" s="6"/>
      <c r="G518" s="6"/>
      <c r="H518" s="111"/>
      <c r="I518" s="111"/>
      <c r="J518" s="6"/>
      <c r="K518" s="6"/>
      <c r="L518" s="6"/>
      <c r="M518" s="6"/>
      <c r="N518" s="6"/>
      <c r="O518" s="9"/>
    </row>
    <row r="519" spans="3:15" x14ac:dyDescent="0.3">
      <c r="C519" s="45"/>
      <c r="D519" s="5"/>
      <c r="E519" s="5"/>
      <c r="F519" s="6"/>
      <c r="G519" s="6"/>
      <c r="H519" s="111"/>
      <c r="I519" s="111"/>
      <c r="J519" s="6"/>
      <c r="K519" s="6"/>
      <c r="L519" s="6"/>
      <c r="M519" s="6"/>
      <c r="N519" s="6"/>
      <c r="O519" s="9"/>
    </row>
    <row r="520" spans="3:15" x14ac:dyDescent="0.3">
      <c r="C520" s="45"/>
      <c r="D520" s="5"/>
      <c r="E520" s="5"/>
      <c r="F520" s="6"/>
      <c r="G520" s="6"/>
      <c r="H520" s="111"/>
      <c r="I520" s="111"/>
      <c r="J520" s="6"/>
      <c r="K520" s="6"/>
      <c r="L520" s="6"/>
      <c r="M520" s="6"/>
      <c r="N520" s="6"/>
      <c r="O520" s="9"/>
    </row>
    <row r="521" spans="3:15" x14ac:dyDescent="0.3">
      <c r="C521" s="45"/>
      <c r="D521" s="5"/>
      <c r="E521" s="5"/>
      <c r="F521" s="6"/>
      <c r="G521" s="6"/>
      <c r="H521" s="111"/>
      <c r="I521" s="111"/>
      <c r="J521" s="6"/>
      <c r="K521" s="6"/>
      <c r="L521" s="6"/>
      <c r="M521" s="6"/>
      <c r="N521" s="6"/>
      <c r="O521" s="9"/>
    </row>
    <row r="522" spans="3:15" x14ac:dyDescent="0.3">
      <c r="C522" s="45"/>
      <c r="D522" s="5"/>
      <c r="E522" s="5"/>
      <c r="F522" s="6"/>
      <c r="G522" s="6"/>
      <c r="H522" s="111"/>
      <c r="I522" s="111"/>
      <c r="J522" s="6"/>
      <c r="K522" s="6"/>
      <c r="L522" s="6"/>
      <c r="M522" s="6"/>
      <c r="N522" s="6"/>
      <c r="O522" s="9"/>
    </row>
    <row r="523" spans="3:15" x14ac:dyDescent="0.3">
      <c r="C523" s="45"/>
      <c r="D523" s="5"/>
      <c r="E523" s="5"/>
      <c r="F523" s="6"/>
      <c r="G523" s="6"/>
      <c r="H523" s="111"/>
      <c r="I523" s="111"/>
      <c r="J523" s="6"/>
      <c r="K523" s="6"/>
      <c r="L523" s="6"/>
      <c r="M523" s="6"/>
      <c r="N523" s="6"/>
      <c r="O523" s="9"/>
    </row>
    <row r="524" spans="3:15" x14ac:dyDescent="0.3">
      <c r="C524" s="45"/>
      <c r="D524" s="5"/>
      <c r="E524" s="5"/>
      <c r="F524" s="6"/>
      <c r="G524" s="6"/>
      <c r="H524" s="111"/>
      <c r="I524" s="111"/>
      <c r="J524" s="6"/>
      <c r="K524" s="6"/>
      <c r="L524" s="6"/>
      <c r="M524" s="6"/>
      <c r="N524" s="6"/>
      <c r="O524" s="9"/>
    </row>
    <row r="525" spans="3:15" x14ac:dyDescent="0.3">
      <c r="C525" s="45"/>
      <c r="D525" s="5"/>
      <c r="E525" s="5"/>
      <c r="F525" s="6"/>
      <c r="G525" s="6"/>
      <c r="H525" s="111"/>
      <c r="I525" s="111"/>
      <c r="J525" s="6"/>
      <c r="K525" s="6"/>
      <c r="L525" s="6"/>
      <c r="M525" s="6"/>
      <c r="N525" s="6"/>
      <c r="O525" s="9"/>
    </row>
    <row r="526" spans="3:15" x14ac:dyDescent="0.3">
      <c r="C526" s="45"/>
      <c r="D526" s="5"/>
      <c r="E526" s="5"/>
      <c r="F526" s="6"/>
      <c r="G526" s="6"/>
      <c r="H526" s="111"/>
      <c r="I526" s="111"/>
      <c r="J526" s="6"/>
      <c r="K526" s="6"/>
      <c r="L526" s="6"/>
      <c r="M526" s="6"/>
      <c r="N526" s="6"/>
      <c r="O526" s="9"/>
    </row>
    <row r="527" spans="3:15" x14ac:dyDescent="0.3">
      <c r="C527" s="45"/>
      <c r="D527" s="5"/>
      <c r="E527" s="5"/>
      <c r="F527" s="6"/>
      <c r="G527" s="6"/>
      <c r="H527" s="111"/>
      <c r="I527" s="111"/>
      <c r="J527" s="6"/>
      <c r="K527" s="6"/>
      <c r="L527" s="6"/>
      <c r="M527" s="6"/>
      <c r="N527" s="6"/>
      <c r="O527" s="9"/>
    </row>
    <row r="528" spans="3:15" x14ac:dyDescent="0.3">
      <c r="C528" s="45"/>
      <c r="D528" s="5"/>
      <c r="E528" s="5"/>
      <c r="F528" s="6"/>
      <c r="G528" s="6"/>
      <c r="H528" s="111"/>
      <c r="I528" s="111"/>
      <c r="J528" s="6"/>
      <c r="K528" s="6"/>
      <c r="L528" s="6"/>
      <c r="M528" s="6"/>
      <c r="N528" s="6"/>
      <c r="O528" s="9"/>
    </row>
    <row r="529" spans="3:15" x14ac:dyDescent="0.3">
      <c r="C529" s="45"/>
      <c r="D529" s="5"/>
      <c r="E529" s="5"/>
      <c r="F529" s="6"/>
      <c r="G529" s="6"/>
      <c r="H529" s="111"/>
      <c r="I529" s="111"/>
      <c r="J529" s="6"/>
      <c r="K529" s="6"/>
      <c r="L529" s="6"/>
      <c r="M529" s="6"/>
      <c r="N529" s="6"/>
      <c r="O529" s="9"/>
    </row>
    <row r="530" spans="3:15" x14ac:dyDescent="0.3">
      <c r="C530" s="45"/>
      <c r="D530" s="5"/>
      <c r="E530" s="5"/>
      <c r="F530" s="6"/>
      <c r="G530" s="6"/>
      <c r="H530" s="111"/>
      <c r="I530" s="111"/>
      <c r="J530" s="6"/>
      <c r="K530" s="6"/>
      <c r="L530" s="6"/>
      <c r="M530" s="6"/>
      <c r="N530" s="6"/>
      <c r="O530" s="9"/>
    </row>
    <row r="531" spans="3:15" x14ac:dyDescent="0.3">
      <c r="C531" s="45"/>
      <c r="D531" s="5"/>
      <c r="E531" s="5"/>
      <c r="F531" s="6"/>
      <c r="G531" s="6"/>
      <c r="H531" s="111"/>
      <c r="I531" s="111"/>
      <c r="J531" s="6"/>
      <c r="K531" s="6"/>
      <c r="L531" s="6"/>
      <c r="M531" s="6"/>
      <c r="N531" s="6"/>
      <c r="O531" s="9"/>
    </row>
    <row r="532" spans="3:15" x14ac:dyDescent="0.3">
      <c r="C532" s="45"/>
      <c r="D532" s="5"/>
      <c r="E532" s="5"/>
      <c r="F532" s="6"/>
      <c r="G532" s="6"/>
      <c r="H532" s="111"/>
      <c r="I532" s="111"/>
      <c r="J532" s="6"/>
      <c r="K532" s="6"/>
      <c r="L532" s="6"/>
      <c r="M532" s="6"/>
      <c r="N532" s="6"/>
      <c r="O532" s="9"/>
    </row>
    <row r="533" spans="3:15" x14ac:dyDescent="0.3">
      <c r="C533" s="45"/>
      <c r="D533" s="5"/>
      <c r="E533" s="5"/>
      <c r="F533" s="6"/>
      <c r="G533" s="6"/>
      <c r="H533" s="111"/>
      <c r="I533" s="111"/>
      <c r="J533" s="6"/>
      <c r="K533" s="6"/>
      <c r="L533" s="6"/>
      <c r="M533" s="6"/>
      <c r="N533" s="6"/>
      <c r="O533" s="9"/>
    </row>
    <row r="534" spans="3:15" x14ac:dyDescent="0.3">
      <c r="C534" s="45"/>
      <c r="D534" s="5"/>
      <c r="E534" s="5"/>
      <c r="F534" s="6"/>
      <c r="G534" s="6"/>
      <c r="H534" s="111"/>
      <c r="I534" s="111"/>
      <c r="J534" s="6"/>
      <c r="K534" s="6"/>
      <c r="L534" s="6"/>
      <c r="M534" s="6"/>
      <c r="N534" s="6"/>
      <c r="O534" s="9"/>
    </row>
    <row r="535" spans="3:15" x14ac:dyDescent="0.3">
      <c r="C535" s="45"/>
      <c r="D535" s="5"/>
      <c r="E535" s="5"/>
      <c r="F535" s="6"/>
      <c r="G535" s="6"/>
      <c r="H535" s="111"/>
      <c r="I535" s="111"/>
      <c r="J535" s="6"/>
      <c r="K535" s="6"/>
      <c r="L535" s="6"/>
      <c r="M535" s="6"/>
      <c r="N535" s="6"/>
      <c r="O535" s="9"/>
    </row>
    <row r="536" spans="3:15" x14ac:dyDescent="0.3">
      <c r="C536" s="45"/>
      <c r="D536" s="5"/>
      <c r="E536" s="5"/>
      <c r="F536" s="6"/>
      <c r="G536" s="6"/>
      <c r="H536" s="111"/>
      <c r="I536" s="111"/>
      <c r="J536" s="6"/>
      <c r="K536" s="6"/>
      <c r="L536" s="6"/>
      <c r="M536" s="6"/>
      <c r="N536" s="6"/>
      <c r="O536" s="9"/>
    </row>
    <row r="537" spans="3:15" x14ac:dyDescent="0.3">
      <c r="C537" s="45"/>
      <c r="D537" s="5"/>
      <c r="E537" s="5"/>
      <c r="F537" s="6"/>
      <c r="G537" s="6"/>
      <c r="H537" s="111"/>
      <c r="I537" s="111"/>
      <c r="J537" s="6"/>
      <c r="K537" s="6"/>
      <c r="L537" s="6"/>
      <c r="M537" s="6"/>
      <c r="N537" s="6"/>
      <c r="O537" s="9"/>
    </row>
    <row r="538" spans="3:15" x14ac:dyDescent="0.3">
      <c r="C538" s="45"/>
      <c r="D538" s="5"/>
      <c r="E538" s="5"/>
      <c r="F538" s="6"/>
      <c r="G538" s="6"/>
      <c r="H538" s="111"/>
      <c r="I538" s="111"/>
      <c r="J538" s="6"/>
      <c r="K538" s="6"/>
      <c r="L538" s="6"/>
      <c r="M538" s="6"/>
      <c r="N538" s="6"/>
      <c r="O538" s="9"/>
    </row>
    <row r="539" spans="3:15" x14ac:dyDescent="0.3">
      <c r="C539" s="45"/>
      <c r="D539" s="5"/>
      <c r="E539" s="5"/>
      <c r="F539" s="6"/>
      <c r="G539" s="6"/>
      <c r="H539" s="111"/>
      <c r="I539" s="111"/>
      <c r="J539" s="6"/>
      <c r="K539" s="6"/>
      <c r="L539" s="6"/>
      <c r="M539" s="6"/>
      <c r="N539" s="6"/>
      <c r="O539" s="9"/>
    </row>
    <row r="540" spans="3:15" x14ac:dyDescent="0.3">
      <c r="C540" s="45"/>
      <c r="D540" s="5"/>
      <c r="E540" s="5"/>
      <c r="F540" s="6"/>
      <c r="G540" s="6"/>
      <c r="H540" s="111"/>
      <c r="I540" s="111"/>
      <c r="J540" s="6"/>
      <c r="K540" s="6"/>
      <c r="L540" s="6"/>
      <c r="M540" s="6"/>
      <c r="N540" s="6"/>
      <c r="O540" s="9"/>
    </row>
    <row r="541" spans="3:15" x14ac:dyDescent="0.3">
      <c r="C541" s="45"/>
      <c r="D541" s="5"/>
      <c r="E541" s="5"/>
      <c r="F541" s="6"/>
      <c r="G541" s="6"/>
      <c r="H541" s="111"/>
      <c r="I541" s="111"/>
      <c r="J541" s="6"/>
      <c r="K541" s="6"/>
      <c r="L541" s="6"/>
      <c r="M541" s="6"/>
      <c r="N541" s="6"/>
      <c r="O541" s="9"/>
    </row>
    <row r="542" spans="3:15" x14ac:dyDescent="0.3">
      <c r="C542" s="45"/>
      <c r="D542" s="5"/>
      <c r="E542" s="5"/>
      <c r="F542" s="6"/>
      <c r="G542" s="6"/>
      <c r="H542" s="111"/>
      <c r="I542" s="111"/>
      <c r="J542" s="6"/>
      <c r="K542" s="6"/>
      <c r="L542" s="6"/>
      <c r="M542" s="6"/>
      <c r="N542" s="6"/>
      <c r="O542" s="9"/>
    </row>
    <row r="543" spans="3:15" x14ac:dyDescent="0.3">
      <c r="C543" s="45"/>
      <c r="D543" s="5"/>
      <c r="E543" s="5"/>
      <c r="F543" s="6"/>
      <c r="G543" s="6"/>
      <c r="H543" s="111"/>
      <c r="I543" s="111"/>
      <c r="J543" s="6"/>
      <c r="K543" s="6"/>
      <c r="L543" s="6"/>
      <c r="M543" s="6"/>
      <c r="N543" s="6"/>
      <c r="O543" s="9"/>
    </row>
    <row r="544" spans="3:15" x14ac:dyDescent="0.3">
      <c r="C544" s="45"/>
      <c r="D544" s="5"/>
      <c r="E544" s="5"/>
      <c r="F544" s="6"/>
      <c r="G544" s="6"/>
      <c r="H544" s="111"/>
      <c r="I544" s="111"/>
      <c r="J544" s="6"/>
      <c r="K544" s="6"/>
      <c r="L544" s="6"/>
      <c r="M544" s="6"/>
      <c r="N544" s="6"/>
      <c r="O544" s="9"/>
    </row>
    <row r="545" spans="3:15" x14ac:dyDescent="0.3">
      <c r="C545" s="45"/>
      <c r="D545" s="5"/>
      <c r="E545" s="5"/>
      <c r="F545" s="6"/>
      <c r="G545" s="6"/>
      <c r="H545" s="111"/>
      <c r="I545" s="111"/>
      <c r="J545" s="6"/>
      <c r="K545" s="6"/>
      <c r="L545" s="6"/>
      <c r="M545" s="6"/>
      <c r="N545" s="6"/>
      <c r="O545" s="9"/>
    </row>
    <row r="546" spans="3:15" x14ac:dyDescent="0.3">
      <c r="C546" s="45"/>
      <c r="D546" s="5"/>
      <c r="E546" s="5"/>
      <c r="F546" s="6"/>
      <c r="G546" s="6"/>
      <c r="H546" s="111"/>
      <c r="I546" s="111"/>
      <c r="J546" s="6"/>
      <c r="K546" s="6"/>
      <c r="L546" s="6"/>
      <c r="M546" s="6"/>
      <c r="N546" s="6"/>
      <c r="O546" s="9"/>
    </row>
    <row r="547" spans="3:15" x14ac:dyDescent="0.3">
      <c r="C547" s="45"/>
      <c r="D547" s="5"/>
      <c r="E547" s="5"/>
      <c r="F547" s="6"/>
      <c r="G547" s="6"/>
      <c r="H547" s="111"/>
      <c r="I547" s="111"/>
      <c r="J547" s="6"/>
      <c r="K547" s="6"/>
      <c r="L547" s="6"/>
      <c r="M547" s="6"/>
      <c r="N547" s="6"/>
      <c r="O547" s="9"/>
    </row>
    <row r="548" spans="3:15" x14ac:dyDescent="0.3">
      <c r="C548" s="45"/>
      <c r="D548" s="5"/>
      <c r="E548" s="5"/>
      <c r="F548" s="6"/>
      <c r="G548" s="6"/>
      <c r="H548" s="111"/>
      <c r="I548" s="111"/>
      <c r="J548" s="6"/>
      <c r="K548" s="6"/>
      <c r="L548" s="6"/>
      <c r="M548" s="6"/>
      <c r="N548" s="6"/>
      <c r="O548" s="9"/>
    </row>
    <row r="549" spans="3:15" x14ac:dyDescent="0.3">
      <c r="C549" s="45"/>
      <c r="D549" s="5"/>
      <c r="E549" s="5"/>
      <c r="F549" s="6"/>
      <c r="G549" s="6"/>
      <c r="H549" s="111"/>
      <c r="I549" s="111"/>
      <c r="J549" s="6"/>
      <c r="K549" s="6"/>
      <c r="L549" s="6"/>
      <c r="M549" s="6"/>
      <c r="N549" s="6"/>
      <c r="O549" s="9"/>
    </row>
    <row r="550" spans="3:15" x14ac:dyDescent="0.3">
      <c r="C550" s="45"/>
      <c r="D550" s="5"/>
      <c r="E550" s="5"/>
      <c r="F550" s="6"/>
      <c r="G550" s="6"/>
      <c r="H550" s="111"/>
      <c r="I550" s="111"/>
      <c r="J550" s="6"/>
      <c r="K550" s="6"/>
      <c r="L550" s="6"/>
      <c r="M550" s="6"/>
      <c r="N550" s="6"/>
      <c r="O550" s="9"/>
    </row>
    <row r="551" spans="3:15" x14ac:dyDescent="0.3">
      <c r="C551" s="45"/>
      <c r="D551" s="5"/>
      <c r="E551" s="5"/>
      <c r="F551" s="6"/>
      <c r="G551" s="6"/>
      <c r="H551" s="111"/>
      <c r="I551" s="111"/>
      <c r="J551" s="6"/>
      <c r="K551" s="6"/>
      <c r="L551" s="6"/>
      <c r="M551" s="6"/>
      <c r="N551" s="6"/>
      <c r="O551" s="9"/>
    </row>
    <row r="552" spans="3:15" x14ac:dyDescent="0.3">
      <c r="C552" s="45"/>
      <c r="D552" s="5"/>
      <c r="E552" s="5"/>
      <c r="F552" s="6"/>
      <c r="G552" s="6"/>
      <c r="H552" s="111"/>
      <c r="I552" s="111"/>
      <c r="J552" s="6"/>
      <c r="K552" s="6"/>
      <c r="L552" s="6"/>
      <c r="M552" s="6"/>
      <c r="N552" s="6"/>
      <c r="O552" s="9"/>
    </row>
    <row r="553" spans="3:15" x14ac:dyDescent="0.3">
      <c r="C553" s="45"/>
      <c r="D553" s="5"/>
      <c r="E553" s="5"/>
      <c r="F553" s="6"/>
      <c r="G553" s="6"/>
      <c r="H553" s="111"/>
      <c r="I553" s="111"/>
      <c r="J553" s="6"/>
      <c r="K553" s="6"/>
      <c r="L553" s="6"/>
      <c r="M553" s="6"/>
      <c r="N553" s="6"/>
      <c r="O553" s="9"/>
    </row>
    <row r="554" spans="3:15" x14ac:dyDescent="0.3">
      <c r="C554" s="45"/>
      <c r="D554" s="5"/>
      <c r="E554" s="5"/>
      <c r="F554" s="6"/>
      <c r="G554" s="6"/>
      <c r="H554" s="111"/>
      <c r="I554" s="111"/>
      <c r="J554" s="6"/>
      <c r="K554" s="6"/>
      <c r="L554" s="6"/>
      <c r="M554" s="6"/>
      <c r="N554" s="6"/>
      <c r="O554" s="9"/>
    </row>
    <row r="555" spans="3:15" x14ac:dyDescent="0.3">
      <c r="C555" s="45"/>
      <c r="D555" s="5"/>
      <c r="E555" s="5"/>
      <c r="F555" s="6"/>
      <c r="G555" s="6"/>
      <c r="H555" s="111"/>
      <c r="I555" s="111"/>
      <c r="J555" s="6"/>
      <c r="K555" s="6"/>
      <c r="L555" s="6"/>
      <c r="M555" s="6"/>
      <c r="N555" s="6"/>
      <c r="O555" s="9"/>
    </row>
    <row r="556" spans="3:15" x14ac:dyDescent="0.3">
      <c r="C556" s="45"/>
      <c r="D556" s="5"/>
      <c r="E556" s="5"/>
      <c r="F556" s="6"/>
      <c r="G556" s="6"/>
      <c r="H556" s="111"/>
      <c r="I556" s="111"/>
      <c r="J556" s="6"/>
      <c r="K556" s="6"/>
      <c r="L556" s="6"/>
      <c r="M556" s="6"/>
      <c r="N556" s="6"/>
      <c r="O556" s="9"/>
    </row>
    <row r="557" spans="3:15" x14ac:dyDescent="0.3">
      <c r="C557" s="45"/>
      <c r="D557" s="5"/>
      <c r="E557" s="5"/>
      <c r="F557" s="6"/>
      <c r="G557" s="6"/>
      <c r="H557" s="111"/>
      <c r="I557" s="111"/>
      <c r="J557" s="6"/>
      <c r="K557" s="6"/>
      <c r="L557" s="6"/>
      <c r="M557" s="6"/>
      <c r="N557" s="6"/>
      <c r="O557" s="9"/>
    </row>
    <row r="558" spans="3:15" x14ac:dyDescent="0.3">
      <c r="C558" s="45"/>
      <c r="D558" s="5"/>
      <c r="E558" s="5"/>
      <c r="F558" s="6"/>
      <c r="G558" s="6"/>
      <c r="H558" s="111"/>
      <c r="I558" s="111"/>
      <c r="J558" s="6"/>
      <c r="K558" s="6"/>
      <c r="L558" s="6"/>
      <c r="M558" s="6"/>
      <c r="N558" s="6"/>
      <c r="O558" s="9"/>
    </row>
    <row r="559" spans="3:15" x14ac:dyDescent="0.3">
      <c r="C559" s="45"/>
      <c r="D559" s="5"/>
      <c r="E559" s="5"/>
      <c r="F559" s="6"/>
      <c r="G559" s="6"/>
      <c r="H559" s="111"/>
      <c r="I559" s="111"/>
      <c r="J559" s="6"/>
      <c r="K559" s="6"/>
      <c r="L559" s="6"/>
      <c r="M559" s="6"/>
      <c r="N559" s="6"/>
      <c r="O559" s="9"/>
    </row>
    <row r="560" spans="3:15" x14ac:dyDescent="0.3">
      <c r="C560" s="45"/>
      <c r="D560" s="5"/>
      <c r="E560" s="5"/>
      <c r="F560" s="6"/>
      <c r="G560" s="6"/>
      <c r="H560" s="111"/>
      <c r="I560" s="111"/>
      <c r="J560" s="6"/>
      <c r="K560" s="6"/>
      <c r="L560" s="6"/>
      <c r="M560" s="6"/>
      <c r="N560" s="6"/>
      <c r="O560" s="9"/>
    </row>
    <row r="561" spans="3:15" x14ac:dyDescent="0.3">
      <c r="C561" s="45"/>
      <c r="D561" s="5"/>
      <c r="E561" s="5"/>
      <c r="F561" s="6"/>
      <c r="G561" s="6"/>
      <c r="H561" s="111"/>
      <c r="I561" s="111"/>
      <c r="J561" s="6"/>
      <c r="K561" s="6"/>
      <c r="L561" s="6"/>
      <c r="M561" s="6"/>
      <c r="N561" s="6"/>
      <c r="O561" s="9"/>
    </row>
    <row r="562" spans="3:15" x14ac:dyDescent="0.3">
      <c r="C562" s="45"/>
      <c r="D562" s="5"/>
      <c r="E562" s="5"/>
      <c r="F562" s="6"/>
      <c r="G562" s="6"/>
      <c r="H562" s="111"/>
      <c r="I562" s="111"/>
      <c r="J562" s="6"/>
      <c r="K562" s="6"/>
      <c r="L562" s="6"/>
      <c r="M562" s="6"/>
      <c r="N562" s="6"/>
      <c r="O562" s="9"/>
    </row>
    <row r="563" spans="3:15" x14ac:dyDescent="0.3">
      <c r="C563" s="45"/>
      <c r="D563" s="5"/>
      <c r="E563" s="5"/>
      <c r="F563" s="6"/>
      <c r="G563" s="6"/>
      <c r="H563" s="111"/>
      <c r="I563" s="111"/>
      <c r="J563" s="6"/>
      <c r="K563" s="6"/>
      <c r="L563" s="6"/>
      <c r="M563" s="6"/>
      <c r="N563" s="6"/>
      <c r="O563" s="9"/>
    </row>
    <row r="564" spans="3:15" x14ac:dyDescent="0.3">
      <c r="C564" s="45"/>
      <c r="D564" s="5"/>
      <c r="E564" s="5"/>
      <c r="F564" s="6"/>
      <c r="G564" s="6"/>
      <c r="H564" s="111"/>
      <c r="I564" s="111"/>
      <c r="J564" s="6"/>
      <c r="K564" s="6"/>
      <c r="L564" s="6"/>
      <c r="M564" s="6"/>
      <c r="N564" s="6"/>
      <c r="O564" s="9"/>
    </row>
    <row r="565" spans="3:15" x14ac:dyDescent="0.3">
      <c r="C565" s="45"/>
      <c r="D565" s="5"/>
      <c r="E565" s="5"/>
      <c r="F565" s="6"/>
      <c r="G565" s="6"/>
      <c r="H565" s="111"/>
      <c r="I565" s="111"/>
      <c r="J565" s="6"/>
      <c r="K565" s="6"/>
      <c r="L565" s="6"/>
      <c r="M565" s="6"/>
      <c r="N565" s="6"/>
      <c r="O565" s="9"/>
    </row>
    <row r="566" spans="3:15" x14ac:dyDescent="0.3">
      <c r="C566" s="45"/>
      <c r="D566" s="5"/>
      <c r="E566" s="5"/>
      <c r="F566" s="6"/>
      <c r="G566" s="6"/>
      <c r="H566" s="111"/>
      <c r="I566" s="111"/>
      <c r="J566" s="6"/>
      <c r="K566" s="6"/>
      <c r="L566" s="6"/>
      <c r="M566" s="6"/>
      <c r="N566" s="6"/>
      <c r="O566" s="9"/>
    </row>
    <row r="567" spans="3:15" x14ac:dyDescent="0.3">
      <c r="C567" s="45"/>
      <c r="D567" s="5"/>
      <c r="E567" s="5"/>
      <c r="F567" s="6"/>
      <c r="G567" s="6"/>
      <c r="H567" s="111"/>
      <c r="I567" s="111"/>
      <c r="J567" s="6"/>
      <c r="K567" s="6"/>
      <c r="L567" s="6"/>
      <c r="M567" s="6"/>
      <c r="N567" s="6"/>
      <c r="O567" s="9"/>
    </row>
    <row r="568" spans="3:15" x14ac:dyDescent="0.3">
      <c r="C568" s="45"/>
      <c r="D568" s="5"/>
      <c r="E568" s="5"/>
      <c r="F568" s="6"/>
      <c r="G568" s="6"/>
      <c r="H568" s="111"/>
      <c r="I568" s="111"/>
      <c r="J568" s="6"/>
      <c r="K568" s="6"/>
      <c r="L568" s="6"/>
      <c r="M568" s="6"/>
      <c r="N568" s="6"/>
      <c r="O568" s="9"/>
    </row>
    <row r="569" spans="3:15" x14ac:dyDescent="0.3">
      <c r="C569" s="45"/>
      <c r="D569" s="5"/>
      <c r="E569" s="5"/>
      <c r="F569" s="6"/>
      <c r="G569" s="6"/>
      <c r="H569" s="111"/>
      <c r="I569" s="111"/>
      <c r="J569" s="6"/>
      <c r="K569" s="6"/>
      <c r="L569" s="6"/>
      <c r="M569" s="6"/>
      <c r="N569" s="6"/>
      <c r="O569" s="9"/>
    </row>
    <row r="570" spans="3:15" x14ac:dyDescent="0.3">
      <c r="C570" s="45"/>
      <c r="D570" s="5"/>
      <c r="E570" s="5"/>
      <c r="F570" s="6"/>
      <c r="G570" s="6"/>
      <c r="H570" s="111"/>
      <c r="I570" s="111"/>
      <c r="J570" s="6"/>
      <c r="K570" s="6"/>
      <c r="L570" s="6"/>
      <c r="M570" s="6"/>
      <c r="N570" s="6"/>
      <c r="O570" s="9"/>
    </row>
    <row r="571" spans="3:15" x14ac:dyDescent="0.3">
      <c r="C571" s="45"/>
      <c r="D571" s="5"/>
      <c r="E571" s="5"/>
      <c r="F571" s="6"/>
      <c r="G571" s="6"/>
      <c r="H571" s="111"/>
      <c r="I571" s="111"/>
      <c r="J571" s="6"/>
      <c r="K571" s="6"/>
      <c r="L571" s="6"/>
      <c r="M571" s="6"/>
      <c r="N571" s="6"/>
      <c r="O571" s="9"/>
    </row>
    <row r="572" spans="3:15" x14ac:dyDescent="0.3">
      <c r="C572" s="45"/>
      <c r="D572" s="5"/>
      <c r="E572" s="5"/>
      <c r="F572" s="6"/>
      <c r="G572" s="6"/>
      <c r="H572" s="111"/>
      <c r="I572" s="111"/>
      <c r="J572" s="6"/>
      <c r="K572" s="6"/>
      <c r="L572" s="6"/>
      <c r="M572" s="6"/>
      <c r="N572" s="6"/>
      <c r="O572" s="9"/>
    </row>
    <row r="573" spans="3:15" x14ac:dyDescent="0.3">
      <c r="C573" s="45"/>
      <c r="D573" s="5"/>
      <c r="E573" s="5"/>
      <c r="F573" s="6"/>
      <c r="G573" s="6"/>
      <c r="H573" s="111"/>
      <c r="I573" s="111"/>
      <c r="J573" s="6"/>
      <c r="K573" s="6"/>
      <c r="L573" s="6"/>
      <c r="M573" s="6"/>
      <c r="N573" s="6"/>
      <c r="O573" s="9"/>
    </row>
    <row r="574" spans="3:15" x14ac:dyDescent="0.3">
      <c r="C574" s="45"/>
      <c r="D574" s="5"/>
      <c r="E574" s="5"/>
      <c r="F574" s="6"/>
      <c r="G574" s="6"/>
      <c r="H574" s="111"/>
      <c r="I574" s="111"/>
      <c r="J574" s="6"/>
      <c r="K574" s="6"/>
      <c r="L574" s="6"/>
      <c r="M574" s="6"/>
      <c r="N574" s="6"/>
      <c r="O574" s="9"/>
    </row>
    <row r="575" spans="3:15" x14ac:dyDescent="0.3">
      <c r="C575" s="45"/>
      <c r="D575" s="5"/>
      <c r="E575" s="5"/>
      <c r="F575" s="6"/>
      <c r="G575" s="6"/>
      <c r="H575" s="111"/>
      <c r="I575" s="111"/>
      <c r="J575" s="6"/>
      <c r="K575" s="6"/>
      <c r="L575" s="6"/>
      <c r="M575" s="6"/>
      <c r="N575" s="6"/>
      <c r="O575" s="9"/>
    </row>
    <row r="576" spans="3:15" x14ac:dyDescent="0.3">
      <c r="C576" s="45"/>
      <c r="D576" s="5"/>
      <c r="E576" s="5"/>
      <c r="F576" s="6"/>
      <c r="G576" s="6"/>
      <c r="H576" s="111"/>
      <c r="I576" s="111"/>
      <c r="J576" s="6"/>
      <c r="K576" s="6"/>
      <c r="L576" s="6"/>
      <c r="M576" s="6"/>
      <c r="N576" s="6"/>
      <c r="O576" s="9"/>
    </row>
    <row r="577" spans="3:15" x14ac:dyDescent="0.3">
      <c r="C577" s="45"/>
      <c r="D577" s="5"/>
      <c r="E577" s="5"/>
      <c r="F577" s="6"/>
      <c r="G577" s="6"/>
      <c r="H577" s="111"/>
      <c r="I577" s="111"/>
      <c r="J577" s="6"/>
      <c r="K577" s="6"/>
      <c r="L577" s="6"/>
      <c r="M577" s="6"/>
      <c r="N577" s="6"/>
      <c r="O577" s="9"/>
    </row>
    <row r="578" spans="3:15" x14ac:dyDescent="0.3">
      <c r="C578" s="45"/>
      <c r="D578" s="5"/>
      <c r="E578" s="5"/>
      <c r="F578" s="6"/>
      <c r="G578" s="6"/>
      <c r="H578" s="111"/>
      <c r="I578" s="111"/>
      <c r="J578" s="6"/>
      <c r="K578" s="6"/>
      <c r="L578" s="6"/>
      <c r="M578" s="6"/>
      <c r="N578" s="6"/>
      <c r="O578" s="9"/>
    </row>
    <row r="579" spans="3:15" x14ac:dyDescent="0.3">
      <c r="C579" s="45"/>
      <c r="D579" s="5"/>
      <c r="E579" s="5"/>
      <c r="F579" s="6"/>
      <c r="G579" s="6"/>
      <c r="H579" s="111"/>
      <c r="I579" s="111"/>
      <c r="J579" s="6"/>
      <c r="K579" s="6"/>
      <c r="L579" s="6"/>
      <c r="M579" s="6"/>
      <c r="N579" s="6"/>
      <c r="O579" s="9"/>
    </row>
    <row r="580" spans="3:15" x14ac:dyDescent="0.3">
      <c r="C580" s="45"/>
      <c r="D580" s="5"/>
      <c r="E580" s="5"/>
      <c r="F580" s="6"/>
      <c r="G580" s="6"/>
      <c r="H580" s="111"/>
      <c r="I580" s="111"/>
      <c r="J580" s="6"/>
      <c r="K580" s="6"/>
      <c r="L580" s="6"/>
      <c r="M580" s="6"/>
      <c r="N580" s="6"/>
      <c r="O580" s="9"/>
    </row>
    <row r="581" spans="3:15" x14ac:dyDescent="0.3">
      <c r="C581" s="45"/>
      <c r="D581" s="5"/>
      <c r="E581" s="5"/>
      <c r="F581" s="6"/>
      <c r="G581" s="6"/>
      <c r="H581" s="111"/>
      <c r="I581" s="111"/>
      <c r="J581" s="6"/>
      <c r="K581" s="6"/>
      <c r="L581" s="6"/>
      <c r="M581" s="6"/>
      <c r="N581" s="6"/>
      <c r="O581" s="9"/>
    </row>
    <row r="582" spans="3:15" x14ac:dyDescent="0.3">
      <c r="C582" s="45"/>
      <c r="D582" s="5"/>
      <c r="E582" s="5"/>
      <c r="F582" s="6"/>
      <c r="G582" s="6"/>
      <c r="H582" s="111"/>
      <c r="I582" s="111"/>
      <c r="J582" s="6"/>
      <c r="K582" s="6"/>
      <c r="L582" s="6"/>
      <c r="M582" s="6"/>
      <c r="N582" s="6"/>
      <c r="O582" s="9"/>
    </row>
    <row r="583" spans="3:15" x14ac:dyDescent="0.3">
      <c r="C583" s="45"/>
      <c r="D583" s="5"/>
      <c r="E583" s="5"/>
      <c r="F583" s="6"/>
      <c r="G583" s="6"/>
      <c r="H583" s="111"/>
      <c r="I583" s="111"/>
      <c r="J583" s="6"/>
      <c r="K583" s="6"/>
      <c r="L583" s="6"/>
      <c r="M583" s="6"/>
      <c r="N583" s="6"/>
      <c r="O583" s="9"/>
    </row>
    <row r="584" spans="3:15" x14ac:dyDescent="0.3">
      <c r="C584" s="45"/>
      <c r="D584" s="5"/>
      <c r="E584" s="5"/>
      <c r="F584" s="6"/>
      <c r="G584" s="6"/>
      <c r="H584" s="111"/>
      <c r="I584" s="111"/>
      <c r="J584" s="6"/>
      <c r="K584" s="6"/>
      <c r="L584" s="6"/>
      <c r="M584" s="6"/>
      <c r="N584" s="6"/>
      <c r="O584" s="9"/>
    </row>
    <row r="585" spans="3:15" x14ac:dyDescent="0.3">
      <c r="C585" s="45"/>
      <c r="D585" s="5"/>
      <c r="E585" s="5"/>
      <c r="F585" s="6"/>
      <c r="G585" s="6"/>
      <c r="H585" s="111"/>
      <c r="I585" s="111"/>
      <c r="J585" s="6"/>
      <c r="K585" s="6"/>
      <c r="L585" s="6"/>
      <c r="M585" s="6"/>
      <c r="N585" s="6"/>
      <c r="O585" s="9"/>
    </row>
    <row r="586" spans="3:15" x14ac:dyDescent="0.3">
      <c r="C586" s="45"/>
      <c r="D586" s="5"/>
      <c r="E586" s="5"/>
      <c r="F586" s="6"/>
      <c r="G586" s="6"/>
      <c r="H586" s="111"/>
      <c r="I586" s="111"/>
      <c r="J586" s="6"/>
      <c r="K586" s="6"/>
      <c r="L586" s="6"/>
      <c r="M586" s="6"/>
      <c r="N586" s="6"/>
      <c r="O586" s="9"/>
    </row>
    <row r="587" spans="3:15" x14ac:dyDescent="0.3">
      <c r="C587" s="45"/>
      <c r="D587" s="5"/>
      <c r="E587" s="5"/>
      <c r="F587" s="6"/>
      <c r="G587" s="6"/>
      <c r="H587" s="111"/>
      <c r="L587" s="6"/>
      <c r="M587" s="6"/>
      <c r="N587" s="6"/>
      <c r="O587" s="9"/>
    </row>
  </sheetData>
  <autoFilter ref="A10:O49" xr:uid="{00000000-0009-0000-0000-000007000000}"/>
  <mergeCells count="1">
    <mergeCell ref="E45:F45"/>
  </mergeCells>
  <pageMargins left="0.511811024" right="0.511811024" top="0.78740157499999996" bottom="0.78740157499999996" header="0.31496062000000002" footer="0.31496062000000002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6">
    <tabColor rgb="FFBFBFBF"/>
  </sheetPr>
  <dimension ref="A1:P39"/>
  <sheetViews>
    <sheetView showGridLines="0" workbookViewId="0">
      <selection activeCell="F9" sqref="F9"/>
    </sheetView>
  </sheetViews>
  <sheetFormatPr defaultRowHeight="14.4" x14ac:dyDescent="0.3"/>
  <cols>
    <col min="1" max="9" width="9.44140625" style="3" customWidth="1"/>
  </cols>
  <sheetData>
    <row r="1" spans="1:10" x14ac:dyDescent="0.3">
      <c r="A1" s="2" t="s">
        <v>743</v>
      </c>
      <c r="F1" s="2" t="s">
        <v>19</v>
      </c>
    </row>
    <row r="2" spans="1:10" x14ac:dyDescent="0.3">
      <c r="A2" s="3" t="s">
        <v>744</v>
      </c>
      <c r="F2" s="3" t="s">
        <v>745</v>
      </c>
    </row>
    <row r="3" spans="1:10" x14ac:dyDescent="0.3">
      <c r="A3" s="3" t="s">
        <v>746</v>
      </c>
      <c r="F3" s="3" t="s">
        <v>747</v>
      </c>
    </row>
    <row r="4" spans="1:10" x14ac:dyDescent="0.3">
      <c r="A4" s="3" t="s">
        <v>748</v>
      </c>
      <c r="F4" s="3" t="s">
        <v>749</v>
      </c>
    </row>
    <row r="5" spans="1:10" x14ac:dyDescent="0.3">
      <c r="F5" s="3" t="s">
        <v>750</v>
      </c>
    </row>
    <row r="6" spans="1:10" x14ac:dyDescent="0.3">
      <c r="A6" s="2" t="s">
        <v>751</v>
      </c>
      <c r="F6" s="3" t="s">
        <v>400</v>
      </c>
    </row>
    <row r="7" spans="1:10" x14ac:dyDescent="0.3">
      <c r="A7" s="3" t="s">
        <v>752</v>
      </c>
      <c r="F7" s="3" t="s">
        <v>671</v>
      </c>
    </row>
    <row r="8" spans="1:10" x14ac:dyDescent="0.3">
      <c r="A8" s="3" t="s">
        <v>753</v>
      </c>
      <c r="F8" s="3" t="s">
        <v>754</v>
      </c>
    </row>
    <row r="9" spans="1:10" x14ac:dyDescent="0.3">
      <c r="A9" s="3" t="s">
        <v>755</v>
      </c>
    </row>
    <row r="10" spans="1:10" x14ac:dyDescent="0.3">
      <c r="A10" s="3" t="s">
        <v>756</v>
      </c>
    </row>
    <row r="11" spans="1:10" x14ac:dyDescent="0.3">
      <c r="A11" s="3" t="s">
        <v>757</v>
      </c>
    </row>
    <row r="12" spans="1:10" x14ac:dyDescent="0.3">
      <c r="A12" s="3" t="s">
        <v>758</v>
      </c>
    </row>
    <row r="13" spans="1:10" x14ac:dyDescent="0.3">
      <c r="J13" s="3"/>
    </row>
    <row r="14" spans="1:10" x14ac:dyDescent="0.3">
      <c r="A14" s="2" t="s">
        <v>759</v>
      </c>
      <c r="J14" s="3"/>
    </row>
    <row r="15" spans="1:10" x14ac:dyDescent="0.3">
      <c r="A15" s="3" t="s">
        <v>760</v>
      </c>
      <c r="B15" s="7"/>
      <c r="J15" s="3"/>
    </row>
    <row r="16" spans="1:10" x14ac:dyDescent="0.3">
      <c r="A16" s="3" t="s">
        <v>592</v>
      </c>
      <c r="B16" s="7"/>
      <c r="C16" s="10"/>
      <c r="J16" s="3"/>
    </row>
    <row r="17" spans="1:16" x14ac:dyDescent="0.3">
      <c r="A17" s="3" t="s">
        <v>761</v>
      </c>
      <c r="B17" s="7"/>
      <c r="J17" s="3"/>
    </row>
    <row r="18" spans="1:16" x14ac:dyDescent="0.3">
      <c r="A18" s="3" t="s">
        <v>762</v>
      </c>
    </row>
    <row r="20" spans="1:16" x14ac:dyDescent="0.3">
      <c r="C20" s="7"/>
      <c r="K20" s="3" t="s">
        <v>763</v>
      </c>
      <c r="L20" s="3"/>
      <c r="M20" s="7">
        <v>0.05</v>
      </c>
    </row>
    <row r="21" spans="1:16" x14ac:dyDescent="0.3">
      <c r="C21" s="7"/>
      <c r="J21" t="s">
        <v>764</v>
      </c>
      <c r="K21" s="3" t="s">
        <v>765</v>
      </c>
      <c r="L21" s="3"/>
      <c r="M21" s="7">
        <v>0.05</v>
      </c>
      <c r="N21" s="52">
        <f t="shared" ref="N21:N29" si="0">M21*5%</f>
        <v>2.5000000000000005E-3</v>
      </c>
      <c r="O21" s="52">
        <f t="shared" ref="O21:O29" si="1">M21*60%</f>
        <v>0.03</v>
      </c>
      <c r="P21" s="51">
        <f t="shared" ref="P21:P29" si="2">M21*35%</f>
        <v>1.7499999999999998E-2</v>
      </c>
    </row>
    <row r="22" spans="1:16" x14ac:dyDescent="0.3">
      <c r="C22" s="7"/>
      <c r="D22" s="7"/>
      <c r="F22" s="2" t="s">
        <v>20</v>
      </c>
      <c r="K22" s="3" t="s">
        <v>766</v>
      </c>
      <c r="L22" s="3"/>
      <c r="M22" s="7">
        <v>0.1</v>
      </c>
      <c r="N22" s="52">
        <f t="shared" si="0"/>
        <v>5.000000000000001E-3</v>
      </c>
      <c r="O22" s="52">
        <f t="shared" si="1"/>
        <v>0.06</v>
      </c>
      <c r="P22" s="51">
        <f t="shared" si="2"/>
        <v>3.4999999999999996E-2</v>
      </c>
    </row>
    <row r="23" spans="1:16" x14ac:dyDescent="0.3">
      <c r="A23" s="2" t="s">
        <v>767</v>
      </c>
      <c r="C23" s="7"/>
      <c r="F23" s="3" t="s">
        <v>635</v>
      </c>
      <c r="G23" s="3">
        <v>0</v>
      </c>
      <c r="K23" s="3" t="s">
        <v>768</v>
      </c>
      <c r="L23" s="3"/>
      <c r="M23" s="7">
        <v>0.1</v>
      </c>
      <c r="N23" s="52">
        <f t="shared" si="0"/>
        <v>5.000000000000001E-3</v>
      </c>
      <c r="O23" s="52">
        <f t="shared" si="1"/>
        <v>0.06</v>
      </c>
      <c r="P23" s="51">
        <f t="shared" si="2"/>
        <v>3.4999999999999996E-2</v>
      </c>
    </row>
    <row r="24" spans="1:16" x14ac:dyDescent="0.3">
      <c r="A24" s="3" t="s">
        <v>763</v>
      </c>
      <c r="C24" s="7"/>
      <c r="F24" s="3" t="s">
        <v>769</v>
      </c>
      <c r="K24" s="3" t="s">
        <v>770</v>
      </c>
      <c r="L24" s="3"/>
      <c r="M24" s="7">
        <v>0.1</v>
      </c>
      <c r="N24" s="52">
        <f t="shared" si="0"/>
        <v>5.000000000000001E-3</v>
      </c>
      <c r="O24" s="52">
        <f t="shared" si="1"/>
        <v>0.06</v>
      </c>
      <c r="P24" s="51">
        <f t="shared" si="2"/>
        <v>3.4999999999999996E-2</v>
      </c>
    </row>
    <row r="25" spans="1:16" x14ac:dyDescent="0.3">
      <c r="A25" s="3" t="s">
        <v>771</v>
      </c>
      <c r="C25" s="7"/>
      <c r="F25" s="3" t="s">
        <v>591</v>
      </c>
      <c r="G25" s="3">
        <v>1</v>
      </c>
      <c r="K25" s="3" t="s">
        <v>772</v>
      </c>
      <c r="L25" s="3"/>
      <c r="M25" s="7">
        <v>0.1</v>
      </c>
      <c r="N25" s="52">
        <f t="shared" si="0"/>
        <v>5.000000000000001E-3</v>
      </c>
      <c r="O25" s="52">
        <f t="shared" si="1"/>
        <v>0.06</v>
      </c>
      <c r="P25" s="51">
        <f t="shared" si="2"/>
        <v>3.4999999999999996E-2</v>
      </c>
    </row>
    <row r="26" spans="1:16" x14ac:dyDescent="0.3">
      <c r="A26" s="3" t="s">
        <v>766</v>
      </c>
      <c r="C26" s="7"/>
      <c r="F26" s="3" t="s">
        <v>405</v>
      </c>
      <c r="G26" s="3">
        <v>3</v>
      </c>
      <c r="K26" s="3" t="s">
        <v>773</v>
      </c>
      <c r="L26" s="3"/>
      <c r="M26" s="7">
        <v>0.1</v>
      </c>
      <c r="N26" s="52">
        <f t="shared" si="0"/>
        <v>5.000000000000001E-3</v>
      </c>
      <c r="O26" s="52">
        <f t="shared" si="1"/>
        <v>0.06</v>
      </c>
      <c r="P26" s="51">
        <f t="shared" si="2"/>
        <v>3.4999999999999996E-2</v>
      </c>
    </row>
    <row r="27" spans="1:16" x14ac:dyDescent="0.3">
      <c r="A27" s="3" t="s">
        <v>768</v>
      </c>
      <c r="C27" s="7"/>
      <c r="F27" s="3" t="s">
        <v>633</v>
      </c>
      <c r="G27" s="3">
        <v>2</v>
      </c>
      <c r="K27" s="3" t="s">
        <v>774</v>
      </c>
      <c r="L27" s="3"/>
      <c r="M27" s="7">
        <v>0.1</v>
      </c>
      <c r="N27" s="52">
        <f t="shared" si="0"/>
        <v>5.000000000000001E-3</v>
      </c>
      <c r="O27" s="52">
        <f t="shared" si="1"/>
        <v>0.06</v>
      </c>
      <c r="P27" s="51">
        <f t="shared" si="2"/>
        <v>3.4999999999999996E-2</v>
      </c>
    </row>
    <row r="28" spans="1:16" x14ac:dyDescent="0.3">
      <c r="A28" s="3" t="s">
        <v>770</v>
      </c>
      <c r="C28" s="7"/>
      <c r="F28" s="3" t="s">
        <v>775</v>
      </c>
      <c r="K28" s="3" t="s">
        <v>776</v>
      </c>
      <c r="L28" s="3"/>
      <c r="M28" s="7">
        <v>0.1</v>
      </c>
      <c r="N28" s="52">
        <f t="shared" si="0"/>
        <v>5.000000000000001E-3</v>
      </c>
      <c r="O28" s="52">
        <f t="shared" si="1"/>
        <v>0.06</v>
      </c>
      <c r="P28" s="51">
        <f t="shared" si="2"/>
        <v>3.4999999999999996E-2</v>
      </c>
    </row>
    <row r="29" spans="1:16" x14ac:dyDescent="0.3">
      <c r="A29" s="3" t="s">
        <v>772</v>
      </c>
      <c r="C29" s="7"/>
      <c r="F29" s="2" t="s">
        <v>777</v>
      </c>
      <c r="K29" s="3" t="s">
        <v>778</v>
      </c>
      <c r="L29" s="3"/>
      <c r="M29" s="7">
        <v>0.1</v>
      </c>
      <c r="N29" s="52">
        <f t="shared" si="0"/>
        <v>5.000000000000001E-3</v>
      </c>
      <c r="O29" s="52">
        <f t="shared" si="1"/>
        <v>0.06</v>
      </c>
      <c r="P29" s="51">
        <f t="shared" si="2"/>
        <v>3.4999999999999996E-2</v>
      </c>
    </row>
    <row r="30" spans="1:16" x14ac:dyDescent="0.3">
      <c r="A30" s="3" t="s">
        <v>773</v>
      </c>
      <c r="F30" s="3" t="s">
        <v>779</v>
      </c>
    </row>
    <row r="31" spans="1:16" x14ac:dyDescent="0.3">
      <c r="A31" s="3" t="s">
        <v>774</v>
      </c>
      <c r="F31" s="3" t="s">
        <v>780</v>
      </c>
    </row>
    <row r="32" spans="1:16" x14ac:dyDescent="0.3">
      <c r="A32" s="3" t="s">
        <v>776</v>
      </c>
      <c r="F32" s="3" t="s">
        <v>781</v>
      </c>
    </row>
    <row r="33" spans="1:6" x14ac:dyDescent="0.3">
      <c r="A33" s="3" t="s">
        <v>778</v>
      </c>
      <c r="F33" s="3" t="s">
        <v>782</v>
      </c>
    </row>
    <row r="34" spans="1:6" x14ac:dyDescent="0.3">
      <c r="F34" s="3" t="s">
        <v>783</v>
      </c>
    </row>
    <row r="35" spans="1:6" x14ac:dyDescent="0.3">
      <c r="F35" s="3" t="s">
        <v>784</v>
      </c>
    </row>
    <row r="36" spans="1:6" x14ac:dyDescent="0.3">
      <c r="F36" s="3" t="s">
        <v>785</v>
      </c>
    </row>
    <row r="37" spans="1:6" x14ac:dyDescent="0.3">
      <c r="F37" s="3" t="s">
        <v>786</v>
      </c>
    </row>
    <row r="38" spans="1:6" x14ac:dyDescent="0.3">
      <c r="F38" s="3" t="s">
        <v>787</v>
      </c>
    </row>
    <row r="39" spans="1:6" x14ac:dyDescent="0.3">
      <c r="F39" s="3" t="s">
        <v>788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2E43114DDE15478DECE8310B128150" ma:contentTypeVersion="16" ma:contentTypeDescription="Crie um novo documento." ma:contentTypeScope="" ma:versionID="2f1573146ce6f09edc8233b41b6e8518">
  <xsd:schema xmlns:xsd="http://www.w3.org/2001/XMLSchema" xmlns:xs="http://www.w3.org/2001/XMLSchema" xmlns:p="http://schemas.microsoft.com/office/2006/metadata/properties" xmlns:ns2="afd69eaf-c895-4734-b5c3-ccfe75373e30" xmlns:ns3="62085a58-89d2-499f-8d94-3bd68bf2bcd0" targetNamespace="http://schemas.microsoft.com/office/2006/metadata/properties" ma:root="true" ma:fieldsID="69f704043028cec9661cfa77a9ffa451" ns2:_="" ns3:_="">
    <xsd:import namespace="afd69eaf-c895-4734-b5c3-ccfe75373e30"/>
    <xsd:import namespace="62085a58-89d2-499f-8d94-3bd68bf2bc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69eaf-c895-4734-b5c3-ccfe75373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85a58-89d2-499f-8d94-3bd68bf2bcd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18bf166-9d65-4e8d-b257-064ebba68403}" ma:internalName="TaxCatchAll" ma:showField="CatchAllData" ma:web="62085a58-89d2-499f-8d94-3bd68bf2bc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085a58-89d2-499f-8d94-3bd68bf2bcd0" xsi:nil="true"/>
    <lcf76f155ced4ddcb4097134ff3c332f xmlns="afd69eaf-c895-4734-b5c3-ccfe75373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E64C8B-0FCD-42B9-BC5C-0218C2A2B2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7D7FAA-3270-4E21-BF99-1E67C7ED6046}"/>
</file>

<file path=customXml/itemProps3.xml><?xml version="1.0" encoding="utf-8"?>
<ds:datastoreItem xmlns:ds="http://schemas.openxmlformats.org/officeDocument/2006/customXml" ds:itemID="{47C52CC0-A91A-41C8-B2D7-B584001E12F9}">
  <ds:schemaRefs>
    <ds:schemaRef ds:uri="http://schemas.microsoft.com/office/2006/metadata/properties"/>
    <ds:schemaRef ds:uri="http://schemas.microsoft.com/office/infopath/2007/PartnerControls"/>
    <ds:schemaRef ds:uri="62085a58-89d2-499f-8d94-3bd68bf2bcd0"/>
    <ds:schemaRef ds:uri="afd69eaf-c895-4734-b5c3-ccfe75373e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3</vt:i4>
      </vt:variant>
    </vt:vector>
  </HeadingPairs>
  <TitlesOfParts>
    <vt:vector size="12" baseType="lpstr">
      <vt:lpstr>Plano de Trabalho - Baseline</vt:lpstr>
      <vt:lpstr>Plano de Trabalho (Ajustado)</vt:lpstr>
      <vt:lpstr>Planilha2</vt:lpstr>
      <vt:lpstr>Fases Processos</vt:lpstr>
      <vt:lpstr>calendar</vt:lpstr>
      <vt:lpstr>Plano de Trabalho (2)</vt:lpstr>
      <vt:lpstr>Fluxo Financeiro</vt:lpstr>
      <vt:lpstr>Plano de Trabalho. copia</vt:lpstr>
      <vt:lpstr>Lista Suspensa</vt:lpstr>
      <vt:lpstr>'Plano de Trabalho - Baseline'!Area_de_impressao</vt:lpstr>
      <vt:lpstr>'Plano de Trabalho (2)'!Area_de_impressao</vt:lpstr>
      <vt:lpstr>'Plano de Trabalho (Ajustado)'!Area_de_impressao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Drumond, Julia</dc:creator>
  <cp:lastModifiedBy>Souza, Bernardo</cp:lastModifiedBy>
  <dcterms:created xsi:type="dcterms:W3CDTF">2022-01-21T12:27:48Z</dcterms:created>
  <dcterms:modified xsi:type="dcterms:W3CDTF">2026-05-22T17:56:32Z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0x010100832E43114DDE15478DECE8310B128150</vt:lpwstr>
  </property>
  <property fmtid="{D5CDD505-2E9C-101B-9397-08002B2CF9AE}" pid="3" name="MediaServiceImageTags">
    <vt:lpwstr/>
  </property>
  <property fmtid="{D5CDD505-2E9C-101B-9397-08002B2CF9AE}" pid="4" name="MSIP_Label_31f81cae-2cc7-434f-b11d-39789e497bf2_Enabled">
    <vt:lpwstr>true</vt:lpwstr>
  </property>
  <property fmtid="{D5CDD505-2E9C-101B-9397-08002B2CF9AE}" pid="5" name="MSIP_Label_31f81cae-2cc7-434f-b11d-39789e497bf2_SetDate">
    <vt:lpwstr>2025-02-07T13:26:38Z</vt:lpwstr>
  </property>
  <property fmtid="{D5CDD505-2E9C-101B-9397-08002B2CF9AE}" pid="6" name="MSIP_Label_31f81cae-2cc7-434f-b11d-39789e497bf2_Method">
    <vt:lpwstr>Standard</vt:lpwstr>
  </property>
  <property fmtid="{D5CDD505-2E9C-101B-9397-08002B2CF9AE}" pid="7" name="MSIP_Label_31f81cae-2cc7-434f-b11d-39789e497bf2_Name">
    <vt:lpwstr>Confidential</vt:lpwstr>
  </property>
  <property fmtid="{D5CDD505-2E9C-101B-9397-08002B2CF9AE}" pid="8" name="MSIP_Label_31f81cae-2cc7-434f-b11d-39789e497bf2_SiteId">
    <vt:lpwstr>dd5e230f-c165-49c4-957f-e203458fffab</vt:lpwstr>
  </property>
  <property fmtid="{D5CDD505-2E9C-101B-9397-08002B2CF9AE}" pid="9" name="MSIP_Label_31f81cae-2cc7-434f-b11d-39789e497bf2_ActionId">
    <vt:lpwstr>5dd2f12f-89ee-4a63-bda3-54e4dc462673</vt:lpwstr>
  </property>
  <property fmtid="{D5CDD505-2E9C-101B-9397-08002B2CF9AE}" pid="10" name="MSIP_Label_31f81cae-2cc7-434f-b11d-39789e497bf2_ContentBits">
    <vt:lpwstr>0</vt:lpwstr>
  </property>
</Properties>
</file>